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firstSheet="13" activeTab="19"/>
  </bookViews>
  <sheets>
    <sheet name="0、经济设定" sheetId="2" r:id="rId1"/>
    <sheet name="1、经济推算" sheetId="1" r:id="rId2"/>
    <sheet name="升级时间" sheetId="33" r:id="rId3"/>
    <sheet name="金币生产率曲线" sheetId="34" r:id="rId4"/>
    <sheet name="技能消耗" sheetId="13" r:id="rId5"/>
    <sheet name="装备消耗" sheetId="9" r:id="rId6"/>
    <sheet name="竞技场" sheetId="10" r:id="rId7"/>
    <sheet name="体力消耗运算" sheetId="12" r:id="rId8"/>
    <sheet name="副本规划" sheetId="14" r:id="rId9"/>
    <sheet name="金币投放" sheetId="16" r:id="rId10"/>
    <sheet name="钻石投放" sheetId="31" r:id="rId11"/>
    <sheet name="经验投放节奏规划" sheetId="15" r:id="rId12"/>
    <sheet name="装备&amp;装备材料的投放" sheetId="17" r:id="rId13"/>
    <sheet name="龙魂的投放" sheetId="18" r:id="rId14"/>
    <sheet name="命币的投放" sheetId="20" r:id="rId15"/>
    <sheet name="马仔的投放" sheetId="19" r:id="rId16"/>
    <sheet name="马仔宝物投放" sheetId="30" r:id="rId17"/>
    <sheet name="技能材料的投放" sheetId="32" r:id="rId18"/>
    <sheet name="材料产出汇总" sheetId="25" r:id="rId19"/>
    <sheet name="价格评估并表" sheetId="21" r:id="rId20"/>
    <sheet name="道具价格评估" sheetId="22" r:id="rId21"/>
    <sheet name="马仔装备价格评估" sheetId="24" r:id="rId22"/>
    <sheet name="装备价格评估" sheetId="23" r:id="rId23"/>
    <sheet name="命格价格评估" sheetId="27" r:id="rId24"/>
    <sheet name="马仔价格评估" sheetId="28" r:id="rId25"/>
    <sheet name="龙魂价格评估" sheetId="26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游戏物价查询">价格评估并表!$A$2:$G$1024</definedName>
  </definedNames>
  <calcPr calcId="152511"/>
</workbook>
</file>

<file path=xl/calcChain.xml><?xml version="1.0" encoding="utf-8"?>
<calcChain xmlns="http://schemas.openxmlformats.org/spreadsheetml/2006/main">
  <c r="A156" i="22" l="1"/>
  <c r="B156" i="22"/>
  <c r="C156" i="22"/>
  <c r="D156" i="22"/>
  <c r="E156" i="22"/>
  <c r="F156" i="22"/>
  <c r="G156" i="22"/>
  <c r="A152" i="22" l="1"/>
  <c r="B152" i="22"/>
  <c r="C152" i="22"/>
  <c r="D152" i="22"/>
  <c r="E152" i="22"/>
  <c r="F152" i="22"/>
  <c r="G152" i="22"/>
  <c r="A153" i="22"/>
  <c r="B153" i="22"/>
  <c r="C153" i="22"/>
  <c r="D153" i="22"/>
  <c r="E153" i="22"/>
  <c r="F153" i="22"/>
  <c r="G153" i="22"/>
  <c r="A154" i="22"/>
  <c r="B154" i="22"/>
  <c r="C154" i="22"/>
  <c r="D154" i="22"/>
  <c r="E154" i="22"/>
  <c r="F154" i="22"/>
  <c r="G154" i="22"/>
  <c r="A155" i="22"/>
  <c r="B155" i="22"/>
  <c r="C155" i="22"/>
  <c r="D155" i="22"/>
  <c r="E155" i="22"/>
  <c r="F155" i="22"/>
  <c r="G155" i="22"/>
  <c r="A149" i="22"/>
  <c r="B149" i="22"/>
  <c r="C149" i="22"/>
  <c r="D149" i="22"/>
  <c r="E149" i="22"/>
  <c r="F149" i="22"/>
  <c r="G149" i="22"/>
  <c r="A150" i="22"/>
  <c r="B150" i="22"/>
  <c r="C150" i="22"/>
  <c r="D150" i="22"/>
  <c r="E150" i="22"/>
  <c r="F150" i="22"/>
  <c r="G150" i="22"/>
  <c r="A151" i="22"/>
  <c r="B151" i="22"/>
  <c r="C151" i="22"/>
  <c r="D151" i="22"/>
  <c r="E151" i="22"/>
  <c r="F151" i="22"/>
  <c r="G151" i="22"/>
  <c r="A135" i="22"/>
  <c r="B135" i="22"/>
  <c r="C135" i="22"/>
  <c r="D135" i="22"/>
  <c r="E135" i="22"/>
  <c r="F135" i="22"/>
  <c r="G135" i="22"/>
  <c r="A136" i="22"/>
  <c r="B136" i="22"/>
  <c r="C136" i="22"/>
  <c r="D136" i="22"/>
  <c r="E136" i="22"/>
  <c r="F136" i="22"/>
  <c r="G136" i="22"/>
  <c r="A137" i="22"/>
  <c r="B137" i="22"/>
  <c r="C137" i="22"/>
  <c r="D137" i="22"/>
  <c r="E137" i="22"/>
  <c r="F137" i="22"/>
  <c r="G137" i="22"/>
  <c r="A138" i="22"/>
  <c r="B138" i="22"/>
  <c r="C138" i="22"/>
  <c r="D138" i="22"/>
  <c r="E138" i="22"/>
  <c r="F138" i="22"/>
  <c r="G138" i="22"/>
  <c r="A139" i="22"/>
  <c r="B139" i="22"/>
  <c r="C139" i="22"/>
  <c r="D139" i="22"/>
  <c r="E139" i="22"/>
  <c r="F139" i="22"/>
  <c r="G139" i="22"/>
  <c r="A140" i="22"/>
  <c r="B140" i="22"/>
  <c r="C140" i="22"/>
  <c r="D140" i="22"/>
  <c r="E140" i="22"/>
  <c r="A141" i="22"/>
  <c r="B141" i="22"/>
  <c r="C141" i="22"/>
  <c r="D141" i="22"/>
  <c r="E141" i="22"/>
  <c r="F141" i="22"/>
  <c r="G141" i="22"/>
  <c r="A142" i="22"/>
  <c r="B142" i="22"/>
  <c r="C142" i="22"/>
  <c r="D142" i="22"/>
  <c r="E142" i="22"/>
  <c r="F142" i="22"/>
  <c r="G142" i="22"/>
  <c r="A143" i="22"/>
  <c r="B143" i="22"/>
  <c r="C143" i="22"/>
  <c r="D143" i="22"/>
  <c r="E143" i="22"/>
  <c r="F143" i="22"/>
  <c r="G143" i="22"/>
  <c r="A144" i="22"/>
  <c r="B144" i="22"/>
  <c r="C144" i="22"/>
  <c r="D144" i="22"/>
  <c r="E144" i="22"/>
  <c r="F144" i="22"/>
  <c r="G144" i="22"/>
  <c r="A145" i="22"/>
  <c r="B145" i="22"/>
  <c r="C145" i="22"/>
  <c r="D145" i="22"/>
  <c r="E145" i="22"/>
  <c r="F145" i="22"/>
  <c r="G145" i="22"/>
  <c r="A146" i="22"/>
  <c r="B146" i="22"/>
  <c r="C146" i="22"/>
  <c r="D146" i="22"/>
  <c r="E146" i="22"/>
  <c r="F146" i="22"/>
  <c r="G146" i="22"/>
  <c r="A147" i="22"/>
  <c r="B147" i="22"/>
  <c r="C147" i="22"/>
  <c r="D147" i="22"/>
  <c r="E147" i="22"/>
  <c r="F147" i="22"/>
  <c r="G147" i="22"/>
  <c r="A148" i="22"/>
  <c r="B148" i="22"/>
  <c r="C148" i="22"/>
  <c r="D148" i="22"/>
  <c r="E148" i="22"/>
  <c r="F148" i="22"/>
  <c r="G148" i="22"/>
  <c r="C14" i="19" l="1"/>
  <c r="F30" i="19" l="1"/>
  <c r="L17" i="18" l="1"/>
  <c r="Y5" i="1" l="1"/>
  <c r="Y6" i="1"/>
  <c r="F35" i="19" l="1"/>
  <c r="E14" i="19" s="1"/>
  <c r="F34" i="19"/>
  <c r="F33" i="19"/>
  <c r="F32" i="19"/>
  <c r="F31" i="19"/>
  <c r="F22" i="19"/>
  <c r="F23" i="19"/>
  <c r="F24" i="19"/>
  <c r="F25" i="19"/>
  <c r="F21" i="19"/>
  <c r="B3" i="23" l="1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" i="23"/>
  <c r="E206" i="23"/>
  <c r="I206" i="23"/>
  <c r="E207" i="23"/>
  <c r="I207" i="23"/>
  <c r="E208" i="23"/>
  <c r="I208" i="23"/>
  <c r="E209" i="23"/>
  <c r="I209" i="23"/>
  <c r="E210" i="23"/>
  <c r="I210" i="23"/>
  <c r="E211" i="23"/>
  <c r="I211" i="23"/>
  <c r="E212" i="23"/>
  <c r="I212" i="23"/>
  <c r="E31" i="23"/>
  <c r="I31" i="23"/>
  <c r="E32" i="23"/>
  <c r="I32" i="23"/>
  <c r="E33" i="23"/>
  <c r="I33" i="23"/>
  <c r="E34" i="23"/>
  <c r="I34" i="23"/>
  <c r="E35" i="23"/>
  <c r="I35" i="23"/>
  <c r="E36" i="23"/>
  <c r="I36" i="23"/>
  <c r="E37" i="23"/>
  <c r="I37" i="23"/>
  <c r="E38" i="23"/>
  <c r="I38" i="23"/>
  <c r="E39" i="23"/>
  <c r="I39" i="23"/>
  <c r="E40" i="23"/>
  <c r="I40" i="23"/>
  <c r="E41" i="23"/>
  <c r="I41" i="23"/>
  <c r="E42" i="23"/>
  <c r="I42" i="23"/>
  <c r="E43" i="23"/>
  <c r="I43" i="23"/>
  <c r="E44" i="23"/>
  <c r="I44" i="23"/>
  <c r="E45" i="23"/>
  <c r="I45" i="23"/>
  <c r="E46" i="23"/>
  <c r="I46" i="23"/>
  <c r="E47" i="23"/>
  <c r="I47" i="23"/>
  <c r="E48" i="23"/>
  <c r="I48" i="23"/>
  <c r="E49" i="23"/>
  <c r="I49" i="23"/>
  <c r="E50" i="23"/>
  <c r="I50" i="23"/>
  <c r="E51" i="23"/>
  <c r="I51" i="23"/>
  <c r="E52" i="23"/>
  <c r="I52" i="23"/>
  <c r="E53" i="23"/>
  <c r="I53" i="23"/>
  <c r="E54" i="23"/>
  <c r="I54" i="23"/>
  <c r="E55" i="23"/>
  <c r="I55" i="23"/>
  <c r="E56" i="23"/>
  <c r="I56" i="23"/>
  <c r="E57" i="23"/>
  <c r="I57" i="23"/>
  <c r="E58" i="23"/>
  <c r="I58" i="23"/>
  <c r="E59" i="23"/>
  <c r="I59" i="23"/>
  <c r="E60" i="23"/>
  <c r="I60" i="23"/>
  <c r="E61" i="23"/>
  <c r="I61" i="23"/>
  <c r="E62" i="23"/>
  <c r="I62" i="23"/>
  <c r="E63" i="23"/>
  <c r="I63" i="23"/>
  <c r="E64" i="23"/>
  <c r="I64" i="23"/>
  <c r="E65" i="23"/>
  <c r="I65" i="23"/>
  <c r="E66" i="23"/>
  <c r="I66" i="23"/>
  <c r="E67" i="23"/>
  <c r="I67" i="23"/>
  <c r="E68" i="23"/>
  <c r="I68" i="23"/>
  <c r="E69" i="23"/>
  <c r="I69" i="23"/>
  <c r="E70" i="23"/>
  <c r="I70" i="23"/>
  <c r="E71" i="23"/>
  <c r="I71" i="23"/>
  <c r="E72" i="23"/>
  <c r="I72" i="23"/>
  <c r="E73" i="23"/>
  <c r="I73" i="23"/>
  <c r="E74" i="23"/>
  <c r="I74" i="23"/>
  <c r="E75" i="23"/>
  <c r="I75" i="23"/>
  <c r="E76" i="23"/>
  <c r="I76" i="23"/>
  <c r="E77" i="23"/>
  <c r="I77" i="23"/>
  <c r="E78" i="23"/>
  <c r="I78" i="23"/>
  <c r="E79" i="23"/>
  <c r="I79" i="23"/>
  <c r="E80" i="23"/>
  <c r="I80" i="23"/>
  <c r="E81" i="23"/>
  <c r="I81" i="23"/>
  <c r="E82" i="23"/>
  <c r="I82" i="23"/>
  <c r="E83" i="23"/>
  <c r="I83" i="23"/>
  <c r="E84" i="23"/>
  <c r="I84" i="23"/>
  <c r="E85" i="23"/>
  <c r="I85" i="23"/>
  <c r="E86" i="23"/>
  <c r="I86" i="23"/>
  <c r="E87" i="23"/>
  <c r="I87" i="23"/>
  <c r="E88" i="23"/>
  <c r="I88" i="23"/>
  <c r="E89" i="23"/>
  <c r="I89" i="23"/>
  <c r="E90" i="23"/>
  <c r="I90" i="23"/>
  <c r="E91" i="23"/>
  <c r="I91" i="23"/>
  <c r="E92" i="23"/>
  <c r="I92" i="23"/>
  <c r="E93" i="23"/>
  <c r="I93" i="23"/>
  <c r="E94" i="23"/>
  <c r="I94" i="23"/>
  <c r="E95" i="23"/>
  <c r="I95" i="23"/>
  <c r="E96" i="23"/>
  <c r="I96" i="23"/>
  <c r="E97" i="23"/>
  <c r="I97" i="23"/>
  <c r="E98" i="23"/>
  <c r="I98" i="23"/>
  <c r="E99" i="23"/>
  <c r="I99" i="23"/>
  <c r="E100" i="23"/>
  <c r="I100" i="23"/>
  <c r="E101" i="23"/>
  <c r="I101" i="23"/>
  <c r="E102" i="23"/>
  <c r="I102" i="23"/>
  <c r="E103" i="23"/>
  <c r="I103" i="23"/>
  <c r="E104" i="23"/>
  <c r="I104" i="23"/>
  <c r="E105" i="23"/>
  <c r="I105" i="23"/>
  <c r="E106" i="23"/>
  <c r="I106" i="23"/>
  <c r="E107" i="23"/>
  <c r="I107" i="23"/>
  <c r="E108" i="23"/>
  <c r="I108" i="23"/>
  <c r="E109" i="23"/>
  <c r="I109" i="23"/>
  <c r="E110" i="23"/>
  <c r="I110" i="23"/>
  <c r="E111" i="23"/>
  <c r="I111" i="23"/>
  <c r="E112" i="23"/>
  <c r="I112" i="23"/>
  <c r="E113" i="23"/>
  <c r="I113" i="23"/>
  <c r="E114" i="23"/>
  <c r="I114" i="23"/>
  <c r="E115" i="23"/>
  <c r="I115" i="23"/>
  <c r="E116" i="23"/>
  <c r="I116" i="23"/>
  <c r="E117" i="23"/>
  <c r="I117" i="23"/>
  <c r="E118" i="23"/>
  <c r="I118" i="23"/>
  <c r="E119" i="23"/>
  <c r="I119" i="23"/>
  <c r="E120" i="23"/>
  <c r="I120" i="23"/>
  <c r="E121" i="23"/>
  <c r="I121" i="23"/>
  <c r="E122" i="23"/>
  <c r="I122" i="23"/>
  <c r="E123" i="23"/>
  <c r="I123" i="23"/>
  <c r="E124" i="23"/>
  <c r="I124" i="23"/>
  <c r="E125" i="23"/>
  <c r="I125" i="23"/>
  <c r="E126" i="23"/>
  <c r="I126" i="23"/>
  <c r="E127" i="23"/>
  <c r="I127" i="23"/>
  <c r="E128" i="23"/>
  <c r="I128" i="23"/>
  <c r="E129" i="23"/>
  <c r="I129" i="23"/>
  <c r="E130" i="23"/>
  <c r="I130" i="23"/>
  <c r="E131" i="23"/>
  <c r="I131" i="23"/>
  <c r="E132" i="23"/>
  <c r="I132" i="23"/>
  <c r="E133" i="23"/>
  <c r="I133" i="23"/>
  <c r="E134" i="23"/>
  <c r="I134" i="23"/>
  <c r="E135" i="23"/>
  <c r="I135" i="23"/>
  <c r="E136" i="23"/>
  <c r="I136" i="23"/>
  <c r="E137" i="23"/>
  <c r="I137" i="23"/>
  <c r="E138" i="23"/>
  <c r="I138" i="23"/>
  <c r="E139" i="23"/>
  <c r="I139" i="23"/>
  <c r="E140" i="23"/>
  <c r="I140" i="23"/>
  <c r="E141" i="23"/>
  <c r="I141" i="23"/>
  <c r="E142" i="23"/>
  <c r="I142" i="23"/>
  <c r="E143" i="23"/>
  <c r="I143" i="23"/>
  <c r="E144" i="23"/>
  <c r="I144" i="23"/>
  <c r="E145" i="23"/>
  <c r="I145" i="23"/>
  <c r="E146" i="23"/>
  <c r="I146" i="23"/>
  <c r="E147" i="23"/>
  <c r="I147" i="23"/>
  <c r="E148" i="23"/>
  <c r="I148" i="23"/>
  <c r="E149" i="23"/>
  <c r="I149" i="23"/>
  <c r="E150" i="23"/>
  <c r="I150" i="23"/>
  <c r="E151" i="23"/>
  <c r="I151" i="23"/>
  <c r="E152" i="23"/>
  <c r="I152" i="23"/>
  <c r="E153" i="23"/>
  <c r="I153" i="23"/>
  <c r="E154" i="23"/>
  <c r="I154" i="23"/>
  <c r="E155" i="23"/>
  <c r="I155" i="23"/>
  <c r="E156" i="23"/>
  <c r="I156" i="23"/>
  <c r="E157" i="23"/>
  <c r="I157" i="23"/>
  <c r="E158" i="23"/>
  <c r="I158" i="23"/>
  <c r="E159" i="23"/>
  <c r="I159" i="23"/>
  <c r="E160" i="23"/>
  <c r="I160" i="23"/>
  <c r="E161" i="23"/>
  <c r="I161" i="23"/>
  <c r="E162" i="23"/>
  <c r="I162" i="23"/>
  <c r="E163" i="23"/>
  <c r="I163" i="23"/>
  <c r="E164" i="23"/>
  <c r="I164" i="23"/>
  <c r="E165" i="23"/>
  <c r="I165" i="23"/>
  <c r="E166" i="23"/>
  <c r="I166" i="23"/>
  <c r="E167" i="23"/>
  <c r="I167" i="23"/>
  <c r="E168" i="23"/>
  <c r="I168" i="23"/>
  <c r="E169" i="23"/>
  <c r="I169" i="23"/>
  <c r="E170" i="23"/>
  <c r="I170" i="23"/>
  <c r="E171" i="23"/>
  <c r="I171" i="23"/>
  <c r="E172" i="23"/>
  <c r="I172" i="23"/>
  <c r="E173" i="23"/>
  <c r="I173" i="23"/>
  <c r="E174" i="23"/>
  <c r="I174" i="23"/>
  <c r="E175" i="23"/>
  <c r="I175" i="23"/>
  <c r="E176" i="23"/>
  <c r="I176" i="23"/>
  <c r="E177" i="23"/>
  <c r="I177" i="23"/>
  <c r="E178" i="23"/>
  <c r="I178" i="23"/>
  <c r="E179" i="23"/>
  <c r="I179" i="23"/>
  <c r="E180" i="23"/>
  <c r="I180" i="23"/>
  <c r="E181" i="23"/>
  <c r="I181" i="23"/>
  <c r="E182" i="23"/>
  <c r="I182" i="23"/>
  <c r="E183" i="23"/>
  <c r="I183" i="23"/>
  <c r="E184" i="23"/>
  <c r="I184" i="23"/>
  <c r="E185" i="23"/>
  <c r="I185" i="23"/>
  <c r="E186" i="23"/>
  <c r="I186" i="23"/>
  <c r="E187" i="23"/>
  <c r="I187" i="23"/>
  <c r="E188" i="23"/>
  <c r="I188" i="23"/>
  <c r="E189" i="23"/>
  <c r="I189" i="23"/>
  <c r="E190" i="23"/>
  <c r="I190" i="23"/>
  <c r="E191" i="23"/>
  <c r="I191" i="23"/>
  <c r="E192" i="23"/>
  <c r="I192" i="23"/>
  <c r="E193" i="23"/>
  <c r="I193" i="23"/>
  <c r="E194" i="23"/>
  <c r="I194" i="23"/>
  <c r="E195" i="23"/>
  <c r="I195" i="23"/>
  <c r="E196" i="23"/>
  <c r="I196" i="23"/>
  <c r="E197" i="23"/>
  <c r="I197" i="23"/>
  <c r="E198" i="23"/>
  <c r="I198" i="23"/>
  <c r="E199" i="23"/>
  <c r="I199" i="23"/>
  <c r="E200" i="23"/>
  <c r="I200" i="23"/>
  <c r="E201" i="23"/>
  <c r="I201" i="23"/>
  <c r="E202" i="23"/>
  <c r="I202" i="23"/>
  <c r="E203" i="23"/>
  <c r="I203" i="23"/>
  <c r="E204" i="23"/>
  <c r="I204" i="23"/>
  <c r="E205" i="23"/>
  <c r="I205" i="23"/>
  <c r="A4" i="23"/>
  <c r="C4" i="23"/>
  <c r="E4" i="23"/>
  <c r="I4" i="23"/>
  <c r="E5" i="23"/>
  <c r="I5" i="23"/>
  <c r="E6" i="23"/>
  <c r="I6" i="23"/>
  <c r="E7" i="23"/>
  <c r="I7" i="23"/>
  <c r="E8" i="23"/>
  <c r="I8" i="23"/>
  <c r="E9" i="23"/>
  <c r="I9" i="23"/>
  <c r="E10" i="23"/>
  <c r="I10" i="23"/>
  <c r="E11" i="23"/>
  <c r="I11" i="23"/>
  <c r="E12" i="23"/>
  <c r="I12" i="23"/>
  <c r="E13" i="23"/>
  <c r="I13" i="23"/>
  <c r="E14" i="23"/>
  <c r="I14" i="23"/>
  <c r="E15" i="23"/>
  <c r="I15" i="23"/>
  <c r="E16" i="23"/>
  <c r="I16" i="23"/>
  <c r="E17" i="23"/>
  <c r="I17" i="23"/>
  <c r="E18" i="23"/>
  <c r="I18" i="23"/>
  <c r="E19" i="23"/>
  <c r="I19" i="23"/>
  <c r="E20" i="23"/>
  <c r="I20" i="23"/>
  <c r="E21" i="23"/>
  <c r="I21" i="23"/>
  <c r="E22" i="23"/>
  <c r="I22" i="23"/>
  <c r="E23" i="23"/>
  <c r="I23" i="23"/>
  <c r="E24" i="23"/>
  <c r="I24" i="23"/>
  <c r="E25" i="23"/>
  <c r="I25" i="23"/>
  <c r="E26" i="23"/>
  <c r="I26" i="23"/>
  <c r="E27" i="23"/>
  <c r="I27" i="23"/>
  <c r="E28" i="23"/>
  <c r="I28" i="23"/>
  <c r="E29" i="23"/>
  <c r="I29" i="23"/>
  <c r="E30" i="23"/>
  <c r="I30" i="23"/>
  <c r="H9" i="28" l="1"/>
  <c r="H10" i="28"/>
  <c r="H11" i="28"/>
  <c r="H12" i="28"/>
  <c r="H13" i="28"/>
  <c r="H14" i="28"/>
  <c r="H15" i="28"/>
  <c r="H16" i="28"/>
  <c r="H17" i="28"/>
  <c r="H18" i="28"/>
  <c r="H19" i="28"/>
  <c r="H20" i="28"/>
  <c r="H3" i="28"/>
  <c r="H4" i="28"/>
  <c r="H5" i="28"/>
  <c r="H6" i="28"/>
  <c r="H7" i="28"/>
  <c r="H8" i="28"/>
  <c r="A3" i="23" l="1"/>
  <c r="C3" i="23"/>
  <c r="E3" i="23"/>
  <c r="I3" i="23"/>
  <c r="C24" i="2" l="1"/>
  <c r="B253" i="34" l="1"/>
  <c r="B254" i="34" l="1"/>
  <c r="B255" i="34"/>
  <c r="M2" i="34" l="1"/>
  <c r="M3" i="34"/>
  <c r="N3" i="34" s="1"/>
  <c r="M4" i="34"/>
  <c r="N4" i="34" s="1"/>
  <c r="M5" i="34"/>
  <c r="N5" i="34" s="1"/>
  <c r="M6" i="34"/>
  <c r="N6" i="34" s="1"/>
  <c r="M7" i="34"/>
  <c r="N7" i="34" s="1"/>
  <c r="M8" i="34"/>
  <c r="N8" i="34" s="1"/>
  <c r="M9" i="34"/>
  <c r="N9" i="34" s="1"/>
  <c r="M10" i="34"/>
  <c r="M11" i="34"/>
  <c r="N11" i="34" s="1"/>
  <c r="M12" i="34"/>
  <c r="N12" i="34" s="1"/>
  <c r="M13" i="34"/>
  <c r="N13" i="34" s="1"/>
  <c r="M14" i="34"/>
  <c r="N14" i="34" s="1"/>
  <c r="M15" i="34"/>
  <c r="N15" i="34" s="1"/>
  <c r="M16" i="34"/>
  <c r="N16" i="34" s="1"/>
  <c r="M17" i="34"/>
  <c r="M18" i="34"/>
  <c r="M19" i="34"/>
  <c r="N19" i="34" s="1"/>
  <c r="M20" i="34"/>
  <c r="N20" i="34" s="1"/>
  <c r="N17" i="34"/>
  <c r="N2" i="34"/>
  <c r="N10" i="34"/>
  <c r="N18" i="34"/>
  <c r="M21" i="34" l="1"/>
  <c r="M22" i="34"/>
  <c r="C337" i="34"/>
  <c r="C338" i="34"/>
  <c r="C339" i="34"/>
  <c r="C340" i="34"/>
  <c r="C341" i="34"/>
  <c r="C342" i="34"/>
  <c r="C343" i="34"/>
  <c r="C344" i="34"/>
  <c r="C345" i="34"/>
  <c r="C346" i="34"/>
  <c r="C347" i="34"/>
  <c r="B172" i="34"/>
  <c r="C172" i="34"/>
  <c r="A328" i="34"/>
  <c r="A329" i="34"/>
  <c r="A330" i="34"/>
  <c r="A331" i="34"/>
  <c r="A332" i="34"/>
  <c r="A333" i="34"/>
  <c r="A334" i="34"/>
  <c r="A335" i="34"/>
  <c r="A336" i="34"/>
  <c r="A337" i="34"/>
  <c r="D337" i="34" s="1"/>
  <c r="E337" i="34" s="1"/>
  <c r="A338" i="34"/>
  <c r="D338" i="34" s="1"/>
  <c r="E338" i="34" s="1"/>
  <c r="A339" i="34"/>
  <c r="D339" i="34" s="1"/>
  <c r="E339" i="34" s="1"/>
  <c r="A340" i="34"/>
  <c r="D340" i="34" s="1"/>
  <c r="E340" i="34" s="1"/>
  <c r="A341" i="34"/>
  <c r="D341" i="34" s="1"/>
  <c r="E341" i="34" s="1"/>
  <c r="A342" i="34"/>
  <c r="D342" i="34" s="1"/>
  <c r="E342" i="34" s="1"/>
  <c r="A343" i="34"/>
  <c r="D343" i="34" s="1"/>
  <c r="E343" i="34" s="1"/>
  <c r="A344" i="34"/>
  <c r="D344" i="34" s="1"/>
  <c r="E344" i="34" s="1"/>
  <c r="A345" i="34"/>
  <c r="D345" i="34" s="1"/>
  <c r="E345" i="34" s="1"/>
  <c r="A346" i="34"/>
  <c r="D346" i="34" s="1"/>
  <c r="E346" i="34" s="1"/>
  <c r="A347" i="34"/>
  <c r="D347" i="34" s="1"/>
  <c r="E347" i="34" s="1"/>
  <c r="A321" i="34"/>
  <c r="A322" i="34"/>
  <c r="A323" i="34"/>
  <c r="A324" i="34"/>
  <c r="A325" i="34"/>
  <c r="A326" i="34"/>
  <c r="A327" i="34"/>
  <c r="A302" i="34"/>
  <c r="A303" i="34"/>
  <c r="A304" i="34"/>
  <c r="A305" i="34"/>
  <c r="A306" i="34"/>
  <c r="A307" i="34"/>
  <c r="A308" i="34"/>
  <c r="A309" i="34"/>
  <c r="A310" i="34"/>
  <c r="A311" i="34"/>
  <c r="A312" i="34"/>
  <c r="A313" i="34"/>
  <c r="A314" i="34"/>
  <c r="A315" i="34"/>
  <c r="A316" i="34"/>
  <c r="A317" i="34"/>
  <c r="A318" i="34"/>
  <c r="A319" i="34"/>
  <c r="A320" i="34"/>
  <c r="A279" i="34"/>
  <c r="A280" i="34"/>
  <c r="A281" i="34"/>
  <c r="A282" i="34"/>
  <c r="A283" i="34"/>
  <c r="A284" i="34"/>
  <c r="A285" i="34"/>
  <c r="A286" i="34"/>
  <c r="A287" i="34"/>
  <c r="A288" i="34"/>
  <c r="A289" i="34"/>
  <c r="A290" i="34"/>
  <c r="A291" i="34"/>
  <c r="A292" i="34"/>
  <c r="A293" i="34"/>
  <c r="A294" i="34"/>
  <c r="A295" i="34"/>
  <c r="A296" i="34"/>
  <c r="A297" i="34"/>
  <c r="A298" i="34"/>
  <c r="A299" i="34"/>
  <c r="A300" i="34"/>
  <c r="A301" i="34"/>
  <c r="A247" i="34"/>
  <c r="D247" i="34" s="1"/>
  <c r="E247" i="34" s="1"/>
  <c r="A248" i="34"/>
  <c r="D248" i="34" s="1"/>
  <c r="A249" i="34"/>
  <c r="D249" i="34" s="1"/>
  <c r="A250" i="34"/>
  <c r="D250" i="34" s="1"/>
  <c r="A251" i="34"/>
  <c r="D251" i="34" s="1"/>
  <c r="E251" i="34" s="1"/>
  <c r="A252" i="34"/>
  <c r="D252" i="34" s="1"/>
  <c r="A253" i="34"/>
  <c r="D253" i="34" s="1"/>
  <c r="E253" i="34" s="1"/>
  <c r="A254" i="34"/>
  <c r="D254" i="34" s="1"/>
  <c r="E254" i="34" s="1"/>
  <c r="A255" i="34"/>
  <c r="D255" i="34" s="1"/>
  <c r="E255" i="34" s="1"/>
  <c r="A256" i="34"/>
  <c r="D256" i="34" s="1"/>
  <c r="A257" i="34"/>
  <c r="D257" i="34" s="1"/>
  <c r="A258" i="34"/>
  <c r="D258" i="34" s="1"/>
  <c r="A259" i="34"/>
  <c r="D259" i="34" s="1"/>
  <c r="A260" i="34"/>
  <c r="D260" i="34" s="1"/>
  <c r="A261" i="34"/>
  <c r="D261" i="34" s="1"/>
  <c r="A262" i="34"/>
  <c r="D262" i="34" s="1"/>
  <c r="A263" i="34"/>
  <c r="D263" i="34" s="1"/>
  <c r="A264" i="34"/>
  <c r="D264" i="34" s="1"/>
  <c r="A265" i="34"/>
  <c r="A266" i="34"/>
  <c r="A267" i="34"/>
  <c r="A268" i="34"/>
  <c r="A269" i="34"/>
  <c r="A270" i="34"/>
  <c r="A271" i="34"/>
  <c r="A272" i="34"/>
  <c r="A273" i="34"/>
  <c r="A274" i="34"/>
  <c r="A275" i="34"/>
  <c r="A276" i="34"/>
  <c r="A277" i="34"/>
  <c r="A278" i="34"/>
  <c r="A173" i="34"/>
  <c r="D173" i="34" s="1"/>
  <c r="E173" i="34" s="1"/>
  <c r="A174" i="34"/>
  <c r="D174" i="34" s="1"/>
  <c r="A175" i="34"/>
  <c r="D175" i="34" s="1"/>
  <c r="E175" i="34" s="1"/>
  <c r="A176" i="34"/>
  <c r="D176" i="34" s="1"/>
  <c r="E176" i="34" s="1"/>
  <c r="A177" i="34"/>
  <c r="D177" i="34" s="1"/>
  <c r="A178" i="34"/>
  <c r="D178" i="34" s="1"/>
  <c r="A179" i="34"/>
  <c r="D179" i="34" s="1"/>
  <c r="E179" i="34" s="1"/>
  <c r="A180" i="34"/>
  <c r="D180" i="34" s="1"/>
  <c r="A181" i="34"/>
  <c r="D181" i="34" s="1"/>
  <c r="A182" i="34"/>
  <c r="D182" i="34" s="1"/>
  <c r="E182" i="34" s="1"/>
  <c r="A183" i="34"/>
  <c r="D183" i="34" s="1"/>
  <c r="A184" i="34"/>
  <c r="D184" i="34" s="1"/>
  <c r="A185" i="34"/>
  <c r="D185" i="34" s="1"/>
  <c r="E185" i="34" s="1"/>
  <c r="A186" i="34"/>
  <c r="D186" i="34" s="1"/>
  <c r="A187" i="34"/>
  <c r="D187" i="34" s="1"/>
  <c r="E187" i="34" s="1"/>
  <c r="A188" i="34"/>
  <c r="D188" i="34" s="1"/>
  <c r="A189" i="34"/>
  <c r="D189" i="34" s="1"/>
  <c r="E189" i="34" s="1"/>
  <c r="A190" i="34"/>
  <c r="D190" i="34" s="1"/>
  <c r="A191" i="34"/>
  <c r="D191" i="34" s="1"/>
  <c r="A192" i="34"/>
  <c r="D192" i="34" s="1"/>
  <c r="E192" i="34" s="1"/>
  <c r="A193" i="34"/>
  <c r="D193" i="34" s="1"/>
  <c r="E193" i="34" s="1"/>
  <c r="A194" i="34"/>
  <c r="D194" i="34" s="1"/>
  <c r="A195" i="34"/>
  <c r="D195" i="34" s="1"/>
  <c r="E195" i="34" s="1"/>
  <c r="A196" i="34"/>
  <c r="D196" i="34" s="1"/>
  <c r="A197" i="34"/>
  <c r="D197" i="34" s="1"/>
  <c r="E197" i="34" s="1"/>
  <c r="A198" i="34"/>
  <c r="D198" i="34" s="1"/>
  <c r="A199" i="34"/>
  <c r="D199" i="34" s="1"/>
  <c r="A200" i="34"/>
  <c r="D200" i="34" s="1"/>
  <c r="E200" i="34" s="1"/>
  <c r="A201" i="34"/>
  <c r="D201" i="34" s="1"/>
  <c r="A202" i="34"/>
  <c r="D202" i="34" s="1"/>
  <c r="A203" i="34"/>
  <c r="D203" i="34" s="1"/>
  <c r="E203" i="34" s="1"/>
  <c r="A204" i="34"/>
  <c r="D204" i="34" s="1"/>
  <c r="E204" i="34" s="1"/>
  <c r="A205" i="34"/>
  <c r="D205" i="34" s="1"/>
  <c r="A206" i="34"/>
  <c r="D206" i="34" s="1"/>
  <c r="E206" i="34" s="1"/>
  <c r="A207" i="34"/>
  <c r="D207" i="34" s="1"/>
  <c r="A208" i="34"/>
  <c r="D208" i="34" s="1"/>
  <c r="E208" i="34" s="1"/>
  <c r="A209" i="34"/>
  <c r="D209" i="34" s="1"/>
  <c r="A210" i="34"/>
  <c r="D210" i="34" s="1"/>
  <c r="A211" i="34"/>
  <c r="D211" i="34" s="1"/>
  <c r="E211" i="34" s="1"/>
  <c r="A212" i="34"/>
  <c r="D212" i="34" s="1"/>
  <c r="A213" i="34"/>
  <c r="D213" i="34" s="1"/>
  <c r="A214" i="34"/>
  <c r="D214" i="34" s="1"/>
  <c r="E214" i="34" s="1"/>
  <c r="A215" i="34"/>
  <c r="D215" i="34" s="1"/>
  <c r="E215" i="34" s="1"/>
  <c r="A216" i="34"/>
  <c r="D216" i="34" s="1"/>
  <c r="A217" i="34"/>
  <c r="D217" i="34" s="1"/>
  <c r="A218" i="34"/>
  <c r="D218" i="34" s="1"/>
  <c r="E218" i="34" s="1"/>
  <c r="A219" i="34"/>
  <c r="D219" i="34" s="1"/>
  <c r="A220" i="34"/>
  <c r="D220" i="34" s="1"/>
  <c r="A221" i="34"/>
  <c r="D221" i="34" s="1"/>
  <c r="E221" i="34" s="1"/>
  <c r="A222" i="34"/>
  <c r="D222" i="34" s="1"/>
  <c r="A223" i="34"/>
  <c r="D223" i="34" s="1"/>
  <c r="A224" i="34"/>
  <c r="D224" i="34" s="1"/>
  <c r="E224" i="34" s="1"/>
  <c r="A225" i="34"/>
  <c r="D225" i="34" s="1"/>
  <c r="E225" i="34" s="1"/>
  <c r="A226" i="34"/>
  <c r="D226" i="34" s="1"/>
  <c r="A227" i="34"/>
  <c r="D227" i="34" s="1"/>
  <c r="A228" i="34"/>
  <c r="D228" i="34" s="1"/>
  <c r="E228" i="34" s="1"/>
  <c r="A229" i="34"/>
  <c r="D229" i="34" s="1"/>
  <c r="A230" i="34"/>
  <c r="D230" i="34" s="1"/>
  <c r="A231" i="34"/>
  <c r="D231" i="34" s="1"/>
  <c r="A232" i="34"/>
  <c r="D232" i="34" s="1"/>
  <c r="E232" i="34" s="1"/>
  <c r="A233" i="34"/>
  <c r="D233" i="34" s="1"/>
  <c r="A234" i="34"/>
  <c r="D234" i="34" s="1"/>
  <c r="E234" i="34" s="1"/>
  <c r="A235" i="34"/>
  <c r="D235" i="34" s="1"/>
  <c r="E235" i="34" s="1"/>
  <c r="A236" i="34"/>
  <c r="D236" i="34" s="1"/>
  <c r="A237" i="34"/>
  <c r="D237" i="34" s="1"/>
  <c r="A238" i="34"/>
  <c r="D238" i="34" s="1"/>
  <c r="A239" i="34"/>
  <c r="D239" i="34" s="1"/>
  <c r="A240" i="34"/>
  <c r="D240" i="34" s="1"/>
  <c r="E240" i="34" s="1"/>
  <c r="A241" i="34"/>
  <c r="D241" i="34" s="1"/>
  <c r="A242" i="34"/>
  <c r="D242" i="34" s="1"/>
  <c r="A243" i="34"/>
  <c r="D243" i="34" s="1"/>
  <c r="E243" i="34" s="1"/>
  <c r="A244" i="34"/>
  <c r="D244" i="34" s="1"/>
  <c r="A245" i="34"/>
  <c r="D245" i="34" s="1"/>
  <c r="A246" i="34"/>
  <c r="D246" i="34" s="1"/>
  <c r="A172" i="34"/>
  <c r="D172" i="34" s="1"/>
  <c r="E172" i="34" s="1"/>
  <c r="M96" i="34"/>
  <c r="N96" i="34" s="1"/>
  <c r="M97" i="34"/>
  <c r="N97" i="34" s="1"/>
  <c r="M98" i="34"/>
  <c r="N98" i="34" s="1"/>
  <c r="M99" i="34"/>
  <c r="N99" i="34" s="1"/>
  <c r="M100" i="34"/>
  <c r="N100" i="34" s="1"/>
  <c r="M101" i="34"/>
  <c r="N101" i="34" s="1"/>
  <c r="M82" i="34"/>
  <c r="N82" i="34" s="1"/>
  <c r="M83" i="34"/>
  <c r="N83" i="34" s="1"/>
  <c r="M84" i="34"/>
  <c r="N84" i="34" s="1"/>
  <c r="M85" i="34"/>
  <c r="N85" i="34" s="1"/>
  <c r="M86" i="34"/>
  <c r="N86" i="34" s="1"/>
  <c r="M87" i="34"/>
  <c r="N87" i="34" s="1"/>
  <c r="M88" i="34"/>
  <c r="N88" i="34" s="1"/>
  <c r="M89" i="34"/>
  <c r="N89" i="34" s="1"/>
  <c r="M90" i="34"/>
  <c r="N90" i="34" s="1"/>
  <c r="M91" i="34"/>
  <c r="N91" i="34" s="1"/>
  <c r="M92" i="34"/>
  <c r="N92" i="34" s="1"/>
  <c r="M93" i="34"/>
  <c r="N93" i="34" s="1"/>
  <c r="M94" i="34"/>
  <c r="N94" i="34" s="1"/>
  <c r="M95" i="34"/>
  <c r="N95" i="34" s="1"/>
  <c r="AM2" i="34" l="1"/>
  <c r="N21" i="34"/>
  <c r="AU37" i="34" l="1"/>
  <c r="AU38" i="34"/>
  <c r="AU39" i="34"/>
  <c r="AU40" i="34"/>
  <c r="AU41" i="34"/>
  <c r="AU42" i="34"/>
  <c r="AU43" i="34"/>
  <c r="AU44" i="34"/>
  <c r="AU45" i="34"/>
  <c r="AU46" i="34"/>
  <c r="AU47" i="34"/>
  <c r="AU48" i="34"/>
  <c r="AU49" i="34"/>
  <c r="AU50" i="34"/>
  <c r="AU51" i="34"/>
  <c r="AU52" i="34"/>
  <c r="AU53" i="34"/>
  <c r="AU54" i="34"/>
  <c r="AU55" i="34"/>
  <c r="AU56" i="34"/>
  <c r="AU57" i="34"/>
  <c r="AU58" i="34"/>
  <c r="AU59" i="34"/>
  <c r="AU60" i="34"/>
  <c r="AU61" i="34"/>
  <c r="AU62" i="34"/>
  <c r="AU63" i="34"/>
  <c r="AU64" i="34"/>
  <c r="AU65" i="34"/>
  <c r="AU66" i="34"/>
  <c r="AU67" i="34"/>
  <c r="AU68" i="34"/>
  <c r="AU69" i="34"/>
  <c r="AU70" i="34"/>
  <c r="AU71" i="34"/>
  <c r="AU72" i="34"/>
  <c r="AU73" i="34"/>
  <c r="AU74" i="34"/>
  <c r="AU75" i="34"/>
  <c r="AU76" i="34"/>
  <c r="AU77" i="34"/>
  <c r="AU78" i="34"/>
  <c r="AU79" i="34"/>
  <c r="AU80" i="34"/>
  <c r="AU81" i="34"/>
  <c r="AU36" i="34"/>
  <c r="AY6" i="34"/>
  <c r="N22" i="34"/>
  <c r="M23" i="34"/>
  <c r="M24" i="34"/>
  <c r="M25" i="34"/>
  <c r="M26" i="34"/>
  <c r="M27" i="34"/>
  <c r="M28" i="34"/>
  <c r="M29" i="34"/>
  <c r="M30" i="34"/>
  <c r="M31" i="34"/>
  <c r="M32" i="34"/>
  <c r="M33" i="34"/>
  <c r="M34" i="34"/>
  <c r="M35" i="34"/>
  <c r="M36" i="34"/>
  <c r="M37" i="34"/>
  <c r="M38" i="34"/>
  <c r="M39" i="34"/>
  <c r="M40" i="34"/>
  <c r="M41" i="34"/>
  <c r="M42" i="34"/>
  <c r="M43" i="34"/>
  <c r="M44" i="34"/>
  <c r="M45" i="34"/>
  <c r="M46" i="34"/>
  <c r="M47" i="34"/>
  <c r="M48" i="34"/>
  <c r="M49" i="34"/>
  <c r="M50" i="34"/>
  <c r="M51" i="34"/>
  <c r="M52" i="34"/>
  <c r="M53" i="34"/>
  <c r="M54" i="34"/>
  <c r="M55" i="34"/>
  <c r="M56" i="34"/>
  <c r="M57" i="34"/>
  <c r="M58" i="34"/>
  <c r="M59" i="34"/>
  <c r="M60" i="34"/>
  <c r="M61" i="34"/>
  <c r="M62" i="34"/>
  <c r="M63" i="34"/>
  <c r="M64" i="34"/>
  <c r="M65" i="34"/>
  <c r="M66" i="34"/>
  <c r="M67" i="34"/>
  <c r="M68" i="34"/>
  <c r="M69" i="34"/>
  <c r="M70" i="34"/>
  <c r="M71" i="34"/>
  <c r="M72" i="34"/>
  <c r="M73" i="34"/>
  <c r="M74" i="34"/>
  <c r="M75" i="34"/>
  <c r="M76" i="34"/>
  <c r="M77" i="34"/>
  <c r="M78" i="34"/>
  <c r="M79" i="34"/>
  <c r="M80" i="34"/>
  <c r="M81" i="34"/>
  <c r="N78" i="34" l="1"/>
  <c r="N62" i="34"/>
  <c r="N54" i="34"/>
  <c r="N46" i="34"/>
  <c r="N38" i="34"/>
  <c r="N30" i="34"/>
  <c r="N77" i="34"/>
  <c r="N69" i="34"/>
  <c r="N61" i="34"/>
  <c r="N53" i="34"/>
  <c r="N45" i="34"/>
  <c r="N37" i="34"/>
  <c r="N29" i="34"/>
  <c r="N76" i="34"/>
  <c r="N68" i="34"/>
  <c r="N60" i="34"/>
  <c r="N52" i="34"/>
  <c r="N44" i="34"/>
  <c r="N36" i="34"/>
  <c r="N28" i="34"/>
  <c r="N70" i="34"/>
  <c r="N75" i="34"/>
  <c r="N67" i="34"/>
  <c r="N59" i="34"/>
  <c r="N51" i="34"/>
  <c r="N43" i="34"/>
  <c r="N35" i="34"/>
  <c r="N27" i="34"/>
  <c r="N74" i="34"/>
  <c r="N66" i="34"/>
  <c r="N58" i="34"/>
  <c r="N50" i="34"/>
  <c r="N42" i="34"/>
  <c r="N34" i="34"/>
  <c r="N26" i="34"/>
  <c r="N81" i="34"/>
  <c r="N73" i="34"/>
  <c r="N65" i="34"/>
  <c r="N57" i="34"/>
  <c r="N49" i="34"/>
  <c r="N41" i="34"/>
  <c r="N33" i="34"/>
  <c r="N25" i="34"/>
  <c r="N80" i="34"/>
  <c r="N72" i="34"/>
  <c r="N64" i="34"/>
  <c r="N56" i="34"/>
  <c r="N48" i="34"/>
  <c r="N40" i="34"/>
  <c r="N32" i="34"/>
  <c r="N24" i="34"/>
  <c r="N79" i="34"/>
  <c r="N71" i="34"/>
  <c r="N63" i="34"/>
  <c r="N55" i="34"/>
  <c r="N47" i="34"/>
  <c r="N39" i="34"/>
  <c r="N31" i="34"/>
  <c r="N23" i="34"/>
  <c r="AY3" i="34" l="1"/>
  <c r="AY4" i="34"/>
  <c r="AY5" i="34"/>
  <c r="AY7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Y39" i="34"/>
  <c r="AY40" i="34"/>
  <c r="AY41" i="34"/>
  <c r="AY42" i="34"/>
  <c r="AY43" i="34"/>
  <c r="AY44" i="34"/>
  <c r="AY45" i="34"/>
  <c r="AY46" i="34"/>
  <c r="AY47" i="34"/>
  <c r="AY48" i="34"/>
  <c r="AY49" i="34"/>
  <c r="AY50" i="34"/>
  <c r="AY51" i="34"/>
  <c r="AY52" i="34"/>
  <c r="AY53" i="34"/>
  <c r="AY54" i="34"/>
  <c r="AY55" i="34"/>
  <c r="AY56" i="34"/>
  <c r="AY57" i="34"/>
  <c r="AY58" i="34"/>
  <c r="AY59" i="34"/>
  <c r="AY60" i="34"/>
  <c r="AY61" i="34"/>
  <c r="AY62" i="34"/>
  <c r="AY63" i="34"/>
  <c r="AY64" i="34"/>
  <c r="AY65" i="34"/>
  <c r="AY66" i="34"/>
  <c r="AY67" i="34"/>
  <c r="AY68" i="34"/>
  <c r="AY69" i="34"/>
  <c r="AY70" i="34"/>
  <c r="AY71" i="34"/>
  <c r="AY72" i="34"/>
  <c r="AY73" i="34"/>
  <c r="AY74" i="34"/>
  <c r="AY75" i="34"/>
  <c r="AY76" i="34"/>
  <c r="AY77" i="34"/>
  <c r="AY78" i="34"/>
  <c r="AY79" i="34"/>
  <c r="AY80" i="34"/>
  <c r="AY81" i="34"/>
  <c r="AY2" i="34"/>
  <c r="AC3" i="34"/>
  <c r="AC4" i="34"/>
  <c r="AC5" i="34"/>
  <c r="AC6" i="34"/>
  <c r="AC7" i="34"/>
  <c r="AC8" i="34"/>
  <c r="AC9" i="34"/>
  <c r="AC10" i="34"/>
  <c r="AC11" i="34"/>
  <c r="AC12" i="34"/>
  <c r="AC13" i="34"/>
  <c r="AC14" i="34"/>
  <c r="AC15" i="34"/>
  <c r="AC16" i="34"/>
  <c r="AC17" i="34"/>
  <c r="AC18" i="34"/>
  <c r="AC19" i="34"/>
  <c r="AC20" i="34"/>
  <c r="AC21" i="34"/>
  <c r="AC22" i="34"/>
  <c r="AC23" i="34"/>
  <c r="AC24" i="34"/>
  <c r="AC25" i="34"/>
  <c r="AC26" i="34"/>
  <c r="AC27" i="34"/>
  <c r="AC28" i="34"/>
  <c r="AC29" i="34"/>
  <c r="AC30" i="34"/>
  <c r="AC31" i="34"/>
  <c r="AC32" i="34"/>
  <c r="AC33" i="34"/>
  <c r="AC34" i="34"/>
  <c r="AC35" i="34"/>
  <c r="AC2" i="34"/>
  <c r="Y22" i="34" l="1"/>
  <c r="Y23" i="34"/>
  <c r="Y24" i="34"/>
  <c r="Y25" i="34"/>
  <c r="Y26" i="34"/>
  <c r="Y27" i="34"/>
  <c r="Y28" i="34"/>
  <c r="Y29" i="34"/>
  <c r="Y30" i="34"/>
  <c r="Y31" i="34"/>
  <c r="Y32" i="34"/>
  <c r="Y33" i="34"/>
  <c r="Y34" i="34"/>
  <c r="Y35" i="34"/>
  <c r="Y36" i="34"/>
  <c r="Y37" i="34"/>
  <c r="Y38" i="34"/>
  <c r="Y39" i="34"/>
  <c r="Y40" i="34"/>
  <c r="Y41" i="34"/>
  <c r="Y42" i="34"/>
  <c r="Y43" i="34"/>
  <c r="Y44" i="34"/>
  <c r="Y45" i="34"/>
  <c r="Y46" i="34"/>
  <c r="Y47" i="34"/>
  <c r="Y48" i="34"/>
  <c r="Y49" i="34"/>
  <c r="Y50" i="34"/>
  <c r="Y51" i="34"/>
  <c r="Y52" i="34"/>
  <c r="Y53" i="34"/>
  <c r="Y54" i="34"/>
  <c r="Y55" i="34"/>
  <c r="Y56" i="34"/>
  <c r="Y57" i="34"/>
  <c r="Y58" i="34"/>
  <c r="Y59" i="34"/>
  <c r="Y60" i="34"/>
  <c r="Y61" i="34"/>
  <c r="Y62" i="34"/>
  <c r="Y63" i="34"/>
  <c r="Y64" i="34"/>
  <c r="Y65" i="34"/>
  <c r="Y66" i="34"/>
  <c r="Y67" i="34"/>
  <c r="Y68" i="34"/>
  <c r="Y69" i="34"/>
  <c r="Y70" i="34"/>
  <c r="Y71" i="34"/>
  <c r="Y72" i="34"/>
  <c r="Y73" i="34"/>
  <c r="Y74" i="34"/>
  <c r="Y75" i="34"/>
  <c r="Y76" i="34"/>
  <c r="Y77" i="34"/>
  <c r="Y78" i="34"/>
  <c r="Y79" i="34"/>
  <c r="Y80" i="34"/>
  <c r="Y81" i="34"/>
  <c r="Y21" i="34"/>
  <c r="Y18" i="34" l="1"/>
  <c r="Y10" i="34"/>
  <c r="AF10" i="34" s="1"/>
  <c r="Y9" i="34"/>
  <c r="AE9" i="34" s="1"/>
  <c r="Y16" i="34"/>
  <c r="AH16" i="34" s="1"/>
  <c r="Y8" i="34"/>
  <c r="AE8" i="34" s="1"/>
  <c r="Y17" i="34"/>
  <c r="AE17" i="34" s="1"/>
  <c r="Y15" i="34"/>
  <c r="Y7" i="34"/>
  <c r="Y14" i="34"/>
  <c r="Y6" i="34"/>
  <c r="Y2" i="34"/>
  <c r="AE2" i="34" s="1"/>
  <c r="Y13" i="34"/>
  <c r="Y5" i="34"/>
  <c r="AF5" i="34" s="1"/>
  <c r="Y20" i="34"/>
  <c r="Y12" i="34"/>
  <c r="AE12" i="34" s="1"/>
  <c r="Y4" i="34"/>
  <c r="AE4" i="34" s="1"/>
  <c r="Y19" i="34"/>
  <c r="AH19" i="34" s="1"/>
  <c r="Y11" i="34"/>
  <c r="Y3" i="34"/>
  <c r="AE3" i="34" s="1"/>
  <c r="AH13" i="34"/>
  <c r="AH30" i="34"/>
  <c r="AH22" i="34"/>
  <c r="AH28" i="34"/>
  <c r="AH35" i="34"/>
  <c r="AH27" i="34"/>
  <c r="AH29" i="34"/>
  <c r="AH34" i="34"/>
  <c r="AH26" i="34"/>
  <c r="AH33" i="34"/>
  <c r="AH25" i="34"/>
  <c r="AH32" i="34"/>
  <c r="AH24" i="34"/>
  <c r="AH21" i="34"/>
  <c r="AH31" i="34"/>
  <c r="AH23" i="34"/>
  <c r="AF78" i="34"/>
  <c r="AE78" i="34"/>
  <c r="AF70" i="34"/>
  <c r="AE70" i="34"/>
  <c r="AE62" i="34"/>
  <c r="AF62" i="34"/>
  <c r="AE54" i="34"/>
  <c r="AF54" i="34"/>
  <c r="AF46" i="34"/>
  <c r="AE46" i="34"/>
  <c r="AE38" i="34"/>
  <c r="AF38" i="34"/>
  <c r="AE30" i="34"/>
  <c r="AF30" i="34"/>
  <c r="AF22" i="34"/>
  <c r="AE22" i="34"/>
  <c r="AE77" i="34"/>
  <c r="AF77" i="34"/>
  <c r="AE69" i="34"/>
  <c r="AF69" i="34"/>
  <c r="AE61" i="34"/>
  <c r="AF61" i="34"/>
  <c r="AE53" i="34"/>
  <c r="AF53" i="34"/>
  <c r="AE45" i="34"/>
  <c r="AF45" i="34"/>
  <c r="AE37" i="34"/>
  <c r="AF37" i="34"/>
  <c r="AE29" i="34"/>
  <c r="AF29" i="34"/>
  <c r="AF76" i="34"/>
  <c r="AE76" i="34"/>
  <c r="AF68" i="34"/>
  <c r="AE68" i="34"/>
  <c r="AE60" i="34"/>
  <c r="AF60" i="34"/>
  <c r="AE52" i="34"/>
  <c r="AF52" i="34"/>
  <c r="AE44" i="34"/>
  <c r="AF44" i="34"/>
  <c r="AE36" i="34"/>
  <c r="AF36" i="34"/>
  <c r="AE28" i="34"/>
  <c r="AF28" i="34"/>
  <c r="AE75" i="34"/>
  <c r="AF75" i="34"/>
  <c r="AE67" i="34"/>
  <c r="AF67" i="34"/>
  <c r="AE59" i="34"/>
  <c r="AF59" i="34"/>
  <c r="AE51" i="34"/>
  <c r="AF51" i="34"/>
  <c r="AE43" i="34"/>
  <c r="AF43" i="34"/>
  <c r="AE35" i="34"/>
  <c r="AF35" i="34"/>
  <c r="AE27" i="34"/>
  <c r="AF27" i="34"/>
  <c r="AE21" i="34"/>
  <c r="AF21" i="34"/>
  <c r="AE74" i="34"/>
  <c r="AF74" i="34"/>
  <c r="AE66" i="34"/>
  <c r="AF66" i="34"/>
  <c r="AF58" i="34"/>
  <c r="AE58" i="34"/>
  <c r="AE50" i="34"/>
  <c r="AF50" i="34"/>
  <c r="AE42" i="34"/>
  <c r="AF42" i="34"/>
  <c r="AE34" i="34"/>
  <c r="AF34" i="34"/>
  <c r="AE26" i="34"/>
  <c r="AF26" i="34"/>
  <c r="AE81" i="34"/>
  <c r="AF81" i="34"/>
  <c r="AE73" i="34"/>
  <c r="AF73" i="34"/>
  <c r="AE65" i="34"/>
  <c r="AF65" i="34"/>
  <c r="AE57" i="34"/>
  <c r="AF57" i="34"/>
  <c r="AE49" i="34"/>
  <c r="AF49" i="34"/>
  <c r="AE41" i="34"/>
  <c r="AF41" i="34"/>
  <c r="AE33" i="34"/>
  <c r="AF33" i="34"/>
  <c r="AE25" i="34"/>
  <c r="AF25" i="34"/>
  <c r="AE80" i="34"/>
  <c r="AF80" i="34"/>
  <c r="AE72" i="34"/>
  <c r="AF72" i="34"/>
  <c r="AE64" i="34"/>
  <c r="AF64" i="34"/>
  <c r="AE56" i="34"/>
  <c r="AF56" i="34"/>
  <c r="AE48" i="34"/>
  <c r="AF48" i="34"/>
  <c r="AE40" i="34"/>
  <c r="AF40" i="34"/>
  <c r="AE32" i="34"/>
  <c r="AF32" i="34"/>
  <c r="AE24" i="34"/>
  <c r="AF24" i="34"/>
  <c r="AF16" i="34"/>
  <c r="AE79" i="34"/>
  <c r="AF79" i="34"/>
  <c r="AE71" i="34"/>
  <c r="AF71" i="34"/>
  <c r="AE63" i="34"/>
  <c r="AF63" i="34"/>
  <c r="AE55" i="34"/>
  <c r="AF55" i="34"/>
  <c r="AE47" i="34"/>
  <c r="AF47" i="34"/>
  <c r="AE39" i="34"/>
  <c r="AF39" i="34"/>
  <c r="AE31" i="34"/>
  <c r="AF31" i="34"/>
  <c r="AE23" i="34"/>
  <c r="AF23" i="34"/>
  <c r="AE13" i="34" l="1"/>
  <c r="AE11" i="34"/>
  <c r="AH11" i="34"/>
  <c r="AH10" i="34"/>
  <c r="AF14" i="34"/>
  <c r="AE10" i="34"/>
  <c r="AH6" i="34"/>
  <c r="AF18" i="34"/>
  <c r="AE18" i="34"/>
  <c r="AF6" i="34"/>
  <c r="AF11" i="34"/>
  <c r="AE6" i="34"/>
  <c r="AE19" i="34"/>
  <c r="AH18" i="34"/>
  <c r="AH14" i="34"/>
  <c r="AF19" i="34"/>
  <c r="AE14" i="34"/>
  <c r="AF8" i="34"/>
  <c r="AH8" i="34"/>
  <c r="AH15" i="34"/>
  <c r="AE16" i="34"/>
  <c r="AH4" i="34"/>
  <c r="AH12" i="34"/>
  <c r="AH20" i="34"/>
  <c r="AF15" i="34"/>
  <c r="AF20" i="34"/>
  <c r="AE15" i="34"/>
  <c r="AE20" i="34"/>
  <c r="AE5" i="34"/>
  <c r="AH17" i="34"/>
  <c r="AH5" i="34"/>
  <c r="AF17" i="34"/>
  <c r="AF12" i="34"/>
  <c r="AF13" i="34"/>
  <c r="AF7" i="34"/>
  <c r="AF4" i="34"/>
  <c r="AE7" i="34"/>
  <c r="AH7" i="34"/>
  <c r="AF2" i="34"/>
  <c r="AH9" i="34"/>
  <c r="AH3" i="34"/>
  <c r="AH2" i="34"/>
  <c r="AF9" i="34"/>
  <c r="AF3" i="34"/>
  <c r="S81" i="1" l="1"/>
  <c r="Y33" i="1"/>
  <c r="Y32" i="1"/>
  <c r="S72" i="1" l="1"/>
  <c r="S90" i="1"/>
  <c r="S78" i="1"/>
  <c r="S68" i="1"/>
  <c r="S93" i="1"/>
  <c r="S43" i="1"/>
  <c r="S44" i="1"/>
  <c r="S33" i="1"/>
  <c r="S34" i="1"/>
  <c r="S69" i="1"/>
  <c r="S50" i="1"/>
  <c r="S100" i="1"/>
  <c r="S70" i="1"/>
  <c r="S49" i="1"/>
  <c r="S99" i="1"/>
  <c r="S61" i="1"/>
  <c r="S35" i="1"/>
  <c r="S98" i="1"/>
  <c r="S42" i="1"/>
  <c r="S89" i="1"/>
  <c r="S36" i="1"/>
  <c r="S52" i="1"/>
  <c r="S82" i="1"/>
  <c r="S51" i="1"/>
  <c r="S60" i="1"/>
  <c r="S41" i="1"/>
  <c r="S101" i="1"/>
  <c r="S80" i="1"/>
  <c r="S58" i="1"/>
  <c r="S92" i="1"/>
  <c r="S62" i="1"/>
  <c r="S57" i="1"/>
  <c r="S37" i="1"/>
  <c r="S97" i="1"/>
  <c r="S77" i="1"/>
  <c r="S56" i="1"/>
  <c r="S38" i="1"/>
  <c r="S54" i="1"/>
  <c r="S96" i="1"/>
  <c r="S76" i="1"/>
  <c r="S39" i="1"/>
  <c r="S55" i="1"/>
  <c r="S95" i="1"/>
  <c r="S85" i="1"/>
  <c r="S74" i="1"/>
  <c r="S64" i="1"/>
  <c r="S29" i="1"/>
  <c r="S45" i="1"/>
  <c r="S53" i="1"/>
  <c r="S88" i="1"/>
  <c r="S66" i="1"/>
  <c r="S30" i="1"/>
  <c r="S46" i="1"/>
  <c r="S86" i="1"/>
  <c r="S65" i="1"/>
  <c r="S31" i="1"/>
  <c r="S47" i="1"/>
  <c r="S32" i="1"/>
  <c r="S40" i="1"/>
  <c r="S48" i="1"/>
  <c r="S102" i="1"/>
  <c r="S94" i="1"/>
  <c r="S84" i="1"/>
  <c r="S73" i="1"/>
  <c r="S59" i="1"/>
  <c r="S87" i="1"/>
  <c r="S79" i="1"/>
  <c r="S71" i="1"/>
  <c r="S63" i="1"/>
  <c r="S91" i="1"/>
  <c r="S83" i="1"/>
  <c r="S75" i="1"/>
  <c r="S67" i="1"/>
  <c r="AG79" i="12" l="1"/>
  <c r="AG86" i="12" s="1"/>
  <c r="AG87" i="12" s="1"/>
  <c r="AG85" i="12"/>
  <c r="AG80" i="12" l="1"/>
  <c r="AF5" i="12"/>
  <c r="AG78" i="12" l="1"/>
  <c r="T7" i="34" l="1"/>
  <c r="U7" i="34"/>
  <c r="V7" i="34"/>
  <c r="U6" i="34"/>
  <c r="V6" i="34"/>
  <c r="T6" i="34"/>
  <c r="G3" i="34"/>
  <c r="H3" i="34"/>
  <c r="I3" i="34"/>
  <c r="G4" i="34"/>
  <c r="H4" i="34"/>
  <c r="I4" i="34"/>
  <c r="G5" i="34"/>
  <c r="H5" i="34"/>
  <c r="I5" i="34"/>
  <c r="G6" i="34"/>
  <c r="H6" i="34"/>
  <c r="I6" i="34"/>
  <c r="G7" i="34"/>
  <c r="H7" i="34"/>
  <c r="I7" i="34"/>
  <c r="G8" i="34"/>
  <c r="H8" i="34"/>
  <c r="I8" i="34"/>
  <c r="G9" i="34"/>
  <c r="H9" i="34"/>
  <c r="I9" i="34"/>
  <c r="G10" i="34"/>
  <c r="H10" i="34"/>
  <c r="I10" i="34"/>
  <c r="G11" i="34"/>
  <c r="H11" i="34"/>
  <c r="I11" i="34"/>
  <c r="G12" i="34"/>
  <c r="H12" i="34"/>
  <c r="I12" i="34"/>
  <c r="G13" i="34"/>
  <c r="H13" i="34"/>
  <c r="I13" i="34"/>
  <c r="G14" i="34"/>
  <c r="H14" i="34"/>
  <c r="I14" i="34"/>
  <c r="G15" i="34"/>
  <c r="H15" i="34"/>
  <c r="I15" i="34"/>
  <c r="G16" i="34"/>
  <c r="H16" i="34"/>
  <c r="I16" i="34"/>
  <c r="G17" i="34"/>
  <c r="H17" i="34"/>
  <c r="I17" i="34"/>
  <c r="G18" i="34"/>
  <c r="H18" i="34"/>
  <c r="I18" i="34"/>
  <c r="G19" i="34"/>
  <c r="H19" i="34"/>
  <c r="I19" i="34"/>
  <c r="G20" i="34"/>
  <c r="H20" i="34"/>
  <c r="I20" i="34"/>
  <c r="G21" i="34"/>
  <c r="H21" i="34"/>
  <c r="I21" i="34"/>
  <c r="G22" i="34"/>
  <c r="H22" i="34"/>
  <c r="I22" i="34"/>
  <c r="G23" i="34"/>
  <c r="H23" i="34"/>
  <c r="I23" i="34"/>
  <c r="G24" i="34"/>
  <c r="H24" i="34"/>
  <c r="I24" i="34"/>
  <c r="G25" i="34"/>
  <c r="H25" i="34"/>
  <c r="I25" i="34"/>
  <c r="G26" i="34"/>
  <c r="H26" i="34"/>
  <c r="I26" i="34"/>
  <c r="G27" i="34"/>
  <c r="H27" i="34"/>
  <c r="I27" i="34"/>
  <c r="G28" i="34"/>
  <c r="H28" i="34"/>
  <c r="I28" i="34"/>
  <c r="G29" i="34"/>
  <c r="H29" i="34"/>
  <c r="I29" i="34"/>
  <c r="G30" i="34"/>
  <c r="H30" i="34"/>
  <c r="I30" i="34"/>
  <c r="G31" i="34"/>
  <c r="H31" i="34"/>
  <c r="I31" i="34"/>
  <c r="G32" i="34"/>
  <c r="H32" i="34"/>
  <c r="I32" i="34"/>
  <c r="G33" i="34"/>
  <c r="H33" i="34"/>
  <c r="I33" i="34"/>
  <c r="G34" i="34"/>
  <c r="H34" i="34"/>
  <c r="I34" i="34"/>
  <c r="G35" i="34"/>
  <c r="H35" i="34"/>
  <c r="I35" i="34"/>
  <c r="G36" i="34"/>
  <c r="H36" i="34"/>
  <c r="I36" i="34"/>
  <c r="G37" i="34"/>
  <c r="H37" i="34"/>
  <c r="I37" i="34"/>
  <c r="G38" i="34"/>
  <c r="H38" i="34"/>
  <c r="I38" i="34"/>
  <c r="G39" i="34"/>
  <c r="H39" i="34"/>
  <c r="I39" i="34"/>
  <c r="G40" i="34"/>
  <c r="H40" i="34"/>
  <c r="I40" i="34"/>
  <c r="G41" i="34"/>
  <c r="H41" i="34"/>
  <c r="I41" i="34"/>
  <c r="G42" i="34"/>
  <c r="H42" i="34"/>
  <c r="I42" i="34"/>
  <c r="G43" i="34"/>
  <c r="H43" i="34"/>
  <c r="I43" i="34"/>
  <c r="G44" i="34"/>
  <c r="H44" i="34"/>
  <c r="I44" i="34"/>
  <c r="G45" i="34"/>
  <c r="H45" i="34"/>
  <c r="I45" i="34"/>
  <c r="G46" i="34"/>
  <c r="H46" i="34"/>
  <c r="I46" i="34"/>
  <c r="G47" i="34"/>
  <c r="H47" i="34"/>
  <c r="I47" i="34"/>
  <c r="G48" i="34"/>
  <c r="H48" i="34"/>
  <c r="I48" i="34"/>
  <c r="G49" i="34"/>
  <c r="H49" i="34"/>
  <c r="I49" i="34"/>
  <c r="G50" i="34"/>
  <c r="H50" i="34"/>
  <c r="I50" i="34"/>
  <c r="G51" i="34"/>
  <c r="H51" i="34"/>
  <c r="I51" i="34"/>
  <c r="G52" i="34"/>
  <c r="H52" i="34"/>
  <c r="I52" i="34"/>
  <c r="G53" i="34"/>
  <c r="H53" i="34"/>
  <c r="I53" i="34"/>
  <c r="G54" i="34"/>
  <c r="H54" i="34"/>
  <c r="I54" i="34"/>
  <c r="G55" i="34"/>
  <c r="H55" i="34"/>
  <c r="I55" i="34"/>
  <c r="G56" i="34"/>
  <c r="H56" i="34"/>
  <c r="I56" i="34"/>
  <c r="G57" i="34"/>
  <c r="H57" i="34"/>
  <c r="I57" i="34"/>
  <c r="G58" i="34"/>
  <c r="H58" i="34"/>
  <c r="I58" i="34"/>
  <c r="G59" i="34"/>
  <c r="H59" i="34"/>
  <c r="I59" i="34"/>
  <c r="G60" i="34"/>
  <c r="H60" i="34"/>
  <c r="I60" i="34"/>
  <c r="G61" i="34"/>
  <c r="H61" i="34"/>
  <c r="I61" i="34"/>
  <c r="G62" i="34"/>
  <c r="H62" i="34"/>
  <c r="I62" i="34"/>
  <c r="G63" i="34"/>
  <c r="H63" i="34"/>
  <c r="I63" i="34"/>
  <c r="G64" i="34"/>
  <c r="H64" i="34"/>
  <c r="I64" i="34"/>
  <c r="G65" i="34"/>
  <c r="H65" i="34"/>
  <c r="I65" i="34"/>
  <c r="G66" i="34"/>
  <c r="H66" i="34"/>
  <c r="I66" i="34"/>
  <c r="G67" i="34"/>
  <c r="H67" i="34"/>
  <c r="I67" i="34"/>
  <c r="G68" i="34"/>
  <c r="H68" i="34"/>
  <c r="I68" i="34"/>
  <c r="G69" i="34"/>
  <c r="H69" i="34"/>
  <c r="I69" i="34"/>
  <c r="G70" i="34"/>
  <c r="H70" i="34"/>
  <c r="I70" i="34"/>
  <c r="G71" i="34"/>
  <c r="H71" i="34"/>
  <c r="I71" i="34"/>
  <c r="G72" i="34"/>
  <c r="H72" i="34"/>
  <c r="I72" i="34"/>
  <c r="G73" i="34"/>
  <c r="H73" i="34"/>
  <c r="I73" i="34"/>
  <c r="G74" i="34"/>
  <c r="H74" i="34"/>
  <c r="I74" i="34"/>
  <c r="G75" i="34"/>
  <c r="H75" i="34"/>
  <c r="I75" i="34"/>
  <c r="G76" i="34"/>
  <c r="H76" i="34"/>
  <c r="I76" i="34"/>
  <c r="G77" i="34"/>
  <c r="H77" i="34"/>
  <c r="I77" i="34"/>
  <c r="G78" i="34"/>
  <c r="H78" i="34"/>
  <c r="I78" i="34"/>
  <c r="G79" i="34"/>
  <c r="H79" i="34"/>
  <c r="I79" i="34"/>
  <c r="G80" i="34"/>
  <c r="H80" i="34"/>
  <c r="I80" i="34"/>
  <c r="G81" i="34"/>
  <c r="H81" i="34"/>
  <c r="I81" i="34"/>
  <c r="H2" i="34"/>
  <c r="I2" i="34"/>
  <c r="G2" i="34"/>
  <c r="U3" i="34"/>
  <c r="J2" i="34" l="1"/>
  <c r="J65" i="34"/>
  <c r="J33" i="34"/>
  <c r="J79" i="34"/>
  <c r="J74" i="34"/>
  <c r="J71" i="34"/>
  <c r="J63" i="34"/>
  <c r="J58" i="34"/>
  <c r="J47" i="34"/>
  <c r="J42" i="34"/>
  <c r="J39" i="34"/>
  <c r="J31" i="34"/>
  <c r="J26" i="34"/>
  <c r="J15" i="34"/>
  <c r="J10" i="34"/>
  <c r="J7" i="34"/>
  <c r="J66" i="34"/>
  <c r="J50" i="34"/>
  <c r="J34" i="34"/>
  <c r="K34" i="34" s="1"/>
  <c r="J18" i="34"/>
  <c r="J55" i="34"/>
  <c r="J23" i="34"/>
  <c r="J57" i="34"/>
  <c r="J25" i="34"/>
  <c r="J81" i="34"/>
  <c r="J73" i="34"/>
  <c r="J49" i="34"/>
  <c r="J41" i="34"/>
  <c r="J17" i="34"/>
  <c r="J9" i="34"/>
  <c r="J68" i="34"/>
  <c r="J60" i="34"/>
  <c r="J52" i="34"/>
  <c r="J44" i="34"/>
  <c r="J36" i="34"/>
  <c r="J28" i="34"/>
  <c r="J20" i="34"/>
  <c r="J12" i="34"/>
  <c r="J4" i="34"/>
  <c r="J62" i="34"/>
  <c r="J54" i="34"/>
  <c r="J38" i="34"/>
  <c r="J22" i="34"/>
  <c r="J14" i="34"/>
  <c r="J6" i="34"/>
  <c r="J76" i="34"/>
  <c r="J78" i="34"/>
  <c r="J70" i="34"/>
  <c r="J46" i="34"/>
  <c r="J30" i="34"/>
  <c r="J80" i="34"/>
  <c r="J72" i="34"/>
  <c r="J64" i="34"/>
  <c r="J56" i="34"/>
  <c r="J48" i="34"/>
  <c r="J40" i="34"/>
  <c r="J32" i="34"/>
  <c r="J24" i="34"/>
  <c r="J16" i="34"/>
  <c r="J8" i="34"/>
  <c r="J75" i="34"/>
  <c r="J51" i="34"/>
  <c r="J77" i="34"/>
  <c r="J69" i="34"/>
  <c r="J61" i="34"/>
  <c r="J53" i="34"/>
  <c r="J45" i="34"/>
  <c r="J37" i="34"/>
  <c r="J29" i="34"/>
  <c r="J21" i="34"/>
  <c r="J13" i="34"/>
  <c r="J5" i="34"/>
  <c r="J67" i="34"/>
  <c r="J59" i="34"/>
  <c r="J43" i="34"/>
  <c r="J35" i="34"/>
  <c r="J27" i="34"/>
  <c r="J19" i="34"/>
  <c r="J11" i="34"/>
  <c r="J3" i="34"/>
  <c r="K21" i="34" l="1"/>
  <c r="K3" i="34"/>
  <c r="K48" i="34"/>
  <c r="K64" i="34"/>
  <c r="K72" i="34"/>
  <c r="K33" i="34"/>
  <c r="K61" i="34"/>
  <c r="K19" i="34"/>
  <c r="K51" i="34"/>
  <c r="K56" i="34"/>
  <c r="K76" i="34"/>
  <c r="K10" i="34"/>
  <c r="K27" i="34"/>
  <c r="K75" i="34"/>
  <c r="K66" i="34"/>
  <c r="K80" i="34"/>
  <c r="K11" i="34"/>
  <c r="K42" i="34"/>
  <c r="K16" i="34"/>
  <c r="K59" i="34"/>
  <c r="K53" i="34"/>
  <c r="K24" i="34"/>
  <c r="K7" i="34"/>
  <c r="K8" i="34"/>
  <c r="K74" i="34"/>
  <c r="K12" i="34"/>
  <c r="K73" i="34"/>
  <c r="K14" i="34"/>
  <c r="K49" i="34"/>
  <c r="K50" i="34"/>
  <c r="K67" i="34"/>
  <c r="K5" i="34"/>
  <c r="K69" i="34"/>
  <c r="K18" i="34"/>
  <c r="K31" i="34"/>
  <c r="K35" i="34"/>
  <c r="K28" i="34"/>
  <c r="K65" i="34"/>
  <c r="K43" i="34"/>
  <c r="K45" i="34"/>
  <c r="K22" i="34"/>
  <c r="K36" i="34"/>
  <c r="K30" i="34"/>
  <c r="K38" i="34"/>
  <c r="K58" i="34"/>
  <c r="K32" i="34"/>
  <c r="K52" i="34"/>
  <c r="K9" i="34"/>
  <c r="K40" i="34"/>
  <c r="K26" i="34"/>
  <c r="K23" i="34"/>
  <c r="K44" i="34"/>
  <c r="K54" i="34"/>
  <c r="K70" i="34"/>
  <c r="K62" i="34"/>
  <c r="K60" i="34"/>
  <c r="K13" i="34"/>
  <c r="K77" i="34"/>
  <c r="K78" i="34"/>
  <c r="K4" i="34"/>
  <c r="K68" i="34"/>
  <c r="K79" i="34"/>
  <c r="K46" i="34"/>
  <c r="K55" i="34"/>
  <c r="K63" i="34"/>
  <c r="K29" i="34"/>
  <c r="K6" i="34"/>
  <c r="K20" i="34"/>
  <c r="K25" i="34"/>
  <c r="K71" i="34"/>
  <c r="K41" i="34"/>
  <c r="K39" i="34"/>
  <c r="K47" i="34"/>
  <c r="K37" i="34"/>
  <c r="K57" i="34"/>
  <c r="K17" i="34"/>
  <c r="K15" i="34"/>
  <c r="K81" i="34"/>
  <c r="AA13" i="12"/>
  <c r="R6" i="15"/>
  <c r="O7" i="15"/>
  <c r="H3" i="33"/>
  <c r="S8" i="1" l="1"/>
  <c r="U8" i="1" s="1"/>
  <c r="S14" i="1"/>
  <c r="U14" i="1" s="1"/>
  <c r="S4" i="1"/>
  <c r="U4" i="1" s="1"/>
  <c r="S23" i="1"/>
  <c r="U23" i="1" s="1"/>
  <c r="S24" i="1"/>
  <c r="U24" i="1" s="1"/>
  <c r="S27" i="1"/>
  <c r="U27" i="1" s="1"/>
  <c r="U30" i="1"/>
  <c r="U31" i="1"/>
  <c r="S3" i="1"/>
  <c r="G4" i="12" s="1"/>
  <c r="G32" i="12" l="1"/>
  <c r="G31" i="12"/>
  <c r="G28" i="12"/>
  <c r="G25" i="12"/>
  <c r="G24" i="12"/>
  <c r="U55" i="1"/>
  <c r="G56" i="12"/>
  <c r="G5" i="12"/>
  <c r="U48" i="1"/>
  <c r="G49" i="12"/>
  <c r="G15" i="12"/>
  <c r="U47" i="1"/>
  <c r="G48" i="12"/>
  <c r="G9" i="12"/>
  <c r="E4" i="12"/>
  <c r="S16" i="1"/>
  <c r="U16" i="1" s="1"/>
  <c r="S11" i="1"/>
  <c r="U11" i="1" s="1"/>
  <c r="S15" i="1"/>
  <c r="U15" i="1" s="1"/>
  <c r="U32" i="1"/>
  <c r="S7" i="1"/>
  <c r="U7" i="1" s="1"/>
  <c r="S22" i="1"/>
  <c r="U22" i="1" s="1"/>
  <c r="S6" i="1"/>
  <c r="U6" i="1" s="1"/>
  <c r="S19" i="1"/>
  <c r="U19" i="1" s="1"/>
  <c r="S26" i="1"/>
  <c r="U26" i="1" s="1"/>
  <c r="S18" i="1"/>
  <c r="U18" i="1" s="1"/>
  <c r="S10" i="1"/>
  <c r="U10" i="1" s="1"/>
  <c r="S25" i="1"/>
  <c r="U25" i="1" s="1"/>
  <c r="S17" i="1"/>
  <c r="U17" i="1" s="1"/>
  <c r="S9" i="1"/>
  <c r="U9" i="1" s="1"/>
  <c r="G64" i="12"/>
  <c r="U29" i="1"/>
  <c r="S21" i="1"/>
  <c r="U21" i="1" s="1"/>
  <c r="S13" i="1"/>
  <c r="U13" i="1" s="1"/>
  <c r="S5" i="1"/>
  <c r="U5" i="1" s="1"/>
  <c r="S28" i="1"/>
  <c r="U28" i="1" s="1"/>
  <c r="S20" i="1"/>
  <c r="U20" i="1" s="1"/>
  <c r="S12" i="1"/>
  <c r="U12" i="1" s="1"/>
  <c r="U63" i="1" l="1"/>
  <c r="G63" i="12"/>
  <c r="U62" i="1"/>
  <c r="U44" i="1"/>
  <c r="G45" i="12"/>
  <c r="G10" i="12"/>
  <c r="U42" i="1"/>
  <c r="G43" i="12"/>
  <c r="U56" i="1"/>
  <c r="G57" i="12"/>
  <c r="G18" i="12"/>
  <c r="U50" i="1"/>
  <c r="G51" i="12"/>
  <c r="G22" i="12"/>
  <c r="G7" i="12"/>
  <c r="U40" i="1"/>
  <c r="G41" i="12"/>
  <c r="G30" i="12"/>
  <c r="U33" i="1"/>
  <c r="G34" i="12"/>
  <c r="G20" i="12"/>
  <c r="G23" i="12"/>
  <c r="U64" i="1"/>
  <c r="G65" i="12"/>
  <c r="G17" i="12"/>
  <c r="G13" i="12"/>
  <c r="U37" i="1"/>
  <c r="G38" i="12"/>
  <c r="U41" i="1"/>
  <c r="G42" i="12"/>
  <c r="G11" i="12"/>
  <c r="U35" i="1"/>
  <c r="G36" i="12"/>
  <c r="U38" i="1"/>
  <c r="G39" i="12"/>
  <c r="G16" i="12"/>
  <c r="U46" i="1"/>
  <c r="G47" i="12"/>
  <c r="U36" i="1"/>
  <c r="G37" i="12"/>
  <c r="U61" i="1"/>
  <c r="G62" i="12"/>
  <c r="U34" i="1"/>
  <c r="G35" i="12"/>
  <c r="G33" i="12"/>
  <c r="U43" i="1"/>
  <c r="G44" i="12"/>
  <c r="G6" i="12"/>
  <c r="U52" i="1"/>
  <c r="G53" i="12"/>
  <c r="G14" i="12"/>
  <c r="U60" i="1"/>
  <c r="G61" i="12"/>
  <c r="G26" i="12"/>
  <c r="U58" i="1"/>
  <c r="G59" i="12"/>
  <c r="G21" i="12"/>
  <c r="U45" i="1"/>
  <c r="G46" i="12"/>
  <c r="U49" i="1"/>
  <c r="G50" i="12"/>
  <c r="G19" i="12"/>
  <c r="U51" i="1"/>
  <c r="G52" i="12"/>
  <c r="U54" i="1"/>
  <c r="G55" i="12"/>
  <c r="U39" i="1"/>
  <c r="G40" i="12"/>
  <c r="G70" i="12"/>
  <c r="G29" i="12"/>
  <c r="U53" i="1"/>
  <c r="G54" i="12"/>
  <c r="U57" i="1"/>
  <c r="G58" i="12"/>
  <c r="G27" i="12"/>
  <c r="G67" i="12"/>
  <c r="G8" i="12"/>
  <c r="U59" i="1"/>
  <c r="G60" i="12"/>
  <c r="G12" i="12"/>
  <c r="E15" i="12"/>
  <c r="E28" i="12"/>
  <c r="E31" i="12"/>
  <c r="E56" i="12"/>
  <c r="E24" i="12"/>
  <c r="E32" i="12"/>
  <c r="E25" i="12"/>
  <c r="E48" i="12"/>
  <c r="E49" i="12"/>
  <c r="E9" i="12"/>
  <c r="E5" i="12"/>
  <c r="V3" i="1"/>
  <c r="Q3" i="1"/>
  <c r="E63" i="12" l="1"/>
  <c r="E64" i="12"/>
  <c r="U66" i="1"/>
  <c r="U68" i="1"/>
  <c r="G68" i="12"/>
  <c r="U65" i="1"/>
  <c r="U73" i="1"/>
  <c r="G69" i="12"/>
  <c r="U70" i="1"/>
  <c r="U69" i="1"/>
  <c r="G71" i="12"/>
  <c r="U71" i="1"/>
  <c r="U74" i="1"/>
  <c r="G74" i="12"/>
  <c r="U67" i="1"/>
  <c r="G73" i="12"/>
  <c r="U72" i="1"/>
  <c r="G75" i="12"/>
  <c r="G72" i="12"/>
  <c r="G66" i="12"/>
  <c r="G76" i="12"/>
  <c r="U75" i="1"/>
  <c r="E12" i="12"/>
  <c r="E26" i="12"/>
  <c r="E55" i="12"/>
  <c r="E65" i="12"/>
  <c r="E30" i="12"/>
  <c r="E23" i="12"/>
  <c r="E46" i="12"/>
  <c r="E27" i="12"/>
  <c r="E8" i="12"/>
  <c r="E21" i="12"/>
  <c r="E29" i="12"/>
  <c r="E13" i="12"/>
  <c r="E19" i="12"/>
  <c r="E54" i="12"/>
  <c r="E39" i="12"/>
  <c r="E51" i="12"/>
  <c r="E60" i="12"/>
  <c r="E58" i="12"/>
  <c r="E52" i="12"/>
  <c r="E16" i="12"/>
  <c r="E17" i="12"/>
  <c r="E20" i="12"/>
  <c r="E14" i="12"/>
  <c r="E43" i="12"/>
  <c r="E38" i="12"/>
  <c r="E59" i="12"/>
  <c r="E61" i="12"/>
  <c r="E18" i="12"/>
  <c r="E44" i="12"/>
  <c r="E37" i="12"/>
  <c r="E57" i="12"/>
  <c r="E36" i="12"/>
  <c r="E7" i="12"/>
  <c r="E22" i="12"/>
  <c r="E6" i="12"/>
  <c r="E41" i="12"/>
  <c r="E53" i="12"/>
  <c r="E33" i="12"/>
  <c r="E11" i="12"/>
  <c r="E62" i="12"/>
  <c r="E40" i="12"/>
  <c r="E50" i="12"/>
  <c r="E47" i="12"/>
  <c r="E42" i="12"/>
  <c r="E34" i="12"/>
  <c r="E45" i="12"/>
  <c r="E10" i="12"/>
  <c r="E35" i="12"/>
  <c r="B31" i="33"/>
  <c r="D31" i="33"/>
  <c r="D30" i="33"/>
  <c r="B30" i="33"/>
  <c r="D66" i="33"/>
  <c r="D15" i="33"/>
  <c r="B15" i="33"/>
  <c r="D74" i="33"/>
  <c r="D64" i="33"/>
  <c r="B64" i="33"/>
  <c r="B55" i="33"/>
  <c r="D55" i="33"/>
  <c r="D46" i="33"/>
  <c r="B46" i="33"/>
  <c r="D37" i="33"/>
  <c r="B37" i="33"/>
  <c r="B28" i="33"/>
  <c r="D28" i="33"/>
  <c r="D10" i="33"/>
  <c r="B10" i="33"/>
  <c r="D68" i="33"/>
  <c r="D59" i="33"/>
  <c r="B59" i="33"/>
  <c r="B50" i="33"/>
  <c r="D50" i="33"/>
  <c r="D40" i="33"/>
  <c r="B40" i="33"/>
  <c r="D18" i="33"/>
  <c r="B18" i="33"/>
  <c r="D76" i="33"/>
  <c r="D67" i="33"/>
  <c r="D58" i="33"/>
  <c r="B58" i="33"/>
  <c r="D48" i="33"/>
  <c r="B48" i="33"/>
  <c r="B39" i="33"/>
  <c r="D39" i="33"/>
  <c r="D16" i="33"/>
  <c r="B16" i="33"/>
  <c r="D75" i="33"/>
  <c r="D56" i="33"/>
  <c r="B56" i="33"/>
  <c r="B47" i="33"/>
  <c r="D47" i="33"/>
  <c r="D38" i="33"/>
  <c r="B38" i="33"/>
  <c r="D29" i="33"/>
  <c r="B29" i="33"/>
  <c r="D72" i="33"/>
  <c r="B63" i="33"/>
  <c r="D63" i="33"/>
  <c r="D54" i="33"/>
  <c r="B54" i="33"/>
  <c r="D45" i="33"/>
  <c r="B45" i="33"/>
  <c r="B36" i="33"/>
  <c r="D36" i="33"/>
  <c r="D27" i="33"/>
  <c r="B27" i="33"/>
  <c r="D7" i="33"/>
  <c r="B7" i="33"/>
  <c r="D4" i="33"/>
  <c r="E4" i="33" s="1"/>
  <c r="B4" i="33"/>
  <c r="C4" i="33" s="1"/>
  <c r="D71" i="33"/>
  <c r="D62" i="33"/>
  <c r="B62" i="33"/>
  <c r="D53" i="33"/>
  <c r="B53" i="33"/>
  <c r="B44" i="33"/>
  <c r="D44" i="33"/>
  <c r="B35" i="33"/>
  <c r="D35" i="33"/>
  <c r="D24" i="33"/>
  <c r="B24" i="33"/>
  <c r="D6" i="33"/>
  <c r="B6" i="33"/>
  <c r="D70" i="33"/>
  <c r="D61" i="33"/>
  <c r="B61" i="33"/>
  <c r="B52" i="33"/>
  <c r="D52" i="33"/>
  <c r="B43" i="33"/>
  <c r="D43" i="33"/>
  <c r="D34" i="33"/>
  <c r="B34" i="33"/>
  <c r="B20" i="33"/>
  <c r="D20" i="33"/>
  <c r="B12" i="33"/>
  <c r="D12" i="33"/>
  <c r="D69" i="33"/>
  <c r="B69" i="33"/>
  <c r="B60" i="33"/>
  <c r="D60" i="33"/>
  <c r="D51" i="33"/>
  <c r="B51" i="33"/>
  <c r="D42" i="33"/>
  <c r="B42" i="33"/>
  <c r="D32" i="33"/>
  <c r="B32" i="33"/>
  <c r="D19" i="33"/>
  <c r="B19" i="33"/>
  <c r="D8" i="33"/>
  <c r="B8" i="33"/>
  <c r="T3" i="1"/>
  <c r="E76" i="12" l="1"/>
  <c r="E66" i="12"/>
  <c r="E72" i="12"/>
  <c r="E69" i="12"/>
  <c r="E67" i="12"/>
  <c r="B70" i="33"/>
  <c r="E75" i="12"/>
  <c r="E73" i="12"/>
  <c r="E71" i="12"/>
  <c r="E68" i="12"/>
  <c r="E74" i="12"/>
  <c r="B67" i="33"/>
  <c r="B66" i="33"/>
  <c r="E70" i="12"/>
  <c r="B74" i="33"/>
  <c r="B71" i="33"/>
  <c r="B72" i="33"/>
  <c r="B76" i="33"/>
  <c r="B68" i="33"/>
  <c r="B75" i="33"/>
  <c r="U76" i="1"/>
  <c r="G77" i="12"/>
  <c r="D77" i="33"/>
  <c r="D11" i="33"/>
  <c r="B11" i="33"/>
  <c r="D17" i="33"/>
  <c r="B17" i="33"/>
  <c r="D9" i="33"/>
  <c r="B9" i="33"/>
  <c r="D26" i="33"/>
  <c r="B26" i="33"/>
  <c r="D25" i="33"/>
  <c r="B25" i="33"/>
  <c r="D13" i="33"/>
  <c r="B13" i="33"/>
  <c r="D33" i="33"/>
  <c r="B33" i="33"/>
  <c r="D22" i="33"/>
  <c r="B22" i="33"/>
  <c r="D41" i="33"/>
  <c r="B41" i="33"/>
  <c r="D14" i="33"/>
  <c r="B14" i="33"/>
  <c r="D57" i="33"/>
  <c r="B57" i="33"/>
  <c r="D23" i="33"/>
  <c r="B23" i="33"/>
  <c r="D73" i="33"/>
  <c r="B73" i="33"/>
  <c r="D5" i="33"/>
  <c r="E5" i="33" s="1"/>
  <c r="E6" i="33" s="1"/>
  <c r="E7" i="33" s="1"/>
  <c r="E8" i="33" s="1"/>
  <c r="D49" i="33"/>
  <c r="B49" i="33"/>
  <c r="D65" i="33"/>
  <c r="B65" i="33"/>
  <c r="D21" i="33"/>
  <c r="B21" i="33"/>
  <c r="T7" i="1"/>
  <c r="T5" i="1"/>
  <c r="T31" i="1"/>
  <c r="T13" i="1"/>
  <c r="T6" i="1"/>
  <c r="T11" i="1"/>
  <c r="T8" i="1"/>
  <c r="T14" i="1"/>
  <c r="T9" i="1"/>
  <c r="T17" i="1"/>
  <c r="T57" i="1"/>
  <c r="T26" i="1"/>
  <c r="T12" i="1"/>
  <c r="T15" i="1"/>
  <c r="T28" i="1"/>
  <c r="T4" i="1"/>
  <c r="T63" i="1"/>
  <c r="T10" i="1"/>
  <c r="T35" i="1"/>
  <c r="T36" i="1"/>
  <c r="T43" i="1"/>
  <c r="T70" i="1"/>
  <c r="T42" i="1"/>
  <c r="T39" i="1"/>
  <c r="T50" i="1"/>
  <c r="T53" i="1"/>
  <c r="T29" i="1"/>
  <c r="T72" i="1"/>
  <c r="T65" i="1"/>
  <c r="T51" i="1"/>
  <c r="T44" i="1"/>
  <c r="T73" i="1"/>
  <c r="T58" i="1"/>
  <c r="T22" i="1"/>
  <c r="T47" i="1"/>
  <c r="T24" i="1"/>
  <c r="T59" i="1"/>
  <c r="T52" i="1"/>
  <c r="T21" i="1"/>
  <c r="T16" i="1"/>
  <c r="T66" i="1"/>
  <c r="T30" i="1"/>
  <c r="T55" i="1"/>
  <c r="T25" i="1"/>
  <c r="T64" i="1"/>
  <c r="T67" i="1"/>
  <c r="T32" i="1"/>
  <c r="T38" i="1"/>
  <c r="T75" i="1"/>
  <c r="T40" i="1"/>
  <c r="T46" i="1"/>
  <c r="T18" i="1"/>
  <c r="T19" i="1"/>
  <c r="T76" i="1"/>
  <c r="T45" i="1"/>
  <c r="T48" i="1"/>
  <c r="T41" i="1"/>
  <c r="T54" i="1"/>
  <c r="T69" i="1"/>
  <c r="T60" i="1"/>
  <c r="T74" i="1"/>
  <c r="T68" i="1"/>
  <c r="T37" i="1"/>
  <c r="T33" i="1"/>
  <c r="T71" i="1"/>
  <c r="T27" i="1"/>
  <c r="T20" i="1"/>
  <c r="T61" i="1"/>
  <c r="T56" i="1"/>
  <c r="T49" i="1"/>
  <c r="T34" i="1"/>
  <c r="T62" i="1"/>
  <c r="T23" i="1"/>
  <c r="U77" i="1" l="1"/>
  <c r="G78" i="12"/>
  <c r="D78" i="33"/>
  <c r="T77" i="1"/>
  <c r="E77" i="12"/>
  <c r="B77" i="33"/>
  <c r="B5" i="33"/>
  <c r="C5" i="33" s="1"/>
  <c r="C6" i="33" s="1"/>
  <c r="C7" i="33" s="1"/>
  <c r="C8" i="33" s="1"/>
  <c r="C9" i="33" s="1"/>
  <c r="C10" i="33" s="1"/>
  <c r="C11" i="33" s="1"/>
  <c r="C12" i="33" s="1"/>
  <c r="C13" i="33" s="1"/>
  <c r="C14" i="33" s="1"/>
  <c r="C15" i="33" s="1"/>
  <c r="C16" i="33" s="1"/>
  <c r="C17" i="33" s="1"/>
  <c r="C18" i="33" s="1"/>
  <c r="C19" i="33" s="1"/>
  <c r="C20" i="33" s="1"/>
  <c r="C21" i="33" s="1"/>
  <c r="C22" i="33" s="1"/>
  <c r="C23" i="33" s="1"/>
  <c r="C24" i="33" s="1"/>
  <c r="C25" i="33" s="1"/>
  <c r="C26" i="33" s="1"/>
  <c r="C27" i="33" s="1"/>
  <c r="C28" i="33" s="1"/>
  <c r="C29" i="33" s="1"/>
  <c r="C30" i="33" s="1"/>
  <c r="C31" i="33" s="1"/>
  <c r="C32" i="33" s="1"/>
  <c r="C33" i="33" s="1"/>
  <c r="C34" i="33" s="1"/>
  <c r="C35" i="33" s="1"/>
  <c r="C36" i="33" s="1"/>
  <c r="C37" i="33" s="1"/>
  <c r="C38" i="33" s="1"/>
  <c r="C39" i="33" s="1"/>
  <c r="C40" i="33" s="1"/>
  <c r="C41" i="33" s="1"/>
  <c r="C42" i="33" s="1"/>
  <c r="C43" i="33" s="1"/>
  <c r="C44" i="33" s="1"/>
  <c r="C45" i="33" s="1"/>
  <c r="C46" i="33" s="1"/>
  <c r="C47" i="33" s="1"/>
  <c r="C48" i="33" s="1"/>
  <c r="C49" i="33" s="1"/>
  <c r="C50" i="33" s="1"/>
  <c r="C51" i="33" s="1"/>
  <c r="C52" i="33" s="1"/>
  <c r="C53" i="33" s="1"/>
  <c r="C54" i="33" s="1"/>
  <c r="C55" i="33" s="1"/>
  <c r="C56" i="33" s="1"/>
  <c r="C57" i="33" s="1"/>
  <c r="C58" i="33" s="1"/>
  <c r="C59" i="33" s="1"/>
  <c r="C60" i="33" s="1"/>
  <c r="C61" i="33" s="1"/>
  <c r="C62" i="33" s="1"/>
  <c r="C63" i="33" s="1"/>
  <c r="C64" i="33" s="1"/>
  <c r="C65" i="33" s="1"/>
  <c r="C66" i="33" s="1"/>
  <c r="C67" i="33" s="1"/>
  <c r="C68" i="33" s="1"/>
  <c r="C69" i="33" s="1"/>
  <c r="C70" i="33" s="1"/>
  <c r="C71" i="33" s="1"/>
  <c r="C72" i="33" s="1"/>
  <c r="C73" i="33" s="1"/>
  <c r="C74" i="33" s="1"/>
  <c r="C75" i="33" s="1"/>
  <c r="C76" i="33" s="1"/>
  <c r="V4" i="1"/>
  <c r="E9" i="33"/>
  <c r="E10" i="33" s="1"/>
  <c r="E11" i="33" s="1"/>
  <c r="E12" i="33" s="1"/>
  <c r="E13" i="33" s="1"/>
  <c r="E14" i="33" s="1"/>
  <c r="E15" i="33" s="1"/>
  <c r="E16" i="33" s="1"/>
  <c r="E17" i="33" s="1"/>
  <c r="E18" i="33" s="1"/>
  <c r="E19" i="33" s="1"/>
  <c r="E20" i="33" s="1"/>
  <c r="E21" i="33" s="1"/>
  <c r="E22" i="33" s="1"/>
  <c r="E23" i="33" s="1"/>
  <c r="E24" i="33" s="1"/>
  <c r="E25" i="33" s="1"/>
  <c r="E26" i="33" s="1"/>
  <c r="E27" i="33" s="1"/>
  <c r="E28" i="33" s="1"/>
  <c r="E29" i="33" s="1"/>
  <c r="E30" i="33" s="1"/>
  <c r="E31" i="33" s="1"/>
  <c r="E32" i="33" s="1"/>
  <c r="E33" i="33" s="1"/>
  <c r="E34" i="33" s="1"/>
  <c r="E35" i="33" s="1"/>
  <c r="E36" i="33" s="1"/>
  <c r="E37" i="33" s="1"/>
  <c r="E38" i="33" s="1"/>
  <c r="E39" i="33" s="1"/>
  <c r="E40" i="33" s="1"/>
  <c r="E41" i="33" s="1"/>
  <c r="E42" i="33" s="1"/>
  <c r="E43" i="33" s="1"/>
  <c r="E44" i="33" s="1"/>
  <c r="E45" i="33" s="1"/>
  <c r="E46" i="33" s="1"/>
  <c r="E47" i="33" s="1"/>
  <c r="E48" i="33" s="1"/>
  <c r="E49" i="33" s="1"/>
  <c r="E50" i="33" s="1"/>
  <c r="E51" i="33" s="1"/>
  <c r="E52" i="33" s="1"/>
  <c r="E53" i="33" s="1"/>
  <c r="E54" i="33" s="1"/>
  <c r="E55" i="33" s="1"/>
  <c r="E56" i="33" s="1"/>
  <c r="E57" i="33" s="1"/>
  <c r="E58" i="33" s="1"/>
  <c r="E59" i="33" s="1"/>
  <c r="E60" i="33" s="1"/>
  <c r="E61" i="33" s="1"/>
  <c r="E62" i="33" s="1"/>
  <c r="E63" i="33" s="1"/>
  <c r="E64" i="33" s="1"/>
  <c r="E65" i="33" s="1"/>
  <c r="E66" i="33" s="1"/>
  <c r="E67" i="33" s="1"/>
  <c r="E68" i="33" s="1"/>
  <c r="E69" i="33" s="1"/>
  <c r="E70" i="33" s="1"/>
  <c r="E71" i="33" s="1"/>
  <c r="E72" i="33" s="1"/>
  <c r="E73" i="33" s="1"/>
  <c r="E74" i="33" s="1"/>
  <c r="E75" i="33" s="1"/>
  <c r="E76" i="33" s="1"/>
  <c r="E77" i="33" s="1"/>
  <c r="BP9" i="17"/>
  <c r="BP11" i="17"/>
  <c r="BP12" i="17"/>
  <c r="C77" i="33" l="1"/>
  <c r="E78" i="33"/>
  <c r="T79" i="1"/>
  <c r="U78" i="1"/>
  <c r="G79" i="12"/>
  <c r="D79" i="33"/>
  <c r="E79" i="33" s="1"/>
  <c r="T78" i="1"/>
  <c r="B78" i="33"/>
  <c r="E78" i="12"/>
  <c r="V5" i="1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C78" i="33" l="1"/>
  <c r="T80" i="1"/>
  <c r="U79" i="1"/>
  <c r="G80" i="12"/>
  <c r="D80" i="33"/>
  <c r="E80" i="33" s="1"/>
  <c r="E79" i="12"/>
  <c r="B79" i="33"/>
  <c r="V6" i="1"/>
  <c r="M3" i="33"/>
  <c r="N2" i="33" s="1"/>
  <c r="C79" i="33" l="1"/>
  <c r="E80" i="12"/>
  <c r="B80" i="33"/>
  <c r="U80" i="1"/>
  <c r="G81" i="12"/>
  <c r="D81" i="33"/>
  <c r="E81" i="33" s="1"/>
  <c r="V7" i="1"/>
  <c r="S3" i="33"/>
  <c r="T2" i="33" s="1"/>
  <c r="K3" i="33"/>
  <c r="L2" i="33" s="1"/>
  <c r="O3" i="33"/>
  <c r="P2" i="33" s="1"/>
  <c r="Q3" i="33"/>
  <c r="R2" i="33" s="1"/>
  <c r="C80" i="33" l="1"/>
  <c r="B81" i="33"/>
  <c r="C81" i="33" s="1"/>
  <c r="E81" i="12"/>
  <c r="U81" i="1"/>
  <c r="G82" i="12"/>
  <c r="D82" i="33"/>
  <c r="E82" i="33" s="1"/>
  <c r="T81" i="1"/>
  <c r="V8" i="1"/>
  <c r="B211" i="33"/>
  <c r="C376" i="33"/>
  <c r="C377" i="33"/>
  <c r="C378" i="33"/>
  <c r="C379" i="33"/>
  <c r="C380" i="33"/>
  <c r="C381" i="33"/>
  <c r="C382" i="33"/>
  <c r="C383" i="33"/>
  <c r="C384" i="33"/>
  <c r="C385" i="33"/>
  <c r="C386" i="33"/>
  <c r="C387" i="33"/>
  <c r="C388" i="33"/>
  <c r="C389" i="33"/>
  <c r="C390" i="33"/>
  <c r="C391" i="33"/>
  <c r="C392" i="33"/>
  <c r="C393" i="33"/>
  <c r="C394" i="33"/>
  <c r="A384" i="33"/>
  <c r="A385" i="33"/>
  <c r="A386" i="33"/>
  <c r="A387" i="33"/>
  <c r="A388" i="33"/>
  <c r="A389" i="33"/>
  <c r="A390" i="33"/>
  <c r="A391" i="33"/>
  <c r="A392" i="33"/>
  <c r="A393" i="33"/>
  <c r="A394" i="33"/>
  <c r="A354" i="33"/>
  <c r="A355" i="33"/>
  <c r="A356" i="33"/>
  <c r="A357" i="33"/>
  <c r="A358" i="33"/>
  <c r="A359" i="33"/>
  <c r="A360" i="33"/>
  <c r="A361" i="33"/>
  <c r="A362" i="33"/>
  <c r="A363" i="33"/>
  <c r="A364" i="33"/>
  <c r="A365" i="33"/>
  <c r="A366" i="33"/>
  <c r="A367" i="33"/>
  <c r="A368" i="33"/>
  <c r="A369" i="33"/>
  <c r="A370" i="33"/>
  <c r="A371" i="33"/>
  <c r="A372" i="33"/>
  <c r="A373" i="33"/>
  <c r="A374" i="33"/>
  <c r="A375" i="33"/>
  <c r="A376" i="33"/>
  <c r="A377" i="33"/>
  <c r="A378" i="33"/>
  <c r="A379" i="33"/>
  <c r="A380" i="33"/>
  <c r="A381" i="33"/>
  <c r="A382" i="33"/>
  <c r="A383" i="33"/>
  <c r="A323" i="33"/>
  <c r="A324" i="33"/>
  <c r="A325" i="33"/>
  <c r="A326" i="33"/>
  <c r="A327" i="33"/>
  <c r="A328" i="33"/>
  <c r="A329" i="33"/>
  <c r="A330" i="33"/>
  <c r="A331" i="33"/>
  <c r="A332" i="33"/>
  <c r="A333" i="33"/>
  <c r="A334" i="33"/>
  <c r="A335" i="33"/>
  <c r="A336" i="33"/>
  <c r="A337" i="33"/>
  <c r="A338" i="33"/>
  <c r="A339" i="33"/>
  <c r="A340" i="33"/>
  <c r="A341" i="33"/>
  <c r="A342" i="33"/>
  <c r="A343" i="33"/>
  <c r="A344" i="33"/>
  <c r="A345" i="33"/>
  <c r="A346" i="33"/>
  <c r="A347" i="33"/>
  <c r="A348" i="33"/>
  <c r="A349" i="33"/>
  <c r="A350" i="33"/>
  <c r="A351" i="33"/>
  <c r="A352" i="33"/>
  <c r="A353" i="33"/>
  <c r="A212" i="33"/>
  <c r="A213" i="33"/>
  <c r="A214" i="33"/>
  <c r="A215" i="33"/>
  <c r="A216" i="33"/>
  <c r="A217" i="33"/>
  <c r="A218" i="33"/>
  <c r="A219" i="33"/>
  <c r="A220" i="33"/>
  <c r="A221" i="33"/>
  <c r="A222" i="33"/>
  <c r="A223" i="33"/>
  <c r="A224" i="33"/>
  <c r="A225" i="33"/>
  <c r="A226" i="33"/>
  <c r="A227" i="33"/>
  <c r="A228" i="33"/>
  <c r="A229" i="33"/>
  <c r="A230" i="33"/>
  <c r="A231" i="33"/>
  <c r="A232" i="33"/>
  <c r="A233" i="33"/>
  <c r="A234" i="33"/>
  <c r="A235" i="33"/>
  <c r="A236" i="33"/>
  <c r="A237" i="33"/>
  <c r="A238" i="33"/>
  <c r="A239" i="33"/>
  <c r="A240" i="33"/>
  <c r="A241" i="33"/>
  <c r="A242" i="33"/>
  <c r="A243" i="33"/>
  <c r="A244" i="33"/>
  <c r="A245" i="33"/>
  <c r="A246" i="33"/>
  <c r="A247" i="33"/>
  <c r="A248" i="33"/>
  <c r="A249" i="33"/>
  <c r="A250" i="33"/>
  <c r="A251" i="33"/>
  <c r="A252" i="33"/>
  <c r="A253" i="33"/>
  <c r="A254" i="33"/>
  <c r="A255" i="33"/>
  <c r="A256" i="33"/>
  <c r="A257" i="33"/>
  <c r="A258" i="33"/>
  <c r="A259" i="33"/>
  <c r="A260" i="33"/>
  <c r="A261" i="33"/>
  <c r="A262" i="33"/>
  <c r="A263" i="33"/>
  <c r="A264" i="33"/>
  <c r="A265" i="33"/>
  <c r="A266" i="33"/>
  <c r="A267" i="33"/>
  <c r="A268" i="33"/>
  <c r="A269" i="33"/>
  <c r="A270" i="33"/>
  <c r="A271" i="33"/>
  <c r="A272" i="33"/>
  <c r="A273" i="33"/>
  <c r="A274" i="33"/>
  <c r="A275" i="33"/>
  <c r="A276" i="33"/>
  <c r="A277" i="33"/>
  <c r="A278" i="33"/>
  <c r="A279" i="33"/>
  <c r="A280" i="33"/>
  <c r="A281" i="33"/>
  <c r="A282" i="33"/>
  <c r="A283" i="33"/>
  <c r="A284" i="33"/>
  <c r="A285" i="33"/>
  <c r="A286" i="33"/>
  <c r="A287" i="33"/>
  <c r="A288" i="33"/>
  <c r="A289" i="33"/>
  <c r="A290" i="33"/>
  <c r="A291" i="33"/>
  <c r="A292" i="33"/>
  <c r="A293" i="33"/>
  <c r="A294" i="33"/>
  <c r="A295" i="33"/>
  <c r="A296" i="33"/>
  <c r="A297" i="33"/>
  <c r="A298" i="33"/>
  <c r="A299" i="33"/>
  <c r="A300" i="33"/>
  <c r="A301" i="33"/>
  <c r="A302" i="33"/>
  <c r="A303" i="33"/>
  <c r="A304" i="33"/>
  <c r="A305" i="33"/>
  <c r="A306" i="33"/>
  <c r="A307" i="33"/>
  <c r="A308" i="33"/>
  <c r="A309" i="33"/>
  <c r="A310" i="33"/>
  <c r="A311" i="33"/>
  <c r="A312" i="33"/>
  <c r="A313" i="33"/>
  <c r="A314" i="33"/>
  <c r="A315" i="33"/>
  <c r="A316" i="33"/>
  <c r="A317" i="33"/>
  <c r="A318" i="33"/>
  <c r="A319" i="33"/>
  <c r="A320" i="33"/>
  <c r="A321" i="33"/>
  <c r="A322" i="33"/>
  <c r="A211" i="33"/>
  <c r="E82" i="12" l="1"/>
  <c r="B82" i="33"/>
  <c r="C82" i="33" s="1"/>
  <c r="G83" i="12"/>
  <c r="U82" i="1"/>
  <c r="D83" i="33"/>
  <c r="E83" i="33" s="1"/>
  <c r="T82" i="1"/>
  <c r="V9" i="1"/>
  <c r="E83" i="12" l="1"/>
  <c r="AA4" i="12" s="1"/>
  <c r="B83" i="33"/>
  <c r="C83" i="33" s="1"/>
  <c r="T84" i="1"/>
  <c r="U83" i="1"/>
  <c r="G84" i="12"/>
  <c r="D84" i="33"/>
  <c r="E84" i="33" s="1"/>
  <c r="T83" i="1"/>
  <c r="V10" i="1"/>
  <c r="P3" i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O81" i="1" s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N82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O82" i="1" l="1"/>
  <c r="E84" i="12"/>
  <c r="B84" i="33"/>
  <c r="C84" i="33" s="1"/>
  <c r="U84" i="1"/>
  <c r="G85" i="12"/>
  <c r="D85" i="33"/>
  <c r="E85" i="33" s="1"/>
  <c r="AA5" i="12"/>
  <c r="N4" i="15"/>
  <c r="V11" i="1"/>
  <c r="AS14" i="19"/>
  <c r="AS15" i="19"/>
  <c r="AS16" i="19"/>
  <c r="AS13" i="19"/>
  <c r="AM49" i="19"/>
  <c r="E85" i="12" l="1"/>
  <c r="B85" i="33"/>
  <c r="C85" i="33" s="1"/>
  <c r="U85" i="1"/>
  <c r="G86" i="12"/>
  <c r="D86" i="33"/>
  <c r="E86" i="33" s="1"/>
  <c r="T85" i="1"/>
  <c r="O8" i="15"/>
  <c r="V12" i="1"/>
  <c r="L8" i="18"/>
  <c r="L9" i="18" s="1"/>
  <c r="AH51" i="12"/>
  <c r="B86" i="33" l="1"/>
  <c r="C86" i="33" s="1"/>
  <c r="E86" i="12"/>
  <c r="U86" i="1"/>
  <c r="G87" i="12"/>
  <c r="D87" i="33"/>
  <c r="E87" i="33" s="1"/>
  <c r="T86" i="1"/>
  <c r="S6" i="15"/>
  <c r="V13" i="1"/>
  <c r="Q28" i="32"/>
  <c r="E87" i="12" l="1"/>
  <c r="B87" i="33"/>
  <c r="C87" i="33" s="1"/>
  <c r="U87" i="1"/>
  <c r="G88" i="12"/>
  <c r="D88" i="33"/>
  <c r="E88" i="33" s="1"/>
  <c r="T87" i="1"/>
  <c r="V14" i="1"/>
  <c r="BP10" i="17"/>
  <c r="BC3" i="17"/>
  <c r="BA3" i="17" s="1"/>
  <c r="BC4" i="17"/>
  <c r="BA4" i="17" s="1"/>
  <c r="BC5" i="17"/>
  <c r="BA5" i="17" s="1"/>
  <c r="BC2" i="17"/>
  <c r="BD2" i="17" s="1"/>
  <c r="E88" i="12" l="1"/>
  <c r="B88" i="33"/>
  <c r="C88" i="33" s="1"/>
  <c r="U88" i="1"/>
  <c r="G89" i="12"/>
  <c r="D89" i="33"/>
  <c r="E89" i="33" s="1"/>
  <c r="T88" i="1"/>
  <c r="V15" i="1"/>
  <c r="BB3" i="17"/>
  <c r="BD4" i="17"/>
  <c r="BD3" i="17"/>
  <c r="BB2" i="17"/>
  <c r="BA2" i="17"/>
  <c r="BB5" i="17"/>
  <c r="BD5" i="17"/>
  <c r="BB4" i="17"/>
  <c r="E89" i="12" l="1"/>
  <c r="B89" i="33"/>
  <c r="C89" i="33" s="1"/>
  <c r="U89" i="1"/>
  <c r="G90" i="12"/>
  <c r="D90" i="33"/>
  <c r="E90" i="33" s="1"/>
  <c r="T89" i="1"/>
  <c r="V16" i="1"/>
  <c r="BJ43" i="17"/>
  <c r="AQ43" i="17"/>
  <c r="E90" i="12" l="1"/>
  <c r="B90" i="33"/>
  <c r="C90" i="33" s="1"/>
  <c r="U90" i="1"/>
  <c r="G91" i="12"/>
  <c r="D91" i="33"/>
  <c r="E91" i="33" s="1"/>
  <c r="T90" i="1"/>
  <c r="V17" i="1"/>
  <c r="E23" i="2"/>
  <c r="E91" i="12" l="1"/>
  <c r="B91" i="33"/>
  <c r="C91" i="33" s="1"/>
  <c r="U91" i="1"/>
  <c r="G92" i="12"/>
  <c r="D92" i="33"/>
  <c r="E92" i="33" s="1"/>
  <c r="T91" i="1"/>
  <c r="V18" i="1"/>
  <c r="C22" i="2"/>
  <c r="E21" i="2"/>
  <c r="E20" i="2"/>
  <c r="E92" i="12" l="1"/>
  <c r="B92" i="33"/>
  <c r="C92" i="33" s="1"/>
  <c r="U92" i="1"/>
  <c r="G93" i="12"/>
  <c r="D93" i="33"/>
  <c r="E93" i="33" s="1"/>
  <c r="T92" i="1"/>
  <c r="V19" i="1"/>
  <c r="C132" i="22"/>
  <c r="D132" i="22"/>
  <c r="E132" i="22"/>
  <c r="C133" i="22"/>
  <c r="D133" i="22"/>
  <c r="E133" i="22"/>
  <c r="G133" i="22"/>
  <c r="C134" i="22"/>
  <c r="D134" i="22"/>
  <c r="E134" i="22"/>
  <c r="G134" i="22"/>
  <c r="B3" i="22"/>
  <c r="C3" i="22"/>
  <c r="D3" i="22"/>
  <c r="E3" i="22"/>
  <c r="F3" i="22"/>
  <c r="G3" i="22"/>
  <c r="B4" i="22"/>
  <c r="C4" i="22"/>
  <c r="D4" i="22"/>
  <c r="E4" i="22"/>
  <c r="F4" i="22"/>
  <c r="G4" i="22"/>
  <c r="B5" i="22"/>
  <c r="C5" i="22"/>
  <c r="D5" i="22"/>
  <c r="E5" i="22"/>
  <c r="F5" i="22"/>
  <c r="G5" i="22"/>
  <c r="C6" i="22"/>
  <c r="D6" i="22"/>
  <c r="E6" i="22"/>
  <c r="F6" i="22"/>
  <c r="G6" i="22"/>
  <c r="B7" i="22"/>
  <c r="C7" i="22"/>
  <c r="D7" i="22"/>
  <c r="E7" i="22"/>
  <c r="F7" i="22"/>
  <c r="G7" i="22"/>
  <c r="B8" i="22"/>
  <c r="C8" i="22"/>
  <c r="D8" i="22"/>
  <c r="E8" i="22"/>
  <c r="F8" i="22"/>
  <c r="G8" i="22"/>
  <c r="B9" i="22"/>
  <c r="D9" i="22"/>
  <c r="B10" i="22"/>
  <c r="D10" i="22"/>
  <c r="D11" i="22"/>
  <c r="B12" i="22"/>
  <c r="D12" i="22"/>
  <c r="B13" i="22"/>
  <c r="D13" i="22"/>
  <c r="B14" i="22"/>
  <c r="D14" i="22"/>
  <c r="D15" i="22"/>
  <c r="D16" i="22"/>
  <c r="B17" i="22"/>
  <c r="D17" i="22"/>
  <c r="B18" i="22"/>
  <c r="D18" i="22"/>
  <c r="B19" i="22"/>
  <c r="D19" i="22"/>
  <c r="B20" i="22"/>
  <c r="D20" i="22"/>
  <c r="B21" i="22"/>
  <c r="D21" i="22"/>
  <c r="D22" i="22"/>
  <c r="B23" i="22"/>
  <c r="D23" i="22"/>
  <c r="B24" i="22"/>
  <c r="D24" i="22"/>
  <c r="B25" i="22"/>
  <c r="D25" i="22"/>
  <c r="B26" i="22"/>
  <c r="D26" i="22"/>
  <c r="D27" i="22"/>
  <c r="B28" i="22"/>
  <c r="D28" i="22"/>
  <c r="B29" i="22"/>
  <c r="D29" i="22"/>
  <c r="B30" i="22"/>
  <c r="D30" i="22"/>
  <c r="D31" i="22"/>
  <c r="B32" i="22"/>
  <c r="D32" i="22"/>
  <c r="B33" i="22"/>
  <c r="D33" i="22"/>
  <c r="B34" i="22"/>
  <c r="D34" i="22"/>
  <c r="D35" i="22"/>
  <c r="D36" i="22"/>
  <c r="B37" i="22"/>
  <c r="D37" i="22"/>
  <c r="B38" i="22"/>
  <c r="D38" i="22"/>
  <c r="B39" i="22"/>
  <c r="D39" i="22"/>
  <c r="B40" i="22"/>
  <c r="D40" i="22"/>
  <c r="B41" i="22"/>
  <c r="D41" i="22"/>
  <c r="D42" i="22"/>
  <c r="B43" i="22"/>
  <c r="D43" i="22"/>
  <c r="B44" i="22"/>
  <c r="D44" i="22"/>
  <c r="B45" i="22"/>
  <c r="D45" i="22"/>
  <c r="B46" i="22"/>
  <c r="D46" i="22"/>
  <c r="D47" i="22"/>
  <c r="B48" i="22"/>
  <c r="D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D68" i="22"/>
  <c r="E68" i="22"/>
  <c r="D69" i="22"/>
  <c r="E69" i="22"/>
  <c r="D70" i="22"/>
  <c r="E70" i="22"/>
  <c r="D71" i="22"/>
  <c r="E71" i="22"/>
  <c r="D72" i="22"/>
  <c r="E72" i="22"/>
  <c r="D73" i="22"/>
  <c r="E73" i="22"/>
  <c r="C74" i="22"/>
  <c r="D74" i="22"/>
  <c r="E74" i="22"/>
  <c r="F74" i="22"/>
  <c r="G74" i="22"/>
  <c r="C75" i="22"/>
  <c r="D75" i="22"/>
  <c r="E75" i="22"/>
  <c r="F75" i="22"/>
  <c r="G75" i="22"/>
  <c r="C76" i="22"/>
  <c r="D76" i="22"/>
  <c r="E76" i="22"/>
  <c r="F76" i="22"/>
  <c r="C77" i="22"/>
  <c r="D77" i="22"/>
  <c r="E77" i="22"/>
  <c r="F77" i="22"/>
  <c r="C78" i="22"/>
  <c r="D78" i="22"/>
  <c r="E78" i="22"/>
  <c r="F78" i="22"/>
  <c r="D79" i="22"/>
  <c r="E79" i="22"/>
  <c r="D80" i="22"/>
  <c r="E80" i="22"/>
  <c r="D81" i="22"/>
  <c r="E81" i="22"/>
  <c r="C82" i="22"/>
  <c r="D82" i="22"/>
  <c r="E82" i="22"/>
  <c r="F82" i="22"/>
  <c r="G82" i="22"/>
  <c r="C83" i="22"/>
  <c r="D83" i="22"/>
  <c r="E83" i="22"/>
  <c r="F83" i="22"/>
  <c r="G83" i="22"/>
  <c r="C84" i="22"/>
  <c r="D84" i="22"/>
  <c r="E84" i="22"/>
  <c r="F84" i="22"/>
  <c r="G84" i="22"/>
  <c r="C85" i="22"/>
  <c r="D85" i="22"/>
  <c r="E85" i="22"/>
  <c r="G85" i="22"/>
  <c r="C86" i="22"/>
  <c r="D86" i="22"/>
  <c r="E86" i="22"/>
  <c r="G86" i="22"/>
  <c r="C87" i="22"/>
  <c r="D87" i="22"/>
  <c r="E87" i="22"/>
  <c r="G87" i="22"/>
  <c r="C88" i="22"/>
  <c r="D88" i="22"/>
  <c r="E88" i="22"/>
  <c r="F88" i="22"/>
  <c r="G88" i="22"/>
  <c r="C89" i="22"/>
  <c r="D89" i="22"/>
  <c r="E89" i="22"/>
  <c r="F89" i="22"/>
  <c r="C90" i="22"/>
  <c r="D90" i="22"/>
  <c r="E90" i="22"/>
  <c r="F90" i="22"/>
  <c r="B91" i="22"/>
  <c r="C91" i="22"/>
  <c r="D91" i="22"/>
  <c r="E91" i="22"/>
  <c r="F91" i="22"/>
  <c r="B92" i="22"/>
  <c r="C92" i="22"/>
  <c r="D92" i="22"/>
  <c r="E92" i="22"/>
  <c r="F92" i="22"/>
  <c r="B93" i="22"/>
  <c r="C93" i="22"/>
  <c r="D93" i="22"/>
  <c r="E93" i="22"/>
  <c r="F93" i="22"/>
  <c r="C94" i="22"/>
  <c r="D94" i="22"/>
  <c r="E94" i="22"/>
  <c r="F94" i="22"/>
  <c r="B95" i="22"/>
  <c r="E95" i="22"/>
  <c r="B96" i="22"/>
  <c r="E96" i="22"/>
  <c r="B97" i="22"/>
  <c r="E97" i="22"/>
  <c r="B98" i="22"/>
  <c r="C98" i="22"/>
  <c r="E98" i="22"/>
  <c r="B99" i="22"/>
  <c r="C99" i="22"/>
  <c r="E99" i="22"/>
  <c r="B100" i="22"/>
  <c r="C100" i="22"/>
  <c r="E100" i="22"/>
  <c r="B101" i="22"/>
  <c r="C101" i="22"/>
  <c r="D101" i="22"/>
  <c r="E101" i="22"/>
  <c r="F101" i="22"/>
  <c r="G101" i="22"/>
  <c r="B102" i="22"/>
  <c r="C102" i="22"/>
  <c r="D102" i="22"/>
  <c r="E102" i="22"/>
  <c r="F102" i="22"/>
  <c r="G102" i="22"/>
  <c r="B103" i="22"/>
  <c r="C103" i="22"/>
  <c r="D103" i="22"/>
  <c r="E103" i="22"/>
  <c r="F103" i="22"/>
  <c r="G103" i="22"/>
  <c r="B104" i="22"/>
  <c r="C104" i="22"/>
  <c r="D104" i="22"/>
  <c r="E104" i="22"/>
  <c r="F104" i="22"/>
  <c r="G104" i="22"/>
  <c r="B105" i="22"/>
  <c r="C105" i="22"/>
  <c r="D105" i="22"/>
  <c r="E105" i="22"/>
  <c r="F105" i="22"/>
  <c r="G105" i="22"/>
  <c r="C106" i="22"/>
  <c r="D106" i="22"/>
  <c r="E106" i="22"/>
  <c r="F106" i="22"/>
  <c r="G106" i="22"/>
  <c r="C107" i="22"/>
  <c r="D107" i="22"/>
  <c r="E107" i="22"/>
  <c r="F107" i="22"/>
  <c r="G107" i="22"/>
  <c r="C108" i="22"/>
  <c r="D108" i="22"/>
  <c r="E108" i="22"/>
  <c r="F108" i="22"/>
  <c r="G108" i="22"/>
  <c r="E109" i="22"/>
  <c r="C110" i="22"/>
  <c r="D110" i="22"/>
  <c r="E110" i="22"/>
  <c r="F110" i="22"/>
  <c r="G110" i="22"/>
  <c r="C111" i="22"/>
  <c r="D111" i="22"/>
  <c r="E111" i="22"/>
  <c r="F111" i="22"/>
  <c r="G111" i="22"/>
  <c r="C112" i="22"/>
  <c r="D112" i="22"/>
  <c r="E112" i="22"/>
  <c r="F112" i="22"/>
  <c r="G112" i="22"/>
  <c r="E113" i="22"/>
  <c r="C114" i="22"/>
  <c r="D114" i="22"/>
  <c r="E114" i="22"/>
  <c r="C115" i="22"/>
  <c r="E115" i="22"/>
  <c r="C116" i="22"/>
  <c r="E116" i="22"/>
  <c r="C117" i="22"/>
  <c r="E117" i="22"/>
  <c r="C118" i="22"/>
  <c r="E118" i="22"/>
  <c r="C119" i="22"/>
  <c r="D119" i="22"/>
  <c r="E119" i="22"/>
  <c r="C120" i="22"/>
  <c r="D120" i="22"/>
  <c r="E120" i="22"/>
  <c r="C121" i="22"/>
  <c r="D121" i="22"/>
  <c r="E121" i="22"/>
  <c r="C122" i="22"/>
  <c r="D122" i="22"/>
  <c r="E122" i="22"/>
  <c r="C123" i="22"/>
  <c r="D123" i="22"/>
  <c r="E123" i="22"/>
  <c r="C124" i="22"/>
  <c r="D124" i="22"/>
  <c r="E124" i="22"/>
  <c r="C125" i="22"/>
  <c r="D125" i="22"/>
  <c r="E125" i="22"/>
  <c r="C126" i="22"/>
  <c r="D126" i="22"/>
  <c r="E126" i="22"/>
  <c r="C127" i="22"/>
  <c r="D127" i="22"/>
  <c r="E127" i="22"/>
  <c r="C128" i="22"/>
  <c r="D128" i="22"/>
  <c r="E128" i="22"/>
  <c r="C129" i="22"/>
  <c r="D129" i="22"/>
  <c r="E129" i="22"/>
  <c r="G129" i="22"/>
  <c r="C130" i="22"/>
  <c r="D130" i="22"/>
  <c r="E130" i="22"/>
  <c r="C131" i="22"/>
  <c r="D131" i="22"/>
  <c r="E131" i="22"/>
  <c r="B93" i="33" l="1"/>
  <c r="C93" i="33" s="1"/>
  <c r="E93" i="12"/>
  <c r="G94" i="12"/>
  <c r="U93" i="1"/>
  <c r="D94" i="33"/>
  <c r="E94" i="33" s="1"/>
  <c r="T93" i="1"/>
  <c r="V20" i="1"/>
  <c r="P27" i="32"/>
  <c r="H2" i="32"/>
  <c r="E94" i="12" l="1"/>
  <c r="B94" i="33"/>
  <c r="C94" i="33" s="1"/>
  <c r="U94" i="1"/>
  <c r="G95" i="12"/>
  <c r="D95" i="33"/>
  <c r="E95" i="33" s="1"/>
  <c r="T94" i="1"/>
  <c r="V21" i="1"/>
  <c r="T8" i="32"/>
  <c r="T7" i="32"/>
  <c r="E95" i="12" l="1"/>
  <c r="B95" i="33"/>
  <c r="C95" i="33" s="1"/>
  <c r="U95" i="1"/>
  <c r="G96" i="12"/>
  <c r="D96" i="33"/>
  <c r="E96" i="33" s="1"/>
  <c r="T95" i="1"/>
  <c r="V22" i="1"/>
  <c r="E3" i="32"/>
  <c r="G3" i="32" s="1"/>
  <c r="E2" i="32"/>
  <c r="G2" i="32" s="1"/>
  <c r="B96" i="33" l="1"/>
  <c r="C96" i="33" s="1"/>
  <c r="E96" i="12"/>
  <c r="U96" i="1"/>
  <c r="G97" i="12"/>
  <c r="D97" i="33"/>
  <c r="E97" i="33" s="1"/>
  <c r="T96" i="1"/>
  <c r="V23" i="1"/>
  <c r="F2" i="32"/>
  <c r="F3" i="32"/>
  <c r="E97" i="12" l="1"/>
  <c r="B97" i="33"/>
  <c r="C97" i="33" s="1"/>
  <c r="U97" i="1"/>
  <c r="G98" i="12"/>
  <c r="D98" i="33"/>
  <c r="E98" i="33" s="1"/>
  <c r="T97" i="1"/>
  <c r="V24" i="1"/>
  <c r="B98" i="33" l="1"/>
  <c r="C98" i="33" s="1"/>
  <c r="E98" i="12"/>
  <c r="U98" i="1"/>
  <c r="G99" i="12"/>
  <c r="D99" i="33"/>
  <c r="E99" i="33" s="1"/>
  <c r="T98" i="1"/>
  <c r="V25" i="1"/>
  <c r="E99" i="12" l="1"/>
  <c r="B99" i="33"/>
  <c r="C99" i="33" s="1"/>
  <c r="U99" i="1"/>
  <c r="G100" i="12"/>
  <c r="D100" i="33"/>
  <c r="E100" i="33" s="1"/>
  <c r="T99" i="1"/>
  <c r="V26" i="1"/>
  <c r="E100" i="12" l="1"/>
  <c r="B100" i="33"/>
  <c r="C100" i="33" s="1"/>
  <c r="G101" i="12"/>
  <c r="U100" i="1"/>
  <c r="D101" i="33"/>
  <c r="E101" i="33" s="1"/>
  <c r="T100" i="1"/>
  <c r="V27" i="1"/>
  <c r="E101" i="12" l="1"/>
  <c r="B101" i="33"/>
  <c r="C101" i="33" s="1"/>
  <c r="U101" i="1"/>
  <c r="G102" i="12"/>
  <c r="D102" i="33"/>
  <c r="E102" i="33" s="1"/>
  <c r="T101" i="1"/>
  <c r="V28" i="1"/>
  <c r="C90" i="17"/>
  <c r="E90" i="17"/>
  <c r="F90" i="17"/>
  <c r="C91" i="17"/>
  <c r="E91" i="17"/>
  <c r="F91" i="17"/>
  <c r="C92" i="17"/>
  <c r="F92" i="17"/>
  <c r="C93" i="17"/>
  <c r="F93" i="17"/>
  <c r="C94" i="17"/>
  <c r="D94" i="17"/>
  <c r="E94" i="17"/>
  <c r="F94" i="17"/>
  <c r="C95" i="17"/>
  <c r="D95" i="17"/>
  <c r="E95" i="17"/>
  <c r="F95" i="17"/>
  <c r="C96" i="17"/>
  <c r="D96" i="17"/>
  <c r="E96" i="17"/>
  <c r="F96" i="17"/>
  <c r="C97" i="17"/>
  <c r="D97" i="17"/>
  <c r="E97" i="17"/>
  <c r="F97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E102" i="12" l="1"/>
  <c r="B102" i="33"/>
  <c r="C102" i="33" s="1"/>
  <c r="G103" i="12"/>
  <c r="U102" i="1"/>
  <c r="D103" i="33"/>
  <c r="E103" i="33" s="1"/>
  <c r="T102" i="1"/>
  <c r="V29" i="1"/>
  <c r="E93" i="17"/>
  <c r="E92" i="17"/>
  <c r="B103" i="33" l="1"/>
  <c r="C103" i="33" s="1"/>
  <c r="E103" i="12"/>
  <c r="V30" i="1"/>
  <c r="E2" i="23"/>
  <c r="V31" i="1" l="1"/>
  <c r="Y31" i="14"/>
  <c r="V32" i="1" l="1"/>
  <c r="E18" i="28"/>
  <c r="E19" i="28"/>
  <c r="E20" i="28"/>
  <c r="V33" i="1" l="1"/>
  <c r="J1" i="30"/>
  <c r="V34" i="1" l="1"/>
  <c r="H2" i="28"/>
  <c r="V35" i="1" l="1"/>
  <c r="V36" i="1" l="1"/>
  <c r="V37" i="1" l="1"/>
  <c r="E18" i="2"/>
  <c r="V38" i="1" l="1"/>
  <c r="Q68" i="18"/>
  <c r="Q69" i="18"/>
  <c r="Q70" i="18"/>
  <c r="Q71" i="18"/>
  <c r="Q72" i="18"/>
  <c r="Q73" i="18"/>
  <c r="Q74" i="18"/>
  <c r="Q75" i="18"/>
  <c r="Q76" i="18"/>
  <c r="Q77" i="18"/>
  <c r="Q78" i="18"/>
  <c r="Q79" i="18"/>
  <c r="Q80" i="18"/>
  <c r="Q81" i="18"/>
  <c r="Q82" i="18"/>
  <c r="Q83" i="18"/>
  <c r="Q84" i="18"/>
  <c r="Q85" i="18"/>
  <c r="Q86" i="18"/>
  <c r="Q87" i="18"/>
  <c r="Q88" i="18"/>
  <c r="Q46" i="18"/>
  <c r="Q47" i="18"/>
  <c r="Q48" i="18"/>
  <c r="Q49" i="18"/>
  <c r="Q50" i="18"/>
  <c r="Q51" i="18"/>
  <c r="Q52" i="18"/>
  <c r="Q53" i="18"/>
  <c r="Q54" i="18"/>
  <c r="Q55" i="18"/>
  <c r="Q56" i="18"/>
  <c r="Q57" i="18"/>
  <c r="Q58" i="18"/>
  <c r="Q59" i="18"/>
  <c r="Q60" i="18"/>
  <c r="Q61" i="18"/>
  <c r="Q62" i="18"/>
  <c r="Q63" i="18"/>
  <c r="Q64" i="18"/>
  <c r="Q65" i="18"/>
  <c r="Q66" i="18"/>
  <c r="Q6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Q38" i="18"/>
  <c r="Q39" i="18"/>
  <c r="Q40" i="18"/>
  <c r="Q41" i="18"/>
  <c r="Q42" i="18"/>
  <c r="Q43" i="18"/>
  <c r="Q44" i="18"/>
  <c r="Q45" i="18"/>
  <c r="V39" i="1" l="1"/>
  <c r="V40" i="1" l="1"/>
  <c r="V41" i="1" l="1"/>
  <c r="V42" i="1" l="1"/>
  <c r="V43" i="1" l="1"/>
  <c r="V44" i="1" l="1"/>
  <c r="V45" i="1" l="1"/>
  <c r="G59" i="20"/>
  <c r="G60" i="20"/>
  <c r="G75" i="20" s="1"/>
  <c r="G61" i="20"/>
  <c r="G62" i="20"/>
  <c r="G77" i="20" s="1"/>
  <c r="G92" i="20" s="1"/>
  <c r="G63" i="20"/>
  <c r="G64" i="20"/>
  <c r="G65" i="20"/>
  <c r="G80" i="20" s="1"/>
  <c r="G66" i="20"/>
  <c r="G67" i="20"/>
  <c r="G68" i="20"/>
  <c r="G83" i="20" s="1"/>
  <c r="G69" i="20"/>
  <c r="G70" i="20"/>
  <c r="G85" i="20" s="1"/>
  <c r="G100" i="20" s="1"/>
  <c r="G71" i="20"/>
  <c r="G72" i="20"/>
  <c r="G74" i="20"/>
  <c r="G76" i="20"/>
  <c r="G91" i="20" s="1"/>
  <c r="G82" i="20"/>
  <c r="G84" i="20"/>
  <c r="G99" i="20" s="1"/>
  <c r="G106" i="20"/>
  <c r="G114" i="20"/>
  <c r="G29" i="20"/>
  <c r="G30" i="20"/>
  <c r="G45" i="20" s="1"/>
  <c r="G31" i="20"/>
  <c r="G32" i="20"/>
  <c r="G33" i="20"/>
  <c r="G48" i="20" s="1"/>
  <c r="G34" i="20"/>
  <c r="G35" i="20"/>
  <c r="G36" i="20"/>
  <c r="G37" i="20"/>
  <c r="G38" i="20"/>
  <c r="G53" i="20" s="1"/>
  <c r="G39" i="20"/>
  <c r="G40" i="20"/>
  <c r="G41" i="20"/>
  <c r="G56" i="20" s="1"/>
  <c r="G42" i="20"/>
  <c r="G44" i="20"/>
  <c r="G47" i="20"/>
  <c r="G52" i="20"/>
  <c r="G55" i="20"/>
  <c r="G28" i="20"/>
  <c r="V46" i="1" l="1"/>
  <c r="G129" i="20"/>
  <c r="G97" i="20"/>
  <c r="G81" i="20"/>
  <c r="G121" i="20"/>
  <c r="G89" i="20"/>
  <c r="G95" i="20"/>
  <c r="G98" i="20"/>
  <c r="G115" i="20"/>
  <c r="G107" i="20"/>
  <c r="G90" i="20"/>
  <c r="G87" i="20"/>
  <c r="G79" i="20"/>
  <c r="G86" i="20"/>
  <c r="G78" i="20"/>
  <c r="G43" i="20"/>
  <c r="G51" i="20"/>
  <c r="G50" i="20"/>
  <c r="G57" i="20"/>
  <c r="G49" i="20"/>
  <c r="G54" i="20"/>
  <c r="G46" i="20"/>
  <c r="V47" i="1" l="1"/>
  <c r="G58" i="20"/>
  <c r="G104" i="20"/>
  <c r="G144" i="20"/>
  <c r="G122" i="20"/>
  <c r="G136" i="20"/>
  <c r="G105" i="20"/>
  <c r="G112" i="20"/>
  <c r="G93" i="20"/>
  <c r="G101" i="20"/>
  <c r="G130" i="20"/>
  <c r="G94" i="20"/>
  <c r="G113" i="20"/>
  <c r="G96" i="20"/>
  <c r="G102" i="20"/>
  <c r="G110" i="20"/>
  <c r="V48" i="1" l="1"/>
  <c r="G73" i="20"/>
  <c r="G145" i="20"/>
  <c r="G120" i="20"/>
  <c r="G128" i="20"/>
  <c r="G151" i="20"/>
  <c r="G109" i="20"/>
  <c r="G137" i="20"/>
  <c r="G108" i="20"/>
  <c r="G111" i="20"/>
  <c r="G119" i="20"/>
  <c r="G116" i="20"/>
  <c r="G125" i="20"/>
  <c r="G117" i="20"/>
  <c r="G127" i="20"/>
  <c r="G159" i="20"/>
  <c r="V49" i="1" l="1"/>
  <c r="G88" i="20"/>
  <c r="G124" i="20"/>
  <c r="G126" i="20"/>
  <c r="G166" i="20"/>
  <c r="G132" i="20"/>
  <c r="G143" i="20"/>
  <c r="G140" i="20"/>
  <c r="G123" i="20"/>
  <c r="G174" i="20"/>
  <c r="G152" i="20"/>
  <c r="G131" i="20"/>
  <c r="G135" i="20"/>
  <c r="G142" i="20"/>
  <c r="G134" i="20"/>
  <c r="G160" i="20"/>
  <c r="V50" i="1" l="1"/>
  <c r="G103" i="20"/>
  <c r="G139" i="20"/>
  <c r="G138" i="20"/>
  <c r="G175" i="20"/>
  <c r="G146" i="20"/>
  <c r="G155" i="20"/>
  <c r="G167" i="20"/>
  <c r="G157" i="20"/>
  <c r="G147" i="20"/>
  <c r="G150" i="20"/>
  <c r="G149" i="20"/>
  <c r="G158" i="20"/>
  <c r="G141" i="20"/>
  <c r="V51" i="1" l="1"/>
  <c r="G118" i="20"/>
  <c r="G165" i="20"/>
  <c r="G156" i="20"/>
  <c r="G170" i="20"/>
  <c r="G154" i="20"/>
  <c r="G173" i="20"/>
  <c r="G161" i="20"/>
  <c r="G162" i="20"/>
  <c r="G164" i="20"/>
  <c r="G172" i="20"/>
  <c r="G153" i="20"/>
  <c r="V52" i="1" l="1"/>
  <c r="G133" i="20"/>
  <c r="G168" i="20"/>
  <c r="G171" i="20"/>
  <c r="G169" i="20"/>
  <c r="G177" i="20"/>
  <c r="G176" i="20"/>
  <c r="V53" i="1" l="1"/>
  <c r="G148" i="20"/>
  <c r="V54" i="1" l="1"/>
  <c r="G163" i="20"/>
  <c r="V55" i="1" l="1"/>
  <c r="F42" i="20"/>
  <c r="F57" i="20" s="1"/>
  <c r="F72" i="20" s="1"/>
  <c r="F87" i="20" s="1"/>
  <c r="F102" i="20" s="1"/>
  <c r="F117" i="20" s="1"/>
  <c r="F132" i="20" s="1"/>
  <c r="F147" i="20" s="1"/>
  <c r="F162" i="20" s="1"/>
  <c r="F177" i="20" s="1"/>
  <c r="V56" i="1" l="1"/>
  <c r="L73" i="30"/>
  <c r="L74" i="30"/>
  <c r="L75" i="30"/>
  <c r="L76" i="30"/>
  <c r="L77" i="30"/>
  <c r="L78" i="30"/>
  <c r="L79" i="30"/>
  <c r="L80" i="30"/>
  <c r="L81" i="30"/>
  <c r="L82" i="30"/>
  <c r="L83" i="30"/>
  <c r="L84" i="30"/>
  <c r="L85" i="30"/>
  <c r="L86" i="30"/>
  <c r="L87" i="30"/>
  <c r="L88" i="30"/>
  <c r="L89" i="30"/>
  <c r="L90" i="30"/>
  <c r="L91" i="30"/>
  <c r="L92" i="30"/>
  <c r="L93" i="30"/>
  <c r="L72" i="30"/>
  <c r="V57" i="1" l="1"/>
  <c r="K4" i="20"/>
  <c r="K5" i="20"/>
  <c r="K6" i="20"/>
  <c r="K7" i="20"/>
  <c r="K8" i="20"/>
  <c r="K3" i="20"/>
  <c r="L4" i="20"/>
  <c r="V58" i="1" l="1"/>
  <c r="M4" i="20"/>
  <c r="L5" i="20"/>
  <c r="E1" i="20"/>
  <c r="V59" i="1" l="1"/>
  <c r="M5" i="20"/>
  <c r="L6" i="20"/>
  <c r="L7" i="20" s="1"/>
  <c r="Q2" i="15"/>
  <c r="V60" i="1" l="1"/>
  <c r="M6" i="20"/>
  <c r="V61" i="1" l="1"/>
  <c r="M7" i="20"/>
  <c r="L8" i="20"/>
  <c r="M8" i="20" s="1"/>
  <c r="N7" i="14"/>
  <c r="N8" i="14"/>
  <c r="N9" i="14"/>
  <c r="N10" i="14"/>
  <c r="N11" i="14"/>
  <c r="N12" i="14"/>
  <c r="N13" i="14"/>
  <c r="N14" i="14"/>
  <c r="N15" i="14"/>
  <c r="N16" i="14"/>
  <c r="N17" i="14"/>
  <c r="N27" i="14"/>
  <c r="N6" i="14"/>
  <c r="M22" i="14"/>
  <c r="M79" i="14"/>
  <c r="M81" i="14"/>
  <c r="M83" i="14"/>
  <c r="M84" i="14"/>
  <c r="M85" i="14"/>
  <c r="M6" i="14"/>
  <c r="Y32" i="14"/>
  <c r="Y33" i="14" s="1"/>
  <c r="Y34" i="14" s="1"/>
  <c r="Y35" i="14" s="1"/>
  <c r="N47" i="14" s="1"/>
  <c r="V62" i="1" l="1"/>
  <c r="N23" i="14"/>
  <c r="N21" i="14"/>
  <c r="N53" i="14"/>
  <c r="N51" i="14"/>
  <c r="N49" i="14"/>
  <c r="N19" i="14"/>
  <c r="N22" i="14"/>
  <c r="N25" i="14"/>
  <c r="M20" i="14"/>
  <c r="N43" i="14"/>
  <c r="N35" i="14"/>
  <c r="N39" i="14"/>
  <c r="M9" i="14"/>
  <c r="N31" i="14"/>
  <c r="M24" i="14"/>
  <c r="N52" i="14"/>
  <c r="N44" i="14"/>
  <c r="N36" i="14"/>
  <c r="N28" i="14"/>
  <c r="N20" i="14"/>
  <c r="N42" i="14"/>
  <c r="N26" i="14"/>
  <c r="M18" i="14"/>
  <c r="N41" i="14"/>
  <c r="N33" i="14"/>
  <c r="N50" i="14"/>
  <c r="N34" i="14"/>
  <c r="N18" i="14"/>
  <c r="M12" i="14"/>
  <c r="N48" i="14"/>
  <c r="N40" i="14"/>
  <c r="N32" i="14"/>
  <c r="N24" i="14"/>
  <c r="N46" i="14"/>
  <c r="N38" i="14"/>
  <c r="N30" i="14"/>
  <c r="M7" i="14"/>
  <c r="N45" i="14"/>
  <c r="N37" i="14"/>
  <c r="N29" i="14"/>
  <c r="M21" i="14"/>
  <c r="M13" i="14"/>
  <c r="M30" i="14"/>
  <c r="M10" i="14"/>
  <c r="Y36" i="14"/>
  <c r="Y37" i="14" s="1"/>
  <c r="N58" i="14" s="1"/>
  <c r="M26" i="14"/>
  <c r="M29" i="14"/>
  <c r="M14" i="14"/>
  <c r="M82" i="14"/>
  <c r="M34" i="14"/>
  <c r="M36" i="14"/>
  <c r="M28" i="14"/>
  <c r="M43" i="14"/>
  <c r="M35" i="14"/>
  <c r="M27" i="14"/>
  <c r="M19" i="14"/>
  <c r="M11" i="14"/>
  <c r="M33" i="14"/>
  <c r="M17" i="14"/>
  <c r="M32" i="14"/>
  <c r="M16" i="14"/>
  <c r="M8" i="14"/>
  <c r="M25" i="14"/>
  <c r="M31" i="14"/>
  <c r="M23" i="14"/>
  <c r="M15" i="14"/>
  <c r="V63" i="1" l="1"/>
  <c r="N54" i="14"/>
  <c r="M47" i="14"/>
  <c r="N62" i="14"/>
  <c r="N60" i="14"/>
  <c r="N55" i="14"/>
  <c r="N57" i="14"/>
  <c r="N68" i="14"/>
  <c r="N70" i="14"/>
  <c r="N65" i="14"/>
  <c r="M48" i="14"/>
  <c r="Y38" i="14"/>
  <c r="N73" i="14" s="1"/>
  <c r="N63" i="14"/>
  <c r="N71" i="14"/>
  <c r="N67" i="14"/>
  <c r="N59" i="14"/>
  <c r="N61" i="14"/>
  <c r="N69" i="14"/>
  <c r="N56" i="14"/>
  <c r="N64" i="14"/>
  <c r="N66" i="14"/>
  <c r="M55" i="14"/>
  <c r="M51" i="14"/>
  <c r="M41" i="14"/>
  <c r="M44" i="14"/>
  <c r="M54" i="14"/>
  <c r="M52" i="14"/>
  <c r="M38" i="14"/>
  <c r="M42" i="14"/>
  <c r="M40" i="14"/>
  <c r="M53" i="14"/>
  <c r="M39" i="14"/>
  <c r="M49" i="14"/>
  <c r="M46" i="14"/>
  <c r="M80" i="14"/>
  <c r="M56" i="14"/>
  <c r="M37" i="14"/>
  <c r="M45" i="14"/>
  <c r="V64" i="1" l="1"/>
  <c r="N78" i="14"/>
  <c r="N72" i="14"/>
  <c r="N79" i="14"/>
  <c r="N75" i="14"/>
  <c r="Y39" i="14"/>
  <c r="N87" i="14" s="1"/>
  <c r="M57" i="14"/>
  <c r="N77" i="14"/>
  <c r="N80" i="14"/>
  <c r="M59" i="14"/>
  <c r="N76" i="14"/>
  <c r="N74" i="14"/>
  <c r="M50" i="14"/>
  <c r="V65" i="1" l="1"/>
  <c r="N89" i="14"/>
  <c r="M71" i="14"/>
  <c r="N85" i="14"/>
  <c r="N86" i="14"/>
  <c r="N88" i="14"/>
  <c r="N82" i="14"/>
  <c r="M73" i="14"/>
  <c r="M58" i="14"/>
  <c r="M60" i="14"/>
  <c r="M67" i="14"/>
  <c r="M63" i="14"/>
  <c r="M74" i="14"/>
  <c r="M70" i="14"/>
  <c r="N84" i="14"/>
  <c r="M75" i="14"/>
  <c r="M64" i="14"/>
  <c r="N81" i="14"/>
  <c r="M72" i="14"/>
  <c r="M77" i="14"/>
  <c r="M68" i="14"/>
  <c r="M69" i="14"/>
  <c r="M62" i="14"/>
  <c r="M61" i="14"/>
  <c r="M66" i="14"/>
  <c r="M65" i="14"/>
  <c r="M78" i="14"/>
  <c r="M76" i="14"/>
  <c r="N83" i="14"/>
  <c r="AK17" i="12"/>
  <c r="AK18" i="12"/>
  <c r="AK19" i="12"/>
  <c r="AK20" i="12"/>
  <c r="AK21" i="12"/>
  <c r="AK22" i="12"/>
  <c r="AJ17" i="12"/>
  <c r="AJ18" i="12"/>
  <c r="AJ19" i="12"/>
  <c r="AJ20" i="12"/>
  <c r="AJ21" i="12"/>
  <c r="AJ22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4" i="12"/>
  <c r="V66" i="1" l="1"/>
  <c r="AC13" i="12"/>
  <c r="AB13" i="12"/>
  <c r="I3" i="2"/>
  <c r="AB17" i="12"/>
  <c r="AB15" i="12" s="1"/>
  <c r="V67" i="1" l="1"/>
  <c r="N2" i="15"/>
  <c r="V68" i="1" l="1"/>
  <c r="C47" i="20"/>
  <c r="C50" i="20"/>
  <c r="F26" i="20"/>
  <c r="F41" i="20" s="1"/>
  <c r="F56" i="20" s="1"/>
  <c r="F71" i="20" s="1"/>
  <c r="F86" i="20" s="1"/>
  <c r="F101" i="20" s="1"/>
  <c r="F116" i="20" s="1"/>
  <c r="F131" i="20" s="1"/>
  <c r="F146" i="20" s="1"/>
  <c r="F161" i="20" s="1"/>
  <c r="F176" i="20" s="1"/>
  <c r="V69" i="1" l="1"/>
  <c r="F25" i="20"/>
  <c r="F40" i="20" s="1"/>
  <c r="F55" i="20" s="1"/>
  <c r="F70" i="20" s="1"/>
  <c r="F85" i="20" s="1"/>
  <c r="F100" i="20" s="1"/>
  <c r="F115" i="20" s="1"/>
  <c r="F130" i="20" s="1"/>
  <c r="F145" i="20" s="1"/>
  <c r="F160" i="20" s="1"/>
  <c r="F175" i="20" s="1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V70" i="1" l="1"/>
  <c r="F24" i="20"/>
  <c r="F39" i="20" s="1"/>
  <c r="F54" i="20" s="1"/>
  <c r="F69" i="20" s="1"/>
  <c r="F84" i="20" s="1"/>
  <c r="F99" i="20" s="1"/>
  <c r="F114" i="20" s="1"/>
  <c r="F129" i="20" s="1"/>
  <c r="F144" i="20" s="1"/>
  <c r="F159" i="20" s="1"/>
  <c r="F174" i="20" s="1"/>
  <c r="V71" i="1" l="1"/>
  <c r="F23" i="20"/>
  <c r="F38" i="20" s="1"/>
  <c r="F53" i="20" s="1"/>
  <c r="F68" i="20" s="1"/>
  <c r="F83" i="20" s="1"/>
  <c r="F98" i="20" s="1"/>
  <c r="F113" i="20" s="1"/>
  <c r="F128" i="20" s="1"/>
  <c r="F143" i="20" s="1"/>
  <c r="F158" i="20" s="1"/>
  <c r="F173" i="20" s="1"/>
  <c r="V72" i="1" l="1"/>
  <c r="F22" i="20"/>
  <c r="F37" i="20" s="1"/>
  <c r="F52" i="20" s="1"/>
  <c r="F67" i="20" s="1"/>
  <c r="F82" i="20" s="1"/>
  <c r="F97" i="20" s="1"/>
  <c r="F112" i="20" s="1"/>
  <c r="F127" i="20" s="1"/>
  <c r="F142" i="20" s="1"/>
  <c r="F157" i="20" s="1"/>
  <c r="F172" i="20" s="1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84" i="14"/>
  <c r="R85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A6" i="14"/>
  <c r="V73" i="1" l="1"/>
  <c r="F21" i="20"/>
  <c r="F36" i="20" s="1"/>
  <c r="F51" i="20" s="1"/>
  <c r="F66" i="20" s="1"/>
  <c r="F81" i="20" s="1"/>
  <c r="F96" i="20" s="1"/>
  <c r="F111" i="20" s="1"/>
  <c r="F126" i="20" s="1"/>
  <c r="F141" i="20" s="1"/>
  <c r="F156" i="20" s="1"/>
  <c r="F171" i="20" s="1"/>
  <c r="V74" i="1" l="1"/>
  <c r="F20" i="20"/>
  <c r="F35" i="20" s="1"/>
  <c r="F50" i="20" s="1"/>
  <c r="F65" i="20" s="1"/>
  <c r="F80" i="20" s="1"/>
  <c r="F95" i="20" s="1"/>
  <c r="F110" i="20" s="1"/>
  <c r="F125" i="20" s="1"/>
  <c r="F140" i="20" s="1"/>
  <c r="F155" i="20" s="1"/>
  <c r="F170" i="20" s="1"/>
  <c r="AB19" i="12"/>
  <c r="AK16" i="12"/>
  <c r="AJ16" i="12"/>
  <c r="AB44" i="12"/>
  <c r="AB38" i="12"/>
  <c r="AC27" i="12"/>
  <c r="AB43" i="12" s="1"/>
  <c r="AD16" i="14"/>
  <c r="Z16" i="14"/>
  <c r="X16" i="14"/>
  <c r="AB18" i="14"/>
  <c r="AB16" i="14" s="1"/>
  <c r="V75" i="1" l="1"/>
  <c r="F19" i="20"/>
  <c r="F34" i="20" s="1"/>
  <c r="F49" i="20" s="1"/>
  <c r="F64" i="20" s="1"/>
  <c r="F79" i="20" s="1"/>
  <c r="F94" i="20" s="1"/>
  <c r="F109" i="20" s="1"/>
  <c r="F124" i="20" s="1"/>
  <c r="F139" i="20" s="1"/>
  <c r="F154" i="20" s="1"/>
  <c r="F169" i="20" s="1"/>
  <c r="X12" i="14"/>
  <c r="AJ23" i="12"/>
  <c r="AK23" i="12"/>
  <c r="V76" i="1" l="1"/>
  <c r="F18" i="20"/>
  <c r="F33" i="20" s="1"/>
  <c r="F48" i="20" s="1"/>
  <c r="F63" i="20" s="1"/>
  <c r="F78" i="20" s="1"/>
  <c r="F93" i="20" s="1"/>
  <c r="F108" i="20" s="1"/>
  <c r="F123" i="20" s="1"/>
  <c r="F138" i="20" s="1"/>
  <c r="F153" i="20" s="1"/>
  <c r="F168" i="20" s="1"/>
  <c r="V77" i="1" l="1"/>
  <c r="F17" i="20"/>
  <c r="F32" i="20" s="1"/>
  <c r="F47" i="20" s="1"/>
  <c r="F62" i="20" s="1"/>
  <c r="F77" i="20" s="1"/>
  <c r="F92" i="20" s="1"/>
  <c r="F107" i="20" s="1"/>
  <c r="F122" i="20" s="1"/>
  <c r="F137" i="20" s="1"/>
  <c r="F152" i="20" s="1"/>
  <c r="F167" i="20" s="1"/>
  <c r="AD38" i="12"/>
  <c r="V78" i="1" l="1"/>
  <c r="F16" i="20"/>
  <c r="F31" i="20" s="1"/>
  <c r="F46" i="20" s="1"/>
  <c r="F61" i="20" s="1"/>
  <c r="F76" i="20" s="1"/>
  <c r="F91" i="20" s="1"/>
  <c r="F106" i="20" s="1"/>
  <c r="F121" i="20" s="1"/>
  <c r="F136" i="20" s="1"/>
  <c r="F151" i="20" s="1"/>
  <c r="F166" i="20" s="1"/>
  <c r="Q17" i="18"/>
  <c r="V79" i="1" l="1"/>
  <c r="F15" i="20"/>
  <c r="F30" i="20" s="1"/>
  <c r="F45" i="20" s="1"/>
  <c r="F60" i="20" s="1"/>
  <c r="F75" i="20" s="1"/>
  <c r="F90" i="20" s="1"/>
  <c r="F105" i="20" s="1"/>
  <c r="F120" i="20" s="1"/>
  <c r="F135" i="20" s="1"/>
  <c r="F150" i="20" s="1"/>
  <c r="F165" i="20" s="1"/>
  <c r="J20" i="18"/>
  <c r="J21" i="18"/>
  <c r="J22" i="18"/>
  <c r="J23" i="18"/>
  <c r="J24" i="18"/>
  <c r="J25" i="18"/>
  <c r="J26" i="18"/>
  <c r="J27" i="18"/>
  <c r="J28" i="18"/>
  <c r="J29" i="18"/>
  <c r="V80" i="1" l="1"/>
  <c r="F14" i="20"/>
  <c r="F29" i="20" s="1"/>
  <c r="F44" i="20" s="1"/>
  <c r="F59" i="20" s="1"/>
  <c r="F74" i="20" s="1"/>
  <c r="F89" i="20" s="1"/>
  <c r="F104" i="20" s="1"/>
  <c r="F119" i="20" s="1"/>
  <c r="F134" i="20" s="1"/>
  <c r="F149" i="20" s="1"/>
  <c r="F164" i="20" s="1"/>
  <c r="B3" i="20"/>
  <c r="E2" i="20"/>
  <c r="V81" i="1" l="1"/>
  <c r="F13" i="20"/>
  <c r="F28" i="20" s="1"/>
  <c r="F43" i="20" s="1"/>
  <c r="F58" i="20" s="1"/>
  <c r="F73" i="20" s="1"/>
  <c r="F88" i="20" s="1"/>
  <c r="F103" i="20" s="1"/>
  <c r="F118" i="20" s="1"/>
  <c r="F133" i="20" s="1"/>
  <c r="F148" i="20" s="1"/>
  <c r="F163" i="20" s="1"/>
  <c r="B4" i="20"/>
  <c r="V82" i="1" l="1"/>
  <c r="AB40" i="12"/>
  <c r="V83" i="1" l="1"/>
  <c r="R5" i="16"/>
  <c r="Q5" i="16"/>
  <c r="P5" i="16"/>
  <c r="V84" i="1" l="1"/>
  <c r="C31" i="2"/>
  <c r="V85" i="1" l="1"/>
  <c r="N18" i="31"/>
  <c r="N19" i="31"/>
  <c r="N20" i="31"/>
  <c r="N21" i="31"/>
  <c r="N22" i="31"/>
  <c r="N23" i="31"/>
  <c r="N24" i="31"/>
  <c r="N25" i="31"/>
  <c r="N26" i="31"/>
  <c r="N17" i="31"/>
  <c r="V86" i="1" l="1"/>
  <c r="V87" i="1" l="1"/>
  <c r="Q7" i="30"/>
  <c r="V88" i="1" l="1"/>
  <c r="S10" i="31" a="1"/>
  <c r="S10" i="31" s="1"/>
  <c r="S9" i="31"/>
  <c r="S5" i="31"/>
  <c r="S3" i="31" a="1"/>
  <c r="S3" i="31" s="1"/>
  <c r="Q10" i="31" a="1"/>
  <c r="Q10" i="31" s="1"/>
  <c r="O10" i="31" a="1"/>
  <c r="O10" i="31" s="1"/>
  <c r="Q3" i="31" a="1"/>
  <c r="Q3" i="31" s="1"/>
  <c r="O3" i="31" a="1"/>
  <c r="O3" i="31" s="1"/>
  <c r="Q9" i="31"/>
  <c r="Q5" i="31"/>
  <c r="V89" i="1" l="1"/>
  <c r="M209" i="31"/>
  <c r="M210" i="31"/>
  <c r="M211" i="31"/>
  <c r="M212" i="31"/>
  <c r="M213" i="31"/>
  <c r="O9" i="31"/>
  <c r="O5" i="31"/>
  <c r="V90" i="1" l="1"/>
  <c r="M18" i="31"/>
  <c r="M19" i="31"/>
  <c r="M20" i="31"/>
  <c r="M21" i="31"/>
  <c r="M22" i="31"/>
  <c r="M23" i="31"/>
  <c r="M24" i="31"/>
  <c r="M25" i="31"/>
  <c r="M26" i="31"/>
  <c r="M27" i="31"/>
  <c r="M28" i="31"/>
  <c r="M29" i="31"/>
  <c r="M30" i="31"/>
  <c r="M31" i="31"/>
  <c r="M32" i="31"/>
  <c r="M33" i="31"/>
  <c r="M34" i="31"/>
  <c r="M35" i="31"/>
  <c r="M36" i="31"/>
  <c r="M37" i="31"/>
  <c r="M38" i="31"/>
  <c r="M39" i="31"/>
  <c r="M40" i="31"/>
  <c r="M41" i="31"/>
  <c r="M42" i="31"/>
  <c r="M43" i="31"/>
  <c r="M44" i="31"/>
  <c r="M45" i="31"/>
  <c r="M46" i="31"/>
  <c r="M47" i="31"/>
  <c r="M48" i="31"/>
  <c r="M49" i="31"/>
  <c r="M50" i="31"/>
  <c r="M51" i="31"/>
  <c r="M52" i="31"/>
  <c r="M53" i="31"/>
  <c r="M54" i="31"/>
  <c r="M55" i="31"/>
  <c r="M56" i="31"/>
  <c r="M57" i="31"/>
  <c r="M58" i="31"/>
  <c r="M59" i="31"/>
  <c r="M60" i="31"/>
  <c r="M61" i="31"/>
  <c r="M62" i="31"/>
  <c r="M63" i="31"/>
  <c r="M64" i="31"/>
  <c r="M65" i="31"/>
  <c r="M66" i="31"/>
  <c r="M67" i="31"/>
  <c r="M68" i="31"/>
  <c r="M69" i="31"/>
  <c r="M70" i="31"/>
  <c r="M71" i="31"/>
  <c r="M72" i="31"/>
  <c r="M73" i="31"/>
  <c r="M74" i="31"/>
  <c r="M75" i="31"/>
  <c r="M76" i="31"/>
  <c r="M77" i="31"/>
  <c r="M78" i="31"/>
  <c r="M79" i="31"/>
  <c r="M80" i="31"/>
  <c r="M81" i="31"/>
  <c r="M82" i="31"/>
  <c r="M83" i="31"/>
  <c r="M84" i="31"/>
  <c r="M85" i="31"/>
  <c r="M86" i="31"/>
  <c r="M87" i="31"/>
  <c r="M88" i="31"/>
  <c r="M89" i="31"/>
  <c r="M90" i="31"/>
  <c r="M91" i="31"/>
  <c r="M92" i="31"/>
  <c r="M93" i="31"/>
  <c r="M94" i="31"/>
  <c r="M95" i="31"/>
  <c r="M96" i="31"/>
  <c r="M97" i="31"/>
  <c r="M98" i="31"/>
  <c r="M99" i="31"/>
  <c r="M100" i="31"/>
  <c r="M101" i="31"/>
  <c r="M102" i="31"/>
  <c r="M103" i="31"/>
  <c r="M104" i="31"/>
  <c r="M105" i="31"/>
  <c r="M106" i="31"/>
  <c r="M107" i="31"/>
  <c r="M108" i="31"/>
  <c r="M109" i="31"/>
  <c r="M110" i="31"/>
  <c r="M111" i="31"/>
  <c r="M112" i="31"/>
  <c r="M113" i="31"/>
  <c r="M114" i="31"/>
  <c r="M115" i="31"/>
  <c r="M116" i="31"/>
  <c r="M117" i="31"/>
  <c r="M118" i="31"/>
  <c r="M119" i="31"/>
  <c r="M120" i="31"/>
  <c r="M121" i="31"/>
  <c r="M122" i="31"/>
  <c r="M123" i="31"/>
  <c r="M124" i="31"/>
  <c r="M125" i="31"/>
  <c r="M126" i="31"/>
  <c r="M127" i="31"/>
  <c r="M128" i="31"/>
  <c r="M129" i="31"/>
  <c r="M130" i="31"/>
  <c r="M131" i="31"/>
  <c r="M132" i="31"/>
  <c r="M133" i="31"/>
  <c r="M134" i="31"/>
  <c r="M135" i="31"/>
  <c r="M136" i="31"/>
  <c r="M137" i="31"/>
  <c r="M138" i="31"/>
  <c r="M139" i="31"/>
  <c r="M140" i="31"/>
  <c r="M141" i="31"/>
  <c r="M142" i="31"/>
  <c r="M143" i="31"/>
  <c r="M144" i="31"/>
  <c r="M145" i="31"/>
  <c r="M146" i="31"/>
  <c r="M147" i="31"/>
  <c r="M148" i="31"/>
  <c r="M149" i="31"/>
  <c r="M150" i="31"/>
  <c r="M151" i="31"/>
  <c r="M152" i="31"/>
  <c r="M153" i="31"/>
  <c r="M154" i="31"/>
  <c r="M155" i="31"/>
  <c r="M156" i="31"/>
  <c r="M157" i="31"/>
  <c r="M158" i="31"/>
  <c r="M159" i="31"/>
  <c r="M160" i="31"/>
  <c r="M161" i="31"/>
  <c r="M162" i="31"/>
  <c r="M163" i="31"/>
  <c r="M164" i="31"/>
  <c r="M165" i="31"/>
  <c r="M166" i="31"/>
  <c r="M167" i="31"/>
  <c r="M168" i="31"/>
  <c r="M169" i="31"/>
  <c r="M170" i="31"/>
  <c r="M171" i="31"/>
  <c r="M172" i="31"/>
  <c r="M173" i="31"/>
  <c r="M174" i="31"/>
  <c r="M175" i="31"/>
  <c r="M176" i="31"/>
  <c r="M177" i="31"/>
  <c r="M178" i="31"/>
  <c r="M179" i="31"/>
  <c r="M180" i="31"/>
  <c r="M181" i="31"/>
  <c r="M182" i="31"/>
  <c r="M183" i="31"/>
  <c r="M184" i="31"/>
  <c r="M185" i="31"/>
  <c r="M186" i="31"/>
  <c r="M187" i="31"/>
  <c r="M188" i="31"/>
  <c r="M189" i="31"/>
  <c r="M190" i="31"/>
  <c r="M191" i="31"/>
  <c r="M192" i="31"/>
  <c r="M193" i="31"/>
  <c r="M194" i="31"/>
  <c r="M195" i="31"/>
  <c r="M196" i="31"/>
  <c r="M197" i="31"/>
  <c r="M198" i="31"/>
  <c r="M199" i="31"/>
  <c r="M200" i="31"/>
  <c r="M201" i="31"/>
  <c r="M202" i="31"/>
  <c r="M203" i="31"/>
  <c r="M204" i="31"/>
  <c r="M205" i="31"/>
  <c r="M206" i="31"/>
  <c r="M207" i="31"/>
  <c r="M208" i="31"/>
  <c r="M17" i="31"/>
  <c r="V91" i="1" l="1"/>
  <c r="Q4" i="31" a="1"/>
  <c r="Q4" i="31" s="1"/>
  <c r="S4" i="31" a="1"/>
  <c r="S4" i="31" s="1"/>
  <c r="O4" i="31" a="1"/>
  <c r="O4" i="31" s="1"/>
  <c r="B1" i="30"/>
  <c r="C1" i="30"/>
  <c r="D1" i="30"/>
  <c r="A1" i="30"/>
  <c r="V92" i="1" l="1"/>
  <c r="H4" i="31"/>
  <c r="F4" i="31" s="1"/>
  <c r="V93" i="1" l="1"/>
  <c r="F6" i="31"/>
  <c r="V94" i="1" l="1"/>
  <c r="C6" i="31"/>
  <c r="F5" i="31"/>
  <c r="V95" i="1" l="1"/>
  <c r="E7" i="31"/>
  <c r="E5" i="31"/>
  <c r="C5" i="31" s="1"/>
  <c r="E3" i="31"/>
  <c r="V96" i="1" l="1"/>
  <c r="C7" i="31"/>
  <c r="I97" i="31"/>
  <c r="I98" i="31"/>
  <c r="I99" i="31"/>
  <c r="I100" i="31"/>
  <c r="I101" i="31"/>
  <c r="I102" i="31"/>
  <c r="I103" i="31"/>
  <c r="I104" i="31"/>
  <c r="I105" i="31"/>
  <c r="I106" i="31"/>
  <c r="I107" i="31"/>
  <c r="I108" i="31"/>
  <c r="I109" i="31"/>
  <c r="I110" i="31"/>
  <c r="I111" i="31"/>
  <c r="I112" i="31"/>
  <c r="I113" i="31"/>
  <c r="I114" i="31"/>
  <c r="I115" i="31"/>
  <c r="I116" i="31"/>
  <c r="I117" i="31"/>
  <c r="I118" i="31"/>
  <c r="I119" i="31"/>
  <c r="I120" i="31"/>
  <c r="I121" i="31"/>
  <c r="I122" i="31"/>
  <c r="I123" i="31"/>
  <c r="I124" i="31"/>
  <c r="I125" i="31"/>
  <c r="I126" i="31"/>
  <c r="I127" i="31"/>
  <c r="I128" i="31"/>
  <c r="I129" i="31"/>
  <c r="I130" i="31"/>
  <c r="I131" i="31"/>
  <c r="I132" i="31"/>
  <c r="I133" i="31"/>
  <c r="I134" i="31"/>
  <c r="I135" i="31"/>
  <c r="I136" i="31"/>
  <c r="I137" i="31"/>
  <c r="I138" i="31"/>
  <c r="I139" i="31"/>
  <c r="I140" i="31"/>
  <c r="I141" i="31"/>
  <c r="I142" i="31"/>
  <c r="I143" i="31"/>
  <c r="I144" i="31"/>
  <c r="I145" i="31"/>
  <c r="I146" i="31"/>
  <c r="I147" i="31"/>
  <c r="I148" i="31"/>
  <c r="I149" i="31"/>
  <c r="I150" i="31"/>
  <c r="I151" i="31"/>
  <c r="I152" i="31"/>
  <c r="I153" i="31"/>
  <c r="I154" i="31"/>
  <c r="I155" i="31"/>
  <c r="I156" i="31"/>
  <c r="I157" i="31"/>
  <c r="I158" i="31"/>
  <c r="I159" i="31"/>
  <c r="I160" i="31"/>
  <c r="I161" i="31"/>
  <c r="I162" i="31"/>
  <c r="I163" i="31"/>
  <c r="I164" i="31"/>
  <c r="I165" i="31"/>
  <c r="I166" i="31"/>
  <c r="I167" i="31"/>
  <c r="I168" i="31"/>
  <c r="I169" i="31"/>
  <c r="I170" i="31"/>
  <c r="I171" i="31"/>
  <c r="I172" i="31"/>
  <c r="I173" i="31"/>
  <c r="I174" i="31"/>
  <c r="I175" i="31"/>
  <c r="I176" i="31"/>
  <c r="I177" i="31"/>
  <c r="I178" i="31"/>
  <c r="I179" i="31"/>
  <c r="I180" i="31"/>
  <c r="I181" i="31"/>
  <c r="I182" i="31"/>
  <c r="I183" i="31"/>
  <c r="I184" i="31"/>
  <c r="I185" i="31"/>
  <c r="I186" i="31"/>
  <c r="I187" i="31"/>
  <c r="I188" i="31"/>
  <c r="I189" i="31"/>
  <c r="I190" i="31"/>
  <c r="I191" i="31"/>
  <c r="I192" i="31"/>
  <c r="I193" i="31"/>
  <c r="I194" i="31"/>
  <c r="I195" i="31"/>
  <c r="I196" i="31"/>
  <c r="I197" i="31"/>
  <c r="I198" i="31"/>
  <c r="I199" i="31"/>
  <c r="I200" i="31"/>
  <c r="I201" i="31"/>
  <c r="I202" i="31"/>
  <c r="I203" i="31"/>
  <c r="I204" i="31"/>
  <c r="I205" i="31"/>
  <c r="I206" i="31"/>
  <c r="I207" i="31"/>
  <c r="I208" i="31"/>
  <c r="I209" i="31"/>
  <c r="I210" i="31"/>
  <c r="I211" i="31"/>
  <c r="I212" i="31"/>
  <c r="I19" i="31"/>
  <c r="I20" i="31"/>
  <c r="I21" i="31"/>
  <c r="I22" i="31"/>
  <c r="I23" i="31"/>
  <c r="I24" i="31"/>
  <c r="I25" i="31"/>
  <c r="I26" i="31"/>
  <c r="I27" i="31"/>
  <c r="I28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I55" i="31"/>
  <c r="I56" i="31"/>
  <c r="I57" i="31"/>
  <c r="I58" i="31"/>
  <c r="I59" i="31"/>
  <c r="I60" i="31"/>
  <c r="I61" i="31"/>
  <c r="I62" i="31"/>
  <c r="I63" i="31"/>
  <c r="I64" i="31"/>
  <c r="I65" i="31"/>
  <c r="I66" i="31"/>
  <c r="I67" i="31"/>
  <c r="I68" i="31"/>
  <c r="I69" i="31"/>
  <c r="I70" i="31"/>
  <c r="I71" i="31"/>
  <c r="I72" i="31"/>
  <c r="I73" i="31"/>
  <c r="I74" i="31"/>
  <c r="I75" i="31"/>
  <c r="I76" i="31"/>
  <c r="I77" i="31"/>
  <c r="I78" i="31"/>
  <c r="I79" i="31"/>
  <c r="I80" i="31"/>
  <c r="I81" i="31"/>
  <c r="I82" i="31"/>
  <c r="I83" i="31"/>
  <c r="I84" i="31"/>
  <c r="I85" i="31"/>
  <c r="I86" i="31"/>
  <c r="I87" i="31"/>
  <c r="I88" i="31"/>
  <c r="I89" i="31"/>
  <c r="I90" i="31"/>
  <c r="I91" i="31"/>
  <c r="I92" i="31"/>
  <c r="I93" i="31"/>
  <c r="I94" i="31"/>
  <c r="I95" i="31"/>
  <c r="I96" i="31"/>
  <c r="I18" i="31"/>
  <c r="G17" i="31"/>
  <c r="F17" i="31"/>
  <c r="F18" i="31"/>
  <c r="G18" i="31"/>
  <c r="F19" i="31"/>
  <c r="G19" i="31"/>
  <c r="F20" i="31"/>
  <c r="G20" i="31"/>
  <c r="F21" i="31"/>
  <c r="G21" i="31"/>
  <c r="F22" i="31"/>
  <c r="G22" i="31"/>
  <c r="F23" i="31"/>
  <c r="G23" i="31"/>
  <c r="G24" i="31"/>
  <c r="G25" i="31"/>
  <c r="G26" i="31"/>
  <c r="G27" i="31"/>
  <c r="G28" i="31"/>
  <c r="G29" i="31"/>
  <c r="G30" i="31"/>
  <c r="G31" i="31"/>
  <c r="G32" i="31"/>
  <c r="G33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120" i="31"/>
  <c r="G121" i="31"/>
  <c r="G122" i="31"/>
  <c r="G123" i="31"/>
  <c r="G124" i="31"/>
  <c r="G125" i="31"/>
  <c r="G126" i="31"/>
  <c r="G127" i="31"/>
  <c r="G128" i="31"/>
  <c r="G129" i="31"/>
  <c r="G130" i="31"/>
  <c r="G131" i="31"/>
  <c r="G132" i="31"/>
  <c r="G133" i="31"/>
  <c r="G134" i="31"/>
  <c r="G135" i="31"/>
  <c r="G136" i="31"/>
  <c r="G137" i="31"/>
  <c r="G138" i="31"/>
  <c r="G139" i="31"/>
  <c r="G140" i="31"/>
  <c r="G141" i="31"/>
  <c r="G142" i="31"/>
  <c r="G143" i="31"/>
  <c r="G144" i="31"/>
  <c r="G145" i="31"/>
  <c r="G146" i="31"/>
  <c r="G147" i="31"/>
  <c r="G148" i="31"/>
  <c r="G149" i="31"/>
  <c r="G150" i="31"/>
  <c r="G151" i="31"/>
  <c r="G152" i="31"/>
  <c r="G153" i="31"/>
  <c r="G154" i="31"/>
  <c r="G155" i="31"/>
  <c r="G156" i="31"/>
  <c r="G157" i="31"/>
  <c r="G158" i="31"/>
  <c r="G159" i="31"/>
  <c r="G160" i="31"/>
  <c r="G161" i="31"/>
  <c r="G162" i="31"/>
  <c r="G163" i="31"/>
  <c r="G164" i="31"/>
  <c r="G165" i="31"/>
  <c r="G166" i="31"/>
  <c r="G167" i="31"/>
  <c r="G168" i="31"/>
  <c r="G169" i="31"/>
  <c r="G170" i="31"/>
  <c r="G171" i="31"/>
  <c r="G172" i="31"/>
  <c r="G173" i="31"/>
  <c r="G174" i="31"/>
  <c r="G175" i="31"/>
  <c r="G176" i="31"/>
  <c r="G177" i="31"/>
  <c r="G178" i="31"/>
  <c r="G179" i="31"/>
  <c r="G180" i="31"/>
  <c r="G181" i="31"/>
  <c r="G182" i="31"/>
  <c r="G183" i="31"/>
  <c r="G184" i="31"/>
  <c r="G185" i="31"/>
  <c r="G186" i="31"/>
  <c r="G187" i="31"/>
  <c r="G188" i="31"/>
  <c r="G189" i="31"/>
  <c r="G190" i="31"/>
  <c r="G191" i="31"/>
  <c r="G192" i="31"/>
  <c r="G193" i="31"/>
  <c r="G194" i="31"/>
  <c r="G195" i="31"/>
  <c r="G196" i="31"/>
  <c r="G197" i="31"/>
  <c r="G198" i="31"/>
  <c r="G199" i="31"/>
  <c r="G200" i="31"/>
  <c r="G201" i="31"/>
  <c r="G202" i="31"/>
  <c r="G203" i="31"/>
  <c r="G204" i="31"/>
  <c r="G205" i="31"/>
  <c r="G206" i="31"/>
  <c r="G207" i="31"/>
  <c r="G208" i="31"/>
  <c r="G209" i="31"/>
  <c r="G210" i="31"/>
  <c r="G211" i="31"/>
  <c r="G212" i="31"/>
  <c r="V97" i="1" l="1"/>
  <c r="G7" i="31"/>
  <c r="F7" i="31"/>
  <c r="C2" i="31"/>
  <c r="C3" i="31"/>
  <c r="V98" i="1" l="1"/>
  <c r="F3" i="31"/>
  <c r="F2" i="31"/>
  <c r="V99" i="1" l="1"/>
  <c r="I2" i="14"/>
  <c r="V100" i="1" l="1"/>
  <c r="K15" i="16"/>
  <c r="K3" i="16"/>
  <c r="K4" i="16"/>
  <c r="K5" i="16"/>
  <c r="K6" i="16"/>
  <c r="K7" i="16"/>
  <c r="K8" i="16"/>
  <c r="K9" i="16"/>
  <c r="K10" i="16"/>
  <c r="K11" i="16"/>
  <c r="K12" i="16"/>
  <c r="K13" i="16"/>
  <c r="K14" i="16"/>
  <c r="K2" i="16"/>
  <c r="V101" i="1" l="1"/>
  <c r="I2" i="23"/>
  <c r="V102" i="1" l="1"/>
  <c r="C2" i="23"/>
  <c r="C19" i="2" l="1"/>
  <c r="H18" i="25" l="1"/>
  <c r="H34" i="25"/>
  <c r="N18" i="25"/>
  <c r="N31" i="25"/>
  <c r="N29" i="25"/>
  <c r="N30" i="25"/>
  <c r="N28" i="25"/>
  <c r="N27" i="25"/>
  <c r="L18" i="25"/>
  <c r="L34" i="25"/>
  <c r="L33" i="25"/>
  <c r="L30" i="25"/>
  <c r="E2" i="28" l="1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AT13" i="19" l="1"/>
  <c r="AT14" i="19"/>
  <c r="AT15" i="19"/>
  <c r="AT16" i="19"/>
  <c r="AW3" i="19"/>
  <c r="AW4" i="19"/>
  <c r="AW5" i="19"/>
  <c r="AW6" i="19"/>
  <c r="AW7" i="19"/>
  <c r="AW8" i="19"/>
  <c r="AW9" i="19"/>
  <c r="AW10" i="19"/>
  <c r="AW11" i="19"/>
  <c r="AW2" i="19"/>
  <c r="AX2" i="19" s="1"/>
  <c r="AX3" i="19" l="1"/>
  <c r="AX4" i="19" s="1"/>
  <c r="AX5" i="19" s="1"/>
  <c r="Q11" i="25"/>
  <c r="Q20" i="25"/>
  <c r="Q30" i="25"/>
  <c r="AX6" i="19" l="1"/>
  <c r="AX7" i="19" s="1"/>
  <c r="AX8" i="19" s="1"/>
  <c r="AX9" i="19" s="1"/>
  <c r="AE5" i="19"/>
  <c r="AE6" i="19" l="1"/>
  <c r="AX10" i="19"/>
  <c r="AX11" i="19" s="1"/>
  <c r="AE8" i="19" s="1"/>
  <c r="AE7" i="19"/>
  <c r="W17" i="30" l="1"/>
  <c r="W18" i="30"/>
  <c r="W19" i="30"/>
  <c r="W20" i="30"/>
  <c r="W16" i="30"/>
  <c r="X19" i="30" l="1"/>
  <c r="X20" i="30"/>
  <c r="X17" i="30"/>
  <c r="X18" i="30"/>
  <c r="X16" i="30" l="1"/>
  <c r="C20" i="2" l="1"/>
  <c r="AS11" i="17" l="1"/>
  <c r="AS12" i="17"/>
  <c r="AS13" i="17"/>
  <c r="AS10" i="17"/>
  <c r="AM1" i="17"/>
  <c r="AL3" i="17"/>
  <c r="AL4" i="17"/>
  <c r="AH3" i="17"/>
  <c r="AI3" i="17"/>
  <c r="AJ3" i="17"/>
  <c r="AK3" i="17"/>
  <c r="AH4" i="17"/>
  <c r="AI4" i="17"/>
  <c r="AJ4" i="17"/>
  <c r="AK4" i="17"/>
  <c r="AH5" i="17"/>
  <c r="AI5" i="17"/>
  <c r="AJ5" i="17"/>
  <c r="AK5" i="17"/>
  <c r="AH1" i="17"/>
  <c r="AI1" i="17"/>
  <c r="AJ1" i="17"/>
  <c r="AK1" i="17"/>
  <c r="AH2" i="17"/>
  <c r="AI2" i="17"/>
  <c r="AJ2" i="17"/>
  <c r="AK2" i="17"/>
  <c r="A3" i="27" l="1"/>
  <c r="A4" i="27"/>
  <c r="A5" i="27"/>
  <c r="A6" i="27"/>
  <c r="H6" i="27" s="1"/>
  <c r="A7" i="27"/>
  <c r="H7" i="27" s="1"/>
  <c r="A8" i="27"/>
  <c r="H8" i="27" s="1"/>
  <c r="B8" i="27"/>
  <c r="A9" i="27"/>
  <c r="H9" i="27" s="1"/>
  <c r="A10" i="27"/>
  <c r="H10" i="27" s="1"/>
  <c r="A11" i="27"/>
  <c r="H11" i="27" s="1"/>
  <c r="A12" i="27"/>
  <c r="H12" i="27" s="1"/>
  <c r="A13" i="27"/>
  <c r="H13" i="27" s="1"/>
  <c r="A14" i="27"/>
  <c r="H14" i="27" s="1"/>
  <c r="B14" i="27"/>
  <c r="A15" i="27"/>
  <c r="H15" i="27" s="1"/>
  <c r="B15" i="27"/>
  <c r="A16" i="27"/>
  <c r="H16" i="27" s="1"/>
  <c r="B16" i="27"/>
  <c r="A17" i="27"/>
  <c r="H17" i="27" s="1"/>
  <c r="B17" i="27"/>
  <c r="A18" i="27"/>
  <c r="H18" i="27" s="1"/>
  <c r="B18" i="27"/>
  <c r="A19" i="27"/>
  <c r="H19" i="27" s="1"/>
  <c r="B19" i="27"/>
  <c r="A20" i="27"/>
  <c r="H20" i="27" s="1"/>
  <c r="B20" i="27"/>
  <c r="A21" i="27"/>
  <c r="H21" i="27" s="1"/>
  <c r="B21" i="27"/>
  <c r="A22" i="27"/>
  <c r="H22" i="27" s="1"/>
  <c r="B22" i="27"/>
  <c r="A23" i="27"/>
  <c r="H23" i="27" s="1"/>
  <c r="B23" i="27"/>
  <c r="A24" i="27"/>
  <c r="H24" i="27" s="1"/>
  <c r="A25" i="27"/>
  <c r="H25" i="27" s="1"/>
  <c r="B25" i="27"/>
  <c r="A26" i="27"/>
  <c r="H26" i="27" s="1"/>
  <c r="B26" i="27"/>
  <c r="A27" i="27"/>
  <c r="H27" i="27" s="1"/>
  <c r="B27" i="27"/>
  <c r="A28" i="27"/>
  <c r="H28" i="27" s="1"/>
  <c r="B28" i="27"/>
  <c r="A29" i="27"/>
  <c r="H29" i="27" s="1"/>
  <c r="B29" i="27"/>
  <c r="A30" i="27"/>
  <c r="H30" i="27" s="1"/>
  <c r="B30" i="27"/>
  <c r="A31" i="27"/>
  <c r="H31" i="27" s="1"/>
  <c r="B31" i="27"/>
  <c r="A32" i="27"/>
  <c r="H32" i="27" s="1"/>
  <c r="B32" i="27"/>
  <c r="A33" i="27"/>
  <c r="H33" i="27" s="1"/>
  <c r="A34" i="27"/>
  <c r="H34" i="27" s="1"/>
  <c r="B34" i="27"/>
  <c r="A35" i="27"/>
  <c r="H35" i="27" s="1"/>
  <c r="A36" i="27"/>
  <c r="H36" i="27" s="1"/>
  <c r="B36" i="27"/>
  <c r="A37" i="27"/>
  <c r="H37" i="27" s="1"/>
  <c r="B37" i="27"/>
  <c r="A38" i="27"/>
  <c r="H38" i="27" s="1"/>
  <c r="B38" i="27"/>
  <c r="A39" i="27"/>
  <c r="H39" i="27" s="1"/>
  <c r="A40" i="27"/>
  <c r="H40" i="27" s="1"/>
  <c r="B40" i="27"/>
  <c r="A41" i="27"/>
  <c r="H41" i="27" s="1"/>
  <c r="B41" i="27"/>
  <c r="A42" i="27"/>
  <c r="H42" i="27" s="1"/>
  <c r="B42" i="27"/>
  <c r="A43" i="27"/>
  <c r="H43" i="27" s="1"/>
  <c r="A44" i="27"/>
  <c r="H44" i="27" s="1"/>
  <c r="A45" i="27"/>
  <c r="H45" i="27" s="1"/>
  <c r="A46" i="27"/>
  <c r="H46" i="27" s="1"/>
  <c r="A47" i="27"/>
  <c r="H47" i="27" s="1"/>
  <c r="A48" i="27"/>
  <c r="H48" i="27" s="1"/>
  <c r="A49" i="27"/>
  <c r="H49" i="27" s="1"/>
  <c r="B49" i="27"/>
  <c r="A50" i="27"/>
  <c r="H50" i="27" s="1"/>
  <c r="A51" i="27"/>
  <c r="H51" i="27" s="1"/>
  <c r="A52" i="27"/>
  <c r="H52" i="27" s="1"/>
  <c r="A53" i="27"/>
  <c r="H53" i="27" s="1"/>
  <c r="A54" i="27"/>
  <c r="H54" i="27" s="1"/>
  <c r="A55" i="27"/>
  <c r="H55" i="27" s="1"/>
  <c r="A56" i="27"/>
  <c r="H56" i="27" s="1"/>
  <c r="A57" i="27"/>
  <c r="H57" i="27" s="1"/>
  <c r="A58" i="27"/>
  <c r="H58" i="27" s="1"/>
  <c r="A59" i="27"/>
  <c r="H59" i="27" s="1"/>
  <c r="A60" i="27"/>
  <c r="H60" i="27" s="1"/>
  <c r="A61" i="27"/>
  <c r="H61" i="27" s="1"/>
  <c r="C2" i="27"/>
  <c r="A2" i="27"/>
  <c r="G2" i="27" l="1"/>
  <c r="F2" i="27" s="1"/>
  <c r="E2" i="27"/>
  <c r="H2" i="27"/>
  <c r="G5" i="27"/>
  <c r="H5" i="27"/>
  <c r="G4" i="27"/>
  <c r="H4" i="27"/>
  <c r="G3" i="27"/>
  <c r="H3" i="27"/>
  <c r="O3" i="20"/>
  <c r="N8" i="20" l="1"/>
  <c r="N7" i="20"/>
  <c r="N5" i="20"/>
  <c r="N4" i="20"/>
  <c r="N6" i="20"/>
  <c r="D8" i="20" l="1"/>
  <c r="B3" i="26" l="1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B55" i="26"/>
  <c r="B59" i="26"/>
  <c r="B60" i="26"/>
  <c r="B61" i="26"/>
  <c r="B62" i="26"/>
  <c r="B63" i="26"/>
  <c r="B64" i="26"/>
  <c r="B65" i="26"/>
  <c r="B66" i="26"/>
  <c r="B67" i="26"/>
  <c r="B68" i="26"/>
  <c r="B69" i="26"/>
  <c r="B70" i="26"/>
  <c r="B71" i="26"/>
  <c r="B73" i="26"/>
  <c r="B75" i="26"/>
  <c r="B76" i="26"/>
  <c r="B77" i="26"/>
  <c r="B78" i="26"/>
  <c r="B79" i="26"/>
  <c r="B80" i="26"/>
  <c r="B81" i="26"/>
  <c r="B82" i="26"/>
  <c r="B83" i="26"/>
  <c r="B84" i="26"/>
  <c r="B85" i="26"/>
  <c r="B86" i="26"/>
  <c r="B87" i="26"/>
  <c r="B89" i="26"/>
  <c r="B2" i="26"/>
  <c r="AB18" i="12" l="1"/>
  <c r="AB20" i="12" s="1"/>
  <c r="AB4" i="12" l="1"/>
  <c r="AC8" i="12"/>
  <c r="H2" i="33"/>
  <c r="A2" i="23"/>
  <c r="H5" i="33" l="1"/>
  <c r="H13" i="33"/>
  <c r="H21" i="33"/>
  <c r="H29" i="33"/>
  <c r="H37" i="33"/>
  <c r="H45" i="33"/>
  <c r="H53" i="33"/>
  <c r="H61" i="33"/>
  <c r="H69" i="33"/>
  <c r="H77" i="33"/>
  <c r="H85" i="33"/>
  <c r="H93" i="33"/>
  <c r="H101" i="33"/>
  <c r="H6" i="33"/>
  <c r="H14" i="33"/>
  <c r="H22" i="33"/>
  <c r="H30" i="33"/>
  <c r="H38" i="33"/>
  <c r="H46" i="33"/>
  <c r="H54" i="33"/>
  <c r="H62" i="33"/>
  <c r="H70" i="33"/>
  <c r="H78" i="33"/>
  <c r="H86" i="33"/>
  <c r="H94" i="33"/>
  <c r="H102" i="33"/>
  <c r="H7" i="33"/>
  <c r="H15" i="33"/>
  <c r="H23" i="33"/>
  <c r="H31" i="33"/>
  <c r="H39" i="33"/>
  <c r="H47" i="33"/>
  <c r="H55" i="33"/>
  <c r="H63" i="33"/>
  <c r="H71" i="33"/>
  <c r="H79" i="33"/>
  <c r="H87" i="33"/>
  <c r="H95" i="33"/>
  <c r="H103" i="33"/>
  <c r="H8" i="33"/>
  <c r="H16" i="33"/>
  <c r="H24" i="33"/>
  <c r="H32" i="33"/>
  <c r="H40" i="33"/>
  <c r="H48" i="33"/>
  <c r="H56" i="33"/>
  <c r="H64" i="33"/>
  <c r="H80" i="33"/>
  <c r="H96" i="33"/>
  <c r="H9" i="33"/>
  <c r="H17" i="33"/>
  <c r="H25" i="33"/>
  <c r="H33" i="33"/>
  <c r="H41" i="33"/>
  <c r="H49" i="33"/>
  <c r="H57" i="33"/>
  <c r="H65" i="33"/>
  <c r="H73" i="33"/>
  <c r="H81" i="33"/>
  <c r="H89" i="33"/>
  <c r="H97" i="33"/>
  <c r="H10" i="33"/>
  <c r="H18" i="33"/>
  <c r="H26" i="33"/>
  <c r="H34" i="33"/>
  <c r="H42" i="33"/>
  <c r="H50" i="33"/>
  <c r="H58" i="33"/>
  <c r="H66" i="33"/>
  <c r="H74" i="33"/>
  <c r="H82" i="33"/>
  <c r="H90" i="33"/>
  <c r="H98" i="33"/>
  <c r="H11" i="33"/>
  <c r="H19" i="33"/>
  <c r="H27" i="33"/>
  <c r="H35" i="33"/>
  <c r="H43" i="33"/>
  <c r="H51" i="33"/>
  <c r="H59" i="33"/>
  <c r="H67" i="33"/>
  <c r="H75" i="33"/>
  <c r="H83" i="33"/>
  <c r="H91" i="33"/>
  <c r="H99" i="33"/>
  <c r="H12" i="33"/>
  <c r="H20" i="33"/>
  <c r="H28" i="33"/>
  <c r="H36" i="33"/>
  <c r="H44" i="33"/>
  <c r="H52" i="33"/>
  <c r="H60" i="33"/>
  <c r="H68" i="33"/>
  <c r="H76" i="33"/>
  <c r="H84" i="33"/>
  <c r="H92" i="33"/>
  <c r="H100" i="33"/>
  <c r="H72" i="33"/>
  <c r="H88" i="33"/>
  <c r="H4" i="33"/>
  <c r="G2" i="22"/>
  <c r="C2" i="22"/>
  <c r="D2" i="22"/>
  <c r="E2" i="22"/>
  <c r="F2" i="22"/>
  <c r="C44" i="20" l="1"/>
  <c r="C45" i="20"/>
  <c r="C46" i="20"/>
  <c r="C48" i="20"/>
  <c r="C49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43" i="20"/>
  <c r="D2" i="20"/>
  <c r="D3" i="20"/>
  <c r="F3" i="20"/>
  <c r="D4" i="20"/>
  <c r="F4" i="20"/>
  <c r="D5" i="20"/>
  <c r="F5" i="20"/>
  <c r="D6" i="20"/>
  <c r="F6" i="20"/>
  <c r="D7" i="20"/>
  <c r="F1" i="20"/>
  <c r="D1" i="20"/>
  <c r="O4" i="20" l="1"/>
  <c r="O5" i="20"/>
  <c r="O6" i="20"/>
  <c r="O8" i="20"/>
  <c r="O7" i="20"/>
  <c r="Q6" i="14" l="1"/>
  <c r="R6" i="14"/>
  <c r="S6" i="14"/>
  <c r="J4" i="20" l="1"/>
  <c r="J7" i="20"/>
  <c r="J5" i="20"/>
  <c r="J3" i="20"/>
  <c r="J6" i="20"/>
  <c r="J8" i="20"/>
  <c r="W5" i="12"/>
  <c r="W6" i="12" s="1"/>
  <c r="W7" i="12" s="1"/>
  <c r="W8" i="12" s="1"/>
  <c r="W9" i="12" s="1"/>
  <c r="W10" i="12" s="1"/>
  <c r="W11" i="12" s="1"/>
  <c r="W12" i="12" s="1"/>
  <c r="W13" i="12" s="1"/>
  <c r="W14" i="12" s="1"/>
  <c r="W15" i="12" s="1"/>
  <c r="W16" i="12" s="1"/>
  <c r="W17" i="12" s="1"/>
  <c r="W18" i="12" s="1"/>
  <c r="W19" i="12" s="1"/>
  <c r="W20" i="12" s="1"/>
  <c r="W21" i="12" s="1"/>
  <c r="W22" i="12" s="1"/>
  <c r="W23" i="12" s="1"/>
  <c r="M47" i="20" l="1"/>
  <c r="M36" i="20"/>
  <c r="M81" i="20"/>
  <c r="M72" i="20"/>
  <c r="M62" i="20"/>
  <c r="M57" i="20"/>
  <c r="M87" i="20"/>
  <c r="M101" i="20"/>
  <c r="M51" i="20"/>
  <c r="M109" i="20"/>
  <c r="M46" i="20"/>
  <c r="M74" i="20"/>
  <c r="M70" i="20"/>
  <c r="M52" i="20"/>
  <c r="M94" i="20"/>
  <c r="M48" i="20"/>
  <c r="M89" i="20"/>
  <c r="M104" i="20"/>
  <c r="M77" i="20"/>
  <c r="M54" i="20"/>
  <c r="M98" i="20"/>
  <c r="M56" i="20"/>
  <c r="M50" i="20"/>
  <c r="M38" i="20"/>
  <c r="M82" i="20"/>
  <c r="M95" i="20"/>
  <c r="M102" i="20"/>
  <c r="M44" i="20"/>
  <c r="M66" i="20"/>
  <c r="M111" i="20"/>
  <c r="M69" i="20"/>
  <c r="M108" i="20"/>
  <c r="M37" i="20"/>
  <c r="M45" i="20"/>
  <c r="M83" i="20"/>
  <c r="M75" i="20"/>
  <c r="M64" i="20"/>
  <c r="M53" i="20"/>
  <c r="M96" i="20"/>
  <c r="M88" i="20"/>
  <c r="M49" i="20"/>
  <c r="M110" i="20"/>
  <c r="M39" i="20"/>
  <c r="M43" i="20"/>
  <c r="M76" i="20"/>
  <c r="M84" i="20"/>
  <c r="M65" i="20"/>
  <c r="M61" i="20"/>
  <c r="M97" i="20"/>
  <c r="M103" i="20"/>
  <c r="M41" i="20"/>
  <c r="M63" i="20"/>
  <c r="M90" i="20"/>
  <c r="M105" i="20"/>
  <c r="M60" i="20"/>
  <c r="M40" i="20"/>
  <c r="M79" i="20"/>
  <c r="M85" i="20"/>
  <c r="M71" i="20"/>
  <c r="M68" i="20"/>
  <c r="M58" i="20"/>
  <c r="M99" i="20"/>
  <c r="M91" i="20"/>
  <c r="M112" i="20"/>
  <c r="M107" i="20"/>
  <c r="M42" i="20"/>
  <c r="M80" i="20"/>
  <c r="M78" i="20"/>
  <c r="M67" i="20"/>
  <c r="M55" i="20"/>
  <c r="M59" i="20"/>
  <c r="M92" i="20"/>
  <c r="M100" i="20"/>
  <c r="M106" i="20"/>
  <c r="M35" i="20"/>
  <c r="M73" i="20"/>
  <c r="M86" i="20"/>
  <c r="M93" i="20"/>
  <c r="W25" i="12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24" i="12"/>
  <c r="P6" i="14"/>
  <c r="O6" i="14"/>
  <c r="M113" i="20" l="1"/>
  <c r="B6" i="20" s="1"/>
  <c r="C13" i="2"/>
  <c r="D13" i="2"/>
  <c r="E13" i="2"/>
  <c r="F13" i="2"/>
  <c r="N77" i="19" l="1"/>
  <c r="N68" i="19"/>
  <c r="N61" i="19"/>
  <c r="N53" i="19"/>
  <c r="N45" i="19"/>
  <c r="N33" i="19"/>
  <c r="P4" i="19" l="1"/>
  <c r="Q4" i="19"/>
  <c r="P5" i="19"/>
  <c r="Q5" i="19"/>
  <c r="Q3" i="19"/>
  <c r="P3" i="19"/>
  <c r="P13" i="19"/>
  <c r="U13" i="19"/>
  <c r="V13" i="19"/>
  <c r="W13" i="19"/>
  <c r="X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38" i="19"/>
  <c r="P39" i="19"/>
  <c r="P40" i="19"/>
  <c r="P41" i="19"/>
  <c r="P42" i="19"/>
  <c r="P43" i="19"/>
  <c r="P44" i="19"/>
  <c r="P45" i="19"/>
  <c r="P46" i="19"/>
  <c r="P47" i="19"/>
  <c r="P48" i="19"/>
  <c r="P49" i="19"/>
  <c r="P50" i="19"/>
  <c r="P51" i="19"/>
  <c r="P52" i="19"/>
  <c r="P53" i="19"/>
  <c r="P54" i="19"/>
  <c r="P55" i="19"/>
  <c r="P56" i="19"/>
  <c r="P57" i="19"/>
  <c r="P58" i="19"/>
  <c r="P59" i="19"/>
  <c r="P60" i="19"/>
  <c r="P61" i="19"/>
  <c r="P62" i="19"/>
  <c r="P63" i="19"/>
  <c r="P64" i="19"/>
  <c r="P65" i="19"/>
  <c r="P66" i="19"/>
  <c r="P67" i="19"/>
  <c r="P68" i="19"/>
  <c r="P69" i="19"/>
  <c r="P70" i="19"/>
  <c r="P71" i="19"/>
  <c r="P72" i="19"/>
  <c r="P73" i="19"/>
  <c r="P74" i="19"/>
  <c r="P75" i="19"/>
  <c r="P76" i="19"/>
  <c r="P77" i="19"/>
  <c r="P78" i="19"/>
  <c r="P79" i="19"/>
  <c r="P80" i="19"/>
  <c r="P81" i="19"/>
  <c r="P82" i="19"/>
  <c r="P83" i="19"/>
  <c r="P84" i="19"/>
  <c r="P85" i="19"/>
  <c r="P86" i="19"/>
  <c r="P87" i="19"/>
  <c r="P88" i="19"/>
  <c r="P89" i="19"/>
  <c r="P90" i="19"/>
  <c r="P91" i="19"/>
  <c r="P92" i="19"/>
  <c r="X12" i="19"/>
  <c r="T12" i="19"/>
  <c r="U12" i="19"/>
  <c r="V12" i="19"/>
  <c r="W12" i="19"/>
  <c r="Q12" i="19"/>
  <c r="R12" i="19"/>
  <c r="S12" i="19"/>
  <c r="P12" i="19"/>
  <c r="J18" i="18" l="1"/>
  <c r="K18" i="18" s="1"/>
  <c r="L18" i="18" s="1"/>
  <c r="J19" i="18"/>
  <c r="J17" i="18"/>
  <c r="F3" i="18"/>
  <c r="B14" i="18"/>
  <c r="B15" i="18"/>
  <c r="B16" i="18"/>
  <c r="B17" i="18"/>
  <c r="B18" i="18"/>
  <c r="B19" i="18"/>
  <c r="C13" i="18"/>
  <c r="D13" i="18"/>
  <c r="E13" i="18"/>
  <c r="B13" i="18"/>
  <c r="K19" i="18" l="1"/>
  <c r="L19" i="18" s="1"/>
  <c r="K20" i="18" l="1"/>
  <c r="L20" i="18" s="1"/>
  <c r="Y7" i="17"/>
  <c r="Y2" i="17"/>
  <c r="Y3" i="17"/>
  <c r="Y4" i="17"/>
  <c r="Y5" i="17"/>
  <c r="Y6" i="17"/>
  <c r="X1" i="17"/>
  <c r="Y1" i="17"/>
  <c r="Z1" i="17"/>
  <c r="K21" i="18" l="1"/>
  <c r="L21" i="18" s="1"/>
  <c r="O6" i="17"/>
  <c r="O7" i="17"/>
  <c r="M7" i="17"/>
  <c r="M6" i="17"/>
  <c r="M5" i="17"/>
  <c r="M4" i="17"/>
  <c r="M3" i="17"/>
  <c r="M2" i="17"/>
  <c r="K22" i="18" l="1"/>
  <c r="L22" i="18" s="1"/>
  <c r="C10" i="17"/>
  <c r="G6" i="17"/>
  <c r="O2" i="17"/>
  <c r="K3" i="17"/>
  <c r="K4" i="17"/>
  <c r="G3" i="17"/>
  <c r="G4" i="17"/>
  <c r="U14" i="17"/>
  <c r="V14" i="17"/>
  <c r="T14" i="17"/>
  <c r="O1" i="17"/>
  <c r="O3" i="17"/>
  <c r="O4" i="17"/>
  <c r="O5" i="17"/>
  <c r="N1" i="17"/>
  <c r="K2" i="17"/>
  <c r="J1" i="17"/>
  <c r="K1" i="17"/>
  <c r="G2" i="17"/>
  <c r="F1" i="17"/>
  <c r="G1" i="17"/>
  <c r="E1" i="17"/>
  <c r="I10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54" i="17"/>
  <c r="E55" i="17"/>
  <c r="E56" i="17"/>
  <c r="E57" i="17"/>
  <c r="E58" i="17"/>
  <c r="E59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10" i="17"/>
  <c r="F10" i="17"/>
  <c r="E11" i="17"/>
  <c r="F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9" i="17"/>
  <c r="F9" i="17"/>
  <c r="D9" i="17"/>
  <c r="K23" i="18" l="1"/>
  <c r="L23" i="18" s="1"/>
  <c r="K24" i="18" l="1"/>
  <c r="L24" i="18" s="1"/>
  <c r="L48" i="16"/>
  <c r="Q1" i="16"/>
  <c r="F21" i="16"/>
  <c r="F22" i="16"/>
  <c r="F23" i="16"/>
  <c r="F25" i="16"/>
  <c r="F26" i="16"/>
  <c r="F27" i="16"/>
  <c r="F28" i="16"/>
  <c r="F29" i="16"/>
  <c r="F30" i="16"/>
  <c r="F31" i="16"/>
  <c r="F32" i="16"/>
  <c r="F33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80" i="16"/>
  <c r="F81" i="16"/>
  <c r="F82" i="16"/>
  <c r="F83" i="16"/>
  <c r="F84" i="16"/>
  <c r="F85" i="16"/>
  <c r="F86" i="16"/>
  <c r="F87" i="16"/>
  <c r="F88" i="16"/>
  <c r="F90" i="16"/>
  <c r="F91" i="16"/>
  <c r="F92" i="16"/>
  <c r="F93" i="16"/>
  <c r="F94" i="16"/>
  <c r="F95" i="16"/>
  <c r="F96" i="16"/>
  <c r="F97" i="16"/>
  <c r="F98" i="16"/>
  <c r="F20" i="16"/>
  <c r="E21" i="16"/>
  <c r="E22" i="16"/>
  <c r="E23" i="16"/>
  <c r="E25" i="16"/>
  <c r="E26" i="16"/>
  <c r="E27" i="16"/>
  <c r="E28" i="16"/>
  <c r="E29" i="16"/>
  <c r="E30" i="16"/>
  <c r="E31" i="16"/>
  <c r="E32" i="16"/>
  <c r="E33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80" i="16"/>
  <c r="E81" i="16"/>
  <c r="E82" i="16"/>
  <c r="E83" i="16"/>
  <c r="E84" i="16"/>
  <c r="E85" i="16"/>
  <c r="E86" i="16"/>
  <c r="E87" i="16"/>
  <c r="E88" i="16"/>
  <c r="E90" i="16"/>
  <c r="E91" i="16"/>
  <c r="E92" i="16"/>
  <c r="E93" i="16"/>
  <c r="E94" i="16"/>
  <c r="E95" i="16"/>
  <c r="E96" i="16"/>
  <c r="E97" i="16"/>
  <c r="E98" i="16"/>
  <c r="E20" i="16"/>
  <c r="D20" i="16"/>
  <c r="K25" i="18" l="1"/>
  <c r="L25" i="18" s="1"/>
  <c r="K26" i="18" l="1"/>
  <c r="L26" i="18" s="1"/>
  <c r="K27" i="18" l="1"/>
  <c r="L27" i="18" s="1"/>
  <c r="K28" i="18" l="1"/>
  <c r="L28" i="18" s="1"/>
  <c r="AG54" i="12"/>
  <c r="AH52" i="12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3" i="1"/>
  <c r="G29" i="1" s="1"/>
  <c r="AD37" i="12"/>
  <c r="AD39" i="12"/>
  <c r="AD40" i="12"/>
  <c r="AD36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4" i="12"/>
  <c r="I95" i="1" l="1"/>
  <c r="F95" i="1"/>
  <c r="I87" i="1"/>
  <c r="F87" i="1"/>
  <c r="I79" i="1"/>
  <c r="F79" i="1"/>
  <c r="I71" i="1"/>
  <c r="F71" i="1"/>
  <c r="I63" i="1"/>
  <c r="F63" i="1"/>
  <c r="I55" i="1"/>
  <c r="F55" i="1"/>
  <c r="I47" i="1"/>
  <c r="F47" i="1"/>
  <c r="I39" i="1"/>
  <c r="F39" i="1"/>
  <c r="I31" i="1"/>
  <c r="F31" i="1"/>
  <c r="I23" i="1"/>
  <c r="F23" i="1"/>
  <c r="I15" i="1"/>
  <c r="F15" i="1"/>
  <c r="I7" i="1"/>
  <c r="F7" i="1"/>
  <c r="I70" i="1"/>
  <c r="F70" i="1"/>
  <c r="I22" i="1"/>
  <c r="F22" i="1"/>
  <c r="I85" i="1"/>
  <c r="D88" i="14" s="1"/>
  <c r="F85" i="1"/>
  <c r="I77" i="1"/>
  <c r="F77" i="1"/>
  <c r="I69" i="1"/>
  <c r="F69" i="1"/>
  <c r="I61" i="1"/>
  <c r="F61" i="1"/>
  <c r="I53" i="1"/>
  <c r="F53" i="1"/>
  <c r="I45" i="1"/>
  <c r="F45" i="1"/>
  <c r="I37" i="1"/>
  <c r="F37" i="1"/>
  <c r="I29" i="1"/>
  <c r="F29" i="1"/>
  <c r="I21" i="1"/>
  <c r="F21" i="1"/>
  <c r="I13" i="1"/>
  <c r="F13" i="1"/>
  <c r="I5" i="1"/>
  <c r="F5" i="1"/>
  <c r="I102" i="1"/>
  <c r="F102" i="1"/>
  <c r="I54" i="1"/>
  <c r="F54" i="1"/>
  <c r="I38" i="1"/>
  <c r="F38" i="1"/>
  <c r="I84" i="1"/>
  <c r="D87" i="14" s="1"/>
  <c r="D91" i="17" s="1"/>
  <c r="F84" i="1"/>
  <c r="I76" i="1"/>
  <c r="F76" i="1"/>
  <c r="I68" i="1"/>
  <c r="F68" i="1"/>
  <c r="I60" i="1"/>
  <c r="F60" i="1"/>
  <c r="I52" i="1"/>
  <c r="F52" i="1"/>
  <c r="I44" i="1"/>
  <c r="F44" i="1"/>
  <c r="I36" i="1"/>
  <c r="F36" i="1"/>
  <c r="I28" i="1"/>
  <c r="F28" i="1"/>
  <c r="I20" i="1"/>
  <c r="F20" i="1"/>
  <c r="I12" i="1"/>
  <c r="F12" i="1"/>
  <c r="I4" i="1"/>
  <c r="F4" i="1"/>
  <c r="I62" i="1"/>
  <c r="F62" i="1"/>
  <c r="I46" i="1"/>
  <c r="F46" i="1"/>
  <c r="I93" i="1"/>
  <c r="F93" i="1"/>
  <c r="I99" i="1"/>
  <c r="F99" i="1"/>
  <c r="I91" i="1"/>
  <c r="F91" i="1"/>
  <c r="I83" i="1"/>
  <c r="D86" i="14" s="1"/>
  <c r="F83" i="1"/>
  <c r="I75" i="1"/>
  <c r="F75" i="1"/>
  <c r="I67" i="1"/>
  <c r="F67" i="1"/>
  <c r="I59" i="1"/>
  <c r="F59" i="1"/>
  <c r="I51" i="1"/>
  <c r="F51" i="1"/>
  <c r="I43" i="1"/>
  <c r="F43" i="1"/>
  <c r="I35" i="1"/>
  <c r="F35" i="1"/>
  <c r="I27" i="1"/>
  <c r="F27" i="1"/>
  <c r="I19" i="1"/>
  <c r="F19" i="1"/>
  <c r="I11" i="1"/>
  <c r="F11" i="1"/>
  <c r="I86" i="1"/>
  <c r="D89" i="14" s="1"/>
  <c r="D93" i="17" s="1"/>
  <c r="F86" i="1"/>
  <c r="I30" i="1"/>
  <c r="F30" i="1"/>
  <c r="I101" i="1"/>
  <c r="F101" i="1"/>
  <c r="I90" i="1"/>
  <c r="F90" i="1"/>
  <c r="I82" i="1"/>
  <c r="D85" i="14" s="1"/>
  <c r="F82" i="1"/>
  <c r="I74" i="1"/>
  <c r="F74" i="1"/>
  <c r="I66" i="1"/>
  <c r="F66" i="1"/>
  <c r="I58" i="1"/>
  <c r="F58" i="1"/>
  <c r="I50" i="1"/>
  <c r="F50" i="1"/>
  <c r="I42" i="1"/>
  <c r="F42" i="1"/>
  <c r="I34" i="1"/>
  <c r="F34" i="1"/>
  <c r="I26" i="1"/>
  <c r="F26" i="1"/>
  <c r="I18" i="1"/>
  <c r="F18" i="1"/>
  <c r="I10" i="1"/>
  <c r="F10" i="1"/>
  <c r="I78" i="1"/>
  <c r="F78" i="1"/>
  <c r="I14" i="1"/>
  <c r="F14" i="1"/>
  <c r="I100" i="1"/>
  <c r="F100" i="1"/>
  <c r="I97" i="1"/>
  <c r="F97" i="1"/>
  <c r="I73" i="1"/>
  <c r="F73" i="1"/>
  <c r="I57" i="1"/>
  <c r="F57" i="1"/>
  <c r="I49" i="1"/>
  <c r="F49" i="1"/>
  <c r="I41" i="1"/>
  <c r="F41" i="1"/>
  <c r="I33" i="1"/>
  <c r="F33" i="1"/>
  <c r="I25" i="1"/>
  <c r="F25" i="1"/>
  <c r="I17" i="1"/>
  <c r="F17" i="1"/>
  <c r="I9" i="1"/>
  <c r="F9" i="1"/>
  <c r="I94" i="1"/>
  <c r="F94" i="1"/>
  <c r="I6" i="1"/>
  <c r="F6" i="1"/>
  <c r="I92" i="1"/>
  <c r="F92" i="1"/>
  <c r="G85" i="1"/>
  <c r="I98" i="1"/>
  <c r="F98" i="1"/>
  <c r="G21" i="1"/>
  <c r="I89" i="1"/>
  <c r="F89" i="1"/>
  <c r="I81" i="1"/>
  <c r="F81" i="1"/>
  <c r="I65" i="1"/>
  <c r="F65" i="1"/>
  <c r="I96" i="1"/>
  <c r="F96" i="1"/>
  <c r="I88" i="1"/>
  <c r="F88" i="1"/>
  <c r="I80" i="1"/>
  <c r="F80" i="1"/>
  <c r="I72" i="1"/>
  <c r="F72" i="1"/>
  <c r="I64" i="1"/>
  <c r="F64" i="1"/>
  <c r="I56" i="1"/>
  <c r="F56" i="1"/>
  <c r="I48" i="1"/>
  <c r="F48" i="1"/>
  <c r="I40" i="1"/>
  <c r="F40" i="1"/>
  <c r="I32" i="1"/>
  <c r="F32" i="1"/>
  <c r="I24" i="1"/>
  <c r="F24" i="1"/>
  <c r="I16" i="1"/>
  <c r="F16" i="1"/>
  <c r="I8" i="1"/>
  <c r="F8" i="1"/>
  <c r="G17" i="1"/>
  <c r="G7" i="1"/>
  <c r="G101" i="1"/>
  <c r="G37" i="1"/>
  <c r="G11" i="1"/>
  <c r="G93" i="1"/>
  <c r="I3" i="1"/>
  <c r="G12" i="1"/>
  <c r="F3" i="1"/>
  <c r="G77" i="1"/>
  <c r="G5" i="1"/>
  <c r="G61" i="1"/>
  <c r="G53" i="1"/>
  <c r="G13" i="1"/>
  <c r="G69" i="1"/>
  <c r="G4" i="1"/>
  <c r="G45" i="1"/>
  <c r="G28" i="1"/>
  <c r="AD41" i="12"/>
  <c r="AB41" i="12" s="1"/>
  <c r="G92" i="1"/>
  <c r="G68" i="1"/>
  <c r="G44" i="1"/>
  <c r="G83" i="1"/>
  <c r="G67" i="1"/>
  <c r="G43" i="1"/>
  <c r="G19" i="1"/>
  <c r="G98" i="1"/>
  <c r="G74" i="1"/>
  <c r="G50" i="1"/>
  <c r="G26" i="1"/>
  <c r="G89" i="1"/>
  <c r="G65" i="1"/>
  <c r="G41" i="1"/>
  <c r="G25" i="1"/>
  <c r="G102" i="1"/>
  <c r="G94" i="1"/>
  <c r="G86" i="1"/>
  <c r="G78" i="1"/>
  <c r="G70" i="1"/>
  <c r="G62" i="1"/>
  <c r="G54" i="1"/>
  <c r="G46" i="1"/>
  <c r="G38" i="1"/>
  <c r="G30" i="1"/>
  <c r="G22" i="1"/>
  <c r="G14" i="1"/>
  <c r="G6" i="1"/>
  <c r="G84" i="1"/>
  <c r="G60" i="1"/>
  <c r="G36" i="1"/>
  <c r="G20" i="1"/>
  <c r="G91" i="1"/>
  <c r="G59" i="1"/>
  <c r="G35" i="1"/>
  <c r="G27" i="1"/>
  <c r="G82" i="1"/>
  <c r="C6" i="2" s="1"/>
  <c r="G66" i="1"/>
  <c r="G42" i="1"/>
  <c r="G18" i="1"/>
  <c r="G81" i="1"/>
  <c r="G57" i="1"/>
  <c r="G33" i="1"/>
  <c r="G9" i="1"/>
  <c r="G96" i="1"/>
  <c r="G88" i="1"/>
  <c r="G80" i="1"/>
  <c r="G72" i="1"/>
  <c r="G64" i="1"/>
  <c r="G56" i="1"/>
  <c r="G48" i="1"/>
  <c r="G40" i="1"/>
  <c r="G32" i="1"/>
  <c r="G24" i="1"/>
  <c r="G16" i="1"/>
  <c r="G8" i="1"/>
  <c r="G100" i="1"/>
  <c r="G76" i="1"/>
  <c r="G52" i="1"/>
  <c r="G99" i="1"/>
  <c r="G75" i="1"/>
  <c r="G51" i="1"/>
  <c r="G90" i="1"/>
  <c r="G58" i="1"/>
  <c r="G34" i="1"/>
  <c r="G10" i="1"/>
  <c r="G97" i="1"/>
  <c r="G73" i="1"/>
  <c r="G49" i="1"/>
  <c r="G95" i="1"/>
  <c r="G87" i="1"/>
  <c r="G79" i="1"/>
  <c r="G71" i="1"/>
  <c r="G63" i="1"/>
  <c r="G55" i="1"/>
  <c r="G47" i="1"/>
  <c r="G39" i="1"/>
  <c r="G31" i="1"/>
  <c r="G23" i="1"/>
  <c r="G15" i="1"/>
  <c r="C5" i="2"/>
  <c r="I40" i="15"/>
  <c r="N7" i="15"/>
  <c r="N8" i="15" l="1"/>
  <c r="D9" i="12"/>
  <c r="F16" i="15"/>
  <c r="D41" i="12"/>
  <c r="F48" i="15"/>
  <c r="D73" i="12"/>
  <c r="F80" i="15"/>
  <c r="D66" i="12"/>
  <c r="F73" i="15"/>
  <c r="D10" i="12"/>
  <c r="F17" i="15"/>
  <c r="D42" i="12"/>
  <c r="F49" i="15"/>
  <c r="D98" i="12"/>
  <c r="F105" i="15"/>
  <c r="D11" i="12"/>
  <c r="F18" i="15"/>
  <c r="D43" i="12"/>
  <c r="F50" i="15"/>
  <c r="D75" i="12"/>
  <c r="F82" i="15"/>
  <c r="D31" i="12"/>
  <c r="F38" i="15"/>
  <c r="D28" i="12"/>
  <c r="F35" i="15"/>
  <c r="D60" i="12"/>
  <c r="F67" i="15"/>
  <c r="D92" i="12"/>
  <c r="F99" i="15"/>
  <c r="D63" i="12"/>
  <c r="F70" i="15"/>
  <c r="D29" i="12"/>
  <c r="F36" i="15"/>
  <c r="D61" i="12"/>
  <c r="F68" i="15"/>
  <c r="D39" i="12"/>
  <c r="F46" i="15"/>
  <c r="D14" i="12"/>
  <c r="F21" i="15"/>
  <c r="D46" i="12"/>
  <c r="F53" i="15"/>
  <c r="D78" i="12"/>
  <c r="F85" i="15"/>
  <c r="D8" i="12"/>
  <c r="F15" i="15"/>
  <c r="D40" i="12"/>
  <c r="F47" i="15"/>
  <c r="D72" i="12"/>
  <c r="F79" i="15"/>
  <c r="D17" i="12"/>
  <c r="F24" i="15"/>
  <c r="D49" i="12"/>
  <c r="F56" i="15"/>
  <c r="D81" i="12"/>
  <c r="F88" i="15"/>
  <c r="D82" i="12"/>
  <c r="F89" i="15"/>
  <c r="D93" i="12"/>
  <c r="F100" i="15"/>
  <c r="D18" i="12"/>
  <c r="F25" i="15"/>
  <c r="D50" i="12"/>
  <c r="D101" i="12"/>
  <c r="F108" i="15"/>
  <c r="D19" i="12"/>
  <c r="F26" i="15"/>
  <c r="D51" i="12"/>
  <c r="F58" i="15"/>
  <c r="D83" i="12"/>
  <c r="F90" i="15"/>
  <c r="D87" i="12"/>
  <c r="F94" i="15"/>
  <c r="D36" i="12"/>
  <c r="F43" i="15"/>
  <c r="D68" i="12"/>
  <c r="F75" i="15"/>
  <c r="D100" i="12"/>
  <c r="F107" i="15"/>
  <c r="D5" i="12"/>
  <c r="F12" i="15"/>
  <c r="D37" i="12"/>
  <c r="F44" i="15"/>
  <c r="D69" i="12"/>
  <c r="F76" i="15"/>
  <c r="D55" i="12"/>
  <c r="F62" i="15"/>
  <c r="D22" i="12"/>
  <c r="F29" i="15"/>
  <c r="D54" i="12"/>
  <c r="F61" i="15"/>
  <c r="D86" i="12"/>
  <c r="F93" i="15"/>
  <c r="D16" i="12"/>
  <c r="F23" i="15"/>
  <c r="D48" i="12"/>
  <c r="F55" i="15"/>
  <c r="D80" i="12"/>
  <c r="F87" i="15"/>
  <c r="D92" i="17"/>
  <c r="D25" i="12"/>
  <c r="F32" i="15"/>
  <c r="D57" i="12"/>
  <c r="F64" i="15"/>
  <c r="D89" i="12"/>
  <c r="F96" i="15"/>
  <c r="D90" i="12"/>
  <c r="F97" i="15"/>
  <c r="D7" i="12"/>
  <c r="F14" i="15"/>
  <c r="D26" i="12"/>
  <c r="F33" i="15"/>
  <c r="D58" i="12"/>
  <c r="F65" i="15"/>
  <c r="D15" i="12"/>
  <c r="F22" i="15"/>
  <c r="D27" i="12"/>
  <c r="F34" i="15"/>
  <c r="D59" i="12"/>
  <c r="F66" i="15"/>
  <c r="D91" i="12"/>
  <c r="F98" i="15"/>
  <c r="D12" i="12"/>
  <c r="F19" i="15"/>
  <c r="D44" i="12"/>
  <c r="F51" i="15"/>
  <c r="D76" i="12"/>
  <c r="F83" i="15"/>
  <c r="D94" i="12"/>
  <c r="F101" i="15"/>
  <c r="D13" i="12"/>
  <c r="F20" i="15"/>
  <c r="D45" i="12"/>
  <c r="F52" i="15"/>
  <c r="D77" i="12"/>
  <c r="F84" i="15"/>
  <c r="D103" i="12"/>
  <c r="F110" i="15"/>
  <c r="D30" i="12"/>
  <c r="F37" i="15"/>
  <c r="D62" i="12"/>
  <c r="F69" i="15"/>
  <c r="D23" i="12"/>
  <c r="F30" i="15"/>
  <c r="D24" i="12"/>
  <c r="F31" i="15"/>
  <c r="D56" i="12"/>
  <c r="F63" i="15"/>
  <c r="D88" i="12"/>
  <c r="F95" i="15"/>
  <c r="D33" i="12"/>
  <c r="F40" i="15"/>
  <c r="D65" i="12"/>
  <c r="F72" i="15"/>
  <c r="D97" i="12"/>
  <c r="F104" i="15"/>
  <c r="D95" i="12"/>
  <c r="F102" i="15"/>
  <c r="D34" i="12"/>
  <c r="F41" i="15"/>
  <c r="D74" i="12"/>
  <c r="F81" i="15"/>
  <c r="D79" i="12"/>
  <c r="F86" i="15"/>
  <c r="D35" i="12"/>
  <c r="F42" i="15"/>
  <c r="D67" i="12"/>
  <c r="F74" i="15"/>
  <c r="D102" i="12"/>
  <c r="F109" i="15"/>
  <c r="D20" i="12"/>
  <c r="F27" i="15"/>
  <c r="D52" i="12"/>
  <c r="F59" i="15"/>
  <c r="D84" i="12"/>
  <c r="F91" i="15"/>
  <c r="D47" i="12"/>
  <c r="F54" i="15"/>
  <c r="D21" i="12"/>
  <c r="F28" i="15"/>
  <c r="D53" i="12"/>
  <c r="F60" i="15"/>
  <c r="D85" i="12"/>
  <c r="F92" i="15"/>
  <c r="D6" i="12"/>
  <c r="F13" i="15"/>
  <c r="D38" i="12"/>
  <c r="F45" i="15"/>
  <c r="D70" i="12"/>
  <c r="F77" i="15"/>
  <c r="D71" i="12"/>
  <c r="F78" i="15"/>
  <c r="D32" i="12"/>
  <c r="F39" i="15"/>
  <c r="D64" i="12"/>
  <c r="F71" i="15"/>
  <c r="D96" i="12"/>
  <c r="F103" i="15"/>
  <c r="D99" i="12"/>
  <c r="F106" i="15"/>
  <c r="D90" i="17"/>
  <c r="J3" i="1"/>
  <c r="D4" i="12"/>
  <c r="R2" i="15" l="1"/>
  <c r="AJ9" i="12"/>
  <c r="F57" i="15"/>
  <c r="AB24" i="12"/>
  <c r="F11" i="15"/>
  <c r="R40" i="15" s="1"/>
  <c r="J4" i="1"/>
  <c r="A17" i="31"/>
  <c r="C17" i="31"/>
  <c r="D2" i="15"/>
  <c r="E2" i="15"/>
  <c r="F2" i="15"/>
  <c r="G2" i="15"/>
  <c r="H2" i="15"/>
  <c r="I2" i="15"/>
  <c r="J2" i="15"/>
  <c r="K2" i="15"/>
  <c r="D3" i="15"/>
  <c r="E3" i="15"/>
  <c r="F3" i="15"/>
  <c r="G3" i="15"/>
  <c r="H3" i="15"/>
  <c r="I3" i="15"/>
  <c r="J3" i="15"/>
  <c r="K3" i="15"/>
  <c r="D4" i="15"/>
  <c r="E4" i="15"/>
  <c r="F4" i="15"/>
  <c r="G4" i="15"/>
  <c r="H4" i="15"/>
  <c r="I4" i="15"/>
  <c r="J4" i="15"/>
  <c r="K4" i="15"/>
  <c r="D5" i="15"/>
  <c r="E5" i="15"/>
  <c r="F5" i="15"/>
  <c r="G5" i="15"/>
  <c r="H5" i="15"/>
  <c r="I5" i="15"/>
  <c r="J5" i="15"/>
  <c r="K5" i="15"/>
  <c r="D6" i="15"/>
  <c r="E6" i="15"/>
  <c r="F6" i="15"/>
  <c r="G6" i="15"/>
  <c r="H6" i="15"/>
  <c r="I6" i="15"/>
  <c r="J6" i="15"/>
  <c r="K6" i="15"/>
  <c r="D7" i="15"/>
  <c r="E7" i="15"/>
  <c r="F7" i="15"/>
  <c r="G7" i="15"/>
  <c r="H7" i="15"/>
  <c r="I7" i="15"/>
  <c r="J7" i="15"/>
  <c r="K7" i="15"/>
  <c r="D8" i="15"/>
  <c r="E8" i="15"/>
  <c r="F8" i="15"/>
  <c r="G8" i="15"/>
  <c r="H8" i="15"/>
  <c r="I8" i="15"/>
  <c r="J8" i="15"/>
  <c r="K8" i="15"/>
  <c r="I1" i="15"/>
  <c r="J1" i="15"/>
  <c r="K1" i="15"/>
  <c r="E1" i="15"/>
  <c r="F1" i="15"/>
  <c r="G1" i="15"/>
  <c r="H1" i="15"/>
  <c r="D1" i="15"/>
  <c r="A18" i="31" l="1"/>
  <c r="C18" i="31"/>
  <c r="J5" i="1"/>
  <c r="J39" i="15"/>
  <c r="AH49" i="12"/>
  <c r="AH50" i="12"/>
  <c r="C19" i="31" l="1"/>
  <c r="J6" i="1"/>
  <c r="A19" i="31"/>
  <c r="AB28" i="12" l="1"/>
  <c r="AB29" i="12" s="1"/>
  <c r="AB25" i="12"/>
  <c r="C20" i="31"/>
  <c r="A20" i="31"/>
  <c r="J7" i="1"/>
  <c r="J8" i="1" l="1"/>
  <c r="C21" i="31"/>
  <c r="A21" i="31"/>
  <c r="AB16" i="12"/>
  <c r="H6" i="1"/>
  <c r="H7" i="1"/>
  <c r="H8" i="1"/>
  <c r="H9" i="1"/>
  <c r="H14" i="1"/>
  <c r="H15" i="1"/>
  <c r="H16" i="1"/>
  <c r="H17" i="1"/>
  <c r="H22" i="1"/>
  <c r="H23" i="1"/>
  <c r="H24" i="1"/>
  <c r="H25" i="1"/>
  <c r="H30" i="1"/>
  <c r="H31" i="1"/>
  <c r="H32" i="1"/>
  <c r="H33" i="1"/>
  <c r="H38" i="1"/>
  <c r="H39" i="1"/>
  <c r="H40" i="1"/>
  <c r="H46" i="1"/>
  <c r="H47" i="1"/>
  <c r="H48" i="1"/>
  <c r="H54" i="1"/>
  <c r="H55" i="1"/>
  <c r="H56" i="1"/>
  <c r="H62" i="1"/>
  <c r="H63" i="1"/>
  <c r="H64" i="1"/>
  <c r="H70" i="1"/>
  <c r="H71" i="1"/>
  <c r="H72" i="1"/>
  <c r="H78" i="1"/>
  <c r="H79" i="1"/>
  <c r="H80" i="1"/>
  <c r="H86" i="1"/>
  <c r="H87" i="1"/>
  <c r="H88" i="1"/>
  <c r="H94" i="1"/>
  <c r="H95" i="1"/>
  <c r="H96" i="1"/>
  <c r="H102" i="1"/>
  <c r="G3" i="1"/>
  <c r="H3" i="1" s="1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4" i="12"/>
  <c r="J9" i="1" l="1"/>
  <c r="C22" i="31"/>
  <c r="A22" i="31"/>
  <c r="R50" i="12"/>
  <c r="D76" i="14"/>
  <c r="D80" i="17" s="1"/>
  <c r="I83" i="19" s="1"/>
  <c r="D28" i="14"/>
  <c r="D32" i="17" s="1"/>
  <c r="I35" i="19" s="1"/>
  <c r="D83" i="14"/>
  <c r="D87" i="17" s="1"/>
  <c r="I90" i="19" s="1"/>
  <c r="D59" i="14"/>
  <c r="D63" i="17" s="1"/>
  <c r="I66" i="19" s="1"/>
  <c r="D27" i="14"/>
  <c r="D31" i="17" s="1"/>
  <c r="I34" i="19" s="1"/>
  <c r="D66" i="14"/>
  <c r="D70" i="17" s="1"/>
  <c r="I73" i="19" s="1"/>
  <c r="D50" i="14"/>
  <c r="D54" i="17" s="1"/>
  <c r="I57" i="19" s="1"/>
  <c r="D26" i="14"/>
  <c r="D30" i="17" s="1"/>
  <c r="I33" i="19" s="1"/>
  <c r="H101" i="1"/>
  <c r="H93" i="1"/>
  <c r="H85" i="1"/>
  <c r="H77" i="1"/>
  <c r="H69" i="1"/>
  <c r="H61" i="1"/>
  <c r="H53" i="1"/>
  <c r="H45" i="1"/>
  <c r="H37" i="1"/>
  <c r="H29" i="1"/>
  <c r="H21" i="1"/>
  <c r="H13" i="1"/>
  <c r="H5" i="1"/>
  <c r="D81" i="14"/>
  <c r="D85" i="17" s="1"/>
  <c r="I88" i="19" s="1"/>
  <c r="D73" i="14"/>
  <c r="D77" i="17" s="1"/>
  <c r="I80" i="19" s="1"/>
  <c r="D65" i="14"/>
  <c r="D69" i="17" s="1"/>
  <c r="I72" i="19" s="1"/>
  <c r="D57" i="14"/>
  <c r="D61" i="17" s="1"/>
  <c r="I64" i="19" s="1"/>
  <c r="D49" i="14"/>
  <c r="D53" i="17" s="1"/>
  <c r="I56" i="19" s="1"/>
  <c r="D41" i="14"/>
  <c r="D45" i="17" s="1"/>
  <c r="I48" i="19" s="1"/>
  <c r="D33" i="14"/>
  <c r="D37" i="17" s="1"/>
  <c r="I40" i="19" s="1"/>
  <c r="D25" i="14"/>
  <c r="D29" i="17" s="1"/>
  <c r="I32" i="19" s="1"/>
  <c r="D17" i="14"/>
  <c r="D21" i="17" s="1"/>
  <c r="I24" i="19" s="1"/>
  <c r="D9" i="14"/>
  <c r="D13" i="17" s="1"/>
  <c r="I16" i="19" s="1"/>
  <c r="H100" i="1"/>
  <c r="H92" i="1"/>
  <c r="H84" i="1"/>
  <c r="H76" i="1"/>
  <c r="H68" i="1"/>
  <c r="H60" i="1"/>
  <c r="H52" i="1"/>
  <c r="H44" i="1"/>
  <c r="H36" i="1"/>
  <c r="H28" i="1"/>
  <c r="H20" i="1"/>
  <c r="H12" i="1"/>
  <c r="D80" i="14"/>
  <c r="D84" i="17" s="1"/>
  <c r="I87" i="19" s="1"/>
  <c r="D72" i="14"/>
  <c r="D76" i="17" s="1"/>
  <c r="I79" i="19" s="1"/>
  <c r="D64" i="14"/>
  <c r="D68" i="17" s="1"/>
  <c r="I71" i="19" s="1"/>
  <c r="D56" i="14"/>
  <c r="D60" i="17" s="1"/>
  <c r="I63" i="19" s="1"/>
  <c r="D48" i="14"/>
  <c r="D52" i="17" s="1"/>
  <c r="I55" i="19" s="1"/>
  <c r="D40" i="14"/>
  <c r="D44" i="17" s="1"/>
  <c r="I47" i="19" s="1"/>
  <c r="D32" i="14"/>
  <c r="D36" i="17" s="1"/>
  <c r="I39" i="19" s="1"/>
  <c r="D24" i="14"/>
  <c r="D28" i="17" s="1"/>
  <c r="I31" i="19" s="1"/>
  <c r="D16" i="14"/>
  <c r="D20" i="17" s="1"/>
  <c r="I23" i="19" s="1"/>
  <c r="D8" i="14"/>
  <c r="D12" i="17" s="1"/>
  <c r="I15" i="19" s="1"/>
  <c r="D68" i="14"/>
  <c r="D72" i="17" s="1"/>
  <c r="I75" i="19" s="1"/>
  <c r="D60" i="14"/>
  <c r="D64" i="17" s="1"/>
  <c r="I67" i="19" s="1"/>
  <c r="D52" i="14"/>
  <c r="D56" i="17" s="1"/>
  <c r="I59" i="19" s="1"/>
  <c r="D44" i="14"/>
  <c r="D48" i="17" s="1"/>
  <c r="I51" i="19" s="1"/>
  <c r="D36" i="14"/>
  <c r="D40" i="17" s="1"/>
  <c r="I43" i="19" s="1"/>
  <c r="D12" i="14"/>
  <c r="D16" i="17" s="1"/>
  <c r="I19" i="19" s="1"/>
  <c r="D67" i="14"/>
  <c r="D71" i="17" s="1"/>
  <c r="I74" i="19" s="1"/>
  <c r="D51" i="14"/>
  <c r="D55" i="17" s="1"/>
  <c r="I58" i="19" s="1"/>
  <c r="D35" i="14"/>
  <c r="D39" i="17" s="1"/>
  <c r="I42" i="19" s="1"/>
  <c r="D11" i="14"/>
  <c r="D15" i="17" s="1"/>
  <c r="I18" i="19" s="1"/>
  <c r="D74" i="14"/>
  <c r="D78" i="17" s="1"/>
  <c r="I81" i="19" s="1"/>
  <c r="D42" i="14"/>
  <c r="D46" i="17" s="1"/>
  <c r="I49" i="19" s="1"/>
  <c r="D10" i="14"/>
  <c r="D14" i="17" s="1"/>
  <c r="I17" i="19" s="1"/>
  <c r="H91" i="1"/>
  <c r="H75" i="1"/>
  <c r="H59" i="1"/>
  <c r="H51" i="1"/>
  <c r="H35" i="1"/>
  <c r="H19" i="1"/>
  <c r="D71" i="14"/>
  <c r="D75" i="17" s="1"/>
  <c r="I78" i="19" s="1"/>
  <c r="D47" i="14"/>
  <c r="D51" i="17" s="1"/>
  <c r="I54" i="19" s="1"/>
  <c r="D7" i="14"/>
  <c r="D11" i="17" s="1"/>
  <c r="I14" i="19" s="1"/>
  <c r="H98" i="1"/>
  <c r="H90" i="1"/>
  <c r="H82" i="1"/>
  <c r="H74" i="1"/>
  <c r="H66" i="1"/>
  <c r="H58" i="1"/>
  <c r="H50" i="1"/>
  <c r="H42" i="1"/>
  <c r="H34" i="1"/>
  <c r="H26" i="1"/>
  <c r="H18" i="1"/>
  <c r="H10" i="1"/>
  <c r="D78" i="14"/>
  <c r="D82" i="17" s="1"/>
  <c r="I85" i="19" s="1"/>
  <c r="D70" i="14"/>
  <c r="D74" i="17" s="1"/>
  <c r="I77" i="19" s="1"/>
  <c r="D62" i="14"/>
  <c r="D66" i="17" s="1"/>
  <c r="I69" i="19" s="1"/>
  <c r="D54" i="14"/>
  <c r="D58" i="17" s="1"/>
  <c r="I61" i="19" s="1"/>
  <c r="D46" i="14"/>
  <c r="D50" i="17" s="1"/>
  <c r="I53" i="19" s="1"/>
  <c r="D38" i="14"/>
  <c r="D42" i="17" s="1"/>
  <c r="I45" i="19" s="1"/>
  <c r="D30" i="14"/>
  <c r="D34" i="17" s="1"/>
  <c r="I37" i="19" s="1"/>
  <c r="D22" i="14"/>
  <c r="D26" i="17" s="1"/>
  <c r="I29" i="19" s="1"/>
  <c r="D14" i="14"/>
  <c r="D18" i="17" s="1"/>
  <c r="I21" i="19" s="1"/>
  <c r="D84" i="14"/>
  <c r="D88" i="17" s="1"/>
  <c r="I91" i="19" s="1"/>
  <c r="D20" i="14"/>
  <c r="D24" i="17" s="1"/>
  <c r="I27" i="19" s="1"/>
  <c r="D75" i="14"/>
  <c r="D79" i="17" s="1"/>
  <c r="I82" i="19" s="1"/>
  <c r="D43" i="14"/>
  <c r="D47" i="17" s="1"/>
  <c r="I50" i="19" s="1"/>
  <c r="D19" i="14"/>
  <c r="D23" i="17" s="1"/>
  <c r="I26" i="19" s="1"/>
  <c r="D82" i="14"/>
  <c r="D86" i="17" s="1"/>
  <c r="I89" i="19" s="1"/>
  <c r="D58" i="14"/>
  <c r="D62" i="17" s="1"/>
  <c r="I65" i="19" s="1"/>
  <c r="D34" i="14"/>
  <c r="D38" i="17" s="1"/>
  <c r="I41" i="19" s="1"/>
  <c r="D18" i="14"/>
  <c r="D22" i="17" s="1"/>
  <c r="I25" i="19" s="1"/>
  <c r="H99" i="1"/>
  <c r="H83" i="1"/>
  <c r="H67" i="1"/>
  <c r="H43" i="1"/>
  <c r="H27" i="1"/>
  <c r="H11" i="1"/>
  <c r="D79" i="14"/>
  <c r="D83" i="17" s="1"/>
  <c r="I86" i="19" s="1"/>
  <c r="D63" i="14"/>
  <c r="D67" i="17" s="1"/>
  <c r="I70" i="19" s="1"/>
  <c r="D55" i="14"/>
  <c r="D59" i="17" s="1"/>
  <c r="I62" i="19" s="1"/>
  <c r="D39" i="14"/>
  <c r="D43" i="17" s="1"/>
  <c r="I46" i="19" s="1"/>
  <c r="D31" i="14"/>
  <c r="D35" i="17" s="1"/>
  <c r="I38" i="19" s="1"/>
  <c r="D23" i="14"/>
  <c r="D27" i="17" s="1"/>
  <c r="I30" i="19" s="1"/>
  <c r="D15" i="14"/>
  <c r="D19" i="17" s="1"/>
  <c r="I22" i="19" s="1"/>
  <c r="H97" i="1"/>
  <c r="H89" i="1"/>
  <c r="H81" i="1"/>
  <c r="H73" i="1"/>
  <c r="H65" i="1"/>
  <c r="H57" i="1"/>
  <c r="H49" i="1"/>
  <c r="H41" i="1"/>
  <c r="D89" i="17"/>
  <c r="I92" i="19" s="1"/>
  <c r="D77" i="14"/>
  <c r="D81" i="17" s="1"/>
  <c r="I84" i="19" s="1"/>
  <c r="D69" i="14"/>
  <c r="D73" i="17" s="1"/>
  <c r="I76" i="19" s="1"/>
  <c r="D61" i="14"/>
  <c r="D65" i="17" s="1"/>
  <c r="I68" i="19" s="1"/>
  <c r="D53" i="14"/>
  <c r="D57" i="17" s="1"/>
  <c r="I60" i="19" s="1"/>
  <c r="D45" i="14"/>
  <c r="D49" i="17" s="1"/>
  <c r="I52" i="19" s="1"/>
  <c r="D37" i="14"/>
  <c r="D41" i="17" s="1"/>
  <c r="I44" i="19" s="1"/>
  <c r="D29" i="14"/>
  <c r="D33" i="17" s="1"/>
  <c r="I36" i="19" s="1"/>
  <c r="D21" i="14"/>
  <c r="D25" i="17" s="1"/>
  <c r="I28" i="19" s="1"/>
  <c r="D13" i="14"/>
  <c r="D17" i="17" s="1"/>
  <c r="I20" i="19" s="1"/>
  <c r="E17" i="15"/>
  <c r="E25" i="15"/>
  <c r="E33" i="15"/>
  <c r="E41" i="15"/>
  <c r="E49" i="15"/>
  <c r="E57" i="15"/>
  <c r="E65" i="15"/>
  <c r="E73" i="15"/>
  <c r="E81" i="15"/>
  <c r="E89" i="15"/>
  <c r="E97" i="15"/>
  <c r="E105" i="15"/>
  <c r="E27" i="15"/>
  <c r="E43" i="15"/>
  <c r="E67" i="15"/>
  <c r="E83" i="15"/>
  <c r="E99" i="15"/>
  <c r="E14" i="15"/>
  <c r="E46" i="15"/>
  <c r="E70" i="15"/>
  <c r="E94" i="15"/>
  <c r="E15" i="15"/>
  <c r="E39" i="15"/>
  <c r="E63" i="15"/>
  <c r="E87" i="15"/>
  <c r="E16" i="15"/>
  <c r="E40" i="15"/>
  <c r="E64" i="15"/>
  <c r="E88" i="15"/>
  <c r="E18" i="15"/>
  <c r="E26" i="15"/>
  <c r="E34" i="15"/>
  <c r="E42" i="15"/>
  <c r="E50" i="15"/>
  <c r="E58" i="15"/>
  <c r="E66" i="15"/>
  <c r="E74" i="15"/>
  <c r="E82" i="15"/>
  <c r="E90" i="15"/>
  <c r="E98" i="15"/>
  <c r="E106" i="15"/>
  <c r="E19" i="15"/>
  <c r="E35" i="15"/>
  <c r="E51" i="15"/>
  <c r="E59" i="15"/>
  <c r="E75" i="15"/>
  <c r="E91" i="15"/>
  <c r="E107" i="15"/>
  <c r="E30" i="15"/>
  <c r="E54" i="15"/>
  <c r="E78" i="15"/>
  <c r="E102" i="15"/>
  <c r="E31" i="15"/>
  <c r="E55" i="15"/>
  <c r="E79" i="15"/>
  <c r="E103" i="15"/>
  <c r="E32" i="15"/>
  <c r="E56" i="15"/>
  <c r="E80" i="15"/>
  <c r="E104" i="15"/>
  <c r="E20" i="15"/>
  <c r="E28" i="15"/>
  <c r="E36" i="15"/>
  <c r="E44" i="15"/>
  <c r="E52" i="15"/>
  <c r="E60" i="15"/>
  <c r="E68" i="15"/>
  <c r="E76" i="15"/>
  <c r="E84" i="15"/>
  <c r="E92" i="15"/>
  <c r="E100" i="15"/>
  <c r="E108" i="15"/>
  <c r="E13" i="15"/>
  <c r="E21" i="15"/>
  <c r="E29" i="15"/>
  <c r="E37" i="15"/>
  <c r="E45" i="15"/>
  <c r="E53" i="15"/>
  <c r="E61" i="15"/>
  <c r="E69" i="15"/>
  <c r="E77" i="15"/>
  <c r="E85" i="15"/>
  <c r="E93" i="15"/>
  <c r="E101" i="15"/>
  <c r="E109" i="15"/>
  <c r="E22" i="15"/>
  <c r="E38" i="15"/>
  <c r="E62" i="15"/>
  <c r="E86" i="15"/>
  <c r="E110" i="15"/>
  <c r="E23" i="15"/>
  <c r="E47" i="15"/>
  <c r="E71" i="15"/>
  <c r="E95" i="15"/>
  <c r="E12" i="15"/>
  <c r="E24" i="15"/>
  <c r="E48" i="15"/>
  <c r="E72" i="15"/>
  <c r="E96" i="15"/>
  <c r="D6" i="14"/>
  <c r="H4" i="1"/>
  <c r="X11" i="14"/>
  <c r="Z11" i="14" s="1"/>
  <c r="AG11" i="12"/>
  <c r="AI11" i="12" s="1"/>
  <c r="D10" i="17" l="1"/>
  <c r="I13" i="19" s="1"/>
  <c r="C85" i="14"/>
  <c r="C87" i="14"/>
  <c r="C86" i="14"/>
  <c r="C88" i="14"/>
  <c r="C89" i="14"/>
  <c r="J10" i="1"/>
  <c r="A23" i="31"/>
  <c r="C23" i="31"/>
  <c r="C11" i="14"/>
  <c r="B25" i="16" s="1"/>
  <c r="C65" i="14"/>
  <c r="B79" i="16" s="1"/>
  <c r="C72" i="14"/>
  <c r="B86" i="16" s="1"/>
  <c r="C8" i="14"/>
  <c r="B22" i="16" s="1"/>
  <c r="C23" i="14"/>
  <c r="B37" i="16" s="1"/>
  <c r="C38" i="14"/>
  <c r="B52" i="16" s="1"/>
  <c r="C45" i="14"/>
  <c r="B59" i="16" s="1"/>
  <c r="C52" i="14"/>
  <c r="B66" i="16" s="1"/>
  <c r="C59" i="14"/>
  <c r="B73" i="16" s="1"/>
  <c r="C66" i="14"/>
  <c r="B80" i="16" s="1"/>
  <c r="C53" i="14"/>
  <c r="B67" i="16" s="1"/>
  <c r="C71" i="14"/>
  <c r="B85" i="16" s="1"/>
  <c r="C22" i="14"/>
  <c r="B36" i="16" s="1"/>
  <c r="C36" i="14"/>
  <c r="B50" i="16" s="1"/>
  <c r="C50" i="14"/>
  <c r="B64" i="16" s="1"/>
  <c r="C49" i="14"/>
  <c r="B63" i="16" s="1"/>
  <c r="C47" i="14"/>
  <c r="B61" i="16" s="1"/>
  <c r="C62" i="14"/>
  <c r="B76" i="16" s="1"/>
  <c r="C84" i="14"/>
  <c r="B98" i="16" s="1"/>
  <c r="C19" i="14"/>
  <c r="B33" i="16" s="1"/>
  <c r="C81" i="14"/>
  <c r="B95" i="16" s="1"/>
  <c r="C39" i="14"/>
  <c r="B53" i="16" s="1"/>
  <c r="C76" i="14"/>
  <c r="B90" i="16" s="1"/>
  <c r="C82" i="14"/>
  <c r="B96" i="16" s="1"/>
  <c r="C80" i="14"/>
  <c r="B94" i="16" s="1"/>
  <c r="C46" i="14"/>
  <c r="B60" i="16" s="1"/>
  <c r="C60" i="14"/>
  <c r="B74" i="16" s="1"/>
  <c r="C74" i="14"/>
  <c r="B88" i="16" s="1"/>
  <c r="C10" i="14"/>
  <c r="B24" i="16" s="1"/>
  <c r="C57" i="14"/>
  <c r="B71" i="16" s="1"/>
  <c r="C64" i="14"/>
  <c r="B78" i="16" s="1"/>
  <c r="C79" i="14"/>
  <c r="B93" i="16" s="1"/>
  <c r="C15" i="14"/>
  <c r="B29" i="16" s="1"/>
  <c r="C30" i="14"/>
  <c r="B44" i="16" s="1"/>
  <c r="C37" i="14"/>
  <c r="B51" i="16" s="1"/>
  <c r="C44" i="14"/>
  <c r="B58" i="16" s="1"/>
  <c r="C51" i="14"/>
  <c r="B65" i="16" s="1"/>
  <c r="C58" i="14"/>
  <c r="B72" i="16" s="1"/>
  <c r="C41" i="14"/>
  <c r="B55" i="16" s="1"/>
  <c r="C56" i="14"/>
  <c r="B70" i="16" s="1"/>
  <c r="C7" i="14"/>
  <c r="B21" i="16" s="1"/>
  <c r="C29" i="14"/>
  <c r="B43" i="16" s="1"/>
  <c r="C43" i="14"/>
  <c r="B57" i="16" s="1"/>
  <c r="C32" i="14"/>
  <c r="B46" i="16" s="1"/>
  <c r="C9" i="14"/>
  <c r="B23" i="16" s="1"/>
  <c r="C54" i="14"/>
  <c r="B68" i="16" s="1"/>
  <c r="C83" i="14"/>
  <c r="B97" i="16" s="1"/>
  <c r="C73" i="14"/>
  <c r="B87" i="16" s="1"/>
  <c r="C31" i="14"/>
  <c r="B45" i="16" s="1"/>
  <c r="C61" i="14"/>
  <c r="B75" i="16" s="1"/>
  <c r="C75" i="14"/>
  <c r="B89" i="16" s="1"/>
  <c r="C68" i="14"/>
  <c r="B82" i="16" s="1"/>
  <c r="C33" i="14"/>
  <c r="B47" i="16" s="1"/>
  <c r="C48" i="14"/>
  <c r="B62" i="16" s="1"/>
  <c r="C63" i="14"/>
  <c r="B77" i="16" s="1"/>
  <c r="C78" i="14"/>
  <c r="B92" i="16" s="1"/>
  <c r="C14" i="14"/>
  <c r="B28" i="16" s="1"/>
  <c r="C21" i="14"/>
  <c r="B35" i="16" s="1"/>
  <c r="C28" i="14"/>
  <c r="B42" i="16" s="1"/>
  <c r="C35" i="14"/>
  <c r="B49" i="16" s="1"/>
  <c r="C42" i="14"/>
  <c r="B56" i="16" s="1"/>
  <c r="C67" i="14"/>
  <c r="B81" i="16" s="1"/>
  <c r="C25" i="14"/>
  <c r="B39" i="16" s="1"/>
  <c r="C40" i="14"/>
  <c r="B54" i="16" s="1"/>
  <c r="C55" i="14"/>
  <c r="B69" i="16" s="1"/>
  <c r="C70" i="14"/>
  <c r="B84" i="16" s="1"/>
  <c r="B99" i="16"/>
  <c r="C13" i="14"/>
  <c r="B27" i="16" s="1"/>
  <c r="C20" i="14"/>
  <c r="B34" i="16" s="1"/>
  <c r="C27" i="14"/>
  <c r="B41" i="16" s="1"/>
  <c r="C34" i="14"/>
  <c r="B48" i="16" s="1"/>
  <c r="C17" i="14"/>
  <c r="B31" i="16" s="1"/>
  <c r="C77" i="14"/>
  <c r="B91" i="16" s="1"/>
  <c r="C12" i="14"/>
  <c r="B26" i="16" s="1"/>
  <c r="C26" i="14"/>
  <c r="B40" i="16" s="1"/>
  <c r="C24" i="14"/>
  <c r="B38" i="16" s="1"/>
  <c r="C69" i="14"/>
  <c r="B83" i="16" s="1"/>
  <c r="C18" i="14"/>
  <c r="B32" i="16" s="1"/>
  <c r="C16" i="14"/>
  <c r="B30" i="16" s="1"/>
  <c r="AB5" i="12"/>
  <c r="AD5" i="12" s="1"/>
  <c r="C92" i="9"/>
  <c r="D92" i="9"/>
  <c r="E92" i="9"/>
  <c r="F92" i="9"/>
  <c r="C93" i="9"/>
  <c r="D93" i="9"/>
  <c r="E93" i="9"/>
  <c r="F93" i="9"/>
  <c r="C87" i="9"/>
  <c r="D87" i="9"/>
  <c r="E87" i="9"/>
  <c r="F87" i="9"/>
  <c r="C88" i="9"/>
  <c r="D88" i="9"/>
  <c r="E88" i="9"/>
  <c r="F88" i="9"/>
  <c r="C89" i="9"/>
  <c r="D89" i="9"/>
  <c r="E89" i="9"/>
  <c r="F89" i="9"/>
  <c r="C90" i="9"/>
  <c r="D90" i="9"/>
  <c r="E90" i="9"/>
  <c r="F90" i="9"/>
  <c r="C91" i="9"/>
  <c r="D91" i="9"/>
  <c r="E91" i="9"/>
  <c r="F91" i="9"/>
  <c r="C76" i="9"/>
  <c r="D76" i="9"/>
  <c r="E76" i="9"/>
  <c r="F76" i="9"/>
  <c r="C77" i="9"/>
  <c r="D77" i="9"/>
  <c r="E77" i="9"/>
  <c r="F77" i="9"/>
  <c r="C78" i="9"/>
  <c r="D78" i="9"/>
  <c r="E78" i="9"/>
  <c r="F78" i="9"/>
  <c r="C79" i="9"/>
  <c r="D79" i="9"/>
  <c r="E79" i="9"/>
  <c r="F79" i="9"/>
  <c r="C80" i="9"/>
  <c r="D80" i="9"/>
  <c r="E80" i="9"/>
  <c r="F80" i="9"/>
  <c r="C81" i="9"/>
  <c r="D81" i="9"/>
  <c r="E81" i="9"/>
  <c r="F81" i="9"/>
  <c r="C82" i="9"/>
  <c r="D82" i="9"/>
  <c r="E82" i="9"/>
  <c r="F82" i="9"/>
  <c r="C83" i="9"/>
  <c r="D83" i="9"/>
  <c r="E83" i="9"/>
  <c r="F83" i="9"/>
  <c r="C84" i="9"/>
  <c r="D84" i="9"/>
  <c r="E84" i="9"/>
  <c r="F84" i="9"/>
  <c r="C85" i="9"/>
  <c r="D85" i="9"/>
  <c r="E85" i="9"/>
  <c r="F85" i="9"/>
  <c r="C86" i="9"/>
  <c r="D86" i="9"/>
  <c r="E86" i="9"/>
  <c r="F86" i="9"/>
  <c r="C57" i="9"/>
  <c r="D57" i="9"/>
  <c r="E57" i="9"/>
  <c r="F57" i="9"/>
  <c r="C58" i="9"/>
  <c r="D58" i="9"/>
  <c r="E58" i="9"/>
  <c r="F58" i="9"/>
  <c r="C59" i="9"/>
  <c r="D59" i="9"/>
  <c r="E59" i="9"/>
  <c r="F59" i="9"/>
  <c r="C60" i="9"/>
  <c r="D60" i="9"/>
  <c r="E60" i="9"/>
  <c r="F60" i="9"/>
  <c r="C61" i="9"/>
  <c r="D61" i="9"/>
  <c r="E61" i="9"/>
  <c r="F61" i="9"/>
  <c r="C62" i="9"/>
  <c r="D62" i="9"/>
  <c r="E62" i="9"/>
  <c r="F62" i="9"/>
  <c r="C63" i="9"/>
  <c r="D63" i="9"/>
  <c r="E63" i="9"/>
  <c r="F63" i="9"/>
  <c r="C64" i="9"/>
  <c r="D64" i="9"/>
  <c r="E64" i="9"/>
  <c r="F64" i="9"/>
  <c r="C65" i="9"/>
  <c r="D65" i="9"/>
  <c r="E65" i="9"/>
  <c r="F65" i="9"/>
  <c r="C66" i="9"/>
  <c r="D66" i="9"/>
  <c r="E66" i="9"/>
  <c r="F66" i="9"/>
  <c r="C67" i="9"/>
  <c r="D67" i="9"/>
  <c r="E67" i="9"/>
  <c r="F67" i="9"/>
  <c r="C68" i="9"/>
  <c r="D68" i="9"/>
  <c r="E68" i="9"/>
  <c r="F68" i="9"/>
  <c r="C69" i="9"/>
  <c r="D69" i="9"/>
  <c r="E69" i="9"/>
  <c r="F69" i="9"/>
  <c r="C70" i="9"/>
  <c r="D70" i="9"/>
  <c r="E70" i="9"/>
  <c r="F70" i="9"/>
  <c r="C71" i="9"/>
  <c r="D71" i="9"/>
  <c r="E71" i="9"/>
  <c r="F71" i="9"/>
  <c r="C72" i="9"/>
  <c r="D72" i="9"/>
  <c r="E72" i="9"/>
  <c r="F72" i="9"/>
  <c r="C73" i="9"/>
  <c r="D73" i="9"/>
  <c r="E73" i="9"/>
  <c r="F73" i="9"/>
  <c r="C74" i="9"/>
  <c r="D74" i="9"/>
  <c r="E74" i="9"/>
  <c r="F74" i="9"/>
  <c r="C75" i="9"/>
  <c r="D75" i="9"/>
  <c r="E75" i="9"/>
  <c r="F75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4" i="9"/>
  <c r="C48" i="9"/>
  <c r="D48" i="9"/>
  <c r="E48" i="9"/>
  <c r="C49" i="9"/>
  <c r="D49" i="9"/>
  <c r="E49" i="9"/>
  <c r="C50" i="9"/>
  <c r="D50" i="9"/>
  <c r="E50" i="9"/>
  <c r="C51" i="9"/>
  <c r="D51" i="9"/>
  <c r="E51" i="9"/>
  <c r="C52" i="9"/>
  <c r="D52" i="9"/>
  <c r="E52" i="9"/>
  <c r="C53" i="9"/>
  <c r="D53" i="9"/>
  <c r="E53" i="9"/>
  <c r="C54" i="9"/>
  <c r="D54" i="9"/>
  <c r="E54" i="9"/>
  <c r="C55" i="9"/>
  <c r="D55" i="9"/>
  <c r="E55" i="9"/>
  <c r="C56" i="9"/>
  <c r="D56" i="9"/>
  <c r="E56" i="9"/>
  <c r="C30" i="9"/>
  <c r="D30" i="9"/>
  <c r="E30" i="9"/>
  <c r="C31" i="9"/>
  <c r="D31" i="9"/>
  <c r="E31" i="9"/>
  <c r="C32" i="9"/>
  <c r="D32" i="9"/>
  <c r="E32" i="9"/>
  <c r="C33" i="9"/>
  <c r="D33" i="9"/>
  <c r="E33" i="9"/>
  <c r="C34" i="9"/>
  <c r="D34" i="9"/>
  <c r="E34" i="9"/>
  <c r="C35" i="9"/>
  <c r="D35" i="9"/>
  <c r="E35" i="9"/>
  <c r="C36" i="9"/>
  <c r="D36" i="9"/>
  <c r="E36" i="9"/>
  <c r="C37" i="9"/>
  <c r="D37" i="9"/>
  <c r="E37" i="9"/>
  <c r="C38" i="9"/>
  <c r="D38" i="9"/>
  <c r="E38" i="9"/>
  <c r="C39" i="9"/>
  <c r="D39" i="9"/>
  <c r="E39" i="9"/>
  <c r="C40" i="9"/>
  <c r="D40" i="9"/>
  <c r="E40" i="9"/>
  <c r="C41" i="9"/>
  <c r="D41" i="9"/>
  <c r="E41" i="9"/>
  <c r="C42" i="9"/>
  <c r="D42" i="9"/>
  <c r="E42" i="9"/>
  <c r="C43" i="9"/>
  <c r="D43" i="9"/>
  <c r="E43" i="9"/>
  <c r="C44" i="9"/>
  <c r="D44" i="9"/>
  <c r="E44" i="9"/>
  <c r="C45" i="9"/>
  <c r="D45" i="9"/>
  <c r="E45" i="9"/>
  <c r="C46" i="9"/>
  <c r="D46" i="9"/>
  <c r="E46" i="9"/>
  <c r="C47" i="9"/>
  <c r="D47" i="9"/>
  <c r="E47" i="9"/>
  <c r="C5" i="9"/>
  <c r="D5" i="9"/>
  <c r="E5" i="9"/>
  <c r="C6" i="9"/>
  <c r="D6" i="9"/>
  <c r="E6" i="9"/>
  <c r="C7" i="9"/>
  <c r="D7" i="9"/>
  <c r="E7" i="9"/>
  <c r="C8" i="9"/>
  <c r="D8" i="9"/>
  <c r="E8" i="9"/>
  <c r="C9" i="9"/>
  <c r="D9" i="9"/>
  <c r="E9" i="9"/>
  <c r="C10" i="9"/>
  <c r="D10" i="9"/>
  <c r="E10" i="9"/>
  <c r="C11" i="9"/>
  <c r="D11" i="9"/>
  <c r="E11" i="9"/>
  <c r="C12" i="9"/>
  <c r="D12" i="9"/>
  <c r="E12" i="9"/>
  <c r="C13" i="9"/>
  <c r="D13" i="9"/>
  <c r="E13" i="9"/>
  <c r="C14" i="9"/>
  <c r="D14" i="9"/>
  <c r="E14" i="9"/>
  <c r="C15" i="9"/>
  <c r="D15" i="9"/>
  <c r="E15" i="9"/>
  <c r="C16" i="9"/>
  <c r="D16" i="9"/>
  <c r="E16" i="9"/>
  <c r="C17" i="9"/>
  <c r="D17" i="9"/>
  <c r="E17" i="9"/>
  <c r="C18" i="9"/>
  <c r="D18" i="9"/>
  <c r="E18" i="9"/>
  <c r="C19" i="9"/>
  <c r="D19" i="9"/>
  <c r="E19" i="9"/>
  <c r="C20" i="9"/>
  <c r="D20" i="9"/>
  <c r="E20" i="9"/>
  <c r="C21" i="9"/>
  <c r="D21" i="9"/>
  <c r="E21" i="9"/>
  <c r="C22" i="9"/>
  <c r="D22" i="9"/>
  <c r="E22" i="9"/>
  <c r="C23" i="9"/>
  <c r="D23" i="9"/>
  <c r="E23" i="9"/>
  <c r="C24" i="9"/>
  <c r="D24" i="9"/>
  <c r="E24" i="9"/>
  <c r="C25" i="9"/>
  <c r="D25" i="9"/>
  <c r="E25" i="9"/>
  <c r="C26" i="9"/>
  <c r="D26" i="9"/>
  <c r="E26" i="9"/>
  <c r="C27" i="9"/>
  <c r="D27" i="9"/>
  <c r="E27" i="9"/>
  <c r="C28" i="9"/>
  <c r="D28" i="9"/>
  <c r="E28" i="9"/>
  <c r="C29" i="9"/>
  <c r="D29" i="9"/>
  <c r="E29" i="9"/>
  <c r="D4" i="9"/>
  <c r="E4" i="9"/>
  <c r="C4" i="9"/>
  <c r="C24" i="31" l="1"/>
  <c r="A24" i="31"/>
  <c r="J11" i="1"/>
  <c r="J12" i="1" l="1"/>
  <c r="A25" i="31"/>
  <c r="C25" i="31"/>
  <c r="J13" i="1" l="1"/>
  <c r="A26" i="31"/>
  <c r="C26" i="31"/>
  <c r="J14" i="1" l="1"/>
  <c r="A27" i="31"/>
  <c r="C27" i="31"/>
  <c r="J15" i="1" l="1"/>
  <c r="A28" i="31"/>
  <c r="C28" i="31"/>
  <c r="A29" i="31" l="1"/>
  <c r="J16" i="1"/>
  <c r="C29" i="31"/>
  <c r="J17" i="1" l="1"/>
  <c r="A30" i="31"/>
  <c r="C30" i="31"/>
  <c r="J18" i="1" l="1"/>
  <c r="A31" i="31"/>
  <c r="C31" i="31"/>
  <c r="I5" i="2"/>
  <c r="C1" i="2"/>
  <c r="I4" i="2"/>
  <c r="I6" i="2" s="1"/>
  <c r="J19" i="1" l="1"/>
  <c r="A32" i="31"/>
  <c r="C32" i="31"/>
  <c r="C7" i="2"/>
  <c r="J20" i="1" l="1"/>
  <c r="C33" i="31"/>
  <c r="A33" i="31"/>
  <c r="AC4" i="12"/>
  <c r="J21" i="1" l="1"/>
  <c r="A34" i="31"/>
  <c r="C34" i="31"/>
  <c r="L40" i="15"/>
  <c r="AB42" i="12"/>
  <c r="AB45" i="12" s="1"/>
  <c r="S12" i="12"/>
  <c r="S20" i="12"/>
  <c r="S28" i="12"/>
  <c r="S36" i="12"/>
  <c r="S44" i="12"/>
  <c r="S52" i="12"/>
  <c r="S60" i="12"/>
  <c r="S68" i="12"/>
  <c r="S76" i="12"/>
  <c r="S84" i="12"/>
  <c r="S92" i="12"/>
  <c r="S100" i="12"/>
  <c r="S23" i="12"/>
  <c r="S39" i="12"/>
  <c r="S63" i="12"/>
  <c r="S87" i="12"/>
  <c r="S24" i="12"/>
  <c r="S40" i="12"/>
  <c r="S56" i="12"/>
  <c r="S80" i="12"/>
  <c r="S4" i="12"/>
  <c r="S9" i="12"/>
  <c r="S33" i="12"/>
  <c r="S57" i="12"/>
  <c r="S89" i="12"/>
  <c r="S18" i="12"/>
  <c r="S42" i="12"/>
  <c r="S66" i="12"/>
  <c r="S90" i="12"/>
  <c r="S19" i="12"/>
  <c r="S43" i="12"/>
  <c r="S67" i="12"/>
  <c r="S91" i="12"/>
  <c r="S5" i="12"/>
  <c r="S13" i="12"/>
  <c r="S21" i="12"/>
  <c r="S29" i="12"/>
  <c r="S37" i="12"/>
  <c r="S45" i="12"/>
  <c r="S53" i="12"/>
  <c r="S61" i="12"/>
  <c r="S69" i="12"/>
  <c r="S77" i="12"/>
  <c r="S85" i="12"/>
  <c r="S93" i="12"/>
  <c r="S101" i="12"/>
  <c r="S7" i="12"/>
  <c r="S47" i="12"/>
  <c r="S71" i="12"/>
  <c r="S95" i="12"/>
  <c r="S16" i="12"/>
  <c r="S48" i="12"/>
  <c r="S72" i="12"/>
  <c r="S96" i="12"/>
  <c r="S17" i="12"/>
  <c r="S41" i="12"/>
  <c r="S65" i="12"/>
  <c r="S81" i="12"/>
  <c r="S26" i="12"/>
  <c r="S50" i="12"/>
  <c r="S74" i="12"/>
  <c r="S98" i="12"/>
  <c r="S27" i="12"/>
  <c r="S51" i="12"/>
  <c r="S75" i="12"/>
  <c r="S99" i="12"/>
  <c r="S6" i="12"/>
  <c r="S14" i="12"/>
  <c r="S22" i="12"/>
  <c r="S30" i="12"/>
  <c r="S38" i="12"/>
  <c r="S46" i="12"/>
  <c r="S54" i="12"/>
  <c r="S62" i="12"/>
  <c r="S70" i="12"/>
  <c r="S78" i="12"/>
  <c r="S86" i="12"/>
  <c r="S94" i="12"/>
  <c r="S102" i="12"/>
  <c r="S15" i="12"/>
  <c r="S31" i="12"/>
  <c r="S55" i="12"/>
  <c r="S79" i="12"/>
  <c r="S103" i="12"/>
  <c r="S8" i="12"/>
  <c r="S32" i="12"/>
  <c r="S64" i="12"/>
  <c r="S88" i="12"/>
  <c r="S25" i="12"/>
  <c r="S49" i="12"/>
  <c r="S73" i="12"/>
  <c r="S97" i="12"/>
  <c r="S10" i="12"/>
  <c r="S34" i="12"/>
  <c r="S58" i="12"/>
  <c r="S82" i="12"/>
  <c r="S11" i="12"/>
  <c r="S35" i="12"/>
  <c r="S59" i="12"/>
  <c r="S83" i="12"/>
  <c r="A35" i="31" l="1"/>
  <c r="J22" i="1"/>
  <c r="C35" i="31"/>
  <c r="AG55" i="12"/>
  <c r="AG56" i="12" s="1"/>
  <c r="J40" i="15"/>
  <c r="N40" i="15"/>
  <c r="M40" i="15"/>
  <c r="P40" i="15"/>
  <c r="K40" i="15"/>
  <c r="T8" i="12"/>
  <c r="T16" i="12"/>
  <c r="T24" i="12"/>
  <c r="T32" i="12"/>
  <c r="T40" i="12"/>
  <c r="T48" i="12"/>
  <c r="T56" i="12"/>
  <c r="T64" i="12"/>
  <c r="T72" i="12"/>
  <c r="T80" i="12"/>
  <c r="T88" i="12"/>
  <c r="T96" i="12"/>
  <c r="T4" i="12"/>
  <c r="T11" i="12"/>
  <c r="T35" i="12"/>
  <c r="T67" i="12"/>
  <c r="T91" i="12"/>
  <c r="T28" i="12"/>
  <c r="T52" i="12"/>
  <c r="T76" i="12"/>
  <c r="T100" i="12"/>
  <c r="T13" i="12"/>
  <c r="T37" i="12"/>
  <c r="T61" i="12"/>
  <c r="T85" i="12"/>
  <c r="T14" i="12"/>
  <c r="T38" i="12"/>
  <c r="T62" i="12"/>
  <c r="T94" i="12"/>
  <c r="T7" i="12"/>
  <c r="T31" i="12"/>
  <c r="T55" i="12"/>
  <c r="T79" i="12"/>
  <c r="T103" i="12"/>
  <c r="T9" i="12"/>
  <c r="T17" i="12"/>
  <c r="T25" i="12"/>
  <c r="T33" i="12"/>
  <c r="T41" i="12"/>
  <c r="T49" i="12"/>
  <c r="T57" i="12"/>
  <c r="T65" i="12"/>
  <c r="T73" i="12"/>
  <c r="T81" i="12"/>
  <c r="T89" i="12"/>
  <c r="T97" i="12"/>
  <c r="T19" i="12"/>
  <c r="T43" i="12"/>
  <c r="T51" i="12"/>
  <c r="T75" i="12"/>
  <c r="T99" i="12"/>
  <c r="T20" i="12"/>
  <c r="T44" i="12"/>
  <c r="T68" i="12"/>
  <c r="T84" i="12"/>
  <c r="T5" i="12"/>
  <c r="T29" i="12"/>
  <c r="T53" i="12"/>
  <c r="T77" i="12"/>
  <c r="T101" i="12"/>
  <c r="T22" i="12"/>
  <c r="T54" i="12"/>
  <c r="T78" i="12"/>
  <c r="T23" i="12"/>
  <c r="T47" i="12"/>
  <c r="T71" i="12"/>
  <c r="T87" i="12"/>
  <c r="T10" i="12"/>
  <c r="T18" i="12"/>
  <c r="T26" i="12"/>
  <c r="T34" i="12"/>
  <c r="T42" i="12"/>
  <c r="T50" i="12"/>
  <c r="T58" i="12"/>
  <c r="T66" i="12"/>
  <c r="T74" i="12"/>
  <c r="T82" i="12"/>
  <c r="T90" i="12"/>
  <c r="T98" i="12"/>
  <c r="T27" i="12"/>
  <c r="T59" i="12"/>
  <c r="T83" i="12"/>
  <c r="T12" i="12"/>
  <c r="T36" i="12"/>
  <c r="T60" i="12"/>
  <c r="T92" i="12"/>
  <c r="T21" i="12"/>
  <c r="T45" i="12"/>
  <c r="T69" i="12"/>
  <c r="T93" i="12"/>
  <c r="T6" i="12"/>
  <c r="T30" i="12"/>
  <c r="T46" i="12"/>
  <c r="T70" i="12"/>
  <c r="T86" i="12"/>
  <c r="T102" i="12"/>
  <c r="T15" i="12"/>
  <c r="T39" i="12"/>
  <c r="T63" i="12"/>
  <c r="T95" i="12"/>
  <c r="A36" i="31" l="1"/>
  <c r="J23" i="1"/>
  <c r="C36" i="31"/>
  <c r="Q40" i="15"/>
  <c r="A37" i="31" l="1"/>
  <c r="J24" i="1"/>
  <c r="C37" i="31"/>
  <c r="C38" i="31" l="1"/>
  <c r="J25" i="1"/>
  <c r="A38" i="31"/>
  <c r="C39" i="31" l="1"/>
  <c r="J26" i="1"/>
  <c r="A39" i="31"/>
  <c r="C40" i="31" l="1"/>
  <c r="A40" i="31"/>
  <c r="J27" i="1"/>
  <c r="A41" i="31" l="1"/>
  <c r="J28" i="1"/>
  <c r="C41" i="31"/>
  <c r="C42" i="31" l="1"/>
  <c r="A42" i="31"/>
  <c r="J29" i="1"/>
  <c r="A43" i="31" l="1"/>
  <c r="J30" i="1"/>
  <c r="C43" i="31"/>
  <c r="C44" i="31" l="1"/>
  <c r="A44" i="31"/>
  <c r="J31" i="1"/>
  <c r="A45" i="31" l="1"/>
  <c r="C45" i="31"/>
  <c r="J32" i="1"/>
  <c r="C46" i="31" l="1"/>
  <c r="A46" i="31"/>
  <c r="J33" i="1"/>
  <c r="C47" i="31" l="1"/>
  <c r="J34" i="1"/>
  <c r="A47" i="31"/>
  <c r="A48" i="31" l="1"/>
  <c r="J35" i="1"/>
  <c r="C48" i="31"/>
  <c r="A49" i="31" l="1"/>
  <c r="C49" i="31"/>
  <c r="J36" i="1"/>
  <c r="C50" i="31" l="1"/>
  <c r="J37" i="1"/>
  <c r="A50" i="31"/>
  <c r="A51" i="31" l="1"/>
  <c r="C51" i="31"/>
  <c r="J38" i="1"/>
  <c r="A52" i="31" l="1"/>
  <c r="C52" i="31"/>
  <c r="J39" i="1"/>
  <c r="C53" i="31" l="1"/>
  <c r="A53" i="31"/>
  <c r="J40" i="1"/>
  <c r="C54" i="31" l="1"/>
  <c r="J41" i="1"/>
  <c r="A54" i="31"/>
  <c r="C55" i="31" l="1"/>
  <c r="J42" i="1"/>
  <c r="A55" i="31"/>
  <c r="C56" i="31" l="1"/>
  <c r="J43" i="1"/>
  <c r="A56" i="31"/>
  <c r="C57" i="31" l="1"/>
  <c r="J44" i="1"/>
  <c r="A57" i="31"/>
  <c r="C58" i="31" l="1"/>
  <c r="J45" i="1"/>
  <c r="A58" i="31"/>
  <c r="C59" i="31" l="1"/>
  <c r="J46" i="1"/>
  <c r="A59" i="31"/>
  <c r="A60" i="31" l="1"/>
  <c r="C60" i="31"/>
  <c r="J47" i="1"/>
  <c r="C61" i="31" l="1"/>
  <c r="A61" i="31"/>
  <c r="J48" i="1"/>
  <c r="J49" i="1" l="1"/>
  <c r="C62" i="31"/>
  <c r="A62" i="31"/>
  <c r="A63" i="31" l="1"/>
  <c r="C63" i="31"/>
  <c r="J50" i="1"/>
  <c r="C64" i="31" l="1"/>
  <c r="A64" i="31"/>
  <c r="J51" i="1"/>
  <c r="J52" i="1" l="1"/>
  <c r="A65" i="31"/>
  <c r="C65" i="31"/>
  <c r="J53" i="1" l="1"/>
  <c r="C66" i="31"/>
  <c r="E4" i="31" s="1"/>
  <c r="C4" i="31" s="1"/>
  <c r="A66" i="31"/>
  <c r="AH5" i="19"/>
  <c r="AI5" i="19" s="1"/>
  <c r="AC21" i="19" l="1"/>
  <c r="AI21" i="19"/>
  <c r="AO21" i="19"/>
  <c r="AH21" i="19"/>
  <c r="AE21" i="19"/>
  <c r="AG21" i="19"/>
  <c r="AK21" i="19"/>
  <c r="AQ21" i="19"/>
  <c r="AS21" i="19"/>
  <c r="AS37" i="19" s="1"/>
  <c r="AF21" i="19"/>
  <c r="AL21" i="19"/>
  <c r="AP21" i="19"/>
  <c r="AN21" i="19"/>
  <c r="AJ21" i="19"/>
  <c r="AD21" i="19"/>
  <c r="AM21" i="19"/>
  <c r="AR21" i="19"/>
  <c r="J54" i="1"/>
  <c r="C67" i="31"/>
  <c r="A67" i="31"/>
  <c r="AQ37" i="19" l="1"/>
  <c r="AP37" i="19"/>
  <c r="AR37" i="19"/>
  <c r="AC37" i="19"/>
  <c r="A68" i="31"/>
  <c r="J55" i="1"/>
  <c r="C68" i="31"/>
  <c r="AD37" i="19"/>
  <c r="D7" i="25"/>
  <c r="AK37" i="19"/>
  <c r="K7" i="25"/>
  <c r="J7" i="25"/>
  <c r="AJ37" i="19"/>
  <c r="AL37" i="19"/>
  <c r="L7" i="25"/>
  <c r="O7" i="25"/>
  <c r="AO37" i="19"/>
  <c r="M7" i="25"/>
  <c r="AM37" i="19"/>
  <c r="G7" i="25"/>
  <c r="AG37" i="19"/>
  <c r="AN37" i="19"/>
  <c r="N7" i="25"/>
  <c r="E7" i="25"/>
  <c r="AE37" i="19"/>
  <c r="AH37" i="19"/>
  <c r="H7" i="25"/>
  <c r="AF37" i="19"/>
  <c r="F7" i="25"/>
  <c r="I7" i="25"/>
  <c r="AI37" i="19"/>
  <c r="Q7" i="25" l="1"/>
  <c r="J56" i="1"/>
  <c r="C69" i="31"/>
  <c r="A69" i="31"/>
  <c r="J57" i="1" l="1"/>
  <c r="A70" i="31"/>
  <c r="C70" i="31"/>
  <c r="A71" i="31" l="1"/>
  <c r="C71" i="31"/>
  <c r="J58" i="1"/>
  <c r="J59" i="1" l="1"/>
  <c r="A72" i="31"/>
  <c r="C72" i="31"/>
  <c r="J60" i="1" l="1"/>
  <c r="A73" i="31"/>
  <c r="C73" i="31"/>
  <c r="A74" i="31" l="1"/>
  <c r="C74" i="31"/>
  <c r="J61" i="1"/>
  <c r="A75" i="31" l="1"/>
  <c r="J62" i="1"/>
  <c r="C75" i="31"/>
  <c r="A76" i="31" l="1"/>
  <c r="C76" i="31"/>
  <c r="J63" i="1"/>
  <c r="AH6" i="19"/>
  <c r="AI6" i="19" s="1"/>
  <c r="P7" i="30"/>
  <c r="J64" i="1" l="1"/>
  <c r="C77" i="31"/>
  <c r="A77" i="31"/>
  <c r="AH22" i="19"/>
  <c r="AF22" i="19"/>
  <c r="AK22" i="19"/>
  <c r="AE22" i="19"/>
  <c r="AD22" i="19"/>
  <c r="AC22" i="19"/>
  <c r="AQ22" i="19"/>
  <c r="AG22" i="19"/>
  <c r="AR22" i="19"/>
  <c r="AL22" i="19"/>
  <c r="AM22" i="19"/>
  <c r="AP22" i="19"/>
  <c r="AN22" i="19"/>
  <c r="AJ22" i="19"/>
  <c r="AI22" i="19"/>
  <c r="AO22" i="19"/>
  <c r="AS22" i="19"/>
  <c r="AS38" i="19" s="1"/>
  <c r="AP38" i="19" l="1"/>
  <c r="AR38" i="19"/>
  <c r="AQ38" i="19"/>
  <c r="AC38" i="19"/>
  <c r="AI38" i="19"/>
  <c r="I8" i="25"/>
  <c r="H8" i="25"/>
  <c r="AH38" i="19"/>
  <c r="AO38" i="19"/>
  <c r="O8" i="25"/>
  <c r="G8" i="25"/>
  <c r="AG38" i="19"/>
  <c r="AJ38" i="19"/>
  <c r="J8" i="25"/>
  <c r="AN38" i="19"/>
  <c r="N8" i="25"/>
  <c r="E8" i="25"/>
  <c r="AE38" i="19"/>
  <c r="D8" i="25"/>
  <c r="AD38" i="19"/>
  <c r="AK38" i="19"/>
  <c r="K8" i="25"/>
  <c r="J65" i="1"/>
  <c r="A78" i="31"/>
  <c r="C78" i="31"/>
  <c r="AM38" i="19"/>
  <c r="M8" i="25"/>
  <c r="L8" i="25"/>
  <c r="AL38" i="19"/>
  <c r="F8" i="25"/>
  <c r="AF38" i="19"/>
  <c r="F2" i="17"/>
  <c r="F3" i="17"/>
  <c r="F4" i="17"/>
  <c r="E4" i="17"/>
  <c r="Q8" i="25" l="1"/>
  <c r="C79" i="31"/>
  <c r="J66" i="1"/>
  <c r="A79" i="31"/>
  <c r="G5" i="17"/>
  <c r="G7" i="17" s="1"/>
  <c r="C2" i="17" s="1"/>
  <c r="C4" i="17" s="1"/>
  <c r="C6" i="17" s="1"/>
  <c r="A80" i="31" l="1"/>
  <c r="C80" i="31"/>
  <c r="J67" i="1"/>
  <c r="H4" i="17"/>
  <c r="C81" i="31" l="1"/>
  <c r="P8" i="30"/>
  <c r="J68" i="1"/>
  <c r="A81" i="31"/>
  <c r="H2" i="17"/>
  <c r="H3" i="17"/>
  <c r="J69" i="1" l="1"/>
  <c r="A82" i="31"/>
  <c r="C82" i="31"/>
  <c r="C28" i="13" a="1"/>
  <c r="C28" i="13" s="1"/>
  <c r="C18" i="13" a="1"/>
  <c r="C18" i="13" s="1"/>
  <c r="C31" i="13" a="1"/>
  <c r="C31" i="13" s="1"/>
  <c r="C26" i="13" a="1"/>
  <c r="C26" i="13" s="1"/>
  <c r="C9" i="13" a="1"/>
  <c r="C9" i="13" s="1"/>
  <c r="C14" i="13" a="1"/>
  <c r="C14" i="13" s="1"/>
  <c r="C15" i="13" a="1"/>
  <c r="C15" i="13" s="1"/>
  <c r="C17" i="13" a="1"/>
  <c r="C17" i="13" s="1"/>
  <c r="C20" i="13" a="1"/>
  <c r="C20" i="13" s="1"/>
  <c r="C6" i="13" a="1"/>
  <c r="C6" i="13" s="1"/>
  <c r="C11" i="13" a="1"/>
  <c r="C11" i="13" s="1"/>
  <c r="C12" i="13" a="1"/>
  <c r="C12" i="13" s="1"/>
  <c r="C29" i="13" a="1"/>
  <c r="C29" i="13" s="1"/>
  <c r="C22" i="13" a="1"/>
  <c r="C22" i="13" s="1"/>
  <c r="C25" i="13" a="1"/>
  <c r="C25" i="13" s="1"/>
  <c r="C23" i="13" a="1"/>
  <c r="C23" i="13" s="1"/>
  <c r="J70" i="1" l="1"/>
  <c r="C83" i="31"/>
  <c r="A83" i="31"/>
  <c r="C33" i="13" a="1"/>
  <c r="C33" i="13" s="1"/>
  <c r="J71" i="1" l="1"/>
  <c r="A84" i="31"/>
  <c r="C84" i="31"/>
  <c r="C34" i="13" a="1"/>
  <c r="C34" i="13" s="1"/>
  <c r="C85" i="31" l="1"/>
  <c r="A85" i="31"/>
  <c r="J72" i="1"/>
  <c r="C36" i="13" a="1"/>
  <c r="C36" i="13" s="1"/>
  <c r="A86" i="31" l="1"/>
  <c r="J73" i="1"/>
  <c r="AH7" i="19"/>
  <c r="AI7" i="19" s="1"/>
  <c r="C86" i="31"/>
  <c r="P9" i="30"/>
  <c r="C37" i="13" a="1"/>
  <c r="C37" i="13" s="1"/>
  <c r="AF23" i="19" l="1"/>
  <c r="AS23" i="19"/>
  <c r="AS39" i="19" s="1"/>
  <c r="AN23" i="19"/>
  <c r="AQ23" i="19"/>
  <c r="AH23" i="19"/>
  <c r="AC23" i="19"/>
  <c r="AP23" i="19"/>
  <c r="AK23" i="19"/>
  <c r="AI23" i="19"/>
  <c r="AJ23" i="19"/>
  <c r="AG23" i="19"/>
  <c r="AM23" i="19"/>
  <c r="AD23" i="19"/>
  <c r="AL23" i="19"/>
  <c r="AO23" i="19"/>
  <c r="AR23" i="19"/>
  <c r="AE23" i="19"/>
  <c r="A87" i="31"/>
  <c r="J74" i="1"/>
  <c r="C87" i="31"/>
  <c r="C39" i="13" a="1"/>
  <c r="C39" i="13" s="1"/>
  <c r="AP39" i="19" l="1"/>
  <c r="AC39" i="19"/>
  <c r="AQ39" i="19"/>
  <c r="AR39" i="19"/>
  <c r="AN39" i="19"/>
  <c r="N9" i="25"/>
  <c r="AD39" i="19"/>
  <c r="D9" i="25"/>
  <c r="H9" i="25"/>
  <c r="AH39" i="19"/>
  <c r="AM39" i="19"/>
  <c r="M9" i="25"/>
  <c r="G9" i="25"/>
  <c r="AG39" i="19"/>
  <c r="AJ39" i="19"/>
  <c r="J9" i="25"/>
  <c r="AE39" i="19"/>
  <c r="E9" i="25"/>
  <c r="AK39" i="19"/>
  <c r="K9" i="25"/>
  <c r="A88" i="31"/>
  <c r="J75" i="1"/>
  <c r="C88" i="31"/>
  <c r="AF39" i="19"/>
  <c r="F9" i="25"/>
  <c r="O9" i="25"/>
  <c r="AO39" i="19"/>
  <c r="AI39" i="19"/>
  <c r="I9" i="25"/>
  <c r="AL39" i="19"/>
  <c r="L9" i="25"/>
  <c r="C40" i="13" a="1"/>
  <c r="C40" i="13" s="1"/>
  <c r="Q9" i="25" l="1"/>
  <c r="A89" i="31"/>
  <c r="J76" i="1"/>
  <c r="C89" i="31"/>
  <c r="C42" i="13" a="1"/>
  <c r="C42" i="13" s="1"/>
  <c r="A90" i="31" l="1"/>
  <c r="C90" i="31"/>
  <c r="J77" i="1"/>
  <c r="C43" i="13" a="1"/>
  <c r="C43" i="13" s="1"/>
  <c r="P10" i="30" l="1"/>
  <c r="J78" i="1"/>
  <c r="A91" i="31"/>
  <c r="C91" i="31"/>
  <c r="C45" i="13" a="1"/>
  <c r="C45" i="13" s="1"/>
  <c r="J79" i="1" l="1"/>
  <c r="A92" i="31"/>
  <c r="C92" i="31"/>
  <c r="C47" i="13" a="1"/>
  <c r="C47" i="13" s="1"/>
  <c r="J80" i="1" l="1"/>
  <c r="C93" i="31"/>
  <c r="A93" i="31"/>
  <c r="C48" i="13" a="1"/>
  <c r="C48" i="13" s="1"/>
  <c r="A94" i="31" l="1"/>
  <c r="C94" i="31"/>
  <c r="J81" i="1"/>
  <c r="C50" i="13" a="1"/>
  <c r="C50" i="13" s="1"/>
  <c r="J82" i="1" l="1"/>
  <c r="A95" i="31"/>
  <c r="C95" i="31"/>
  <c r="C51" i="13" a="1"/>
  <c r="C51" i="13" s="1"/>
  <c r="E28" i="31" l="1"/>
  <c r="E39" i="31"/>
  <c r="E37" i="31"/>
  <c r="E18" i="31"/>
  <c r="E146" i="31"/>
  <c r="E81" i="31"/>
  <c r="E167" i="31"/>
  <c r="E25" i="31"/>
  <c r="E62" i="31"/>
  <c r="E134" i="31"/>
  <c r="E33" i="31"/>
  <c r="E198" i="31"/>
  <c r="E82" i="31"/>
  <c r="E38" i="31"/>
  <c r="E20" i="31"/>
  <c r="E89" i="31"/>
  <c r="E85" i="31"/>
  <c r="E133" i="31"/>
  <c r="E171" i="31"/>
  <c r="E94" i="31"/>
  <c r="E122" i="31"/>
  <c r="E35" i="31"/>
  <c r="E91" i="31"/>
  <c r="E26" i="31"/>
  <c r="E138" i="31"/>
  <c r="E118" i="31"/>
  <c r="E193" i="31"/>
  <c r="E129" i="31"/>
  <c r="E168" i="31"/>
  <c r="E142" i="31"/>
  <c r="E23" i="31"/>
  <c r="E117" i="31"/>
  <c r="E30" i="31"/>
  <c r="E121" i="31"/>
  <c r="E78" i="31"/>
  <c r="E136" i="31"/>
  <c r="E71" i="31"/>
  <c r="C96" i="31"/>
  <c r="A96" i="31"/>
  <c r="E40" i="31" s="1"/>
  <c r="P11" i="30"/>
  <c r="J83" i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AH8" i="19"/>
  <c r="AI8" i="19" s="1"/>
  <c r="C53" i="13" a="1"/>
  <c r="C53" i="13" s="1"/>
  <c r="E45" i="31" l="1"/>
  <c r="E74" i="31"/>
  <c r="E80" i="31"/>
  <c r="E192" i="31"/>
  <c r="E195" i="31"/>
  <c r="E47" i="31"/>
  <c r="E190" i="31"/>
  <c r="E130" i="31"/>
  <c r="E90" i="31"/>
  <c r="E172" i="31"/>
  <c r="E69" i="31"/>
  <c r="E107" i="31"/>
  <c r="E182" i="31"/>
  <c r="E75" i="31"/>
  <c r="E114" i="31"/>
  <c r="E63" i="31"/>
  <c r="E169" i="31"/>
  <c r="E150" i="31"/>
  <c r="E178" i="31"/>
  <c r="E56" i="31"/>
  <c r="E184" i="31"/>
  <c r="E113" i="31"/>
  <c r="E176" i="31"/>
  <c r="E59" i="31"/>
  <c r="E156" i="31"/>
  <c r="E209" i="31"/>
  <c r="E143" i="31"/>
  <c r="E181" i="31"/>
  <c r="E154" i="31"/>
  <c r="E174" i="31"/>
  <c r="E21" i="31"/>
  <c r="E207" i="31"/>
  <c r="E200" i="31"/>
  <c r="E140" i="31"/>
  <c r="E98" i="31"/>
  <c r="E206" i="31"/>
  <c r="E53" i="31"/>
  <c r="E145" i="31"/>
  <c r="E123" i="31"/>
  <c r="E106" i="31"/>
  <c r="E144" i="31"/>
  <c r="E61" i="31"/>
  <c r="E76" i="31"/>
  <c r="E155" i="31"/>
  <c r="E42" i="31"/>
  <c r="E203" i="31"/>
  <c r="E131" i="31"/>
  <c r="E84" i="31"/>
  <c r="E101" i="31"/>
  <c r="E86" i="31"/>
  <c r="E50" i="31"/>
  <c r="E135" i="31"/>
  <c r="E187" i="31"/>
  <c r="E46" i="31"/>
  <c r="E166" i="31"/>
  <c r="E34" i="31"/>
  <c r="E105" i="31"/>
  <c r="E109" i="31"/>
  <c r="E48" i="31"/>
  <c r="E43" i="31"/>
  <c r="E170" i="31"/>
  <c r="E102" i="31"/>
  <c r="E149" i="31"/>
  <c r="E70" i="31"/>
  <c r="E60" i="31"/>
  <c r="E68" i="31"/>
  <c r="E103" i="31"/>
  <c r="E177" i="31"/>
  <c r="E157" i="31"/>
  <c r="E44" i="31"/>
  <c r="E111" i="31"/>
  <c r="E93" i="31"/>
  <c r="E116" i="31"/>
  <c r="E77" i="31"/>
  <c r="E31" i="31"/>
  <c r="E29" i="31"/>
  <c r="E49" i="31"/>
  <c r="E152" i="31"/>
  <c r="E160" i="31"/>
  <c r="E173" i="31"/>
  <c r="E126" i="31"/>
  <c r="E36" i="31"/>
  <c r="E148" i="31"/>
  <c r="E204" i="31"/>
  <c r="E99" i="31"/>
  <c r="E180" i="31"/>
  <c r="E57" i="31"/>
  <c r="E141" i="31"/>
  <c r="E164" i="31"/>
  <c r="E208" i="31"/>
  <c r="E64" i="31"/>
  <c r="E67" i="31"/>
  <c r="E108" i="31"/>
  <c r="E197" i="31"/>
  <c r="E92" i="31"/>
  <c r="E72" i="31"/>
  <c r="E100" i="31"/>
  <c r="E191" i="31"/>
  <c r="E186" i="31"/>
  <c r="E73" i="31"/>
  <c r="E27" i="31"/>
  <c r="E83" i="31"/>
  <c r="E96" i="31"/>
  <c r="E147" i="31"/>
  <c r="E110" i="31"/>
  <c r="E54" i="31"/>
  <c r="E127" i="31"/>
  <c r="E120" i="31"/>
  <c r="E137" i="31"/>
  <c r="E189" i="31"/>
  <c r="E158" i="31"/>
  <c r="E55" i="31"/>
  <c r="E175" i="31"/>
  <c r="E165" i="31"/>
  <c r="E124" i="31"/>
  <c r="E119" i="31"/>
  <c r="E199" i="31"/>
  <c r="E79" i="31"/>
  <c r="E95" i="31"/>
  <c r="E128" i="31"/>
  <c r="E65" i="31"/>
  <c r="E211" i="31"/>
  <c r="E179" i="31"/>
  <c r="E205" i="31"/>
  <c r="E66" i="31"/>
  <c r="E163" i="31"/>
  <c r="E24" i="31"/>
  <c r="E52" i="31"/>
  <c r="E202" i="31"/>
  <c r="E139" i="31"/>
  <c r="E212" i="31"/>
  <c r="E162" i="31"/>
  <c r="E132" i="31"/>
  <c r="E104" i="31"/>
  <c r="E201" i="31"/>
  <c r="E17" i="31"/>
  <c r="E58" i="31"/>
  <c r="E112" i="31"/>
  <c r="E87" i="31"/>
  <c r="E183" i="31"/>
  <c r="E188" i="31"/>
  <c r="E88" i="31"/>
  <c r="E210" i="31"/>
  <c r="E194" i="31"/>
  <c r="E153" i="31"/>
  <c r="E185" i="31"/>
  <c r="E97" i="31"/>
  <c r="E159" i="31"/>
  <c r="E151" i="31"/>
  <c r="E125" i="31"/>
  <c r="E161" i="31"/>
  <c r="E51" i="31"/>
  <c r="E115" i="31"/>
  <c r="E41" i="31"/>
  <c r="E32" i="31"/>
  <c r="E22" i="31"/>
  <c r="E196" i="31"/>
  <c r="E19" i="31"/>
  <c r="AF24" i="19"/>
  <c r="AS24" i="19"/>
  <c r="AS40" i="19" s="1"/>
  <c r="AE24" i="19"/>
  <c r="AM24" i="19"/>
  <c r="AP24" i="19"/>
  <c r="AJ24" i="19"/>
  <c r="AL24" i="19"/>
  <c r="AD24" i="19"/>
  <c r="AG24" i="19"/>
  <c r="AN24" i="19"/>
  <c r="AR24" i="19"/>
  <c r="AO24" i="19"/>
  <c r="AK24" i="19"/>
  <c r="AQ24" i="19"/>
  <c r="AC24" i="19"/>
  <c r="AI24" i="19"/>
  <c r="AH24" i="19"/>
  <c r="C54" i="13" a="1"/>
  <c r="C54" i="13" s="1"/>
  <c r="AC40" i="19" l="1"/>
  <c r="AQ40" i="19"/>
  <c r="AP40" i="19"/>
  <c r="AR40" i="19"/>
  <c r="AG40" i="19"/>
  <c r="G10" i="25"/>
  <c r="AL40" i="19"/>
  <c r="L10" i="25"/>
  <c r="I10" i="25"/>
  <c r="AI40" i="19"/>
  <c r="AI25" i="19"/>
  <c r="J10" i="25"/>
  <c r="AJ40" i="19"/>
  <c r="H10" i="25"/>
  <c r="AH40" i="19"/>
  <c r="F10" i="25"/>
  <c r="AF40" i="19"/>
  <c r="AD40" i="19"/>
  <c r="D10" i="25"/>
  <c r="K10" i="25"/>
  <c r="AK40" i="19"/>
  <c r="AO40" i="19"/>
  <c r="O10" i="25"/>
  <c r="AM40" i="19"/>
  <c r="M10" i="25"/>
  <c r="E10" i="25"/>
  <c r="AE40" i="19"/>
  <c r="AN40" i="19"/>
  <c r="N10" i="25"/>
  <c r="C56" i="13" a="1"/>
  <c r="C56" i="13" s="1"/>
  <c r="Q10" i="25" l="1"/>
  <c r="C57" i="13" a="1"/>
  <c r="C57" i="13" s="1"/>
  <c r="C59" i="13" l="1" a="1"/>
  <c r="C59" i="13" s="1"/>
  <c r="C61" i="13" l="1" a="1"/>
  <c r="C61" i="13" s="1"/>
  <c r="C62" i="13" l="1" a="1"/>
  <c r="C62" i="13" s="1"/>
  <c r="C64" i="13" l="1" a="1"/>
  <c r="C64" i="13" s="1"/>
  <c r="C65" i="13" l="1" a="1"/>
  <c r="C65" i="13" s="1"/>
  <c r="C67" i="13" l="1" a="1"/>
  <c r="C67" i="13" s="1"/>
  <c r="C68" i="13" l="1" a="1"/>
  <c r="C68" i="13" s="1"/>
  <c r="C70" i="13" l="1" a="1"/>
  <c r="C70" i="13" s="1"/>
  <c r="C72" i="13" l="1" a="1"/>
  <c r="C72" i="13" s="1"/>
  <c r="C73" i="13" l="1" a="1"/>
  <c r="C73" i="13" s="1"/>
  <c r="C75" i="13" l="1" a="1"/>
  <c r="C75" i="13" s="1"/>
  <c r="C76" i="13" l="1" a="1"/>
  <c r="C76" i="13" s="1"/>
  <c r="C78" i="13" l="1" a="1"/>
  <c r="C78" i="13" s="1"/>
  <c r="C79" i="13" l="1" a="1"/>
  <c r="C79" i="13" s="1"/>
  <c r="C81" i="13" l="1" a="1"/>
  <c r="C81" i="13" s="1"/>
  <c r="C82" i="13" l="1" a="1"/>
  <c r="C82" i="13" s="1"/>
  <c r="C84" i="13" l="1" a="1"/>
  <c r="C84" i="13" s="1"/>
  <c r="D7" i="13" a="1"/>
  <c r="D7" i="13" s="1"/>
  <c r="D17" i="13" l="1" a="1"/>
  <c r="D17" i="13" s="1"/>
  <c r="D22" i="13" l="1" a="1"/>
  <c r="D22" i="13" s="1"/>
  <c r="D28" i="13" l="1" a="1"/>
  <c r="D28" i="13" s="1"/>
  <c r="D33" i="13" l="1" a="1"/>
  <c r="D33" i="13" s="1"/>
  <c r="D38" i="13" l="1" a="1"/>
  <c r="D38" i="13" s="1"/>
  <c r="D43" i="13" l="1" a="1"/>
  <c r="D43" i="13" s="1"/>
  <c r="D48" i="13" l="1" a="1"/>
  <c r="D48" i="13" s="1"/>
  <c r="D53" i="13" l="1" a="1"/>
  <c r="D53" i="13" s="1"/>
  <c r="D58" i="13" l="1" a="1"/>
  <c r="D58" i="13" s="1"/>
  <c r="D63" i="13" l="1" a="1"/>
  <c r="D63" i="13" s="1"/>
  <c r="D69" i="13" l="1" a="1"/>
  <c r="D69" i="13" s="1"/>
  <c r="D74" i="13" l="1" a="1"/>
  <c r="D74" i="13" s="1"/>
  <c r="D79" i="13" l="1" a="1"/>
  <c r="D79" i="13" s="1"/>
  <c r="H80" i="13" a="1"/>
  <c r="H80" i="13" s="1"/>
  <c r="L75" i="13" a="1"/>
  <c r="L75" i="13" s="1"/>
  <c r="H15" i="13" l="1" a="1"/>
  <c r="H15" i="13" s="1"/>
  <c r="H41" i="13" a="1"/>
  <c r="H41" i="13" s="1"/>
  <c r="H51" i="13" a="1"/>
  <c r="H51" i="13" s="1"/>
  <c r="E58" i="13" a="1"/>
  <c r="E58" i="13" s="1"/>
  <c r="H60" i="13" a="1"/>
  <c r="H60" i="13" s="1"/>
  <c r="H39" i="13" a="1"/>
  <c r="H39" i="13" s="1"/>
  <c r="H53" i="13" a="1"/>
  <c r="H53" i="13" s="1"/>
  <c r="E38" i="13" a="1"/>
  <c r="E38" i="13" s="1"/>
  <c r="G27" i="13" a="1"/>
  <c r="G27" i="13" s="1"/>
  <c r="G13" i="13" a="1"/>
  <c r="G13" i="13" s="1"/>
  <c r="D68" i="13" a="1"/>
  <c r="D68" i="13" s="1"/>
  <c r="H79" i="13" a="1"/>
  <c r="H79" i="13" s="1"/>
  <c r="H66" i="13" a="1"/>
  <c r="H66" i="13" s="1"/>
  <c r="K26" i="13" a="1"/>
  <c r="K26" i="13" s="1"/>
  <c r="L53" i="13" a="1"/>
  <c r="L53" i="13" s="1"/>
  <c r="E82" i="13" a="1"/>
  <c r="E82" i="13" s="1"/>
  <c r="G44" i="13" a="1"/>
  <c r="G44" i="13" s="1"/>
  <c r="K70" i="13" a="1"/>
  <c r="K70" i="13" s="1"/>
  <c r="G66" i="13" a="1"/>
  <c r="G66" i="13" s="1"/>
  <c r="L33" i="13" a="1"/>
  <c r="L33" i="13" s="1"/>
  <c r="H42" i="13" a="1"/>
  <c r="H42" i="13" s="1"/>
  <c r="K65" i="13" a="1"/>
  <c r="K65" i="13" s="1"/>
  <c r="L49" i="13" a="1"/>
  <c r="L49" i="13" s="1"/>
  <c r="I69" i="13" a="1"/>
  <c r="I69" i="13" s="1"/>
  <c r="I34" i="13" a="1"/>
  <c r="I34" i="13" s="1"/>
  <c r="F84" i="13" a="1"/>
  <c r="F84" i="13" s="1"/>
  <c r="I29" i="13" a="1"/>
  <c r="I29" i="13" s="1"/>
  <c r="I9" i="13" a="1"/>
  <c r="I9" i="13" s="1"/>
  <c r="F67" i="13" a="1"/>
  <c r="F67" i="13" s="1"/>
  <c r="G47" i="13" a="1"/>
  <c r="G47" i="13" s="1"/>
  <c r="E28" i="13" a="1"/>
  <c r="E28" i="13" s="1"/>
  <c r="H37" i="13" a="1"/>
  <c r="H37" i="13" s="1"/>
  <c r="K30" i="13" a="1"/>
  <c r="K30" i="13" s="1"/>
  <c r="G26" i="13" a="1"/>
  <c r="G26" i="13" s="1"/>
  <c r="J30" i="13" a="1"/>
  <c r="J30" i="13" s="1"/>
  <c r="L25" i="13" a="1"/>
  <c r="L25" i="13" s="1"/>
  <c r="H23" i="13" a="1"/>
  <c r="H23" i="13" s="1"/>
  <c r="H77" i="13" a="1"/>
  <c r="H77" i="13" s="1"/>
  <c r="E42" i="13" a="1"/>
  <c r="E42" i="13" s="1"/>
  <c r="H21" i="13" a="1"/>
  <c r="H21" i="13" s="1"/>
  <c r="E74" i="13" a="1"/>
  <c r="E74" i="13" s="1"/>
  <c r="H5" i="13" a="1"/>
  <c r="H5" i="13" s="1"/>
  <c r="H32" i="13" a="1"/>
  <c r="H32" i="13" s="1"/>
  <c r="E48" i="13" a="1"/>
  <c r="E48" i="13" s="1"/>
  <c r="C55" i="13" a="1"/>
  <c r="C55" i="13" s="1"/>
  <c r="J71" i="13" a="1"/>
  <c r="J71" i="13" s="1"/>
  <c r="L76" i="13" a="1"/>
  <c r="L76" i="13" s="1"/>
  <c r="K42" i="13" a="1"/>
  <c r="K42" i="13" s="1"/>
  <c r="I15" i="13" a="1"/>
  <c r="I15" i="13" s="1"/>
  <c r="K17" i="13" a="1"/>
  <c r="K17" i="13" s="1"/>
  <c r="E45" i="13" a="1"/>
  <c r="E45" i="13" s="1"/>
  <c r="J25" i="13" a="1"/>
  <c r="J25" i="13" s="1"/>
  <c r="L35" i="13" a="1"/>
  <c r="L35" i="13" s="1"/>
  <c r="I81" i="13" a="1"/>
  <c r="I81" i="13" s="1"/>
  <c r="F35" i="13" a="1"/>
  <c r="F35" i="13" s="1"/>
  <c r="L65" i="13" a="1"/>
  <c r="L65" i="13" s="1"/>
  <c r="I37" i="13" a="1"/>
  <c r="I37" i="13" s="1"/>
  <c r="D40" i="13" a="1"/>
  <c r="D40" i="13" s="1"/>
  <c r="J13" i="13" a="1"/>
  <c r="J13" i="13" s="1"/>
  <c r="H49" i="13" a="1"/>
  <c r="H49" i="13" s="1"/>
  <c r="G46" i="13" a="1"/>
  <c r="G46" i="13" s="1"/>
  <c r="L11" i="13" a="1"/>
  <c r="L11" i="13" s="1"/>
  <c r="I11" i="13" a="1"/>
  <c r="I11" i="13" s="1"/>
  <c r="L61" i="13" a="1"/>
  <c r="L61" i="13" s="1"/>
  <c r="E50" i="13" a="1"/>
  <c r="E50" i="13" s="1"/>
  <c r="G55" i="13" a="1"/>
  <c r="G55" i="13" s="1"/>
  <c r="E65" i="13" a="1"/>
  <c r="E65" i="13" s="1"/>
  <c r="G23" i="13" a="1"/>
  <c r="G23" i="13" s="1"/>
  <c r="D35" i="13" a="1"/>
  <c r="D35" i="13" s="1"/>
  <c r="K84" i="13" a="1"/>
  <c r="K84" i="13" s="1"/>
  <c r="D9" i="13" a="1"/>
  <c r="D9" i="13" s="1"/>
  <c r="L31" i="13" a="1"/>
  <c r="L31" i="13" s="1"/>
  <c r="K77" i="13" a="1"/>
  <c r="K77" i="13" s="1"/>
  <c r="H67" i="13" a="1"/>
  <c r="H67" i="13" s="1"/>
  <c r="D14" i="13" a="1"/>
  <c r="D14" i="13" s="1"/>
  <c r="I70" i="13" a="1"/>
  <c r="I70" i="13" s="1"/>
  <c r="L84" i="13" a="1"/>
  <c r="L84" i="13" s="1"/>
  <c r="D47" i="13" a="1"/>
  <c r="D47" i="13" s="1"/>
  <c r="G19" i="13" a="1"/>
  <c r="G19" i="13" s="1"/>
  <c r="L46" i="13" a="1"/>
  <c r="L46" i="13" s="1"/>
  <c r="E18" i="13" a="1"/>
  <c r="E18" i="13" s="1"/>
  <c r="E69" i="13" a="1"/>
  <c r="E69" i="13" s="1"/>
  <c r="G33" i="13" a="1"/>
  <c r="G33" i="13" s="1"/>
  <c r="I47" i="13" a="1"/>
  <c r="I47" i="13" s="1"/>
  <c r="C77" i="13" a="1"/>
  <c r="C77" i="13" s="1"/>
  <c r="I25" i="13" a="1"/>
  <c r="I25" i="13" s="1"/>
  <c r="L57" i="13" a="1"/>
  <c r="L57" i="13" s="1"/>
  <c r="I19" i="13" a="1"/>
  <c r="I19" i="13" s="1"/>
  <c r="E11" i="13" a="1"/>
  <c r="E11" i="13" s="1"/>
  <c r="J7" i="13" a="1"/>
  <c r="J7" i="13" s="1"/>
  <c r="H84" i="13" a="1"/>
  <c r="H84" i="13" s="1"/>
  <c r="J78" i="13" a="1"/>
  <c r="J78" i="13" s="1"/>
  <c r="K35" i="13" a="1"/>
  <c r="K35" i="13" s="1"/>
  <c r="G84" i="13" a="1"/>
  <c r="G84" i="13" s="1"/>
  <c r="E16" i="13" a="1"/>
  <c r="E16" i="13" s="1"/>
  <c r="H6" i="13" a="1"/>
  <c r="H6" i="13" s="1"/>
  <c r="G8" i="13" a="1"/>
  <c r="G8" i="13" s="1"/>
  <c r="D41" i="13" a="1"/>
  <c r="D41" i="13" s="1"/>
  <c r="K51" i="13" a="1"/>
  <c r="K51" i="13" s="1"/>
  <c r="J27" i="13" a="1"/>
  <c r="J27" i="13" s="1"/>
  <c r="E14" i="13" a="1"/>
  <c r="E14" i="13" s="1"/>
  <c r="I35" i="13" a="1"/>
  <c r="I35" i="13" s="1"/>
  <c r="J45" i="13" a="1"/>
  <c r="J45" i="13" s="1"/>
  <c r="I18" i="13" a="1"/>
  <c r="I18" i="13" s="1"/>
  <c r="C44" i="13" a="1"/>
  <c r="C44" i="13" s="1"/>
  <c r="D6" i="13" a="1"/>
  <c r="D6" i="13" s="1"/>
  <c r="F7" i="13" a="1"/>
  <c r="F7" i="13" s="1"/>
  <c r="L18" i="13" a="1"/>
  <c r="L18" i="13" s="1"/>
  <c r="I39" i="13" a="1"/>
  <c r="I39" i="13" s="1"/>
  <c r="F46" i="13" a="1"/>
  <c r="F46" i="13" s="1"/>
  <c r="F45" i="13" a="1"/>
  <c r="F45" i="13" s="1"/>
  <c r="F32" i="13" a="1"/>
  <c r="F32" i="13" s="1"/>
  <c r="K48" i="13" a="1"/>
  <c r="K48" i="13" s="1"/>
  <c r="L62" i="13" a="1"/>
  <c r="L62" i="13" s="1"/>
  <c r="F82" i="13" a="1"/>
  <c r="F82" i="13" s="1"/>
  <c r="G7" i="13" a="1"/>
  <c r="G7" i="13" s="1"/>
  <c r="J12" i="13" a="1"/>
  <c r="J12" i="13" s="1"/>
  <c r="L42" i="13" a="1"/>
  <c r="L42" i="13" s="1"/>
  <c r="D62" i="13" a="1"/>
  <c r="D62" i="13" s="1"/>
  <c r="E68" i="13" a="1"/>
  <c r="E68" i="13" s="1"/>
  <c r="I42" i="13" a="1"/>
  <c r="I42" i="13" s="1"/>
  <c r="D29" i="13" a="1"/>
  <c r="D29" i="13" s="1"/>
  <c r="F77" i="13" a="1"/>
  <c r="F77" i="13" s="1"/>
  <c r="G62" i="13" a="1"/>
  <c r="G62" i="13" s="1"/>
  <c r="L40" i="13" a="1"/>
  <c r="L40" i="13" s="1"/>
  <c r="C66" i="13" a="1"/>
  <c r="C66" i="13" s="1"/>
  <c r="I24" i="13" a="1"/>
  <c r="I24" i="13" s="1"/>
  <c r="E22" i="13" a="1"/>
  <c r="E22" i="13" s="1"/>
  <c r="E52" i="13" a="1"/>
  <c r="E52" i="13" s="1"/>
  <c r="F10" i="13" a="1"/>
  <c r="F10" i="13" s="1"/>
  <c r="J23" i="13" a="1"/>
  <c r="J23" i="13" s="1"/>
  <c r="E83" i="13" a="1"/>
  <c r="E83" i="13" s="1"/>
  <c r="H45" i="13" a="1"/>
  <c r="H45" i="13" s="1"/>
  <c r="H73" i="13" a="1"/>
  <c r="H73" i="13" s="1"/>
  <c r="C71" i="13" a="1"/>
  <c r="C71" i="13" s="1"/>
  <c r="J6" i="13" a="1"/>
  <c r="J6" i="13" s="1"/>
  <c r="F76" i="13" a="1"/>
  <c r="F76" i="13" s="1"/>
  <c r="F39" i="13" a="1"/>
  <c r="F39" i="13" s="1"/>
  <c r="L81" i="13" a="1"/>
  <c r="L81" i="13" s="1"/>
  <c r="G14" i="13" a="1"/>
  <c r="G14" i="13" s="1"/>
  <c r="F48" i="13" a="1"/>
  <c r="F48" i="13" s="1"/>
  <c r="L55" i="13" a="1"/>
  <c r="L55" i="13" s="1"/>
  <c r="G76" i="13" a="1"/>
  <c r="G76" i="13" s="1"/>
  <c r="C35" i="13" a="1"/>
  <c r="C35" i="13" s="1"/>
  <c r="L67" i="13" a="1"/>
  <c r="L67" i="13" s="1"/>
  <c r="K25" i="13" a="1"/>
  <c r="K25" i="13" s="1"/>
  <c r="E66" i="13" a="1"/>
  <c r="E66" i="13" s="1"/>
  <c r="L43" i="13" a="1"/>
  <c r="L43" i="13" s="1"/>
  <c r="G71" i="13" a="1"/>
  <c r="G71" i="13" s="1"/>
  <c r="F28" i="13" a="1"/>
  <c r="F28" i="13" s="1"/>
  <c r="F71" i="13" a="1"/>
  <c r="F71" i="13" s="1"/>
  <c r="I76" i="13" a="1"/>
  <c r="I76" i="13" s="1"/>
  <c r="L39" i="13" a="1"/>
  <c r="L39" i="13" s="1"/>
  <c r="L37" i="13" a="1"/>
  <c r="L37" i="13" s="1"/>
  <c r="K14" i="13" a="1"/>
  <c r="K14" i="13" s="1"/>
  <c r="F26" i="13" a="1"/>
  <c r="F26" i="13" s="1"/>
  <c r="F20" i="13" a="1"/>
  <c r="F20" i="13" s="1"/>
  <c r="K52" i="13" a="1"/>
  <c r="K52" i="13" s="1"/>
  <c r="I28" i="13" a="1"/>
  <c r="I28" i="13" s="1"/>
  <c r="J60" i="13" a="1"/>
  <c r="J60" i="13" s="1"/>
  <c r="G43" i="13" a="1"/>
  <c r="G43" i="13" s="1"/>
  <c r="J68" i="13" a="1"/>
  <c r="J68" i="13" s="1"/>
  <c r="D54" i="13" a="1"/>
  <c r="D54" i="13" s="1"/>
  <c r="I54" i="13" a="1"/>
  <c r="I54" i="13" s="1"/>
  <c r="J61" i="13" a="1"/>
  <c r="J61" i="13" s="1"/>
  <c r="G29" i="13" a="1"/>
  <c r="G29" i="13" s="1"/>
  <c r="F41" i="13" a="1"/>
  <c r="F41" i="13" s="1"/>
  <c r="L21" i="13" a="1"/>
  <c r="L21" i="13" s="1"/>
  <c r="E8" i="13" a="1"/>
  <c r="E8" i="13" s="1"/>
  <c r="G42" i="13" a="1"/>
  <c r="G42" i="13" s="1"/>
  <c r="H20" i="13" a="1"/>
  <c r="H20" i="13" s="1"/>
  <c r="H29" i="13" a="1"/>
  <c r="H29" i="13" s="1"/>
  <c r="C41" i="13" a="1"/>
  <c r="C41" i="13" s="1"/>
  <c r="K5" i="13" a="1"/>
  <c r="K5" i="13" s="1"/>
  <c r="I48" i="13" a="1"/>
  <c r="I48" i="13" s="1"/>
  <c r="H17" i="13" a="1"/>
  <c r="H17" i="13" s="1"/>
  <c r="L77" i="13" a="1"/>
  <c r="L77" i="13" s="1"/>
  <c r="H57" i="13" a="1"/>
  <c r="H57" i="13" s="1"/>
  <c r="G30" i="13" a="1"/>
  <c r="G30" i="13" s="1"/>
  <c r="D78" i="13" a="1"/>
  <c r="D78" i="13" s="1"/>
  <c r="D26" i="13" a="1"/>
  <c r="D26" i="13" s="1"/>
  <c r="G17" i="13" a="1"/>
  <c r="G17" i="13" s="1"/>
  <c r="H47" i="13" a="1"/>
  <c r="H47" i="13" s="1"/>
  <c r="L69" i="13" a="1"/>
  <c r="L69" i="13" s="1"/>
  <c r="J70" i="13" a="1"/>
  <c r="J70" i="13" s="1"/>
  <c r="E64" i="13" a="1"/>
  <c r="E64" i="13" s="1"/>
  <c r="L71" i="13" a="1"/>
  <c r="L71" i="13" s="1"/>
  <c r="F58" i="13" a="1"/>
  <c r="F58" i="13" s="1"/>
  <c r="K11" i="13" a="1"/>
  <c r="K11" i="13" s="1"/>
  <c r="G74" i="13" a="1"/>
  <c r="G74" i="13" s="1"/>
  <c r="K67" i="13" a="1"/>
  <c r="K67" i="13" s="1"/>
  <c r="J77" i="13" a="1"/>
  <c r="J77" i="13" s="1"/>
  <c r="L78" i="13" a="1"/>
  <c r="L78" i="13" s="1"/>
  <c r="H33" i="13" a="1"/>
  <c r="H33" i="13" s="1"/>
  <c r="K19" i="13" a="1"/>
  <c r="K19" i="13" s="1"/>
  <c r="J81" i="13" a="1"/>
  <c r="J81" i="13" s="1"/>
  <c r="J53" i="13" a="1"/>
  <c r="J53" i="13" s="1"/>
  <c r="D32" i="13" a="1"/>
  <c r="D32" i="13" s="1"/>
  <c r="K47" i="13" a="1"/>
  <c r="K47" i="13" s="1"/>
  <c r="H18" i="13" a="1"/>
  <c r="H18" i="13" s="1"/>
  <c r="K29" i="13" a="1"/>
  <c r="K29" i="13" s="1"/>
  <c r="E39" i="13" a="1"/>
  <c r="E39" i="13" s="1"/>
  <c r="D18" i="13" a="1"/>
  <c r="D18" i="13" s="1"/>
  <c r="K10" i="13" a="1"/>
  <c r="K10" i="13" s="1"/>
  <c r="I14" i="13" a="1"/>
  <c r="I14" i="13" s="1"/>
  <c r="K50" i="13" a="1"/>
  <c r="K50" i="13" s="1"/>
  <c r="K24" i="13" a="1"/>
  <c r="K24" i="13" s="1"/>
  <c r="E29" i="13" a="1"/>
  <c r="E29" i="13" s="1"/>
  <c r="E10" i="13" a="1"/>
  <c r="E10" i="13" s="1"/>
  <c r="D34" i="13" a="1"/>
  <c r="D34" i="13" s="1"/>
  <c r="L8" i="13" a="1"/>
  <c r="L8" i="13" s="1"/>
  <c r="H59" i="13" a="1"/>
  <c r="H59" i="13" s="1"/>
  <c r="E27" i="13" a="1"/>
  <c r="E27" i="13" s="1"/>
  <c r="F33" i="13" a="1"/>
  <c r="F33" i="13" s="1"/>
  <c r="D80" i="13" a="1"/>
  <c r="D80" i="13" s="1"/>
  <c r="G25" i="13" a="1"/>
  <c r="G25" i="13" s="1"/>
  <c r="L79" i="13" a="1"/>
  <c r="L79" i="13" s="1"/>
  <c r="F19" i="13" a="1"/>
  <c r="F19" i="13" s="1"/>
  <c r="K63" i="13" a="1"/>
  <c r="K63" i="13" s="1"/>
  <c r="I52" i="13" a="1"/>
  <c r="I52" i="13" s="1"/>
  <c r="F64" i="13" a="1"/>
  <c r="F64" i="13" s="1"/>
  <c r="E80" i="13" a="1"/>
  <c r="E80" i="13" s="1"/>
  <c r="E72" i="13" a="1"/>
  <c r="E72" i="13" s="1"/>
  <c r="I23" i="13" a="1"/>
  <c r="I23" i="13" s="1"/>
  <c r="F68" i="13" a="1"/>
  <c r="F68" i="13" s="1"/>
  <c r="L51" i="13" a="1"/>
  <c r="L51" i="13" s="1"/>
  <c r="L19" i="13" a="1"/>
  <c r="L19" i="13" s="1"/>
  <c r="D46" i="13" a="1"/>
  <c r="D46" i="13" s="1"/>
  <c r="K12" i="13" a="1"/>
  <c r="K12" i="13" s="1"/>
  <c r="L38" i="13" a="1"/>
  <c r="L38" i="13" s="1"/>
  <c r="L64" i="13" a="1"/>
  <c r="L64" i="13" s="1"/>
  <c r="G31" i="13" a="1"/>
  <c r="G31" i="13" s="1"/>
  <c r="K75" i="13" a="1"/>
  <c r="K75" i="13" s="1"/>
  <c r="K15" i="13" a="1"/>
  <c r="K15" i="13" s="1"/>
  <c r="L16" i="13" a="1"/>
  <c r="L16" i="13" s="1"/>
  <c r="F34" i="13" a="1"/>
  <c r="F34" i="13" s="1"/>
  <c r="J24" i="13" a="1"/>
  <c r="J24" i="13" s="1"/>
  <c r="C74" i="13" a="1"/>
  <c r="C74" i="13" s="1"/>
  <c r="I33" i="13" a="1"/>
  <c r="I33" i="13" s="1"/>
  <c r="J42" i="13" a="1"/>
  <c r="J42" i="13" s="1"/>
  <c r="I16" i="13" a="1"/>
  <c r="I16" i="13" s="1"/>
  <c r="E33" i="13" a="1"/>
  <c r="E33" i="13" s="1"/>
  <c r="K71" i="13" a="1"/>
  <c r="K71" i="13" s="1"/>
  <c r="J58" i="13" a="1"/>
  <c r="J58" i="13" s="1"/>
  <c r="H68" i="13" a="1"/>
  <c r="H68" i="13" s="1"/>
  <c r="F5" i="13" a="1"/>
  <c r="F5" i="13" s="1"/>
  <c r="L12" i="13" a="1"/>
  <c r="L12" i="13" s="1"/>
  <c r="H72" i="13" a="1"/>
  <c r="H72" i="13" s="1"/>
  <c r="I83" i="13" a="1"/>
  <c r="I83" i="13" s="1"/>
  <c r="D65" i="13" a="1"/>
  <c r="D65" i="13" s="1"/>
  <c r="H19" i="13" a="1"/>
  <c r="H19" i="13" s="1"/>
  <c r="F27" i="13" a="1"/>
  <c r="F27" i="13" s="1"/>
  <c r="G35" i="13" a="1"/>
  <c r="G35" i="13" s="1"/>
  <c r="F6" i="13" a="1"/>
  <c r="F6" i="13" s="1"/>
  <c r="G57" i="13" a="1"/>
  <c r="G57" i="13" s="1"/>
  <c r="F80" i="13" a="1"/>
  <c r="F80" i="13" s="1"/>
  <c r="G48" i="13" a="1"/>
  <c r="G48" i="13" s="1"/>
  <c r="J80" i="13" a="1"/>
  <c r="J80" i="13" s="1"/>
  <c r="K20" i="13" a="1"/>
  <c r="K20" i="13" s="1"/>
  <c r="J43" i="13" a="1"/>
  <c r="J43" i="13" s="1"/>
  <c r="H38" i="13" a="1"/>
  <c r="H38" i="13" s="1"/>
  <c r="K55" i="13" a="1"/>
  <c r="K55" i="13" s="1"/>
  <c r="F40" i="13" a="1"/>
  <c r="F40" i="13" s="1"/>
  <c r="C69" i="13" a="1"/>
  <c r="C69" i="13" s="1"/>
  <c r="F23" i="13" a="1"/>
  <c r="F23" i="13" s="1"/>
  <c r="H22" i="13" a="1"/>
  <c r="H22" i="13" s="1"/>
  <c r="F38" i="13" a="1"/>
  <c r="F38" i="13" s="1"/>
  <c r="E78" i="13" a="1"/>
  <c r="E78" i="13" s="1"/>
  <c r="C21" i="13" a="1"/>
  <c r="C21" i="13" s="1"/>
  <c r="K74" i="13" a="1"/>
  <c r="K74" i="13" s="1"/>
  <c r="F13" i="13" a="1"/>
  <c r="F13" i="13" s="1"/>
  <c r="C8" i="13" a="1"/>
  <c r="C8" i="13" s="1"/>
  <c r="C58" i="13" a="1"/>
  <c r="C58" i="13" s="1"/>
  <c r="H31" i="13" a="1"/>
  <c r="H31" i="13" s="1"/>
  <c r="E44" i="13" a="1"/>
  <c r="E44" i="13" s="1"/>
  <c r="D75" i="13" a="1"/>
  <c r="D75" i="13" s="1"/>
  <c r="J54" i="13" a="1"/>
  <c r="J54" i="13" s="1"/>
  <c r="C32" i="13" a="1"/>
  <c r="C32" i="13" s="1"/>
  <c r="E71" i="13" a="1"/>
  <c r="E71" i="13" s="1"/>
  <c r="K45" i="13" a="1"/>
  <c r="K45" i="13" s="1"/>
  <c r="K78" i="13" a="1"/>
  <c r="K78" i="13" s="1"/>
  <c r="K61" i="13" a="1"/>
  <c r="K61" i="13" s="1"/>
  <c r="J5" i="13" a="1"/>
  <c r="J5" i="13" s="1"/>
  <c r="H64" i="13" a="1"/>
  <c r="H64" i="13" s="1"/>
  <c r="F52" i="13" a="1"/>
  <c r="F52" i="13" s="1"/>
  <c r="H16" i="13" a="1"/>
  <c r="H16" i="13" s="1"/>
  <c r="D56" i="13" a="1"/>
  <c r="D56" i="13" s="1"/>
  <c r="H81" i="13" a="1"/>
  <c r="H81" i="13" s="1"/>
  <c r="F44" i="13" a="1"/>
  <c r="F44" i="13" s="1"/>
  <c r="E81" i="13" a="1"/>
  <c r="E81" i="13" s="1"/>
  <c r="J11" i="13" a="1"/>
  <c r="J11" i="13" s="1"/>
  <c r="J62" i="13" a="1"/>
  <c r="J62" i="13" s="1"/>
  <c r="D45" i="13" a="1"/>
  <c r="D45" i="13" s="1"/>
  <c r="D51" i="13" a="1"/>
  <c r="D51" i="13" s="1"/>
  <c r="I46" i="13" a="1"/>
  <c r="I46" i="13" s="1"/>
  <c r="J37" i="13" a="1"/>
  <c r="J37" i="13" s="1"/>
  <c r="K37" i="13" a="1"/>
  <c r="K37" i="13" s="1"/>
  <c r="E32" i="13" a="1"/>
  <c r="E32" i="13" s="1"/>
  <c r="G64" i="13" a="1"/>
  <c r="G64" i="13" s="1"/>
  <c r="H13" i="13" a="1"/>
  <c r="H13" i="13" s="1"/>
  <c r="F81" i="13" a="1"/>
  <c r="F81" i="13" s="1"/>
  <c r="K68" i="13" a="1"/>
  <c r="K68" i="13" s="1"/>
  <c r="E21" i="13" a="1"/>
  <c r="E21" i="13" s="1"/>
  <c r="E46" i="13" a="1"/>
  <c r="E46" i="13" s="1"/>
  <c r="E6" i="13" a="1"/>
  <c r="E6" i="13" s="1"/>
  <c r="J50" i="13" a="1"/>
  <c r="J50" i="13" s="1"/>
  <c r="F17" i="13" a="1"/>
  <c r="F17" i="13" s="1"/>
  <c r="E19" i="13" a="1"/>
  <c r="E19" i="13" s="1"/>
  <c r="G72" i="13" a="1"/>
  <c r="G72" i="13" s="1"/>
  <c r="G6" i="13" a="1"/>
  <c r="G6" i="13" s="1"/>
  <c r="J33" i="13" a="1"/>
  <c r="J33" i="13" s="1"/>
  <c r="D15" i="13" a="1"/>
  <c r="D15" i="13" s="1"/>
  <c r="E75" i="13" a="1"/>
  <c r="E75" i="13" s="1"/>
  <c r="J32" i="13" a="1"/>
  <c r="J32" i="13" s="1"/>
  <c r="L32" i="13" a="1"/>
  <c r="L32" i="13" s="1"/>
  <c r="D39" i="13" a="1"/>
  <c r="D39" i="13" s="1"/>
  <c r="J10" i="13" a="1"/>
  <c r="J10" i="13" s="1"/>
  <c r="I71" i="13" a="1"/>
  <c r="I71" i="13" s="1"/>
  <c r="E56" i="13" a="1"/>
  <c r="E56" i="13" s="1"/>
  <c r="H25" i="13" a="1"/>
  <c r="H25" i="13" s="1"/>
  <c r="L72" i="13" a="1"/>
  <c r="L72" i="13" s="1"/>
  <c r="D19" i="13" a="1"/>
  <c r="D19" i="13" s="1"/>
  <c r="G83" i="13" a="1"/>
  <c r="G83" i="13" s="1"/>
  <c r="J38" i="13" a="1"/>
  <c r="J38" i="13" s="1"/>
  <c r="H75" i="13" a="1"/>
  <c r="H75" i="13" s="1"/>
  <c r="E7" i="13" a="1"/>
  <c r="E7" i="13" s="1"/>
  <c r="J56" i="13" a="1"/>
  <c r="J56" i="13" s="1"/>
  <c r="E53" i="13" a="1"/>
  <c r="E53" i="13" s="1"/>
  <c r="J46" i="13" a="1"/>
  <c r="J46" i="13" s="1"/>
  <c r="G9" i="13" a="1"/>
  <c r="G9" i="13" s="1"/>
  <c r="K39" i="13" a="1"/>
  <c r="K39" i="13" s="1"/>
  <c r="J35" i="13" a="1"/>
  <c r="J35" i="13" s="1"/>
  <c r="L14" i="13" a="1"/>
  <c r="L14" i="13" s="1"/>
  <c r="D30" i="13" a="1"/>
  <c r="D30" i="13" s="1"/>
  <c r="F59" i="13" a="1"/>
  <c r="F59" i="13" s="1"/>
  <c r="D5" i="13" a="1"/>
  <c r="D5" i="13" s="1"/>
  <c r="C13" i="13" a="1"/>
  <c r="C13" i="13" s="1"/>
  <c r="I65" i="13" a="1"/>
  <c r="I65" i="13" s="1"/>
  <c r="H54" i="13" a="1"/>
  <c r="H54" i="13" s="1"/>
  <c r="D81" i="13" a="1"/>
  <c r="D81" i="13" s="1"/>
  <c r="H12" i="13" a="1"/>
  <c r="H12" i="13" s="1"/>
  <c r="F16" i="13" a="1"/>
  <c r="F16" i="13" s="1"/>
  <c r="F83" i="13" a="1"/>
  <c r="F83" i="13" s="1"/>
  <c r="K76" i="13" a="1"/>
  <c r="K76" i="13" s="1"/>
  <c r="L15" i="13" a="1"/>
  <c r="L15" i="13" s="1"/>
  <c r="H26" i="13" a="1"/>
  <c r="H26" i="13" s="1"/>
  <c r="F22" i="13" a="1"/>
  <c r="F22" i="13" s="1"/>
  <c r="D20" i="13" a="1"/>
  <c r="D20" i="13" s="1"/>
  <c r="I74" i="13" a="1"/>
  <c r="I74" i="13" s="1"/>
  <c r="G52" i="13" a="1"/>
  <c r="G52" i="13" s="1"/>
  <c r="I44" i="13" a="1"/>
  <c r="I44" i="13" s="1"/>
  <c r="C60" i="13" a="1"/>
  <c r="C60" i="13" s="1"/>
  <c r="J52" i="13" a="1"/>
  <c r="J52" i="13" s="1"/>
  <c r="J18" i="13" a="1"/>
  <c r="J18" i="13" s="1"/>
  <c r="E61" i="13" a="1"/>
  <c r="E61" i="13" s="1"/>
  <c r="G50" i="13" a="1"/>
  <c r="G50" i="13" s="1"/>
  <c r="I40" i="13" a="1"/>
  <c r="I40" i="13" s="1"/>
  <c r="L13" i="13" a="1"/>
  <c r="L13" i="13" s="1"/>
  <c r="K9" i="13" a="1"/>
  <c r="K9" i="13" s="1"/>
  <c r="D67" i="13" a="1"/>
  <c r="D67" i="13" s="1"/>
  <c r="J82" i="13" a="1"/>
  <c r="J82" i="13" s="1"/>
  <c r="I26" i="13" a="1"/>
  <c r="I26" i="13" s="1"/>
  <c r="D55" i="13" a="1"/>
  <c r="D55" i="13" s="1"/>
  <c r="F75" i="13" a="1"/>
  <c r="F75" i="13" s="1"/>
  <c r="G37" i="13" a="1"/>
  <c r="G37" i="13" s="1"/>
  <c r="H46" i="13" a="1"/>
  <c r="H46" i="13" s="1"/>
  <c r="L56" i="13" a="1"/>
  <c r="L56" i="13" s="1"/>
  <c r="K36" i="13" a="1"/>
  <c r="K36" i="13" s="1"/>
  <c r="I77" i="13" a="1"/>
  <c r="I77" i="13" s="1"/>
  <c r="H69" i="13" a="1"/>
  <c r="H69" i="13" s="1"/>
  <c r="K56" i="13" a="1"/>
  <c r="K56" i="13" s="1"/>
  <c r="D76" i="13" a="1"/>
  <c r="D76" i="13" s="1"/>
  <c r="D21" i="13" a="1"/>
  <c r="D21" i="13" s="1"/>
  <c r="L7" i="13" a="1"/>
  <c r="L7" i="13" s="1"/>
  <c r="I75" i="13" a="1"/>
  <c r="I75" i="13" s="1"/>
  <c r="E37" i="13" a="1"/>
  <c r="E37" i="13" s="1"/>
  <c r="F55" i="13" a="1"/>
  <c r="F55" i="13" s="1"/>
  <c r="F69" i="13" a="1"/>
  <c r="F69" i="13" s="1"/>
  <c r="C5" i="13" a="1"/>
  <c r="C5" i="13" s="1"/>
  <c r="G5" i="13" a="1"/>
  <c r="G5" i="13" s="1"/>
  <c r="F53" i="13" a="1"/>
  <c r="F53" i="13" s="1"/>
  <c r="F47" i="13" a="1"/>
  <c r="F47" i="13" s="1"/>
  <c r="I62" i="13" a="1"/>
  <c r="I62" i="13" s="1"/>
  <c r="I17" i="13" a="1"/>
  <c r="I17" i="13" s="1"/>
  <c r="F11" i="13" a="1"/>
  <c r="F11" i="13" s="1"/>
  <c r="H9" i="13" a="1"/>
  <c r="H9" i="13" s="1"/>
  <c r="I10" i="13" a="1"/>
  <c r="I10" i="13" s="1"/>
  <c r="E15" i="13" a="1"/>
  <c r="E15" i="13" s="1"/>
  <c r="L24" i="13" a="1"/>
  <c r="L24" i="13" s="1"/>
  <c r="K54" i="13" a="1"/>
  <c r="K54" i="13" s="1"/>
  <c r="J36" i="13" a="1"/>
  <c r="J36" i="13" s="1"/>
  <c r="K64" i="13" a="1"/>
  <c r="K64" i="13" s="1"/>
  <c r="G24" i="13" a="1"/>
  <c r="G24" i="13" s="1"/>
  <c r="G59" i="13" a="1"/>
  <c r="G59" i="13" s="1"/>
  <c r="F24" i="13" a="1"/>
  <c r="F24" i="13" s="1"/>
  <c r="L54" i="13" a="1"/>
  <c r="L54" i="13" s="1"/>
  <c r="F15" i="13" a="1"/>
  <c r="F15" i="13" s="1"/>
  <c r="K33" i="13" a="1"/>
  <c r="K33" i="13" s="1"/>
  <c r="L17" i="13" a="1"/>
  <c r="L17" i="13" s="1"/>
  <c r="I82" i="13" a="1"/>
  <c r="I82" i="13" s="1"/>
  <c r="C52" i="13" a="1"/>
  <c r="C52" i="13" s="1"/>
  <c r="L60" i="13" a="1"/>
  <c r="L60" i="13" s="1"/>
  <c r="K27" i="13" a="1"/>
  <c r="K27" i="13" s="1"/>
  <c r="E20" i="13" a="1"/>
  <c r="E20" i="13" s="1"/>
  <c r="E31" i="13" a="1"/>
  <c r="E31" i="13" s="1"/>
  <c r="J22" i="13" a="1"/>
  <c r="J22" i="13" s="1"/>
  <c r="D42" i="13" a="1"/>
  <c r="D42" i="13" s="1"/>
  <c r="L63" i="13" a="1"/>
  <c r="L63" i="13" s="1"/>
  <c r="G77" i="13" a="1"/>
  <c r="G77" i="13" s="1"/>
  <c r="I68" i="13" a="1"/>
  <c r="I68" i="13" s="1"/>
  <c r="J69" i="13" a="1"/>
  <c r="J69" i="13" s="1"/>
  <c r="K22" i="13" a="1"/>
  <c r="K22" i="13" s="1"/>
  <c r="E13" i="13" a="1"/>
  <c r="E13" i="13" s="1"/>
  <c r="D73" i="13" a="1"/>
  <c r="D73" i="13" s="1"/>
  <c r="F56" i="13" a="1"/>
  <c r="F56" i="13" s="1"/>
  <c r="K58" i="13" a="1"/>
  <c r="K58" i="13" s="1"/>
  <c r="J21" i="13" a="1"/>
  <c r="J21" i="13" s="1"/>
  <c r="J26" i="13" a="1"/>
  <c r="J26" i="13" s="1"/>
  <c r="K73" i="13" a="1"/>
  <c r="K73" i="13" s="1"/>
  <c r="E77" i="13" a="1"/>
  <c r="E77" i="13" s="1"/>
  <c r="K40" i="13" a="1"/>
  <c r="K40" i="13" s="1"/>
  <c r="H10" i="13" a="1"/>
  <c r="H10" i="13" s="1"/>
  <c r="F43" i="13" a="1"/>
  <c r="F43" i="13" s="1"/>
  <c r="C30" i="13" a="1"/>
  <c r="C30" i="13" s="1"/>
  <c r="G34" i="13" a="1"/>
  <c r="G34" i="13" s="1"/>
  <c r="L70" i="13" a="1"/>
  <c r="L70" i="13" s="1"/>
  <c r="H7" i="13" a="1"/>
  <c r="H7" i="13" s="1"/>
  <c r="I50" i="13" a="1"/>
  <c r="I50" i="13" s="1"/>
  <c r="L52" i="13" a="1"/>
  <c r="L52" i="13" s="1"/>
  <c r="E24" i="13" a="1"/>
  <c r="E24" i="13" s="1"/>
  <c r="F73" i="13" a="1"/>
  <c r="F73" i="13" s="1"/>
  <c r="J20" i="13" a="1"/>
  <c r="J20" i="13" s="1"/>
  <c r="J75" i="13" a="1"/>
  <c r="J75" i="13" s="1"/>
  <c r="L29" i="13" a="1"/>
  <c r="L29" i="13" s="1"/>
  <c r="K81" i="13" a="1"/>
  <c r="K81" i="13" s="1"/>
  <c r="D13" i="13" a="1"/>
  <c r="D13" i="13" s="1"/>
  <c r="I55" i="13" a="1"/>
  <c r="I55" i="13" s="1"/>
  <c r="C38" i="13" a="1"/>
  <c r="C38" i="13" s="1"/>
  <c r="G32" i="13" a="1"/>
  <c r="G32" i="13" s="1"/>
  <c r="L45" i="13" a="1"/>
  <c r="L45" i="13" s="1"/>
  <c r="E63" i="13" a="1"/>
  <c r="E63" i="13" s="1"/>
  <c r="G45" i="13" a="1"/>
  <c r="G45" i="13" s="1"/>
  <c r="G56" i="13" a="1"/>
  <c r="G56" i="13" s="1"/>
  <c r="E23" i="13" a="1"/>
  <c r="E23" i="13" s="1"/>
  <c r="F21" i="13" a="1"/>
  <c r="F21" i="13" s="1"/>
  <c r="I6" i="13" a="1"/>
  <c r="I6" i="13" s="1"/>
  <c r="G58" i="13" a="1"/>
  <c r="G58" i="13" s="1"/>
  <c r="J73" i="13" a="1"/>
  <c r="J73" i="13" s="1"/>
  <c r="F78" i="13" a="1"/>
  <c r="F78" i="13" s="1"/>
  <c r="J34" i="13" a="1"/>
  <c r="J34" i="13" s="1"/>
  <c r="H35" i="13" a="1"/>
  <c r="H35" i="13" s="1"/>
  <c r="D50" i="13" a="1"/>
  <c r="D50" i="13" s="1"/>
  <c r="F62" i="13" a="1"/>
  <c r="F62" i="13" s="1"/>
  <c r="L6" i="13" a="1"/>
  <c r="L6" i="13" s="1"/>
  <c r="H28" i="13" a="1"/>
  <c r="H28" i="13" s="1"/>
  <c r="G16" i="13" a="1"/>
  <c r="G16" i="13" s="1"/>
  <c r="J51" i="13" a="1"/>
  <c r="J51" i="13" s="1"/>
  <c r="G28" i="13" a="1"/>
  <c r="G28" i="13" s="1"/>
  <c r="D11" i="13" a="1"/>
  <c r="D11" i="13" s="1"/>
  <c r="L48" i="13" a="1"/>
  <c r="L48" i="13" s="1"/>
  <c r="E26" i="13" a="1"/>
  <c r="E26" i="13" s="1"/>
  <c r="F14" i="13" a="1"/>
  <c r="F14" i="13" s="1"/>
  <c r="L5" i="13" a="1"/>
  <c r="L5" i="13" s="1"/>
  <c r="D31" i="13" a="1"/>
  <c r="D31" i="13" s="1"/>
  <c r="K16" i="13" a="1"/>
  <c r="K16" i="13" s="1"/>
  <c r="J19" i="13" a="1"/>
  <c r="J19" i="13" s="1"/>
  <c r="F61" i="13" a="1"/>
  <c r="F61" i="13" s="1"/>
  <c r="L36" i="13" a="1"/>
  <c r="L36" i="13" s="1"/>
  <c r="D16" i="13" a="1"/>
  <c r="D16" i="13" s="1"/>
  <c r="I22" i="13" a="1"/>
  <c r="I22" i="13" s="1"/>
  <c r="F31" i="13" a="1"/>
  <c r="F31" i="13" s="1"/>
  <c r="L83" i="13" a="1"/>
  <c r="L83" i="13" s="1"/>
  <c r="K41" i="13" a="1"/>
  <c r="K41" i="13" s="1"/>
  <c r="I60" i="13" a="1"/>
  <c r="I60" i="13" s="1"/>
  <c r="H52" i="13" a="1"/>
  <c r="H52" i="13" s="1"/>
  <c r="D8" i="13" a="1"/>
  <c r="D8" i="13" s="1"/>
  <c r="K80" i="13" a="1"/>
  <c r="K80" i="13" s="1"/>
  <c r="K34" i="13" a="1"/>
  <c r="K34" i="13" s="1"/>
  <c r="J16" i="13" a="1"/>
  <c r="J16" i="13" s="1"/>
  <c r="F36" i="13" a="1"/>
  <c r="F36" i="13" s="1"/>
  <c r="I13" i="13" a="1"/>
  <c r="I13" i="13" s="1"/>
  <c r="L10" i="13" a="1"/>
  <c r="L10" i="13" s="1"/>
  <c r="E54" i="13" a="1"/>
  <c r="E54" i="13" s="1"/>
  <c r="L28" i="13" a="1"/>
  <c r="L28" i="13" s="1"/>
  <c r="I20" i="13" a="1"/>
  <c r="I20" i="13" s="1"/>
  <c r="H71" i="13" a="1"/>
  <c r="H71" i="13" s="1"/>
  <c r="I66" i="13" a="1"/>
  <c r="I66" i="13" s="1"/>
  <c r="I45" i="13" a="1"/>
  <c r="I45" i="13" s="1"/>
  <c r="I43" i="13" a="1"/>
  <c r="I43" i="13" s="1"/>
  <c r="E67" i="13" a="1"/>
  <c r="E67" i="13" s="1"/>
  <c r="K18" i="13" a="1"/>
  <c r="K18" i="13" s="1"/>
  <c r="L20" i="13" a="1"/>
  <c r="L20" i="13" s="1"/>
  <c r="J76" i="13" a="1"/>
  <c r="J76" i="13" s="1"/>
  <c r="L44" i="13" a="1"/>
  <c r="L44" i="13" s="1"/>
  <c r="F57" i="13" a="1"/>
  <c r="F57" i="13" s="1"/>
  <c r="G12" i="13" a="1"/>
  <c r="G12" i="13" s="1"/>
  <c r="I58" i="13" a="1"/>
  <c r="I58" i="13" s="1"/>
  <c r="I12" i="13" a="1"/>
  <c r="I12" i="13" s="1"/>
  <c r="L66" i="13" a="1"/>
  <c r="L66" i="13" s="1"/>
  <c r="L68" i="13" a="1"/>
  <c r="L68" i="13" s="1"/>
  <c r="J83" i="13" a="1"/>
  <c r="J83" i="13" s="1"/>
  <c r="G39" i="13" a="1"/>
  <c r="G39" i="13" s="1"/>
  <c r="G21" i="13" a="1"/>
  <c r="G21" i="13" s="1"/>
  <c r="I38" i="13" a="1"/>
  <c r="I38" i="13" s="1"/>
  <c r="H8" i="13" a="1"/>
  <c r="H8" i="13" s="1"/>
  <c r="H24" i="13" a="1"/>
  <c r="H24" i="13" s="1"/>
  <c r="D82" i="13" a="1"/>
  <c r="D82" i="13" s="1"/>
  <c r="C10" i="13" a="1"/>
  <c r="C10" i="13" s="1"/>
  <c r="D24" i="13" a="1"/>
  <c r="D24" i="13" s="1"/>
  <c r="K79" i="13" a="1"/>
  <c r="K79" i="13" s="1"/>
  <c r="E59" i="13" a="1"/>
  <c r="E59" i="13" s="1"/>
  <c r="J79" i="13" a="1"/>
  <c r="J79" i="13" s="1"/>
  <c r="J65" i="13" a="1"/>
  <c r="J65" i="13" s="1"/>
  <c r="G53" i="13" a="1"/>
  <c r="G53" i="13" s="1"/>
  <c r="J41" i="13" a="1"/>
  <c r="J41" i="13" s="1"/>
  <c r="I36" i="13" a="1"/>
  <c r="I36" i="13" s="1"/>
  <c r="K7" i="13" a="1"/>
  <c r="K7" i="13" s="1"/>
  <c r="G15" i="13" a="1"/>
  <c r="G15" i="13" s="1"/>
  <c r="H62" i="13" a="1"/>
  <c r="H62" i="13" s="1"/>
  <c r="L27" i="13" a="1"/>
  <c r="L27" i="13" s="1"/>
  <c r="L58" i="13" a="1"/>
  <c r="L58" i="13" s="1"/>
  <c r="J44" i="13" a="1"/>
  <c r="J44" i="13" s="1"/>
  <c r="G65" i="13" a="1"/>
  <c r="G65" i="13" s="1"/>
  <c r="J66" i="13" a="1"/>
  <c r="J66" i="13" s="1"/>
  <c r="L73" i="13" a="1"/>
  <c r="L73" i="13" s="1"/>
  <c r="H61" i="13" a="1"/>
  <c r="H61" i="13" s="1"/>
  <c r="G81" i="13" a="1"/>
  <c r="G81" i="13" s="1"/>
  <c r="H76" i="13" a="1"/>
  <c r="H76" i="13" s="1"/>
  <c r="G67" i="13" a="1"/>
  <c r="G67" i="13" s="1"/>
  <c r="L47" i="13" a="1"/>
  <c r="L47" i="13" s="1"/>
  <c r="J29" i="13" a="1"/>
  <c r="J29" i="13" s="1"/>
  <c r="C83" i="13" a="1"/>
  <c r="C83" i="13" s="1"/>
  <c r="G70" i="13" a="1"/>
  <c r="G70" i="13" s="1"/>
  <c r="H56" i="13" a="1"/>
  <c r="H56" i="13" s="1"/>
  <c r="I41" i="13" a="1"/>
  <c r="I41" i="13" s="1"/>
  <c r="H50" i="13" a="1"/>
  <c r="H50" i="13" s="1"/>
  <c r="E73" i="13" a="1"/>
  <c r="E73" i="13" s="1"/>
  <c r="E36" i="13" a="1"/>
  <c r="E36" i="13" s="1"/>
  <c r="I49" i="13" a="1"/>
  <c r="I49" i="13" s="1"/>
  <c r="K21" i="13" a="1"/>
  <c r="K21" i="13" s="1"/>
  <c r="L34" i="13" a="1"/>
  <c r="L34" i="13" s="1"/>
  <c r="I53" i="13" a="1"/>
  <c r="I53" i="13" s="1"/>
  <c r="D84" i="13" a="1"/>
  <c r="D84" i="13" s="1"/>
  <c r="D64" i="13" a="1"/>
  <c r="D64" i="13" s="1"/>
  <c r="I56" i="13" a="1"/>
  <c r="I56" i="13" s="1"/>
  <c r="J31" i="13" a="1"/>
  <c r="J31" i="13" s="1"/>
  <c r="J15" i="13" a="1"/>
  <c r="J15" i="13" s="1"/>
  <c r="H65" i="13" a="1"/>
  <c r="H65" i="13" s="1"/>
  <c r="E43" i="13" a="1"/>
  <c r="E43" i="13" s="1"/>
  <c r="F63" i="13" a="1"/>
  <c r="F63" i="13" s="1"/>
  <c r="D10" i="13" a="1"/>
  <c r="D10" i="13" s="1"/>
  <c r="J64" i="13" a="1"/>
  <c r="J64" i="13" s="1"/>
  <c r="D83" i="13" a="1"/>
  <c r="D83" i="13" s="1"/>
  <c r="K44" i="13" a="1"/>
  <c r="K44" i="13" s="1"/>
  <c r="H55" i="13" a="1"/>
  <c r="H55" i="13" s="1"/>
  <c r="D70" i="13" a="1"/>
  <c r="D70" i="13" s="1"/>
  <c r="J28" i="13" a="1"/>
  <c r="J28" i="13" s="1"/>
  <c r="K57" i="13" a="1"/>
  <c r="K57" i="13" s="1"/>
  <c r="J84" i="13" a="1"/>
  <c r="J84" i="13" s="1"/>
  <c r="E70" i="13" a="1"/>
  <c r="E70" i="13" s="1"/>
  <c r="K13" i="13" a="1"/>
  <c r="K13" i="13" s="1"/>
  <c r="K43" i="13" a="1"/>
  <c r="K43" i="13" s="1"/>
  <c r="K53" i="13" a="1"/>
  <c r="K53" i="13" s="1"/>
  <c r="K6" i="13" a="1"/>
  <c r="K6" i="13" s="1"/>
  <c r="D77" i="13" a="1"/>
  <c r="D77" i="13" s="1"/>
  <c r="E47" i="13" a="1"/>
  <c r="E47" i="13" s="1"/>
  <c r="J47" i="13" a="1"/>
  <c r="J47" i="13" s="1"/>
  <c r="G41" i="13" a="1"/>
  <c r="G41" i="13" s="1"/>
  <c r="F12" i="13" a="1"/>
  <c r="F12" i="13" s="1"/>
  <c r="C19" i="13" a="1"/>
  <c r="C19" i="13" s="1"/>
  <c r="H36" i="13" a="1"/>
  <c r="H36" i="13" s="1"/>
  <c r="K62" i="13" a="1"/>
  <c r="K62" i="13" s="1"/>
  <c r="H74" i="13" a="1"/>
  <c r="H74" i="13" s="1"/>
  <c r="E49" i="13" a="1"/>
  <c r="E49" i="13" s="1"/>
  <c r="L59" i="13" a="1"/>
  <c r="L59" i="13" s="1"/>
  <c r="I61" i="13" a="1"/>
  <c r="I61" i="13" s="1"/>
  <c r="C63" i="13" a="1"/>
  <c r="C63" i="13" s="1"/>
  <c r="I27" i="13" a="1"/>
  <c r="I27" i="13" s="1"/>
  <c r="D25" i="13" a="1"/>
  <c r="D25" i="13" s="1"/>
  <c r="J59" i="13" a="1"/>
  <c r="J59" i="13" s="1"/>
  <c r="C16" i="13" a="1"/>
  <c r="C16" i="13" s="1"/>
  <c r="G60" i="13" a="1"/>
  <c r="G60" i="13" s="1"/>
  <c r="L74" i="13" a="1"/>
  <c r="L74" i="13" s="1"/>
  <c r="F25" i="13" a="1"/>
  <c r="F25" i="13" s="1"/>
  <c r="K59" i="13" a="1"/>
  <c r="K59" i="13" s="1"/>
  <c r="L80" i="13" a="1"/>
  <c r="L80" i="13" s="1"/>
  <c r="K46" i="13" a="1"/>
  <c r="K46" i="13" s="1"/>
  <c r="D52" i="13" a="1"/>
  <c r="D52" i="13" s="1"/>
  <c r="E17" i="13" a="1"/>
  <c r="E17" i="13" s="1"/>
  <c r="J57" i="13" a="1"/>
  <c r="J57" i="13" s="1"/>
  <c r="I31" i="13" a="1"/>
  <c r="I31" i="13" s="1"/>
  <c r="H63" i="13" a="1"/>
  <c r="H63" i="13" s="1"/>
  <c r="L30" i="13" a="1"/>
  <c r="L30" i="13" s="1"/>
  <c r="E62" i="13" a="1"/>
  <c r="E62" i="13" s="1"/>
  <c r="D36" i="13" a="1"/>
  <c r="D36" i="13" s="1"/>
  <c r="J40" i="13" a="1"/>
  <c r="J40" i="13" s="1"/>
  <c r="E30" i="13" a="1"/>
  <c r="E30" i="13" s="1"/>
  <c r="F60" i="13" a="1"/>
  <c r="F60" i="13" s="1"/>
  <c r="F74" i="13" a="1"/>
  <c r="F74" i="13" s="1"/>
  <c r="L50" i="13" a="1"/>
  <c r="L50" i="13" s="1"/>
  <c r="E9" i="13" a="1"/>
  <c r="E9" i="13" s="1"/>
  <c r="K32" i="13" a="1"/>
  <c r="K32" i="13" s="1"/>
  <c r="D59" i="13" a="1"/>
  <c r="D59" i="13" s="1"/>
  <c r="K72" i="13" a="1"/>
  <c r="K72" i="13" s="1"/>
  <c r="D44" i="13" a="1"/>
  <c r="D44" i="13" s="1"/>
  <c r="F50" i="13" a="1"/>
  <c r="F50" i="13" s="1"/>
  <c r="H83" i="13" a="1"/>
  <c r="H83" i="13" s="1"/>
  <c r="L41" i="13" a="1"/>
  <c r="L41" i="13" s="1"/>
  <c r="J39" i="13" a="1"/>
  <c r="J39" i="13" s="1"/>
  <c r="G82" i="13" a="1"/>
  <c r="G82" i="13" s="1"/>
  <c r="G22" i="13" a="1"/>
  <c r="G22" i="13" s="1"/>
  <c r="I72" i="13" a="1"/>
  <c r="I72" i="13" s="1"/>
  <c r="G79" i="13" a="1"/>
  <c r="G79" i="13" s="1"/>
  <c r="J9" i="13" a="1"/>
  <c r="J9" i="13" s="1"/>
  <c r="H34" i="13" a="1"/>
  <c r="H34" i="13" s="1"/>
  <c r="K31" i="13" a="1"/>
  <c r="K31" i="13" s="1"/>
  <c r="D60" i="13" a="1"/>
  <c r="D60" i="13" s="1"/>
  <c r="G40" i="13" a="1"/>
  <c r="G40" i="13" s="1"/>
  <c r="J49" i="13" a="1"/>
  <c r="J49" i="13" s="1"/>
  <c r="F66" i="13" a="1"/>
  <c r="F66" i="13" s="1"/>
  <c r="C49" i="13" a="1"/>
  <c r="C49" i="13" s="1"/>
  <c r="H30" i="13" a="1"/>
  <c r="H30" i="13" s="1"/>
  <c r="K49" i="13" a="1"/>
  <c r="K49" i="13" s="1"/>
  <c r="E60" i="13" a="1"/>
  <c r="E60" i="13" s="1"/>
  <c r="D61" i="13" a="1"/>
  <c r="D61" i="13" s="1"/>
  <c r="G54" i="13" a="1"/>
  <c r="G54" i="13" s="1"/>
  <c r="D49" i="13" a="1"/>
  <c r="D49" i="13" s="1"/>
  <c r="J48" i="13" a="1"/>
  <c r="J48" i="13" s="1"/>
  <c r="G49" i="13" a="1"/>
  <c r="G49" i="13" s="1"/>
  <c r="I64" i="13" a="1"/>
  <c r="I64" i="13" s="1"/>
  <c r="F79" i="13" a="1"/>
  <c r="F79" i="13" s="1"/>
  <c r="E79" i="13" a="1"/>
  <c r="E79" i="13" s="1"/>
  <c r="F37" i="13" a="1"/>
  <c r="F37" i="13" s="1"/>
  <c r="H78" i="13" a="1"/>
  <c r="H78" i="13" s="1"/>
  <c r="E5" i="13" a="1"/>
  <c r="E5" i="13" s="1"/>
  <c r="H58" i="13" a="1"/>
  <c r="H58" i="13" s="1"/>
  <c r="E34" i="13" a="1"/>
  <c r="E34" i="13" s="1"/>
  <c r="K82" i="13" a="1"/>
  <c r="K82" i="13" s="1"/>
  <c r="F70" i="13" a="1"/>
  <c r="F70" i="13" s="1"/>
  <c r="D71" i="13" a="1"/>
  <c r="D71" i="13" s="1"/>
  <c r="E40" i="13" a="1"/>
  <c r="E40" i="13" s="1"/>
  <c r="I63" i="13" a="1"/>
  <c r="I63" i="13" s="1"/>
  <c r="E12" i="13" a="1"/>
  <c r="E12" i="13" s="1"/>
  <c r="F51" i="13" a="1"/>
  <c r="F51" i="13" s="1"/>
  <c r="D23" i="13" a="1"/>
  <c r="D23" i="13" s="1"/>
  <c r="C80" i="13" a="1"/>
  <c r="C80" i="13" s="1"/>
  <c r="F30" i="13" a="1"/>
  <c r="F30" i="13" s="1"/>
  <c r="J67" i="13" a="1"/>
  <c r="J67" i="13" s="1"/>
  <c r="L22" i="13" a="1"/>
  <c r="L22" i="13" s="1"/>
  <c r="F9" i="13" a="1"/>
  <c r="F9" i="13" s="1"/>
  <c r="E51" i="13" a="1"/>
  <c r="E51" i="13" s="1"/>
  <c r="F49" i="13" a="1"/>
  <c r="F49" i="13" s="1"/>
  <c r="I78" i="13" a="1"/>
  <c r="I78" i="13" s="1"/>
  <c r="I84" i="13" a="1"/>
  <c r="I84" i="13" s="1"/>
  <c r="F54" i="13" a="1"/>
  <c r="F54" i="13" s="1"/>
  <c r="F18" i="13" a="1"/>
  <c r="F18" i="13" s="1"/>
  <c r="G78" i="13" a="1"/>
  <c r="G78" i="13" s="1"/>
  <c r="G80" i="13" a="1"/>
  <c r="G80" i="13" s="1"/>
  <c r="C24" i="13" a="1"/>
  <c r="C24" i="13" s="1"/>
  <c r="D57" i="13" a="1"/>
  <c r="D57" i="13" s="1"/>
  <c r="K83" i="13" a="1"/>
  <c r="K83" i="13" s="1"/>
  <c r="E41" i="13" a="1"/>
  <c r="E41" i="13" s="1"/>
  <c r="F72" i="13" a="1"/>
  <c r="F72" i="13" s="1"/>
  <c r="D27" i="13" a="1"/>
  <c r="D27" i="13" s="1"/>
  <c r="I73" i="13" a="1"/>
  <c r="I73" i="13" s="1"/>
  <c r="D12" i="13" a="1"/>
  <c r="D12" i="13" s="1"/>
  <c r="K38" i="13" a="1"/>
  <c r="K38" i="13" s="1"/>
  <c r="K66" i="13" a="1"/>
  <c r="K66" i="13" s="1"/>
  <c r="F8" i="13" a="1"/>
  <c r="F8" i="13" s="1"/>
  <c r="J8" i="13" a="1"/>
  <c r="J8" i="13" s="1"/>
  <c r="E76" i="13" a="1"/>
  <c r="E76" i="13" s="1"/>
  <c r="D37" i="13" a="1"/>
  <c r="D37" i="13" s="1"/>
  <c r="H40" i="13" a="1"/>
  <c r="H40" i="13" s="1"/>
  <c r="I7" i="13" a="1"/>
  <c r="I7" i="13" s="1"/>
  <c r="J74" i="13" a="1"/>
  <c r="J74" i="13" s="1"/>
  <c r="K23" i="13" a="1"/>
  <c r="K23" i="13" s="1"/>
  <c r="G73" i="13" a="1"/>
  <c r="G73" i="13" s="1"/>
  <c r="F29" i="13" a="1"/>
  <c r="F29" i="13" s="1"/>
  <c r="H27" i="13" a="1"/>
  <c r="H27" i="13" s="1"/>
  <c r="I32" i="13" a="1"/>
  <c r="I32" i="13" s="1"/>
  <c r="D72" i="13" a="1"/>
  <c r="D72" i="13" s="1"/>
  <c r="I8" i="13" a="1"/>
  <c r="I8" i="13" s="1"/>
  <c r="H44" i="13" a="1"/>
  <c r="H44" i="13" s="1"/>
  <c r="I59" i="13" a="1"/>
  <c r="I59" i="13" s="1"/>
  <c r="L9" i="13" a="1"/>
  <c r="L9" i="13" s="1"/>
  <c r="G11" i="13" a="1"/>
  <c r="G11" i="13" s="1"/>
  <c r="I79" i="13" a="1"/>
  <c r="I79" i="13" s="1"/>
  <c r="H11" i="13" a="1"/>
  <c r="H11" i="13" s="1"/>
  <c r="I30" i="13" a="1"/>
  <c r="I30" i="13" s="1"/>
  <c r="G75" i="13" a="1"/>
  <c r="G75" i="13" s="1"/>
  <c r="K69" i="13" a="1"/>
  <c r="K69" i="13" s="1"/>
  <c r="G36" i="13" a="1"/>
  <c r="G36" i="13" s="1"/>
  <c r="E35" i="13" a="1"/>
  <c r="E35" i="13" s="1"/>
  <c r="E84" i="13" a="1"/>
  <c r="E84" i="13" s="1"/>
  <c r="K28" i="13" a="1"/>
  <c r="K28" i="13" s="1"/>
  <c r="G61" i="13" a="1"/>
  <c r="G61" i="13" s="1"/>
  <c r="G63" i="13" a="1"/>
  <c r="G63" i="13" s="1"/>
  <c r="I21" i="13" a="1"/>
  <c r="I21" i="13" s="1"/>
  <c r="I80" i="13" a="1"/>
  <c r="I80" i="13" s="1"/>
  <c r="H82" i="13" a="1"/>
  <c r="H82" i="13" s="1"/>
  <c r="I57" i="13" a="1"/>
  <c r="I57" i="13" s="1"/>
  <c r="L23" i="13" a="1"/>
  <c r="L23" i="13" s="1"/>
  <c r="G51" i="13" a="1"/>
  <c r="G51" i="13" s="1"/>
  <c r="H43" i="13" a="1"/>
  <c r="H43" i="13" s="1"/>
  <c r="F42" i="13" a="1"/>
  <c r="F42" i="13" s="1"/>
  <c r="H14" i="13" a="1"/>
  <c r="H14" i="13" s="1"/>
  <c r="J72" i="13" a="1"/>
  <c r="J72" i="13" s="1"/>
  <c r="E57" i="13" a="1"/>
  <c r="E57" i="13" s="1"/>
  <c r="C46" i="13" a="1"/>
  <c r="C46" i="13" s="1"/>
  <c r="G38" i="13" a="1"/>
  <c r="G38" i="13" s="1"/>
  <c r="I51" i="13" a="1"/>
  <c r="I51" i="13" s="1"/>
  <c r="G18" i="13" a="1"/>
  <c r="G18" i="13" s="1"/>
  <c r="J17" i="13" a="1"/>
  <c r="J17" i="13" s="1"/>
  <c r="C7" i="13" a="1"/>
  <c r="C7" i="13" s="1"/>
  <c r="K8" i="13" a="1"/>
  <c r="K8" i="13" s="1"/>
  <c r="G10" i="13" a="1"/>
  <c r="G10" i="13" s="1"/>
  <c r="J63" i="13" a="1"/>
  <c r="J63" i="13" s="1"/>
  <c r="H70" i="13" a="1"/>
  <c r="H70" i="13" s="1"/>
  <c r="I5" i="13" a="1"/>
  <c r="I5" i="13" s="1"/>
  <c r="J14" i="13" a="1"/>
  <c r="J14" i="13" s="1"/>
  <c r="G68" i="13" a="1"/>
  <c r="G68" i="13" s="1"/>
  <c r="G20" i="13" a="1"/>
  <c r="G20" i="13" s="1"/>
  <c r="I67" i="13" a="1"/>
  <c r="I67" i="13" s="1"/>
  <c r="E55" i="13" a="1"/>
  <c r="E55" i="13" s="1"/>
  <c r="J55" i="13" a="1"/>
  <c r="J55" i="13" s="1"/>
  <c r="C27" i="13" a="1"/>
  <c r="C27" i="13" s="1"/>
  <c r="E25" i="13" a="1"/>
  <c r="E25" i="13" s="1"/>
  <c r="K60" i="13" a="1"/>
  <c r="K60" i="13" s="1"/>
  <c r="D66" i="13" a="1"/>
  <c r="D66" i="13" s="1"/>
  <c r="L26" i="13" a="1"/>
  <c r="L26" i="13" s="1"/>
  <c r="L82" i="13" a="1"/>
  <c r="L82" i="13" s="1"/>
  <c r="G69" i="13" a="1"/>
  <c r="G69" i="13" s="1"/>
  <c r="F65" i="13" a="1"/>
  <c r="F65" i="13" s="1"/>
  <c r="H48" i="13" a="1"/>
  <c r="H48" i="13" s="1"/>
  <c r="M37" i="13" l="1"/>
  <c r="M46" i="13"/>
  <c r="M19" i="13"/>
  <c r="M72" i="13"/>
  <c r="M79" i="13"/>
  <c r="M80" i="13"/>
  <c r="M38" i="13"/>
  <c r="M51" i="13"/>
  <c r="M32" i="13"/>
  <c r="M65" i="13"/>
  <c r="M33" i="13"/>
  <c r="M34" i="13"/>
  <c r="M29" i="13"/>
  <c r="M6" i="13"/>
  <c r="M40" i="13"/>
  <c r="M61" i="13"/>
  <c r="M63" i="13"/>
  <c r="M52" i="13"/>
  <c r="M13" i="13"/>
  <c r="M58" i="13"/>
  <c r="M44" i="13"/>
  <c r="M64" i="13"/>
  <c r="M31" i="13"/>
  <c r="M30" i="13"/>
  <c r="M67" i="13"/>
  <c r="M60" i="13"/>
  <c r="M53" i="13"/>
  <c r="M15" i="13"/>
  <c r="M8" i="13"/>
  <c r="M69" i="13"/>
  <c r="M35" i="13"/>
  <c r="M22" i="13"/>
  <c r="M27" i="13"/>
  <c r="M84" i="13"/>
  <c r="M42" i="13"/>
  <c r="M56" i="13"/>
  <c r="M71" i="13"/>
  <c r="M62" i="13"/>
  <c r="M9" i="13"/>
  <c r="M28" i="13"/>
  <c r="M73" i="13"/>
  <c r="M74" i="13"/>
  <c r="M66" i="13"/>
  <c r="M47" i="13"/>
  <c r="M57" i="13"/>
  <c r="M23" i="13"/>
  <c r="M49" i="13"/>
  <c r="M17" i="13"/>
  <c r="M16" i="13"/>
  <c r="M43" i="13"/>
  <c r="M45" i="13"/>
  <c r="M21" i="13"/>
  <c r="M26" i="13"/>
  <c r="M41" i="13"/>
  <c r="M77" i="13"/>
  <c r="M55" i="13"/>
  <c r="M24" i="13"/>
  <c r="M70" i="13"/>
  <c r="M83" i="13"/>
  <c r="M10" i="13"/>
  <c r="M50" i="13"/>
  <c r="M76" i="13"/>
  <c r="M20" i="13"/>
  <c r="M81" i="13"/>
  <c r="M39" i="13"/>
  <c r="M75" i="13"/>
  <c r="M78" i="13"/>
  <c r="M48" i="13"/>
  <c r="M7" i="13"/>
  <c r="M12" i="13"/>
  <c r="M59" i="13"/>
  <c r="M36" i="13"/>
  <c r="M25" i="13"/>
  <c r="M82" i="13"/>
  <c r="M11" i="13"/>
  <c r="M5" i="13"/>
  <c r="M18" i="13"/>
  <c r="M54" i="13"/>
  <c r="M14" i="13"/>
  <c r="M68" i="13"/>
  <c r="N8" i="13" l="1"/>
  <c r="N16" i="13"/>
  <c r="N24" i="13"/>
  <c r="N32" i="13"/>
  <c r="N40" i="13"/>
  <c r="N48" i="13"/>
  <c r="N56" i="13"/>
  <c r="N64" i="13"/>
  <c r="N72" i="13"/>
  <c r="N80" i="13"/>
  <c r="N9" i="13"/>
  <c r="N17" i="13"/>
  <c r="N25" i="13"/>
  <c r="N33" i="13"/>
  <c r="N41" i="13"/>
  <c r="N49" i="13"/>
  <c r="N57" i="13"/>
  <c r="N65" i="13"/>
  <c r="N73" i="13"/>
  <c r="N81" i="13"/>
  <c r="N10" i="13"/>
  <c r="N18" i="13"/>
  <c r="N26" i="13"/>
  <c r="N34" i="13"/>
  <c r="N42" i="13"/>
  <c r="N50" i="13"/>
  <c r="N58" i="13"/>
  <c r="N66" i="13"/>
  <c r="N74" i="13"/>
  <c r="N82" i="13"/>
  <c r="N11" i="13"/>
  <c r="N19" i="13"/>
  <c r="N27" i="13"/>
  <c r="N35" i="13"/>
  <c r="N43" i="13"/>
  <c r="N51" i="13"/>
  <c r="N59" i="13"/>
  <c r="N67" i="13"/>
  <c r="N75" i="13"/>
  <c r="N83" i="13"/>
  <c r="N12" i="13"/>
  <c r="N20" i="13"/>
  <c r="N28" i="13"/>
  <c r="N36" i="13"/>
  <c r="N44" i="13"/>
  <c r="N52" i="13"/>
  <c r="N60" i="13"/>
  <c r="N68" i="13"/>
  <c r="N76" i="13"/>
  <c r="N84" i="13"/>
  <c r="N13" i="13"/>
  <c r="N21" i="13"/>
  <c r="N29" i="13"/>
  <c r="N37" i="13"/>
  <c r="N45" i="13"/>
  <c r="N53" i="13"/>
  <c r="N61" i="13"/>
  <c r="N69" i="13"/>
  <c r="N77" i="13"/>
  <c r="N14" i="13"/>
  <c r="N22" i="13"/>
  <c r="N30" i="13"/>
  <c r="N38" i="13"/>
  <c r="N46" i="13"/>
  <c r="N54" i="13"/>
  <c r="N62" i="13"/>
  <c r="N70" i="13"/>
  <c r="N78" i="13"/>
  <c r="N7" i="13"/>
  <c r="N15" i="13"/>
  <c r="N23" i="13"/>
  <c r="N31" i="13"/>
  <c r="N39" i="13"/>
  <c r="N47" i="13"/>
  <c r="N55" i="13"/>
  <c r="N63" i="13"/>
  <c r="N71" i="13"/>
  <c r="N79" i="13"/>
  <c r="N5" i="13"/>
  <c r="N6" i="13"/>
  <c r="X3" i="17" l="1"/>
  <c r="X4" i="17"/>
  <c r="X5" i="17"/>
  <c r="X6" i="17"/>
  <c r="X7" i="17"/>
  <c r="X2" i="17"/>
  <c r="J2" i="17" l="1"/>
  <c r="J3" i="17"/>
  <c r="J4" i="17"/>
  <c r="AA54" i="17" l="1"/>
  <c r="AA24" i="17"/>
  <c r="AB54" i="17"/>
  <c r="AB39" i="17"/>
  <c r="AA79" i="17" l="1"/>
  <c r="AB79" i="17"/>
  <c r="F99" i="16"/>
  <c r="F89" i="16"/>
  <c r="J5" i="17"/>
  <c r="J6" i="17" s="1"/>
  <c r="J8" i="17" s="1"/>
  <c r="K8" i="17" s="1"/>
  <c r="L8" i="17" s="1"/>
  <c r="AB24" i="17"/>
  <c r="AA39" i="17"/>
  <c r="AB69" i="17"/>
  <c r="AB89" i="17"/>
  <c r="AA89" i="17"/>
  <c r="Z6" i="17" l="1"/>
  <c r="AA6" i="17" s="1"/>
  <c r="P6" i="17"/>
  <c r="Q6" i="17" s="1"/>
  <c r="P3" i="17"/>
  <c r="Q3" i="17" s="1"/>
  <c r="Z3" i="17"/>
  <c r="AA3" i="17" s="1"/>
  <c r="P5" i="17"/>
  <c r="Q5" i="17" s="1"/>
  <c r="Z5" i="17"/>
  <c r="AA5" i="17" s="1"/>
  <c r="P7" i="17"/>
  <c r="Q7" i="17" s="1"/>
  <c r="Z7" i="17"/>
  <c r="AA7" i="17" s="1"/>
  <c r="Z2" i="17"/>
  <c r="AA2" i="17" s="1"/>
  <c r="P2" i="17"/>
  <c r="Q2" i="17" s="1"/>
  <c r="P4" i="17"/>
  <c r="Q4" i="17" s="1"/>
  <c r="Z4" i="17"/>
  <c r="AA4" i="17" s="1"/>
  <c r="AA69" i="17"/>
  <c r="E89" i="16"/>
  <c r="E99" i="16"/>
  <c r="L4" i="17"/>
  <c r="L3" i="17" l="1"/>
  <c r="L2" i="17" l="1"/>
  <c r="D20" i="1" l="1"/>
  <c r="D36" i="1"/>
  <c r="D44" i="1"/>
  <c r="D68" i="1"/>
  <c r="D76" i="1"/>
  <c r="D100" i="1"/>
  <c r="D5" i="1"/>
  <c r="D13" i="1"/>
  <c r="D37" i="1"/>
  <c r="D45" i="1"/>
  <c r="D93" i="1"/>
  <c r="D101" i="1"/>
  <c r="D6" i="1"/>
  <c r="D14" i="1"/>
  <c r="D38" i="1"/>
  <c r="D46" i="1"/>
  <c r="D70" i="1"/>
  <c r="D78" i="1"/>
  <c r="D102" i="1"/>
  <c r="D47" i="1"/>
  <c r="D95" i="1"/>
  <c r="D17" i="1"/>
  <c r="D33" i="1"/>
  <c r="D73" i="1"/>
  <c r="D97" i="1"/>
  <c r="D10" i="1"/>
  <c r="D18" i="1"/>
  <c r="D34" i="1"/>
  <c r="D42" i="1"/>
  <c r="D50" i="1"/>
  <c r="D72" i="1"/>
  <c r="D43" i="1"/>
  <c r="D75" i="1"/>
  <c r="D16" i="1"/>
  <c r="D48" i="1"/>
  <c r="D80" i="1"/>
  <c r="D19" i="1"/>
  <c r="D32" i="1"/>
  <c r="D35" i="1"/>
  <c r="D99" i="1"/>
  <c r="D58" i="15" l="1"/>
  <c r="D51" i="15"/>
  <c r="B43" i="1"/>
  <c r="D81" i="15"/>
  <c r="B73" i="1"/>
  <c r="D54" i="15"/>
  <c r="B46" i="1"/>
  <c r="D21" i="15"/>
  <c r="D107" i="15"/>
  <c r="D43" i="15"/>
  <c r="B35" i="1"/>
  <c r="D80" i="15"/>
  <c r="D41" i="15"/>
  <c r="B33" i="1"/>
  <c r="D46" i="15"/>
  <c r="B38" i="1"/>
  <c r="D13" i="15"/>
  <c r="D108" i="15"/>
  <c r="B100" i="1"/>
  <c r="D50" i="15"/>
  <c r="D88" i="15"/>
  <c r="D42" i="15"/>
  <c r="B34" i="1"/>
  <c r="D55" i="15"/>
  <c r="B47" i="1"/>
  <c r="D109" i="15"/>
  <c r="B101" i="1"/>
  <c r="D76" i="15"/>
  <c r="D25" i="15"/>
  <c r="B17" i="1"/>
  <c r="D84" i="15"/>
  <c r="B76" i="1"/>
  <c r="D56" i="15"/>
  <c r="B48" i="1"/>
  <c r="D26" i="15"/>
  <c r="B18" i="1"/>
  <c r="D110" i="15"/>
  <c r="B102" i="1"/>
  <c r="D101" i="15"/>
  <c r="D52" i="15"/>
  <c r="B44" i="1"/>
  <c r="D22" i="15"/>
  <c r="B14" i="1"/>
  <c r="D14" i="15"/>
  <c r="B6" i="1"/>
  <c r="D24" i="15"/>
  <c r="D18" i="15"/>
  <c r="D86" i="15"/>
  <c r="D53" i="15"/>
  <c r="B45" i="1"/>
  <c r="D44" i="15"/>
  <c r="B36" i="1"/>
  <c r="D40" i="15"/>
  <c r="D27" i="15"/>
  <c r="B19" i="1"/>
  <c r="D103" i="15"/>
  <c r="D83" i="15"/>
  <c r="D105" i="15"/>
  <c r="D78" i="15"/>
  <c r="D45" i="15"/>
  <c r="B37" i="1"/>
  <c r="D28" i="15"/>
  <c r="B20" i="1"/>
  <c r="D51" i="1"/>
  <c r="D74" i="1"/>
  <c r="B75" i="1" s="1"/>
  <c r="D49" i="1"/>
  <c r="D40" i="1"/>
  <c r="D21" i="1"/>
  <c r="D94" i="1"/>
  <c r="D4" i="1"/>
  <c r="D79" i="1"/>
  <c r="D88" i="1"/>
  <c r="D81" i="1"/>
  <c r="D15" i="1"/>
  <c r="B16" i="1" s="1"/>
  <c r="D39" i="1"/>
  <c r="D8" i="1"/>
  <c r="D96" i="1"/>
  <c r="D92" i="1"/>
  <c r="B93" i="1" s="1"/>
  <c r="D41" i="1"/>
  <c r="D77" i="1"/>
  <c r="D60" i="1"/>
  <c r="D30" i="1"/>
  <c r="D7" i="1"/>
  <c r="D25" i="1"/>
  <c r="D89" i="1"/>
  <c r="D12" i="1"/>
  <c r="D85" i="1"/>
  <c r="D62" i="1"/>
  <c r="D66" i="1"/>
  <c r="D71" i="1"/>
  <c r="B72" i="1" s="1"/>
  <c r="D52" i="1"/>
  <c r="D63" i="1"/>
  <c r="D86" i="1"/>
  <c r="D55" i="1"/>
  <c r="D11" i="1"/>
  <c r="D91" i="1"/>
  <c r="D59" i="1"/>
  <c r="D9" i="1"/>
  <c r="D22" i="1"/>
  <c r="D61" i="1"/>
  <c r="D27" i="1"/>
  <c r="D98" i="1"/>
  <c r="D65" i="1"/>
  <c r="D3" i="1"/>
  <c r="D11" i="15" s="1"/>
  <c r="D53" i="1"/>
  <c r="D28" i="1"/>
  <c r="D69" i="1"/>
  <c r="D67" i="1"/>
  <c r="D56" i="1"/>
  <c r="D24" i="1"/>
  <c r="D90" i="1"/>
  <c r="D26" i="1"/>
  <c r="D57" i="1"/>
  <c r="D31" i="1"/>
  <c r="D84" i="1"/>
  <c r="D64" i="1"/>
  <c r="D58" i="1"/>
  <c r="D83" i="1"/>
  <c r="D82" i="1"/>
  <c r="D87" i="1"/>
  <c r="D23" i="1"/>
  <c r="D54" i="1"/>
  <c r="D29" i="1"/>
  <c r="D99" i="15" l="1"/>
  <c r="B91" i="1"/>
  <c r="D70" i="15"/>
  <c r="B62" i="1"/>
  <c r="D85" i="15"/>
  <c r="B77" i="1"/>
  <c r="D90" i="15"/>
  <c r="B82" i="1"/>
  <c r="D98" i="15"/>
  <c r="B90" i="1"/>
  <c r="D73" i="15"/>
  <c r="B65" i="1"/>
  <c r="D19" i="15"/>
  <c r="B11" i="1"/>
  <c r="D93" i="15"/>
  <c r="B85" i="1"/>
  <c r="D49" i="15"/>
  <c r="B41" i="1"/>
  <c r="D87" i="15"/>
  <c r="B79" i="1"/>
  <c r="D34" i="15"/>
  <c r="B26" i="1"/>
  <c r="D12" i="15"/>
  <c r="B4" i="1"/>
  <c r="D91" i="15"/>
  <c r="B83" i="1"/>
  <c r="D100" i="15"/>
  <c r="B92" i="1"/>
  <c r="D66" i="15"/>
  <c r="B58" i="1"/>
  <c r="D64" i="15"/>
  <c r="B56" i="1"/>
  <c r="D35" i="15"/>
  <c r="B27" i="1"/>
  <c r="D94" i="15"/>
  <c r="B86" i="1"/>
  <c r="D97" i="15"/>
  <c r="B89" i="1"/>
  <c r="D104" i="15"/>
  <c r="B96" i="1"/>
  <c r="D102" i="15"/>
  <c r="B94" i="1"/>
  <c r="B95" i="1"/>
  <c r="B5" i="1"/>
  <c r="D63" i="15"/>
  <c r="B55" i="1"/>
  <c r="D75" i="15"/>
  <c r="B67" i="1"/>
  <c r="D69" i="15"/>
  <c r="B61" i="1"/>
  <c r="D71" i="15"/>
  <c r="B63" i="1"/>
  <c r="D33" i="15"/>
  <c r="B25" i="1"/>
  <c r="D16" i="15"/>
  <c r="B8" i="1"/>
  <c r="D29" i="15"/>
  <c r="B21" i="1"/>
  <c r="D106" i="15"/>
  <c r="B98" i="1"/>
  <c r="D37" i="15"/>
  <c r="B29" i="1"/>
  <c r="D92" i="15"/>
  <c r="B84" i="1"/>
  <c r="D77" i="15"/>
  <c r="B69" i="1"/>
  <c r="D30" i="15"/>
  <c r="B22" i="1"/>
  <c r="D60" i="15"/>
  <c r="B52" i="1"/>
  <c r="D15" i="15"/>
  <c r="B7" i="1"/>
  <c r="D47" i="15"/>
  <c r="B39" i="1"/>
  <c r="D48" i="15"/>
  <c r="B40" i="1"/>
  <c r="B70" i="1"/>
  <c r="B78" i="1"/>
  <c r="B68" i="1"/>
  <c r="B80" i="1"/>
  <c r="B99" i="1"/>
  <c r="D95" i="15"/>
  <c r="B87" i="1"/>
  <c r="D62" i="15"/>
  <c r="B54" i="1"/>
  <c r="D39" i="15"/>
  <c r="B31" i="1"/>
  <c r="D36" i="15"/>
  <c r="B28" i="1"/>
  <c r="D17" i="15"/>
  <c r="B9" i="1"/>
  <c r="D79" i="15"/>
  <c r="B71" i="1"/>
  <c r="D38" i="15"/>
  <c r="B30" i="1"/>
  <c r="D23" i="15"/>
  <c r="B15" i="1"/>
  <c r="D57" i="15"/>
  <c r="B49" i="1"/>
  <c r="D32" i="15"/>
  <c r="B24" i="1"/>
  <c r="D20" i="15"/>
  <c r="B12" i="1"/>
  <c r="D72" i="15"/>
  <c r="B64" i="1"/>
  <c r="D31" i="15"/>
  <c r="B23" i="1"/>
  <c r="D65" i="15"/>
  <c r="B57" i="1"/>
  <c r="D61" i="15"/>
  <c r="B53" i="1"/>
  <c r="D67" i="15"/>
  <c r="B59" i="1"/>
  <c r="D74" i="15"/>
  <c r="B66" i="1"/>
  <c r="D68" i="15"/>
  <c r="B60" i="1"/>
  <c r="D89" i="15"/>
  <c r="B81" i="1"/>
  <c r="D82" i="15"/>
  <c r="B74" i="1"/>
  <c r="B97" i="1"/>
  <c r="B32" i="1"/>
  <c r="B10" i="1"/>
  <c r="B42" i="1"/>
  <c r="B13" i="1"/>
  <c r="B50" i="1"/>
  <c r="D96" i="15"/>
  <c r="B88" i="1"/>
  <c r="D59" i="15"/>
  <c r="B51" i="1"/>
  <c r="E3" i="20"/>
  <c r="E4" i="20" l="1"/>
  <c r="E5" i="20" l="1"/>
  <c r="L14" i="20" l="1"/>
  <c r="L20" i="20"/>
  <c r="L26" i="20"/>
  <c r="L29" i="20"/>
  <c r="L13" i="20"/>
  <c r="L24" i="20"/>
  <c r="L27" i="20"/>
  <c r="L15" i="20"/>
  <c r="L25" i="20"/>
  <c r="L17" i="20"/>
  <c r="L31" i="20"/>
  <c r="L22" i="20"/>
  <c r="L21" i="20"/>
  <c r="L23" i="20"/>
  <c r="L19" i="20"/>
  <c r="L32" i="20"/>
  <c r="L33" i="20"/>
  <c r="L18" i="20"/>
  <c r="L16" i="20"/>
  <c r="L28" i="20"/>
  <c r="L30" i="20"/>
  <c r="L34" i="20"/>
  <c r="A51" i="26" l="1"/>
  <c r="A54" i="26"/>
  <c r="A46" i="26"/>
  <c r="A38" i="26"/>
  <c r="A30" i="26"/>
  <c r="A14" i="26"/>
  <c r="A6" i="26"/>
  <c r="A53" i="26"/>
  <c r="A45" i="26"/>
  <c r="A37" i="26"/>
  <c r="A29" i="26"/>
  <c r="A21" i="26"/>
  <c r="A13" i="26"/>
  <c r="A5" i="26"/>
  <c r="A52" i="26"/>
  <c r="A44" i="26"/>
  <c r="A36" i="26"/>
  <c r="A28" i="26"/>
  <c r="A20" i="26"/>
  <c r="A12" i="26"/>
  <c r="A4" i="26"/>
  <c r="A43" i="26"/>
  <c r="A27" i="26"/>
  <c r="A19" i="26"/>
  <c r="A11" i="26"/>
  <c r="A3" i="26"/>
  <c r="A58" i="26"/>
  <c r="A50" i="26"/>
  <c r="A42" i="26"/>
  <c r="A34" i="26"/>
  <c r="A26" i="26"/>
  <c r="A18" i="26"/>
  <c r="A10" i="26"/>
  <c r="A57" i="26"/>
  <c r="A41" i="26"/>
  <c r="A25" i="26"/>
  <c r="A9" i="26"/>
  <c r="A56" i="26"/>
  <c r="A48" i="26"/>
  <c r="A40" i="26"/>
  <c r="A32" i="26"/>
  <c r="A24" i="26"/>
  <c r="A16" i="26"/>
  <c r="A8" i="26"/>
  <c r="A35" i="26"/>
  <c r="A49" i="26"/>
  <c r="A33" i="26"/>
  <c r="A17" i="26"/>
  <c r="A55" i="26"/>
  <c r="A47" i="26"/>
  <c r="A39" i="26"/>
  <c r="A31" i="26"/>
  <c r="A23" i="26"/>
  <c r="A15" i="26"/>
  <c r="A7" i="26"/>
  <c r="A22" i="26"/>
  <c r="A71" i="26"/>
  <c r="A69" i="26"/>
  <c r="A70" i="26"/>
  <c r="A72" i="26"/>
  <c r="A68" i="26" l="1"/>
  <c r="A74" i="26"/>
  <c r="A73" i="26"/>
  <c r="A62" i="26"/>
  <c r="A66" i="26"/>
  <c r="A59" i="26"/>
  <c r="A65" i="26"/>
  <c r="A60" i="26"/>
  <c r="A64" i="26"/>
  <c r="A63" i="26"/>
  <c r="A61" i="26"/>
  <c r="A67" i="26"/>
  <c r="E62" i="26" l="1"/>
  <c r="E66" i="26"/>
  <c r="E74" i="26" l="1"/>
  <c r="E67" i="26"/>
  <c r="E68" i="26"/>
  <c r="E63" i="26"/>
  <c r="A2" i="26"/>
  <c r="E2" i="26" s="1"/>
  <c r="E32" i="26"/>
  <c r="E44" i="26"/>
  <c r="E49" i="26"/>
  <c r="E19" i="26"/>
  <c r="E24" i="26"/>
  <c r="E37" i="26"/>
  <c r="E53" i="26"/>
  <c r="E23" i="26"/>
  <c r="E11" i="26"/>
  <c r="E38" i="26"/>
  <c r="E48" i="26"/>
  <c r="E27" i="26"/>
  <c r="E16" i="26"/>
  <c r="E45" i="26"/>
  <c r="E72" i="26"/>
  <c r="E58" i="26"/>
  <c r="E18" i="26"/>
  <c r="E52" i="26"/>
  <c r="E28" i="26"/>
  <c r="E12" i="26"/>
  <c r="E6" i="26"/>
  <c r="E5" i="26"/>
  <c r="E42" i="26"/>
  <c r="E39" i="26"/>
  <c r="E46" i="26"/>
  <c r="E21" i="26"/>
  <c r="E56" i="26"/>
  <c r="E14" i="26"/>
  <c r="E33" i="26"/>
  <c r="E55" i="26"/>
  <c r="E41" i="26"/>
  <c r="E4" i="26"/>
  <c r="E54" i="26"/>
  <c r="E13" i="26"/>
  <c r="E8" i="26"/>
  <c r="E43" i="26"/>
  <c r="E15" i="26"/>
  <c r="E29" i="26"/>
  <c r="E47" i="26"/>
  <c r="E70" i="26"/>
  <c r="E36" i="26"/>
  <c r="E22" i="26"/>
  <c r="E9" i="26"/>
  <c r="E7" i="26"/>
  <c r="E57" i="26"/>
  <c r="E10" i="26"/>
  <c r="E71" i="26"/>
  <c r="E35" i="26"/>
  <c r="E31" i="26"/>
  <c r="E34" i="26"/>
  <c r="E51" i="26"/>
  <c r="E3" i="26"/>
  <c r="E26" i="26"/>
  <c r="E69" i="26"/>
  <c r="E30" i="26"/>
  <c r="E20" i="26"/>
  <c r="E17" i="26"/>
  <c r="E40" i="26"/>
  <c r="E25" i="26"/>
  <c r="E50" i="26"/>
  <c r="E65" i="26"/>
  <c r="E61" i="26"/>
  <c r="E73" i="26"/>
  <c r="E60" i="26"/>
  <c r="E64" i="26"/>
  <c r="E59" i="26"/>
  <c r="E2" i="17" l="1"/>
  <c r="W1" i="17" l="1"/>
  <c r="M1" i="17"/>
  <c r="W3" i="17"/>
  <c r="W6" i="17"/>
  <c r="W2" i="17"/>
  <c r="W5" i="17"/>
  <c r="I4" i="17"/>
  <c r="W7" i="17"/>
  <c r="I1" i="17"/>
  <c r="I3" i="17"/>
  <c r="B2" i="22" l="1"/>
  <c r="AE10" i="17" l="1"/>
  <c r="AE18" i="17" s="1"/>
  <c r="AE28" i="17" s="1"/>
  <c r="AE35" i="17" s="1"/>
  <c r="AE43" i="17" s="1"/>
  <c r="AE12" i="17"/>
  <c r="AE20" i="17" s="1"/>
  <c r="AE30" i="17" s="1"/>
  <c r="AE37" i="17" s="1"/>
  <c r="AE45" i="17" s="1"/>
  <c r="AE13" i="17"/>
  <c r="AE21" i="17" s="1"/>
  <c r="AE31" i="17" s="1"/>
  <c r="AE38" i="17" s="1"/>
  <c r="AE46" i="17" s="1"/>
  <c r="AE11" i="17"/>
  <c r="AE19" i="17" s="1"/>
  <c r="AE29" i="17" s="1"/>
  <c r="AE36" i="17" s="1"/>
  <c r="AE44" i="17" s="1"/>
  <c r="Q8" i="30" l="1"/>
  <c r="O29" i="25" l="1"/>
  <c r="O28" i="25"/>
  <c r="O26" i="25" l="1"/>
  <c r="V50" i="30" l="1"/>
  <c r="V51" i="30"/>
  <c r="O25" i="25" l="1"/>
  <c r="K36" i="25" l="1"/>
  <c r="Q36" i="25" s="1"/>
  <c r="K37" i="25"/>
  <c r="Q37" i="25" s="1"/>
  <c r="K35" i="25"/>
  <c r="Q35" i="25" s="1"/>
  <c r="R51" i="30" l="1"/>
  <c r="K26" i="25" l="1"/>
  <c r="K25" i="25"/>
  <c r="R50" i="30"/>
  <c r="K27" i="25"/>
  <c r="F32" i="25" l="1"/>
  <c r="Q32" i="25" s="1"/>
  <c r="F33" i="25"/>
  <c r="K18" i="25" l="1"/>
  <c r="Q18" i="25" s="1"/>
  <c r="O49" i="30" l="1"/>
  <c r="G33" i="25" l="1"/>
  <c r="Q33" i="25" s="1"/>
  <c r="H8" i="31" l="1"/>
  <c r="C8" i="31" s="1"/>
  <c r="F8" i="31" l="1"/>
  <c r="F9" i="31" s="1"/>
  <c r="G8" i="31"/>
  <c r="D2" i="31"/>
  <c r="D5" i="31"/>
  <c r="D8" i="31"/>
  <c r="D4" i="31"/>
  <c r="D3" i="31"/>
  <c r="D7" i="31"/>
  <c r="D6" i="31"/>
  <c r="E14" i="27" l="1"/>
  <c r="E9" i="27"/>
  <c r="E10" i="27"/>
  <c r="E6" i="27"/>
  <c r="E7" i="27"/>
  <c r="E8" i="27"/>
  <c r="E4" i="27"/>
  <c r="E3" i="27"/>
  <c r="E5" i="27"/>
  <c r="E11" i="27" l="1"/>
  <c r="E12" i="27" l="1"/>
  <c r="E13" i="27" l="1"/>
  <c r="E15" i="27" l="1"/>
  <c r="E16" i="27" l="1"/>
  <c r="E17" i="27" l="1"/>
  <c r="E18" i="27" l="1"/>
  <c r="E19" i="27" l="1"/>
  <c r="E20" i="27" l="1"/>
  <c r="E21" i="27" l="1"/>
  <c r="E22" i="27" l="1"/>
  <c r="E23" i="27" l="1"/>
  <c r="E24" i="27" l="1"/>
  <c r="E25" i="27" l="1"/>
  <c r="E26" i="27" l="1"/>
  <c r="E27" i="27" l="1"/>
  <c r="E28" i="27" l="1"/>
  <c r="E29" i="27" l="1"/>
  <c r="E30" i="27" l="1"/>
  <c r="E31" i="27" l="1"/>
  <c r="E32" i="27" l="1"/>
  <c r="E33" i="27" l="1"/>
  <c r="E34" i="27" l="1"/>
  <c r="E35" i="27" l="1"/>
  <c r="E36" i="27" l="1"/>
  <c r="E37" i="27" l="1"/>
  <c r="E38" i="27" l="1"/>
  <c r="E39" i="27" l="1"/>
  <c r="E40" i="27" l="1"/>
  <c r="E41" i="27" l="1"/>
  <c r="E42" i="27" l="1"/>
  <c r="E43" i="27" l="1"/>
  <c r="E44" i="27" l="1"/>
  <c r="E45" i="27" l="1"/>
  <c r="E46" i="27" l="1"/>
  <c r="E47" i="27" l="1"/>
  <c r="E48" i="27" l="1"/>
  <c r="E49" i="27" l="1"/>
  <c r="E50" i="27" l="1"/>
  <c r="E51" i="27" l="1"/>
  <c r="E52" i="27" l="1"/>
  <c r="E53" i="27" l="1"/>
  <c r="E54" i="27" l="1"/>
  <c r="E55" i="27" l="1"/>
  <c r="E56" i="27" l="1"/>
  <c r="E57" i="27" l="1"/>
  <c r="E58" i="27" l="1"/>
  <c r="E59" i="27" l="1"/>
  <c r="E60" i="27" l="1"/>
  <c r="E61" i="27"/>
  <c r="E6" i="20" l="1"/>
  <c r="F7" i="20" l="1"/>
  <c r="E7" i="20" l="1"/>
  <c r="K35" i="20" s="1"/>
  <c r="F8" i="20"/>
  <c r="L35" i="20" l="1"/>
  <c r="K36" i="20"/>
  <c r="E8" i="20"/>
  <c r="K37" i="20" l="1"/>
  <c r="L36" i="20"/>
  <c r="K38" i="20" l="1"/>
  <c r="L37" i="20"/>
  <c r="N36" i="20"/>
  <c r="P36" i="20"/>
  <c r="L38" i="20" l="1"/>
  <c r="K39" i="20"/>
  <c r="N37" i="20"/>
  <c r="P37" i="20"/>
  <c r="K40" i="20" l="1"/>
  <c r="L39" i="20"/>
  <c r="N38" i="20"/>
  <c r="P38" i="20"/>
  <c r="N39" i="20" l="1"/>
  <c r="P39" i="20"/>
  <c r="L40" i="20"/>
  <c r="K41" i="20"/>
  <c r="P40" i="20" l="1"/>
  <c r="N40" i="20"/>
  <c r="K42" i="20"/>
  <c r="L41" i="20"/>
  <c r="P41" i="20" l="1"/>
  <c r="N41" i="20"/>
  <c r="K43" i="20"/>
  <c r="L42" i="20"/>
  <c r="K44" i="20" l="1"/>
  <c r="L43" i="20"/>
  <c r="P42" i="20"/>
  <c r="N42" i="20"/>
  <c r="N43" i="20" l="1"/>
  <c r="P43" i="20"/>
  <c r="L44" i="20"/>
  <c r="K45" i="20"/>
  <c r="K46" i="20" l="1"/>
  <c r="L45" i="20"/>
  <c r="P44" i="20"/>
  <c r="N44" i="20"/>
  <c r="N45" i="20" l="1"/>
  <c r="P45" i="20"/>
  <c r="L46" i="20"/>
  <c r="K47" i="20"/>
  <c r="K48" i="20" l="1"/>
  <c r="L47" i="20"/>
  <c r="P46" i="20"/>
  <c r="N46" i="20"/>
  <c r="N47" i="20" l="1"/>
  <c r="P47" i="20"/>
  <c r="L48" i="20"/>
  <c r="K49" i="20"/>
  <c r="K50" i="20" l="1"/>
  <c r="L49" i="20"/>
  <c r="N48" i="20"/>
  <c r="P48" i="20"/>
  <c r="N49" i="20" l="1"/>
  <c r="P49" i="20"/>
  <c r="K51" i="20"/>
  <c r="L50" i="20"/>
  <c r="P50" i="20" l="1"/>
  <c r="N50" i="20"/>
  <c r="K52" i="20"/>
  <c r="L51" i="20"/>
  <c r="P51" i="20" l="1"/>
  <c r="N51" i="20"/>
  <c r="K53" i="20"/>
  <c r="L52" i="20"/>
  <c r="N52" i="20" l="1"/>
  <c r="P52" i="20"/>
  <c r="K54" i="20"/>
  <c r="L53" i="20"/>
  <c r="N53" i="20" l="1"/>
  <c r="P53" i="20"/>
  <c r="K55" i="20"/>
  <c r="L54" i="20"/>
  <c r="K56" i="20" l="1"/>
  <c r="L55" i="20"/>
  <c r="N54" i="20"/>
  <c r="P54" i="20"/>
  <c r="N55" i="20" l="1"/>
  <c r="P55" i="20"/>
  <c r="K57" i="20"/>
  <c r="L56" i="20"/>
  <c r="N56" i="20" l="1"/>
  <c r="P56" i="20"/>
  <c r="K58" i="20"/>
  <c r="L57" i="20"/>
  <c r="N57" i="20" l="1"/>
  <c r="P57" i="20"/>
  <c r="K59" i="20"/>
  <c r="L58" i="20"/>
  <c r="P58" i="20" l="1"/>
  <c r="N58" i="20"/>
  <c r="K60" i="20"/>
  <c r="L59" i="20"/>
  <c r="K61" i="20" l="1"/>
  <c r="L60" i="20"/>
  <c r="N59" i="20"/>
  <c r="P59" i="20"/>
  <c r="P60" i="20" l="1"/>
  <c r="N60" i="20"/>
  <c r="K62" i="20"/>
  <c r="L61" i="20"/>
  <c r="N61" i="20" l="1"/>
  <c r="P61" i="20"/>
  <c r="K63" i="20"/>
  <c r="L62" i="20"/>
  <c r="K64" i="20" l="1"/>
  <c r="L63" i="20"/>
  <c r="N62" i="20"/>
  <c r="P62" i="20"/>
  <c r="P63" i="20" l="1"/>
  <c r="N63" i="20"/>
  <c r="K65" i="20"/>
  <c r="L64" i="20"/>
  <c r="P64" i="20" l="1"/>
  <c r="N64" i="20"/>
  <c r="K66" i="20"/>
  <c r="L65" i="20"/>
  <c r="N65" i="20" l="1"/>
  <c r="P65" i="20"/>
  <c r="K67" i="20"/>
  <c r="L66" i="20"/>
  <c r="F13" i="27"/>
  <c r="F6" i="27"/>
  <c r="F7" i="27"/>
  <c r="F10" i="27"/>
  <c r="F11" i="27"/>
  <c r="F12" i="27"/>
  <c r="F9" i="27"/>
  <c r="F8" i="27"/>
  <c r="F4" i="27"/>
  <c r="F3" i="27"/>
  <c r="F5" i="27"/>
  <c r="F60" i="27"/>
  <c r="F49" i="27"/>
  <c r="F52" i="27"/>
  <c r="F46" i="27"/>
  <c r="F51" i="27"/>
  <c r="F59" i="27"/>
  <c r="F56" i="27"/>
  <c r="F54" i="27"/>
  <c r="F50" i="27"/>
  <c r="F55" i="27"/>
  <c r="F44" i="27"/>
  <c r="F58" i="27"/>
  <c r="F45" i="27"/>
  <c r="F47" i="27"/>
  <c r="F61" i="27"/>
  <c r="F48" i="27"/>
  <c r="F57" i="27"/>
  <c r="F53" i="27"/>
  <c r="N66" i="20" l="1"/>
  <c r="P66" i="20"/>
  <c r="K68" i="20"/>
  <c r="L67" i="20"/>
  <c r="F14" i="27"/>
  <c r="F32" i="27"/>
  <c r="F30" i="27"/>
  <c r="F38" i="27"/>
  <c r="F31" i="27"/>
  <c r="F29" i="27"/>
  <c r="F40" i="27"/>
  <c r="F36" i="27"/>
  <c r="F26" i="27"/>
  <c r="F43" i="27"/>
  <c r="F42" i="27"/>
  <c r="F33" i="27"/>
  <c r="F41" i="27"/>
  <c r="F37" i="27"/>
  <c r="F35" i="27"/>
  <c r="F39" i="27"/>
  <c r="F27" i="27"/>
  <c r="F34" i="27"/>
  <c r="F28" i="27"/>
  <c r="F19" i="27"/>
  <c r="F18" i="27"/>
  <c r="F22" i="27"/>
  <c r="F15" i="27"/>
  <c r="F23" i="27"/>
  <c r="F24" i="27"/>
  <c r="F17" i="27"/>
  <c r="F16" i="27"/>
  <c r="F25" i="27"/>
  <c r="F21" i="27"/>
  <c r="F20" i="27"/>
  <c r="P67" i="20" l="1"/>
  <c r="N67" i="20"/>
  <c r="K69" i="20"/>
  <c r="L68" i="20"/>
  <c r="P68" i="20" l="1"/>
  <c r="N68" i="20"/>
  <c r="K70" i="20"/>
  <c r="L69" i="20"/>
  <c r="N69" i="20" l="1"/>
  <c r="P69" i="20"/>
  <c r="K71" i="20"/>
  <c r="L70" i="20"/>
  <c r="P70" i="20" l="1"/>
  <c r="N70" i="20"/>
  <c r="K72" i="20"/>
  <c r="L71" i="20"/>
  <c r="P71" i="20" l="1"/>
  <c r="N71" i="20"/>
  <c r="K73" i="20"/>
  <c r="L72" i="20"/>
  <c r="P72" i="20" l="1"/>
  <c r="N72" i="20"/>
  <c r="K74" i="20"/>
  <c r="L73" i="20"/>
  <c r="P73" i="20" l="1"/>
  <c r="N73" i="20"/>
  <c r="K75" i="20"/>
  <c r="L74" i="20"/>
  <c r="N74" i="20" l="1"/>
  <c r="P74" i="20"/>
  <c r="K76" i="20"/>
  <c r="L75" i="20"/>
  <c r="K77" i="20" l="1"/>
  <c r="L76" i="20"/>
  <c r="P75" i="20"/>
  <c r="N75" i="20"/>
  <c r="P76" i="20" l="1"/>
  <c r="N76" i="20"/>
  <c r="K78" i="20"/>
  <c r="L77" i="20"/>
  <c r="N77" i="20" l="1"/>
  <c r="P77" i="20"/>
  <c r="K79" i="20"/>
  <c r="L78" i="20"/>
  <c r="N78" i="20" l="1"/>
  <c r="P78" i="20"/>
  <c r="K80" i="20"/>
  <c r="L79" i="20"/>
  <c r="N79" i="20" l="1"/>
  <c r="P79" i="20"/>
  <c r="K81" i="20"/>
  <c r="L80" i="20"/>
  <c r="N80" i="20" l="1"/>
  <c r="P80" i="20"/>
  <c r="K82" i="20"/>
  <c r="L81" i="20"/>
  <c r="N81" i="20" l="1"/>
  <c r="P81" i="20"/>
  <c r="K83" i="20"/>
  <c r="L82" i="20"/>
  <c r="N82" i="20" l="1"/>
  <c r="P82" i="20"/>
  <c r="K84" i="20"/>
  <c r="L83" i="20"/>
  <c r="P83" i="20" l="1"/>
  <c r="N83" i="20"/>
  <c r="K85" i="20"/>
  <c r="L84" i="20"/>
  <c r="N84" i="20" l="1"/>
  <c r="P84" i="20"/>
  <c r="K86" i="20"/>
  <c r="L85" i="20"/>
  <c r="P85" i="20" l="1"/>
  <c r="N85" i="20"/>
  <c r="K87" i="20"/>
  <c r="L86" i="20"/>
  <c r="P86" i="20" l="1"/>
  <c r="N86" i="20"/>
  <c r="K88" i="20"/>
  <c r="L87" i="20"/>
  <c r="P87" i="20" l="1"/>
  <c r="N87" i="20"/>
  <c r="K89" i="20"/>
  <c r="L88" i="20"/>
  <c r="N88" i="20" l="1"/>
  <c r="P88" i="20"/>
  <c r="K90" i="20"/>
  <c r="L89" i="20"/>
  <c r="P89" i="20" l="1"/>
  <c r="N89" i="20"/>
  <c r="K91" i="20"/>
  <c r="L90" i="20"/>
  <c r="P90" i="20" l="1"/>
  <c r="N90" i="20"/>
  <c r="K92" i="20"/>
  <c r="L91" i="20"/>
  <c r="R92" i="20" l="1"/>
  <c r="N91" i="20"/>
  <c r="P91" i="20"/>
  <c r="K93" i="20"/>
  <c r="L92" i="20"/>
  <c r="N92" i="20" l="1"/>
  <c r="P92" i="20"/>
  <c r="K94" i="20"/>
  <c r="L93" i="20"/>
  <c r="N93" i="20" l="1"/>
  <c r="P93" i="20"/>
  <c r="K95" i="20"/>
  <c r="L94" i="20"/>
  <c r="P94" i="20" l="1"/>
  <c r="N94" i="20"/>
  <c r="K96" i="20"/>
  <c r="L95" i="20"/>
  <c r="N95" i="20" l="1"/>
  <c r="P95" i="20"/>
  <c r="K97" i="20"/>
  <c r="L96" i="20"/>
  <c r="P96" i="20" l="1"/>
  <c r="N96" i="20"/>
  <c r="K98" i="20"/>
  <c r="L97" i="20"/>
  <c r="P97" i="20" l="1"/>
  <c r="N97" i="20"/>
  <c r="K99" i="20"/>
  <c r="L98" i="20"/>
  <c r="P98" i="20" l="1"/>
  <c r="N98" i="20"/>
  <c r="K100" i="20"/>
  <c r="L99" i="20"/>
  <c r="P99" i="20" l="1"/>
  <c r="N99" i="20"/>
  <c r="K101" i="20"/>
  <c r="L100" i="20"/>
  <c r="P100" i="20" l="1"/>
  <c r="N100" i="20"/>
  <c r="K102" i="20"/>
  <c r="L101" i="20"/>
  <c r="N101" i="20" l="1"/>
  <c r="P101" i="20"/>
  <c r="K103" i="20"/>
  <c r="L102" i="20"/>
  <c r="P102" i="20" l="1"/>
  <c r="N102" i="20"/>
  <c r="K104" i="20"/>
  <c r="L103" i="20"/>
  <c r="P103" i="20" l="1"/>
  <c r="N103" i="20"/>
  <c r="K105" i="20"/>
  <c r="L104" i="20"/>
  <c r="N104" i="20" l="1"/>
  <c r="P104" i="20"/>
  <c r="K106" i="20"/>
  <c r="L105" i="20"/>
  <c r="P105" i="20" l="1"/>
  <c r="N105" i="20"/>
  <c r="K107" i="20"/>
  <c r="L106" i="20"/>
  <c r="N106" i="20" l="1"/>
  <c r="P106" i="20"/>
  <c r="K108" i="20"/>
  <c r="L107" i="20"/>
  <c r="P107" i="20" l="1"/>
  <c r="N107" i="20"/>
  <c r="K109" i="20"/>
  <c r="L108" i="20"/>
  <c r="P108" i="20" l="1"/>
  <c r="N108" i="20"/>
  <c r="K110" i="20"/>
  <c r="L109" i="20"/>
  <c r="N109" i="20" l="1"/>
  <c r="P109" i="20"/>
  <c r="K111" i="20"/>
  <c r="L110" i="20"/>
  <c r="N110" i="20" l="1"/>
  <c r="P110" i="20"/>
  <c r="K112" i="20"/>
  <c r="L111" i="20"/>
  <c r="N111" i="20" l="1"/>
  <c r="P111" i="20"/>
  <c r="K113" i="20"/>
  <c r="L112" i="20"/>
  <c r="P112" i="20" l="1"/>
  <c r="P113" i="20" s="1"/>
  <c r="N112" i="20"/>
  <c r="L113" i="20"/>
  <c r="O111" i="20" l="1"/>
  <c r="Q111" i="20" s="1"/>
  <c r="O66" i="20"/>
  <c r="Q66" i="20" s="1"/>
  <c r="O112" i="20"/>
  <c r="Q112" i="20" s="1"/>
  <c r="O44" i="20"/>
  <c r="Q44" i="20" s="1"/>
  <c r="O37" i="20"/>
  <c r="Q37" i="20" s="1"/>
  <c r="O99" i="20"/>
  <c r="Q99" i="20" s="1"/>
  <c r="O79" i="20"/>
  <c r="Q79" i="20" s="1"/>
  <c r="O95" i="20"/>
  <c r="Q95" i="20" s="1"/>
  <c r="O57" i="20"/>
  <c r="O56" i="20"/>
  <c r="Q56" i="20" s="1"/>
  <c r="O78" i="20"/>
  <c r="Q78" i="20" s="1"/>
  <c r="O40" i="20"/>
  <c r="Q40" i="20" s="1"/>
  <c r="O88" i="20"/>
  <c r="Q88" i="20" s="1"/>
  <c r="O94" i="20"/>
  <c r="Q94" i="20" s="1"/>
  <c r="O42" i="20"/>
  <c r="O108" i="20"/>
  <c r="Q108" i="20" s="1"/>
  <c r="O87" i="20"/>
  <c r="O58" i="20"/>
  <c r="Q58" i="20" s="1"/>
  <c r="O52" i="20"/>
  <c r="O90" i="20"/>
  <c r="Q90" i="20" s="1"/>
  <c r="O93" i="20"/>
  <c r="Q93" i="20" s="1"/>
  <c r="O76" i="20"/>
  <c r="Q76" i="20" s="1"/>
  <c r="O84" i="20"/>
  <c r="Q84" i="20" s="1"/>
  <c r="O101" i="20"/>
  <c r="Q101" i="20" s="1"/>
  <c r="O70" i="20"/>
  <c r="Q70" i="20" s="1"/>
  <c r="O74" i="20"/>
  <c r="Q74" i="20" s="1"/>
  <c r="O67" i="20"/>
  <c r="O36" i="20"/>
  <c r="Q36" i="20" s="1"/>
  <c r="O110" i="20"/>
  <c r="Q110" i="20" s="1"/>
  <c r="O102" i="20"/>
  <c r="Q102" i="20" s="1"/>
  <c r="O73" i="20"/>
  <c r="Q73" i="20" s="1"/>
  <c r="O75" i="20"/>
  <c r="Q75" i="20" s="1"/>
  <c r="O105" i="20"/>
  <c r="Q105" i="20" s="1"/>
  <c r="O48" i="20"/>
  <c r="Q48" i="20" s="1"/>
  <c r="O62" i="20"/>
  <c r="O109" i="20"/>
  <c r="Q109" i="20" s="1"/>
  <c r="O59" i="20"/>
  <c r="Q59" i="20" s="1"/>
  <c r="O71" i="20"/>
  <c r="Q71" i="20" s="1"/>
  <c r="O86" i="20"/>
  <c r="Q86" i="20" s="1"/>
  <c r="O104" i="20"/>
  <c r="Q104" i="20" s="1"/>
  <c r="O47" i="20"/>
  <c r="O51" i="20"/>
  <c r="Q51" i="20" s="1"/>
  <c r="O50" i="20"/>
  <c r="Q50" i="20" s="1"/>
  <c r="O54" i="20"/>
  <c r="Q54" i="20" s="1"/>
  <c r="O55" i="20"/>
  <c r="Q55" i="20" s="1"/>
  <c r="O61" i="20"/>
  <c r="Q61" i="20" s="1"/>
  <c r="O69" i="20"/>
  <c r="Q69" i="20" s="1"/>
  <c r="O85" i="20"/>
  <c r="Q85" i="20" s="1"/>
  <c r="O72" i="20"/>
  <c r="O53" i="20"/>
  <c r="Q53" i="20" s="1"/>
  <c r="O97" i="20"/>
  <c r="Q97" i="20" s="1"/>
  <c r="O83" i="20"/>
  <c r="Q83" i="20" s="1"/>
  <c r="O39" i="20"/>
  <c r="Q39" i="20" s="1"/>
  <c r="O106" i="20"/>
  <c r="Q106" i="20" s="1"/>
  <c r="O81" i="20"/>
  <c r="Q81" i="20" s="1"/>
  <c r="O103" i="20"/>
  <c r="Q103" i="20" s="1"/>
  <c r="O64" i="20"/>
  <c r="Q64" i="20" s="1"/>
  <c r="O91" i="20"/>
  <c r="Q91" i="20" s="1"/>
  <c r="O65" i="20"/>
  <c r="Q65" i="20" s="1"/>
  <c r="O92" i="20"/>
  <c r="O46" i="20"/>
  <c r="Q46" i="20" s="1"/>
  <c r="O107" i="20"/>
  <c r="Q107" i="20" s="1"/>
  <c r="O68" i="20"/>
  <c r="Q68" i="20" s="1"/>
  <c r="O63" i="20"/>
  <c r="Q63" i="20" s="1"/>
  <c r="O38" i="20"/>
  <c r="Q38" i="20" s="1"/>
  <c r="O96" i="20"/>
  <c r="Q96" i="20" s="1"/>
  <c r="O98" i="20"/>
  <c r="Q98" i="20" s="1"/>
  <c r="O60" i="20"/>
  <c r="Q60" i="20" s="1"/>
  <c r="O41" i="20"/>
  <c r="Q41" i="20" s="1"/>
  <c r="O100" i="20"/>
  <c r="Q100" i="20" s="1"/>
  <c r="O77" i="20"/>
  <c r="O43" i="20"/>
  <c r="Q43" i="20" s="1"/>
  <c r="O82" i="20"/>
  <c r="O80" i="20"/>
  <c r="Q80" i="20" s="1"/>
  <c r="O45" i="20"/>
  <c r="Q45" i="20" s="1"/>
  <c r="O49" i="20"/>
  <c r="Q49" i="20" s="1"/>
  <c r="O89" i="20"/>
  <c r="Q89" i="20" s="1"/>
  <c r="N113" i="20"/>
  <c r="E13" i="20" l="1"/>
  <c r="H13" i="20" s="1"/>
  <c r="E102" i="20"/>
  <c r="H102" i="20" s="1"/>
  <c r="E91" i="20"/>
  <c r="H91" i="20" s="1"/>
  <c r="E94" i="20"/>
  <c r="H94" i="20" s="1"/>
  <c r="E96" i="20"/>
  <c r="H96" i="20" s="1"/>
  <c r="E101" i="20"/>
  <c r="H101" i="20" s="1"/>
  <c r="E99" i="20"/>
  <c r="H99" i="20" s="1"/>
  <c r="E95" i="20"/>
  <c r="H95" i="20" s="1"/>
  <c r="E93" i="20"/>
  <c r="H93" i="20" s="1"/>
  <c r="E98" i="20"/>
  <c r="H98" i="20" s="1"/>
  <c r="E90" i="20"/>
  <c r="H90" i="20" s="1"/>
  <c r="Q67" i="20"/>
  <c r="E88" i="20"/>
  <c r="H88" i="20" s="1"/>
  <c r="E92" i="20"/>
  <c r="H92" i="20" s="1"/>
  <c r="E89" i="20"/>
  <c r="H89" i="20" s="1"/>
  <c r="E100" i="20"/>
  <c r="H100" i="20" s="1"/>
  <c r="E97" i="20"/>
  <c r="H97" i="20" s="1"/>
  <c r="E120" i="20"/>
  <c r="H120" i="20" s="1"/>
  <c r="Q77" i="20"/>
  <c r="E122" i="20"/>
  <c r="H122" i="20" s="1"/>
  <c r="E129" i="20"/>
  <c r="H129" i="20" s="1"/>
  <c r="E127" i="20"/>
  <c r="H127" i="20" s="1"/>
  <c r="E128" i="20"/>
  <c r="H128" i="20" s="1"/>
  <c r="E123" i="20"/>
  <c r="H123" i="20" s="1"/>
  <c r="E121" i="20"/>
  <c r="H121" i="20" s="1"/>
  <c r="E118" i="20"/>
  <c r="H118" i="20" s="1"/>
  <c r="E124" i="20"/>
  <c r="H124" i="20" s="1"/>
  <c r="E132" i="20"/>
  <c r="H132" i="20" s="1"/>
  <c r="E131" i="20"/>
  <c r="H131" i="20" s="1"/>
  <c r="E119" i="20"/>
  <c r="H119" i="20" s="1"/>
  <c r="E126" i="20"/>
  <c r="H126" i="20" s="1"/>
  <c r="E125" i="20"/>
  <c r="H125" i="20" s="1"/>
  <c r="E130" i="20"/>
  <c r="H130" i="20" s="1"/>
  <c r="E25" i="20"/>
  <c r="H25" i="20" s="1"/>
  <c r="E27" i="20"/>
  <c r="H27" i="20" s="1"/>
  <c r="E20" i="20"/>
  <c r="H20" i="20" s="1"/>
  <c r="E19" i="20"/>
  <c r="H19" i="20" s="1"/>
  <c r="E21" i="20"/>
  <c r="H21" i="20" s="1"/>
  <c r="E14" i="20"/>
  <c r="H14" i="20" s="1"/>
  <c r="E15" i="20"/>
  <c r="H15" i="20" s="1"/>
  <c r="E18" i="20"/>
  <c r="H18" i="20" s="1"/>
  <c r="E16" i="20"/>
  <c r="H16" i="20" s="1"/>
  <c r="E17" i="20"/>
  <c r="H17" i="20" s="1"/>
  <c r="E23" i="20"/>
  <c r="H23" i="20" s="1"/>
  <c r="E26" i="20"/>
  <c r="H26" i="20" s="1"/>
  <c r="Q42" i="20"/>
  <c r="E24" i="20"/>
  <c r="H24" i="20" s="1"/>
  <c r="E22" i="20"/>
  <c r="H22" i="20" s="1"/>
  <c r="Q82" i="20"/>
  <c r="E146" i="20"/>
  <c r="H146" i="20" s="1"/>
  <c r="E138" i="20"/>
  <c r="H138" i="20" s="1"/>
  <c r="E133" i="20"/>
  <c r="H133" i="20" s="1"/>
  <c r="E136" i="20"/>
  <c r="H136" i="20" s="1"/>
  <c r="E137" i="20"/>
  <c r="H137" i="20" s="1"/>
  <c r="E145" i="20"/>
  <c r="H145" i="20" s="1"/>
  <c r="E144" i="20"/>
  <c r="H144" i="20" s="1"/>
  <c r="E147" i="20"/>
  <c r="H147" i="20" s="1"/>
  <c r="E135" i="20"/>
  <c r="H135" i="20" s="1"/>
  <c r="E143" i="20"/>
  <c r="H143" i="20" s="1"/>
  <c r="E141" i="20"/>
  <c r="H141" i="20" s="1"/>
  <c r="E142" i="20"/>
  <c r="H142" i="20" s="1"/>
  <c r="E140" i="20"/>
  <c r="H140" i="20" s="1"/>
  <c r="E134" i="20"/>
  <c r="H134" i="20" s="1"/>
  <c r="E139" i="20"/>
  <c r="H139" i="20" s="1"/>
  <c r="E110" i="20"/>
  <c r="H110" i="20" s="1"/>
  <c r="E112" i="20"/>
  <c r="H112" i="20" s="1"/>
  <c r="E108" i="20"/>
  <c r="H108" i="20" s="1"/>
  <c r="E114" i="20"/>
  <c r="H114" i="20" s="1"/>
  <c r="E116" i="20"/>
  <c r="H116" i="20" s="1"/>
  <c r="E107" i="20"/>
  <c r="H107" i="20" s="1"/>
  <c r="E105" i="20"/>
  <c r="H105" i="20" s="1"/>
  <c r="E115" i="20"/>
  <c r="H115" i="20" s="1"/>
  <c r="E117" i="20"/>
  <c r="H117" i="20" s="1"/>
  <c r="Q72" i="20"/>
  <c r="E111" i="20"/>
  <c r="H111" i="20" s="1"/>
  <c r="E106" i="20"/>
  <c r="H106" i="20" s="1"/>
  <c r="E103" i="20"/>
  <c r="H103" i="20" s="1"/>
  <c r="E104" i="20"/>
  <c r="H104" i="20" s="1"/>
  <c r="E113" i="20"/>
  <c r="H113" i="20" s="1"/>
  <c r="E109" i="20"/>
  <c r="H109" i="20" s="1"/>
  <c r="E28" i="20"/>
  <c r="H28" i="20" s="1"/>
  <c r="E39" i="20"/>
  <c r="H39" i="20" s="1"/>
  <c r="E36" i="20"/>
  <c r="H36" i="20" s="1"/>
  <c r="E35" i="20"/>
  <c r="H35" i="20" s="1"/>
  <c r="E29" i="20"/>
  <c r="H29" i="20" s="1"/>
  <c r="E41" i="20"/>
  <c r="H41" i="20" s="1"/>
  <c r="E32" i="20"/>
  <c r="H32" i="20" s="1"/>
  <c r="E31" i="20"/>
  <c r="H31" i="20" s="1"/>
  <c r="E30" i="20"/>
  <c r="H30" i="20" s="1"/>
  <c r="E33" i="20"/>
  <c r="H33" i="20" s="1"/>
  <c r="E37" i="20"/>
  <c r="H37" i="20" s="1"/>
  <c r="E38" i="20"/>
  <c r="H38" i="20" s="1"/>
  <c r="O113" i="20"/>
  <c r="B5" i="20" s="1"/>
  <c r="E42" i="20"/>
  <c r="H42" i="20" s="1"/>
  <c r="Q47" i="20"/>
  <c r="E40" i="20"/>
  <c r="H40" i="20" s="1"/>
  <c r="E34" i="20"/>
  <c r="H34" i="20" s="1"/>
  <c r="E156" i="20"/>
  <c r="H156" i="20" s="1"/>
  <c r="E154" i="20"/>
  <c r="H154" i="20" s="1"/>
  <c r="E150" i="20"/>
  <c r="H150" i="20" s="1"/>
  <c r="E153" i="20"/>
  <c r="H153" i="20" s="1"/>
  <c r="E160" i="20"/>
  <c r="H160" i="20" s="1"/>
  <c r="E152" i="20"/>
  <c r="H152" i="20" s="1"/>
  <c r="E162" i="20"/>
  <c r="H162" i="20" s="1"/>
  <c r="E161" i="20"/>
  <c r="H161" i="20" s="1"/>
  <c r="E159" i="20"/>
  <c r="H159" i="20" s="1"/>
  <c r="E155" i="20"/>
  <c r="H155" i="20" s="1"/>
  <c r="E148" i="20"/>
  <c r="H148" i="20" s="1"/>
  <c r="E157" i="20"/>
  <c r="H157" i="20" s="1"/>
  <c r="Q87" i="20"/>
  <c r="E149" i="20"/>
  <c r="H149" i="20" s="1"/>
  <c r="E158" i="20"/>
  <c r="H158" i="20" s="1"/>
  <c r="E151" i="20"/>
  <c r="H151" i="20" s="1"/>
  <c r="Q57" i="20"/>
  <c r="E65" i="20"/>
  <c r="H65" i="20" s="1"/>
  <c r="E69" i="20"/>
  <c r="H69" i="20" s="1"/>
  <c r="E63" i="20"/>
  <c r="H63" i="20" s="1"/>
  <c r="E67" i="20"/>
  <c r="H67" i="20" s="1"/>
  <c r="E71" i="20"/>
  <c r="H71" i="20" s="1"/>
  <c r="E62" i="20"/>
  <c r="H62" i="20" s="1"/>
  <c r="E61" i="20"/>
  <c r="H61" i="20" s="1"/>
  <c r="E59" i="20"/>
  <c r="H59" i="20" s="1"/>
  <c r="E60" i="20"/>
  <c r="H60" i="20" s="1"/>
  <c r="E58" i="20"/>
  <c r="H58" i="20" s="1"/>
  <c r="E70" i="20"/>
  <c r="H70" i="20" s="1"/>
  <c r="E68" i="20"/>
  <c r="H68" i="20" s="1"/>
  <c r="E66" i="20"/>
  <c r="H66" i="20" s="1"/>
  <c r="E72" i="20"/>
  <c r="H72" i="20" s="1"/>
  <c r="E64" i="20"/>
  <c r="H64" i="20" s="1"/>
  <c r="Q92" i="20"/>
  <c r="E173" i="20"/>
  <c r="H173" i="20" s="1"/>
  <c r="E169" i="20"/>
  <c r="H169" i="20" s="1"/>
  <c r="E164" i="20"/>
  <c r="H164" i="20" s="1"/>
  <c r="E166" i="20"/>
  <c r="H166" i="20" s="1"/>
  <c r="E171" i="20"/>
  <c r="H171" i="20" s="1"/>
  <c r="E165" i="20"/>
  <c r="H165" i="20" s="1"/>
  <c r="E177" i="20"/>
  <c r="H177" i="20" s="1"/>
  <c r="E163" i="20"/>
  <c r="H163" i="20" s="1"/>
  <c r="E175" i="20"/>
  <c r="H175" i="20" s="1"/>
  <c r="E168" i="20"/>
  <c r="H168" i="20" s="1"/>
  <c r="E174" i="20"/>
  <c r="H174" i="20" s="1"/>
  <c r="E167" i="20"/>
  <c r="H167" i="20" s="1"/>
  <c r="E172" i="20"/>
  <c r="H172" i="20" s="1"/>
  <c r="E176" i="20"/>
  <c r="H176" i="20" s="1"/>
  <c r="E170" i="20"/>
  <c r="H170" i="20" s="1"/>
  <c r="E79" i="20"/>
  <c r="H79" i="20" s="1"/>
  <c r="E84" i="20"/>
  <c r="H84" i="20" s="1"/>
  <c r="E80" i="20"/>
  <c r="H80" i="20" s="1"/>
  <c r="E75" i="20"/>
  <c r="H75" i="20" s="1"/>
  <c r="E87" i="20"/>
  <c r="H87" i="20" s="1"/>
  <c r="E73" i="20"/>
  <c r="H73" i="20" s="1"/>
  <c r="E81" i="20"/>
  <c r="H81" i="20" s="1"/>
  <c r="E85" i="20"/>
  <c r="H85" i="20" s="1"/>
  <c r="E76" i="20"/>
  <c r="H76" i="20" s="1"/>
  <c r="E77" i="20"/>
  <c r="H77" i="20" s="1"/>
  <c r="E86" i="20"/>
  <c r="H86" i="20" s="1"/>
  <c r="E82" i="20"/>
  <c r="H82" i="20" s="1"/>
  <c r="E74" i="20"/>
  <c r="H74" i="20" s="1"/>
  <c r="E83" i="20"/>
  <c r="H83" i="20" s="1"/>
  <c r="Q62" i="20"/>
  <c r="E78" i="20"/>
  <c r="H78" i="20" s="1"/>
  <c r="E53" i="20"/>
  <c r="H53" i="20" s="1"/>
  <c r="E44" i="20"/>
  <c r="H44" i="20" s="1"/>
  <c r="E47" i="20"/>
  <c r="H47" i="20" s="1"/>
  <c r="E51" i="20"/>
  <c r="H51" i="20" s="1"/>
  <c r="E54" i="20"/>
  <c r="H54" i="20" s="1"/>
  <c r="E52" i="20"/>
  <c r="H52" i="20" s="1"/>
  <c r="E46" i="20"/>
  <c r="H46" i="20" s="1"/>
  <c r="E50" i="20"/>
  <c r="H50" i="20" s="1"/>
  <c r="E55" i="20"/>
  <c r="H55" i="20" s="1"/>
  <c r="Q52" i="20"/>
  <c r="E49" i="20"/>
  <c r="H49" i="20" s="1"/>
  <c r="E56" i="20"/>
  <c r="H56" i="20" s="1"/>
  <c r="E57" i="20"/>
  <c r="H57" i="20" s="1"/>
  <c r="E45" i="20"/>
  <c r="H45" i="20" s="1"/>
  <c r="E43" i="20"/>
  <c r="H43" i="20" s="1"/>
  <c r="E48" i="20"/>
  <c r="H48" i="20" s="1"/>
  <c r="R57" i="20" l="1"/>
  <c r="R27" i="20"/>
  <c r="R42" i="20"/>
  <c r="Q113" i="20"/>
  <c r="E178" i="20"/>
  <c r="C6" i="20"/>
  <c r="H178" i="20" l="1"/>
  <c r="M19" i="25" l="1"/>
  <c r="Q19" i="25" s="1"/>
  <c r="M38" i="25"/>
  <c r="Q38" i="25" s="1"/>
  <c r="M39" i="25"/>
  <c r="Q39" i="25" s="1"/>
  <c r="M40" i="25"/>
  <c r="Q40" i="25" s="1"/>
  <c r="M34" i="25" l="1"/>
  <c r="Q34" i="25" s="1"/>
  <c r="F2" i="20" l="1"/>
  <c r="B1" i="20" s="1"/>
  <c r="B7" i="20" s="1"/>
  <c r="C103" i="17" l="1"/>
  <c r="AD12" i="17"/>
  <c r="AD4" i="17"/>
  <c r="AD11" i="17"/>
  <c r="AD3" i="17"/>
  <c r="C102" i="17"/>
  <c r="AD5" i="17"/>
  <c r="C104" i="17"/>
  <c r="AD13" i="17"/>
  <c r="AD2" i="17"/>
  <c r="C101" i="17"/>
  <c r="AD10" i="17"/>
  <c r="J17" i="25" l="1"/>
  <c r="Q17" i="25" s="1"/>
  <c r="AJ46" i="19" l="1"/>
  <c r="AK49" i="19" l="1"/>
  <c r="AF46" i="19" l="1"/>
  <c r="AG46" i="19" l="1"/>
  <c r="B292" i="33" l="1"/>
  <c r="B293" i="33" l="1"/>
  <c r="B294" i="33" l="1"/>
  <c r="T13" i="19" l="1"/>
  <c r="Q13" i="19"/>
  <c r="R13" i="19"/>
  <c r="S13" i="19"/>
  <c r="V14" i="19" l="1"/>
  <c r="W14" i="19" l="1"/>
  <c r="U14" i="19" l="1"/>
  <c r="X14" i="19"/>
  <c r="C3" i="32" l="1"/>
  <c r="D3" i="32" s="1"/>
  <c r="Q13" i="32" l="1"/>
  <c r="Q23" i="32" s="1"/>
  <c r="S13" i="32"/>
  <c r="S23" i="32" s="1"/>
  <c r="G13" i="32"/>
  <c r="G23" i="32" s="1"/>
  <c r="D13" i="32"/>
  <c r="D23" i="32" s="1"/>
  <c r="O13" i="32"/>
  <c r="O23" i="32" s="1"/>
  <c r="L13" i="32"/>
  <c r="L23" i="32" s="1"/>
  <c r="H13" i="32"/>
  <c r="H23" i="32" s="1"/>
  <c r="T13" i="32"/>
  <c r="T23" i="32" s="1"/>
  <c r="P13" i="32"/>
  <c r="P23" i="32" s="1"/>
  <c r="C13" i="32"/>
  <c r="C23" i="32" s="1"/>
  <c r="J13" i="32"/>
  <c r="J23" i="32" s="1"/>
  <c r="R13" i="32"/>
  <c r="R23" i="32" s="1"/>
  <c r="E13" i="32"/>
  <c r="E23" i="32" s="1"/>
  <c r="I13" i="32"/>
  <c r="I23" i="32" s="1"/>
  <c r="M13" i="32"/>
  <c r="M23" i="32" s="1"/>
  <c r="F13" i="32"/>
  <c r="F23" i="32" s="1"/>
  <c r="K13" i="32"/>
  <c r="K23" i="32" s="1"/>
  <c r="N13" i="32"/>
  <c r="N23" i="32" s="1"/>
  <c r="AC41" i="34" l="1"/>
  <c r="AH41" i="34" s="1"/>
  <c r="AC49" i="34"/>
  <c r="AH49" i="34" s="1"/>
  <c r="AC57" i="34"/>
  <c r="AH57" i="34" s="1"/>
  <c r="AC65" i="34"/>
  <c r="AH65" i="34" s="1"/>
  <c r="AC73" i="34"/>
  <c r="AH73" i="34" s="1"/>
  <c r="AC81" i="34"/>
  <c r="AH81" i="34" s="1"/>
  <c r="AC51" i="34"/>
  <c r="AH51" i="34" s="1"/>
  <c r="AC67" i="34"/>
  <c r="AH67" i="34" s="1"/>
  <c r="AC39" i="34"/>
  <c r="AH39" i="34" s="1"/>
  <c r="AC71" i="34"/>
  <c r="AH71" i="34" s="1"/>
  <c r="AC40" i="34"/>
  <c r="AH40" i="34" s="1"/>
  <c r="AC72" i="34"/>
  <c r="AH72" i="34" s="1"/>
  <c r="AC42" i="34"/>
  <c r="AH42" i="34" s="1"/>
  <c r="AC50" i="34"/>
  <c r="AH50" i="34" s="1"/>
  <c r="AC58" i="34"/>
  <c r="AH58" i="34" s="1"/>
  <c r="AC66" i="34"/>
  <c r="AH66" i="34" s="1"/>
  <c r="AC74" i="34"/>
  <c r="AH74" i="34" s="1"/>
  <c r="AC43" i="34"/>
  <c r="AH43" i="34" s="1"/>
  <c r="AC59" i="34"/>
  <c r="AH59" i="34" s="1"/>
  <c r="AC75" i="34"/>
  <c r="AH75" i="34" s="1"/>
  <c r="AC63" i="34"/>
  <c r="AH63" i="34" s="1"/>
  <c r="AC56" i="34"/>
  <c r="AH56" i="34" s="1"/>
  <c r="AC36" i="34"/>
  <c r="AH36" i="34" s="1"/>
  <c r="AC44" i="34"/>
  <c r="AH44" i="34" s="1"/>
  <c r="AC52" i="34"/>
  <c r="AH52" i="34" s="1"/>
  <c r="AC60" i="34"/>
  <c r="AH60" i="34" s="1"/>
  <c r="AC68" i="34"/>
  <c r="AH68" i="34" s="1"/>
  <c r="AC76" i="34"/>
  <c r="AH76" i="34" s="1"/>
  <c r="AC46" i="34"/>
  <c r="AH46" i="34" s="1"/>
  <c r="AC62" i="34"/>
  <c r="AH62" i="34" s="1"/>
  <c r="AC78" i="34"/>
  <c r="AH78" i="34" s="1"/>
  <c r="AC55" i="34"/>
  <c r="AH55" i="34" s="1"/>
  <c r="AC79" i="34"/>
  <c r="AH79" i="34" s="1"/>
  <c r="AC64" i="34"/>
  <c r="AH64" i="34" s="1"/>
  <c r="AC37" i="34"/>
  <c r="AH37" i="34" s="1"/>
  <c r="AC45" i="34"/>
  <c r="AH45" i="34" s="1"/>
  <c r="AC53" i="34"/>
  <c r="AH53" i="34" s="1"/>
  <c r="AC61" i="34"/>
  <c r="AH61" i="34" s="1"/>
  <c r="AC69" i="34"/>
  <c r="AH69" i="34" s="1"/>
  <c r="AC77" i="34"/>
  <c r="AH77" i="34" s="1"/>
  <c r="AC38" i="34"/>
  <c r="AH38" i="34" s="1"/>
  <c r="AC54" i="34"/>
  <c r="AH54" i="34" s="1"/>
  <c r="AC70" i="34"/>
  <c r="AH70" i="34" s="1"/>
  <c r="AC47" i="34"/>
  <c r="AH47" i="34" s="1"/>
  <c r="AC48" i="34"/>
  <c r="AH48" i="34" s="1"/>
  <c r="AC80" i="34"/>
  <c r="AH80" i="34" s="1"/>
  <c r="I3" i="33" l="1"/>
  <c r="I2" i="33"/>
  <c r="I22" i="33" l="1"/>
  <c r="I6" i="33"/>
  <c r="I51" i="33"/>
  <c r="I7" i="33"/>
  <c r="I82" i="33"/>
  <c r="I41" i="33"/>
  <c r="I88" i="33"/>
  <c r="I103" i="33"/>
  <c r="I25" i="33"/>
  <c r="I16" i="33"/>
  <c r="I20" i="33"/>
  <c r="I97" i="33"/>
  <c r="I96" i="33"/>
  <c r="I83" i="33"/>
  <c r="I50" i="33"/>
  <c r="I93" i="33"/>
  <c r="I68" i="33"/>
  <c r="I40" i="33"/>
  <c r="I75" i="33"/>
  <c r="I72" i="33"/>
  <c r="I95" i="33"/>
  <c r="I31" i="33"/>
  <c r="I15" i="33"/>
  <c r="I17" i="33"/>
  <c r="I92" i="33"/>
  <c r="I21" i="33"/>
  <c r="I47" i="33"/>
  <c r="I56" i="33"/>
  <c r="I34" i="33"/>
  <c r="I30" i="33"/>
  <c r="I94" i="33"/>
  <c r="I54" i="33"/>
  <c r="I73" i="33"/>
  <c r="I63" i="33"/>
  <c r="I32" i="33"/>
  <c r="I86" i="33"/>
  <c r="I18" i="33"/>
  <c r="I58" i="33"/>
  <c r="I33" i="33"/>
  <c r="I98" i="33"/>
  <c r="I79" i="33"/>
  <c r="I42" i="33"/>
  <c r="I61" i="33"/>
  <c r="I48" i="33"/>
  <c r="I37" i="33"/>
  <c r="I52" i="33"/>
  <c r="I89" i="33"/>
  <c r="I44" i="33"/>
  <c r="I91" i="33"/>
  <c r="I66" i="33"/>
  <c r="I102" i="33"/>
  <c r="I28" i="33"/>
  <c r="I23" i="33"/>
  <c r="I81" i="33"/>
  <c r="I13" i="33"/>
  <c r="I53" i="33"/>
  <c r="I55" i="33"/>
  <c r="I27" i="33"/>
  <c r="I29" i="33"/>
  <c r="I8" i="33"/>
  <c r="I87" i="33"/>
  <c r="I78" i="33"/>
  <c r="I80" i="33"/>
  <c r="I4" i="33"/>
  <c r="I14" i="33"/>
  <c r="I71" i="33"/>
  <c r="I9" i="33"/>
  <c r="I38" i="33"/>
  <c r="I45" i="33"/>
  <c r="I101" i="33"/>
  <c r="I90" i="33"/>
  <c r="I62" i="33"/>
  <c r="I35" i="33"/>
  <c r="I59" i="33"/>
  <c r="I10" i="33"/>
  <c r="I60" i="33"/>
  <c r="I70" i="33"/>
  <c r="I49" i="33"/>
  <c r="I64" i="33"/>
  <c r="I19" i="33"/>
  <c r="I57" i="33"/>
  <c r="I76" i="33"/>
  <c r="I26" i="33"/>
  <c r="I77" i="33"/>
  <c r="I67" i="33"/>
  <c r="I100" i="33"/>
  <c r="I24" i="33"/>
  <c r="I39" i="33"/>
  <c r="I74" i="33"/>
  <c r="I69" i="33"/>
  <c r="I46" i="33"/>
  <c r="I99" i="33"/>
  <c r="I5" i="33"/>
  <c r="I12" i="33"/>
  <c r="I84" i="33"/>
  <c r="I85" i="33"/>
  <c r="I65" i="33"/>
  <c r="I43" i="33"/>
  <c r="I36" i="33"/>
  <c r="I11" i="33"/>
  <c r="J4" i="33" l="1"/>
  <c r="J6" i="33"/>
  <c r="J7" i="33"/>
  <c r="J19" i="33"/>
  <c r="J62" i="33"/>
  <c r="J53" i="33"/>
  <c r="J44" i="33"/>
  <c r="J98" i="33"/>
  <c r="J54" i="33"/>
  <c r="J17" i="33"/>
  <c r="J93" i="33"/>
  <c r="J103" i="33"/>
  <c r="J24" i="33"/>
  <c r="J15" i="33"/>
  <c r="J100" i="33"/>
  <c r="J49" i="33"/>
  <c r="J101" i="33"/>
  <c r="J78" i="33"/>
  <c r="J81" i="33"/>
  <c r="J52" i="33"/>
  <c r="J58" i="33"/>
  <c r="J30" i="33"/>
  <c r="J31" i="33"/>
  <c r="J83" i="33"/>
  <c r="J41" i="33"/>
  <c r="J64" i="33"/>
  <c r="J33" i="33"/>
  <c r="J5" i="33"/>
  <c r="J67" i="33"/>
  <c r="J70" i="33"/>
  <c r="J45" i="33"/>
  <c r="J87" i="33"/>
  <c r="J23" i="33"/>
  <c r="J37" i="33"/>
  <c r="J18" i="33"/>
  <c r="J34" i="33"/>
  <c r="J95" i="33"/>
  <c r="J96" i="33"/>
  <c r="J82" i="33"/>
  <c r="J39" i="33"/>
  <c r="J84" i="33"/>
  <c r="J13" i="33"/>
  <c r="J89" i="33"/>
  <c r="J11" i="33"/>
  <c r="J38" i="33"/>
  <c r="J8" i="33"/>
  <c r="J28" i="33"/>
  <c r="J48" i="33"/>
  <c r="J86" i="33"/>
  <c r="J56" i="33"/>
  <c r="J72" i="33"/>
  <c r="J97" i="33"/>
  <c r="J85" i="33"/>
  <c r="J88" i="33"/>
  <c r="J77" i="33"/>
  <c r="J36" i="33"/>
  <c r="J46" i="33"/>
  <c r="J26" i="33"/>
  <c r="J10" i="33"/>
  <c r="J9" i="33"/>
  <c r="J29" i="33"/>
  <c r="J102" i="33"/>
  <c r="J61" i="33"/>
  <c r="J32" i="33"/>
  <c r="J47" i="33"/>
  <c r="J75" i="33"/>
  <c r="J20" i="33"/>
  <c r="J51" i="33"/>
  <c r="J90" i="33"/>
  <c r="J50" i="33"/>
  <c r="J60" i="33"/>
  <c r="J43" i="33"/>
  <c r="J69" i="33"/>
  <c r="J76" i="33"/>
  <c r="J59" i="33"/>
  <c r="J71" i="33"/>
  <c r="J27" i="33"/>
  <c r="J66" i="33"/>
  <c r="J42" i="33"/>
  <c r="J63" i="33"/>
  <c r="J21" i="33"/>
  <c r="J40" i="33"/>
  <c r="J16" i="33"/>
  <c r="J80" i="33"/>
  <c r="J94" i="33"/>
  <c r="J12" i="33"/>
  <c r="J99" i="33"/>
  <c r="J65" i="33"/>
  <c r="J74" i="33"/>
  <c r="J57" i="33"/>
  <c r="J35" i="33"/>
  <c r="J14" i="33"/>
  <c r="J55" i="33"/>
  <c r="J91" i="33"/>
  <c r="J79" i="33"/>
  <c r="J73" i="33"/>
  <c r="J92" i="33"/>
  <c r="J68" i="33"/>
  <c r="J25" i="33"/>
  <c r="J22" i="33"/>
  <c r="AI49" i="19" l="1"/>
  <c r="BI45" i="17" l="1"/>
  <c r="BI44" i="17"/>
  <c r="BF44" i="17" l="1"/>
  <c r="AJ47" i="19" l="1"/>
  <c r="AJ48" i="19"/>
  <c r="AM44" i="17"/>
  <c r="AM43" i="17"/>
  <c r="BF46" i="17"/>
  <c r="BF43" i="17"/>
  <c r="AI44" i="17" l="1"/>
  <c r="AP44" i="17" l="1"/>
  <c r="AP45" i="17"/>
  <c r="BG44" i="17" l="1"/>
  <c r="AK47" i="19" l="1"/>
  <c r="AK48" i="19"/>
  <c r="BG43" i="17"/>
  <c r="K28" i="32"/>
  <c r="AN44" i="17"/>
  <c r="AN43" i="17"/>
  <c r="R52" i="30" l="1"/>
  <c r="AL48" i="19" l="1"/>
  <c r="L29" i="25" l="1"/>
  <c r="Q29" i="25" s="1"/>
  <c r="L28" i="25"/>
  <c r="Q28" i="25" s="1"/>
  <c r="L25" i="25" l="1"/>
  <c r="L27" i="25"/>
  <c r="Q27" i="25" s="1"/>
  <c r="AM47" i="19" l="1"/>
  <c r="AM48" i="19"/>
  <c r="L26" i="25"/>
  <c r="L31" i="25"/>
  <c r="Q31" i="25" s="1"/>
  <c r="AL47" i="19"/>
  <c r="AI43" i="17" l="1"/>
  <c r="S8" i="31" l="1"/>
  <c r="O8" i="31"/>
  <c r="Q8" i="31"/>
  <c r="A107" i="24" l="1"/>
  <c r="B107" i="24"/>
  <c r="A108" i="24"/>
  <c r="B108" i="24"/>
  <c r="A109" i="24"/>
  <c r="B109" i="24"/>
  <c r="A110" i="24"/>
  <c r="B110" i="24"/>
  <c r="A111" i="24"/>
  <c r="B111" i="24"/>
  <c r="A112" i="24"/>
  <c r="B112" i="24"/>
  <c r="A113" i="24"/>
  <c r="B113" i="24"/>
  <c r="A114" i="24"/>
  <c r="B114" i="24"/>
  <c r="A115" i="24"/>
  <c r="B115" i="24"/>
  <c r="A116" i="24"/>
  <c r="B116" i="24"/>
  <c r="A117" i="24"/>
  <c r="B117" i="24"/>
  <c r="A118" i="24"/>
  <c r="B118" i="24"/>
  <c r="A3" i="24"/>
  <c r="B3" i="24"/>
  <c r="A4" i="24"/>
  <c r="B4" i="24"/>
  <c r="A5" i="24"/>
  <c r="B5" i="24"/>
  <c r="A6" i="24"/>
  <c r="B6" i="24"/>
  <c r="A7" i="24"/>
  <c r="B7" i="24"/>
  <c r="A8" i="24"/>
  <c r="B8" i="24"/>
  <c r="A9" i="24"/>
  <c r="B9" i="24"/>
  <c r="A10" i="24"/>
  <c r="B10" i="24"/>
  <c r="A11" i="24"/>
  <c r="B11" i="24"/>
  <c r="A12" i="24"/>
  <c r="B12" i="24"/>
  <c r="A13" i="24"/>
  <c r="B13" i="24"/>
  <c r="A14" i="24"/>
  <c r="B14" i="24"/>
  <c r="A15" i="24"/>
  <c r="B15" i="24"/>
  <c r="A16" i="24"/>
  <c r="B16" i="24"/>
  <c r="A17" i="24"/>
  <c r="B17" i="24"/>
  <c r="A18" i="24"/>
  <c r="B18" i="24"/>
  <c r="A19" i="24"/>
  <c r="B19" i="24"/>
  <c r="A20" i="24"/>
  <c r="B20" i="24"/>
  <c r="A21" i="24"/>
  <c r="B21" i="24"/>
  <c r="A22" i="24"/>
  <c r="B22" i="24"/>
  <c r="A23" i="24"/>
  <c r="B23" i="24"/>
  <c r="A24" i="24"/>
  <c r="B24" i="24"/>
  <c r="A25" i="24"/>
  <c r="B25" i="24"/>
  <c r="A26" i="24"/>
  <c r="B26" i="24"/>
  <c r="A27" i="24"/>
  <c r="B27" i="24"/>
  <c r="A28" i="24"/>
  <c r="B28" i="24"/>
  <c r="A29" i="24"/>
  <c r="B29" i="24"/>
  <c r="A30" i="24"/>
  <c r="B30" i="24"/>
  <c r="A31" i="24"/>
  <c r="B31" i="24"/>
  <c r="A32" i="24"/>
  <c r="B32" i="24"/>
  <c r="A33" i="24"/>
  <c r="B33" i="24"/>
  <c r="A34" i="24"/>
  <c r="B34" i="24"/>
  <c r="A35" i="24"/>
  <c r="B35" i="24"/>
  <c r="A36" i="24"/>
  <c r="B36" i="24"/>
  <c r="A37" i="24"/>
  <c r="B37" i="24"/>
  <c r="A38" i="24"/>
  <c r="B38" i="24"/>
  <c r="A39" i="24"/>
  <c r="B39" i="24"/>
  <c r="A40" i="24"/>
  <c r="B40" i="24"/>
  <c r="A41" i="24"/>
  <c r="B41" i="24"/>
  <c r="A42" i="24"/>
  <c r="B42" i="24"/>
  <c r="A43" i="24"/>
  <c r="B43" i="24"/>
  <c r="A44" i="24"/>
  <c r="B44" i="24"/>
  <c r="A45" i="24"/>
  <c r="B45" i="24"/>
  <c r="A46" i="24"/>
  <c r="B46" i="24"/>
  <c r="A47" i="24"/>
  <c r="B47" i="24"/>
  <c r="A48" i="24"/>
  <c r="B48" i="24"/>
  <c r="A49" i="24"/>
  <c r="B49" i="24"/>
  <c r="A50" i="24"/>
  <c r="B50" i="24"/>
  <c r="A51" i="24"/>
  <c r="B51" i="24"/>
  <c r="A52" i="24"/>
  <c r="B52" i="24"/>
  <c r="A53" i="24"/>
  <c r="B53" i="24"/>
  <c r="A54" i="24"/>
  <c r="B54" i="24"/>
  <c r="A55" i="24"/>
  <c r="B55" i="24"/>
  <c r="A56" i="24"/>
  <c r="B56" i="24"/>
  <c r="A57" i="24"/>
  <c r="B57" i="24"/>
  <c r="A58" i="24"/>
  <c r="B58" i="24"/>
  <c r="A59" i="24"/>
  <c r="B59" i="24"/>
  <c r="A60" i="24"/>
  <c r="B60" i="24"/>
  <c r="A61" i="24"/>
  <c r="B61" i="24"/>
  <c r="A62" i="24"/>
  <c r="B62" i="24"/>
  <c r="A63" i="24"/>
  <c r="B63" i="24"/>
  <c r="A64" i="24"/>
  <c r="B64" i="24"/>
  <c r="A65" i="24"/>
  <c r="B65" i="24"/>
  <c r="A66" i="24"/>
  <c r="B66" i="24"/>
  <c r="A67" i="24"/>
  <c r="B67" i="24"/>
  <c r="A68" i="24"/>
  <c r="B68" i="24"/>
  <c r="A69" i="24"/>
  <c r="B69" i="24"/>
  <c r="A70" i="24"/>
  <c r="B70" i="24"/>
  <c r="A71" i="24"/>
  <c r="B71" i="24"/>
  <c r="A72" i="24"/>
  <c r="B72" i="24"/>
  <c r="A73" i="24"/>
  <c r="B73" i="24"/>
  <c r="A74" i="24"/>
  <c r="B74" i="24"/>
  <c r="A75" i="24"/>
  <c r="B75" i="24"/>
  <c r="A76" i="24"/>
  <c r="B76" i="24"/>
  <c r="A77" i="24"/>
  <c r="B77" i="24"/>
  <c r="A78" i="24"/>
  <c r="B78" i="24"/>
  <c r="A79" i="24"/>
  <c r="B79" i="24"/>
  <c r="A80" i="24"/>
  <c r="B80" i="24"/>
  <c r="A81" i="24"/>
  <c r="B81" i="24"/>
  <c r="A82" i="24"/>
  <c r="B82" i="24"/>
  <c r="A83" i="24"/>
  <c r="B83" i="24"/>
  <c r="A84" i="24"/>
  <c r="B84" i="24"/>
  <c r="A85" i="24"/>
  <c r="B85" i="24"/>
  <c r="A86" i="24"/>
  <c r="B86" i="24"/>
  <c r="A87" i="24"/>
  <c r="B87" i="24"/>
  <c r="A88" i="24"/>
  <c r="B88" i="24"/>
  <c r="A89" i="24"/>
  <c r="B89" i="24"/>
  <c r="A90" i="24"/>
  <c r="B90" i="24"/>
  <c r="A91" i="24"/>
  <c r="B91" i="24"/>
  <c r="A92" i="24"/>
  <c r="B92" i="24"/>
  <c r="A93" i="24"/>
  <c r="B93" i="24"/>
  <c r="A94" i="24"/>
  <c r="B94" i="24"/>
  <c r="A95" i="24"/>
  <c r="B95" i="24"/>
  <c r="A96" i="24"/>
  <c r="B96" i="24"/>
  <c r="A97" i="24"/>
  <c r="B97" i="24"/>
  <c r="A98" i="24"/>
  <c r="B98" i="24"/>
  <c r="A99" i="24"/>
  <c r="B99" i="24"/>
  <c r="A100" i="24"/>
  <c r="B100" i="24"/>
  <c r="A101" i="24"/>
  <c r="B101" i="24"/>
  <c r="A102" i="24"/>
  <c r="B102" i="24"/>
  <c r="A103" i="24"/>
  <c r="B103" i="24"/>
  <c r="A104" i="24"/>
  <c r="B104" i="24"/>
  <c r="A105" i="24"/>
  <c r="B105" i="24"/>
  <c r="A106" i="24"/>
  <c r="B106" i="24"/>
  <c r="B2" i="24"/>
  <c r="C9" i="19" l="1"/>
  <c r="D9" i="19" l="1"/>
  <c r="D13" i="19"/>
  <c r="C13" i="19"/>
  <c r="F13" i="19"/>
  <c r="E13" i="19"/>
  <c r="B18" i="28" l="1"/>
  <c r="B19" i="28"/>
  <c r="B20" i="28"/>
  <c r="B3" i="28"/>
  <c r="B4" i="28"/>
  <c r="B5" i="28"/>
  <c r="B6" i="28"/>
  <c r="B9" i="28"/>
  <c r="B10" i="28"/>
  <c r="B12" i="28"/>
  <c r="B13" i="28"/>
  <c r="B17" i="28"/>
  <c r="A20" i="28" l="1"/>
  <c r="A19" i="28"/>
  <c r="A18" i="28"/>
  <c r="A2" i="24" l="1"/>
  <c r="A15" i="28" l="1"/>
  <c r="A3" i="28"/>
  <c r="A8" i="28"/>
  <c r="A16" i="28"/>
  <c r="A9" i="28"/>
  <c r="A17" i="28"/>
  <c r="A4" i="28"/>
  <c r="A5" i="28"/>
  <c r="A13" i="28"/>
  <c r="A6" i="28"/>
  <c r="A2" i="28"/>
  <c r="A14" i="28" l="1"/>
  <c r="A12" i="28"/>
  <c r="A10" i="28"/>
  <c r="A7" i="28"/>
  <c r="A11" i="28"/>
  <c r="C108" i="24" l="1"/>
  <c r="C108" i="30"/>
  <c r="C115" i="24"/>
  <c r="C115" i="30"/>
  <c r="C107" i="24"/>
  <c r="C107" i="30"/>
  <c r="C106" i="24"/>
  <c r="C106" i="30"/>
  <c r="C113" i="24"/>
  <c r="C113" i="30"/>
  <c r="C111" i="24"/>
  <c r="C111" i="30"/>
  <c r="C116" i="24"/>
  <c r="C116" i="30"/>
  <c r="C118" i="24"/>
  <c r="C118" i="30"/>
  <c r="C110" i="24"/>
  <c r="C110" i="30"/>
  <c r="C114" i="24"/>
  <c r="C114" i="30"/>
  <c r="C112" i="30"/>
  <c r="C112" i="24"/>
  <c r="C117" i="24"/>
  <c r="C117" i="30"/>
  <c r="C109" i="24"/>
  <c r="C109" i="30"/>
  <c r="C100" i="24"/>
  <c r="C100" i="30"/>
  <c r="C99" i="24"/>
  <c r="C99" i="30"/>
  <c r="C105" i="30"/>
  <c r="C105" i="24"/>
  <c r="C97" i="24"/>
  <c r="C97" i="30"/>
  <c r="C104" i="24"/>
  <c r="C104" i="30"/>
  <c r="C103" i="24"/>
  <c r="C103" i="30"/>
  <c r="C98" i="24"/>
  <c r="C98" i="30"/>
  <c r="C102" i="30"/>
  <c r="C102" i="24"/>
  <c r="C101" i="24"/>
  <c r="C101" i="30"/>
  <c r="C92" i="30"/>
  <c r="C92" i="24"/>
  <c r="C89" i="24"/>
  <c r="C89" i="30"/>
  <c r="C96" i="24"/>
  <c r="C96" i="30"/>
  <c r="C88" i="30"/>
  <c r="C88" i="24"/>
  <c r="C91" i="24"/>
  <c r="C91" i="30"/>
  <c r="C87" i="30"/>
  <c r="C87" i="24"/>
  <c r="C86" i="30"/>
  <c r="C86" i="24"/>
  <c r="C90" i="30"/>
  <c r="C90" i="24"/>
  <c r="C95" i="30"/>
  <c r="C95" i="24"/>
  <c r="C94" i="24"/>
  <c r="C94" i="30"/>
  <c r="C93" i="30"/>
  <c r="C93" i="24"/>
  <c r="C85" i="24"/>
  <c r="C85" i="30"/>
  <c r="C82" i="30"/>
  <c r="C82" i="24"/>
  <c r="C81" i="24"/>
  <c r="C81" i="30"/>
  <c r="C84" i="24"/>
  <c r="C84" i="30"/>
  <c r="C79" i="24"/>
  <c r="C79" i="30"/>
  <c r="C83" i="24"/>
  <c r="C83" i="30"/>
  <c r="C80" i="24"/>
  <c r="C80" i="30"/>
  <c r="C78" i="24"/>
  <c r="C78" i="30"/>
  <c r="C76" i="24"/>
  <c r="C76" i="30"/>
  <c r="C77" i="30"/>
  <c r="C77" i="24"/>
  <c r="C75" i="24"/>
  <c r="C75" i="30"/>
  <c r="C67" i="24"/>
  <c r="C67" i="30"/>
  <c r="C74" i="30"/>
  <c r="C74" i="24"/>
  <c r="C66" i="30"/>
  <c r="C66" i="24"/>
  <c r="C73" i="24"/>
  <c r="C73" i="30"/>
  <c r="C70" i="30"/>
  <c r="C70" i="24"/>
  <c r="C68" i="24"/>
  <c r="C68" i="30"/>
  <c r="C72" i="30"/>
  <c r="C72" i="24"/>
  <c r="C71" i="24"/>
  <c r="C71" i="30"/>
  <c r="C69" i="24"/>
  <c r="C69" i="30"/>
  <c r="C65" i="30"/>
  <c r="C65" i="24"/>
  <c r="G118" i="24" l="1"/>
  <c r="E118" i="30" s="1"/>
  <c r="F118" i="24"/>
  <c r="F112" i="24"/>
  <c r="G112" i="24"/>
  <c r="E112" i="30" s="1"/>
  <c r="G107" i="24"/>
  <c r="E107" i="30" s="1"/>
  <c r="F107" i="24"/>
  <c r="G114" i="24"/>
  <c r="E114" i="30" s="1"/>
  <c r="F114" i="24"/>
  <c r="G111" i="24"/>
  <c r="E111" i="30" s="1"/>
  <c r="F111" i="24"/>
  <c r="F115" i="24"/>
  <c r="G115" i="24"/>
  <c r="E115" i="30" s="1"/>
  <c r="G106" i="24"/>
  <c r="E106" i="30" s="1"/>
  <c r="F106" i="24"/>
  <c r="F116" i="24"/>
  <c r="G116" i="24"/>
  <c r="E116" i="30" s="1"/>
  <c r="G117" i="24"/>
  <c r="E117" i="30" s="1"/>
  <c r="F117" i="24"/>
  <c r="F109" i="24"/>
  <c r="G109" i="24"/>
  <c r="E109" i="30" s="1"/>
  <c r="F110" i="24"/>
  <c r="G110" i="24"/>
  <c r="E110" i="30" s="1"/>
  <c r="F113" i="24"/>
  <c r="G113" i="24"/>
  <c r="E113" i="30" s="1"/>
  <c r="F108" i="24"/>
  <c r="G108" i="24"/>
  <c r="E108" i="30" s="1"/>
  <c r="F105" i="24"/>
  <c r="G105" i="24"/>
  <c r="E105" i="30" s="1"/>
  <c r="F98" i="24"/>
  <c r="G98" i="24"/>
  <c r="E98" i="30" s="1"/>
  <c r="F103" i="24"/>
  <c r="G103" i="24"/>
  <c r="E103" i="30" s="1"/>
  <c r="F99" i="24"/>
  <c r="G99" i="24"/>
  <c r="E99" i="30" s="1"/>
  <c r="G97" i="24"/>
  <c r="E97" i="30" s="1"/>
  <c r="F97" i="24"/>
  <c r="F102" i="24"/>
  <c r="G102" i="24"/>
  <c r="E102" i="30" s="1"/>
  <c r="G101" i="24"/>
  <c r="E101" i="30" s="1"/>
  <c r="F101" i="24"/>
  <c r="G104" i="24"/>
  <c r="E104" i="30" s="1"/>
  <c r="F104" i="24"/>
  <c r="F100" i="24"/>
  <c r="G100" i="24"/>
  <c r="E100" i="30" s="1"/>
  <c r="G86" i="24"/>
  <c r="E86" i="30" s="1"/>
  <c r="F86" i="24"/>
  <c r="G94" i="24"/>
  <c r="E94" i="30" s="1"/>
  <c r="F94" i="24"/>
  <c r="F90" i="24"/>
  <c r="G90" i="24"/>
  <c r="E90" i="30" s="1"/>
  <c r="F88" i="24"/>
  <c r="G88" i="24"/>
  <c r="E88" i="30" s="1"/>
  <c r="G93" i="24"/>
  <c r="E93" i="30" s="1"/>
  <c r="F93" i="24"/>
  <c r="G96" i="24"/>
  <c r="E96" i="30" s="1"/>
  <c r="F96" i="24"/>
  <c r="G87" i="24"/>
  <c r="E87" i="30" s="1"/>
  <c r="F87" i="24"/>
  <c r="G89" i="24"/>
  <c r="E89" i="30" s="1"/>
  <c r="F89" i="24"/>
  <c r="G95" i="24"/>
  <c r="E95" i="30" s="1"/>
  <c r="F95" i="24"/>
  <c r="G92" i="24"/>
  <c r="E92" i="30" s="1"/>
  <c r="F92" i="24"/>
  <c r="F91" i="24"/>
  <c r="G91" i="24"/>
  <c r="E91" i="30" s="1"/>
  <c r="F85" i="24"/>
  <c r="G85" i="24"/>
  <c r="E85" i="30" s="1"/>
  <c r="G78" i="24"/>
  <c r="E78" i="30" s="1"/>
  <c r="F78" i="24"/>
  <c r="F84" i="24"/>
  <c r="G84" i="24"/>
  <c r="E84" i="30" s="1"/>
  <c r="G79" i="24"/>
  <c r="E79" i="30" s="1"/>
  <c r="F79" i="24"/>
  <c r="G80" i="24"/>
  <c r="E80" i="30" s="1"/>
  <c r="F80" i="24"/>
  <c r="G81" i="24"/>
  <c r="E81" i="30" s="1"/>
  <c r="F81" i="24"/>
  <c r="G77" i="24"/>
  <c r="E77" i="30" s="1"/>
  <c r="F77" i="24"/>
  <c r="G82" i="24"/>
  <c r="E82" i="30" s="1"/>
  <c r="F82" i="24"/>
  <c r="F76" i="24"/>
  <c r="G76" i="24"/>
  <c r="E76" i="30" s="1"/>
  <c r="G83" i="24"/>
  <c r="E83" i="30" s="1"/>
  <c r="F83" i="24"/>
  <c r="G75" i="24"/>
  <c r="E75" i="30" s="1"/>
  <c r="F75" i="24"/>
  <c r="G72" i="24"/>
  <c r="E72" i="30" s="1"/>
  <c r="F72" i="24"/>
  <c r="F66" i="24"/>
  <c r="G66" i="24"/>
  <c r="E66" i="30" s="1"/>
  <c r="F73" i="24"/>
  <c r="G73" i="24"/>
  <c r="E73" i="30" s="1"/>
  <c r="G70" i="24"/>
  <c r="E70" i="30" s="1"/>
  <c r="F70" i="24"/>
  <c r="G71" i="24"/>
  <c r="E71" i="30" s="1"/>
  <c r="F71" i="24"/>
  <c r="G74" i="24"/>
  <c r="E74" i="30" s="1"/>
  <c r="F74" i="24"/>
  <c r="G68" i="24"/>
  <c r="E68" i="30" s="1"/>
  <c r="F68" i="24"/>
  <c r="G69" i="24"/>
  <c r="E69" i="30" s="1"/>
  <c r="F69" i="24"/>
  <c r="G67" i="24"/>
  <c r="E67" i="30" s="1"/>
  <c r="F67" i="24"/>
  <c r="F65" i="24"/>
  <c r="G65" i="24"/>
  <c r="E65" i="30" s="1"/>
  <c r="AI47" i="19" l="1"/>
  <c r="AI48" i="19"/>
  <c r="N26" i="25" l="1"/>
  <c r="Q26" i="25" s="1"/>
  <c r="N25" i="25" l="1"/>
  <c r="Q25" i="25" s="1"/>
  <c r="AK44" i="17" l="1"/>
  <c r="BD44" i="17"/>
  <c r="AK45" i="17"/>
  <c r="BD45" i="17"/>
  <c r="AH48" i="19" l="1"/>
  <c r="AH47" i="19"/>
  <c r="AH49" i="19"/>
  <c r="E245" i="34" l="1"/>
  <c r="E178" i="34"/>
  <c r="E184" i="34"/>
  <c r="E236" i="34"/>
  <c r="E186" i="34"/>
  <c r="E219" i="34"/>
  <c r="E226" i="34"/>
  <c r="E201" i="34"/>
  <c r="E216" i="34"/>
  <c r="E244" i="34"/>
  <c r="E220" i="34"/>
  <c r="E196" i="34"/>
  <c r="E183" i="34"/>
  <c r="E259" i="34"/>
  <c r="E241" i="34"/>
  <c r="E190" i="34"/>
  <c r="E231" i="34"/>
  <c r="E174" i="34"/>
  <c r="E209" i="34"/>
  <c r="E212" i="34"/>
  <c r="E227" i="34"/>
  <c r="E238" i="34"/>
  <c r="E205" i="34"/>
  <c r="E250" i="34"/>
  <c r="E222" i="34"/>
  <c r="E202" i="34"/>
  <c r="E237" i="34"/>
  <c r="E188" i="34"/>
  <c r="E261" i="34"/>
  <c r="E181" i="34"/>
  <c r="E248" i="34"/>
  <c r="E191" i="34"/>
  <c r="E242" i="34"/>
  <c r="E249" i="34"/>
  <c r="E199" i="34"/>
  <c r="E239" i="34"/>
  <c r="E233" i="34"/>
  <c r="E260" i="34"/>
  <c r="E213" i="34"/>
  <c r="E264" i="34"/>
  <c r="E210" i="34"/>
  <c r="E177" i="34"/>
  <c r="E223" i="34"/>
  <c r="E229" i="34"/>
  <c r="E230" i="34"/>
  <c r="E258" i="34"/>
  <c r="E207" i="34"/>
  <c r="E246" i="34"/>
  <c r="E198" i="34"/>
  <c r="E217" i="34"/>
  <c r="E194" i="34"/>
  <c r="E180" i="34"/>
  <c r="E256" i="34"/>
  <c r="E262" i="34"/>
  <c r="E263" i="34"/>
  <c r="E257" i="34"/>
  <c r="E252" i="34" l="1"/>
  <c r="T61" i="18" l="1"/>
  <c r="T59" i="18"/>
  <c r="T51" i="18"/>
  <c r="T42" i="18"/>
  <c r="T34" i="18"/>
  <c r="T25" i="18"/>
  <c r="T23" i="18"/>
  <c r="T60" i="18" l="1"/>
  <c r="T50" i="18"/>
  <c r="T52" i="18"/>
  <c r="T43" i="18"/>
  <c r="T41" i="18"/>
  <c r="T32" i="18"/>
  <c r="T33" i="18"/>
  <c r="T24" i="18"/>
  <c r="T83" i="18" l="1"/>
  <c r="T85" i="18"/>
  <c r="T84" i="18"/>
  <c r="T77" i="18"/>
  <c r="T79" i="18"/>
  <c r="T68" i="18"/>
  <c r="T70" i="18"/>
  <c r="T78" i="18"/>
  <c r="T69" i="18"/>
  <c r="T88" i="18" l="1"/>
  <c r="T86" i="18"/>
  <c r="T76" i="18"/>
  <c r="T74" i="18"/>
  <c r="T73" i="18"/>
  <c r="T72" i="18"/>
  <c r="T64" i="18"/>
  <c r="T63" i="18"/>
  <c r="T58" i="18"/>
  <c r="T49" i="18"/>
  <c r="T47" i="18"/>
  <c r="T40" i="18"/>
  <c r="T37" i="18"/>
  <c r="T36" i="18"/>
  <c r="T31" i="18"/>
  <c r="T28" i="18"/>
  <c r="T22" i="18"/>
  <c r="T18" i="18"/>
  <c r="T44" i="18" l="1"/>
  <c r="T39" i="18"/>
  <c r="T45" i="18"/>
  <c r="T80" i="18"/>
  <c r="T27" i="18"/>
  <c r="T19" i="18"/>
  <c r="T20" i="18"/>
  <c r="T48" i="18"/>
  <c r="T26" i="18"/>
  <c r="T29" i="18"/>
  <c r="T54" i="18"/>
  <c r="T62" i="18"/>
  <c r="T65" i="18"/>
  <c r="T87" i="18"/>
  <c r="T38" i="18"/>
  <c r="T67" i="18"/>
  <c r="T17" i="18"/>
  <c r="T55" i="18"/>
  <c r="T71" i="18"/>
  <c r="T75" i="18"/>
  <c r="T81" i="18"/>
  <c r="T57" i="18"/>
  <c r="T35" i="18"/>
  <c r="T30" i="18"/>
  <c r="T21" i="18"/>
  <c r="T46" i="18"/>
  <c r="T53" i="18"/>
  <c r="T56" i="18"/>
  <c r="T66" i="18"/>
  <c r="T82" i="18"/>
  <c r="S61" i="18" l="1"/>
  <c r="U61" i="18" s="1"/>
  <c r="S60" i="18"/>
  <c r="U60" i="18" s="1"/>
  <c r="S59" i="18"/>
  <c r="U59" i="18" s="1"/>
  <c r="S52" i="18"/>
  <c r="U52" i="18" s="1"/>
  <c r="S51" i="18"/>
  <c r="U51" i="18" s="1"/>
  <c r="S50" i="18"/>
  <c r="U50" i="18" s="1"/>
  <c r="S43" i="18"/>
  <c r="U43" i="18" s="1"/>
  <c r="S42" i="18"/>
  <c r="U42" i="18" s="1"/>
  <c r="S41" i="18"/>
  <c r="U41" i="18" s="1"/>
  <c r="S34" i="18"/>
  <c r="U34" i="18" s="1"/>
  <c r="S33" i="18"/>
  <c r="U33" i="18" s="1"/>
  <c r="S32" i="18"/>
  <c r="U32" i="18" s="1"/>
  <c r="S25" i="18"/>
  <c r="U25" i="18" s="1"/>
  <c r="S24" i="18"/>
  <c r="U24" i="18" s="1"/>
  <c r="S23" i="18"/>
  <c r="U23" i="18" s="1"/>
  <c r="K37" i="18" l="1"/>
  <c r="L37" i="18" s="1"/>
  <c r="K62" i="18"/>
  <c r="L62" i="18" s="1"/>
  <c r="K36" i="18"/>
  <c r="L36" i="18" s="1"/>
  <c r="K55" i="18"/>
  <c r="L55" i="18" s="1"/>
  <c r="K35" i="18"/>
  <c r="L35" i="18" s="1"/>
  <c r="K54" i="18"/>
  <c r="L54" i="18" s="1"/>
  <c r="K53" i="18"/>
  <c r="L53" i="18" s="1"/>
  <c r="K73" i="18"/>
  <c r="L73" i="18" s="1"/>
  <c r="K46" i="18"/>
  <c r="L46" i="18" s="1"/>
  <c r="K72" i="18"/>
  <c r="L72" i="18" s="1"/>
  <c r="K45" i="18"/>
  <c r="L45" i="18" s="1"/>
  <c r="K71" i="18"/>
  <c r="L71" i="18" s="1"/>
  <c r="K44" i="18"/>
  <c r="L44" i="18" s="1"/>
  <c r="K64" i="18"/>
  <c r="L64" i="18" s="1"/>
  <c r="K63" i="18"/>
  <c r="L63" i="18" s="1"/>
  <c r="S18" i="18" l="1"/>
  <c r="U18" i="18" s="1"/>
  <c r="S19" i="18"/>
  <c r="U19" i="18" s="1"/>
  <c r="S20" i="18"/>
  <c r="U20" i="18" s="1"/>
  <c r="S21" i="18"/>
  <c r="U21" i="18" s="1"/>
  <c r="S22" i="18"/>
  <c r="U22" i="18" s="1"/>
  <c r="S26" i="18"/>
  <c r="U26" i="18" s="1"/>
  <c r="S27" i="18"/>
  <c r="U27" i="18" s="1"/>
  <c r="S28" i="18"/>
  <c r="U28" i="18" s="1"/>
  <c r="S29" i="18"/>
  <c r="U29" i="18" s="1"/>
  <c r="S30" i="18"/>
  <c r="U30" i="18" s="1"/>
  <c r="S31" i="18"/>
  <c r="U31" i="18" s="1"/>
  <c r="S35" i="18"/>
  <c r="U35" i="18" s="1"/>
  <c r="S36" i="18"/>
  <c r="U36" i="18" s="1"/>
  <c r="S37" i="18"/>
  <c r="U37" i="18" s="1"/>
  <c r="S38" i="18"/>
  <c r="U38" i="18" s="1"/>
  <c r="S39" i="18"/>
  <c r="U39" i="18" s="1"/>
  <c r="S40" i="18"/>
  <c r="U40" i="18" s="1"/>
  <c r="S44" i="18"/>
  <c r="U44" i="18" s="1"/>
  <c r="S45" i="18"/>
  <c r="U45" i="18" s="1"/>
  <c r="S46" i="18"/>
  <c r="U46" i="18" s="1"/>
  <c r="S47" i="18"/>
  <c r="U47" i="18" s="1"/>
  <c r="S48" i="18"/>
  <c r="U48" i="18" s="1"/>
  <c r="S49" i="18"/>
  <c r="U49" i="18" s="1"/>
  <c r="S53" i="18"/>
  <c r="U53" i="18" s="1"/>
  <c r="S54" i="18"/>
  <c r="U54" i="18" s="1"/>
  <c r="S55" i="18"/>
  <c r="U55" i="18" s="1"/>
  <c r="S56" i="18"/>
  <c r="U56" i="18" s="1"/>
  <c r="S57" i="18"/>
  <c r="U57" i="18" s="1"/>
  <c r="S58" i="18"/>
  <c r="U58" i="18" s="1"/>
  <c r="S62" i="18"/>
  <c r="U62" i="18" s="1"/>
  <c r="S63" i="18"/>
  <c r="U63" i="18" s="1"/>
  <c r="S64" i="18"/>
  <c r="U64" i="18" s="1"/>
  <c r="S65" i="18"/>
  <c r="U65" i="18" s="1"/>
  <c r="S66" i="18"/>
  <c r="U66" i="18" s="1"/>
  <c r="S67" i="18"/>
  <c r="U67" i="18" s="1"/>
  <c r="S68" i="18"/>
  <c r="U68" i="18" s="1"/>
  <c r="S69" i="18"/>
  <c r="U69" i="18" s="1"/>
  <c r="S70" i="18"/>
  <c r="U70" i="18" s="1"/>
  <c r="S71" i="18"/>
  <c r="U71" i="18" s="1"/>
  <c r="S72" i="18"/>
  <c r="U72" i="18" s="1"/>
  <c r="S73" i="18"/>
  <c r="U73" i="18" s="1"/>
  <c r="S74" i="18"/>
  <c r="U74" i="18" s="1"/>
  <c r="S75" i="18"/>
  <c r="U75" i="18" s="1"/>
  <c r="S76" i="18"/>
  <c r="U76" i="18" s="1"/>
  <c r="S77" i="18"/>
  <c r="U77" i="18" s="1"/>
  <c r="S78" i="18"/>
  <c r="U78" i="18" s="1"/>
  <c r="S79" i="18"/>
  <c r="U79" i="18" s="1"/>
  <c r="S80" i="18"/>
  <c r="U80" i="18" s="1"/>
  <c r="S81" i="18"/>
  <c r="U81" i="18" s="1"/>
  <c r="S82" i="18"/>
  <c r="U82" i="18" s="1"/>
  <c r="S83" i="18"/>
  <c r="U83" i="18" s="1"/>
  <c r="S84" i="18"/>
  <c r="U84" i="18" s="1"/>
  <c r="S85" i="18"/>
  <c r="U85" i="18" s="1"/>
  <c r="S86" i="18"/>
  <c r="U86" i="18" s="1"/>
  <c r="S87" i="18"/>
  <c r="U87" i="18" s="1"/>
  <c r="S88" i="18"/>
  <c r="U88" i="18" s="1"/>
  <c r="S17" i="18"/>
  <c r="U17" i="18" s="1"/>
  <c r="K99" i="18" l="1"/>
  <c r="L99" i="18" s="1"/>
  <c r="K91" i="18"/>
  <c r="L91" i="18" s="1"/>
  <c r="K83" i="18"/>
  <c r="L83" i="18" s="1"/>
  <c r="K75" i="18"/>
  <c r="L75" i="18" s="1"/>
  <c r="K61" i="18"/>
  <c r="L61" i="18" s="1"/>
  <c r="K50" i="18"/>
  <c r="L50" i="18" s="1"/>
  <c r="K39" i="18"/>
  <c r="L39" i="18" s="1"/>
  <c r="K98" i="18"/>
  <c r="L98" i="18" s="1"/>
  <c r="K90" i="18"/>
  <c r="L90" i="18" s="1"/>
  <c r="K82" i="18"/>
  <c r="L82" i="18" s="1"/>
  <c r="K74" i="18"/>
  <c r="L74" i="18" s="1"/>
  <c r="K60" i="18"/>
  <c r="L60" i="18" s="1"/>
  <c r="K49" i="18"/>
  <c r="L49" i="18" s="1"/>
  <c r="K38" i="18"/>
  <c r="L38" i="18" s="1"/>
  <c r="K97" i="18"/>
  <c r="L97" i="18" s="1"/>
  <c r="K89" i="18"/>
  <c r="L89" i="18" s="1"/>
  <c r="K81" i="18"/>
  <c r="L81" i="18" s="1"/>
  <c r="K70" i="18"/>
  <c r="L70" i="18" s="1"/>
  <c r="K59" i="18"/>
  <c r="L59" i="18" s="1"/>
  <c r="K48" i="18"/>
  <c r="L48" i="18" s="1"/>
  <c r="K34" i="18"/>
  <c r="L34" i="18" s="1"/>
  <c r="K96" i="18"/>
  <c r="L96" i="18" s="1"/>
  <c r="K88" i="18"/>
  <c r="L88" i="18" s="1"/>
  <c r="K80" i="18"/>
  <c r="L80" i="18" s="1"/>
  <c r="K69" i="18"/>
  <c r="L69" i="18" s="1"/>
  <c r="K58" i="18"/>
  <c r="L58" i="18" s="1"/>
  <c r="K47" i="18"/>
  <c r="L47" i="18" s="1"/>
  <c r="K33" i="18"/>
  <c r="L33" i="18" s="1"/>
  <c r="K95" i="18"/>
  <c r="L95" i="18" s="1"/>
  <c r="K87" i="18"/>
  <c r="L87" i="18" s="1"/>
  <c r="K79" i="18"/>
  <c r="L79" i="18" s="1"/>
  <c r="K68" i="18"/>
  <c r="L68" i="18" s="1"/>
  <c r="K57" i="18"/>
  <c r="L57" i="18" s="1"/>
  <c r="K43" i="18"/>
  <c r="L43" i="18" s="1"/>
  <c r="K32" i="18"/>
  <c r="L32" i="18" s="1"/>
  <c r="K94" i="18"/>
  <c r="L94" i="18" s="1"/>
  <c r="K86" i="18"/>
  <c r="L86" i="18" s="1"/>
  <c r="K78" i="18"/>
  <c r="L78" i="18" s="1"/>
  <c r="K67" i="18"/>
  <c r="L67" i="18" s="1"/>
  <c r="K56" i="18"/>
  <c r="L56" i="18" s="1"/>
  <c r="K42" i="18"/>
  <c r="L42" i="18" s="1"/>
  <c r="K31" i="18"/>
  <c r="L31" i="18" s="1"/>
  <c r="K29" i="18"/>
  <c r="L29" i="18" s="1"/>
  <c r="K93" i="18"/>
  <c r="L93" i="18" s="1"/>
  <c r="K85" i="18"/>
  <c r="L85" i="18" s="1"/>
  <c r="K77" i="18"/>
  <c r="L77" i="18" s="1"/>
  <c r="K66" i="18"/>
  <c r="L66" i="18" s="1"/>
  <c r="K52" i="18"/>
  <c r="L52" i="18" s="1"/>
  <c r="K41" i="18"/>
  <c r="L41" i="18" s="1"/>
  <c r="K30" i="18"/>
  <c r="L30" i="18" s="1"/>
  <c r="K100" i="18"/>
  <c r="L100" i="18" s="1"/>
  <c r="K92" i="18"/>
  <c r="L92" i="18" s="1"/>
  <c r="K84" i="18"/>
  <c r="L84" i="18" s="1"/>
  <c r="K76" i="18"/>
  <c r="L76" i="18" s="1"/>
  <c r="K65" i="18"/>
  <c r="L65" i="18" s="1"/>
  <c r="K51" i="18"/>
  <c r="L51" i="18" s="1"/>
  <c r="K40" i="18"/>
  <c r="L40" i="18" s="1"/>
  <c r="G128" i="22" l="1"/>
  <c r="G127" i="22"/>
  <c r="G126" i="22"/>
  <c r="G125" i="22"/>
  <c r="G124" i="22"/>
  <c r="C2" i="32" l="1"/>
  <c r="D2" i="32" s="1"/>
  <c r="M12" i="32" l="1"/>
  <c r="M22" i="32" s="1"/>
  <c r="S12" i="32"/>
  <c r="S22" i="32" s="1"/>
  <c r="J12" i="32"/>
  <c r="J22" i="32" s="1"/>
  <c r="I12" i="32"/>
  <c r="I22" i="32" s="1"/>
  <c r="L12" i="32"/>
  <c r="L22" i="32" s="1"/>
  <c r="R12" i="32"/>
  <c r="R22" i="32" s="1"/>
  <c r="C12" i="32"/>
  <c r="C22" i="32" s="1"/>
  <c r="H12" i="32"/>
  <c r="H22" i="32" s="1"/>
  <c r="O12" i="32"/>
  <c r="O22" i="32" s="1"/>
  <c r="F12" i="32"/>
  <c r="F22" i="32" s="1"/>
  <c r="P12" i="32"/>
  <c r="P22" i="32" s="1"/>
  <c r="K12" i="32"/>
  <c r="K22" i="32" s="1"/>
  <c r="T12" i="32"/>
  <c r="T22" i="32" s="1"/>
  <c r="D12" i="32"/>
  <c r="D22" i="32" s="1"/>
  <c r="E12" i="32"/>
  <c r="E22" i="32" s="1"/>
  <c r="Q12" i="32"/>
  <c r="Q22" i="32" s="1"/>
  <c r="N12" i="32"/>
  <c r="N22" i="32" s="1"/>
  <c r="G12" i="32"/>
  <c r="G22" i="32" s="1"/>
  <c r="AB57" i="34" l="1"/>
  <c r="AG57" i="34" s="1"/>
  <c r="AK57" i="34" s="1"/>
  <c r="AB2" i="34"/>
  <c r="AG2" i="34" s="1"/>
  <c r="AK2" i="34" s="1"/>
  <c r="AB78" i="34"/>
  <c r="AG78" i="34" s="1"/>
  <c r="AK78" i="34" s="1"/>
  <c r="AB75" i="34"/>
  <c r="AG75" i="34" s="1"/>
  <c r="AK75" i="34" s="1"/>
  <c r="AB61" i="34"/>
  <c r="AG61" i="34" s="1"/>
  <c r="AK61" i="34" s="1"/>
  <c r="AB66" i="34"/>
  <c r="AG66" i="34" s="1"/>
  <c r="AK66" i="34" s="1"/>
  <c r="AB64" i="34"/>
  <c r="AG64" i="34" s="1"/>
  <c r="AK64" i="34" s="1"/>
  <c r="AB32" i="34"/>
  <c r="AG32" i="34" s="1"/>
  <c r="AK32" i="34" s="1"/>
  <c r="AB67" i="34"/>
  <c r="AG67" i="34" s="1"/>
  <c r="AK67" i="34" s="1"/>
  <c r="AB68" i="34"/>
  <c r="AG68" i="34" s="1"/>
  <c r="AK68" i="34" s="1"/>
  <c r="AB19" i="34"/>
  <c r="AG19" i="34" s="1"/>
  <c r="AK19" i="34" s="1"/>
  <c r="AB37" i="34"/>
  <c r="AG37" i="34" s="1"/>
  <c r="AK37" i="34" s="1"/>
  <c r="AB44" i="34"/>
  <c r="AG44" i="34" s="1"/>
  <c r="AK44" i="34" s="1"/>
  <c r="AB74" i="34"/>
  <c r="AG74" i="34" s="1"/>
  <c r="AK74" i="34" s="1"/>
  <c r="AB6" i="34"/>
  <c r="AG6" i="34" s="1"/>
  <c r="AK6" i="34" s="1"/>
  <c r="AB65" i="34"/>
  <c r="AG65" i="34" s="1"/>
  <c r="AK65" i="34" s="1"/>
  <c r="AB77" i="34"/>
  <c r="AG77" i="34" s="1"/>
  <c r="AK77" i="34" s="1"/>
  <c r="AB49" i="34"/>
  <c r="AG49" i="34" s="1"/>
  <c r="AK49" i="34" s="1"/>
  <c r="AB59" i="34"/>
  <c r="AG59" i="34" s="1"/>
  <c r="AK59" i="34" s="1"/>
  <c r="AB52" i="34"/>
  <c r="AG52" i="34" s="1"/>
  <c r="AK52" i="34" s="1"/>
  <c r="AB7" i="34"/>
  <c r="AG7" i="34" s="1"/>
  <c r="AK7" i="34" s="1"/>
  <c r="AB40" i="34"/>
  <c r="AG40" i="34" s="1"/>
  <c r="AK40" i="34" s="1"/>
  <c r="AB17" i="34"/>
  <c r="AG17" i="34" s="1"/>
  <c r="AK17" i="34" s="1"/>
  <c r="AB15" i="34"/>
  <c r="AG15" i="34" s="1"/>
  <c r="AK15" i="34" s="1"/>
  <c r="AB27" i="34"/>
  <c r="AG27" i="34" s="1"/>
  <c r="AK27" i="34" s="1"/>
  <c r="AB70" i="34"/>
  <c r="AG70" i="34" s="1"/>
  <c r="AK70" i="34" s="1"/>
  <c r="AB54" i="34"/>
  <c r="AG54" i="34" s="1"/>
  <c r="AK54" i="34" s="1"/>
  <c r="AB50" i="34"/>
  <c r="AG50" i="34" s="1"/>
  <c r="AK50" i="34" s="1"/>
  <c r="AB71" i="34"/>
  <c r="AG71" i="34" s="1"/>
  <c r="AK71" i="34" s="1"/>
  <c r="AB55" i="34"/>
  <c r="AG55" i="34" s="1"/>
  <c r="AK55" i="34" s="1"/>
  <c r="AB76" i="34"/>
  <c r="AG76" i="34" s="1"/>
  <c r="AK76" i="34" s="1"/>
  <c r="AB63" i="34"/>
  <c r="AG63" i="34" s="1"/>
  <c r="AK63" i="34" s="1"/>
  <c r="AB47" i="34"/>
  <c r="AG47" i="34" s="1"/>
  <c r="AK47" i="34" s="1"/>
  <c r="AB12" i="34"/>
  <c r="AG12" i="34" s="1"/>
  <c r="AK12" i="34" s="1"/>
  <c r="AB3" i="34"/>
  <c r="AG3" i="34" s="1"/>
  <c r="AK3" i="34" s="1"/>
  <c r="AB46" i="34"/>
  <c r="AG46" i="34" s="1"/>
  <c r="AK46" i="34" s="1"/>
  <c r="AB29" i="34"/>
  <c r="AG29" i="34" s="1"/>
  <c r="AK29" i="34" s="1"/>
  <c r="AB58" i="34"/>
  <c r="AG58" i="34" s="1"/>
  <c r="AK58" i="34" s="1"/>
  <c r="AB5" i="34"/>
  <c r="AG5" i="34" s="1"/>
  <c r="AK5" i="34" s="1"/>
  <c r="AB24" i="34"/>
  <c r="AG24" i="34" s="1"/>
  <c r="AK24" i="34" s="1"/>
  <c r="AB18" i="34"/>
  <c r="AG18" i="34" s="1"/>
  <c r="AK18" i="34" s="1"/>
  <c r="AB80" i="34"/>
  <c r="AG80" i="34" s="1"/>
  <c r="AK80" i="34" s="1"/>
  <c r="AB51" i="34"/>
  <c r="AG51" i="34" s="1"/>
  <c r="AK51" i="34" s="1"/>
  <c r="AB26" i="34"/>
  <c r="AG26" i="34" s="1"/>
  <c r="AK26" i="34" s="1"/>
  <c r="AB20" i="34"/>
  <c r="AG20" i="34" s="1"/>
  <c r="AK20" i="34" s="1"/>
  <c r="AB8" i="34"/>
  <c r="AG8" i="34" s="1"/>
  <c r="AK8" i="34" s="1"/>
  <c r="AB42" i="34"/>
  <c r="AG42" i="34" s="1"/>
  <c r="AK42" i="34" s="1"/>
  <c r="AB4" i="34"/>
  <c r="AG4" i="34" s="1"/>
  <c r="AK4" i="34" s="1"/>
  <c r="AB79" i="34"/>
  <c r="AG79" i="34" s="1"/>
  <c r="AK79" i="34" s="1"/>
  <c r="AB25" i="34"/>
  <c r="AG25" i="34" s="1"/>
  <c r="AK25" i="34" s="1"/>
  <c r="AB31" i="34"/>
  <c r="AG31" i="34" s="1"/>
  <c r="AK31" i="34" s="1"/>
  <c r="AB33" i="34"/>
  <c r="AG33" i="34" s="1"/>
  <c r="AK33" i="34" s="1"/>
  <c r="AB28" i="34"/>
  <c r="AG28" i="34" s="1"/>
  <c r="AK28" i="34" s="1"/>
  <c r="AB45" i="34"/>
  <c r="AG45" i="34" s="1"/>
  <c r="AK45" i="34" s="1"/>
  <c r="AB72" i="34"/>
  <c r="AG72" i="34" s="1"/>
  <c r="AK72" i="34" s="1"/>
  <c r="AB60" i="34"/>
  <c r="AG60" i="34" s="1"/>
  <c r="AK60" i="34" s="1"/>
  <c r="AB10" i="34"/>
  <c r="AG10" i="34" s="1"/>
  <c r="AK10" i="34" s="1"/>
  <c r="AB56" i="34"/>
  <c r="AG56" i="34" s="1"/>
  <c r="AK56" i="34" s="1"/>
  <c r="AB16" i="34"/>
  <c r="AG16" i="34" s="1"/>
  <c r="AK16" i="34" s="1"/>
  <c r="AB35" i="34"/>
  <c r="AG35" i="34" s="1"/>
  <c r="AK35" i="34" s="1"/>
  <c r="AB43" i="34"/>
  <c r="AG43" i="34" s="1"/>
  <c r="AK43" i="34" s="1"/>
  <c r="AB39" i="34"/>
  <c r="AG39" i="34" s="1"/>
  <c r="AK39" i="34" s="1"/>
  <c r="AB23" i="34"/>
  <c r="AG23" i="34" s="1"/>
  <c r="AK23" i="34" s="1"/>
  <c r="AB36" i="34"/>
  <c r="AG36" i="34" s="1"/>
  <c r="AK36" i="34" s="1"/>
  <c r="AB34" i="34"/>
  <c r="AG34" i="34" s="1"/>
  <c r="AK34" i="34" s="1"/>
  <c r="AB81" i="34"/>
  <c r="AG81" i="34" s="1"/>
  <c r="AK81" i="34" s="1"/>
  <c r="AB73" i="34"/>
  <c r="AG73" i="34" s="1"/>
  <c r="AK73" i="34" s="1"/>
  <c r="AB22" i="34"/>
  <c r="AG22" i="34" s="1"/>
  <c r="AK22" i="34" s="1"/>
  <c r="AB30" i="34"/>
  <c r="AG30" i="34" s="1"/>
  <c r="AK30" i="34" s="1"/>
  <c r="AB11" i="34"/>
  <c r="AG11" i="34" s="1"/>
  <c r="AK11" i="34" s="1"/>
  <c r="AB48" i="34"/>
  <c r="AG48" i="34" s="1"/>
  <c r="AK48" i="34" s="1"/>
  <c r="AB41" i="34"/>
  <c r="AG41" i="34" s="1"/>
  <c r="AK41" i="34" s="1"/>
  <c r="AB62" i="34"/>
  <c r="AG62" i="34" s="1"/>
  <c r="AK62" i="34" s="1"/>
  <c r="AB69" i="34"/>
  <c r="AG69" i="34" s="1"/>
  <c r="AK69" i="34" s="1"/>
  <c r="AB38" i="34"/>
  <c r="AG38" i="34" s="1"/>
  <c r="AK38" i="34" s="1"/>
  <c r="AB53" i="34"/>
  <c r="AG53" i="34" s="1"/>
  <c r="AK53" i="34" s="1"/>
  <c r="AB13" i="34"/>
  <c r="AG13" i="34" s="1"/>
  <c r="AK13" i="34" s="1"/>
  <c r="AB21" i="34"/>
  <c r="AG21" i="34" s="1"/>
  <c r="AK21" i="34" s="1"/>
  <c r="AB14" i="34"/>
  <c r="AG14" i="34" s="1"/>
  <c r="AK14" i="34" s="1"/>
  <c r="AB9" i="34"/>
  <c r="AG9" i="34" s="1"/>
  <c r="AK9" i="34" s="1"/>
  <c r="AJ32" i="34" l="1"/>
  <c r="AJ29" i="34"/>
  <c r="AJ25" i="34"/>
  <c r="AJ20" i="34"/>
  <c r="AJ18" i="34"/>
  <c r="AJ11" i="34"/>
  <c r="AJ41" i="34"/>
  <c r="AJ56" i="34"/>
  <c r="AJ24" i="34"/>
  <c r="AJ69" i="34"/>
  <c r="AJ68" i="34"/>
  <c r="AJ5" i="34"/>
  <c r="AJ76" i="34"/>
  <c r="AJ57" i="34"/>
  <c r="AJ74" i="34"/>
  <c r="AJ30" i="34"/>
  <c r="AJ7" i="34"/>
  <c r="AJ37" i="34"/>
  <c r="AJ50" i="34"/>
  <c r="AJ62" i="34"/>
  <c r="AJ39" i="34"/>
  <c r="AJ46" i="34"/>
  <c r="AJ79" i="34"/>
  <c r="AJ52" i="34"/>
  <c r="AJ9" i="34"/>
  <c r="AJ42" i="34"/>
  <c r="AJ21" i="34"/>
  <c r="AJ49" i="34"/>
  <c r="AJ45" i="34"/>
  <c r="AJ4" i="34"/>
  <c r="AJ61" i="34"/>
  <c r="AJ34" i="34"/>
  <c r="AJ13" i="34"/>
  <c r="AJ80" i="34"/>
  <c r="AJ28" i="34"/>
  <c r="AJ12" i="34"/>
  <c r="AJ17" i="34"/>
  <c r="AJ70" i="34"/>
  <c r="AJ40" i="34"/>
  <c r="AJ73" i="34"/>
  <c r="AJ48" i="34"/>
  <c r="AJ71" i="34"/>
  <c r="AJ54" i="34"/>
  <c r="AJ36" i="34"/>
  <c r="AJ38" i="34"/>
  <c r="AJ27" i="34"/>
  <c r="AJ72" i="34"/>
  <c r="AJ75" i="34"/>
  <c r="AJ63" i="34"/>
  <c r="AJ3" i="34"/>
  <c r="AJ2" i="34"/>
  <c r="AJ43" i="34"/>
  <c r="AJ65" i="34"/>
  <c r="AJ23" i="34"/>
  <c r="AJ55" i="34"/>
  <c r="AJ10" i="34"/>
  <c r="AJ78" i="34"/>
  <c r="AJ44" i="34"/>
  <c r="AJ53" i="34"/>
  <c r="AJ15" i="34"/>
  <c r="AJ22" i="34"/>
  <c r="AJ19" i="34"/>
  <c r="AJ31" i="34"/>
  <c r="AJ58" i="34"/>
  <c r="AJ14" i="34"/>
  <c r="AJ60" i="34"/>
  <c r="AJ64" i="34"/>
  <c r="AJ26" i="34"/>
  <c r="AJ47" i="34"/>
  <c r="AJ16" i="34"/>
  <c r="AJ51" i="34"/>
  <c r="AJ6" i="34"/>
  <c r="AJ35" i="34"/>
  <c r="AJ66" i="34"/>
  <c r="AJ81" i="34"/>
  <c r="AJ59" i="34"/>
  <c r="AJ33" i="34"/>
  <c r="AJ8" i="34"/>
  <c r="AJ67" i="34"/>
  <c r="AJ77" i="34"/>
  <c r="D21" i="16" l="1"/>
  <c r="D35" i="16"/>
  <c r="D70" i="16"/>
  <c r="D80" i="16"/>
  <c r="D87" i="16"/>
  <c r="D67" i="16"/>
  <c r="D27" i="16"/>
  <c r="D53" i="16"/>
  <c r="D28" i="16"/>
  <c r="D92" i="16"/>
  <c r="D69" i="16"/>
  <c r="D86" i="16"/>
  <c r="D91" i="16"/>
  <c r="D37" i="16"/>
  <c r="D97" i="16"/>
  <c r="D62" i="16"/>
  <c r="D34" i="16"/>
  <c r="D26" i="16"/>
  <c r="D95" i="16"/>
  <c r="D94" i="16"/>
  <c r="D52" i="16"/>
  <c r="D81" i="16"/>
  <c r="D54" i="16"/>
  <c r="D82" i="16"/>
  <c r="D88" i="16"/>
  <c r="D99" i="16"/>
  <c r="D38" i="16"/>
  <c r="D85" i="16"/>
  <c r="D60" i="16"/>
  <c r="D36" i="16"/>
  <c r="D75" i="16"/>
  <c r="D58" i="16"/>
  <c r="D96" i="16"/>
  <c r="D29" i="16"/>
  <c r="D79" i="16"/>
  <c r="D93" i="16"/>
  <c r="D31" i="16"/>
  <c r="D23" i="16"/>
  <c r="D57" i="16"/>
  <c r="D55" i="16"/>
  <c r="D39" i="16"/>
  <c r="D73" i="16"/>
  <c r="D50" i="16"/>
  <c r="D40" i="16"/>
  <c r="D89" i="16"/>
  <c r="D33" i="16"/>
  <c r="D65" i="16"/>
  <c r="D47" i="16"/>
  <c r="D46" i="16"/>
  <c r="D90" i="16"/>
  <c r="D45" i="16"/>
  <c r="D74" i="16"/>
  <c r="D49" i="16"/>
  <c r="D66" i="16"/>
  <c r="D71" i="16"/>
  <c r="D22" i="16"/>
  <c r="D76" i="16"/>
  <c r="D42" i="16"/>
  <c r="D48" i="16"/>
  <c r="D64" i="16"/>
  <c r="D51" i="16"/>
  <c r="D43" i="16"/>
  <c r="D32" i="16"/>
  <c r="D72" i="16"/>
  <c r="D59" i="16"/>
  <c r="D44" i="16"/>
  <c r="D61" i="16"/>
  <c r="D68" i="16"/>
  <c r="D56" i="16"/>
  <c r="D83" i="16"/>
  <c r="D41" i="16"/>
  <c r="D84" i="16"/>
  <c r="D24" i="16"/>
  <c r="D78" i="16"/>
  <c r="D98" i="16"/>
  <c r="D30" i="16"/>
  <c r="D77" i="16"/>
  <c r="D25" i="16"/>
  <c r="D63" i="16"/>
  <c r="B1" i="16" l="1"/>
  <c r="G109" i="22" l="1"/>
  <c r="G113" i="22" l="1"/>
  <c r="C11" i="30" l="1"/>
  <c r="C11" i="24"/>
  <c r="G11" i="24" l="1"/>
  <c r="E11" i="30" s="1"/>
  <c r="F11" i="24"/>
  <c r="C13" i="30" l="1"/>
  <c r="C13" i="24"/>
  <c r="C16" i="24"/>
  <c r="C16" i="30"/>
  <c r="C17" i="30"/>
  <c r="C17" i="24"/>
  <c r="C15" i="30"/>
  <c r="C15" i="24"/>
  <c r="F15" i="24" l="1"/>
  <c r="G15" i="24"/>
  <c r="E15" i="30" s="1"/>
  <c r="C19" i="24"/>
  <c r="C19" i="30"/>
  <c r="G17" i="24"/>
  <c r="E17" i="30" s="1"/>
  <c r="F17" i="24"/>
  <c r="G16" i="24"/>
  <c r="E16" i="30" s="1"/>
  <c r="F16" i="24"/>
  <c r="C18" i="30"/>
  <c r="C18" i="24"/>
  <c r="G13" i="24"/>
  <c r="E13" i="30" s="1"/>
  <c r="F13" i="24"/>
  <c r="F19" i="24" l="1"/>
  <c r="G19" i="24"/>
  <c r="E19" i="30" s="1"/>
  <c r="F18" i="24"/>
  <c r="G18" i="24"/>
  <c r="E18" i="30" s="1"/>
  <c r="C19" i="28" l="1"/>
  <c r="G19" i="28" s="1"/>
  <c r="F19" i="28" s="1"/>
  <c r="C8" i="28"/>
  <c r="G8" i="28" s="1"/>
  <c r="F8" i="28" s="1"/>
  <c r="C7" i="28"/>
  <c r="G7" i="28" s="1"/>
  <c r="F7" i="28" s="1"/>
  <c r="C5" i="28"/>
  <c r="G5" i="28" s="1"/>
  <c r="F5" i="28" s="1"/>
  <c r="C2" i="28"/>
  <c r="G2" i="28" s="1"/>
  <c r="F2" i="28" s="1"/>
  <c r="C6" i="28"/>
  <c r="G6" i="28" s="1"/>
  <c r="F6" i="28" s="1"/>
  <c r="C16" i="28"/>
  <c r="G16" i="28" s="1"/>
  <c r="F16" i="28" s="1"/>
  <c r="C12" i="28"/>
  <c r="G12" i="28" s="1"/>
  <c r="F12" i="28" s="1"/>
  <c r="C20" i="28"/>
  <c r="G20" i="28" s="1"/>
  <c r="F20" i="28" s="1"/>
  <c r="C3" i="28"/>
  <c r="G3" i="28" s="1"/>
  <c r="F3" i="28" s="1"/>
  <c r="C4" i="28"/>
  <c r="G4" i="28" s="1"/>
  <c r="F4" i="28" s="1"/>
  <c r="C11" i="28"/>
  <c r="G11" i="28" s="1"/>
  <c r="F11" i="28" s="1"/>
  <c r="C15" i="28"/>
  <c r="G15" i="28" s="1"/>
  <c r="F15" i="28" s="1"/>
  <c r="C14" i="28"/>
  <c r="G14" i="28" s="1"/>
  <c r="F14" i="28" s="1"/>
  <c r="C13" i="28"/>
  <c r="G13" i="28" s="1"/>
  <c r="F13" i="28" s="1"/>
  <c r="C17" i="28"/>
  <c r="G17" i="28" s="1"/>
  <c r="F17" i="28" s="1"/>
  <c r="C9" i="28"/>
  <c r="G9" i="28" s="1"/>
  <c r="F9" i="28" s="1"/>
  <c r="C18" i="28"/>
  <c r="G18" i="28" s="1"/>
  <c r="F18" i="28" s="1"/>
  <c r="C10" i="28"/>
  <c r="G10" i="28" s="1"/>
  <c r="F10" i="28" s="1"/>
  <c r="C20" i="24" l="1"/>
  <c r="C20" i="30"/>
  <c r="C12" i="24"/>
  <c r="C12" i="30"/>
  <c r="C14" i="30"/>
  <c r="C14" i="24"/>
  <c r="G12" i="24" l="1"/>
  <c r="E12" i="30" s="1"/>
  <c r="F12" i="24"/>
  <c r="F14" i="24"/>
  <c r="G14" i="24"/>
  <c r="E14" i="30" s="1"/>
  <c r="G20" i="24"/>
  <c r="E20" i="30" s="1"/>
  <c r="F20" i="24"/>
  <c r="C9" i="24" l="1"/>
  <c r="C9" i="30"/>
  <c r="C27" i="24"/>
  <c r="C27" i="30"/>
  <c r="C8" i="24"/>
  <c r="C8" i="30"/>
  <c r="C7" i="24"/>
  <c r="C7" i="30"/>
  <c r="C5" i="24" l="1"/>
  <c r="C5" i="30"/>
  <c r="C29" i="24"/>
  <c r="C29" i="30"/>
  <c r="G7" i="24"/>
  <c r="E7" i="30" s="1"/>
  <c r="F7" i="24"/>
  <c r="G8" i="24"/>
  <c r="E8" i="30" s="1"/>
  <c r="F8" i="24"/>
  <c r="C2" i="24"/>
  <c r="C2" i="30"/>
  <c r="C10" i="30"/>
  <c r="C10" i="24"/>
  <c r="C4" i="30"/>
  <c r="C4" i="24"/>
  <c r="C21" i="30"/>
  <c r="C21" i="24"/>
  <c r="C28" i="24"/>
  <c r="C28" i="30"/>
  <c r="F27" i="24"/>
  <c r="G27" i="24"/>
  <c r="E27" i="30" s="1"/>
  <c r="C26" i="24"/>
  <c r="C26" i="30"/>
  <c r="C6" i="30"/>
  <c r="C6" i="24"/>
  <c r="C3" i="30"/>
  <c r="C3" i="24"/>
  <c r="C25" i="30"/>
  <c r="C25" i="24"/>
  <c r="C23" i="24"/>
  <c r="C23" i="30"/>
  <c r="G9" i="24"/>
  <c r="E9" i="30" s="1"/>
  <c r="F9" i="24"/>
  <c r="C34" i="24" l="1"/>
  <c r="C34" i="30"/>
  <c r="G6" i="24"/>
  <c r="E6" i="30" s="1"/>
  <c r="F6" i="24"/>
  <c r="G21" i="24"/>
  <c r="E21" i="30" s="1"/>
  <c r="F21" i="24"/>
  <c r="C38" i="30"/>
  <c r="C38" i="24"/>
  <c r="G4" i="24"/>
  <c r="E4" i="30" s="1"/>
  <c r="F4" i="24"/>
  <c r="F26" i="24"/>
  <c r="G26" i="24"/>
  <c r="E26" i="30" s="1"/>
  <c r="C44" i="24"/>
  <c r="C44" i="30"/>
  <c r="C24" i="24"/>
  <c r="C24" i="30"/>
  <c r="C39" i="24"/>
  <c r="C39" i="30"/>
  <c r="C40" i="24"/>
  <c r="C40" i="30"/>
  <c r="C35" i="24"/>
  <c r="C35" i="30"/>
  <c r="G25" i="24"/>
  <c r="E25" i="30" s="1"/>
  <c r="F25" i="24"/>
  <c r="F10" i="24"/>
  <c r="G10" i="24"/>
  <c r="E10" i="30" s="1"/>
  <c r="C36" i="30"/>
  <c r="C36" i="24"/>
  <c r="C33" i="24"/>
  <c r="C33" i="30"/>
  <c r="G29" i="24"/>
  <c r="E29" i="30" s="1"/>
  <c r="F29" i="24"/>
  <c r="C30" i="24"/>
  <c r="C30" i="30"/>
  <c r="G23" i="24"/>
  <c r="E23" i="30" s="1"/>
  <c r="F23" i="24"/>
  <c r="C41" i="24"/>
  <c r="C41" i="30"/>
  <c r="C31" i="24"/>
  <c r="C31" i="30"/>
  <c r="F3" i="24"/>
  <c r="G3" i="24"/>
  <c r="E3" i="30" s="1"/>
  <c r="C37" i="30"/>
  <c r="C37" i="24"/>
  <c r="C22" i="30"/>
  <c r="C22" i="24"/>
  <c r="C32" i="24"/>
  <c r="C32" i="30"/>
  <c r="G28" i="24"/>
  <c r="E28" i="30" s="1"/>
  <c r="F28" i="24"/>
  <c r="G2" i="24"/>
  <c r="E2" i="30" s="1"/>
  <c r="F2" i="24"/>
  <c r="F5" i="24"/>
  <c r="G5" i="24"/>
  <c r="E5" i="30" s="1"/>
  <c r="C48" i="24" l="1"/>
  <c r="C48" i="30"/>
  <c r="C49" i="24"/>
  <c r="C49" i="30"/>
  <c r="G38" i="24"/>
  <c r="E38" i="30" s="1"/>
  <c r="F38" i="24"/>
  <c r="C47" i="24"/>
  <c r="C47" i="30"/>
  <c r="C45" i="30"/>
  <c r="C45" i="24"/>
  <c r="G32" i="24"/>
  <c r="E32" i="30" s="1"/>
  <c r="F32" i="24"/>
  <c r="G31" i="24"/>
  <c r="E31" i="30" s="1"/>
  <c r="F31" i="24"/>
  <c r="F24" i="24"/>
  <c r="G24" i="24"/>
  <c r="E24" i="30" s="1"/>
  <c r="C42" i="30"/>
  <c r="C42" i="24"/>
  <c r="F41" i="24"/>
  <c r="G41" i="24"/>
  <c r="E41" i="30" s="1"/>
  <c r="G33" i="24"/>
  <c r="E33" i="30" s="1"/>
  <c r="F33" i="24"/>
  <c r="F35" i="24"/>
  <c r="G35" i="24"/>
  <c r="E35" i="30" s="1"/>
  <c r="F44" i="24"/>
  <c r="G44" i="24"/>
  <c r="E44" i="30" s="1"/>
  <c r="C52" i="24"/>
  <c r="C52" i="30"/>
  <c r="F37" i="24"/>
  <c r="G37" i="24"/>
  <c r="E37" i="30" s="1"/>
  <c r="F36" i="24"/>
  <c r="G36" i="24"/>
  <c r="E36" i="30" s="1"/>
  <c r="C43" i="24"/>
  <c r="C43" i="30"/>
  <c r="G22" i="24"/>
  <c r="E22" i="30" s="1"/>
  <c r="F22" i="24"/>
  <c r="C50" i="30"/>
  <c r="C50" i="24"/>
  <c r="G40" i="24"/>
  <c r="E40" i="30" s="1"/>
  <c r="F40" i="24"/>
  <c r="C46" i="30"/>
  <c r="C46" i="24"/>
  <c r="C51" i="24"/>
  <c r="C51" i="30"/>
  <c r="G30" i="24"/>
  <c r="E30" i="30" s="1"/>
  <c r="F30" i="24"/>
  <c r="F39" i="24"/>
  <c r="G39" i="24"/>
  <c r="E39" i="30" s="1"/>
  <c r="G34" i="24"/>
  <c r="E34" i="30" s="1"/>
  <c r="F34" i="24"/>
  <c r="D9" i="30" l="1"/>
  <c r="D9" i="24"/>
  <c r="C53" i="30"/>
  <c r="C53" i="24"/>
  <c r="C61" i="30"/>
  <c r="C61" i="24"/>
  <c r="G47" i="24"/>
  <c r="E47" i="30" s="1"/>
  <c r="F47" i="24"/>
  <c r="C54" i="30"/>
  <c r="C54" i="24"/>
  <c r="C59" i="24"/>
  <c r="C59" i="30"/>
  <c r="C56" i="24"/>
  <c r="C56" i="30"/>
  <c r="C57" i="24"/>
  <c r="C57" i="30"/>
  <c r="C55" i="30"/>
  <c r="C55" i="24"/>
  <c r="C62" i="24"/>
  <c r="C62" i="30"/>
  <c r="C60" i="24"/>
  <c r="C60" i="30"/>
  <c r="G51" i="24"/>
  <c r="E51" i="30" s="1"/>
  <c r="F51" i="24"/>
  <c r="F52" i="24"/>
  <c r="G52" i="24"/>
  <c r="E52" i="30" s="1"/>
  <c r="F49" i="24"/>
  <c r="G49" i="24"/>
  <c r="E49" i="30" s="1"/>
  <c r="D10" i="24"/>
  <c r="D10" i="30"/>
  <c r="C58" i="30"/>
  <c r="C58" i="24"/>
  <c r="G46" i="24"/>
  <c r="E46" i="30" s="1"/>
  <c r="F46" i="24"/>
  <c r="G42" i="24"/>
  <c r="E42" i="30" s="1"/>
  <c r="F42" i="24"/>
  <c r="F45" i="24"/>
  <c r="G45" i="24"/>
  <c r="E45" i="30" s="1"/>
  <c r="C64" i="30"/>
  <c r="C64" i="24"/>
  <c r="G50" i="24"/>
  <c r="E50" i="30" s="1"/>
  <c r="F50" i="24"/>
  <c r="C63" i="30"/>
  <c r="C63" i="24"/>
  <c r="G43" i="24"/>
  <c r="E43" i="30" s="1"/>
  <c r="F43" i="24"/>
  <c r="F48" i="24"/>
  <c r="G48" i="24"/>
  <c r="E48" i="30" s="1"/>
  <c r="D53" i="24" l="1"/>
  <c r="D53" i="30"/>
  <c r="D57" i="24"/>
  <c r="D57" i="30"/>
  <c r="D62" i="30"/>
  <c r="D62" i="24"/>
  <c r="D113" i="30"/>
  <c r="D113" i="24"/>
  <c r="D114" i="24"/>
  <c r="D114" i="30"/>
  <c r="D112" i="24"/>
  <c r="D112" i="30"/>
  <c r="D59" i="30"/>
  <c r="D59" i="24"/>
  <c r="D60" i="30"/>
  <c r="D60" i="24"/>
  <c r="D58" i="30"/>
  <c r="D58" i="24"/>
  <c r="D56" i="30"/>
  <c r="D56" i="24"/>
  <c r="D51" i="30"/>
  <c r="D51" i="24"/>
  <c r="D100" i="30"/>
  <c r="D100" i="24"/>
  <c r="D45" i="30"/>
  <c r="D45" i="24"/>
  <c r="D50" i="24"/>
  <c r="D50" i="30"/>
  <c r="F64" i="24"/>
  <c r="G64" i="24"/>
  <c r="E64" i="30" s="1"/>
  <c r="G58" i="24"/>
  <c r="E58" i="30" s="1"/>
  <c r="F58" i="24"/>
  <c r="D26" i="30"/>
  <c r="D26" i="24"/>
  <c r="F57" i="24"/>
  <c r="G57" i="24"/>
  <c r="E57" i="30" s="1"/>
  <c r="D3" i="24"/>
  <c r="D3" i="30"/>
  <c r="G61" i="24"/>
  <c r="E61" i="30" s="1"/>
  <c r="F61" i="24"/>
  <c r="D63" i="24"/>
  <c r="D63" i="30"/>
  <c r="D118" i="24"/>
  <c r="D118" i="30"/>
  <c r="D86" i="30"/>
  <c r="D86" i="24"/>
  <c r="D94" i="24"/>
  <c r="D94" i="30"/>
  <c r="D49" i="24"/>
  <c r="D49" i="30"/>
  <c r="G60" i="24"/>
  <c r="E60" i="30" s="1"/>
  <c r="F60" i="24"/>
  <c r="F56" i="24"/>
  <c r="G56" i="24"/>
  <c r="E56" i="30" s="1"/>
  <c r="D34" i="24"/>
  <c r="D34" i="30"/>
  <c r="D117" i="30"/>
  <c r="D117" i="24"/>
  <c r="D64" i="30"/>
  <c r="D64" i="24"/>
  <c r="D32" i="24"/>
  <c r="D32" i="30"/>
  <c r="D40" i="24"/>
  <c r="D40" i="30"/>
  <c r="F63" i="24"/>
  <c r="G63" i="24"/>
  <c r="E63" i="30" s="1"/>
  <c r="G53" i="24"/>
  <c r="E53" i="30" s="1"/>
  <c r="F53" i="24"/>
  <c r="D8" i="24"/>
  <c r="D8" i="30"/>
  <c r="D39" i="30"/>
  <c r="D39" i="24"/>
  <c r="D73" i="30"/>
  <c r="D73" i="24"/>
  <c r="D106" i="30"/>
  <c r="D106" i="24"/>
  <c r="D2" i="24"/>
  <c r="D2" i="30"/>
  <c r="G62" i="24"/>
  <c r="E62" i="30" s="1"/>
  <c r="F62" i="24"/>
  <c r="F59" i="24"/>
  <c r="G59" i="24"/>
  <c r="E59" i="30" s="1"/>
  <c r="D107" i="30"/>
  <c r="D107" i="24"/>
  <c r="D102" i="30"/>
  <c r="D102" i="24"/>
  <c r="D44" i="30"/>
  <c r="D44" i="24"/>
  <c r="D82" i="24"/>
  <c r="D82" i="30"/>
  <c r="D108" i="30"/>
  <c r="D108" i="24"/>
  <c r="D109" i="30"/>
  <c r="D109" i="24"/>
  <c r="D81" i="24"/>
  <c r="D81" i="30"/>
  <c r="D35" i="24"/>
  <c r="D35" i="30"/>
  <c r="D61" i="24"/>
  <c r="D61" i="30"/>
  <c r="D28" i="24"/>
  <c r="D28" i="30"/>
  <c r="D54" i="24"/>
  <c r="D54" i="30"/>
  <c r="D55" i="30"/>
  <c r="D55" i="24"/>
  <c r="D6" i="30"/>
  <c r="D6" i="24"/>
  <c r="D27" i="24"/>
  <c r="D27" i="30"/>
  <c r="D89" i="24"/>
  <c r="D89" i="30"/>
  <c r="D115" i="24"/>
  <c r="D115" i="30"/>
  <c r="D47" i="30"/>
  <c r="D47" i="24"/>
  <c r="D23" i="30"/>
  <c r="D23" i="24"/>
  <c r="G55" i="24"/>
  <c r="E55" i="30" s="1"/>
  <c r="F55" i="24"/>
  <c r="G54" i="24"/>
  <c r="E54" i="30" s="1"/>
  <c r="F54" i="24"/>
  <c r="D111" i="24"/>
  <c r="D111" i="30"/>
  <c r="F111" i="30" s="1"/>
  <c r="D116" i="30"/>
  <c r="F116" i="30" s="1"/>
  <c r="D116" i="24"/>
  <c r="D17" i="30"/>
  <c r="D17" i="24"/>
  <c r="D97" i="24"/>
  <c r="D97" i="30"/>
  <c r="D71" i="30"/>
  <c r="D71" i="24"/>
  <c r="D110" i="24"/>
  <c r="D110" i="30"/>
  <c r="F110" i="30" s="1"/>
  <c r="D85" i="30"/>
  <c r="D85" i="24"/>
  <c r="F118" i="30" l="1"/>
  <c r="F109" i="30"/>
  <c r="F112" i="30"/>
  <c r="F115" i="30"/>
  <c r="F113" i="30"/>
  <c r="F107" i="30"/>
  <c r="F117" i="30"/>
  <c r="D88" i="30"/>
  <c r="F88" i="30" s="1"/>
  <c r="D88" i="24"/>
  <c r="D83" i="24"/>
  <c r="D83" i="30"/>
  <c r="D22" i="24"/>
  <c r="D22" i="30"/>
  <c r="D7" i="30"/>
  <c r="D7" i="24"/>
  <c r="D103" i="24"/>
  <c r="D103" i="30"/>
  <c r="F103" i="30" s="1"/>
  <c r="F89" i="30"/>
  <c r="F81" i="30"/>
  <c r="F94" i="30"/>
  <c r="L11" i="30"/>
  <c r="D98" i="30"/>
  <c r="F98" i="30" s="1"/>
  <c r="D98" i="24"/>
  <c r="D14" i="24"/>
  <c r="D14" i="30"/>
  <c r="D19" i="24"/>
  <c r="D19" i="30"/>
  <c r="F73" i="30" s="1"/>
  <c r="D99" i="30"/>
  <c r="F99" i="30" s="1"/>
  <c r="D99" i="24"/>
  <c r="F86" i="30"/>
  <c r="D65" i="24"/>
  <c r="D65" i="30"/>
  <c r="D18" i="24"/>
  <c r="D18" i="30"/>
  <c r="D30" i="24"/>
  <c r="D30" i="30"/>
  <c r="D16" i="30"/>
  <c r="D16" i="24"/>
  <c r="D38" i="30"/>
  <c r="D38" i="24"/>
  <c r="D101" i="30"/>
  <c r="F101" i="30" s="1"/>
  <c r="D101" i="24"/>
  <c r="D31" i="24"/>
  <c r="D31" i="30"/>
  <c r="F85" i="30" s="1"/>
  <c r="D77" i="30"/>
  <c r="F77" i="30" s="1"/>
  <c r="D77" i="24"/>
  <c r="D20" i="30"/>
  <c r="D20" i="24"/>
  <c r="D70" i="30"/>
  <c r="D70" i="24"/>
  <c r="D92" i="30"/>
  <c r="D92" i="24"/>
  <c r="D52" i="30"/>
  <c r="F106" i="30" s="1"/>
  <c r="D52" i="24"/>
  <c r="D66" i="24"/>
  <c r="D66" i="30"/>
  <c r="D36" i="24"/>
  <c r="D36" i="30"/>
  <c r="D4" i="24"/>
  <c r="D4" i="30"/>
  <c r="D95" i="24"/>
  <c r="D95" i="30"/>
  <c r="D29" i="24"/>
  <c r="D29" i="30"/>
  <c r="D41" i="30"/>
  <c r="D41" i="24"/>
  <c r="D105" i="30"/>
  <c r="F105" i="30" s="1"/>
  <c r="D105" i="24"/>
  <c r="D76" i="24"/>
  <c r="D76" i="30"/>
  <c r="D68" i="30"/>
  <c r="D68" i="24"/>
  <c r="D46" i="30"/>
  <c r="F100" i="30" s="1"/>
  <c r="D46" i="24"/>
  <c r="D43" i="30"/>
  <c r="F97" i="30" s="1"/>
  <c r="D43" i="24"/>
  <c r="D96" i="24"/>
  <c r="D96" i="30"/>
  <c r="D84" i="30"/>
  <c r="D84" i="24"/>
  <c r="D74" i="24"/>
  <c r="D74" i="30"/>
  <c r="D79" i="24"/>
  <c r="D79" i="30"/>
  <c r="D48" i="24"/>
  <c r="D48" i="30"/>
  <c r="F102" i="30" s="1"/>
  <c r="D91" i="30"/>
  <c r="D91" i="24"/>
  <c r="L10" i="30"/>
  <c r="D87" i="24"/>
  <c r="D87" i="30"/>
  <c r="D90" i="30"/>
  <c r="D90" i="24"/>
  <c r="F71" i="30"/>
  <c r="F108" i="30"/>
  <c r="D25" i="24"/>
  <c r="D25" i="30"/>
  <c r="D104" i="30"/>
  <c r="F104" i="30" s="1"/>
  <c r="D104" i="24"/>
  <c r="D5" i="30"/>
  <c r="D5" i="24"/>
  <c r="F82" i="30"/>
  <c r="F114" i="30"/>
  <c r="D93" i="30"/>
  <c r="F93" i="30" s="1"/>
  <c r="D93" i="24"/>
  <c r="D80" i="24"/>
  <c r="D80" i="30"/>
  <c r="F80" i="30" s="1"/>
  <c r="R10" i="30" l="1"/>
  <c r="Q27" i="30" s="1"/>
  <c r="F76" i="30"/>
  <c r="R11" i="30"/>
  <c r="P28" i="30" s="1"/>
  <c r="F90" i="30"/>
  <c r="F84" i="30"/>
  <c r="F68" i="30"/>
  <c r="F95" i="30"/>
  <c r="D42" i="30"/>
  <c r="F96" i="30" s="1"/>
  <c r="D42" i="24"/>
  <c r="D78" i="30"/>
  <c r="D78" i="24"/>
  <c r="D15" i="24"/>
  <c r="D15" i="30"/>
  <c r="D33" i="30"/>
  <c r="F87" i="30" s="1"/>
  <c r="D33" i="24"/>
  <c r="D37" i="24"/>
  <c r="D37" i="30"/>
  <c r="F91" i="30" s="1"/>
  <c r="F79" i="30"/>
  <c r="J64" i="24"/>
  <c r="D11" i="30"/>
  <c r="F65" i="30" s="1"/>
  <c r="D11" i="24"/>
  <c r="J11" i="24" s="1"/>
  <c r="F92" i="30"/>
  <c r="F83" i="30"/>
  <c r="D72" i="24"/>
  <c r="D72" i="30"/>
  <c r="F72" i="30" s="1"/>
  <c r="L8" i="30"/>
  <c r="D67" i="24"/>
  <c r="D67" i="30"/>
  <c r="D13" i="30"/>
  <c r="D13" i="24"/>
  <c r="D12" i="30"/>
  <c r="F66" i="30" s="1"/>
  <c r="D12" i="24"/>
  <c r="J106" i="24"/>
  <c r="F74" i="30"/>
  <c r="F70" i="30"/>
  <c r="L9" i="30"/>
  <c r="D75" i="24"/>
  <c r="J84" i="24" s="1"/>
  <c r="D75" i="30"/>
  <c r="D69" i="24"/>
  <c r="D69" i="30"/>
  <c r="D21" i="30"/>
  <c r="D21" i="24"/>
  <c r="K11" i="30"/>
  <c r="K10" i="30"/>
  <c r="T27" i="30" l="1"/>
  <c r="M27" i="30"/>
  <c r="X27" i="30"/>
  <c r="S27" i="30"/>
  <c r="K27" i="30"/>
  <c r="D15" i="25" s="1"/>
  <c r="O27" i="30"/>
  <c r="H15" i="25" s="1"/>
  <c r="L27" i="30"/>
  <c r="L43" i="30" s="1"/>
  <c r="N27" i="30"/>
  <c r="N43" i="30" s="1"/>
  <c r="W27" i="30"/>
  <c r="W43" i="30" s="1"/>
  <c r="T10" i="30"/>
  <c r="P27" i="30"/>
  <c r="V27" i="30"/>
  <c r="U27" i="30"/>
  <c r="N15" i="25" s="1"/>
  <c r="R27" i="30"/>
  <c r="K15" i="25" s="1"/>
  <c r="N28" i="30"/>
  <c r="N44" i="30" s="1"/>
  <c r="X28" i="30"/>
  <c r="R28" i="30"/>
  <c r="R44" i="30" s="1"/>
  <c r="W28" i="30"/>
  <c r="W44" i="30" s="1"/>
  <c r="T11" i="30"/>
  <c r="O28" i="30"/>
  <c r="H16" i="25" s="1"/>
  <c r="U28" i="30"/>
  <c r="N16" i="25" s="1"/>
  <c r="M28" i="30"/>
  <c r="M44" i="30" s="1"/>
  <c r="Q28" i="30"/>
  <c r="J16" i="25" s="1"/>
  <c r="K28" i="30"/>
  <c r="K44" i="30" s="1"/>
  <c r="S28" i="30"/>
  <c r="S44" i="30" s="1"/>
  <c r="R9" i="30"/>
  <c r="V26" i="30" s="1"/>
  <c r="R8" i="30"/>
  <c r="P25" i="30" s="1"/>
  <c r="T28" i="30"/>
  <c r="M16" i="25" s="1"/>
  <c r="V28" i="30"/>
  <c r="O16" i="25" s="1"/>
  <c r="L28" i="30"/>
  <c r="E16" i="25" s="1"/>
  <c r="F75" i="30"/>
  <c r="J72" i="24"/>
  <c r="J42" i="24"/>
  <c r="F69" i="30"/>
  <c r="U43" i="30"/>
  <c r="F67" i="30"/>
  <c r="D24" i="24"/>
  <c r="J30" i="24" s="1"/>
  <c r="D24" i="30"/>
  <c r="F78" i="30" s="1"/>
  <c r="I15" i="25"/>
  <c r="P43" i="30"/>
  <c r="O44" i="30"/>
  <c r="J15" i="25"/>
  <c r="Q43" i="30"/>
  <c r="E15" i="25"/>
  <c r="M15" i="25"/>
  <c r="T43" i="30"/>
  <c r="M43" i="30"/>
  <c r="F15" i="25"/>
  <c r="O15" i="25"/>
  <c r="V43" i="30"/>
  <c r="L15" i="25"/>
  <c r="S43" i="30"/>
  <c r="J22" i="24"/>
  <c r="P44" i="30"/>
  <c r="I16" i="25"/>
  <c r="L7" i="30"/>
  <c r="M11" i="30"/>
  <c r="M10" i="30"/>
  <c r="K9" i="30"/>
  <c r="K43" i="30" l="1"/>
  <c r="O43" i="30"/>
  <c r="G16" i="25"/>
  <c r="G15" i="25"/>
  <c r="K16" i="25"/>
  <c r="R43" i="30"/>
  <c r="D16" i="25"/>
  <c r="S25" i="30"/>
  <c r="S41" i="30" s="1"/>
  <c r="U44" i="30"/>
  <c r="Q25" i="30"/>
  <c r="Q41" i="30" s="1"/>
  <c r="L44" i="30"/>
  <c r="F16" i="25"/>
  <c r="L16" i="25"/>
  <c r="V44" i="30"/>
  <c r="T44" i="30"/>
  <c r="U25" i="30"/>
  <c r="N13" i="25" s="1"/>
  <c r="W25" i="30"/>
  <c r="W41" i="30" s="1"/>
  <c r="M25" i="30"/>
  <c r="F13" i="25" s="1"/>
  <c r="R25" i="30"/>
  <c r="K13" i="25" s="1"/>
  <c r="T25" i="30"/>
  <c r="M13" i="25" s="1"/>
  <c r="U26" i="30"/>
  <c r="U42" i="30" s="1"/>
  <c r="X25" i="30"/>
  <c r="S26" i="30"/>
  <c r="L14" i="25" s="1"/>
  <c r="O25" i="30"/>
  <c r="H13" i="25" s="1"/>
  <c r="T8" i="30"/>
  <c r="W26" i="30"/>
  <c r="W42" i="30" s="1"/>
  <c r="L26" i="30"/>
  <c r="E14" i="25" s="1"/>
  <c r="Q44" i="30"/>
  <c r="Q26" i="30"/>
  <c r="Q42" i="30" s="1"/>
  <c r="O26" i="30"/>
  <c r="H14" i="25" s="1"/>
  <c r="L25" i="30"/>
  <c r="E13" i="25" s="1"/>
  <c r="N25" i="30"/>
  <c r="N41" i="30" s="1"/>
  <c r="T26" i="30"/>
  <c r="T42" i="30" s="1"/>
  <c r="R26" i="30"/>
  <c r="R42" i="30" s="1"/>
  <c r="X26" i="30"/>
  <c r="K26" i="30"/>
  <c r="K42" i="30" s="1"/>
  <c r="K25" i="30"/>
  <c r="D13" i="25" s="1"/>
  <c r="V25" i="30"/>
  <c r="V41" i="30" s="1"/>
  <c r="P26" i="30"/>
  <c r="I14" i="25" s="1"/>
  <c r="T9" i="30"/>
  <c r="R7" i="30"/>
  <c r="K24" i="30" s="1"/>
  <c r="M26" i="30"/>
  <c r="F14" i="25" s="1"/>
  <c r="N26" i="30"/>
  <c r="G14" i="25" s="1"/>
  <c r="S51" i="30"/>
  <c r="T51" i="30"/>
  <c r="O51" i="30"/>
  <c r="I13" i="25"/>
  <c r="P41" i="30"/>
  <c r="O14" i="25"/>
  <c r="V42" i="30"/>
  <c r="Q15" i="25"/>
  <c r="O52" i="30"/>
  <c r="T52" i="30"/>
  <c r="Q10" i="30"/>
  <c r="Q11" i="30"/>
  <c r="M7" i="30"/>
  <c r="M8" i="30"/>
  <c r="M9" i="30"/>
  <c r="Q9" i="30" s="1"/>
  <c r="L13" i="25" l="1"/>
  <c r="X24" i="30"/>
  <c r="P24" i="30"/>
  <c r="O24" i="30"/>
  <c r="T24" i="30"/>
  <c r="T40" i="30" s="1"/>
  <c r="M14" i="25"/>
  <c r="J13" i="25"/>
  <c r="M41" i="30"/>
  <c r="R41" i="30"/>
  <c r="V24" i="30"/>
  <c r="S24" i="30"/>
  <c r="L12" i="25" s="1"/>
  <c r="Q16" i="25"/>
  <c r="O41" i="30"/>
  <c r="G13" i="25"/>
  <c r="K41" i="30"/>
  <c r="S42" i="30"/>
  <c r="U41" i="30"/>
  <c r="L42" i="30"/>
  <c r="N14" i="25"/>
  <c r="K14" i="25"/>
  <c r="J14" i="25"/>
  <c r="T41" i="30"/>
  <c r="M42" i="30"/>
  <c r="Q24" i="30"/>
  <c r="Q40" i="30" s="1"/>
  <c r="P42" i="30"/>
  <c r="L41" i="30"/>
  <c r="O13" i="25"/>
  <c r="T7" i="30"/>
  <c r="R24" i="30"/>
  <c r="K12" i="25" s="1"/>
  <c r="D14" i="25"/>
  <c r="L24" i="30"/>
  <c r="E12" i="25" s="1"/>
  <c r="M24" i="30"/>
  <c r="M40" i="30" s="1"/>
  <c r="O42" i="30"/>
  <c r="N42" i="30"/>
  <c r="W24" i="30"/>
  <c r="W40" i="30" s="1"/>
  <c r="U24" i="30"/>
  <c r="N12" i="25" s="1"/>
  <c r="N24" i="30"/>
  <c r="N40" i="30" s="1"/>
  <c r="O40" i="30"/>
  <c r="H12" i="25"/>
  <c r="M12" i="25"/>
  <c r="V40" i="30"/>
  <c r="O12" i="25"/>
  <c r="S50" i="30"/>
  <c r="O50" i="30"/>
  <c r="K40" i="30"/>
  <c r="D12" i="25"/>
  <c r="M49" i="30"/>
  <c r="R49" i="30"/>
  <c r="V49" i="30"/>
  <c r="Q49" i="30"/>
  <c r="M48" i="30"/>
  <c r="V48" i="30"/>
  <c r="N48" i="30"/>
  <c r="Q48" i="30"/>
  <c r="P40" i="30"/>
  <c r="I12" i="25"/>
  <c r="S40" i="30" l="1"/>
  <c r="U40" i="30"/>
  <c r="Q14" i="25"/>
  <c r="Q13" i="25"/>
  <c r="J12" i="25"/>
  <c r="R40" i="30"/>
  <c r="G12" i="25"/>
  <c r="F12" i="25"/>
  <c r="Q12" i="25" s="1"/>
  <c r="L40" i="30"/>
  <c r="R22" i="19" l="1"/>
  <c r="Q46" i="19"/>
  <c r="Q91" i="19"/>
  <c r="Q31" i="19"/>
  <c r="Q55" i="19"/>
  <c r="S24" i="19"/>
  <c r="Q17" i="19"/>
  <c r="S57" i="19"/>
  <c r="Q90" i="19"/>
  <c r="T21" i="19"/>
  <c r="R69" i="19"/>
  <c r="Q60" i="19"/>
  <c r="Q22" i="19"/>
  <c r="R86" i="19"/>
  <c r="Q76" i="19"/>
  <c r="R31" i="19"/>
  <c r="S67" i="19"/>
  <c r="T18" i="19"/>
  <c r="S58" i="19"/>
  <c r="T62" i="19"/>
  <c r="R50" i="19"/>
  <c r="T31" i="19"/>
  <c r="R71" i="19"/>
  <c r="R16" i="19"/>
  <c r="T56" i="19"/>
  <c r="R80" i="19"/>
  <c r="T74" i="19"/>
  <c r="R49" i="19"/>
  <c r="S18" i="19"/>
  <c r="Q21" i="19"/>
  <c r="R85" i="19"/>
  <c r="Q38" i="19"/>
  <c r="S54" i="19"/>
  <c r="R78" i="19"/>
  <c r="T54" i="19"/>
  <c r="T22" i="19"/>
  <c r="T30" i="19"/>
  <c r="R46" i="19"/>
  <c r="R70" i="19"/>
  <c r="S91" i="19"/>
  <c r="Q15" i="19"/>
  <c r="S39" i="19"/>
  <c r="S55" i="19"/>
  <c r="Q79" i="19"/>
  <c r="Q82" i="19"/>
  <c r="S22" i="19"/>
  <c r="S46" i="19"/>
  <c r="S62" i="19"/>
  <c r="S70" i="19"/>
  <c r="Q86" i="19"/>
  <c r="T66" i="19"/>
  <c r="R91" i="19"/>
  <c r="R15" i="19"/>
  <c r="S31" i="19"/>
  <c r="R39" i="19"/>
  <c r="T55" i="19"/>
  <c r="S79" i="19"/>
  <c r="R34" i="19"/>
  <c r="Q75" i="19"/>
  <c r="T68" i="19"/>
  <c r="R24" i="19"/>
  <c r="R48" i="19"/>
  <c r="R64" i="19"/>
  <c r="T72" i="19"/>
  <c r="R88" i="19"/>
  <c r="R74" i="19"/>
  <c r="R19" i="19"/>
  <c r="T17" i="19"/>
  <c r="T33" i="19"/>
  <c r="Q41" i="19"/>
  <c r="T57" i="19"/>
  <c r="Q81" i="19"/>
  <c r="T90" i="19"/>
  <c r="Q44" i="19"/>
  <c r="S21" i="19"/>
  <c r="S29" i="19"/>
  <c r="R45" i="19"/>
  <c r="Q69" i="19"/>
  <c r="S85" i="19"/>
  <c r="T59" i="19"/>
  <c r="T60" i="19"/>
  <c r="S86" i="19"/>
  <c r="T15" i="19"/>
  <c r="Q68" i="19"/>
  <c r="T88" i="19"/>
  <c r="R33" i="19"/>
  <c r="S44" i="19"/>
  <c r="Q58" i="19"/>
  <c r="Q14" i="19"/>
  <c r="T71" i="19"/>
  <c r="R68" i="19"/>
  <c r="S49" i="19"/>
  <c r="R90" i="19"/>
  <c r="R37" i="19"/>
  <c r="Q54" i="19"/>
  <c r="T51" i="19"/>
  <c r="S68" i="19"/>
  <c r="Q25" i="19"/>
  <c r="T37" i="19"/>
  <c r="R58" i="19"/>
  <c r="S78" i="19"/>
  <c r="T50" i="19"/>
  <c r="S51" i="19"/>
  <c r="Q36" i="19"/>
  <c r="R76" i="19"/>
  <c r="Q23" i="19"/>
  <c r="R47" i="19"/>
  <c r="T63" i="19"/>
  <c r="Q71" i="19"/>
  <c r="Q87" i="19"/>
  <c r="R82" i="19"/>
  <c r="Q27" i="19"/>
  <c r="Q20" i="19"/>
  <c r="S16" i="19"/>
  <c r="T32" i="19"/>
  <c r="T40" i="19"/>
  <c r="R56" i="19"/>
  <c r="S80" i="19"/>
  <c r="S42" i="19"/>
  <c r="R67" i="19"/>
  <c r="S52" i="19"/>
  <c r="R25" i="19"/>
  <c r="T49" i="19"/>
  <c r="R65" i="19"/>
  <c r="Q73" i="19"/>
  <c r="R89" i="19"/>
  <c r="Q18" i="19"/>
  <c r="S43" i="19"/>
  <c r="R83" i="19"/>
  <c r="S84" i="19"/>
  <c r="Q37" i="19"/>
  <c r="S53" i="19"/>
  <c r="R61" i="19"/>
  <c r="T77" i="19"/>
  <c r="R26" i="19"/>
  <c r="T58" i="19"/>
  <c r="S35" i="19"/>
  <c r="Q28" i="19"/>
  <c r="R92" i="19"/>
  <c r="T76" i="19"/>
  <c r="R79" i="19"/>
  <c r="S75" i="19"/>
  <c r="Q48" i="19"/>
  <c r="T73" i="19"/>
  <c r="T45" i="19"/>
  <c r="S38" i="19"/>
  <c r="R66" i="19"/>
  <c r="R55" i="19"/>
  <c r="R27" i="19"/>
  <c r="S40" i="19"/>
  <c r="S88" i="19"/>
  <c r="S73" i="19"/>
  <c r="Q61" i="19"/>
  <c r="R59" i="19"/>
  <c r="T23" i="19"/>
  <c r="T42" i="19"/>
  <c r="Q33" i="19"/>
  <c r="S83" i="19"/>
  <c r="S61" i="19"/>
  <c r="R35" i="19"/>
  <c r="R30" i="19"/>
  <c r="Q51" i="19"/>
  <c r="R36" i="19"/>
  <c r="S23" i="19"/>
  <c r="T39" i="19"/>
  <c r="S47" i="19"/>
  <c r="S63" i="19"/>
  <c r="S87" i="19"/>
  <c r="T82" i="19"/>
  <c r="R20" i="19"/>
  <c r="Q16" i="19"/>
  <c r="R32" i="19"/>
  <c r="S56" i="19"/>
  <c r="S72" i="19"/>
  <c r="Q80" i="19"/>
  <c r="Q42" i="19"/>
  <c r="S19" i="19"/>
  <c r="Q67" i="19"/>
  <c r="Q52" i="19"/>
  <c r="S25" i="19"/>
  <c r="S41" i="19"/>
  <c r="Q49" i="19"/>
  <c r="S65" i="19"/>
  <c r="T89" i="19"/>
  <c r="R18" i="19"/>
  <c r="Q43" i="19"/>
  <c r="Q84" i="19"/>
  <c r="T29" i="19"/>
  <c r="S37" i="19"/>
  <c r="R53" i="19"/>
  <c r="R77" i="19"/>
  <c r="S26" i="19"/>
  <c r="T35" i="19"/>
  <c r="R28" i="19"/>
  <c r="S92" i="19"/>
  <c r="Q62" i="19"/>
  <c r="S66" i="19"/>
  <c r="S71" i="19"/>
  <c r="T27" i="19"/>
  <c r="Q64" i="19"/>
  <c r="Q74" i="19"/>
  <c r="S81" i="19"/>
  <c r="T61" i="19"/>
  <c r="R62" i="19"/>
  <c r="R51" i="19"/>
  <c r="Q34" i="19"/>
  <c r="T24" i="19"/>
  <c r="T80" i="19"/>
  <c r="Q57" i="19"/>
  <c r="Q83" i="19"/>
  <c r="Q45" i="19"/>
  <c r="S28" i="19"/>
  <c r="R38" i="19"/>
  <c r="S76" i="19"/>
  <c r="R87" i="19"/>
  <c r="T20" i="19"/>
  <c r="Q40" i="19"/>
  <c r="S89" i="19"/>
  <c r="R84" i="19"/>
  <c r="T28" i="19"/>
  <c r="R54" i="19"/>
  <c r="Q30" i="19"/>
  <c r="Q70" i="19"/>
  <c r="S30" i="19"/>
  <c r="T70" i="19"/>
  <c r="Q50" i="19"/>
  <c r="T36" i="19"/>
  <c r="S15" i="19"/>
  <c r="R23" i="19"/>
  <c r="Q39" i="19"/>
  <c r="R63" i="19"/>
  <c r="T79" i="19"/>
  <c r="T87" i="19"/>
  <c r="S82" i="19"/>
  <c r="R75" i="19"/>
  <c r="S20" i="19"/>
  <c r="S32" i="19"/>
  <c r="T48" i="19"/>
  <c r="Q56" i="19"/>
  <c r="R72" i="19"/>
  <c r="R42" i="19"/>
  <c r="T19" i="19"/>
  <c r="T52" i="19"/>
  <c r="S17" i="19"/>
  <c r="T25" i="19"/>
  <c r="T41" i="19"/>
  <c r="Q65" i="19"/>
  <c r="R81" i="19"/>
  <c r="Q89" i="19"/>
  <c r="T43" i="19"/>
  <c r="R44" i="19"/>
  <c r="T84" i="19"/>
  <c r="R29" i="19"/>
  <c r="Q53" i="19"/>
  <c r="S69" i="19"/>
  <c r="Q77" i="19"/>
  <c r="Q26" i="19"/>
  <c r="Q35" i="19"/>
  <c r="T92" i="19"/>
  <c r="T38" i="19"/>
  <c r="S34" i="19"/>
  <c r="R40" i="19"/>
  <c r="T83" i="19"/>
  <c r="Q85" i="19"/>
  <c r="Q59" i="19"/>
  <c r="T78" i="19"/>
  <c r="T91" i="19"/>
  <c r="T47" i="19"/>
  <c r="T16" i="19"/>
  <c r="T64" i="19"/>
  <c r="S74" i="19"/>
  <c r="S33" i="19"/>
  <c r="R21" i="19"/>
  <c r="T85" i="19"/>
  <c r="R60" i="19"/>
  <c r="Q78" i="19"/>
  <c r="Q66" i="19"/>
  <c r="Q47" i="19"/>
  <c r="S27" i="19"/>
  <c r="S64" i="19"/>
  <c r="T67" i="19"/>
  <c r="R73" i="19"/>
  <c r="S77" i="19"/>
  <c r="S59" i="19"/>
  <c r="S50" i="19"/>
  <c r="T46" i="19"/>
  <c r="T86" i="19"/>
  <c r="S36" i="19"/>
  <c r="Q63" i="19"/>
  <c r="T34" i="19"/>
  <c r="T75" i="19"/>
  <c r="Q24" i="19"/>
  <c r="Q32" i="19"/>
  <c r="S48" i="19"/>
  <c r="Q72" i="19"/>
  <c r="Q88" i="19"/>
  <c r="Q19" i="19"/>
  <c r="R52" i="19"/>
  <c r="R17" i="19"/>
  <c r="R41" i="19"/>
  <c r="R57" i="19"/>
  <c r="T65" i="19"/>
  <c r="T81" i="19"/>
  <c r="S90" i="19"/>
  <c r="R43" i="19"/>
  <c r="T44" i="19"/>
  <c r="Q29" i="19"/>
  <c r="S45" i="19"/>
  <c r="T53" i="19"/>
  <c r="T69" i="19"/>
  <c r="T26" i="19"/>
  <c r="S60" i="19"/>
  <c r="Q92" i="19"/>
  <c r="C7" i="19" l="1"/>
  <c r="C8" i="19" s="1"/>
  <c r="U16" i="19"/>
  <c r="T14" i="19"/>
  <c r="S14" i="19"/>
  <c r="U15" i="19"/>
  <c r="R14" i="19"/>
  <c r="O2" i="19" l="1"/>
  <c r="W15" i="19"/>
  <c r="V15" i="19"/>
  <c r="X15" i="19"/>
  <c r="U17" i="19"/>
  <c r="V16" i="19" l="1"/>
  <c r="U18" i="19"/>
  <c r="W16" i="19"/>
  <c r="X16" i="19"/>
  <c r="W17" i="19" l="1"/>
  <c r="U19" i="19"/>
  <c r="X17" i="19"/>
  <c r="V17" i="19"/>
  <c r="U20" i="19" l="1"/>
  <c r="W18" i="19"/>
  <c r="V18" i="19"/>
  <c r="X18" i="19"/>
  <c r="V19" i="19" l="1"/>
  <c r="X19" i="19"/>
  <c r="U21" i="19"/>
  <c r="W19" i="19"/>
  <c r="V20" i="19" l="1"/>
  <c r="W20" i="19"/>
  <c r="U22" i="19"/>
  <c r="X20" i="19"/>
  <c r="W21" i="19" l="1"/>
  <c r="X21" i="19"/>
  <c r="V21" i="19"/>
  <c r="U23" i="19"/>
  <c r="X22" i="19" l="1"/>
  <c r="W22" i="19"/>
  <c r="U24" i="19"/>
  <c r="V22" i="19"/>
  <c r="W23" i="19" l="1"/>
  <c r="X23" i="19"/>
  <c r="U25" i="19"/>
  <c r="V23" i="19"/>
  <c r="X24" i="19" l="1"/>
  <c r="V24" i="19"/>
  <c r="W24" i="19"/>
  <c r="U26" i="19"/>
  <c r="X25" i="19" l="1"/>
  <c r="V25" i="19"/>
  <c r="U27" i="19"/>
  <c r="W25" i="19"/>
  <c r="V26" i="19" l="1"/>
  <c r="W26" i="19"/>
  <c r="X26" i="19"/>
  <c r="U28" i="19"/>
  <c r="W27" i="19" l="1"/>
  <c r="V27" i="19"/>
  <c r="U29" i="19"/>
  <c r="X27" i="19"/>
  <c r="V28" i="19" l="1"/>
  <c r="X28" i="19"/>
  <c r="W28" i="19"/>
  <c r="U30" i="19"/>
  <c r="X29" i="19" l="1"/>
  <c r="U31" i="19"/>
  <c r="V29" i="19"/>
  <c r="W29" i="19"/>
  <c r="X30" i="19" l="1"/>
  <c r="W30" i="19"/>
  <c r="U32" i="19"/>
  <c r="V30" i="19"/>
  <c r="W31" i="19" l="1"/>
  <c r="V31" i="19"/>
  <c r="X31" i="19"/>
  <c r="U33" i="19"/>
  <c r="U34" i="19" l="1"/>
  <c r="W32" i="19"/>
  <c r="V32" i="19"/>
  <c r="X32" i="19"/>
  <c r="X33" i="19" l="1"/>
  <c r="U35" i="19"/>
  <c r="V33" i="19"/>
  <c r="W33" i="19"/>
  <c r="U36" i="19" l="1"/>
  <c r="X34" i="19"/>
  <c r="W34" i="19"/>
  <c r="V34" i="19"/>
  <c r="V35" i="19" l="1"/>
  <c r="U37" i="19"/>
  <c r="X35" i="19"/>
  <c r="W35" i="19"/>
  <c r="W36" i="19" l="1"/>
  <c r="U38" i="19"/>
  <c r="V36" i="19"/>
  <c r="X36" i="19"/>
  <c r="V37" i="19" l="1"/>
  <c r="X37" i="19"/>
  <c r="W37" i="19"/>
  <c r="U39" i="19"/>
  <c r="V38" i="19" l="1"/>
  <c r="X38" i="19"/>
  <c r="U40" i="19"/>
  <c r="W38" i="19"/>
  <c r="V39" i="19" l="1"/>
  <c r="X39" i="19"/>
  <c r="W39" i="19"/>
  <c r="U41" i="19"/>
  <c r="U42" i="19" l="1"/>
  <c r="V40" i="19"/>
  <c r="X40" i="19"/>
  <c r="W40" i="19"/>
  <c r="W41" i="19" l="1"/>
  <c r="U43" i="19"/>
  <c r="V41" i="19"/>
  <c r="X41" i="19"/>
  <c r="V42" i="19" l="1"/>
  <c r="X42" i="19"/>
  <c r="W42" i="19"/>
  <c r="U44" i="19"/>
  <c r="U45" i="19" l="1"/>
  <c r="V43" i="19"/>
  <c r="X43" i="19"/>
  <c r="W43" i="19"/>
  <c r="W44" i="19" l="1"/>
  <c r="U46" i="19"/>
  <c r="V44" i="19"/>
  <c r="X44" i="19"/>
  <c r="V45" i="19" l="1"/>
  <c r="X45" i="19"/>
  <c r="W45" i="19"/>
  <c r="U47" i="19"/>
  <c r="V46" i="19" l="1"/>
  <c r="X46" i="19"/>
  <c r="U48" i="19"/>
  <c r="W46" i="19"/>
  <c r="W47" i="19" l="1"/>
  <c r="V47" i="19"/>
  <c r="X47" i="19"/>
  <c r="U49" i="19"/>
  <c r="V48" i="19" l="1"/>
  <c r="W48" i="19"/>
  <c r="U50" i="19"/>
  <c r="X48" i="19"/>
  <c r="U51" i="19" l="1"/>
  <c r="W49" i="19"/>
  <c r="V49" i="19"/>
  <c r="X49" i="19"/>
  <c r="V50" i="19" l="1"/>
  <c r="X50" i="19"/>
  <c r="U52" i="19"/>
  <c r="W50" i="19"/>
  <c r="W51" i="19" l="1"/>
  <c r="V51" i="19"/>
  <c r="X51" i="19"/>
  <c r="U53" i="19"/>
  <c r="U54" i="19" l="1"/>
  <c r="W52" i="19"/>
  <c r="V52" i="19"/>
  <c r="X52" i="19"/>
  <c r="W53" i="19" l="1"/>
  <c r="V53" i="19"/>
  <c r="U55" i="19"/>
  <c r="X53" i="19"/>
  <c r="V54" i="19" l="1"/>
  <c r="X54" i="19"/>
  <c r="W54" i="19"/>
  <c r="U56" i="19"/>
  <c r="U57" i="19" l="1"/>
  <c r="V55" i="19"/>
  <c r="X55" i="19"/>
  <c r="W55" i="19"/>
  <c r="V56" i="19" l="1"/>
  <c r="U58" i="19"/>
  <c r="W56" i="19"/>
  <c r="X56" i="19"/>
  <c r="X57" i="19" l="1"/>
  <c r="V57" i="19"/>
  <c r="W57" i="19"/>
  <c r="U59" i="19"/>
  <c r="X58" i="19" l="1"/>
  <c r="U60" i="19"/>
  <c r="V58" i="19"/>
  <c r="W58" i="19"/>
  <c r="W59" i="19" l="1"/>
  <c r="X59" i="19"/>
  <c r="U61" i="19"/>
  <c r="V59" i="19"/>
  <c r="X60" i="19" l="1"/>
  <c r="W60" i="19"/>
  <c r="V60" i="19"/>
  <c r="U62" i="19"/>
  <c r="U63" i="19" l="1"/>
  <c r="X61" i="19"/>
  <c r="W61" i="19"/>
  <c r="V61" i="19"/>
  <c r="X62" i="19" l="1"/>
  <c r="V62" i="19"/>
  <c r="U64" i="19"/>
  <c r="W62" i="19"/>
  <c r="W63" i="19" l="1"/>
  <c r="X63" i="19"/>
  <c r="V63" i="19"/>
  <c r="U65" i="19"/>
  <c r="U66" i="19" l="1"/>
  <c r="W64" i="19"/>
  <c r="X64" i="19"/>
  <c r="V64" i="19"/>
  <c r="W65" i="19" l="1"/>
  <c r="U67" i="19"/>
  <c r="V65" i="19"/>
  <c r="X65" i="19"/>
  <c r="U68" i="19" l="1"/>
  <c r="X66" i="19"/>
  <c r="W66" i="19"/>
  <c r="V66" i="19"/>
  <c r="U69" i="19" l="1"/>
  <c r="X67" i="19"/>
  <c r="V67" i="19"/>
  <c r="W67" i="19"/>
  <c r="U70" i="19" l="1"/>
  <c r="X68" i="19"/>
  <c r="W68" i="19"/>
  <c r="V68" i="19"/>
  <c r="U71" i="19" l="1"/>
  <c r="X69" i="19"/>
  <c r="V69" i="19"/>
  <c r="W69" i="19"/>
  <c r="W70" i="19" l="1"/>
  <c r="U72" i="19"/>
  <c r="X70" i="19"/>
  <c r="V70" i="19"/>
  <c r="U73" i="19" l="1"/>
  <c r="W71" i="19"/>
  <c r="V71" i="19"/>
  <c r="X71" i="19"/>
  <c r="V72" i="19" l="1"/>
  <c r="W72" i="19"/>
  <c r="U74" i="19"/>
  <c r="X72" i="19"/>
  <c r="W73" i="19" l="1"/>
  <c r="X73" i="19"/>
  <c r="V73" i="19"/>
  <c r="U75" i="19"/>
  <c r="X74" i="19" l="1"/>
  <c r="U76" i="19"/>
  <c r="W74" i="19"/>
  <c r="V74" i="19"/>
  <c r="U77" i="19" l="1"/>
  <c r="X75" i="19"/>
  <c r="V75" i="19"/>
  <c r="W75" i="19"/>
  <c r="U78" i="19" l="1"/>
  <c r="X76" i="19"/>
  <c r="W76" i="19"/>
  <c r="V76" i="19"/>
  <c r="X77" i="19" l="1"/>
  <c r="V77" i="19"/>
  <c r="U79" i="19"/>
  <c r="W77" i="19"/>
  <c r="V78" i="19" l="1"/>
  <c r="X78" i="19"/>
  <c r="W78" i="19"/>
  <c r="U80" i="19"/>
  <c r="X79" i="19" l="1"/>
  <c r="V79" i="19"/>
  <c r="U81" i="19"/>
  <c r="W79" i="19"/>
  <c r="X80" i="19" l="1"/>
  <c r="V80" i="19"/>
  <c r="W80" i="19"/>
  <c r="U82" i="19"/>
  <c r="V81" i="19" l="1"/>
  <c r="U83" i="19"/>
  <c r="X81" i="19"/>
  <c r="W81" i="19"/>
  <c r="U84" i="19" l="1"/>
  <c r="V82" i="19"/>
  <c r="W82" i="19"/>
  <c r="X82" i="19"/>
  <c r="V83" i="19" l="1"/>
  <c r="U85" i="19"/>
  <c r="W83" i="19"/>
  <c r="X83" i="19"/>
  <c r="U86" i="19" l="1"/>
  <c r="X84" i="19"/>
  <c r="V84" i="19"/>
  <c r="W84" i="19"/>
  <c r="W85" i="19" l="1"/>
  <c r="U87" i="19"/>
  <c r="X85" i="19"/>
  <c r="V85" i="19"/>
  <c r="U88" i="19" l="1"/>
  <c r="W86" i="19"/>
  <c r="V86" i="19"/>
  <c r="X86" i="19"/>
  <c r="X87" i="19" l="1"/>
  <c r="U89" i="19"/>
  <c r="V87" i="19"/>
  <c r="W87" i="19"/>
  <c r="U90" i="19" l="1"/>
  <c r="W88" i="19"/>
  <c r="X88" i="19"/>
  <c r="V88" i="19"/>
  <c r="V89" i="19" l="1"/>
  <c r="U91" i="19"/>
  <c r="W89" i="19"/>
  <c r="X89" i="19"/>
  <c r="U92" i="19" l="1"/>
  <c r="W90" i="19"/>
  <c r="V90" i="19"/>
  <c r="X90" i="19"/>
  <c r="V91" i="19" l="1"/>
  <c r="W91" i="19"/>
  <c r="X91" i="19"/>
  <c r="W92" i="19" l="1"/>
  <c r="V92" i="19"/>
  <c r="X92" i="19"/>
  <c r="F134" i="22" l="1"/>
  <c r="A120" i="22" l="1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B134" i="22" l="1"/>
  <c r="A134" i="22"/>
  <c r="B130" i="22" l="1"/>
  <c r="B131" i="22"/>
  <c r="B132" i="22"/>
  <c r="B133" i="22"/>
  <c r="B129" i="22"/>
  <c r="A90" i="22" l="1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B71" i="22" l="1"/>
  <c r="A71" i="22"/>
  <c r="B86" i="22"/>
  <c r="A86" i="22"/>
  <c r="B62" i="22"/>
  <c r="A62" i="22"/>
  <c r="B77" i="22"/>
  <c r="A77" i="22"/>
  <c r="B61" i="22"/>
  <c r="A61" i="22"/>
  <c r="B84" i="22"/>
  <c r="A84" i="22"/>
  <c r="B68" i="22"/>
  <c r="A68" i="22"/>
  <c r="B82" i="22"/>
  <c r="A82" i="22"/>
  <c r="B74" i="22"/>
  <c r="A74" i="22"/>
  <c r="B66" i="22"/>
  <c r="A66" i="22"/>
  <c r="B79" i="22"/>
  <c r="A79" i="22"/>
  <c r="B70" i="22"/>
  <c r="A70" i="22"/>
  <c r="B89" i="22"/>
  <c r="A89" i="22"/>
  <c r="B81" i="22"/>
  <c r="A81" i="22"/>
  <c r="B73" i="22"/>
  <c r="A73" i="22"/>
  <c r="B65" i="22"/>
  <c r="A65" i="22"/>
  <c r="B88" i="22"/>
  <c r="A88" i="22"/>
  <c r="B80" i="22"/>
  <c r="A80" i="22"/>
  <c r="B72" i="22"/>
  <c r="A72" i="22"/>
  <c r="B64" i="22"/>
  <c r="A64" i="22"/>
  <c r="B87" i="22"/>
  <c r="A87" i="22"/>
  <c r="B63" i="22"/>
  <c r="A63" i="22"/>
  <c r="B78" i="22"/>
  <c r="A78" i="22"/>
  <c r="B85" i="22"/>
  <c r="A85" i="22"/>
  <c r="B69" i="22"/>
  <c r="A69" i="22"/>
  <c r="B76" i="22"/>
  <c r="A76" i="22"/>
  <c r="B60" i="22"/>
  <c r="A60" i="22"/>
  <c r="B83" i="22"/>
  <c r="A83" i="22"/>
  <c r="B75" i="22"/>
  <c r="A75" i="22"/>
  <c r="B67" i="22"/>
  <c r="A67" i="22"/>
  <c r="B59" i="22"/>
  <c r="A59" i="22"/>
  <c r="B113" i="22" l="1"/>
  <c r="B127" i="22" l="1"/>
  <c r="B128" i="22"/>
  <c r="B122" i="22"/>
  <c r="B123" i="22"/>
  <c r="B119" i="22"/>
  <c r="B126" i="22"/>
  <c r="B121" i="22"/>
  <c r="B125" i="22"/>
  <c r="B124" i="22"/>
  <c r="B120" i="22"/>
  <c r="B110" i="22" l="1"/>
  <c r="B109" i="22"/>
  <c r="B117" i="22"/>
  <c r="B112" i="22"/>
  <c r="B111" i="22"/>
  <c r="B118" i="22"/>
  <c r="B116" i="22"/>
  <c r="B115" i="22"/>
  <c r="B114" i="22"/>
  <c r="A3" i="22" l="1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2" i="22"/>
  <c r="B55" i="22" l="1"/>
  <c r="A55" i="22"/>
  <c r="B51" i="22"/>
  <c r="A51" i="22"/>
  <c r="B58" i="22"/>
  <c r="A58" i="22"/>
  <c r="B50" i="22"/>
  <c r="A50" i="22"/>
  <c r="B52" i="22"/>
  <c r="A52" i="22"/>
  <c r="B57" i="22"/>
  <c r="A57" i="22"/>
  <c r="B49" i="22"/>
  <c r="A49" i="22"/>
  <c r="B56" i="22"/>
  <c r="A56" i="22"/>
  <c r="B54" i="22"/>
  <c r="A54" i="22"/>
  <c r="B53" i="22"/>
  <c r="A53" i="22"/>
  <c r="B108" i="22"/>
  <c r="B107" i="22"/>
  <c r="B106" i="22"/>
  <c r="B11" i="22" l="1"/>
  <c r="B15" i="22"/>
  <c r="B16" i="22"/>
  <c r="B22" i="22"/>
  <c r="B27" i="22"/>
  <c r="B31" i="22"/>
  <c r="B35" i="22"/>
  <c r="B36" i="22"/>
  <c r="B42" i="22"/>
  <c r="B47" i="22"/>
  <c r="B6" i="22" l="1"/>
  <c r="B90" i="22"/>
  <c r="B94" i="22"/>
  <c r="E10" i="22" l="1"/>
  <c r="E11" i="22"/>
  <c r="E12" i="22"/>
  <c r="E13" i="22"/>
  <c r="E14" i="22"/>
  <c r="E15" i="22"/>
  <c r="E16" i="22"/>
  <c r="E17" i="22"/>
  <c r="E18" i="22"/>
  <c r="E9" i="22"/>
  <c r="E19" i="22" l="1"/>
  <c r="E20" i="22"/>
  <c r="E21" i="22"/>
  <c r="E22" i="22"/>
  <c r="E23" i="22"/>
  <c r="E24" i="22"/>
  <c r="E25" i="22"/>
  <c r="E26" i="22"/>
  <c r="E27" i="22"/>
  <c r="E28" i="22"/>
  <c r="C40" i="22"/>
  <c r="C41" i="22"/>
  <c r="C42" i="22"/>
  <c r="C43" i="22"/>
  <c r="C44" i="22"/>
  <c r="C45" i="22"/>
  <c r="C46" i="22"/>
  <c r="C47" i="22"/>
  <c r="C48" i="22"/>
  <c r="C20" i="22"/>
  <c r="C21" i="22"/>
  <c r="C22" i="22"/>
  <c r="C23" i="22"/>
  <c r="C24" i="22"/>
  <c r="C25" i="22"/>
  <c r="C26" i="22"/>
  <c r="C27" i="22"/>
  <c r="C28" i="22"/>
  <c r="E37" i="22" l="1"/>
  <c r="E36" i="22"/>
  <c r="E35" i="22"/>
  <c r="E34" i="22"/>
  <c r="E33" i="22"/>
  <c r="E32" i="22"/>
  <c r="E29" i="22"/>
  <c r="E31" i="22"/>
  <c r="E38" i="22"/>
  <c r="E30" i="22"/>
  <c r="E48" i="22"/>
  <c r="E45" i="22"/>
  <c r="E43" i="22"/>
  <c r="E42" i="22"/>
  <c r="E40" i="22"/>
  <c r="E47" i="22"/>
  <c r="E39" i="22"/>
  <c r="E46" i="22"/>
  <c r="E44" i="22"/>
  <c r="E41" i="22"/>
  <c r="C19" i="22" l="1"/>
  <c r="C39" i="22"/>
  <c r="C15" i="22" l="1"/>
  <c r="C35" i="22"/>
  <c r="C34" i="22" l="1"/>
  <c r="C14" i="22"/>
  <c r="C13" i="22"/>
  <c r="C33" i="22"/>
  <c r="C37" i="22"/>
  <c r="C17" i="22"/>
  <c r="C29" i="22"/>
  <c r="C9" i="22"/>
  <c r="C11" i="22"/>
  <c r="C31" i="22"/>
  <c r="C30" i="22"/>
  <c r="C10" i="22"/>
  <c r="C36" i="22"/>
  <c r="C16" i="22"/>
  <c r="C38" i="22"/>
  <c r="C18" i="22"/>
  <c r="C12" i="22"/>
  <c r="C32" i="22"/>
  <c r="A82" i="26" l="1"/>
  <c r="A84" i="26"/>
  <c r="A86" i="26"/>
  <c r="A79" i="26"/>
  <c r="A87" i="26"/>
  <c r="A80" i="26"/>
  <c r="A85" i="26"/>
  <c r="A83" i="26"/>
  <c r="A78" i="26"/>
  <c r="A75" i="26"/>
  <c r="E75" i="26" s="1"/>
  <c r="A92" i="26"/>
  <c r="A88" i="26"/>
  <c r="A81" i="26"/>
  <c r="A90" i="26"/>
  <c r="A91" i="26"/>
  <c r="A89" i="26"/>
  <c r="A76" i="26"/>
  <c r="A77" i="26"/>
  <c r="E91" i="26" l="1"/>
  <c r="E84" i="26"/>
  <c r="E82" i="26"/>
  <c r="E81" i="26"/>
  <c r="E83" i="26"/>
  <c r="E78" i="26"/>
  <c r="E92" i="26"/>
  <c r="E80" i="26"/>
  <c r="E85" i="26"/>
  <c r="E77" i="26"/>
  <c r="E87" i="26"/>
  <c r="E90" i="26"/>
  <c r="E76" i="26"/>
  <c r="E79" i="26"/>
  <c r="E88" i="26"/>
  <c r="E89" i="26"/>
  <c r="E86" i="26"/>
  <c r="C32" i="26" l="1"/>
  <c r="F32" i="26" s="1"/>
  <c r="G32" i="26" s="1"/>
  <c r="C70" i="26"/>
  <c r="F70" i="26" s="1"/>
  <c r="G70" i="26" s="1"/>
  <c r="C67" i="26"/>
  <c r="F67" i="26" s="1"/>
  <c r="G67" i="26" s="1"/>
  <c r="C20" i="26"/>
  <c r="F20" i="26" s="1"/>
  <c r="G20" i="26" s="1"/>
  <c r="C71" i="26"/>
  <c r="F71" i="26" s="1"/>
  <c r="G71" i="26" s="1"/>
  <c r="C34" i="26"/>
  <c r="F34" i="26" s="1"/>
  <c r="G34" i="26" s="1"/>
  <c r="C40" i="26"/>
  <c r="F40" i="26" s="1"/>
  <c r="G40" i="26" s="1"/>
  <c r="C49" i="26"/>
  <c r="F49" i="26" s="1"/>
  <c r="G49" i="26" s="1"/>
  <c r="C83" i="26"/>
  <c r="F83" i="26" s="1"/>
  <c r="G83" i="26" s="1"/>
  <c r="C41" i="26"/>
  <c r="F41" i="26" s="1"/>
  <c r="G41" i="26" s="1"/>
  <c r="C63" i="26"/>
  <c r="F63" i="26" s="1"/>
  <c r="G63" i="26" s="1"/>
  <c r="C29" i="26"/>
  <c r="F29" i="26" s="1"/>
  <c r="G29" i="26" s="1"/>
  <c r="C81" i="26"/>
  <c r="F81" i="26" s="1"/>
  <c r="G81" i="26" s="1"/>
  <c r="C2" i="26"/>
  <c r="F2" i="26" s="1"/>
  <c r="G2" i="26" s="1"/>
  <c r="C10" i="26"/>
  <c r="F10" i="26" s="1"/>
  <c r="G10" i="26" s="1"/>
  <c r="C64" i="26"/>
  <c r="F64" i="26" s="1"/>
  <c r="G64" i="26" s="1"/>
  <c r="C51" i="26"/>
  <c r="F51" i="26" s="1"/>
  <c r="G51" i="26" s="1"/>
  <c r="C53" i="26"/>
  <c r="F53" i="26" s="1"/>
  <c r="G53" i="26" s="1"/>
  <c r="C12" i="26"/>
  <c r="F12" i="26" s="1"/>
  <c r="G12" i="26" s="1"/>
  <c r="C35" i="26"/>
  <c r="F35" i="26" s="1"/>
  <c r="G35" i="26" s="1"/>
  <c r="C36" i="26"/>
  <c r="F36" i="26" s="1"/>
  <c r="G36" i="26" s="1"/>
  <c r="C21" i="26"/>
  <c r="F21" i="26" s="1"/>
  <c r="G21" i="26" s="1"/>
  <c r="C25" i="26"/>
  <c r="F25" i="26" s="1"/>
  <c r="G25" i="26" s="1"/>
  <c r="C86" i="26"/>
  <c r="F86" i="26" s="1"/>
  <c r="G86" i="26" s="1"/>
  <c r="C4" i="26"/>
  <c r="F4" i="26" s="1"/>
  <c r="G4" i="26" s="1"/>
  <c r="C26" i="26"/>
  <c r="F26" i="26" s="1"/>
  <c r="G26" i="26" s="1"/>
  <c r="C79" i="26"/>
  <c r="F79" i="26" s="1"/>
  <c r="G79" i="26" s="1"/>
  <c r="C58" i="26"/>
  <c r="F58" i="26" s="1"/>
  <c r="G58" i="26" s="1"/>
  <c r="C24" i="26"/>
  <c r="F24" i="26" s="1"/>
  <c r="G24" i="26" s="1"/>
  <c r="C56" i="26"/>
  <c r="F56" i="26" s="1"/>
  <c r="G56" i="26" s="1"/>
  <c r="C68" i="26"/>
  <c r="F68" i="26" s="1"/>
  <c r="G68" i="26" s="1"/>
  <c r="C45" i="26"/>
  <c r="F45" i="26" s="1"/>
  <c r="G45" i="26" s="1"/>
  <c r="C30" i="26"/>
  <c r="F30" i="26" s="1"/>
  <c r="G30" i="26" s="1"/>
  <c r="C31" i="26"/>
  <c r="F31" i="26" s="1"/>
  <c r="G31" i="26" s="1"/>
  <c r="C6" i="26"/>
  <c r="F6" i="26" s="1"/>
  <c r="G6" i="26" s="1"/>
  <c r="C5" i="26"/>
  <c r="F5" i="26" s="1"/>
  <c r="G5" i="26" s="1"/>
  <c r="C42" i="26"/>
  <c r="F42" i="26" s="1"/>
  <c r="G42" i="26" s="1"/>
  <c r="C62" i="26"/>
  <c r="F62" i="26" s="1"/>
  <c r="G62" i="26" s="1"/>
  <c r="C73" i="26"/>
  <c r="F73" i="26" s="1"/>
  <c r="G73" i="26" s="1"/>
  <c r="C18" i="26"/>
  <c r="F18" i="26" s="1"/>
  <c r="G18" i="26" s="1"/>
  <c r="C78" i="26"/>
  <c r="F78" i="26" s="1"/>
  <c r="G78" i="26" s="1"/>
  <c r="C66" i="26"/>
  <c r="F66" i="26" s="1"/>
  <c r="G66" i="26" s="1"/>
  <c r="C72" i="26"/>
  <c r="F72" i="26" s="1"/>
  <c r="G72" i="26" s="1"/>
  <c r="C75" i="26"/>
  <c r="F75" i="26" s="1"/>
  <c r="G75" i="26" s="1"/>
  <c r="C48" i="26"/>
  <c r="F48" i="26" s="1"/>
  <c r="G48" i="26" s="1"/>
  <c r="C11" i="26"/>
  <c r="F11" i="26" s="1"/>
  <c r="G11" i="26" s="1"/>
  <c r="C28" i="26"/>
  <c r="F28" i="26" s="1"/>
  <c r="G28" i="26" s="1"/>
  <c r="C80" i="26"/>
  <c r="F80" i="26" s="1"/>
  <c r="G80" i="26" s="1"/>
  <c r="C39" i="26"/>
  <c r="F39" i="26" s="1"/>
  <c r="G39" i="26" s="1"/>
  <c r="C76" i="26"/>
  <c r="F76" i="26" s="1"/>
  <c r="G76" i="26" s="1"/>
  <c r="C52" i="26"/>
  <c r="F52" i="26" s="1"/>
  <c r="G52" i="26" s="1"/>
  <c r="C55" i="26"/>
  <c r="F55" i="26" s="1"/>
  <c r="G55" i="26" s="1"/>
  <c r="C91" i="26"/>
  <c r="F91" i="26" s="1"/>
  <c r="G91" i="26" s="1"/>
  <c r="C37" i="26"/>
  <c r="F37" i="26" s="1"/>
  <c r="G37" i="26" s="1"/>
  <c r="C13" i="26"/>
  <c r="F13" i="26" s="1"/>
  <c r="G13" i="26" s="1"/>
  <c r="C77" i="26"/>
  <c r="F77" i="26" s="1"/>
  <c r="G77" i="26" s="1"/>
  <c r="C43" i="26"/>
  <c r="F43" i="26" s="1"/>
  <c r="G43" i="26" s="1"/>
  <c r="C82" i="26"/>
  <c r="F82" i="26" s="1"/>
  <c r="G82" i="26" s="1"/>
  <c r="C61" i="26"/>
  <c r="F61" i="26" s="1"/>
  <c r="G61" i="26" s="1"/>
  <c r="C59" i="26"/>
  <c r="F59" i="26" s="1"/>
  <c r="G59" i="26" s="1"/>
  <c r="C89" i="26"/>
  <c r="F89" i="26" s="1"/>
  <c r="G89" i="26" s="1"/>
  <c r="C15" i="26"/>
  <c r="F15" i="26" s="1"/>
  <c r="G15" i="26" s="1"/>
  <c r="C84" i="26"/>
  <c r="F84" i="26" s="1"/>
  <c r="G84" i="26" s="1"/>
  <c r="C33" i="26"/>
  <c r="F33" i="26" s="1"/>
  <c r="G33" i="26" s="1"/>
  <c r="C8" i="26"/>
  <c r="F8" i="26" s="1"/>
  <c r="G8" i="26" s="1"/>
  <c r="C88" i="26"/>
  <c r="F88" i="26" s="1"/>
  <c r="G88" i="26" s="1"/>
  <c r="C69" i="26"/>
  <c r="F69" i="26" s="1"/>
  <c r="G69" i="26" s="1"/>
  <c r="C47" i="26"/>
  <c r="F47" i="26" s="1"/>
  <c r="G47" i="26" s="1"/>
  <c r="C46" i="26"/>
  <c r="F46" i="26" s="1"/>
  <c r="G46" i="26" s="1"/>
  <c r="C19" i="26"/>
  <c r="F19" i="26" s="1"/>
  <c r="G19" i="26" s="1"/>
  <c r="C27" i="26"/>
  <c r="F27" i="26" s="1"/>
  <c r="G27" i="26" s="1"/>
  <c r="C87" i="26"/>
  <c r="F87" i="26" s="1"/>
  <c r="G87" i="26" s="1"/>
  <c r="C7" i="26"/>
  <c r="F7" i="26" s="1"/>
  <c r="G7" i="26" s="1"/>
  <c r="C9" i="26"/>
  <c r="F9" i="26" s="1"/>
  <c r="G9" i="26" s="1"/>
  <c r="C17" i="26"/>
  <c r="F17" i="26" s="1"/>
  <c r="G17" i="26" s="1"/>
  <c r="C14" i="26"/>
  <c r="F14" i="26" s="1"/>
  <c r="G14" i="26" s="1"/>
  <c r="C3" i="26"/>
  <c r="F3" i="26" s="1"/>
  <c r="G3" i="26" s="1"/>
  <c r="C85" i="26"/>
  <c r="F85" i="26" s="1"/>
  <c r="G85" i="26" s="1"/>
  <c r="C44" i="26"/>
  <c r="F44" i="26" s="1"/>
  <c r="G44" i="26" s="1"/>
  <c r="C57" i="26"/>
  <c r="F57" i="26" s="1"/>
  <c r="G57" i="26" s="1"/>
  <c r="C65" i="26"/>
  <c r="F65" i="26" s="1"/>
  <c r="G65" i="26" s="1"/>
  <c r="C23" i="26"/>
  <c r="F23" i="26" s="1"/>
  <c r="G23" i="26" s="1"/>
  <c r="C90" i="26"/>
  <c r="F90" i="26" s="1"/>
  <c r="G90" i="26" s="1"/>
  <c r="C50" i="26"/>
  <c r="F50" i="26" s="1"/>
  <c r="G50" i="26" s="1"/>
  <c r="C92" i="26"/>
  <c r="F92" i="26" s="1"/>
  <c r="G92" i="26" s="1"/>
  <c r="C38" i="26"/>
  <c r="F38" i="26" s="1"/>
  <c r="G38" i="26" s="1"/>
  <c r="C16" i="26"/>
  <c r="F16" i="26" s="1"/>
  <c r="G16" i="26" s="1"/>
  <c r="C54" i="26"/>
  <c r="F54" i="26" s="1"/>
  <c r="G54" i="26" s="1"/>
  <c r="C74" i="26"/>
  <c r="F74" i="26" s="1"/>
  <c r="G74" i="26" s="1"/>
  <c r="C22" i="26"/>
  <c r="F22" i="26" s="1"/>
  <c r="G22" i="26" s="1"/>
  <c r="C60" i="26"/>
  <c r="F60" i="26" s="1"/>
  <c r="G60" i="26" s="1"/>
  <c r="C3" i="18" l="1"/>
  <c r="C14" i="18"/>
  <c r="C18" i="18"/>
  <c r="C19" i="18"/>
  <c r="C15" i="18"/>
  <c r="C16" i="18"/>
  <c r="C17" i="18"/>
  <c r="D16" i="18" l="1"/>
  <c r="D17" i="18"/>
  <c r="C6" i="18"/>
  <c r="D14" i="18"/>
  <c r="C5" i="18"/>
  <c r="D18" i="18"/>
  <c r="D19" i="18"/>
  <c r="D15" i="18"/>
  <c r="J4" i="18" l="1"/>
  <c r="L4" i="18" s="1"/>
  <c r="E17" i="18"/>
  <c r="E16" i="18"/>
  <c r="E18" i="18"/>
  <c r="E14" i="18"/>
  <c r="C2" i="18"/>
  <c r="D5" i="18" s="1"/>
  <c r="E15" i="18"/>
  <c r="E19" i="18"/>
  <c r="D6" i="18" l="1"/>
  <c r="D4" i="18"/>
  <c r="C4" i="18"/>
  <c r="J3" i="18"/>
  <c r="L3" i="18" s="1"/>
  <c r="D325" i="34" l="1"/>
  <c r="E325" i="34" s="1"/>
  <c r="D329" i="34"/>
  <c r="E329" i="34" s="1"/>
  <c r="D330" i="34"/>
  <c r="E330" i="34" s="1"/>
  <c r="D332" i="34"/>
  <c r="E332" i="34" s="1"/>
  <c r="D333" i="34"/>
  <c r="E333" i="34" s="1"/>
  <c r="D324" i="34"/>
  <c r="E324" i="34" s="1"/>
  <c r="D273" i="34"/>
  <c r="E273" i="34" s="1"/>
  <c r="D266" i="34"/>
  <c r="E266" i="34" s="1"/>
  <c r="D323" i="34" l="1"/>
  <c r="E323" i="34" s="1"/>
  <c r="D336" i="34"/>
  <c r="E336" i="34" s="1"/>
  <c r="D320" i="34"/>
  <c r="E320" i="34" s="1"/>
  <c r="D288" i="34"/>
  <c r="E288" i="34" s="1"/>
  <c r="D270" i="34"/>
  <c r="E270" i="34" s="1"/>
  <c r="D311" i="34"/>
  <c r="E311" i="34" s="1"/>
  <c r="D291" i="34"/>
  <c r="E291" i="34" s="1"/>
  <c r="D276" i="34"/>
  <c r="E276" i="34" s="1"/>
  <c r="D309" i="34"/>
  <c r="E309" i="34" s="1"/>
  <c r="D298" i="34"/>
  <c r="E298" i="34" s="1"/>
  <c r="D335" i="34"/>
  <c r="E335" i="34" s="1"/>
  <c r="D315" i="34"/>
  <c r="E315" i="34" s="1"/>
  <c r="D283" i="34"/>
  <c r="E283" i="34" s="1"/>
  <c r="D267" i="34"/>
  <c r="E267" i="34" s="1"/>
  <c r="D290" i="34"/>
  <c r="E290" i="34" s="1"/>
  <c r="D271" i="34"/>
  <c r="E271" i="34" s="1"/>
  <c r="D277" i="34"/>
  <c r="E277" i="34" s="1"/>
  <c r="D300" i="34"/>
  <c r="E300" i="34" s="1"/>
  <c r="D289" i="34"/>
  <c r="E289" i="34" s="1"/>
  <c r="D319" i="34"/>
  <c r="E319" i="34" s="1"/>
  <c r="D287" i="34"/>
  <c r="E287" i="34" s="1"/>
  <c r="D274" i="34"/>
  <c r="E274" i="34" s="1"/>
  <c r="D318" i="34"/>
  <c r="E318" i="34" s="1"/>
  <c r="D308" i="34"/>
  <c r="E308" i="34" s="1"/>
  <c r="D297" i="34"/>
  <c r="E297" i="34" s="1"/>
  <c r="D286" i="34"/>
  <c r="E286" i="34" s="1"/>
  <c r="D334" i="34"/>
  <c r="E334" i="34" s="1"/>
  <c r="D312" i="34"/>
  <c r="E312" i="34" s="1"/>
  <c r="D280" i="34"/>
  <c r="E280" i="34" s="1"/>
  <c r="D281" i="34"/>
  <c r="E281" i="34" s="1"/>
  <c r="D321" i="34"/>
  <c r="E321" i="34" s="1"/>
  <c r="D317" i="34"/>
  <c r="E317" i="34" s="1"/>
  <c r="D306" i="34"/>
  <c r="E306" i="34" s="1"/>
  <c r="D295" i="34"/>
  <c r="E295" i="34" s="1"/>
  <c r="D285" i="34"/>
  <c r="E285" i="34" s="1"/>
  <c r="D331" i="34"/>
  <c r="E331" i="34" s="1"/>
  <c r="D307" i="34"/>
  <c r="E307" i="34" s="1"/>
  <c r="D279" i="34"/>
  <c r="E279" i="34" s="1"/>
  <c r="D301" i="34"/>
  <c r="E301" i="34" s="1"/>
  <c r="D310" i="34"/>
  <c r="E310" i="34" s="1"/>
  <c r="D269" i="34"/>
  <c r="E269" i="34" s="1"/>
  <c r="D316" i="34"/>
  <c r="E316" i="34" s="1"/>
  <c r="D305" i="34"/>
  <c r="E305" i="34" s="1"/>
  <c r="D294" i="34"/>
  <c r="E294" i="34" s="1"/>
  <c r="D284" i="34"/>
  <c r="E284" i="34" s="1"/>
  <c r="D328" i="34"/>
  <c r="E328" i="34" s="1"/>
  <c r="D304" i="34"/>
  <c r="E304" i="34" s="1"/>
  <c r="D278" i="34"/>
  <c r="E278" i="34" s="1"/>
  <c r="D322" i="34"/>
  <c r="E322" i="34" s="1"/>
  <c r="D265" i="34"/>
  <c r="E265" i="34" s="1"/>
  <c r="D268" i="34"/>
  <c r="E268" i="34" s="1"/>
  <c r="D314" i="34"/>
  <c r="E314" i="34" s="1"/>
  <c r="D303" i="34"/>
  <c r="E303" i="34" s="1"/>
  <c r="D293" i="34"/>
  <c r="E293" i="34" s="1"/>
  <c r="D327" i="34"/>
  <c r="E327" i="34" s="1"/>
  <c r="D299" i="34"/>
  <c r="E299" i="34" s="1"/>
  <c r="D275" i="34"/>
  <c r="E275" i="34" s="1"/>
  <c r="D282" i="34"/>
  <c r="E282" i="34" s="1"/>
  <c r="D313" i="34"/>
  <c r="E313" i="34" s="1"/>
  <c r="D302" i="34"/>
  <c r="E302" i="34" s="1"/>
  <c r="D292" i="34"/>
  <c r="E292" i="34" s="1"/>
  <c r="D326" i="34"/>
  <c r="E326" i="34" s="1"/>
  <c r="D296" i="34"/>
  <c r="E296" i="34" s="1"/>
  <c r="D272" i="34"/>
  <c r="E272" i="34" s="1"/>
  <c r="B252" i="34" l="1"/>
  <c r="B291" i="33"/>
  <c r="B213" i="34" l="1"/>
  <c r="B252" i="33"/>
  <c r="B199" i="34"/>
  <c r="B238" i="33"/>
  <c r="B184" i="34"/>
  <c r="B223" i="33"/>
  <c r="B262" i="34"/>
  <c r="B301" i="33"/>
  <c r="B249" i="34"/>
  <c r="B288" i="33"/>
  <c r="B238" i="34"/>
  <c r="B277" i="33"/>
  <c r="B226" i="34"/>
  <c r="B265" i="33"/>
  <c r="B212" i="34"/>
  <c r="B251" i="33"/>
  <c r="B237" i="33"/>
  <c r="B198" i="34"/>
  <c r="B222" i="33"/>
  <c r="B183" i="34"/>
  <c r="B250" i="34"/>
  <c r="B289" i="33"/>
  <c r="B261" i="34"/>
  <c r="B300" i="33"/>
  <c r="B248" i="34"/>
  <c r="B287" i="33"/>
  <c r="B276" i="33"/>
  <c r="B237" i="34"/>
  <c r="B262" i="33"/>
  <c r="B223" i="34"/>
  <c r="B210" i="34"/>
  <c r="B249" i="33"/>
  <c r="B235" i="33"/>
  <c r="B196" i="34"/>
  <c r="B181" i="34"/>
  <c r="B220" i="33"/>
  <c r="B302" i="33"/>
  <c r="B263" i="34"/>
  <c r="B275" i="33"/>
  <c r="B236" i="34"/>
  <c r="B180" i="34"/>
  <c r="B219" i="33"/>
  <c r="B227" i="34"/>
  <c r="B266" i="33"/>
  <c r="B209" i="34"/>
  <c r="B248" i="33"/>
  <c r="B272" i="33"/>
  <c r="B233" i="34"/>
  <c r="B220" i="34"/>
  <c r="B259" i="33"/>
  <c r="B207" i="34"/>
  <c r="B246" i="33"/>
  <c r="B191" i="34"/>
  <c r="B230" i="33"/>
  <c r="B217" i="33"/>
  <c r="B178" i="34"/>
  <c r="B260" i="34"/>
  <c r="B299" i="33"/>
  <c r="B194" i="34"/>
  <c r="B233" i="33"/>
  <c r="B245" i="34"/>
  <c r="B284" i="33"/>
  <c r="B297" i="33"/>
  <c r="B258" i="34"/>
  <c r="B244" i="34"/>
  <c r="B283" i="33"/>
  <c r="B231" i="34"/>
  <c r="B270" i="33"/>
  <c r="B219" i="34"/>
  <c r="B258" i="33"/>
  <c r="B244" i="33"/>
  <c r="B205" i="34"/>
  <c r="B229" i="33"/>
  <c r="B190" i="34"/>
  <c r="B177" i="34"/>
  <c r="B216" i="33"/>
  <c r="B285" i="33"/>
  <c r="B246" i="34"/>
  <c r="B251" i="34"/>
  <c r="B290" i="33"/>
  <c r="B242" i="34"/>
  <c r="B281" i="33"/>
  <c r="B230" i="34"/>
  <c r="B269" i="33"/>
  <c r="B217" i="34"/>
  <c r="B256" i="33"/>
  <c r="B202" i="34"/>
  <c r="B241" i="33"/>
  <c r="B188" i="34"/>
  <c r="B227" i="33"/>
  <c r="B213" i="33"/>
  <c r="B174" i="34"/>
  <c r="B239" i="34"/>
  <c r="B278" i="33"/>
  <c r="B261" i="33"/>
  <c r="B222" i="34"/>
  <c r="B259" i="34"/>
  <c r="B298" i="33"/>
  <c r="B257" i="34"/>
  <c r="B296" i="33"/>
  <c r="B303" i="33"/>
  <c r="B264" i="34"/>
  <c r="B295" i="33"/>
  <c r="B256" i="34"/>
  <c r="B241" i="34"/>
  <c r="B280" i="33"/>
  <c r="B229" i="34"/>
  <c r="B268" i="33"/>
  <c r="B216" i="34"/>
  <c r="B255" i="33"/>
  <c r="B240" i="33"/>
  <c r="B201" i="34"/>
  <c r="B186" i="34"/>
  <c r="B225" i="33"/>
  <c r="B173" i="34"/>
  <c r="B212" i="33"/>
  <c r="B211" i="34" l="1"/>
  <c r="B250" i="33"/>
  <c r="B185" i="34"/>
  <c r="B224" i="33"/>
  <c r="B273" i="33"/>
  <c r="B234" i="34"/>
  <c r="B179" i="34"/>
  <c r="B218" i="33"/>
  <c r="B236" i="33"/>
  <c r="B197" i="34"/>
  <c r="B200" i="34"/>
  <c r="B239" i="33"/>
  <c r="B189" i="34"/>
  <c r="B228" i="33"/>
  <c r="B218" i="34"/>
  <c r="B257" i="33"/>
  <c r="B182" i="34"/>
  <c r="B221" i="33"/>
  <c r="B243" i="34"/>
  <c r="B282" i="33"/>
  <c r="B221" i="34"/>
  <c r="B260" i="33"/>
  <c r="B192" i="34"/>
  <c r="B231" i="33"/>
  <c r="B247" i="34"/>
  <c r="B286" i="33"/>
  <c r="B214" i="33"/>
  <c r="B175" i="34"/>
  <c r="B206" i="34"/>
  <c r="B245" i="33"/>
  <c r="B208" i="34"/>
  <c r="B247" i="33"/>
  <c r="B242" i="33"/>
  <c r="B203" i="34"/>
  <c r="AM4" i="34"/>
  <c r="B240" i="34"/>
  <c r="B279" i="33"/>
  <c r="B232" i="34"/>
  <c r="B271" i="33"/>
  <c r="B214" i="34"/>
  <c r="B253" i="33"/>
  <c r="B195" i="34"/>
  <c r="B234" i="33"/>
  <c r="B224" i="34"/>
  <c r="B263" i="33"/>
  <c r="B187" i="34"/>
  <c r="B226" i="33"/>
  <c r="B228" i="34"/>
  <c r="B267" i="33"/>
  <c r="B176" i="34" l="1"/>
  <c r="AM14" i="34" s="1"/>
  <c r="B215" i="33"/>
  <c r="B243" i="33"/>
  <c r="B204" i="34"/>
  <c r="AM16" i="34"/>
  <c r="AM7" i="34"/>
  <c r="B232" i="33"/>
  <c r="B193" i="34"/>
  <c r="AM31" i="34" s="1"/>
  <c r="B225" i="34"/>
  <c r="B264" i="33"/>
  <c r="B215" i="34"/>
  <c r="B254" i="33"/>
  <c r="AM5" i="34"/>
  <c r="AM11" i="34"/>
  <c r="AM18" i="34"/>
  <c r="B274" i="33"/>
  <c r="B235" i="34"/>
  <c r="AM9" i="34"/>
  <c r="AM32" i="34" l="1"/>
  <c r="AM57" i="34"/>
  <c r="AM53" i="34"/>
  <c r="AM72" i="34"/>
  <c r="AM39" i="34"/>
  <c r="AM49" i="34"/>
  <c r="AM67" i="34"/>
  <c r="AM56" i="34"/>
  <c r="AM61" i="34"/>
  <c r="AM73" i="34"/>
  <c r="AM71" i="34"/>
  <c r="AM23" i="34"/>
  <c r="AM70" i="34"/>
  <c r="AM21" i="34"/>
  <c r="AM74" i="34"/>
  <c r="AM22" i="34"/>
  <c r="AM43" i="34"/>
  <c r="AM45" i="34"/>
  <c r="AM25" i="34"/>
  <c r="AM40" i="34"/>
  <c r="AM50" i="34"/>
  <c r="AM58" i="34"/>
  <c r="AM30" i="34"/>
  <c r="AM36" i="34"/>
  <c r="AM51" i="34"/>
  <c r="AM55" i="34"/>
  <c r="AM47" i="34"/>
  <c r="AM62" i="34"/>
  <c r="AM41" i="34"/>
  <c r="AM59" i="34"/>
  <c r="AM54" i="34"/>
  <c r="AM66" i="34"/>
  <c r="AM20" i="34"/>
  <c r="AM13" i="34"/>
  <c r="AM65" i="34"/>
  <c r="AM63" i="34"/>
  <c r="AM34" i="34"/>
  <c r="AM3" i="34"/>
  <c r="AM69" i="34"/>
  <c r="AM52" i="34"/>
  <c r="AM64" i="34"/>
  <c r="AM38" i="34"/>
  <c r="AM60" i="34"/>
  <c r="AM68" i="34"/>
  <c r="AM29" i="34"/>
  <c r="AM27" i="34"/>
  <c r="AM48" i="34"/>
  <c r="AM12" i="34"/>
  <c r="B325" i="34" l="1"/>
  <c r="B364" i="33"/>
  <c r="B376" i="33"/>
  <c r="B337" i="34"/>
  <c r="B317" i="34"/>
  <c r="B356" i="33"/>
  <c r="B296" i="34"/>
  <c r="B335" i="33"/>
  <c r="B366" i="33"/>
  <c r="B327" i="34"/>
  <c r="B343" i="33"/>
  <c r="B304" i="34"/>
  <c r="B340" i="33"/>
  <c r="B301" i="34"/>
  <c r="B321" i="34"/>
  <c r="B360" i="33"/>
  <c r="B357" i="33"/>
  <c r="B318" i="34"/>
  <c r="B329" i="33"/>
  <c r="B290" i="34"/>
  <c r="B330" i="33"/>
  <c r="B291" i="34"/>
  <c r="B363" i="33"/>
  <c r="B324" i="34"/>
  <c r="B308" i="34"/>
  <c r="B347" i="33"/>
  <c r="B332" i="33"/>
  <c r="B293" i="34"/>
  <c r="B306" i="33"/>
  <c r="B267" i="34"/>
  <c r="B350" i="33"/>
  <c r="B311" i="34"/>
  <c r="B292" i="34"/>
  <c r="B331" i="33"/>
  <c r="B303" i="34"/>
  <c r="B342" i="33"/>
  <c r="B284" i="34"/>
  <c r="B323" i="33"/>
  <c r="B307" i="34"/>
  <c r="B346" i="33"/>
  <c r="B280" i="34"/>
  <c r="B319" i="33"/>
  <c r="B287" i="34"/>
  <c r="B326" i="33"/>
  <c r="B283" i="34"/>
  <c r="B322" i="33"/>
  <c r="B270" i="34"/>
  <c r="B309" i="33"/>
  <c r="B317" i="33"/>
  <c r="B278" i="34"/>
  <c r="B372" i="33"/>
  <c r="B333" i="34"/>
  <c r="B328" i="34"/>
  <c r="B367" i="33"/>
  <c r="B305" i="33"/>
  <c r="B266" i="34"/>
  <c r="AM15" i="34" s="1"/>
  <c r="B302" i="34"/>
  <c r="B341" i="33"/>
  <c r="B353" i="33"/>
  <c r="B314" i="34"/>
  <c r="B333" i="33"/>
  <c r="B294" i="34"/>
  <c r="B370" i="33"/>
  <c r="B331" i="34"/>
  <c r="B351" i="33"/>
  <c r="B312" i="34"/>
  <c r="B319" i="34"/>
  <c r="B358" i="33"/>
  <c r="B315" i="34"/>
  <c r="B354" i="33"/>
  <c r="B327" i="33"/>
  <c r="B288" i="34"/>
  <c r="B299" i="34"/>
  <c r="B338" i="33"/>
  <c r="B271" i="34"/>
  <c r="B310" i="33"/>
  <c r="B281" i="34"/>
  <c r="B320" i="33"/>
  <c r="B330" i="34"/>
  <c r="B369" i="33"/>
  <c r="B313" i="34"/>
  <c r="B352" i="33"/>
  <c r="B307" i="33"/>
  <c r="B268" i="34"/>
  <c r="B305" i="34"/>
  <c r="B344" i="33"/>
  <c r="B285" i="34"/>
  <c r="B324" i="33"/>
  <c r="B373" i="33"/>
  <c r="B334" i="34"/>
  <c r="B289" i="34"/>
  <c r="B328" i="33"/>
  <c r="B374" i="33"/>
  <c r="B335" i="34"/>
  <c r="B320" i="34"/>
  <c r="B359" i="33"/>
  <c r="B310" i="34"/>
  <c r="B349" i="33"/>
  <c r="B329" i="34"/>
  <c r="B368" i="33"/>
  <c r="B279" i="34"/>
  <c r="B318" i="33"/>
  <c r="B312" i="33"/>
  <c r="B273" i="34"/>
  <c r="AM75" i="34" s="1"/>
  <c r="B332" i="34"/>
  <c r="B371" i="33"/>
  <c r="B282" i="34"/>
  <c r="B321" i="33"/>
  <c r="B304" i="33"/>
  <c r="B265" i="34"/>
  <c r="B316" i="34"/>
  <c r="B355" i="33"/>
  <c r="B334" i="33"/>
  <c r="B295" i="34"/>
  <c r="B325" i="33"/>
  <c r="B286" i="34"/>
  <c r="B339" i="33"/>
  <c r="B300" i="34"/>
  <c r="B337" i="33"/>
  <c r="B298" i="34"/>
  <c r="B336" i="34"/>
  <c r="B375" i="33"/>
  <c r="B311" i="33"/>
  <c r="B272" i="34"/>
  <c r="B315" i="33"/>
  <c r="B276" i="34"/>
  <c r="B365" i="33"/>
  <c r="B326" i="34"/>
  <c r="B313" i="33"/>
  <c r="B274" i="34"/>
  <c r="B314" i="33"/>
  <c r="B275" i="34"/>
  <c r="B322" i="34"/>
  <c r="B361" i="33"/>
  <c r="B269" i="34"/>
  <c r="B308" i="33"/>
  <c r="B345" i="33"/>
  <c r="B306" i="34"/>
  <c r="B336" i="33"/>
  <c r="B297" i="34"/>
  <c r="B277" i="34"/>
  <c r="B316" i="33"/>
  <c r="B309" i="34"/>
  <c r="B348" i="33"/>
  <c r="B323" i="34"/>
  <c r="B362" i="33"/>
  <c r="AM44" i="34" l="1"/>
  <c r="AM79" i="34"/>
  <c r="AM81" i="34"/>
  <c r="AM78" i="34"/>
  <c r="AM28" i="34"/>
  <c r="AM19" i="34"/>
  <c r="AM42" i="34"/>
  <c r="AM24" i="34"/>
  <c r="AM37" i="34"/>
  <c r="AM35" i="34"/>
  <c r="AM33" i="34"/>
  <c r="AM77" i="34"/>
  <c r="AM80" i="34"/>
  <c r="AM26" i="34"/>
  <c r="AM76" i="34"/>
  <c r="AM46" i="34"/>
  <c r="AM17" i="34"/>
  <c r="B338" i="34"/>
  <c r="B377" i="33"/>
  <c r="B339" i="34" l="1"/>
  <c r="B378" i="33"/>
  <c r="B340" i="34" l="1"/>
  <c r="B379" i="33"/>
  <c r="B341" i="34" l="1"/>
  <c r="B380" i="33"/>
  <c r="B342" i="34" l="1"/>
  <c r="B381" i="33"/>
  <c r="B343" i="34" l="1"/>
  <c r="B382" i="33"/>
  <c r="B344" i="34" l="1"/>
  <c r="B383" i="33"/>
  <c r="B345" i="34" l="1"/>
  <c r="B384" i="33"/>
  <c r="B346" i="34" l="1"/>
  <c r="B385" i="33"/>
  <c r="B347" i="34" l="1"/>
  <c r="B386" i="33"/>
  <c r="B387" i="33"/>
  <c r="AL10" i="34" l="1"/>
  <c r="AM10" i="34"/>
  <c r="AM6" i="34"/>
  <c r="AM8" i="34"/>
  <c r="AL6" i="34"/>
  <c r="AL8" i="34"/>
  <c r="B388" i="33"/>
  <c r="B389" i="33" l="1"/>
  <c r="B390" i="33" l="1"/>
  <c r="B391" i="33" l="1"/>
  <c r="B392" i="33" l="1"/>
  <c r="B393" i="33" l="1"/>
  <c r="B394" i="33" l="1"/>
  <c r="G96" i="33" l="1"/>
  <c r="G94" i="33"/>
  <c r="G99" i="33"/>
  <c r="G92" i="33"/>
  <c r="G93" i="33"/>
  <c r="G12" i="33"/>
  <c r="G88" i="33"/>
  <c r="G97" i="33"/>
  <c r="G100" i="33"/>
  <c r="G90" i="33"/>
  <c r="G8" i="33"/>
  <c r="G95" i="33"/>
  <c r="G10" i="33"/>
  <c r="G101" i="33"/>
  <c r="G91" i="33"/>
  <c r="G98" i="33"/>
  <c r="G103" i="33"/>
  <c r="G102" i="33"/>
  <c r="G89" i="33"/>
  <c r="C211" i="33" l="1"/>
  <c r="C266" i="34" l="1"/>
  <c r="AL15" i="34" s="1"/>
  <c r="C267" i="34"/>
  <c r="C268" i="34"/>
  <c r="AL17" i="34" s="1"/>
  <c r="C269" i="34"/>
  <c r="C270" i="34"/>
  <c r="AL19" i="34" s="1"/>
  <c r="C271" i="34"/>
  <c r="C272" i="34"/>
  <c r="C273" i="34"/>
  <c r="C274" i="34"/>
  <c r="C275" i="34"/>
  <c r="AL24" i="34" s="1"/>
  <c r="C276" i="34"/>
  <c r="C277" i="34"/>
  <c r="AL26" i="34" s="1"/>
  <c r="C278" i="34"/>
  <c r="C279" i="34"/>
  <c r="AL28" i="34" s="1"/>
  <c r="C280" i="34"/>
  <c r="C281" i="34"/>
  <c r="C282" i="34"/>
  <c r="C283" i="34"/>
  <c r="C265" i="34"/>
  <c r="C175" i="34" l="1"/>
  <c r="C178" i="34"/>
  <c r="C173" i="34"/>
  <c r="AL2" i="34" s="1"/>
  <c r="C176" i="34"/>
  <c r="C186" i="34"/>
  <c r="C182" i="34"/>
  <c r="C177" i="34"/>
  <c r="AL5" i="34" s="1"/>
  <c r="C174" i="34"/>
  <c r="AL4" i="34" s="1"/>
  <c r="C188" i="34"/>
  <c r="C252" i="34"/>
  <c r="C187" i="34"/>
  <c r="C180" i="34"/>
  <c r="AL9" i="34" s="1"/>
  <c r="C179" i="34"/>
  <c r="C255" i="34"/>
  <c r="C183" i="34"/>
  <c r="AL12" i="34" s="1"/>
  <c r="C181" i="34"/>
  <c r="AL11" i="34" s="1"/>
  <c r="C184" i="34"/>
  <c r="C185" i="34"/>
  <c r="AL13" i="34" l="1"/>
  <c r="AL7" i="34"/>
  <c r="C264" i="34" l="1"/>
  <c r="C246" i="34"/>
  <c r="C247" i="34"/>
  <c r="C248" i="34"/>
  <c r="C249" i="34"/>
  <c r="C250" i="34"/>
  <c r="C254" i="34" l="1"/>
  <c r="C263" i="34"/>
  <c r="C262" i="34"/>
  <c r="C244" i="34"/>
  <c r="C245" i="34"/>
  <c r="C243" i="34"/>
  <c r="C284" i="34" l="1"/>
  <c r="AL33" i="34" s="1"/>
  <c r="C189" i="34"/>
  <c r="AL16" i="34" s="1"/>
  <c r="C285" i="34" l="1"/>
  <c r="C190" i="34"/>
  <c r="AL18" i="34" s="1"/>
  <c r="C334" i="34" l="1"/>
  <c r="C235" i="34"/>
  <c r="C335" i="34"/>
  <c r="C236" i="34"/>
  <c r="C336" i="34"/>
  <c r="C237" i="34"/>
  <c r="C238" i="34"/>
  <c r="C333" i="34"/>
  <c r="C234" i="34"/>
  <c r="C292" i="34"/>
  <c r="C197" i="34"/>
  <c r="C293" i="34"/>
  <c r="AL42" i="34" s="1"/>
  <c r="C253" i="34"/>
  <c r="AL3" i="34" s="1"/>
  <c r="C294" i="34"/>
  <c r="C198" i="34"/>
  <c r="C295" i="34"/>
  <c r="AL44" i="34" s="1"/>
  <c r="C199" i="34"/>
  <c r="C296" i="34"/>
  <c r="C200" i="34"/>
  <c r="C297" i="34"/>
  <c r="AL46" i="34" s="1"/>
  <c r="C201" i="34"/>
  <c r="AL27" i="34" s="1"/>
  <c r="C306" i="34"/>
  <c r="C210" i="34"/>
  <c r="AL34" i="34" s="1"/>
  <c r="C307" i="34"/>
  <c r="C211" i="34"/>
  <c r="C316" i="34"/>
  <c r="C220" i="34"/>
  <c r="C317" i="34"/>
  <c r="AL66" i="34" s="1"/>
  <c r="C221" i="34"/>
  <c r="C318" i="34"/>
  <c r="AL67" i="34" s="1"/>
  <c r="C222" i="34"/>
  <c r="AL45" i="34" s="1"/>
  <c r="C319" i="34"/>
  <c r="AL68" i="34" s="1"/>
  <c r="C223" i="34"/>
  <c r="C320" i="34"/>
  <c r="AL69" i="34" s="1"/>
  <c r="C224" i="34"/>
  <c r="C321" i="34"/>
  <c r="AL70" i="34" s="1"/>
  <c r="C225" i="34"/>
  <c r="C330" i="34"/>
  <c r="AL79" i="34" s="1"/>
  <c r="C256" i="34"/>
  <c r="C331" i="34"/>
  <c r="AL80" i="34" s="1"/>
  <c r="C257" i="34"/>
  <c r="C241" i="34"/>
  <c r="C259" i="34"/>
  <c r="C260" i="34"/>
  <c r="C261" i="34"/>
  <c r="C290" i="34"/>
  <c r="C195" i="34"/>
  <c r="C291" i="34"/>
  <c r="C196" i="34"/>
  <c r="AL22" i="34" s="1"/>
  <c r="C300" i="34"/>
  <c r="C204" i="34"/>
  <c r="C301" i="34"/>
  <c r="C205" i="34"/>
  <c r="C302" i="34"/>
  <c r="C206" i="34"/>
  <c r="C303" i="34"/>
  <c r="C207" i="34"/>
  <c r="AL31" i="34" s="1"/>
  <c r="C304" i="34"/>
  <c r="C208" i="34"/>
  <c r="C305" i="34"/>
  <c r="C209" i="34"/>
  <c r="AL32" i="34" s="1"/>
  <c r="C314" i="34"/>
  <c r="C218" i="34"/>
  <c r="C315" i="34"/>
  <c r="C219" i="34"/>
  <c r="C324" i="34"/>
  <c r="AL73" i="34" s="1"/>
  <c r="C228" i="34"/>
  <c r="C325" i="34"/>
  <c r="AL74" i="34" s="1"/>
  <c r="C229" i="34"/>
  <c r="C326" i="34"/>
  <c r="AL75" i="34" s="1"/>
  <c r="C230" i="34"/>
  <c r="AL51" i="34" s="1"/>
  <c r="C327" i="34"/>
  <c r="AL76" i="34" s="1"/>
  <c r="C231" i="34"/>
  <c r="C328" i="34"/>
  <c r="AL77" i="34" s="1"/>
  <c r="C232" i="34"/>
  <c r="C329" i="34"/>
  <c r="AL78" i="34" s="1"/>
  <c r="C233" i="34"/>
  <c r="C239" i="34"/>
  <c r="C240" i="34"/>
  <c r="C286" i="34"/>
  <c r="AL35" i="34" s="1"/>
  <c r="C191" i="34"/>
  <c r="C287" i="34"/>
  <c r="C192" i="34"/>
  <c r="C288" i="34"/>
  <c r="AL37" i="34" s="1"/>
  <c r="C251" i="34"/>
  <c r="AL14" i="34" s="1"/>
  <c r="C193" i="34"/>
  <c r="C289" i="34"/>
  <c r="C194" i="34"/>
  <c r="C298" i="34"/>
  <c r="C202" i="34"/>
  <c r="C299" i="34"/>
  <c r="C203" i="34"/>
  <c r="C308" i="34"/>
  <c r="C212" i="34"/>
  <c r="C309" i="34"/>
  <c r="C213" i="34"/>
  <c r="C310" i="34"/>
  <c r="C214" i="34"/>
  <c r="C311" i="34"/>
  <c r="C215" i="34"/>
  <c r="C312" i="34"/>
  <c r="C216" i="34"/>
  <c r="AL39" i="34" s="1"/>
  <c r="C313" i="34"/>
  <c r="C217" i="34"/>
  <c r="C322" i="34"/>
  <c r="AL71" i="34" s="1"/>
  <c r="C226" i="34"/>
  <c r="AL48" i="34" s="1"/>
  <c r="C323" i="34"/>
  <c r="AL72" i="34" s="1"/>
  <c r="C227" i="34"/>
  <c r="C332" i="34"/>
  <c r="AL81" i="34" s="1"/>
  <c r="C258" i="34"/>
  <c r="C242" i="34"/>
  <c r="AL53" i="34" l="1"/>
  <c r="AL65" i="34"/>
  <c r="AL36" i="34"/>
  <c r="AL41" i="34"/>
  <c r="AL50" i="34"/>
  <c r="AL56" i="34"/>
  <c r="AL63" i="34"/>
  <c r="AL29" i="34"/>
  <c r="AL64" i="34"/>
  <c r="AL52" i="34"/>
  <c r="AL55" i="34"/>
  <c r="AL61" i="34"/>
  <c r="AL43" i="34"/>
  <c r="AL57" i="34"/>
  <c r="AL49" i="34"/>
  <c r="AL30" i="34"/>
  <c r="AL47" i="34"/>
  <c r="AL25" i="34"/>
  <c r="AL60" i="34"/>
  <c r="AL20" i="34"/>
  <c r="AL54" i="34"/>
  <c r="AL23" i="34"/>
  <c r="AL59" i="34"/>
  <c r="AL58" i="34"/>
  <c r="AL62" i="34"/>
  <c r="AL40" i="34"/>
  <c r="AL38" i="34"/>
  <c r="AL21" i="34"/>
  <c r="AL82" i="34" l="1"/>
  <c r="C216" i="33"/>
  <c r="G7" i="33" s="1"/>
  <c r="C316" i="33" l="1"/>
  <c r="G28" i="33" s="1"/>
  <c r="C230" i="33"/>
  <c r="C322" i="33"/>
  <c r="C236" i="33"/>
  <c r="C218" i="33"/>
  <c r="C319" i="33"/>
  <c r="C233" i="33"/>
  <c r="C323" i="33"/>
  <c r="G35" i="33" s="1"/>
  <c r="C292" i="33"/>
  <c r="C213" i="33"/>
  <c r="G6" i="33" s="1"/>
  <c r="C214" i="33"/>
  <c r="C291" i="33"/>
  <c r="G5" i="33" s="1"/>
  <c r="C212" i="33"/>
  <c r="G4" i="33" s="1"/>
  <c r="C306" i="33"/>
  <c r="C221" i="33"/>
  <c r="C315" i="33"/>
  <c r="C229" i="33"/>
  <c r="C217" i="33"/>
  <c r="G9" i="33" s="1"/>
  <c r="C215" i="33"/>
  <c r="Q4" i="33" l="1"/>
  <c r="S4" i="33"/>
  <c r="O4" i="33"/>
  <c r="K4" i="33"/>
  <c r="M4" i="33"/>
  <c r="M6" i="33"/>
  <c r="K8" i="33"/>
  <c r="Q7" i="33"/>
  <c r="M5" i="33"/>
  <c r="Q8" i="33"/>
  <c r="O5" i="33"/>
  <c r="Q6" i="33"/>
  <c r="K5" i="33"/>
  <c r="M8" i="33"/>
  <c r="O7" i="33"/>
  <c r="O8" i="33"/>
  <c r="K7" i="33"/>
  <c r="M7" i="33"/>
  <c r="K6" i="33"/>
  <c r="S7" i="33"/>
  <c r="S6" i="33"/>
  <c r="S5" i="33"/>
  <c r="O6" i="33"/>
  <c r="S8" i="33"/>
  <c r="S10" i="33"/>
  <c r="K10" i="33"/>
  <c r="Q10" i="33"/>
  <c r="S9" i="33"/>
  <c r="M10" i="33"/>
  <c r="O10" i="33"/>
  <c r="M9" i="33"/>
  <c r="O9" i="33"/>
  <c r="Q9" i="33"/>
  <c r="K9" i="33"/>
  <c r="Q5" i="33"/>
  <c r="C340" i="33"/>
  <c r="C253" i="33"/>
  <c r="C313" i="33"/>
  <c r="C227" i="33"/>
  <c r="C318" i="33"/>
  <c r="G30" i="33" s="1"/>
  <c r="C290" i="33"/>
  <c r="C232" i="33"/>
  <c r="C307" i="33"/>
  <c r="G19" i="33" s="1"/>
  <c r="C222" i="33"/>
  <c r="G14" i="33" s="1"/>
  <c r="C347" i="33"/>
  <c r="C260" i="33"/>
  <c r="C304" i="33"/>
  <c r="C219" i="33"/>
  <c r="G11" i="33" s="1"/>
  <c r="O11" i="33" s="1"/>
  <c r="C305" i="33"/>
  <c r="G17" i="33" s="1"/>
  <c r="C220" i="33"/>
  <c r="G13" i="33" s="1"/>
  <c r="C310" i="33"/>
  <c r="C294" i="33"/>
  <c r="C314" i="33"/>
  <c r="G26" i="33" s="1"/>
  <c r="C228" i="33"/>
  <c r="C321" i="33"/>
  <c r="C235" i="33"/>
  <c r="C309" i="33"/>
  <c r="G21" i="33" s="1"/>
  <c r="C224" i="33"/>
  <c r="C339" i="33"/>
  <c r="C252" i="33"/>
  <c r="C320" i="33"/>
  <c r="C234" i="33"/>
  <c r="C312" i="33"/>
  <c r="C226" i="33"/>
  <c r="C324" i="33"/>
  <c r="C237" i="33"/>
  <c r="C317" i="33"/>
  <c r="C231" i="33"/>
  <c r="C311" i="33"/>
  <c r="C225" i="33"/>
  <c r="C308" i="33"/>
  <c r="G20" i="33" s="1"/>
  <c r="C223" i="33"/>
  <c r="G15" i="33" s="1"/>
  <c r="G25" i="33" l="1"/>
  <c r="G23" i="33"/>
  <c r="S13" i="33"/>
  <c r="Q15" i="33"/>
  <c r="O15" i="33"/>
  <c r="S12" i="33"/>
  <c r="T12" i="33" s="1"/>
  <c r="O13" i="33"/>
  <c r="Q12" i="33"/>
  <c r="Q13" i="33"/>
  <c r="S14" i="33"/>
  <c r="I21" i="18"/>
  <c r="N21" i="18"/>
  <c r="E6" i="34"/>
  <c r="BB6" i="34"/>
  <c r="BB3" i="34"/>
  <c r="N18" i="18"/>
  <c r="I18" i="18"/>
  <c r="E3" i="34"/>
  <c r="K11" i="33"/>
  <c r="R7" i="33"/>
  <c r="N6" i="33"/>
  <c r="N5" i="33"/>
  <c r="N4" i="33"/>
  <c r="N7" i="33"/>
  <c r="N9" i="33"/>
  <c r="N10" i="33"/>
  <c r="G18" i="33"/>
  <c r="O14" i="33"/>
  <c r="S11" i="33"/>
  <c r="Q14" i="33"/>
  <c r="M11" i="33"/>
  <c r="I19" i="18"/>
  <c r="N19" i="18"/>
  <c r="BB4" i="34"/>
  <c r="E4" i="34"/>
  <c r="BB2" i="34"/>
  <c r="L4" i="33"/>
  <c r="N17" i="18"/>
  <c r="I17" i="18"/>
  <c r="E2" i="34"/>
  <c r="L5" i="33"/>
  <c r="L9" i="33"/>
  <c r="L10" i="33"/>
  <c r="L8" i="33"/>
  <c r="L7" i="33"/>
  <c r="L6" i="33"/>
  <c r="G16" i="33"/>
  <c r="K16" i="33" s="1"/>
  <c r="S15" i="33"/>
  <c r="Q11" i="33"/>
  <c r="M13" i="33"/>
  <c r="E8" i="34"/>
  <c r="N23" i="18"/>
  <c r="I23" i="18"/>
  <c r="BB8" i="34"/>
  <c r="K12" i="33"/>
  <c r="L12" i="33" s="1"/>
  <c r="N8" i="33"/>
  <c r="P4" i="33"/>
  <c r="P5" i="33"/>
  <c r="P6" i="33"/>
  <c r="P8" i="33"/>
  <c r="P9" i="33"/>
  <c r="P7" i="33"/>
  <c r="P10" i="33"/>
  <c r="S21" i="33"/>
  <c r="K15" i="33"/>
  <c r="K14" i="33"/>
  <c r="M15" i="33"/>
  <c r="K13" i="33"/>
  <c r="M12" i="33"/>
  <c r="O12" i="33"/>
  <c r="M14" i="33"/>
  <c r="E5" i="34"/>
  <c r="N20" i="18"/>
  <c r="BB5" i="34"/>
  <c r="I20" i="18"/>
  <c r="T4" i="33"/>
  <c r="T6" i="33"/>
  <c r="T8" i="33"/>
  <c r="T5" i="33"/>
  <c r="T7" i="33"/>
  <c r="T9" i="33"/>
  <c r="T11" i="33"/>
  <c r="T10" i="33"/>
  <c r="G24" i="33"/>
  <c r="L11" i="33"/>
  <c r="N22" i="18"/>
  <c r="I22" i="18"/>
  <c r="BB7" i="34"/>
  <c r="E7" i="34"/>
  <c r="P11" i="33"/>
  <c r="R5" i="33"/>
  <c r="R4" i="33"/>
  <c r="R6" i="33"/>
  <c r="R8" i="33"/>
  <c r="R10" i="33"/>
  <c r="R9" i="33"/>
  <c r="C353" i="33"/>
  <c r="C266" i="33"/>
  <c r="C326" i="33"/>
  <c r="C239" i="33"/>
  <c r="C342" i="33"/>
  <c r="C255" i="33"/>
  <c r="C336" i="33"/>
  <c r="G48" i="33" s="1"/>
  <c r="C249" i="33"/>
  <c r="C346" i="33"/>
  <c r="C259" i="33"/>
  <c r="C337" i="33"/>
  <c r="C250" i="33"/>
  <c r="C327" i="33"/>
  <c r="G39" i="33" s="1"/>
  <c r="C240" i="33"/>
  <c r="G29" i="33" s="1"/>
  <c r="C333" i="33"/>
  <c r="C246" i="33"/>
  <c r="C343" i="33"/>
  <c r="C256" i="33"/>
  <c r="C329" i="33"/>
  <c r="C242" i="33"/>
  <c r="C349" i="33"/>
  <c r="C262" i="33"/>
  <c r="C328" i="33"/>
  <c r="C241" i="33"/>
  <c r="C334" i="33"/>
  <c r="G46" i="33" s="1"/>
  <c r="C247" i="33"/>
  <c r="C341" i="33"/>
  <c r="C254" i="33"/>
  <c r="C330" i="33"/>
  <c r="C243" i="33"/>
  <c r="C352" i="33"/>
  <c r="C265" i="33"/>
  <c r="C344" i="33"/>
  <c r="C257" i="33"/>
  <c r="C332" i="33"/>
  <c r="G44" i="33" s="1"/>
  <c r="C245" i="33"/>
  <c r="C325" i="33"/>
  <c r="G37" i="33" s="1"/>
  <c r="C238" i="33"/>
  <c r="G27" i="33" s="1"/>
  <c r="C350" i="33"/>
  <c r="C263" i="33"/>
  <c r="C348" i="33"/>
  <c r="C261" i="33"/>
  <c r="C335" i="33"/>
  <c r="C248" i="33"/>
  <c r="G34" i="33" s="1"/>
  <c r="C351" i="33"/>
  <c r="C264" i="33"/>
  <c r="C345" i="33"/>
  <c r="C258" i="33"/>
  <c r="C338" i="33"/>
  <c r="C251" i="33"/>
  <c r="C356" i="33"/>
  <c r="C269" i="33"/>
  <c r="G53" i="33" s="1"/>
  <c r="C331" i="33"/>
  <c r="C244" i="33"/>
  <c r="G32" i="33" s="1"/>
  <c r="T14" i="33" l="1"/>
  <c r="G43" i="33"/>
  <c r="G33" i="33"/>
  <c r="R12" i="33"/>
  <c r="T13" i="33"/>
  <c r="P14" i="33"/>
  <c r="O21" i="33"/>
  <c r="G50" i="33"/>
  <c r="G31" i="33"/>
  <c r="R15" i="33"/>
  <c r="Q17" i="33"/>
  <c r="T15" i="33"/>
  <c r="M17" i="33"/>
  <c r="O16" i="33"/>
  <c r="M19" i="33"/>
  <c r="S16" i="33"/>
  <c r="T16" i="33" s="1"/>
  <c r="K19" i="33"/>
  <c r="R11" i="33"/>
  <c r="Q19" i="33"/>
  <c r="M18" i="33"/>
  <c r="M21" i="33"/>
  <c r="G40" i="33"/>
  <c r="R13" i="33"/>
  <c r="N13" i="33"/>
  <c r="Q20" i="33"/>
  <c r="G49" i="33"/>
  <c r="O17" i="33"/>
  <c r="R14" i="33"/>
  <c r="G38" i="33"/>
  <c r="Q21" i="33"/>
  <c r="N26" i="18"/>
  <c r="BB11" i="34"/>
  <c r="I26" i="18"/>
  <c r="E11" i="34"/>
  <c r="N29" i="18"/>
  <c r="O29" i="18" s="1"/>
  <c r="E14" i="34"/>
  <c r="I29" i="18"/>
  <c r="BB14" i="34"/>
  <c r="G36" i="33"/>
  <c r="N15" i="33"/>
  <c r="P12" i="33"/>
  <c r="G41" i="33"/>
  <c r="L16" i="33"/>
  <c r="E13" i="34"/>
  <c r="BB13" i="34"/>
  <c r="N28" i="18"/>
  <c r="I28" i="18"/>
  <c r="E10" i="34"/>
  <c r="BB10" i="34"/>
  <c r="N25" i="18"/>
  <c r="I25" i="18"/>
  <c r="L15" i="33"/>
  <c r="L13" i="33"/>
  <c r="L14" i="33"/>
  <c r="N14" i="33"/>
  <c r="N27" i="18"/>
  <c r="E12" i="34"/>
  <c r="BB12" i="34"/>
  <c r="I27" i="18"/>
  <c r="N12" i="33"/>
  <c r="G47" i="33"/>
  <c r="I32" i="18"/>
  <c r="AP17" i="34"/>
  <c r="E17" i="34"/>
  <c r="BB17" i="34"/>
  <c r="N32" i="18"/>
  <c r="O32" i="18" s="1"/>
  <c r="G42" i="33"/>
  <c r="P15" i="33"/>
  <c r="P13" i="33"/>
  <c r="G45" i="33"/>
  <c r="O19" i="33"/>
  <c r="S19" i="33"/>
  <c r="S18" i="33"/>
  <c r="N11" i="33"/>
  <c r="K18" i="33"/>
  <c r="Q18" i="33"/>
  <c r="BB9" i="34"/>
  <c r="I24" i="18"/>
  <c r="E9" i="34"/>
  <c r="N24" i="18"/>
  <c r="M20" i="33"/>
  <c r="O20" i="33"/>
  <c r="S17" i="33"/>
  <c r="K21" i="33"/>
  <c r="K20" i="33"/>
  <c r="Q16" i="33"/>
  <c r="R17" i="33" s="1"/>
  <c r="O18" i="33"/>
  <c r="S20" i="33"/>
  <c r="M16" i="33"/>
  <c r="N17" i="33" s="1"/>
  <c r="K17" i="33"/>
  <c r="C355" i="33"/>
  <c r="C268" i="33"/>
  <c r="G52" i="33" s="1"/>
  <c r="C354" i="33"/>
  <c r="C267" i="33"/>
  <c r="G51" i="33" s="1"/>
  <c r="P17" i="33" l="1"/>
  <c r="P16" i="33"/>
  <c r="N19" i="33"/>
  <c r="T19" i="33"/>
  <c r="P20" i="33"/>
  <c r="BB15" i="34"/>
  <c r="E15" i="34"/>
  <c r="N30" i="18"/>
  <c r="O30" i="18" s="1"/>
  <c r="I30" i="18"/>
  <c r="L21" i="33"/>
  <c r="L19" i="33"/>
  <c r="L20" i="33"/>
  <c r="L17" i="33"/>
  <c r="L18" i="33"/>
  <c r="BB19" i="34"/>
  <c r="BD19" i="34" s="1"/>
  <c r="N34" i="18"/>
  <c r="O34" i="18" s="1"/>
  <c r="AP19" i="34"/>
  <c r="I34" i="18"/>
  <c r="E19" i="34"/>
  <c r="AP16" i="34"/>
  <c r="P18" i="33"/>
  <c r="N21" i="33"/>
  <c r="N20" i="33"/>
  <c r="P19" i="33"/>
  <c r="R21" i="33"/>
  <c r="R19" i="33"/>
  <c r="R20" i="33"/>
  <c r="R18" i="33"/>
  <c r="R16" i="33"/>
  <c r="AP18" i="34"/>
  <c r="N33" i="18"/>
  <c r="O33" i="18" s="1"/>
  <c r="I33" i="18"/>
  <c r="E18" i="34"/>
  <c r="BB18" i="34"/>
  <c r="BD18" i="34" s="1"/>
  <c r="P21" i="33"/>
  <c r="N31" i="18"/>
  <c r="O31" i="18" s="1"/>
  <c r="I31" i="18"/>
  <c r="E16" i="34"/>
  <c r="BB16" i="34"/>
  <c r="N18" i="33"/>
  <c r="T21" i="33"/>
  <c r="T17" i="33"/>
  <c r="T20" i="33"/>
  <c r="T18" i="33"/>
  <c r="N16" i="33"/>
  <c r="C365" i="33"/>
  <c r="C275" i="33"/>
  <c r="G59" i="33" s="1"/>
  <c r="C357" i="33"/>
  <c r="C270" i="33"/>
  <c r="C366" i="33"/>
  <c r="G78" i="33" s="1"/>
  <c r="C276" i="33"/>
  <c r="G60" i="33" s="1"/>
  <c r="C368" i="33"/>
  <c r="G80" i="33" s="1"/>
  <c r="C278" i="33"/>
  <c r="C360" i="33"/>
  <c r="C295" i="33"/>
  <c r="G56" i="33" s="1"/>
  <c r="C367" i="33"/>
  <c r="G79" i="33" s="1"/>
  <c r="C277" i="33"/>
  <c r="G61" i="33" s="1"/>
  <c r="C358" i="33"/>
  <c r="C271" i="33"/>
  <c r="G54" i="33" s="1"/>
  <c r="C362" i="33"/>
  <c r="C297" i="33"/>
  <c r="G58" i="33" s="1"/>
  <c r="C359" i="33"/>
  <c r="C272" i="33"/>
  <c r="C363" i="33"/>
  <c r="C273" i="33"/>
  <c r="C361" i="33"/>
  <c r="C296" i="33"/>
  <c r="G57" i="33" s="1"/>
  <c r="C364" i="33"/>
  <c r="C274" i="33"/>
  <c r="AP15" i="34" l="1"/>
  <c r="G55" i="33"/>
  <c r="C369" i="33"/>
  <c r="G81" i="33" s="1"/>
  <c r="C279" i="33"/>
  <c r="AP14" i="34" l="1"/>
  <c r="C370" i="33"/>
  <c r="G82" i="33" s="1"/>
  <c r="C280" i="33"/>
  <c r="G63" i="33" s="1"/>
  <c r="AP13" i="34" l="1"/>
  <c r="C371" i="33"/>
  <c r="G83" i="33" s="1"/>
  <c r="C281" i="33"/>
  <c r="AP12" i="34" l="1"/>
  <c r="C372" i="33"/>
  <c r="G84" i="33" s="1"/>
  <c r="C298" i="33"/>
  <c r="G65" i="33" s="1"/>
  <c r="AP11" i="34" l="1"/>
  <c r="C373" i="33"/>
  <c r="G85" i="33" s="1"/>
  <c r="C299" i="33"/>
  <c r="G66" i="33" s="1"/>
  <c r="AP10" i="34" l="1"/>
  <c r="C374" i="33"/>
  <c r="G86" i="33" s="1"/>
  <c r="C300" i="33"/>
  <c r="G67" i="33" s="1"/>
  <c r="AP9" i="34" l="1"/>
  <c r="C375" i="33"/>
  <c r="C282" i="33"/>
  <c r="G64" i="33" s="1"/>
  <c r="G87" i="33" l="1"/>
  <c r="G22" i="33"/>
  <c r="G62" i="33"/>
  <c r="AP8" i="34"/>
  <c r="C283" i="33"/>
  <c r="G68" i="33" s="1"/>
  <c r="Q68" i="33" s="1"/>
  <c r="AP7" i="34" l="1"/>
  <c r="K43" i="33"/>
  <c r="O50" i="33"/>
  <c r="M63" i="33"/>
  <c r="M59" i="33"/>
  <c r="M36" i="33"/>
  <c r="O48" i="33"/>
  <c r="S25" i="33"/>
  <c r="M67" i="33"/>
  <c r="S63" i="33"/>
  <c r="O24" i="33"/>
  <c r="K50" i="33"/>
  <c r="M44" i="33"/>
  <c r="O68" i="33"/>
  <c r="M49" i="33"/>
  <c r="O47" i="33"/>
  <c r="S42" i="33"/>
  <c r="Q25" i="33"/>
  <c r="Q60" i="33"/>
  <c r="O54" i="33"/>
  <c r="K38" i="33"/>
  <c r="S57" i="33"/>
  <c r="O49" i="33"/>
  <c r="M28" i="33"/>
  <c r="M39" i="33"/>
  <c r="Q57" i="33"/>
  <c r="Q29" i="33"/>
  <c r="K25" i="33"/>
  <c r="O60" i="33"/>
  <c r="S48" i="33"/>
  <c r="O62" i="33"/>
  <c r="O31" i="33"/>
  <c r="K35" i="33"/>
  <c r="Q33" i="33"/>
  <c r="S35" i="33"/>
  <c r="Q59" i="33"/>
  <c r="M26" i="33"/>
  <c r="Q67" i="33"/>
  <c r="S39" i="33"/>
  <c r="Q64" i="33"/>
  <c r="M51" i="33"/>
  <c r="S62" i="33"/>
  <c r="M56" i="33"/>
  <c r="S38" i="33"/>
  <c r="O58" i="33"/>
  <c r="O35" i="33"/>
  <c r="K53" i="33"/>
  <c r="O25" i="33"/>
  <c r="Q34" i="33"/>
  <c r="S61" i="33"/>
  <c r="S26" i="33"/>
  <c r="O65" i="33"/>
  <c r="M47" i="33"/>
  <c r="O43" i="33"/>
  <c r="O23" i="33"/>
  <c r="K40" i="33"/>
  <c r="K34" i="33"/>
  <c r="Q47" i="33"/>
  <c r="M57" i="33"/>
  <c r="S60" i="33"/>
  <c r="S47" i="33"/>
  <c r="O55" i="33"/>
  <c r="K60" i="33"/>
  <c r="Q54" i="33"/>
  <c r="O39" i="33"/>
  <c r="S23" i="33"/>
  <c r="Q22" i="33"/>
  <c r="S51" i="33"/>
  <c r="O53" i="33"/>
  <c r="M38" i="33"/>
  <c r="S36" i="33"/>
  <c r="S41" i="33"/>
  <c r="S22" i="33"/>
  <c r="K42" i="33"/>
  <c r="K45" i="33"/>
  <c r="M50" i="33"/>
  <c r="Q50" i="33"/>
  <c r="Q35" i="33"/>
  <c r="S28" i="33"/>
  <c r="M34" i="33"/>
  <c r="K58" i="33"/>
  <c r="Q51" i="33"/>
  <c r="Q42" i="33"/>
  <c r="S24" i="33"/>
  <c r="Q31" i="33"/>
  <c r="M37" i="33"/>
  <c r="Q28" i="33"/>
  <c r="Q66" i="33"/>
  <c r="O57" i="33"/>
  <c r="S59" i="33"/>
  <c r="S58" i="33"/>
  <c r="K39" i="33"/>
  <c r="Q56" i="33"/>
  <c r="Q48" i="33"/>
  <c r="M23" i="33"/>
  <c r="S34" i="33"/>
  <c r="Q44" i="33"/>
  <c r="Q37" i="33"/>
  <c r="M31" i="33"/>
  <c r="Q55" i="33"/>
  <c r="K67" i="33"/>
  <c r="K44" i="33"/>
  <c r="K36" i="33"/>
  <c r="Q23" i="33"/>
  <c r="M40" i="33"/>
  <c r="O61" i="33"/>
  <c r="M42" i="33"/>
  <c r="Q39" i="33"/>
  <c r="S54" i="33"/>
  <c r="O67" i="33"/>
  <c r="K27" i="33"/>
  <c r="Q45" i="33"/>
  <c r="Q30" i="33"/>
  <c r="O28" i="33"/>
  <c r="K61" i="33"/>
  <c r="K24" i="33"/>
  <c r="S37" i="33"/>
  <c r="K29" i="33"/>
  <c r="O27" i="33"/>
  <c r="K33" i="33"/>
  <c r="O59" i="33"/>
  <c r="Q62" i="33"/>
  <c r="S30" i="33"/>
  <c r="O22" i="33"/>
  <c r="K62" i="33"/>
  <c r="Q52" i="33"/>
  <c r="M25" i="33"/>
  <c r="O29" i="33"/>
  <c r="O51" i="33"/>
  <c r="M55" i="33"/>
  <c r="O38" i="33"/>
  <c r="M27" i="33"/>
  <c r="Q46" i="33"/>
  <c r="S64" i="33"/>
  <c r="O52" i="33"/>
  <c r="Q27" i="33"/>
  <c r="M22" i="33"/>
  <c r="K32" i="33"/>
  <c r="Q24" i="33"/>
  <c r="K31" i="33"/>
  <c r="S43" i="33"/>
  <c r="S29" i="33"/>
  <c r="O40" i="33"/>
  <c r="O34" i="33"/>
  <c r="K63" i="33"/>
  <c r="K48" i="33"/>
  <c r="S27" i="33"/>
  <c r="K56" i="33"/>
  <c r="K64" i="33"/>
  <c r="S55" i="33"/>
  <c r="O45" i="33"/>
  <c r="K68" i="33"/>
  <c r="M52" i="33"/>
  <c r="O33" i="33"/>
  <c r="K49" i="33"/>
  <c r="K28" i="33"/>
  <c r="O63" i="33"/>
  <c r="O64" i="33"/>
  <c r="O56" i="33"/>
  <c r="S31" i="33"/>
  <c r="M45" i="33"/>
  <c r="S33" i="33"/>
  <c r="S65" i="33"/>
  <c r="S56" i="33"/>
  <c r="M29" i="33"/>
  <c r="K52" i="33"/>
  <c r="S32" i="33"/>
  <c r="Q26" i="33"/>
  <c r="M58" i="33"/>
  <c r="Q58" i="33"/>
  <c r="M33" i="33"/>
  <c r="S67" i="33"/>
  <c r="O66" i="33"/>
  <c r="K47" i="33"/>
  <c r="O26" i="33"/>
  <c r="Q32" i="33"/>
  <c r="Q65" i="33"/>
  <c r="M65" i="33"/>
  <c r="S50" i="33"/>
  <c r="M24" i="33"/>
  <c r="K54" i="33"/>
  <c r="S46" i="33"/>
  <c r="S44" i="33"/>
  <c r="M68" i="33"/>
  <c r="Q61" i="33"/>
  <c r="M43" i="33"/>
  <c r="M32" i="33"/>
  <c r="M61" i="33"/>
  <c r="S52" i="33"/>
  <c r="Q41" i="33"/>
  <c r="Q53" i="33"/>
  <c r="M53" i="33"/>
  <c r="K23" i="33"/>
  <c r="M66" i="33"/>
  <c r="S53" i="33"/>
  <c r="M46" i="33"/>
  <c r="M54" i="33"/>
  <c r="S40" i="33"/>
  <c r="S49" i="33"/>
  <c r="M41" i="33"/>
  <c r="Q40" i="33"/>
  <c r="K59" i="33"/>
  <c r="M48" i="33"/>
  <c r="K46" i="33"/>
  <c r="M64" i="33"/>
  <c r="K66" i="33"/>
  <c r="K22" i="33"/>
  <c r="O46" i="33"/>
  <c r="M60" i="33"/>
  <c r="S68" i="33"/>
  <c r="M30" i="33"/>
  <c r="Q63" i="33"/>
  <c r="K37" i="33"/>
  <c r="M35" i="33"/>
  <c r="Q36" i="33"/>
  <c r="S66" i="33"/>
  <c r="S45" i="33"/>
  <c r="O42" i="33"/>
  <c r="K41" i="33"/>
  <c r="K26" i="33"/>
  <c r="O37" i="33"/>
  <c r="K30" i="33"/>
  <c r="M62" i="33"/>
  <c r="K55" i="33"/>
  <c r="K65" i="33"/>
  <c r="O30" i="33"/>
  <c r="K57" i="33"/>
  <c r="O32" i="33"/>
  <c r="Q43" i="33"/>
  <c r="K51" i="33"/>
  <c r="Q38" i="33"/>
  <c r="Q49" i="33"/>
  <c r="O41" i="33"/>
  <c r="O44" i="33"/>
  <c r="O36" i="33"/>
  <c r="C284" i="33"/>
  <c r="G69" i="33" s="1"/>
  <c r="O69" i="33" s="1"/>
  <c r="P46" i="33" l="1"/>
  <c r="T40" i="33"/>
  <c r="T48" i="33"/>
  <c r="T36" i="33"/>
  <c r="T47" i="33"/>
  <c r="T23" i="33"/>
  <c r="T67" i="33"/>
  <c r="T30" i="33"/>
  <c r="T63" i="33"/>
  <c r="T35" i="33"/>
  <c r="T50" i="33"/>
  <c r="T53" i="33"/>
  <c r="T32" i="33"/>
  <c r="T27" i="33"/>
  <c r="T42" i="33"/>
  <c r="T33" i="33"/>
  <c r="T65" i="33"/>
  <c r="T59" i="33"/>
  <c r="T52" i="33"/>
  <c r="T29" i="33"/>
  <c r="T43" i="33"/>
  <c r="T55" i="33"/>
  <c r="T46" i="33"/>
  <c r="T39" i="33"/>
  <c r="T57" i="33"/>
  <c r="T34" i="33"/>
  <c r="T44" i="33"/>
  <c r="T62" i="33"/>
  <c r="T61" i="33"/>
  <c r="T31" i="33"/>
  <c r="T56" i="33"/>
  <c r="T26" i="33"/>
  <c r="T45" i="33"/>
  <c r="T66" i="33"/>
  <c r="T25" i="33"/>
  <c r="T24" i="33"/>
  <c r="T64" i="33"/>
  <c r="T37" i="33"/>
  <c r="T38" i="33"/>
  <c r="T28" i="33"/>
  <c r="T54" i="33"/>
  <c r="T68" i="33"/>
  <c r="T60" i="33"/>
  <c r="T49" i="33"/>
  <c r="T58" i="33"/>
  <c r="T22" i="33"/>
  <c r="T51" i="33"/>
  <c r="T41" i="33"/>
  <c r="E26" i="34"/>
  <c r="L26" i="34" s="1"/>
  <c r="BB26" i="34"/>
  <c r="BD26" i="34" s="1"/>
  <c r="AP26" i="34"/>
  <c r="I41" i="18"/>
  <c r="N41" i="18"/>
  <c r="O41" i="18" s="1"/>
  <c r="AP34" i="34"/>
  <c r="I49" i="18"/>
  <c r="BB34" i="34"/>
  <c r="BD34" i="34" s="1"/>
  <c r="N49" i="18"/>
  <c r="O49" i="18" s="1"/>
  <c r="E34" i="34"/>
  <c r="L34" i="34" s="1"/>
  <c r="I60" i="18"/>
  <c r="AP45" i="34"/>
  <c r="BB45" i="34"/>
  <c r="BD45" i="34" s="1"/>
  <c r="E45" i="34"/>
  <c r="L45" i="34" s="1"/>
  <c r="N60" i="18"/>
  <c r="O60" i="18" s="1"/>
  <c r="BB29" i="34"/>
  <c r="BD29" i="34" s="1"/>
  <c r="AP29" i="34"/>
  <c r="N44" i="18"/>
  <c r="O44" i="18" s="1"/>
  <c r="I44" i="18"/>
  <c r="E29" i="34"/>
  <c r="L29" i="34" s="1"/>
  <c r="R59" i="33"/>
  <c r="R51" i="33"/>
  <c r="R63" i="33"/>
  <c r="R54" i="33"/>
  <c r="R22" i="33"/>
  <c r="R49" i="33"/>
  <c r="R37" i="33"/>
  <c r="R25" i="33"/>
  <c r="R27" i="33"/>
  <c r="R60" i="33"/>
  <c r="R61" i="33"/>
  <c r="R52" i="33"/>
  <c r="R46" i="33"/>
  <c r="R50" i="33"/>
  <c r="R66" i="33"/>
  <c r="R58" i="33"/>
  <c r="R31" i="33"/>
  <c r="R41" i="33"/>
  <c r="R36" i="33"/>
  <c r="R43" i="33"/>
  <c r="R64" i="33"/>
  <c r="R55" i="33"/>
  <c r="R44" i="33"/>
  <c r="R33" i="33"/>
  <c r="R42" i="33"/>
  <c r="R45" i="33"/>
  <c r="R23" i="33"/>
  <c r="R67" i="33"/>
  <c r="R48" i="33"/>
  <c r="R40" i="33"/>
  <c r="R47" i="33"/>
  <c r="R56" i="33"/>
  <c r="R62" i="33"/>
  <c r="R38" i="33"/>
  <c r="R39" i="33"/>
  <c r="R35" i="33"/>
  <c r="R34" i="33"/>
  <c r="R30" i="33"/>
  <c r="R57" i="33"/>
  <c r="R32" i="33"/>
  <c r="R24" i="33"/>
  <c r="R29" i="33"/>
  <c r="R53" i="33"/>
  <c r="R28" i="33"/>
  <c r="R68" i="33"/>
  <c r="R65" i="33"/>
  <c r="R26" i="33"/>
  <c r="AP32" i="34"/>
  <c r="N47" i="18"/>
  <c r="O47" i="18" s="1"/>
  <c r="BB32" i="34"/>
  <c r="BD32" i="34" s="1"/>
  <c r="I47" i="18"/>
  <c r="E32" i="34"/>
  <c r="L32" i="34" s="1"/>
  <c r="N66" i="18"/>
  <c r="O66" i="18" s="1"/>
  <c r="E51" i="34"/>
  <c r="L51" i="34" s="1"/>
  <c r="I66" i="18"/>
  <c r="BB51" i="34"/>
  <c r="BD51" i="34" s="1"/>
  <c r="AP51" i="34"/>
  <c r="BB55" i="34"/>
  <c r="BD55" i="34" s="1"/>
  <c r="N70" i="18"/>
  <c r="O70" i="18" s="1"/>
  <c r="I70" i="18"/>
  <c r="AP55" i="34"/>
  <c r="E55" i="34"/>
  <c r="L55" i="34" s="1"/>
  <c r="I62" i="18"/>
  <c r="BB47" i="34"/>
  <c r="BD47" i="34" s="1"/>
  <c r="E47" i="34"/>
  <c r="L47" i="34" s="1"/>
  <c r="AP47" i="34"/>
  <c r="N62" i="18"/>
  <c r="O62" i="18" s="1"/>
  <c r="BB46" i="34"/>
  <c r="BD46" i="34" s="1"/>
  <c r="E46" i="34"/>
  <c r="L46" i="34" s="1"/>
  <c r="AP46" i="34"/>
  <c r="N61" i="18"/>
  <c r="O61" i="18" s="1"/>
  <c r="I61" i="18"/>
  <c r="BB31" i="34"/>
  <c r="BD31" i="34" s="1"/>
  <c r="I46" i="18"/>
  <c r="E31" i="34"/>
  <c r="L31" i="34" s="1"/>
  <c r="AP31" i="34"/>
  <c r="N46" i="18"/>
  <c r="O46" i="18" s="1"/>
  <c r="S69" i="33"/>
  <c r="AP38" i="34"/>
  <c r="I53" i="18"/>
  <c r="BB38" i="34"/>
  <c r="BD38" i="34" s="1"/>
  <c r="E38" i="34"/>
  <c r="L38" i="34" s="1"/>
  <c r="N53" i="18"/>
  <c r="O53" i="18" s="1"/>
  <c r="BB35" i="34"/>
  <c r="BD35" i="34" s="1"/>
  <c r="AP35" i="34"/>
  <c r="I50" i="18"/>
  <c r="E35" i="34"/>
  <c r="L35" i="34" s="1"/>
  <c r="N50" i="18"/>
  <c r="O50" i="18" s="1"/>
  <c r="BB52" i="34"/>
  <c r="BD52" i="34" s="1"/>
  <c r="AP52" i="34"/>
  <c r="I67" i="18"/>
  <c r="E52" i="34"/>
  <c r="L52" i="34" s="1"/>
  <c r="N67" i="18"/>
  <c r="O67" i="18" s="1"/>
  <c r="E43" i="34"/>
  <c r="L43" i="34" s="1"/>
  <c r="N58" i="18"/>
  <c r="O58" i="18" s="1"/>
  <c r="I58" i="18"/>
  <c r="AP43" i="34"/>
  <c r="BB43" i="34"/>
  <c r="BD43" i="34" s="1"/>
  <c r="I63" i="18"/>
  <c r="E48" i="34"/>
  <c r="L48" i="34" s="1"/>
  <c r="BB48" i="34"/>
  <c r="BD48" i="34" s="1"/>
  <c r="N63" i="18"/>
  <c r="O63" i="18" s="1"/>
  <c r="AP48" i="34"/>
  <c r="BB24" i="34"/>
  <c r="BD24" i="34" s="1"/>
  <c r="N39" i="18"/>
  <c r="O39" i="18" s="1"/>
  <c r="I39" i="18"/>
  <c r="AP24" i="34"/>
  <c r="E24" i="34"/>
  <c r="L24" i="34" s="1"/>
  <c r="AP20" i="34"/>
  <c r="I35" i="18"/>
  <c r="BB20" i="34"/>
  <c r="BD20" i="34" s="1"/>
  <c r="E20" i="34"/>
  <c r="N35" i="18"/>
  <c r="O35" i="18" s="1"/>
  <c r="L68" i="33"/>
  <c r="L29" i="33"/>
  <c r="L27" i="33"/>
  <c r="L62" i="33"/>
  <c r="L46" i="33"/>
  <c r="L38" i="33"/>
  <c r="L47" i="33"/>
  <c r="L41" i="33"/>
  <c r="L36" i="33"/>
  <c r="L45" i="33"/>
  <c r="L58" i="33"/>
  <c r="L44" i="33"/>
  <c r="L51" i="33"/>
  <c r="L63" i="33"/>
  <c r="L52" i="33"/>
  <c r="L53" i="33"/>
  <c r="L65" i="33"/>
  <c r="L32" i="33"/>
  <c r="L48" i="33"/>
  <c r="L61" i="33"/>
  <c r="L39" i="33"/>
  <c r="L25" i="33"/>
  <c r="L34" i="33"/>
  <c r="L31" i="33"/>
  <c r="L56" i="33"/>
  <c r="L30" i="33"/>
  <c r="L33" i="33"/>
  <c r="L40" i="33"/>
  <c r="L37" i="33"/>
  <c r="L59" i="33"/>
  <c r="L22" i="33"/>
  <c r="L35" i="33"/>
  <c r="L24" i="33"/>
  <c r="L64" i="33"/>
  <c r="L55" i="33"/>
  <c r="L43" i="33"/>
  <c r="L67" i="33"/>
  <c r="L66" i="33"/>
  <c r="L28" i="33"/>
  <c r="L50" i="33"/>
  <c r="L23" i="33"/>
  <c r="L42" i="33"/>
  <c r="L60" i="33"/>
  <c r="L26" i="33"/>
  <c r="L57" i="33"/>
  <c r="L49" i="33"/>
  <c r="L54" i="33"/>
  <c r="BB61" i="34"/>
  <c r="BD61" i="34" s="1"/>
  <c r="N76" i="18"/>
  <c r="O76" i="18" s="1"/>
  <c r="I76" i="18"/>
  <c r="E61" i="34"/>
  <c r="L61" i="34" s="1"/>
  <c r="AP61" i="34"/>
  <c r="E60" i="34"/>
  <c r="L60" i="34" s="1"/>
  <c r="N75" i="18"/>
  <c r="O75" i="18" s="1"/>
  <c r="AP60" i="34"/>
  <c r="BB60" i="34"/>
  <c r="BD60" i="34" s="1"/>
  <c r="I75" i="18"/>
  <c r="E27" i="34"/>
  <c r="L27" i="34" s="1"/>
  <c r="N42" i="18"/>
  <c r="O42" i="18" s="1"/>
  <c r="BB27" i="34"/>
  <c r="BD27" i="34" s="1"/>
  <c r="AP27" i="34"/>
  <c r="I42" i="18"/>
  <c r="I71" i="18"/>
  <c r="N71" i="18"/>
  <c r="O71" i="18" s="1"/>
  <c r="AP56" i="34"/>
  <c r="BB56" i="34"/>
  <c r="BD56" i="34" s="1"/>
  <c r="E56" i="34"/>
  <c r="L56" i="34" s="1"/>
  <c r="K69" i="33"/>
  <c r="E28" i="34"/>
  <c r="L28" i="34" s="1"/>
  <c r="N43" i="18"/>
  <c r="O43" i="18" s="1"/>
  <c r="BB28" i="34"/>
  <c r="BD28" i="34" s="1"/>
  <c r="I43" i="18"/>
  <c r="AP28" i="34"/>
  <c r="E39" i="34"/>
  <c r="L39" i="34" s="1"/>
  <c r="BB39" i="34"/>
  <c r="BD39" i="34" s="1"/>
  <c r="I54" i="18"/>
  <c r="AP39" i="34"/>
  <c r="N54" i="18"/>
  <c r="O54" i="18" s="1"/>
  <c r="E64" i="34"/>
  <c r="L64" i="34" s="1"/>
  <c r="N79" i="18"/>
  <c r="O79" i="18" s="1"/>
  <c r="AP64" i="34"/>
  <c r="BB64" i="34"/>
  <c r="BD64" i="34" s="1"/>
  <c r="I79" i="18"/>
  <c r="I36" i="18"/>
  <c r="AP21" i="34"/>
  <c r="BB21" i="34"/>
  <c r="BD21" i="34" s="1"/>
  <c r="N36" i="18"/>
  <c r="O36" i="18" s="1"/>
  <c r="E21" i="34"/>
  <c r="L21" i="34" s="1"/>
  <c r="N41" i="33"/>
  <c r="N25" i="33"/>
  <c r="N50" i="33"/>
  <c r="N28" i="33"/>
  <c r="N24" i="33"/>
  <c r="N49" i="33"/>
  <c r="N43" i="33"/>
  <c r="N39" i="33"/>
  <c r="N64" i="33"/>
  <c r="N58" i="33"/>
  <c r="N38" i="33"/>
  <c r="N29" i="33"/>
  <c r="N23" i="33"/>
  <c r="N48" i="33"/>
  <c r="N42" i="33"/>
  <c r="N40" i="33"/>
  <c r="N46" i="33"/>
  <c r="N30" i="33"/>
  <c r="N27" i="33"/>
  <c r="N61" i="33"/>
  <c r="N55" i="33"/>
  <c r="N36" i="33"/>
  <c r="N57" i="33"/>
  <c r="N35" i="33"/>
  <c r="N68" i="33"/>
  <c r="N47" i="33"/>
  <c r="N44" i="33"/>
  <c r="N33" i="33"/>
  <c r="N37" i="33"/>
  <c r="N32" i="33"/>
  <c r="N65" i="33"/>
  <c r="N62" i="33"/>
  <c r="N26" i="33"/>
  <c r="N51" i="33"/>
  <c r="N56" i="33"/>
  <c r="N31" i="33"/>
  <c r="N67" i="33"/>
  <c r="N45" i="33"/>
  <c r="N22" i="33"/>
  <c r="N66" i="33"/>
  <c r="N54" i="33"/>
  <c r="N59" i="33"/>
  <c r="N63" i="33"/>
  <c r="N53" i="33"/>
  <c r="N34" i="33"/>
  <c r="N52" i="33"/>
  <c r="N60" i="33"/>
  <c r="P24" i="33"/>
  <c r="P37" i="33"/>
  <c r="P62" i="33"/>
  <c r="P45" i="33"/>
  <c r="P67" i="33"/>
  <c r="P40" i="33"/>
  <c r="P61" i="33"/>
  <c r="P22" i="33"/>
  <c r="P32" i="33"/>
  <c r="P64" i="33"/>
  <c r="P44" i="33"/>
  <c r="P63" i="33"/>
  <c r="P39" i="33"/>
  <c r="P59" i="33"/>
  <c r="P23" i="33"/>
  <c r="P43" i="33"/>
  <c r="P33" i="33"/>
  <c r="P54" i="33"/>
  <c r="P58" i="33"/>
  <c r="P35" i="33"/>
  <c r="P30" i="33"/>
  <c r="P52" i="33"/>
  <c r="P41" i="33"/>
  <c r="P55" i="33"/>
  <c r="P28" i="33"/>
  <c r="P38" i="33"/>
  <c r="P26" i="33"/>
  <c r="P36" i="33"/>
  <c r="P53" i="33"/>
  <c r="P50" i="33"/>
  <c r="P65" i="33"/>
  <c r="P66" i="33"/>
  <c r="P51" i="33"/>
  <c r="P31" i="33"/>
  <c r="P25" i="33"/>
  <c r="P56" i="33"/>
  <c r="P49" i="33"/>
  <c r="P34" i="33"/>
  <c r="P48" i="33"/>
  <c r="P68" i="33"/>
  <c r="P29" i="33"/>
  <c r="P60" i="33"/>
  <c r="P42" i="33"/>
  <c r="P47" i="33"/>
  <c r="P27" i="33"/>
  <c r="P57" i="33"/>
  <c r="BB42" i="34"/>
  <c r="BD42" i="34" s="1"/>
  <c r="E42" i="34"/>
  <c r="L42" i="34" s="1"/>
  <c r="N57" i="18"/>
  <c r="O57" i="18" s="1"/>
  <c r="I57" i="18"/>
  <c r="AP42" i="34"/>
  <c r="BB37" i="34"/>
  <c r="BD37" i="34" s="1"/>
  <c r="N52" i="18"/>
  <c r="O52" i="18" s="1"/>
  <c r="E37" i="34"/>
  <c r="L37" i="34" s="1"/>
  <c r="I52" i="18"/>
  <c r="AP37" i="34"/>
  <c r="Q69" i="33"/>
  <c r="R69" i="33" s="1"/>
  <c r="BB33" i="34"/>
  <c r="BD33" i="34" s="1"/>
  <c r="N48" i="18"/>
  <c r="O48" i="18" s="1"/>
  <c r="E33" i="34"/>
  <c r="L33" i="34" s="1"/>
  <c r="AP33" i="34"/>
  <c r="I48" i="18"/>
  <c r="N38" i="18"/>
  <c r="O38" i="18" s="1"/>
  <c r="I38" i="18"/>
  <c r="BB23" i="34"/>
  <c r="BD23" i="34" s="1"/>
  <c r="AP23" i="34"/>
  <c r="E23" i="34"/>
  <c r="L23" i="34" s="1"/>
  <c r="M69" i="33"/>
  <c r="I56" i="18"/>
  <c r="AP41" i="34"/>
  <c r="BB41" i="34"/>
  <c r="BD41" i="34" s="1"/>
  <c r="E41" i="34"/>
  <c r="L41" i="34" s="1"/>
  <c r="N56" i="18"/>
  <c r="O56" i="18" s="1"/>
  <c r="I74" i="18"/>
  <c r="E59" i="34"/>
  <c r="L59" i="34" s="1"/>
  <c r="BB59" i="34"/>
  <c r="BD59" i="34" s="1"/>
  <c r="AP59" i="34"/>
  <c r="N74" i="18"/>
  <c r="O74" i="18" s="1"/>
  <c r="BB58" i="34"/>
  <c r="BD58" i="34" s="1"/>
  <c r="AP58" i="34"/>
  <c r="I73" i="18"/>
  <c r="N73" i="18"/>
  <c r="O73" i="18" s="1"/>
  <c r="E58" i="34"/>
  <c r="L58" i="34" s="1"/>
  <c r="E36" i="34"/>
  <c r="L36" i="34" s="1"/>
  <c r="N51" i="18"/>
  <c r="O51" i="18" s="1"/>
  <c r="I51" i="18"/>
  <c r="AP36" i="34"/>
  <c r="BB36" i="34"/>
  <c r="BD36" i="34" s="1"/>
  <c r="AP63" i="34"/>
  <c r="N78" i="18"/>
  <c r="O78" i="18" s="1"/>
  <c r="I78" i="18"/>
  <c r="E63" i="34"/>
  <c r="L63" i="34" s="1"/>
  <c r="BB63" i="34"/>
  <c r="BD63" i="34" s="1"/>
  <c r="T69" i="33"/>
  <c r="E50" i="34"/>
  <c r="L50" i="34" s="1"/>
  <c r="N65" i="18"/>
  <c r="O65" i="18" s="1"/>
  <c r="I65" i="18"/>
  <c r="AP50" i="34"/>
  <c r="BB50" i="34"/>
  <c r="BD50" i="34" s="1"/>
  <c r="AP66" i="34"/>
  <c r="BB66" i="34"/>
  <c r="BD66" i="34" s="1"/>
  <c r="I81" i="18"/>
  <c r="N81" i="18"/>
  <c r="O81" i="18" s="1"/>
  <c r="E66" i="34"/>
  <c r="L66" i="34" s="1"/>
  <c r="E62" i="34"/>
  <c r="L62" i="34" s="1"/>
  <c r="AP62" i="34"/>
  <c r="I77" i="18"/>
  <c r="BB62" i="34"/>
  <c r="BD62" i="34" s="1"/>
  <c r="N77" i="18"/>
  <c r="O77" i="18" s="1"/>
  <c r="AP25" i="34"/>
  <c r="N40" i="18"/>
  <c r="O40" i="18" s="1"/>
  <c r="E25" i="34"/>
  <c r="L25" i="34" s="1"/>
  <c r="I40" i="18"/>
  <c r="BB25" i="34"/>
  <c r="BD25" i="34" s="1"/>
  <c r="BB65" i="34"/>
  <c r="BD65" i="34" s="1"/>
  <c r="E65" i="34"/>
  <c r="L65" i="34" s="1"/>
  <c r="AP65" i="34"/>
  <c r="N80" i="18"/>
  <c r="O80" i="18" s="1"/>
  <c r="I80" i="18"/>
  <c r="P69" i="33"/>
  <c r="AP53" i="34"/>
  <c r="N68" i="18"/>
  <c r="O68" i="18" s="1"/>
  <c r="I68" i="18"/>
  <c r="E53" i="34"/>
  <c r="L53" i="34" s="1"/>
  <c r="BB53" i="34"/>
  <c r="BD53" i="34" s="1"/>
  <c r="N72" i="18"/>
  <c r="O72" i="18" s="1"/>
  <c r="E57" i="34"/>
  <c r="L57" i="34" s="1"/>
  <c r="I72" i="18"/>
  <c r="AP57" i="34"/>
  <c r="BB57" i="34"/>
  <c r="BD57" i="34" s="1"/>
  <c r="BB30" i="34"/>
  <c r="BD30" i="34" s="1"/>
  <c r="N45" i="18"/>
  <c r="O45" i="18" s="1"/>
  <c r="I45" i="18"/>
  <c r="AP30" i="34"/>
  <c r="E30" i="34"/>
  <c r="L30" i="34" s="1"/>
  <c r="N64" i="18"/>
  <c r="O64" i="18" s="1"/>
  <c r="E49" i="34"/>
  <c r="L49" i="34" s="1"/>
  <c r="I64" i="18"/>
  <c r="AP49" i="34"/>
  <c r="BB49" i="34"/>
  <c r="BD49" i="34" s="1"/>
  <c r="I59" i="18"/>
  <c r="BB44" i="34"/>
  <c r="BD44" i="34" s="1"/>
  <c r="E44" i="34"/>
  <c r="L44" i="34" s="1"/>
  <c r="N59" i="18"/>
  <c r="O59" i="18" s="1"/>
  <c r="AP44" i="34"/>
  <c r="I69" i="18"/>
  <c r="AP54" i="34"/>
  <c r="BB54" i="34"/>
  <c r="BD54" i="34" s="1"/>
  <c r="N69" i="18"/>
  <c r="O69" i="18" s="1"/>
  <c r="E54" i="34"/>
  <c r="L54" i="34" s="1"/>
  <c r="I37" i="18"/>
  <c r="E22" i="34"/>
  <c r="L22" i="34" s="1"/>
  <c r="AP22" i="34"/>
  <c r="BB22" i="34"/>
  <c r="BD22" i="34" s="1"/>
  <c r="N37" i="18"/>
  <c r="O37" i="18" s="1"/>
  <c r="I55" i="18"/>
  <c r="BB40" i="34"/>
  <c r="BD40" i="34" s="1"/>
  <c r="E40" i="34"/>
  <c r="L40" i="34" s="1"/>
  <c r="AP40" i="34"/>
  <c r="N55" i="18"/>
  <c r="O55" i="18" s="1"/>
  <c r="AP6" i="34"/>
  <c r="C301" i="33"/>
  <c r="G70" i="33" s="1"/>
  <c r="K70" i="33" l="1"/>
  <c r="M70" i="33"/>
  <c r="Q70" i="33"/>
  <c r="N82" i="18"/>
  <c r="O82" i="18" s="1"/>
  <c r="AP67" i="34"/>
  <c r="BB67" i="34"/>
  <c r="BD67" i="34" s="1"/>
  <c r="E67" i="34"/>
  <c r="L67" i="34" s="1"/>
  <c r="I82" i="18"/>
  <c r="N69" i="33"/>
  <c r="L69" i="33"/>
  <c r="S70" i="33"/>
  <c r="R70" i="33"/>
  <c r="AP5" i="34"/>
  <c r="O70" i="33"/>
  <c r="T70" i="33"/>
  <c r="C302" i="33"/>
  <c r="G71" i="33" s="1"/>
  <c r="S71" i="33" s="1"/>
  <c r="T71" i="33" l="1"/>
  <c r="AP4" i="34"/>
  <c r="O71" i="33"/>
  <c r="P71" i="33" s="1"/>
  <c r="Q71" i="33"/>
  <c r="BB68" i="34"/>
  <c r="BD68" i="34" s="1"/>
  <c r="E68" i="34"/>
  <c r="L68" i="34" s="1"/>
  <c r="AP68" i="34"/>
  <c r="N83" i="18"/>
  <c r="O83" i="18" s="1"/>
  <c r="I83" i="18"/>
  <c r="L70" i="33"/>
  <c r="M71" i="33"/>
  <c r="K71" i="33"/>
  <c r="P70" i="33"/>
  <c r="N70" i="33"/>
  <c r="C303" i="33"/>
  <c r="G72" i="33" s="1"/>
  <c r="R71" i="33" l="1"/>
  <c r="AP3" i="34"/>
  <c r="O72" i="33"/>
  <c r="M72" i="33"/>
  <c r="N72" i="33" s="1"/>
  <c r="K72" i="33"/>
  <c r="Q72" i="33"/>
  <c r="S72" i="33"/>
  <c r="E69" i="34"/>
  <c r="L69" i="34" s="1"/>
  <c r="N84" i="18"/>
  <c r="O84" i="18" s="1"/>
  <c r="BB69" i="34"/>
  <c r="BD69" i="34" s="1"/>
  <c r="I84" i="18"/>
  <c r="AP69" i="34"/>
  <c r="L71" i="33"/>
  <c r="N71" i="33"/>
  <c r="C286" i="33"/>
  <c r="G73" i="33" s="1"/>
  <c r="C285" i="33"/>
  <c r="AP70" i="34" l="1"/>
  <c r="E70" i="34"/>
  <c r="L70" i="34" s="1"/>
  <c r="BB70" i="34"/>
  <c r="BD70" i="34" s="1"/>
  <c r="N85" i="18"/>
  <c r="O85" i="18" s="1"/>
  <c r="I85" i="18"/>
  <c r="L72" i="33"/>
  <c r="P72" i="33"/>
  <c r="R72" i="33"/>
  <c r="M73" i="33"/>
  <c r="N73" i="33" s="1"/>
  <c r="Q73" i="33"/>
  <c r="R73" i="33" s="1"/>
  <c r="S73" i="33"/>
  <c r="T73" i="33" s="1"/>
  <c r="K73" i="33"/>
  <c r="O73" i="33"/>
  <c r="P73" i="33" s="1"/>
  <c r="AP2" i="34"/>
  <c r="T72" i="33"/>
  <c r="C287" i="33"/>
  <c r="G74" i="33" s="1"/>
  <c r="E71" i="34" l="1"/>
  <c r="L71" i="34" s="1"/>
  <c r="BB71" i="34"/>
  <c r="BD71" i="34" s="1"/>
  <c r="I86" i="18"/>
  <c r="AP71" i="34"/>
  <c r="N86" i="18"/>
  <c r="O86" i="18" s="1"/>
  <c r="L73" i="33"/>
  <c r="K74" i="33"/>
  <c r="S74" i="33"/>
  <c r="T74" i="33" s="1"/>
  <c r="M74" i="33"/>
  <c r="N74" i="33" s="1"/>
  <c r="O74" i="33"/>
  <c r="P74" i="33" s="1"/>
  <c r="Q74" i="33"/>
  <c r="R74" i="33" s="1"/>
  <c r="C288" i="33"/>
  <c r="G75" i="33" s="1"/>
  <c r="N87" i="18" l="1"/>
  <c r="O87" i="18" s="1"/>
  <c r="AP72" i="34"/>
  <c r="E72" i="34"/>
  <c r="L72" i="34" s="1"/>
  <c r="BB72" i="34"/>
  <c r="BD72" i="34" s="1"/>
  <c r="I87" i="18"/>
  <c r="L74" i="33"/>
  <c r="K75" i="33"/>
  <c r="Q75" i="33"/>
  <c r="R75" i="33" s="1"/>
  <c r="S75" i="33"/>
  <c r="T75" i="33" s="1"/>
  <c r="M75" i="33"/>
  <c r="N75" i="33" s="1"/>
  <c r="O75" i="33"/>
  <c r="P75" i="33" s="1"/>
  <c r="C289" i="33"/>
  <c r="G76" i="33" s="1"/>
  <c r="I88" i="18" l="1"/>
  <c r="AP73" i="34"/>
  <c r="BB73" i="34"/>
  <c r="BD73" i="34" s="1"/>
  <c r="N88" i="18"/>
  <c r="O88" i="18" s="1"/>
  <c r="E73" i="34"/>
  <c r="L73" i="34" s="1"/>
  <c r="L75" i="33"/>
  <c r="M76" i="33"/>
  <c r="N76" i="33" s="1"/>
  <c r="Q76" i="33"/>
  <c r="R76" i="33" s="1"/>
  <c r="K76" i="33"/>
  <c r="O76" i="33"/>
  <c r="P76" i="33" s="1"/>
  <c r="S76" i="33"/>
  <c r="T76" i="33" s="1"/>
  <c r="C293" i="33"/>
  <c r="G77" i="33" s="1"/>
  <c r="O91" i="33" l="1"/>
  <c r="K77" i="33"/>
  <c r="S95" i="33"/>
  <c r="S101" i="33"/>
  <c r="M99" i="33"/>
  <c r="K103" i="33"/>
  <c r="O95" i="33"/>
  <c r="O79" i="33"/>
  <c r="O88" i="33"/>
  <c r="Q91" i="33"/>
  <c r="K86" i="33"/>
  <c r="S84" i="33"/>
  <c r="M95" i="33"/>
  <c r="Q90" i="33"/>
  <c r="O78" i="33"/>
  <c r="M83" i="33"/>
  <c r="K83" i="33"/>
  <c r="Q83" i="33"/>
  <c r="M91" i="33"/>
  <c r="K94" i="33"/>
  <c r="Q94" i="33"/>
  <c r="M97" i="33"/>
  <c r="Q89" i="33"/>
  <c r="Q84" i="33"/>
  <c r="Q79" i="33"/>
  <c r="O87" i="33"/>
  <c r="M94" i="33"/>
  <c r="K92" i="33"/>
  <c r="O84" i="33"/>
  <c r="Q85" i="33"/>
  <c r="S87" i="33"/>
  <c r="O77" i="33"/>
  <c r="P77" i="33" s="1"/>
  <c r="O94" i="33"/>
  <c r="S97" i="33"/>
  <c r="O89" i="33"/>
  <c r="K89" i="33"/>
  <c r="S82" i="33"/>
  <c r="M87" i="33"/>
  <c r="K87" i="33"/>
  <c r="M101" i="33"/>
  <c r="M90" i="33"/>
  <c r="O85" i="33"/>
  <c r="O83" i="33"/>
  <c r="O100" i="33"/>
  <c r="O101" i="33"/>
  <c r="O102" i="33"/>
  <c r="M77" i="33"/>
  <c r="N77" i="33" s="1"/>
  <c r="M92" i="33"/>
  <c r="Q77" i="33"/>
  <c r="R77" i="33" s="1"/>
  <c r="S99" i="33"/>
  <c r="S88" i="33"/>
  <c r="M79" i="33"/>
  <c r="S103" i="33"/>
  <c r="M85" i="33"/>
  <c r="Q99" i="33"/>
  <c r="O86" i="33"/>
  <c r="K98" i="33"/>
  <c r="M98" i="33"/>
  <c r="S80" i="33"/>
  <c r="O96" i="33"/>
  <c r="O82" i="33"/>
  <c r="Q100" i="33"/>
  <c r="K91" i="33"/>
  <c r="K93" i="33"/>
  <c r="Q101" i="33"/>
  <c r="K80" i="33"/>
  <c r="Q95" i="33"/>
  <c r="S92" i="33"/>
  <c r="O90" i="33"/>
  <c r="S102" i="33"/>
  <c r="S90" i="33"/>
  <c r="S96" i="33"/>
  <c r="S85" i="33"/>
  <c r="S89" i="33"/>
  <c r="S100" i="33"/>
  <c r="M103" i="33"/>
  <c r="M81" i="33"/>
  <c r="Q96" i="33"/>
  <c r="S78" i="33"/>
  <c r="K90" i="33"/>
  <c r="Q92" i="33"/>
  <c r="S77" i="33"/>
  <c r="T77" i="33" s="1"/>
  <c r="Q88" i="33"/>
  <c r="Q82" i="33"/>
  <c r="K78" i="33"/>
  <c r="Q103" i="33"/>
  <c r="S79" i="33"/>
  <c r="Q102" i="33"/>
  <c r="S93" i="33"/>
  <c r="S91" i="33"/>
  <c r="Q98" i="33"/>
  <c r="M96" i="33"/>
  <c r="M100" i="33"/>
  <c r="M78" i="33"/>
  <c r="S86" i="33"/>
  <c r="M86" i="33"/>
  <c r="K97" i="33"/>
  <c r="K95" i="33"/>
  <c r="M93" i="33"/>
  <c r="K85" i="33"/>
  <c r="K99" i="33"/>
  <c r="Q97" i="33"/>
  <c r="M89" i="33"/>
  <c r="M88" i="33"/>
  <c r="Q81" i="33"/>
  <c r="K88" i="33"/>
  <c r="Q86" i="33"/>
  <c r="Q78" i="33"/>
  <c r="R78" i="33" s="1"/>
  <c r="O103" i="33"/>
  <c r="K82" i="33"/>
  <c r="O92" i="33"/>
  <c r="K100" i="33"/>
  <c r="K101" i="33"/>
  <c r="S98" i="33"/>
  <c r="M102" i="33"/>
  <c r="K102" i="33"/>
  <c r="O81" i="33"/>
  <c r="O93" i="33"/>
  <c r="O98" i="33"/>
  <c r="K81" i="33"/>
  <c r="M84" i="33"/>
  <c r="Q80" i="33"/>
  <c r="Q93" i="33"/>
  <c r="M82" i="33"/>
  <c r="M80" i="33"/>
  <c r="K84" i="33"/>
  <c r="O99" i="33"/>
  <c r="S94" i="33"/>
  <c r="K96" i="33"/>
  <c r="S83" i="33"/>
  <c r="S81" i="33"/>
  <c r="O97" i="33"/>
  <c r="K79" i="33"/>
  <c r="O80" i="33"/>
  <c r="Q87" i="33"/>
  <c r="I89" i="18"/>
  <c r="BB74" i="34"/>
  <c r="BD74" i="34" s="1"/>
  <c r="N89" i="18"/>
  <c r="O89" i="18" s="1"/>
  <c r="E74" i="34"/>
  <c r="L74" i="34" s="1"/>
  <c r="AP74" i="34"/>
  <c r="L76" i="33"/>
  <c r="R80" i="33" l="1"/>
  <c r="T94" i="33"/>
  <c r="L100" i="33"/>
  <c r="N88" i="33"/>
  <c r="N86" i="33"/>
  <c r="R102" i="33"/>
  <c r="P86" i="33"/>
  <c r="R84" i="33"/>
  <c r="N83" i="33"/>
  <c r="T83" i="33"/>
  <c r="N78" i="33"/>
  <c r="T81" i="33"/>
  <c r="R87" i="33"/>
  <c r="P99" i="33"/>
  <c r="P98" i="33"/>
  <c r="P92" i="33"/>
  <c r="N89" i="33"/>
  <c r="T86" i="33"/>
  <c r="T79" i="33"/>
  <c r="T78" i="33"/>
  <c r="T90" i="33"/>
  <c r="L91" i="33"/>
  <c r="R99" i="33"/>
  <c r="I100" i="18"/>
  <c r="L87" i="33"/>
  <c r="T87" i="33"/>
  <c r="R89" i="33"/>
  <c r="P78" i="33"/>
  <c r="P95" i="33"/>
  <c r="L93" i="33"/>
  <c r="P93" i="33"/>
  <c r="R96" i="33"/>
  <c r="P102" i="33"/>
  <c r="L103" i="33"/>
  <c r="I92" i="18"/>
  <c r="E77" i="34"/>
  <c r="L77" i="34" s="1"/>
  <c r="N92" i="18"/>
  <c r="O92" i="18" s="1"/>
  <c r="AP77" i="34"/>
  <c r="BB77" i="34"/>
  <c r="BD77" i="34" s="1"/>
  <c r="L79" i="33"/>
  <c r="N80" i="33"/>
  <c r="P81" i="33"/>
  <c r="P103" i="33"/>
  <c r="L99" i="33"/>
  <c r="N100" i="33"/>
  <c r="AP76" i="34"/>
  <c r="E76" i="34"/>
  <c r="L76" i="34" s="1"/>
  <c r="BB76" i="34"/>
  <c r="BD76" i="34" s="1"/>
  <c r="N91" i="18"/>
  <c r="O91" i="18" s="1"/>
  <c r="I91" i="18"/>
  <c r="L78" i="33"/>
  <c r="N81" i="33"/>
  <c r="P90" i="33"/>
  <c r="P82" i="33"/>
  <c r="T103" i="33"/>
  <c r="P101" i="33"/>
  <c r="T82" i="33"/>
  <c r="P84" i="33"/>
  <c r="R94" i="33"/>
  <c r="N95" i="33"/>
  <c r="N99" i="33"/>
  <c r="E79" i="34"/>
  <c r="L79" i="34" s="1"/>
  <c r="BB79" i="34"/>
  <c r="BD79" i="34" s="1"/>
  <c r="I94" i="18"/>
  <c r="N94" i="18"/>
  <c r="O94" i="18" s="1"/>
  <c r="AP79" i="34"/>
  <c r="L81" i="33"/>
  <c r="L90" i="33"/>
  <c r="P80" i="33"/>
  <c r="I95" i="18"/>
  <c r="E80" i="34"/>
  <c r="L80" i="34" s="1"/>
  <c r="BB80" i="34"/>
  <c r="BD80" i="34" s="1"/>
  <c r="AP80" i="34"/>
  <c r="N95" i="18"/>
  <c r="O95" i="18" s="1"/>
  <c r="L82" i="33"/>
  <c r="T102" i="33"/>
  <c r="N97" i="33"/>
  <c r="P97" i="33"/>
  <c r="N82" i="33"/>
  <c r="L102" i="33"/>
  <c r="I98" i="18"/>
  <c r="L85" i="33"/>
  <c r="N96" i="33"/>
  <c r="R82" i="33"/>
  <c r="N103" i="33"/>
  <c r="T92" i="33"/>
  <c r="P96" i="33"/>
  <c r="N79" i="33"/>
  <c r="P100" i="33"/>
  <c r="L89" i="33"/>
  <c r="L92" i="33"/>
  <c r="L94" i="33"/>
  <c r="T84" i="33"/>
  <c r="T101" i="33"/>
  <c r="N92" i="33"/>
  <c r="N85" i="33"/>
  <c r="R90" i="33"/>
  <c r="R93" i="33"/>
  <c r="N102" i="33"/>
  <c r="R86" i="33"/>
  <c r="N93" i="33"/>
  <c r="R98" i="33"/>
  <c r="R88" i="33"/>
  <c r="T100" i="33"/>
  <c r="R95" i="33"/>
  <c r="T80" i="33"/>
  <c r="T88" i="33"/>
  <c r="P83" i="33"/>
  <c r="P89" i="33"/>
  <c r="N94" i="33"/>
  <c r="N91" i="33"/>
  <c r="I99" i="18"/>
  <c r="L86" i="33"/>
  <c r="T95" i="33"/>
  <c r="T96" i="33"/>
  <c r="I97" i="18"/>
  <c r="L84" i="33"/>
  <c r="R103" i="33"/>
  <c r="N87" i="33"/>
  <c r="T98" i="33"/>
  <c r="L88" i="33"/>
  <c r="L95" i="33"/>
  <c r="T91" i="33"/>
  <c r="T89" i="33"/>
  <c r="N93" i="18"/>
  <c r="O93" i="18" s="1"/>
  <c r="I93" i="18"/>
  <c r="AP78" i="34"/>
  <c r="BB78" i="34"/>
  <c r="BD78" i="34" s="1"/>
  <c r="E78" i="34"/>
  <c r="L78" i="34" s="1"/>
  <c r="L80" i="33"/>
  <c r="N98" i="33"/>
  <c r="T99" i="33"/>
  <c r="P85" i="33"/>
  <c r="T97" i="33"/>
  <c r="P87" i="33"/>
  <c r="R83" i="33"/>
  <c r="R91" i="33"/>
  <c r="BB75" i="34"/>
  <c r="BD75" i="34" s="1"/>
  <c r="I90" i="18"/>
  <c r="AP75" i="34"/>
  <c r="E75" i="34"/>
  <c r="L75" i="34" s="1"/>
  <c r="N90" i="18"/>
  <c r="O90" i="18" s="1"/>
  <c r="L77" i="33"/>
  <c r="N101" i="33"/>
  <c r="P79" i="33"/>
  <c r="R97" i="33"/>
  <c r="R100" i="33"/>
  <c r="R85" i="33"/>
  <c r="L96" i="33"/>
  <c r="N84" i="33"/>
  <c r="L101" i="33"/>
  <c r="R81" i="33"/>
  <c r="L97" i="33"/>
  <c r="T93" i="33"/>
  <c r="R92" i="33"/>
  <c r="T85" i="33"/>
  <c r="R101" i="33"/>
  <c r="L98" i="33"/>
  <c r="N90" i="33"/>
  <c r="P94" i="33"/>
  <c r="R79" i="33"/>
  <c r="E81" i="34"/>
  <c r="I96" i="18"/>
  <c r="BB81" i="34"/>
  <c r="BD81" i="34" s="1"/>
  <c r="N96" i="18"/>
  <c r="AP81" i="34"/>
  <c r="L83" i="33"/>
  <c r="P88" i="33"/>
  <c r="P91" i="33"/>
  <c r="L81" i="34" l="1"/>
  <c r="U2" i="34"/>
  <c r="O96" i="18"/>
  <c r="N97" i="18"/>
  <c r="B2" i="20" l="1"/>
  <c r="C12" i="27" l="1"/>
  <c r="C43" i="27"/>
  <c r="C50" i="27"/>
  <c r="C61" i="27"/>
  <c r="C32" i="27"/>
  <c r="C20" i="27"/>
  <c r="C30" i="27" l="1"/>
  <c r="C10" i="27"/>
  <c r="C18" i="27"/>
  <c r="C48" i="27"/>
  <c r="C29" i="27" l="1"/>
  <c r="C47" i="27"/>
  <c r="C17" i="27"/>
  <c r="C9" i="27"/>
  <c r="C19" i="27" l="1"/>
  <c r="C11" i="27"/>
  <c r="C49" i="27"/>
  <c r="C28" i="27"/>
  <c r="C46" i="27"/>
  <c r="C8" i="27"/>
  <c r="C16" i="27"/>
  <c r="C5" i="27"/>
  <c r="C31" i="27"/>
  <c r="C21" i="27" l="1"/>
  <c r="C33" i="27"/>
  <c r="C4" i="27"/>
  <c r="C13" i="27" l="1"/>
  <c r="C15" i="27"/>
  <c r="C57" i="27"/>
  <c r="C39" i="27"/>
  <c r="C60" i="27"/>
  <c r="C7" i="27"/>
  <c r="C51" i="27"/>
  <c r="C27" i="27"/>
  <c r="C42" i="27"/>
  <c r="C45" i="27" l="1"/>
  <c r="C41" i="27" l="1"/>
  <c r="C38" i="27" l="1"/>
  <c r="C3" i="27"/>
  <c r="C24" i="27"/>
  <c r="C36" i="27"/>
  <c r="C54" i="27"/>
  <c r="C37" i="27"/>
  <c r="C25" i="27"/>
  <c r="C23" i="27"/>
  <c r="C35" i="27"/>
  <c r="C53" i="27"/>
  <c r="C55" i="27"/>
  <c r="C6" i="27"/>
  <c r="C40" i="27"/>
  <c r="C59" i="27"/>
  <c r="C56" i="27"/>
  <c r="C58" i="27" l="1"/>
  <c r="C14" i="27"/>
  <c r="C26" i="27"/>
  <c r="C44" i="27" l="1"/>
  <c r="C52" i="27" l="1"/>
  <c r="C34" i="27"/>
  <c r="C22" i="27"/>
  <c r="O6" i="31" l="1"/>
  <c r="Q6" i="31"/>
  <c r="S6" i="31"/>
  <c r="S7" i="31" l="1"/>
  <c r="S11" i="31" s="1"/>
  <c r="O7" i="31"/>
  <c r="O11" i="31" s="1"/>
  <c r="Q7" i="31"/>
  <c r="Q11" i="31" s="1"/>
  <c r="C72" i="22" l="1"/>
  <c r="C73" i="22"/>
  <c r="C71" i="22"/>
  <c r="C79" i="22" l="1"/>
  <c r="C113" i="22" l="1"/>
  <c r="C109" i="22" l="1"/>
  <c r="G91" i="22" l="1"/>
  <c r="G89" i="22" l="1"/>
  <c r="F109" i="22" l="1"/>
  <c r="F113" i="22" l="1"/>
  <c r="G116" i="22"/>
  <c r="F129" i="22" l="1"/>
  <c r="G130" i="22"/>
  <c r="G131" i="22"/>
  <c r="G132" i="22"/>
  <c r="F133" i="22"/>
  <c r="F127" i="22" l="1"/>
  <c r="F126" i="22"/>
  <c r="F125" i="22"/>
  <c r="F131" i="22"/>
  <c r="F124" i="22"/>
  <c r="F130" i="22"/>
  <c r="F128" i="22"/>
  <c r="F132" i="22"/>
  <c r="G119" i="22" l="1"/>
  <c r="G120" i="22"/>
  <c r="G121" i="22"/>
  <c r="G122" i="22"/>
  <c r="G123" i="22"/>
  <c r="F119" i="22" l="1"/>
  <c r="F120" i="22"/>
  <c r="F123" i="22"/>
  <c r="F121" i="22"/>
  <c r="F122" i="22"/>
  <c r="G76" i="22" l="1"/>
  <c r="F86" i="22" l="1"/>
  <c r="F87" i="22"/>
  <c r="F85" i="22"/>
  <c r="G92" i="22" l="1"/>
  <c r="G94" i="22"/>
  <c r="G93" i="22"/>
  <c r="G90" i="22"/>
  <c r="G78" i="22"/>
  <c r="G77" i="22"/>
  <c r="G117" i="22" l="1"/>
  <c r="G118" i="22"/>
  <c r="G115" i="22"/>
  <c r="F115" i="22" l="1"/>
  <c r="F118" i="22"/>
  <c r="F117" i="22"/>
  <c r="F116" i="22"/>
  <c r="F23" i="22" l="1"/>
  <c r="F24" i="22"/>
  <c r="F28" i="22"/>
  <c r="F22" i="22"/>
  <c r="F20" i="22"/>
  <c r="F21" i="22"/>
  <c r="F27" i="22"/>
  <c r="F26" i="22"/>
  <c r="F25" i="22"/>
  <c r="F41" i="22" l="1"/>
  <c r="F46" i="22"/>
  <c r="G22" i="22"/>
  <c r="G24" i="22"/>
  <c r="G20" i="22"/>
  <c r="G28" i="22"/>
  <c r="G23" i="22"/>
  <c r="F47" i="22"/>
  <c r="F48" i="22"/>
  <c r="F42" i="22"/>
  <c r="F44" i="22"/>
  <c r="F40" i="22"/>
  <c r="F43" i="22"/>
  <c r="F45" i="22"/>
  <c r="G25" i="22"/>
  <c r="G26" i="22"/>
  <c r="G27" i="22"/>
  <c r="G21" i="22"/>
  <c r="G46" i="22" l="1"/>
  <c r="G41" i="22"/>
  <c r="G48" i="22"/>
  <c r="G40" i="22"/>
  <c r="G44" i="22"/>
  <c r="G47" i="22"/>
  <c r="G43" i="22"/>
  <c r="G42" i="22"/>
  <c r="G45" i="22"/>
  <c r="G79" i="22" l="1"/>
  <c r="F79" i="22" l="1"/>
  <c r="D65" i="22" l="1"/>
  <c r="D66" i="22"/>
  <c r="D67" i="22"/>
  <c r="D49" i="22" l="1"/>
  <c r="D63" i="22" l="1"/>
  <c r="D51" i="22"/>
  <c r="D53" i="22"/>
  <c r="D64" i="22"/>
  <c r="D56" i="22"/>
  <c r="D62" i="22"/>
  <c r="D52" i="22"/>
  <c r="D55" i="22"/>
  <c r="D50" i="22"/>
  <c r="D60" i="22"/>
  <c r="D61" i="22" l="1"/>
  <c r="D59" i="22"/>
  <c r="D58" i="22"/>
  <c r="D57" i="22"/>
  <c r="D54" i="22" l="1"/>
  <c r="C57" i="22" l="1"/>
  <c r="C64" i="22"/>
  <c r="C61" i="22"/>
  <c r="C51" i="22"/>
  <c r="C59" i="22"/>
  <c r="C52" i="22"/>
  <c r="C54" i="22"/>
  <c r="C49" i="22"/>
  <c r="C65" i="22"/>
  <c r="C60" i="22"/>
  <c r="C62" i="22"/>
  <c r="C63" i="22"/>
  <c r="C50" i="22"/>
  <c r="C56" i="22"/>
  <c r="C67" i="22"/>
  <c r="C55" i="22"/>
  <c r="C58" i="22"/>
  <c r="C53" i="22"/>
  <c r="C66" i="22"/>
  <c r="G49" i="22" l="1"/>
  <c r="G55" i="22"/>
  <c r="G54" i="22"/>
  <c r="G52" i="22"/>
  <c r="G53" i="22"/>
  <c r="G63" i="22"/>
  <c r="G59" i="22"/>
  <c r="G66" i="22"/>
  <c r="G67" i="22"/>
  <c r="G61" i="22"/>
  <c r="G60" i="22"/>
  <c r="G64" i="22"/>
  <c r="G50" i="22"/>
  <c r="G51" i="22"/>
  <c r="G58" i="22"/>
  <c r="G62" i="22"/>
  <c r="G56" i="22"/>
  <c r="G65" i="22"/>
  <c r="G57" i="22"/>
  <c r="F57" i="22" l="1"/>
  <c r="F59" i="22"/>
  <c r="F62" i="22"/>
  <c r="F66" i="22"/>
  <c r="F52" i="22"/>
  <c r="F58" i="22"/>
  <c r="F60" i="22"/>
  <c r="F54" i="22"/>
  <c r="F65" i="22"/>
  <c r="F51" i="22"/>
  <c r="F61" i="22"/>
  <c r="F63" i="22"/>
  <c r="F55" i="22"/>
  <c r="F64" i="22"/>
  <c r="F56" i="22"/>
  <c r="F50" i="22"/>
  <c r="F67" i="22"/>
  <c r="F53" i="22"/>
  <c r="F49" i="22"/>
  <c r="C80" i="22" l="1"/>
  <c r="G80" i="22" l="1"/>
  <c r="C81" i="22"/>
  <c r="F80" i="22" l="1"/>
  <c r="G81" i="22"/>
  <c r="F81" i="22" l="1"/>
  <c r="F39" i="22" l="1"/>
  <c r="F19" i="22"/>
  <c r="G19" i="22" l="1"/>
  <c r="G39" i="22"/>
  <c r="F35" i="22" l="1"/>
  <c r="F15" i="22"/>
  <c r="F10" i="22" l="1"/>
  <c r="F33" i="22"/>
  <c r="F30" i="22"/>
  <c r="F13" i="22"/>
  <c r="F32" i="22"/>
  <c r="F31" i="22"/>
  <c r="F14" i="22"/>
  <c r="F12" i="22"/>
  <c r="F11" i="22"/>
  <c r="F34" i="22"/>
  <c r="F18" i="22"/>
  <c r="F9" i="22"/>
  <c r="F38" i="22"/>
  <c r="F29" i="22"/>
  <c r="G15" i="22"/>
  <c r="F16" i="22"/>
  <c r="F17" i="22"/>
  <c r="F36" i="22"/>
  <c r="F37" i="22"/>
  <c r="G35" i="22"/>
  <c r="G12" i="22" l="1"/>
  <c r="G13" i="22"/>
  <c r="G18" i="22"/>
  <c r="G14" i="22"/>
  <c r="G30" i="22"/>
  <c r="G16" i="22"/>
  <c r="G36" i="22"/>
  <c r="G34" i="22"/>
  <c r="G31" i="22"/>
  <c r="G33" i="22"/>
  <c r="G9" i="22"/>
  <c r="G37" i="22"/>
  <c r="G29" i="22"/>
  <c r="G17" i="22"/>
  <c r="G38" i="22"/>
  <c r="G11" i="22"/>
  <c r="G32" i="22"/>
  <c r="G10" i="22"/>
  <c r="D109" i="22" l="1"/>
  <c r="D113" i="22" l="1"/>
  <c r="G114" i="22" l="1"/>
  <c r="F114" i="22" l="1"/>
  <c r="G140" i="22"/>
  <c r="F140" i="22" l="1"/>
  <c r="G98" i="22" l="1"/>
  <c r="F98" i="22" l="1"/>
  <c r="G99" i="22"/>
  <c r="G100" i="22" l="1"/>
  <c r="F99" i="22"/>
  <c r="F100" i="22" l="1"/>
  <c r="D100" i="22" l="1"/>
  <c r="D98" i="22"/>
  <c r="D99" i="22"/>
  <c r="D95" i="22" l="1"/>
  <c r="D96" i="22"/>
  <c r="D97" i="22"/>
  <c r="C97" i="22" l="1"/>
  <c r="C96" i="22"/>
  <c r="C95" i="22"/>
  <c r="G96" i="22" l="1"/>
  <c r="G95" i="22"/>
  <c r="G97" i="22"/>
  <c r="F97" i="22" l="1"/>
  <c r="F96" i="22"/>
  <c r="F95" i="22"/>
  <c r="F73" i="22" l="1"/>
  <c r="G73" i="22" l="1"/>
  <c r="F2" i="23" l="1"/>
  <c r="F3" i="23"/>
  <c r="F4" i="23"/>
  <c r="A52" i="23" l="1"/>
  <c r="A43" i="23"/>
  <c r="A48" i="23"/>
  <c r="A44" i="23"/>
  <c r="A51" i="23"/>
  <c r="A47" i="23"/>
  <c r="A49" i="23"/>
  <c r="A46" i="23"/>
  <c r="A45" i="23"/>
  <c r="A50" i="23"/>
  <c r="A23" i="23"/>
  <c r="A24" i="23"/>
  <c r="A27" i="23"/>
  <c r="A125" i="23"/>
  <c r="A65" i="23"/>
  <c r="A96" i="23"/>
  <c r="A210" i="23"/>
  <c r="A207" i="23"/>
  <c r="A189" i="23"/>
  <c r="A119" i="23"/>
  <c r="A88" i="23"/>
  <c r="A166" i="23"/>
  <c r="A139" i="23"/>
  <c r="A11" i="23"/>
  <c r="A64" i="23"/>
  <c r="A55" i="23"/>
  <c r="A57" i="23"/>
  <c r="A144" i="23"/>
  <c r="A206" i="23"/>
  <c r="A194" i="23"/>
  <c r="A181" i="23"/>
  <c r="A212" i="23"/>
  <c r="A33" i="23"/>
  <c r="A8" i="23"/>
  <c r="A201" i="23"/>
  <c r="A159" i="23"/>
  <c r="A177" i="23"/>
  <c r="A56" i="23"/>
  <c r="A107" i="23"/>
  <c r="A208" i="23"/>
  <c r="A17" i="23"/>
  <c r="A101" i="23"/>
  <c r="A122" i="23"/>
  <c r="A121" i="23"/>
  <c r="A134" i="23"/>
  <c r="A81" i="23"/>
  <c r="A187" i="23"/>
  <c r="A113" i="23"/>
  <c r="A120" i="23"/>
  <c r="A118" i="23"/>
  <c r="A70" i="23"/>
  <c r="A54" i="23"/>
  <c r="A131" i="23"/>
  <c r="A211" i="23"/>
  <c r="A170" i="23"/>
  <c r="A179" i="23"/>
  <c r="A5" i="23"/>
  <c r="A9" i="23"/>
  <c r="A138" i="23"/>
  <c r="A31" i="23"/>
  <c r="A36" i="23"/>
  <c r="A160" i="23"/>
  <c r="A99" i="23"/>
  <c r="A7" i="23"/>
  <c r="A20" i="23"/>
  <c r="A150" i="23"/>
  <c r="A29" i="23"/>
  <c r="A142" i="23"/>
  <c r="A93" i="23"/>
  <c r="A62" i="23"/>
  <c r="A114" i="23"/>
  <c r="A141" i="23"/>
  <c r="A173" i="23"/>
  <c r="A110" i="23"/>
  <c r="A197" i="23"/>
  <c r="A82" i="23"/>
  <c r="A148" i="23"/>
  <c r="A135" i="23"/>
  <c r="A32" i="23"/>
  <c r="A58" i="23"/>
  <c r="A203" i="23"/>
  <c r="A146" i="23"/>
  <c r="A108" i="23"/>
  <c r="A60" i="23"/>
  <c r="A186" i="23"/>
  <c r="A112" i="23"/>
  <c r="A89" i="23"/>
  <c r="A154" i="23"/>
  <c r="A209" i="23"/>
  <c r="A176" i="23"/>
  <c r="A192" i="23"/>
  <c r="A185" i="23"/>
  <c r="A174" i="23"/>
  <c r="A111" i="23"/>
  <c r="A184" i="23"/>
  <c r="A30" i="23"/>
  <c r="A13" i="23"/>
  <c r="A132" i="23"/>
  <c r="A106" i="23"/>
  <c r="A26" i="23"/>
  <c r="A104" i="23"/>
  <c r="A193" i="23"/>
  <c r="A195" i="23"/>
  <c r="A78" i="23"/>
  <c r="A149" i="23"/>
  <c r="A133" i="23"/>
  <c r="A14" i="23"/>
  <c r="A74" i="23"/>
  <c r="A167" i="23"/>
  <c r="A98" i="23"/>
  <c r="A204" i="23"/>
  <c r="A140" i="23"/>
  <c r="A143" i="23"/>
  <c r="A15" i="23"/>
  <c r="A84" i="23"/>
  <c r="A124" i="23"/>
  <c r="A86" i="23"/>
  <c r="A61" i="23"/>
  <c r="A53" i="23"/>
  <c r="A71" i="23"/>
  <c r="A91" i="23"/>
  <c r="A103" i="23"/>
  <c r="A178" i="23"/>
  <c r="A95" i="23"/>
  <c r="A10" i="23"/>
  <c r="A59" i="23"/>
  <c r="A63" i="23"/>
  <c r="A137" i="23"/>
  <c r="A145" i="23"/>
  <c r="A130" i="23"/>
  <c r="A16" i="23"/>
  <c r="A188" i="23"/>
  <c r="A198" i="23"/>
  <c r="A102" i="23"/>
  <c r="A76" i="23"/>
  <c r="A153" i="23"/>
  <c r="A158" i="23"/>
  <c r="A157" i="23"/>
  <c r="A83" i="23"/>
  <c r="A109" i="23"/>
  <c r="A127" i="23"/>
  <c r="A128" i="23"/>
  <c r="A136" i="23"/>
  <c r="A129" i="23"/>
  <c r="A163" i="23"/>
  <c r="A205" i="23"/>
  <c r="A191" i="23"/>
  <c r="A90" i="23"/>
  <c r="A92" i="23"/>
  <c r="A169" i="23"/>
  <c r="A66" i="23"/>
  <c r="A200" i="23"/>
  <c r="A147" i="23"/>
  <c r="A123" i="23"/>
  <c r="A155" i="23"/>
  <c r="A126" i="23"/>
  <c r="A202" i="23"/>
  <c r="A105" i="23"/>
  <c r="A67" i="23"/>
  <c r="A168" i="23"/>
  <c r="A12" i="23"/>
  <c r="A19" i="23"/>
  <c r="A69" i="23"/>
  <c r="A6" i="23"/>
  <c r="A94" i="23"/>
  <c r="A77" i="23"/>
  <c r="A165" i="23"/>
  <c r="A21" i="23"/>
  <c r="A151" i="23"/>
  <c r="A171" i="23"/>
  <c r="A100" i="23"/>
  <c r="A68" i="23"/>
  <c r="A180" i="23"/>
  <c r="A161" i="23"/>
  <c r="A162" i="23"/>
  <c r="A196" i="23"/>
  <c r="A116" i="23"/>
  <c r="A87" i="23"/>
  <c r="A115" i="23"/>
  <c r="A22" i="23"/>
  <c r="A117" i="23"/>
  <c r="A35" i="23"/>
  <c r="A199" i="23"/>
  <c r="A175" i="23"/>
  <c r="A97" i="23"/>
  <c r="A25" i="23"/>
  <c r="A164" i="23"/>
  <c r="A172" i="23"/>
  <c r="A34" i="23"/>
  <c r="A28" i="23"/>
  <c r="A18" i="23"/>
  <c r="A190" i="23"/>
  <c r="A73" i="23"/>
  <c r="A72" i="23"/>
  <c r="A156" i="23"/>
  <c r="A183" i="23"/>
  <c r="A85" i="23"/>
  <c r="A182" i="23"/>
  <c r="A80" i="23"/>
  <c r="A79" i="23"/>
  <c r="A75" i="23"/>
  <c r="A152" i="23"/>
  <c r="A38" i="23" l="1"/>
  <c r="A41" i="23"/>
  <c r="A37" i="23"/>
  <c r="A42" i="23"/>
  <c r="A40" i="23"/>
  <c r="A39" i="23"/>
  <c r="M8" i="9" l="1"/>
  <c r="Q8" i="9"/>
  <c r="Q4" i="9"/>
  <c r="M4" i="9"/>
  <c r="Q5" i="9"/>
  <c r="M5" i="9"/>
  <c r="Q9" i="9"/>
  <c r="M9" i="9"/>
  <c r="M6" i="9"/>
  <c r="Q6" i="9"/>
  <c r="M7" i="9"/>
  <c r="Q7" i="9"/>
  <c r="N6" i="9"/>
  <c r="N9" i="9"/>
  <c r="N7" i="9"/>
  <c r="N5" i="9"/>
  <c r="N8" i="9"/>
  <c r="N4" i="9"/>
  <c r="O8" i="9" l="1"/>
  <c r="O6" i="9"/>
  <c r="O5" i="9"/>
  <c r="O7" i="9"/>
  <c r="O4" i="9"/>
  <c r="O9" i="9"/>
  <c r="P6" i="9"/>
  <c r="P4" i="9"/>
  <c r="P7" i="9"/>
  <c r="P8" i="9"/>
  <c r="P5" i="9"/>
  <c r="P9" i="9"/>
  <c r="F24" i="16" l="1"/>
  <c r="H18" i="9" l="1"/>
  <c r="H19" i="9"/>
  <c r="H21" i="9"/>
  <c r="H17" i="9"/>
  <c r="H20" i="9"/>
  <c r="H68" i="9"/>
  <c r="H66" i="9"/>
  <c r="H65" i="9"/>
  <c r="H69" i="9"/>
  <c r="H67" i="9"/>
  <c r="H64" i="9"/>
  <c r="H41" i="9"/>
  <c r="H42" i="9"/>
  <c r="H43" i="9"/>
  <c r="H45" i="9"/>
  <c r="H40" i="9"/>
  <c r="H44" i="9"/>
  <c r="H73" i="9"/>
  <c r="H71" i="9"/>
  <c r="H74" i="9"/>
  <c r="H72" i="9"/>
  <c r="H70" i="9"/>
  <c r="H75" i="9"/>
  <c r="H63" i="9"/>
  <c r="H61" i="9"/>
  <c r="H60" i="9"/>
  <c r="H59" i="9"/>
  <c r="H62" i="9"/>
  <c r="H23" i="9"/>
  <c r="H24" i="9"/>
  <c r="H25" i="9"/>
  <c r="H27" i="9"/>
  <c r="H26" i="9"/>
  <c r="H81" i="9"/>
  <c r="H77" i="9"/>
  <c r="H79" i="9"/>
  <c r="H78" i="9"/>
  <c r="H80" i="9"/>
  <c r="H49" i="9"/>
  <c r="H51" i="9"/>
  <c r="H48" i="9"/>
  <c r="H46" i="9"/>
  <c r="H47" i="9"/>
  <c r="H50" i="9"/>
  <c r="H54" i="9"/>
  <c r="H53" i="9"/>
  <c r="H56" i="9"/>
  <c r="H55" i="9"/>
  <c r="H57" i="9"/>
  <c r="H29" i="9"/>
  <c r="H32" i="9"/>
  <c r="H30" i="9"/>
  <c r="H31" i="9"/>
  <c r="H33" i="9"/>
  <c r="H35" i="9"/>
  <c r="H36" i="9"/>
  <c r="H39" i="9"/>
  <c r="H37" i="9"/>
  <c r="H38" i="9"/>
  <c r="H76" i="9" l="1"/>
  <c r="AS47" i="34"/>
  <c r="AS48" i="34" s="1"/>
  <c r="AS49" i="34" s="1"/>
  <c r="AS50" i="34" s="1"/>
  <c r="AS51" i="34" s="1"/>
  <c r="AS52" i="34" s="1"/>
  <c r="AS53" i="34" s="1"/>
  <c r="AS54" i="34" s="1"/>
  <c r="AS55" i="34" s="1"/>
  <c r="AS56" i="34" s="1"/>
  <c r="AS57" i="34" s="1"/>
  <c r="AS58" i="34" s="1"/>
  <c r="AS59" i="34" s="1"/>
  <c r="AS60" i="34" s="1"/>
  <c r="AS61" i="34" s="1"/>
  <c r="AS72" i="34"/>
  <c r="AS73" i="34" s="1"/>
  <c r="AS74" i="34" s="1"/>
  <c r="AS75" i="34" s="1"/>
  <c r="AS76" i="34" s="1"/>
  <c r="AS77" i="34" s="1"/>
  <c r="AS78" i="34" s="1"/>
  <c r="AS79" i="34" s="1"/>
  <c r="AS80" i="34" s="1"/>
  <c r="AS81" i="34" s="1"/>
  <c r="AT7" i="34"/>
  <c r="H22" i="9"/>
  <c r="J86" i="9"/>
  <c r="H86" i="9"/>
  <c r="J93" i="9"/>
  <c r="H93" i="9"/>
  <c r="J87" i="9"/>
  <c r="H87" i="9"/>
  <c r="H10" i="9"/>
  <c r="AS2" i="34"/>
  <c r="AS3" i="34" s="1"/>
  <c r="AS4" i="34" s="1"/>
  <c r="AS5" i="34" s="1"/>
  <c r="AS6" i="34" s="1"/>
  <c r="AS17" i="34"/>
  <c r="AS18" i="34" s="1"/>
  <c r="AS19" i="34" s="1"/>
  <c r="AS20" i="34" s="1"/>
  <c r="AS21" i="34" s="1"/>
  <c r="AS22" i="34" s="1"/>
  <c r="AS23" i="34" s="1"/>
  <c r="AS24" i="34" s="1"/>
  <c r="AS25" i="34" s="1"/>
  <c r="AS26" i="34" s="1"/>
  <c r="AS27" i="34" s="1"/>
  <c r="AS28" i="34" s="1"/>
  <c r="AS29" i="34" s="1"/>
  <c r="AS30" i="34" s="1"/>
  <c r="AS31" i="34" s="1"/>
  <c r="H28" i="9"/>
  <c r="H52" i="9"/>
  <c r="AS32" i="34"/>
  <c r="AS33" i="34" s="1"/>
  <c r="AS34" i="34" s="1"/>
  <c r="AS35" i="34" s="1"/>
  <c r="AS36" i="34" s="1"/>
  <c r="AS37" i="34" s="1"/>
  <c r="AS38" i="34" s="1"/>
  <c r="AS39" i="34" s="1"/>
  <c r="AS40" i="34" s="1"/>
  <c r="AS41" i="34" s="1"/>
  <c r="AS42" i="34" s="1"/>
  <c r="AS43" i="34" s="1"/>
  <c r="AS44" i="34" s="1"/>
  <c r="AS45" i="34" s="1"/>
  <c r="AS46" i="34" s="1"/>
  <c r="J89" i="9"/>
  <c r="H89" i="9"/>
  <c r="J12" i="9"/>
  <c r="H12" i="9"/>
  <c r="J4" i="9"/>
  <c r="H4" i="9"/>
  <c r="J88" i="9"/>
  <c r="H88" i="9"/>
  <c r="J83" i="9"/>
  <c r="H83" i="9"/>
  <c r="J11" i="9"/>
  <c r="H11" i="9"/>
  <c r="H16" i="9"/>
  <c r="AS7" i="34"/>
  <c r="AS8" i="34" s="1"/>
  <c r="AS9" i="34" s="1"/>
  <c r="AS10" i="34" s="1"/>
  <c r="AS11" i="34" s="1"/>
  <c r="AS12" i="34" s="1"/>
  <c r="AS13" i="34" s="1"/>
  <c r="AS14" i="34" s="1"/>
  <c r="AS15" i="34" s="1"/>
  <c r="AS16" i="34" s="1"/>
  <c r="AS62" i="34"/>
  <c r="AS63" i="34" s="1"/>
  <c r="AS64" i="34" s="1"/>
  <c r="AS65" i="34" s="1"/>
  <c r="AS66" i="34" s="1"/>
  <c r="AS67" i="34" s="1"/>
  <c r="AS68" i="34" s="1"/>
  <c r="AS69" i="34" s="1"/>
  <c r="AS70" i="34" s="1"/>
  <c r="AS71" i="34" s="1"/>
  <c r="J91" i="9"/>
  <c r="H91" i="9"/>
  <c r="AT32" i="34"/>
  <c r="AT33" i="34" s="1"/>
  <c r="AT34" i="34" s="1"/>
  <c r="AT35" i="34" s="1"/>
  <c r="AT36" i="34" s="1"/>
  <c r="AT37" i="34" s="1"/>
  <c r="AT38" i="34" s="1"/>
  <c r="AT39" i="34" s="1"/>
  <c r="AT40" i="34" s="1"/>
  <c r="AT41" i="34" s="1"/>
  <c r="AT42" i="34" s="1"/>
  <c r="AT43" i="34" s="1"/>
  <c r="AT44" i="34" s="1"/>
  <c r="AT45" i="34" s="1"/>
  <c r="AT46" i="34" s="1"/>
  <c r="H58" i="9"/>
  <c r="J13" i="9"/>
  <c r="H13" i="9"/>
  <c r="J8" i="9"/>
  <c r="H8" i="9"/>
  <c r="J85" i="9"/>
  <c r="H85" i="9"/>
  <c r="J7" i="9"/>
  <c r="H7" i="9"/>
  <c r="AT72" i="34"/>
  <c r="AT81" i="34"/>
  <c r="AT75" i="34"/>
  <c r="AT76" i="34"/>
  <c r="AT78" i="34"/>
  <c r="AT79" i="34"/>
  <c r="AT77" i="34"/>
  <c r="AT73" i="34"/>
  <c r="AT74" i="34"/>
  <c r="AT80" i="34"/>
  <c r="AT69" i="34"/>
  <c r="AT71" i="34"/>
  <c r="AT68" i="34"/>
  <c r="AT63" i="34"/>
  <c r="AT65" i="34"/>
  <c r="AT67" i="34"/>
  <c r="AT70" i="34"/>
  <c r="AT62" i="34"/>
  <c r="AT66" i="34"/>
  <c r="AT64" i="34"/>
  <c r="J84" i="9"/>
  <c r="H84" i="9"/>
  <c r="J5" i="9"/>
  <c r="H5" i="9"/>
  <c r="J92" i="9"/>
  <c r="H92" i="9"/>
  <c r="J14" i="9"/>
  <c r="H14" i="9"/>
  <c r="J9" i="9"/>
  <c r="H9" i="9"/>
  <c r="AT17" i="34"/>
  <c r="AT18" i="34" s="1"/>
  <c r="AT19" i="34" s="1"/>
  <c r="AT20" i="34" s="1"/>
  <c r="AT21" i="34" s="1"/>
  <c r="AT22" i="34" s="1"/>
  <c r="AT23" i="34" s="1"/>
  <c r="AT24" i="34" s="1"/>
  <c r="AT25" i="34" s="1"/>
  <c r="AT26" i="34" s="1"/>
  <c r="AT27" i="34" s="1"/>
  <c r="AT28" i="34" s="1"/>
  <c r="AT29" i="34" s="1"/>
  <c r="AT30" i="34" s="1"/>
  <c r="AT31" i="34" s="1"/>
  <c r="H34" i="9"/>
  <c r="J90" i="9"/>
  <c r="H90" i="9"/>
  <c r="J82" i="9"/>
  <c r="AT47" i="34"/>
  <c r="AT48" i="34" s="1"/>
  <c r="AT49" i="34" s="1"/>
  <c r="AT50" i="34" s="1"/>
  <c r="AT51" i="34" s="1"/>
  <c r="AT52" i="34" s="1"/>
  <c r="AT53" i="34" s="1"/>
  <c r="AT54" i="34" s="1"/>
  <c r="AT55" i="34" s="1"/>
  <c r="AT56" i="34" s="1"/>
  <c r="AT57" i="34" s="1"/>
  <c r="AT58" i="34" s="1"/>
  <c r="AT59" i="34" s="1"/>
  <c r="AT60" i="34" s="1"/>
  <c r="AT61" i="34" s="1"/>
  <c r="H82" i="9"/>
  <c r="J15" i="9"/>
  <c r="H15" i="9"/>
  <c r="J6" i="9"/>
  <c r="H6" i="9"/>
  <c r="J39" i="9"/>
  <c r="J77" i="9"/>
  <c r="J24" i="9"/>
  <c r="J45" i="9"/>
  <c r="J10" i="9"/>
  <c r="J36" i="9"/>
  <c r="J52" i="9"/>
  <c r="J81" i="9"/>
  <c r="J23" i="9"/>
  <c r="J70" i="9"/>
  <c r="J43" i="9"/>
  <c r="J16" i="9"/>
  <c r="J35" i="9"/>
  <c r="J54" i="9"/>
  <c r="J50" i="9"/>
  <c r="J62" i="9"/>
  <c r="J72" i="9"/>
  <c r="J42" i="9"/>
  <c r="J64" i="9"/>
  <c r="J53" i="9"/>
  <c r="J75" i="9"/>
  <c r="J18" i="9"/>
  <c r="J31" i="9"/>
  <c r="J46" i="9"/>
  <c r="J80" i="9"/>
  <c r="J26" i="9"/>
  <c r="J59" i="9"/>
  <c r="J71" i="9"/>
  <c r="J69" i="9"/>
  <c r="J20" i="9"/>
  <c r="J28" i="9"/>
  <c r="J33" i="9"/>
  <c r="J74" i="9"/>
  <c r="J41" i="9"/>
  <c r="J38" i="9"/>
  <c r="J30" i="9"/>
  <c r="J57" i="9"/>
  <c r="J48" i="9"/>
  <c r="J78" i="9"/>
  <c r="J27" i="9"/>
  <c r="J60" i="9"/>
  <c r="J73" i="9"/>
  <c r="J65" i="9"/>
  <c r="J17" i="9"/>
  <c r="J47" i="9"/>
  <c r="J58" i="9"/>
  <c r="J67" i="9"/>
  <c r="J34" i="9"/>
  <c r="J32" i="9"/>
  <c r="J55" i="9"/>
  <c r="J51" i="9"/>
  <c r="J76" i="9"/>
  <c r="J22" i="9"/>
  <c r="J61" i="9"/>
  <c r="J44" i="9"/>
  <c r="J66" i="9"/>
  <c r="J21" i="9"/>
  <c r="J37" i="9"/>
  <c r="J29" i="9"/>
  <c r="J56" i="9"/>
  <c r="J49" i="9"/>
  <c r="J79" i="9"/>
  <c r="J25" i="9"/>
  <c r="J63" i="9"/>
  <c r="J40" i="9"/>
  <c r="J68" i="9"/>
  <c r="J19" i="9"/>
  <c r="I4" i="9"/>
  <c r="I37" i="9"/>
  <c r="I52" i="9"/>
  <c r="I80" i="9"/>
  <c r="I75" i="9"/>
  <c r="I45" i="9"/>
  <c r="I29" i="9"/>
  <c r="I22" i="9"/>
  <c r="I33" i="9"/>
  <c r="I93" i="9"/>
  <c r="I6" i="9"/>
  <c r="I62" i="9"/>
  <c r="I42" i="9"/>
  <c r="I64" i="9"/>
  <c r="I17" i="9"/>
  <c r="I15" i="9"/>
  <c r="I76" i="9"/>
  <c r="I86" i="9"/>
  <c r="I50" i="9"/>
  <c r="I8" i="9"/>
  <c r="I66" i="9"/>
  <c r="I36" i="9"/>
  <c r="I84" i="9"/>
  <c r="I77" i="9"/>
  <c r="I65" i="9"/>
  <c r="I11" i="9"/>
  <c r="I25" i="9"/>
  <c r="I54" i="9"/>
  <c r="I51" i="9"/>
  <c r="I32" i="9"/>
  <c r="I68" i="9"/>
  <c r="I60" i="9"/>
  <c r="I70" i="9"/>
  <c r="I67" i="9"/>
  <c r="I13" i="9"/>
  <c r="I24" i="9"/>
  <c r="I41" i="9"/>
  <c r="I78" i="9"/>
  <c r="I10" i="9"/>
  <c r="I23" i="9"/>
  <c r="I56" i="9"/>
  <c r="I21" i="9"/>
  <c r="I91" i="9"/>
  <c r="I19" i="9"/>
  <c r="I59" i="9"/>
  <c r="I9" i="9"/>
  <c r="I49" i="9"/>
  <c r="I74" i="9"/>
  <c r="I28" i="9"/>
  <c r="I27" i="9"/>
  <c r="I92" i="9"/>
  <c r="I85" i="9"/>
  <c r="I58" i="9"/>
  <c r="I88" i="9"/>
  <c r="I61" i="9"/>
  <c r="I48" i="9"/>
  <c r="I81" i="9"/>
  <c r="I72" i="9"/>
  <c r="I55" i="9"/>
  <c r="I35" i="9"/>
  <c r="I82" i="9"/>
  <c r="I46" i="9"/>
  <c r="I71" i="9"/>
  <c r="I53" i="9"/>
  <c r="I40" i="9"/>
  <c r="I39" i="9"/>
  <c r="I34" i="9"/>
  <c r="I18" i="9"/>
  <c r="I83" i="9"/>
  <c r="I44" i="9"/>
  <c r="I89" i="9"/>
  <c r="I16" i="9"/>
  <c r="I73" i="9"/>
  <c r="I69" i="9"/>
  <c r="I14" i="9"/>
  <c r="I43" i="9"/>
  <c r="I7" i="9"/>
  <c r="I31" i="9"/>
  <c r="I38" i="9"/>
  <c r="I90" i="9"/>
  <c r="I20" i="9"/>
  <c r="I87" i="9"/>
  <c r="I63" i="9"/>
  <c r="I5" i="9"/>
  <c r="I47" i="9"/>
  <c r="I79" i="9"/>
  <c r="I30" i="9"/>
  <c r="I12" i="9"/>
  <c r="I26" i="9"/>
  <c r="I57" i="9"/>
  <c r="AT2" i="34" l="1"/>
  <c r="AT8" i="34"/>
  <c r="K87" i="9"/>
  <c r="K88" i="9"/>
  <c r="K65" i="9"/>
  <c r="K29" i="9"/>
  <c r="K21" i="9"/>
  <c r="K38" i="9"/>
  <c r="K67" i="9"/>
  <c r="K84" i="9"/>
  <c r="K44" i="9"/>
  <c r="K48" i="9"/>
  <c r="K60" i="9"/>
  <c r="K56" i="9"/>
  <c r="K45" i="9"/>
  <c r="K15" i="9"/>
  <c r="K75" i="9"/>
  <c r="K39" i="9"/>
  <c r="K52" i="9"/>
  <c r="K80" i="9"/>
  <c r="K35" i="9"/>
  <c r="K41" i="9"/>
  <c r="K4" i="9"/>
  <c r="K49" i="9"/>
  <c r="K61" i="9"/>
  <c r="K78" i="9"/>
  <c r="K32" i="9"/>
  <c r="K76" i="9"/>
  <c r="K6" i="9"/>
  <c r="K85" i="9"/>
  <c r="K14" i="9"/>
  <c r="K36" i="9"/>
  <c r="K10" i="9"/>
  <c r="K43" i="9"/>
  <c r="K90" i="9"/>
  <c r="K71" i="9"/>
  <c r="K46" i="9"/>
  <c r="K37" i="9"/>
  <c r="K17" i="9"/>
  <c r="K28" i="9"/>
  <c r="K72" i="9"/>
  <c r="K81" i="9"/>
  <c r="K23" i="9"/>
  <c r="K92" i="9"/>
  <c r="K89" i="9"/>
  <c r="K27" i="9"/>
  <c r="K26" i="9"/>
  <c r="K8" i="9"/>
  <c r="K18" i="9"/>
  <c r="K59" i="9"/>
  <c r="K53" i="9"/>
  <c r="K31" i="9"/>
  <c r="K64" i="9"/>
  <c r="K13" i="9"/>
  <c r="K91" i="9"/>
  <c r="K42" i="9"/>
  <c r="K30" i="9"/>
  <c r="K83" i="9"/>
  <c r="K16" i="9"/>
  <c r="K22" i="9"/>
  <c r="K73" i="9"/>
  <c r="K9" i="9"/>
  <c r="K55" i="9"/>
  <c r="K7" i="9"/>
  <c r="K62" i="9"/>
  <c r="K69" i="9"/>
  <c r="K47" i="9"/>
  <c r="K54" i="9"/>
  <c r="K11" i="9"/>
  <c r="K5" i="9"/>
  <c r="K58" i="9"/>
  <c r="K19" i="9"/>
  <c r="K63" i="9"/>
  <c r="K20" i="9"/>
  <c r="N11" i="9"/>
  <c r="K57" i="9"/>
  <c r="K34" i="9"/>
  <c r="K70" i="9"/>
  <c r="K50" i="9"/>
  <c r="K12" i="9"/>
  <c r="K66" i="9"/>
  <c r="K79" i="9"/>
  <c r="K82" i="9"/>
  <c r="K74" i="9"/>
  <c r="K24" i="9"/>
  <c r="K51" i="9"/>
  <c r="K40" i="9"/>
  <c r="K86" i="9"/>
  <c r="K33" i="9"/>
  <c r="K93" i="9"/>
  <c r="K25" i="9"/>
  <c r="K77" i="9"/>
  <c r="K68" i="9"/>
  <c r="Q27" i="9" l="1"/>
  <c r="M27" i="9"/>
  <c r="M92" i="9"/>
  <c r="Q92" i="9"/>
  <c r="Q23" i="9"/>
  <c r="M23" i="9"/>
  <c r="Q48" i="9"/>
  <c r="M48" i="9"/>
  <c r="M36" i="9"/>
  <c r="Q36" i="9"/>
  <c r="Q47" i="9"/>
  <c r="M47" i="9"/>
  <c r="M72" i="9"/>
  <c r="Q72" i="9"/>
  <c r="Q81" i="9"/>
  <c r="M81" i="9"/>
  <c r="M38" i="9"/>
  <c r="Q38" i="9"/>
  <c r="Q21" i="9"/>
  <c r="M21" i="9"/>
  <c r="Q39" i="9"/>
  <c r="M39" i="9"/>
  <c r="M13" i="9"/>
  <c r="Q13" i="9"/>
  <c r="Q32" i="9"/>
  <c r="M32" i="9"/>
  <c r="M66" i="9"/>
  <c r="Q66" i="9"/>
  <c r="M55" i="9"/>
  <c r="Q55" i="9"/>
  <c r="M63" i="9"/>
  <c r="Q63" i="9"/>
  <c r="Q75" i="9"/>
  <c r="M75" i="9"/>
  <c r="M58" i="9"/>
  <c r="Q58" i="9"/>
  <c r="Q10" i="9"/>
  <c r="M10" i="9"/>
  <c r="Q65" i="9"/>
  <c r="M65" i="9"/>
  <c r="M49" i="9"/>
  <c r="Q49" i="9"/>
  <c r="M77" i="9"/>
  <c r="Q77" i="9"/>
  <c r="Q74" i="9"/>
  <c r="M74" i="9"/>
  <c r="M31" i="9"/>
  <c r="Q31" i="9"/>
  <c r="M83" i="9"/>
  <c r="Q83" i="9"/>
  <c r="M91" i="9"/>
  <c r="Q91" i="9"/>
  <c r="M57" i="9"/>
  <c r="Q57" i="9"/>
  <c r="Q37" i="9"/>
  <c r="M37" i="9"/>
  <c r="M17" i="9"/>
  <c r="Q17" i="9"/>
  <c r="Q84" i="9"/>
  <c r="M84" i="9"/>
  <c r="M53" i="9"/>
  <c r="Q53" i="9"/>
  <c r="Q20" i="9"/>
  <c r="M20" i="9"/>
  <c r="Q71" i="9"/>
  <c r="M71" i="9"/>
  <c r="Q12" i="9"/>
  <c r="M12" i="9"/>
  <c r="Q22" i="9"/>
  <c r="M22" i="9"/>
  <c r="Q30" i="9"/>
  <c r="M30" i="9"/>
  <c r="M34" i="9"/>
  <c r="Q34" i="9"/>
  <c r="Q25" i="9"/>
  <c r="M25" i="9"/>
  <c r="Q87" i="9"/>
  <c r="M87" i="9"/>
  <c r="M78" i="9"/>
  <c r="Q78" i="9"/>
  <c r="M54" i="9"/>
  <c r="Q54" i="9"/>
  <c r="M70" i="9"/>
  <c r="Q70" i="9"/>
  <c r="M14" i="9"/>
  <c r="Q14" i="9"/>
  <c r="M46" i="9"/>
  <c r="Q46" i="9"/>
  <c r="M15" i="9"/>
  <c r="Q15" i="9"/>
  <c r="M29" i="9"/>
  <c r="Q29" i="9"/>
  <c r="Q51" i="9"/>
  <c r="M51" i="9"/>
  <c r="Q82" i="9"/>
  <c r="M82" i="9"/>
  <c r="M33" i="9"/>
  <c r="Q33" i="9"/>
  <c r="M89" i="9"/>
  <c r="Q89" i="9"/>
  <c r="M56" i="9"/>
  <c r="Q56" i="9"/>
  <c r="Q86" i="9"/>
  <c r="M86" i="9"/>
  <c r="Q26" i="9"/>
  <c r="M26" i="9"/>
  <c r="Q59" i="9"/>
  <c r="M59" i="9"/>
  <c r="Q93" i="9"/>
  <c r="M93" i="9"/>
  <c r="Q18" i="9"/>
  <c r="M18" i="9"/>
  <c r="Q73" i="9"/>
  <c r="M73" i="9"/>
  <c r="M67" i="9"/>
  <c r="Q67" i="9"/>
  <c r="Q35" i="9"/>
  <c r="M35" i="9"/>
  <c r="M68" i="9"/>
  <c r="Q68" i="9"/>
  <c r="M11" i="9"/>
  <c r="Q11" i="9"/>
  <c r="Q79" i="9"/>
  <c r="M79" i="9"/>
  <c r="M62" i="9"/>
  <c r="Q62" i="9"/>
  <c r="M60" i="9"/>
  <c r="Q60" i="9"/>
  <c r="Q88" i="9"/>
  <c r="M88" i="9"/>
  <c r="Q76" i="9"/>
  <c r="M76" i="9"/>
  <c r="M69" i="9"/>
  <c r="Q69" i="9"/>
  <c r="Q50" i="9"/>
  <c r="M50" i="9"/>
  <c r="Q24" i="9"/>
  <c r="M24" i="9"/>
  <c r="M64" i="9"/>
  <c r="Q64" i="9"/>
  <c r="M28" i="9"/>
  <c r="Q28" i="9"/>
  <c r="Q16" i="9"/>
  <c r="M16" i="9"/>
  <c r="AT3" i="34"/>
  <c r="AT9" i="34"/>
  <c r="M19" i="9"/>
  <c r="Q19" i="9"/>
  <c r="Q52" i="9"/>
  <c r="M52" i="9"/>
  <c r="M61" i="9"/>
  <c r="Q61" i="9"/>
  <c r="Q80" i="9"/>
  <c r="M80" i="9"/>
  <c r="M85" i="9"/>
  <c r="Q85" i="9"/>
  <c r="M90" i="9"/>
  <c r="Q90" i="9"/>
  <c r="C68" i="22"/>
  <c r="F68" i="22"/>
  <c r="N29" i="9"/>
  <c r="N58" i="9"/>
  <c r="N89" i="9"/>
  <c r="N27" i="9"/>
  <c r="N55" i="9"/>
  <c r="N74" i="9"/>
  <c r="N17" i="9"/>
  <c r="N13" i="9"/>
  <c r="Z54" i="17"/>
  <c r="N53" i="9"/>
  <c r="N62" i="9"/>
  <c r="N48" i="9"/>
  <c r="N36" i="9"/>
  <c r="N34" i="9"/>
  <c r="N20" i="9"/>
  <c r="N71" i="9"/>
  <c r="N87" i="9"/>
  <c r="N31" i="9"/>
  <c r="N39" i="9"/>
  <c r="N91" i="9"/>
  <c r="N80" i="9"/>
  <c r="N28" i="9"/>
  <c r="N35" i="9"/>
  <c r="N57" i="9"/>
  <c r="N85" i="9"/>
  <c r="N51" i="9"/>
  <c r="N19" i="9"/>
  <c r="N33" i="9"/>
  <c r="N93" i="9"/>
  <c r="N25" i="9"/>
  <c r="N38" i="9"/>
  <c r="N21" i="9"/>
  <c r="N79" i="9"/>
  <c r="N92" i="9"/>
  <c r="N75" i="9"/>
  <c r="N30" i="9"/>
  <c r="N26" i="9"/>
  <c r="N65" i="9"/>
  <c r="N63" i="9"/>
  <c r="N23" i="9"/>
  <c r="N37" i="9"/>
  <c r="N69" i="9"/>
  <c r="N73" i="9"/>
  <c r="N60" i="9"/>
  <c r="N88" i="9"/>
  <c r="N46" i="9"/>
  <c r="N52" i="9"/>
  <c r="N18" i="9"/>
  <c r="N78" i="9"/>
  <c r="N16" i="9"/>
  <c r="N54" i="9"/>
  <c r="N70" i="9"/>
  <c r="N66" i="9"/>
  <c r="N82" i="9"/>
  <c r="N22" i="9"/>
  <c r="Z79" i="17"/>
  <c r="N86" i="9"/>
  <c r="N59" i="9"/>
  <c r="N83" i="9"/>
  <c r="N61" i="9"/>
  <c r="N68" i="9"/>
  <c r="N15" i="9"/>
  <c r="N56" i="9"/>
  <c r="N76" i="9"/>
  <c r="N81" i="9"/>
  <c r="N49" i="9"/>
  <c r="N50" i="9"/>
  <c r="N24" i="9"/>
  <c r="N64" i="9"/>
  <c r="N32" i="9"/>
  <c r="N12" i="9"/>
  <c r="N14" i="9"/>
  <c r="N47" i="9"/>
  <c r="N72" i="9"/>
  <c r="N77" i="9"/>
  <c r="N84" i="9"/>
  <c r="N67" i="9"/>
  <c r="N90" i="9"/>
  <c r="G49" i="9"/>
  <c r="G63" i="9"/>
  <c r="G40" i="9"/>
  <c r="G73" i="9"/>
  <c r="G56" i="9"/>
  <c r="G68" i="9"/>
  <c r="G38" i="9"/>
  <c r="G71" i="9"/>
  <c r="G6" i="9"/>
  <c r="G67" i="9"/>
  <c r="G79" i="9"/>
  <c r="G57" i="9"/>
  <c r="G29" i="9"/>
  <c r="G42" i="9"/>
  <c r="G89" i="9"/>
  <c r="G26" i="9"/>
  <c r="G31" i="9"/>
  <c r="G37" i="9"/>
  <c r="G27" i="9"/>
  <c r="G82" i="9"/>
  <c r="G25" i="9"/>
  <c r="G39" i="9"/>
  <c r="G75" i="9"/>
  <c r="G51" i="9"/>
  <c r="G5" i="9"/>
  <c r="G58" i="9"/>
  <c r="G28" i="9"/>
  <c r="G48" i="9"/>
  <c r="G36" i="9"/>
  <c r="G86" i="9"/>
  <c r="G11" i="9"/>
  <c r="G8" i="9"/>
  <c r="G23" i="9"/>
  <c r="G60" i="9"/>
  <c r="G50" i="9"/>
  <c r="G69" i="9"/>
  <c r="G9" i="9"/>
  <c r="G12" i="9"/>
  <c r="G72" i="9"/>
  <c r="G44" i="9"/>
  <c r="G62" i="9"/>
  <c r="G84" i="9"/>
  <c r="G35" i="9"/>
  <c r="G10" i="9"/>
  <c r="G59" i="9"/>
  <c r="G93" i="9"/>
  <c r="G32" i="9"/>
  <c r="G24" i="9"/>
  <c r="G47" i="9"/>
  <c r="G64" i="9"/>
  <c r="G13" i="9"/>
  <c r="G66" i="9"/>
  <c r="G30" i="9"/>
  <c r="G15" i="9"/>
  <c r="G65" i="9"/>
  <c r="G78" i="9"/>
  <c r="G61" i="9"/>
  <c r="G88" i="9"/>
  <c r="G43" i="9"/>
  <c r="G22" i="9"/>
  <c r="G77" i="9"/>
  <c r="G83" i="9"/>
  <c r="G41" i="9"/>
  <c r="G92" i="9"/>
  <c r="G90" i="9"/>
  <c r="G76" i="9"/>
  <c r="G85" i="9"/>
  <c r="G70" i="9"/>
  <c r="G34" i="9"/>
  <c r="G80" i="9"/>
  <c r="G54" i="9"/>
  <c r="G33" i="9"/>
  <c r="G46" i="9"/>
  <c r="G52" i="9"/>
  <c r="G74" i="9"/>
  <c r="G55" i="9"/>
  <c r="G91" i="9"/>
  <c r="G14" i="9"/>
  <c r="G81" i="9"/>
  <c r="G87" i="9"/>
  <c r="G45" i="9"/>
  <c r="G7" i="9"/>
  <c r="G53" i="9"/>
  <c r="G4" i="9"/>
  <c r="R24" i="17"/>
  <c r="Q39" i="17"/>
  <c r="S14" i="17" l="1"/>
  <c r="S69" i="17"/>
  <c r="P10" i="9"/>
  <c r="N10" i="9"/>
  <c r="Q54" i="17"/>
  <c r="S79" i="17"/>
  <c r="R89" i="17"/>
  <c r="O72" i="9"/>
  <c r="O64" i="9"/>
  <c r="O51" i="9"/>
  <c r="O87" i="9"/>
  <c r="O53" i="9"/>
  <c r="O10" i="9"/>
  <c r="R54" i="17"/>
  <c r="Q89" i="17"/>
  <c r="R39" i="17"/>
  <c r="Q14" i="17"/>
  <c r="R69" i="17"/>
  <c r="O90" i="9"/>
  <c r="O77" i="9"/>
  <c r="O32" i="9"/>
  <c r="O76" i="9"/>
  <c r="O15" i="9"/>
  <c r="O83" i="9"/>
  <c r="O70" i="9"/>
  <c r="O46" i="9"/>
  <c r="O60" i="9"/>
  <c r="O73" i="9"/>
  <c r="O63" i="9"/>
  <c r="O26" i="9"/>
  <c r="O38" i="9"/>
  <c r="O28" i="9"/>
  <c r="O71" i="9"/>
  <c r="O36" i="9"/>
  <c r="O55" i="9"/>
  <c r="M40" i="9"/>
  <c r="Q40" i="9"/>
  <c r="R14" i="17"/>
  <c r="Q42" i="9"/>
  <c r="M42" i="9"/>
  <c r="O12" i="9"/>
  <c r="O61" i="9"/>
  <c r="O59" i="9"/>
  <c r="O66" i="9"/>
  <c r="O16" i="9"/>
  <c r="O52" i="9"/>
  <c r="O23" i="9"/>
  <c r="O79" i="9"/>
  <c r="O93" i="9"/>
  <c r="O35" i="9"/>
  <c r="O39" i="9"/>
  <c r="O34" i="9"/>
  <c r="O74" i="9"/>
  <c r="O29" i="9"/>
  <c r="S89" i="17"/>
  <c r="S39" i="17"/>
  <c r="Q44" i="9"/>
  <c r="M44" i="9"/>
  <c r="Q24" i="17"/>
  <c r="Q43" i="9"/>
  <c r="M43" i="9"/>
  <c r="M41" i="9"/>
  <c r="Q41" i="9"/>
  <c r="O50" i="9"/>
  <c r="S54" i="17"/>
  <c r="R79" i="17"/>
  <c r="Q79" i="17"/>
  <c r="Q45" i="9"/>
  <c r="M45" i="9"/>
  <c r="O67" i="9"/>
  <c r="O47" i="9"/>
  <c r="O49" i="9"/>
  <c r="O68" i="9"/>
  <c r="O86" i="9"/>
  <c r="O22" i="9"/>
  <c r="O54" i="9"/>
  <c r="O78" i="9"/>
  <c r="O88" i="9"/>
  <c r="O69" i="9"/>
  <c r="O65" i="9"/>
  <c r="O30" i="9"/>
  <c r="O25" i="9"/>
  <c r="O33" i="9"/>
  <c r="O85" i="9"/>
  <c r="O80" i="9"/>
  <c r="O31" i="9"/>
  <c r="O20" i="9"/>
  <c r="O48" i="9"/>
  <c r="O13" i="9"/>
  <c r="O27" i="9"/>
  <c r="O58" i="9"/>
  <c r="AT4" i="34"/>
  <c r="AT10" i="34"/>
  <c r="S24" i="17"/>
  <c r="Q69" i="17"/>
  <c r="O84" i="9"/>
  <c r="O14" i="9"/>
  <c r="O24" i="9"/>
  <c r="O81" i="9"/>
  <c r="O56" i="9"/>
  <c r="O82" i="9"/>
  <c r="O18" i="9"/>
  <c r="O37" i="9"/>
  <c r="O75" i="9"/>
  <c r="O92" i="9"/>
  <c r="O21" i="9"/>
  <c r="O19" i="9"/>
  <c r="O57" i="9"/>
  <c r="O91" i="9"/>
  <c r="O62" i="9"/>
  <c r="O17" i="9"/>
  <c r="O89" i="9"/>
  <c r="O11" i="9"/>
  <c r="C70" i="22"/>
  <c r="F70" i="22"/>
  <c r="W89" i="17"/>
  <c r="W79" i="17"/>
  <c r="W39" i="17"/>
  <c r="W69" i="17"/>
  <c r="Y79" i="17"/>
  <c r="Y39" i="17"/>
  <c r="Y54" i="17"/>
  <c r="W54" i="17"/>
  <c r="N41" i="9"/>
  <c r="N40" i="9"/>
  <c r="N44" i="9"/>
  <c r="N43" i="9"/>
  <c r="N45" i="9"/>
  <c r="N42" i="9"/>
  <c r="G17" i="9"/>
  <c r="G16" i="9"/>
  <c r="G20" i="9"/>
  <c r="G18" i="9"/>
  <c r="G21" i="9"/>
  <c r="G19" i="9"/>
  <c r="P11" i="9"/>
  <c r="P84" i="9"/>
  <c r="P46" i="9"/>
  <c r="P78" i="9"/>
  <c r="P30" i="9"/>
  <c r="P90" i="9"/>
  <c r="P27" i="9"/>
  <c r="Z24" i="17"/>
  <c r="P72" i="9"/>
  <c r="P37" i="9"/>
  <c r="P63" i="9"/>
  <c r="P56" i="9"/>
  <c r="P36" i="9"/>
  <c r="P52" i="9"/>
  <c r="P82" i="9"/>
  <c r="Z39" i="17"/>
  <c r="P35" i="9"/>
  <c r="P93" i="9"/>
  <c r="P15" i="9"/>
  <c r="Z69" i="17"/>
  <c r="P51" i="9"/>
  <c r="Y24" i="17"/>
  <c r="P70" i="9"/>
  <c r="P76" i="9"/>
  <c r="P33" i="9"/>
  <c r="P60" i="9"/>
  <c r="P17" i="9"/>
  <c r="P19" i="9"/>
  <c r="P75" i="9"/>
  <c r="P55" i="9"/>
  <c r="P73" i="9"/>
  <c r="P81" i="9"/>
  <c r="P69" i="9"/>
  <c r="P38" i="9"/>
  <c r="P12" i="9"/>
  <c r="P32" i="9"/>
  <c r="P79" i="9"/>
  <c r="P13" i="9"/>
  <c r="P91" i="9"/>
  <c r="P49" i="9"/>
  <c r="Y69" i="17"/>
  <c r="P67" i="9"/>
  <c r="P39" i="9"/>
  <c r="P74" i="9"/>
  <c r="P65" i="9"/>
  <c r="Z89" i="17"/>
  <c r="P29" i="9"/>
  <c r="P28" i="9"/>
  <c r="P24" i="9"/>
  <c r="P34" i="9"/>
  <c r="P21" i="9"/>
  <c r="P31" i="9"/>
  <c r="P83" i="9"/>
  <c r="P88" i="9"/>
  <c r="Y89" i="17"/>
  <c r="P85" i="9"/>
  <c r="P71" i="9"/>
  <c r="P48" i="9"/>
  <c r="P80" i="9"/>
  <c r="P68" i="9"/>
  <c r="P47" i="9"/>
  <c r="P61" i="9"/>
  <c r="P57" i="9"/>
  <c r="P87" i="9"/>
  <c r="P50" i="9"/>
  <c r="C16" i="23"/>
  <c r="C8" i="23"/>
  <c r="C5" i="23"/>
  <c r="C19" i="23"/>
  <c r="C12" i="23"/>
  <c r="C10" i="23"/>
  <c r="C17" i="23"/>
  <c r="C6" i="23"/>
  <c r="C14" i="23"/>
  <c r="C18" i="23"/>
  <c r="C20" i="23"/>
  <c r="C7" i="23"/>
  <c r="C11" i="23"/>
  <c r="C9" i="23"/>
  <c r="C13" i="23"/>
  <c r="C15" i="23"/>
  <c r="P62" i="9"/>
  <c r="P16" i="9"/>
  <c r="P14" i="9"/>
  <c r="P23" i="9"/>
  <c r="P53" i="9"/>
  <c r="P89" i="9"/>
  <c r="P92" i="9"/>
  <c r="P18" i="9"/>
  <c r="P25" i="9"/>
  <c r="P26" i="9"/>
  <c r="P20" i="9"/>
  <c r="P66" i="9"/>
  <c r="P58" i="9"/>
  <c r="P77" i="9"/>
  <c r="P54" i="9"/>
  <c r="P22" i="9"/>
  <c r="P64" i="9"/>
  <c r="P59" i="9"/>
  <c r="P86" i="9"/>
  <c r="O43" i="9" l="1"/>
  <c r="O40" i="9"/>
  <c r="O42" i="9"/>
  <c r="O45" i="9"/>
  <c r="O41" i="9"/>
  <c r="G68" i="22"/>
  <c r="O44" i="9"/>
  <c r="AT11" i="34"/>
  <c r="AT5" i="34"/>
  <c r="F69" i="22"/>
  <c r="C69" i="22"/>
  <c r="C49" i="23"/>
  <c r="C52" i="23"/>
  <c r="C51" i="23"/>
  <c r="C38" i="23"/>
  <c r="F71" i="22"/>
  <c r="F72" i="22"/>
  <c r="C21" i="23"/>
  <c r="F19" i="23"/>
  <c r="F20" i="23"/>
  <c r="F18" i="23"/>
  <c r="F16" i="23"/>
  <c r="F17" i="23"/>
  <c r="C25" i="23"/>
  <c r="C62" i="23"/>
  <c r="C139" i="23"/>
  <c r="C165" i="23"/>
  <c r="C94" i="23"/>
  <c r="C24" i="23"/>
  <c r="C140" i="23"/>
  <c r="C70" i="23"/>
  <c r="C26" i="23"/>
  <c r="C187" i="23"/>
  <c r="C22" i="23"/>
  <c r="C23" i="23"/>
  <c r="C210" i="23"/>
  <c r="C68" i="23"/>
  <c r="C53" i="23"/>
  <c r="C188" i="23"/>
  <c r="C158" i="23"/>
  <c r="C177" i="23"/>
  <c r="C174" i="23"/>
  <c r="C120" i="23"/>
  <c r="C93" i="23"/>
  <c r="C28" i="23"/>
  <c r="C142" i="23"/>
  <c r="C180" i="23"/>
  <c r="C99" i="23"/>
  <c r="C58" i="23"/>
  <c r="C135" i="23"/>
  <c r="C129" i="23"/>
  <c r="C67" i="23"/>
  <c r="C141" i="23"/>
  <c r="C77" i="23"/>
  <c r="C157" i="23"/>
  <c r="C33" i="23"/>
  <c r="C161" i="23"/>
  <c r="C166" i="23"/>
  <c r="C61" i="23"/>
  <c r="C32" i="23"/>
  <c r="C167" i="23"/>
  <c r="C110" i="23"/>
  <c r="C102" i="23"/>
  <c r="C82" i="23"/>
  <c r="C197" i="23"/>
  <c r="C56" i="23"/>
  <c r="C143" i="23"/>
  <c r="C211" i="23"/>
  <c r="C76" i="23"/>
  <c r="C101" i="23"/>
  <c r="C144" i="23"/>
  <c r="C57" i="23"/>
  <c r="C31" i="23"/>
  <c r="C71" i="23"/>
  <c r="C81" i="23"/>
  <c r="C136" i="23"/>
  <c r="C118" i="23"/>
  <c r="C96" i="23"/>
  <c r="C185" i="23"/>
  <c r="C162" i="23"/>
  <c r="C201" i="23"/>
  <c r="C148" i="23"/>
  <c r="C131" i="23"/>
  <c r="C29" i="23"/>
  <c r="C160" i="23"/>
  <c r="C64" i="23"/>
  <c r="C169" i="23"/>
  <c r="C208" i="23"/>
  <c r="C92" i="23"/>
  <c r="C172" i="23"/>
  <c r="C182" i="23"/>
  <c r="C198" i="23"/>
  <c r="C66" i="23"/>
  <c r="C72" i="23"/>
  <c r="C122" i="23"/>
  <c r="C146" i="23"/>
  <c r="C133" i="23"/>
  <c r="C27" i="23"/>
  <c r="C117" i="23"/>
  <c r="C100" i="23"/>
  <c r="C204" i="23"/>
  <c r="C200" i="23"/>
  <c r="C116" i="23"/>
  <c r="C36" i="23"/>
  <c r="C97" i="23"/>
  <c r="C74" i="23"/>
  <c r="C128" i="23"/>
  <c r="C179" i="23"/>
  <c r="C202" i="23"/>
  <c r="C83" i="23"/>
  <c r="C113" i="23"/>
  <c r="C156" i="23"/>
  <c r="C109" i="23"/>
  <c r="C69" i="23"/>
  <c r="C87" i="23"/>
  <c r="C168" i="23"/>
  <c r="C104" i="23"/>
  <c r="C164" i="23"/>
  <c r="C125" i="23"/>
  <c r="C186" i="23"/>
  <c r="C119" i="23"/>
  <c r="C203" i="23"/>
  <c r="C59" i="23"/>
  <c r="C184" i="23"/>
  <c r="C54" i="23"/>
  <c r="C55" i="23"/>
  <c r="C103" i="23"/>
  <c r="C199" i="23"/>
  <c r="C154" i="23"/>
  <c r="C108" i="23"/>
  <c r="C75" i="23"/>
  <c r="C191" i="23"/>
  <c r="C132" i="23"/>
  <c r="C34" i="23"/>
  <c r="C163" i="23"/>
  <c r="C212" i="23"/>
  <c r="C127" i="23"/>
  <c r="C60" i="23"/>
  <c r="C130" i="23"/>
  <c r="C205" i="23"/>
  <c r="C124" i="23"/>
  <c r="C195" i="23"/>
  <c r="C196" i="23"/>
  <c r="C134" i="23"/>
  <c r="C84" i="23"/>
  <c r="C112" i="23"/>
  <c r="C30" i="23"/>
  <c r="C209" i="23"/>
  <c r="C86" i="23"/>
  <c r="C63" i="23"/>
  <c r="C170" i="23"/>
  <c r="C89" i="23"/>
  <c r="C159" i="23"/>
  <c r="C152" i="23"/>
  <c r="C111" i="23"/>
  <c r="C183" i="23"/>
  <c r="C79" i="23"/>
  <c r="C73" i="23"/>
  <c r="C155" i="23"/>
  <c r="C65" i="23"/>
  <c r="C150" i="23"/>
  <c r="C145" i="23"/>
  <c r="C173" i="23"/>
  <c r="C95" i="23"/>
  <c r="C137" i="23"/>
  <c r="C181" i="23"/>
  <c r="C88" i="23"/>
  <c r="C190" i="23"/>
  <c r="C207" i="23"/>
  <c r="C90" i="23"/>
  <c r="C78" i="23"/>
  <c r="C85" i="23"/>
  <c r="C178" i="23"/>
  <c r="C80" i="23"/>
  <c r="C114" i="23"/>
  <c r="C138" i="23"/>
  <c r="C91" i="23"/>
  <c r="C206" i="23"/>
  <c r="C151" i="23"/>
  <c r="C192" i="23"/>
  <c r="C175" i="23"/>
  <c r="C189" i="23"/>
  <c r="C98" i="23"/>
  <c r="C171" i="23"/>
  <c r="C35" i="23"/>
  <c r="C107" i="23"/>
  <c r="C126" i="23"/>
  <c r="C149" i="23"/>
  <c r="C194" i="23"/>
  <c r="C106" i="23"/>
  <c r="C176" i="23"/>
  <c r="C115" i="23"/>
  <c r="C153" i="23"/>
  <c r="C121" i="23"/>
  <c r="C193" i="23"/>
  <c r="C123" i="23"/>
  <c r="C147" i="23"/>
  <c r="C105" i="23"/>
  <c r="F11" i="23"/>
  <c r="P42" i="9"/>
  <c r="F7" i="23"/>
  <c r="T89" i="17"/>
  <c r="P43" i="9"/>
  <c r="X69" i="17"/>
  <c r="F8" i="23"/>
  <c r="F34" i="16"/>
  <c r="X89" i="17"/>
  <c r="X79" i="17"/>
  <c r="F14" i="23"/>
  <c r="P44" i="9"/>
  <c r="V79" i="17"/>
  <c r="W24" i="17"/>
  <c r="F15" i="23"/>
  <c r="F6" i="23"/>
  <c r="P45" i="9"/>
  <c r="F12" i="23"/>
  <c r="F5" i="23"/>
  <c r="P41" i="9"/>
  <c r="P40" i="9"/>
  <c r="F13" i="23"/>
  <c r="V39" i="17"/>
  <c r="U39" i="17"/>
  <c r="I2" i="17"/>
  <c r="F79" i="16"/>
  <c r="X24" i="17"/>
  <c r="F9" i="23"/>
  <c r="F10" i="23"/>
  <c r="F64" i="16"/>
  <c r="X54" i="17"/>
  <c r="F49" i="16"/>
  <c r="X39" i="17"/>
  <c r="T79" i="17" l="1"/>
  <c r="C41" i="23"/>
  <c r="C46" i="23"/>
  <c r="C47" i="23"/>
  <c r="U69" i="17"/>
  <c r="C50" i="23"/>
  <c r="U79" i="17"/>
  <c r="V24" i="17"/>
  <c r="C43" i="23"/>
  <c r="C40" i="23"/>
  <c r="V69" i="17"/>
  <c r="T69" i="17"/>
  <c r="T24" i="17"/>
  <c r="V89" i="17"/>
  <c r="C37" i="23"/>
  <c r="C42" i="23"/>
  <c r="U24" i="17"/>
  <c r="AT6" i="34"/>
  <c r="AT12" i="34"/>
  <c r="AT13" i="34" s="1"/>
  <c r="AT14" i="34" s="1"/>
  <c r="AT15" i="34" s="1"/>
  <c r="AT16" i="34" s="1"/>
  <c r="U89" i="17"/>
  <c r="T39" i="17"/>
  <c r="C39" i="23"/>
  <c r="C45" i="23"/>
  <c r="G70" i="22"/>
  <c r="C44" i="23"/>
  <c r="C48" i="23"/>
  <c r="F50" i="23"/>
  <c r="F45" i="23"/>
  <c r="F46" i="23"/>
  <c r="F49" i="23"/>
  <c r="F52" i="23"/>
  <c r="F48" i="23"/>
  <c r="F47" i="23"/>
  <c r="F51" i="23"/>
  <c r="F38" i="23"/>
  <c r="F44" i="23"/>
  <c r="F43" i="23"/>
  <c r="F40" i="23"/>
  <c r="F41" i="23"/>
  <c r="F37" i="23"/>
  <c r="F42" i="23"/>
  <c r="F39" i="23"/>
  <c r="AY4" i="17"/>
  <c r="AZ4" i="17" s="1"/>
  <c r="F22" i="23"/>
  <c r="F139" i="23"/>
  <c r="F21" i="23"/>
  <c r="F163" i="23"/>
  <c r="F122" i="23"/>
  <c r="F73" i="23"/>
  <c r="F164" i="23"/>
  <c r="F115" i="23"/>
  <c r="F171" i="23"/>
  <c r="F138" i="23"/>
  <c r="F65" i="23"/>
  <c r="F89" i="23"/>
  <c r="F212" i="23"/>
  <c r="F186" i="23"/>
  <c r="F156" i="23"/>
  <c r="F162" i="23"/>
  <c r="F82" i="23"/>
  <c r="F33" i="23"/>
  <c r="F99" i="23"/>
  <c r="F26" i="23"/>
  <c r="F25" i="23"/>
  <c r="F114" i="23"/>
  <c r="F155" i="23"/>
  <c r="F113" i="23"/>
  <c r="F80" i="23"/>
  <c r="F96" i="23"/>
  <c r="F53" i="23"/>
  <c r="F194" i="23"/>
  <c r="F124" i="23"/>
  <c r="F104" i="23"/>
  <c r="F204" i="23"/>
  <c r="F76" i="23"/>
  <c r="F68" i="23"/>
  <c r="F176" i="23"/>
  <c r="F88" i="23"/>
  <c r="F188" i="23"/>
  <c r="F63" i="23"/>
  <c r="F83" i="23"/>
  <c r="F192" i="23"/>
  <c r="F205" i="23"/>
  <c r="F191" i="23"/>
  <c r="F184" i="23"/>
  <c r="F136" i="23"/>
  <c r="F211" i="23"/>
  <c r="F93" i="23"/>
  <c r="F210" i="23"/>
  <c r="F196" i="23"/>
  <c r="F181" i="23"/>
  <c r="F140" i="23"/>
  <c r="F193" i="23"/>
  <c r="F151" i="23"/>
  <c r="F173" i="23"/>
  <c r="F111" i="23"/>
  <c r="F30" i="23"/>
  <c r="F75" i="23"/>
  <c r="F128" i="23"/>
  <c r="F131" i="23"/>
  <c r="F81" i="23"/>
  <c r="F143" i="23"/>
  <c r="F120" i="23"/>
  <c r="F98" i="23"/>
  <c r="F185" i="23"/>
  <c r="F189" i="23"/>
  <c r="F34" i="23"/>
  <c r="F123" i="23"/>
  <c r="F121" i="23"/>
  <c r="F90" i="23"/>
  <c r="F152" i="23"/>
  <c r="F112" i="23"/>
  <c r="F203" i="23"/>
  <c r="F74" i="23"/>
  <c r="F172" i="23"/>
  <c r="F148" i="23"/>
  <c r="F71" i="23"/>
  <c r="F56" i="23"/>
  <c r="F170" i="23"/>
  <c r="F116" i="23"/>
  <c r="F195" i="23"/>
  <c r="F72" i="23"/>
  <c r="F153" i="23"/>
  <c r="F91" i="23"/>
  <c r="F150" i="23"/>
  <c r="F84" i="23"/>
  <c r="F154" i="23"/>
  <c r="F92" i="23"/>
  <c r="F197" i="23"/>
  <c r="F187" i="23"/>
  <c r="F62" i="23"/>
  <c r="F24" i="23"/>
  <c r="F94" i="23"/>
  <c r="F110" i="23"/>
  <c r="F64" i="23"/>
  <c r="F101" i="23"/>
  <c r="F77" i="23"/>
  <c r="F129" i="23"/>
  <c r="F130" i="23"/>
  <c r="F200" i="23"/>
  <c r="F55" i="23"/>
  <c r="F142" i="23"/>
  <c r="F23" i="23"/>
  <c r="F59" i="23"/>
  <c r="F61" i="23"/>
  <c r="F117" i="23"/>
  <c r="F78" i="23"/>
  <c r="F182" i="23"/>
  <c r="F32" i="23"/>
  <c r="F67" i="23"/>
  <c r="F165" i="23"/>
  <c r="F87" i="23"/>
  <c r="F126" i="23"/>
  <c r="F70" i="23"/>
  <c r="F102" i="23"/>
  <c r="F144" i="23"/>
  <c r="F58" i="23"/>
  <c r="F174" i="23"/>
  <c r="F28" i="23"/>
  <c r="F180" i="23"/>
  <c r="F169" i="23"/>
  <c r="F157" i="23"/>
  <c r="F66" i="23"/>
  <c r="F202" i="23"/>
  <c r="F141" i="23"/>
  <c r="F167" i="23"/>
  <c r="F57" i="23"/>
  <c r="F161" i="23"/>
  <c r="F207" i="23"/>
  <c r="F177" i="23"/>
  <c r="F105" i="23"/>
  <c r="F146" i="23"/>
  <c r="F106" i="23"/>
  <c r="F125" i="23"/>
  <c r="F31" i="23"/>
  <c r="F36" i="23"/>
  <c r="F135" i="23"/>
  <c r="F145" i="23"/>
  <c r="F199" i="23"/>
  <c r="F158" i="23"/>
  <c r="F166" i="23"/>
  <c r="F190" i="23"/>
  <c r="F208" i="23"/>
  <c r="F201" i="23"/>
  <c r="F100" i="23"/>
  <c r="F35" i="23"/>
  <c r="F159" i="23"/>
  <c r="F168" i="23"/>
  <c r="F133" i="23"/>
  <c r="F97" i="23"/>
  <c r="F134" i="23"/>
  <c r="F103" i="23"/>
  <c r="F119" i="23"/>
  <c r="F109" i="23"/>
  <c r="F29" i="23"/>
  <c r="F127" i="23"/>
  <c r="F179" i="23"/>
  <c r="F107" i="23"/>
  <c r="F85" i="23"/>
  <c r="F206" i="23"/>
  <c r="F27" i="23"/>
  <c r="F54" i="23"/>
  <c r="F86" i="23"/>
  <c r="F132" i="23"/>
  <c r="F178" i="23"/>
  <c r="F79" i="23"/>
  <c r="F209" i="23"/>
  <c r="F60" i="23"/>
  <c r="F69" i="23"/>
  <c r="F95" i="23"/>
  <c r="F149" i="23"/>
  <c r="F175" i="23"/>
  <c r="F137" i="23"/>
  <c r="F118" i="23"/>
  <c r="F183" i="23"/>
  <c r="F108" i="23"/>
  <c r="F198" i="23"/>
  <c r="F160" i="23"/>
  <c r="F147" i="23"/>
  <c r="W4" i="17"/>
  <c r="AY5" i="17"/>
  <c r="AZ5" i="17" s="1"/>
  <c r="G71" i="22" l="1"/>
  <c r="V54" i="17"/>
  <c r="U54" i="17"/>
  <c r="T54" i="17"/>
  <c r="G72" i="22"/>
  <c r="G69" i="22"/>
  <c r="G38" i="23"/>
  <c r="G39" i="23"/>
  <c r="G41" i="23"/>
  <c r="AY3" i="17"/>
  <c r="AZ3" i="17" s="1"/>
  <c r="G40" i="23" l="1"/>
  <c r="G52" i="23"/>
  <c r="G48" i="23"/>
  <c r="G43" i="23"/>
  <c r="G42" i="23"/>
  <c r="G50" i="23"/>
  <c r="G46" i="23"/>
  <c r="G37" i="23"/>
  <c r="G49" i="23"/>
  <c r="G45" i="23"/>
  <c r="G47" i="23"/>
  <c r="G44" i="23"/>
  <c r="G51" i="23"/>
  <c r="AY2" i="17"/>
  <c r="AZ2" i="17" s="1"/>
  <c r="G2" i="23" l="1"/>
  <c r="G126" i="23" l="1"/>
  <c r="G158" i="23"/>
  <c r="G53" i="23"/>
  <c r="G190" i="23"/>
  <c r="G189" i="23"/>
  <c r="G134" i="23"/>
  <c r="G77" i="23"/>
  <c r="G30" i="23"/>
  <c r="G150" i="23"/>
  <c r="G125" i="23"/>
  <c r="G101" i="23"/>
  <c r="G70" i="23"/>
  <c r="G94" i="23"/>
  <c r="G181" i="23"/>
  <c r="G61" i="23"/>
  <c r="G93" i="23"/>
  <c r="G165" i="23"/>
  <c r="G206" i="23"/>
  <c r="G173" i="23"/>
  <c r="G13" i="23"/>
  <c r="G118" i="23"/>
  <c r="G149" i="23"/>
  <c r="G198" i="23"/>
  <c r="G69" i="23"/>
  <c r="G102" i="23"/>
  <c r="G110" i="23"/>
  <c r="G29" i="23"/>
  <c r="G54" i="23"/>
  <c r="G182" i="23"/>
  <c r="G133" i="23"/>
  <c r="G78" i="23"/>
  <c r="G174" i="23"/>
  <c r="G14" i="23"/>
  <c r="G3" i="23"/>
  <c r="G4" i="23"/>
  <c r="G141" i="23"/>
  <c r="G205" i="23"/>
  <c r="G197" i="23"/>
  <c r="G85" i="23"/>
  <c r="G117" i="23"/>
  <c r="G142" i="23"/>
  <c r="G109" i="23"/>
  <c r="G22" i="23"/>
  <c r="G6" i="23"/>
  <c r="G86" i="23"/>
  <c r="G5" i="23"/>
  <c r="G62" i="23"/>
  <c r="G21" i="23"/>
  <c r="G157" i="23"/>
  <c r="G166" i="23"/>
  <c r="G31" i="23" l="1"/>
  <c r="G79" i="23"/>
  <c r="G167" i="23"/>
  <c r="G103" i="23"/>
  <c r="G207" i="23"/>
  <c r="G199" i="23"/>
  <c r="G15" i="23"/>
  <c r="G183" i="23"/>
  <c r="G7" i="23"/>
  <c r="G143" i="23"/>
  <c r="G63" i="23"/>
  <c r="G159" i="23"/>
  <c r="G71" i="23"/>
  <c r="G191" i="23"/>
  <c r="G87" i="23"/>
  <c r="G119" i="23"/>
  <c r="G127" i="23"/>
  <c r="G23" i="23"/>
  <c r="G95" i="23"/>
  <c r="G151" i="23"/>
  <c r="G55" i="23"/>
  <c r="G135" i="23"/>
  <c r="G111" i="23"/>
  <c r="G175" i="23"/>
  <c r="G128" i="23" l="1"/>
  <c r="G176" i="23"/>
  <c r="G120" i="23"/>
  <c r="G136" i="23"/>
  <c r="G32" i="23"/>
  <c r="G72" i="23"/>
  <c r="G200" i="23"/>
  <c r="G104" i="23"/>
  <c r="G80" i="23"/>
  <c r="G112" i="23"/>
  <c r="G88" i="23"/>
  <c r="G144" i="23"/>
  <c r="G8" i="23"/>
  <c r="G64" i="23"/>
  <c r="G184" i="23"/>
  <c r="G160" i="23"/>
  <c r="G192" i="23"/>
  <c r="G208" i="23"/>
  <c r="G152" i="23"/>
  <c r="G16" i="23"/>
  <c r="G56" i="23"/>
  <c r="G96" i="23"/>
  <c r="G168" i="23"/>
  <c r="G24" i="23"/>
  <c r="G33" i="23" l="1"/>
  <c r="G113" i="23"/>
  <c r="G73" i="23"/>
  <c r="G81" i="23"/>
  <c r="G193" i="23"/>
  <c r="G57" i="23"/>
  <c r="G129" i="23"/>
  <c r="G177" i="23"/>
  <c r="G137" i="23"/>
  <c r="G201" i="23"/>
  <c r="G153" i="23"/>
  <c r="G17" i="23"/>
  <c r="G65" i="23"/>
  <c r="G185" i="23"/>
  <c r="G105" i="23"/>
  <c r="G25" i="23"/>
  <c r="G97" i="23"/>
  <c r="G169" i="23"/>
  <c r="G121" i="23"/>
  <c r="G9" i="23"/>
  <c r="G145" i="23"/>
  <c r="G161" i="23"/>
  <c r="G89" i="23"/>
  <c r="G209" i="23"/>
  <c r="G10" i="23"/>
  <c r="G194" i="23" l="1"/>
  <c r="G170" i="23"/>
  <c r="G82" i="23"/>
  <c r="G178" i="23"/>
  <c r="G146" i="23"/>
  <c r="G210" i="23"/>
  <c r="G66" i="23"/>
  <c r="G138" i="23"/>
  <c r="G114" i="23"/>
  <c r="G106" i="23"/>
  <c r="G202" i="23"/>
  <c r="G122" i="23"/>
  <c r="G162" i="23"/>
  <c r="G186" i="23"/>
  <c r="G34" i="23"/>
  <c r="G98" i="23"/>
  <c r="G26" i="23"/>
  <c r="G90" i="23"/>
  <c r="G130" i="23"/>
  <c r="G74" i="23"/>
  <c r="G58" i="23"/>
  <c r="G154" i="23"/>
  <c r="G18" i="23"/>
  <c r="G203" i="23" l="1"/>
  <c r="G91" i="23"/>
  <c r="G163" i="23"/>
  <c r="G139" i="23"/>
  <c r="G115" i="23"/>
  <c r="G75" i="23"/>
  <c r="G100" i="23"/>
  <c r="G195" i="23"/>
  <c r="G172" i="23"/>
  <c r="G11" i="23"/>
  <c r="G20" i="23"/>
  <c r="G68" i="23"/>
  <c r="G140" i="23"/>
  <c r="G116" i="23"/>
  <c r="G76" i="23"/>
  <c r="G83" i="23"/>
  <c r="G131" i="23"/>
  <c r="G19" i="23"/>
  <c r="G180" i="23"/>
  <c r="G164" i="23"/>
  <c r="G59" i="23"/>
  <c r="G123" i="23"/>
  <c r="G27" i="23"/>
  <c r="G155" i="23"/>
  <c r="G211" i="23"/>
  <c r="G84" i="23"/>
  <c r="G107" i="23"/>
  <c r="G179" i="23"/>
  <c r="G147" i="23"/>
  <c r="G67" i="23"/>
  <c r="G12" i="23"/>
  <c r="G148" i="23"/>
  <c r="G99" i="23"/>
  <c r="G92" i="23"/>
  <c r="G60" i="23"/>
  <c r="G124" i="23"/>
  <c r="G28" i="23"/>
  <c r="G156" i="23"/>
  <c r="G212" i="23"/>
  <c r="G171" i="23"/>
  <c r="G35" i="23"/>
  <c r="G187" i="23"/>
  <c r="G36" i="23"/>
  <c r="G108" i="23"/>
  <c r="G132" i="23"/>
  <c r="G196" i="23"/>
  <c r="G188" i="23"/>
  <c r="G204" i="23"/>
  <c r="AM5" i="17"/>
  <c r="AM4" i="17"/>
  <c r="AM2" i="17"/>
  <c r="AM3" i="17"/>
  <c r="F103" i="17" l="1"/>
  <c r="E108" i="17" s="1"/>
  <c r="AF4" i="17"/>
  <c r="AG4" i="17" s="1"/>
  <c r="AF5" i="17"/>
  <c r="AG5" i="17" s="1"/>
  <c r="F104" i="17"/>
  <c r="AF2" i="17"/>
  <c r="AG2" i="17" s="1"/>
  <c r="F101" i="17"/>
  <c r="E106" i="17" s="1"/>
  <c r="F102" i="17"/>
  <c r="E107" i="17" s="1"/>
  <c r="AF3" i="17"/>
  <c r="AG3" i="17" s="1"/>
  <c r="D118" i="22"/>
  <c r="D117" i="22"/>
  <c r="D116" i="22"/>
  <c r="D115" i="22"/>
  <c r="AG18" i="17" l="1"/>
  <c r="AJ18" i="17"/>
  <c r="AP18" i="17"/>
  <c r="AK18" i="17"/>
  <c r="AM18" i="17"/>
  <c r="AR18" i="17"/>
  <c r="AS18" i="17"/>
  <c r="AS35" i="17" s="1"/>
  <c r="AL18" i="17"/>
  <c r="AI18" i="17"/>
  <c r="AH18" i="17"/>
  <c r="AO18" i="17"/>
  <c r="AN18" i="17"/>
  <c r="AF18" i="17"/>
  <c r="AF35" i="17" s="1"/>
  <c r="AQ18" i="17"/>
  <c r="AS20" i="17"/>
  <c r="AS37" i="17" s="1"/>
  <c r="AR20" i="17"/>
  <c r="AN20" i="17"/>
  <c r="AI20" i="17"/>
  <c r="AG20" i="17"/>
  <c r="AH20" i="17"/>
  <c r="AK20" i="17"/>
  <c r="AM20" i="17"/>
  <c r="AJ20" i="17"/>
  <c r="AF20" i="17"/>
  <c r="AF37" i="17" s="1"/>
  <c r="AP20" i="17"/>
  <c r="AQ20" i="17"/>
  <c r="AL20" i="17"/>
  <c r="AO20" i="17"/>
  <c r="AS19" i="17"/>
  <c r="AS36" i="17" s="1"/>
  <c r="AH19" i="17"/>
  <c r="AF19" i="17"/>
  <c r="AF36" i="17" s="1"/>
  <c r="AK19" i="17"/>
  <c r="AR19" i="17"/>
  <c r="AI19" i="17"/>
  <c r="AN19" i="17"/>
  <c r="AQ19" i="17"/>
  <c r="AL19" i="17"/>
  <c r="AJ19" i="17"/>
  <c r="AP19" i="17"/>
  <c r="AO19" i="17"/>
  <c r="AM19" i="17"/>
  <c r="AG19" i="17"/>
  <c r="AR21" i="17"/>
  <c r="O24" i="25" s="1"/>
  <c r="AJ21" i="17"/>
  <c r="G24" i="25" s="1"/>
  <c r="AI21" i="17"/>
  <c r="AQ21" i="17"/>
  <c r="AP21" i="17"/>
  <c r="AM21" i="17"/>
  <c r="J24" i="25" s="1"/>
  <c r="AL21" i="17"/>
  <c r="I24" i="25" s="1"/>
  <c r="AH21" i="17"/>
  <c r="AN21" i="17"/>
  <c r="AO21" i="17"/>
  <c r="AK21" i="17"/>
  <c r="AS21" i="17"/>
  <c r="AS38" i="17" s="1"/>
  <c r="AF21" i="17"/>
  <c r="AF38" i="17" s="1"/>
  <c r="AG21" i="17"/>
  <c r="H22" i="25" l="1"/>
  <c r="AK36" i="17"/>
  <c r="AQ38" i="17"/>
  <c r="N24" i="25"/>
  <c r="G22" i="25"/>
  <c r="AJ36" i="17"/>
  <c r="AH36" i="17"/>
  <c r="E22" i="25"/>
  <c r="J23" i="25"/>
  <c r="AM37" i="17"/>
  <c r="AQ35" i="17"/>
  <c r="N21" i="25"/>
  <c r="AR35" i="17"/>
  <c r="O21" i="25"/>
  <c r="O23" i="25"/>
  <c r="AR37" i="17"/>
  <c r="H24" i="25"/>
  <c r="AK38" i="17"/>
  <c r="F24" i="25"/>
  <c r="AI38" i="17"/>
  <c r="AL36" i="17"/>
  <c r="I22" i="25"/>
  <c r="H23" i="25"/>
  <c r="AK37" i="17"/>
  <c r="AM35" i="17"/>
  <c r="J21" i="25"/>
  <c r="AG38" i="17"/>
  <c r="D24" i="25"/>
  <c r="L22" i="25"/>
  <c r="AO36" i="17"/>
  <c r="I21" i="25"/>
  <c r="AL35" i="17"/>
  <c r="AO38" i="17"/>
  <c r="L24" i="25"/>
  <c r="N22" i="25"/>
  <c r="AQ36" i="17"/>
  <c r="L23" i="25"/>
  <c r="AO37" i="17"/>
  <c r="AH37" i="17"/>
  <c r="E23" i="25"/>
  <c r="K21" i="25"/>
  <c r="AN35" i="17"/>
  <c r="H21" i="25"/>
  <c r="AK35" i="17"/>
  <c r="M24" i="25"/>
  <c r="AP38" i="17"/>
  <c r="AP36" i="17"/>
  <c r="M22" i="25"/>
  <c r="G23" i="25"/>
  <c r="AJ37" i="17"/>
  <c r="K24" i="25"/>
  <c r="AN38" i="17"/>
  <c r="K22" i="25"/>
  <c r="AN36" i="17"/>
  <c r="AL37" i="17"/>
  <c r="I23" i="25"/>
  <c r="AG37" i="17"/>
  <c r="D23" i="25"/>
  <c r="AO35" i="17"/>
  <c r="L21" i="25"/>
  <c r="AP35" i="17"/>
  <c r="M21" i="25"/>
  <c r="AH38" i="17"/>
  <c r="E24" i="25"/>
  <c r="AG36" i="17"/>
  <c r="D22" i="25"/>
  <c r="F22" i="25"/>
  <c r="AI36" i="17"/>
  <c r="AQ37" i="17"/>
  <c r="N23" i="25"/>
  <c r="AI37" i="17"/>
  <c r="F23" i="25"/>
  <c r="E21" i="25"/>
  <c r="AH35" i="17"/>
  <c r="G21" i="25"/>
  <c r="AJ35" i="17"/>
  <c r="J22" i="25"/>
  <c r="AM36" i="17"/>
  <c r="AR36" i="17"/>
  <c r="O22" i="25"/>
  <c r="AP37" i="17"/>
  <c r="M23" i="25"/>
  <c r="AN37" i="17"/>
  <c r="K23" i="25"/>
  <c r="AI35" i="17"/>
  <c r="F21" i="25"/>
  <c r="AG35" i="17"/>
  <c r="D21" i="25"/>
  <c r="Q22" i="25" l="1"/>
  <c r="Q23" i="25"/>
  <c r="Q21" i="25"/>
  <c r="Q24" i="25"/>
  <c r="L10" i="9"/>
  <c r="L13" i="9"/>
  <c r="L6" i="9" l="1"/>
  <c r="L9" i="9"/>
  <c r="L4" i="9"/>
  <c r="L25" i="9"/>
  <c r="L19" i="9"/>
  <c r="L8" i="9" l="1"/>
  <c r="L7" i="9"/>
  <c r="L5" i="9"/>
  <c r="L11" i="9"/>
  <c r="L27" i="9"/>
  <c r="L15" i="9"/>
  <c r="L12" i="9"/>
  <c r="L22" i="9"/>
  <c r="L16" i="9"/>
  <c r="L14" i="9"/>
  <c r="L20" i="9"/>
  <c r="E24" i="16"/>
  <c r="L26" i="9"/>
  <c r="L17" i="9" l="1"/>
  <c r="L18" i="9"/>
  <c r="L23" i="9"/>
  <c r="L21" i="9"/>
  <c r="L24" i="9"/>
  <c r="E34" i="16"/>
  <c r="L51" i="9" l="1"/>
  <c r="L48" i="9"/>
  <c r="L40" i="9"/>
  <c r="L36" i="9"/>
  <c r="L46" i="9"/>
  <c r="L35" i="9"/>
  <c r="L28" i="9"/>
  <c r="L34" i="9"/>
  <c r="L68" i="9"/>
  <c r="L64" i="9"/>
  <c r="L84" i="9"/>
  <c r="L52" i="9"/>
  <c r="L58" i="9"/>
  <c r="L53" i="9" l="1"/>
  <c r="L61" i="9"/>
  <c r="L59" i="9"/>
  <c r="L57" i="9"/>
  <c r="L31" i="9"/>
  <c r="L50" i="9"/>
  <c r="L42" i="9"/>
  <c r="E49" i="16"/>
  <c r="G49" i="16" s="1"/>
  <c r="L54" i="9"/>
  <c r="L37" i="9"/>
  <c r="L63" i="9"/>
  <c r="L67" i="9"/>
  <c r="L32" i="9"/>
  <c r="L47" i="9"/>
  <c r="L75" i="9"/>
  <c r="L45" i="9"/>
  <c r="L74" i="9"/>
  <c r="L70" i="9"/>
  <c r="L65" i="9"/>
  <c r="L43" i="9"/>
  <c r="L44" i="9"/>
  <c r="L49" i="9"/>
  <c r="L29" i="9"/>
  <c r="L30" i="9"/>
  <c r="L60" i="9"/>
  <c r="L62" i="9"/>
  <c r="L71" i="9"/>
  <c r="L33" i="9"/>
  <c r="L72" i="9"/>
  <c r="L56" i="9"/>
  <c r="L38" i="9"/>
  <c r="L39" i="9"/>
  <c r="L41" i="9"/>
  <c r="L88" i="9"/>
  <c r="L82" i="9"/>
  <c r="L76" i="9"/>
  <c r="L92" i="9"/>
  <c r="L79" i="9" l="1"/>
  <c r="L90" i="9"/>
  <c r="L78" i="9"/>
  <c r="L93" i="9"/>
  <c r="L80" i="9"/>
  <c r="L81" i="9"/>
  <c r="L73" i="9"/>
  <c r="L66" i="9"/>
  <c r="L83" i="9"/>
  <c r="L77" i="9"/>
  <c r="L87" i="9"/>
  <c r="L91" i="9"/>
  <c r="L69" i="9"/>
  <c r="L85" i="9"/>
  <c r="E64" i="16"/>
  <c r="L55" i="9"/>
  <c r="L89" i="9"/>
  <c r="L86" i="9"/>
  <c r="E79" i="16" l="1"/>
  <c r="E3" i="17"/>
  <c r="B2" i="16" l="1"/>
  <c r="E2" i="16" s="1"/>
  <c r="F5" i="16" l="1"/>
  <c r="F6" i="16" s="1"/>
  <c r="F7" i="16" s="1"/>
  <c r="F3" i="16"/>
  <c r="G3" i="16" l="1"/>
  <c r="L5" i="16"/>
  <c r="M5" i="16" s="1"/>
  <c r="L3" i="16"/>
  <c r="P6" i="16" s="1"/>
  <c r="L12" i="16"/>
  <c r="M12" i="16" s="1"/>
  <c r="Q6" i="16" s="1"/>
  <c r="K49" i="16" s="1"/>
  <c r="L9" i="16"/>
  <c r="M9" i="16" s="1"/>
  <c r="L10" i="16"/>
  <c r="M10" i="16" s="1"/>
  <c r="L4" i="16"/>
  <c r="M4" i="16" s="1"/>
  <c r="T6" i="16" s="1"/>
  <c r="L7" i="16"/>
  <c r="L8" i="16"/>
  <c r="M8" i="16" s="1"/>
  <c r="N8" i="16" s="1"/>
  <c r="L2" i="16"/>
  <c r="M2" i="16" s="1"/>
  <c r="L6" i="16"/>
  <c r="M6" i="16" s="1"/>
  <c r="S6" i="16" s="1"/>
  <c r="L13" i="16"/>
  <c r="L15" i="16"/>
  <c r="M15" i="16" s="1"/>
  <c r="L14" i="16"/>
  <c r="M14" i="16" s="1"/>
  <c r="N14" i="16" s="1"/>
  <c r="L11" i="16"/>
  <c r="M11" i="16" s="1"/>
  <c r="N11" i="16" s="1"/>
  <c r="R6" i="16" l="1"/>
  <c r="N7" i="16"/>
  <c r="N49" i="16"/>
  <c r="N2" i="16"/>
  <c r="M13" i="16"/>
  <c r="M16" i="16" s="1"/>
  <c r="E9" i="16"/>
  <c r="J49" i="16"/>
  <c r="I49" i="16"/>
  <c r="H49" i="16" s="1"/>
  <c r="AO40" i="34"/>
  <c r="AQ40" i="34" s="1"/>
  <c r="AX40" i="34" s="1"/>
  <c r="AO60" i="34"/>
  <c r="AQ60" i="34" s="1"/>
  <c r="AX60" i="34" s="1"/>
  <c r="AO52" i="34"/>
  <c r="AQ52" i="34" s="1"/>
  <c r="AX52" i="34" s="1"/>
  <c r="AO65" i="34"/>
  <c r="AQ65" i="34" s="1"/>
  <c r="AX65" i="34" s="1"/>
  <c r="AO67" i="34"/>
  <c r="AQ67" i="34" s="1"/>
  <c r="AX67" i="34" s="1"/>
  <c r="AO5" i="34"/>
  <c r="AQ5" i="34" s="1"/>
  <c r="AX5" i="34" s="1"/>
  <c r="AO17" i="34"/>
  <c r="AQ17" i="34" s="1"/>
  <c r="AX17" i="34" s="1"/>
  <c r="AO70" i="34"/>
  <c r="AQ70" i="34" s="1"/>
  <c r="AX70" i="34" s="1"/>
  <c r="AO19" i="34"/>
  <c r="AQ19" i="34" s="1"/>
  <c r="AX19" i="34" s="1"/>
  <c r="AO23" i="34"/>
  <c r="AQ23" i="34" s="1"/>
  <c r="AX23" i="34" s="1"/>
  <c r="AO78" i="34"/>
  <c r="AQ78" i="34" s="1"/>
  <c r="AX78" i="34" s="1"/>
  <c r="AO51" i="34"/>
  <c r="AQ51" i="34" s="1"/>
  <c r="AX51" i="34" s="1"/>
  <c r="AO13" i="34"/>
  <c r="AQ13" i="34" s="1"/>
  <c r="AX13" i="34" s="1"/>
  <c r="AO49" i="34"/>
  <c r="AQ49" i="34" s="1"/>
  <c r="AX49" i="34" s="1"/>
  <c r="AO33" i="34"/>
  <c r="AQ33" i="34" s="1"/>
  <c r="AX33" i="34" s="1"/>
  <c r="AO72" i="34"/>
  <c r="AQ72" i="34" s="1"/>
  <c r="AX72" i="34" s="1"/>
  <c r="AO39" i="34"/>
  <c r="AQ39" i="34" s="1"/>
  <c r="AX39" i="34" s="1"/>
  <c r="AO80" i="34"/>
  <c r="AQ80" i="34" s="1"/>
  <c r="AX80" i="34" s="1"/>
  <c r="AO35" i="34"/>
  <c r="AQ35" i="34" s="1"/>
  <c r="AX35" i="34" s="1"/>
  <c r="AO56" i="34"/>
  <c r="AQ56" i="34" s="1"/>
  <c r="AX56" i="34" s="1"/>
  <c r="AO45" i="34"/>
  <c r="AQ45" i="34" s="1"/>
  <c r="AX45" i="34" s="1"/>
  <c r="AO54" i="34"/>
  <c r="AQ54" i="34" s="1"/>
  <c r="AX54" i="34" s="1"/>
  <c r="AO8" i="34"/>
  <c r="AQ8" i="34" s="1"/>
  <c r="AX8" i="34" s="1"/>
  <c r="AO21" i="34"/>
  <c r="AQ21" i="34" s="1"/>
  <c r="AX21" i="34" s="1"/>
  <c r="AO30" i="34"/>
  <c r="AQ30" i="34" s="1"/>
  <c r="AX30" i="34" s="1"/>
  <c r="AO34" i="34"/>
  <c r="AQ34" i="34" s="1"/>
  <c r="AX34" i="34" s="1"/>
  <c r="AO53" i="34"/>
  <c r="AQ53" i="34" s="1"/>
  <c r="AX53" i="34" s="1"/>
  <c r="AO57" i="34"/>
  <c r="AQ57" i="34" s="1"/>
  <c r="AX57" i="34" s="1"/>
  <c r="AO12" i="34"/>
  <c r="AQ12" i="34" s="1"/>
  <c r="AX12" i="34" s="1"/>
  <c r="AO6" i="34"/>
  <c r="AQ6" i="34" s="1"/>
  <c r="AX6" i="34" s="1"/>
  <c r="AO76" i="34"/>
  <c r="AQ76" i="34" s="1"/>
  <c r="AX76" i="34" s="1"/>
  <c r="AO47" i="34"/>
  <c r="AQ47" i="34" s="1"/>
  <c r="AX47" i="34" s="1"/>
  <c r="AO24" i="34"/>
  <c r="AQ24" i="34" s="1"/>
  <c r="AX24" i="34" s="1"/>
  <c r="AO31" i="34"/>
  <c r="AQ31" i="34" s="1"/>
  <c r="AX31" i="34" s="1"/>
  <c r="AO2" i="34"/>
  <c r="AQ2" i="34" s="1"/>
  <c r="AX2" i="34" s="1"/>
  <c r="AO42" i="34"/>
  <c r="AQ42" i="34" s="1"/>
  <c r="AX42" i="34" s="1"/>
  <c r="AO11" i="34"/>
  <c r="AQ11" i="34" s="1"/>
  <c r="AX11" i="34" s="1"/>
  <c r="AO74" i="34"/>
  <c r="AQ74" i="34" s="1"/>
  <c r="AX74" i="34" s="1"/>
  <c r="AO59" i="34"/>
  <c r="AQ59" i="34" s="1"/>
  <c r="AX59" i="34" s="1"/>
  <c r="AO15" i="34"/>
  <c r="AQ15" i="34" s="1"/>
  <c r="AX15" i="34" s="1"/>
  <c r="AO18" i="34"/>
  <c r="AQ18" i="34" s="1"/>
  <c r="AX18" i="34" s="1"/>
  <c r="AO22" i="34"/>
  <c r="AQ22" i="34" s="1"/>
  <c r="AX22" i="34" s="1"/>
  <c r="AO14" i="34"/>
  <c r="AQ14" i="34" s="1"/>
  <c r="AX14" i="34" s="1"/>
  <c r="AO9" i="34"/>
  <c r="AQ9" i="34" s="1"/>
  <c r="AX9" i="34" s="1"/>
  <c r="AO10" i="34"/>
  <c r="AQ10" i="34" s="1"/>
  <c r="AX10" i="34" s="1"/>
  <c r="AO4" i="34"/>
  <c r="AQ4" i="34" s="1"/>
  <c r="AX4" i="34" s="1"/>
  <c r="AO28" i="34"/>
  <c r="AQ28" i="34" s="1"/>
  <c r="AX28" i="34" s="1"/>
  <c r="AO38" i="34"/>
  <c r="AQ38" i="34" s="1"/>
  <c r="AX38" i="34" s="1"/>
  <c r="AO32" i="34"/>
  <c r="AQ32" i="34" s="1"/>
  <c r="AX32" i="34" s="1"/>
  <c r="AO48" i="34"/>
  <c r="AQ48" i="34" s="1"/>
  <c r="AX48" i="34" s="1"/>
  <c r="AO81" i="34"/>
  <c r="AQ81" i="34" s="1"/>
  <c r="AX81" i="34" s="1"/>
  <c r="AO7" i="34"/>
  <c r="AQ7" i="34" s="1"/>
  <c r="AX7" i="34" s="1"/>
  <c r="AO64" i="34"/>
  <c r="AQ64" i="34" s="1"/>
  <c r="AX64" i="34" s="1"/>
  <c r="AO71" i="34"/>
  <c r="AQ71" i="34" s="1"/>
  <c r="AX71" i="34" s="1"/>
  <c r="AO68" i="34"/>
  <c r="AQ68" i="34" s="1"/>
  <c r="AX68" i="34" s="1"/>
  <c r="AO66" i="34"/>
  <c r="AQ66" i="34" s="1"/>
  <c r="AX66" i="34" s="1"/>
  <c r="AO41" i="34"/>
  <c r="AQ41" i="34" s="1"/>
  <c r="AX41" i="34" s="1"/>
  <c r="AO46" i="34"/>
  <c r="AQ46" i="34" s="1"/>
  <c r="AX46" i="34" s="1"/>
  <c r="AO50" i="34"/>
  <c r="AQ50" i="34" s="1"/>
  <c r="AX50" i="34" s="1"/>
  <c r="AO73" i="34"/>
  <c r="AQ73" i="34" s="1"/>
  <c r="AX73" i="34" s="1"/>
  <c r="AO44" i="34"/>
  <c r="AQ44" i="34" s="1"/>
  <c r="AX44" i="34" s="1"/>
  <c r="AO69" i="34"/>
  <c r="AQ69" i="34" s="1"/>
  <c r="AX69" i="34" s="1"/>
  <c r="AO27" i="34"/>
  <c r="AQ27" i="34" s="1"/>
  <c r="AX27" i="34" s="1"/>
  <c r="AO43" i="34"/>
  <c r="AQ43" i="34" s="1"/>
  <c r="AX43" i="34" s="1"/>
  <c r="AO55" i="34"/>
  <c r="AQ55" i="34" s="1"/>
  <c r="AX55" i="34" s="1"/>
  <c r="AO16" i="34"/>
  <c r="AQ16" i="34" s="1"/>
  <c r="AX16" i="34" s="1"/>
  <c r="AO75" i="34"/>
  <c r="AQ75" i="34" s="1"/>
  <c r="AX75" i="34" s="1"/>
  <c r="AO36" i="34"/>
  <c r="AQ36" i="34" s="1"/>
  <c r="AX36" i="34" s="1"/>
  <c r="AO58" i="34"/>
  <c r="AQ58" i="34" s="1"/>
  <c r="AX58" i="34" s="1"/>
  <c r="AO37" i="34"/>
  <c r="AQ37" i="34" s="1"/>
  <c r="AX37" i="34" s="1"/>
  <c r="AO20" i="34"/>
  <c r="AQ20" i="34" s="1"/>
  <c r="AX20" i="34" s="1"/>
  <c r="AO62" i="34"/>
  <c r="AQ62" i="34" s="1"/>
  <c r="AX62" i="34" s="1"/>
  <c r="AO79" i="34"/>
  <c r="AQ79" i="34" s="1"/>
  <c r="AX79" i="34" s="1"/>
  <c r="AO77" i="34"/>
  <c r="AQ77" i="34" s="1"/>
  <c r="AX77" i="34" s="1"/>
  <c r="AO3" i="34"/>
  <c r="AQ3" i="34" s="1"/>
  <c r="AX3" i="34" s="1"/>
  <c r="AO61" i="34"/>
  <c r="AQ61" i="34" s="1"/>
  <c r="AX61" i="34" s="1"/>
  <c r="AO29" i="34"/>
  <c r="AQ29" i="34" s="1"/>
  <c r="AX29" i="34" s="1"/>
  <c r="AO63" i="34"/>
  <c r="AQ63" i="34" s="1"/>
  <c r="AX63" i="34" s="1"/>
  <c r="AO26" i="34"/>
  <c r="AQ26" i="34" s="1"/>
  <c r="AX26" i="34" s="1"/>
  <c r="AO25" i="34"/>
  <c r="AQ25" i="34" s="1"/>
  <c r="AX25" i="34" s="1"/>
</calcChain>
</file>

<file path=xl/comments1.xml><?xml version="1.0" encoding="utf-8"?>
<comments xmlns="http://schemas.openxmlformats.org/spreadsheetml/2006/main">
  <authors>
    <author>bobuchen</author>
  </authors>
  <commentLis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6分钟一点体力</t>
        </r>
      </text>
    </comment>
  </commentList>
</comments>
</file>

<file path=xl/comments2.xml><?xml version="1.0" encoding="utf-8"?>
<comments xmlns="http://schemas.openxmlformats.org/spreadsheetml/2006/main">
  <authors>
    <author>Javy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每天恢复体力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每日总经验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每天购买体力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每天购买体力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每天购买体力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每天购买体力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每天购买体力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每体力经验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每体力经验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每体力经验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每体力经验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每体力经验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每体力经验</t>
        </r>
      </text>
    </comment>
  </commentList>
</comments>
</file>

<file path=xl/comments3.xml><?xml version="1.0" encoding="utf-8"?>
<comments xmlns="http://schemas.openxmlformats.org/spreadsheetml/2006/main">
  <authors>
    <author>bobuchen</author>
    <author>Sky123.Org</author>
  </authors>
  <commentList>
    <comment ref="AB17" authorId="0" shapeId="0">
      <text>
        <r>
          <rPr>
            <b/>
            <sz val="9"/>
            <color indexed="81"/>
            <rFont val="宋体"/>
            <family val="3"/>
            <charset val="134"/>
          </rPr>
          <t>bobuchen:</t>
        </r>
        <r>
          <rPr>
            <sz val="9"/>
            <color indexed="81"/>
            <rFont val="宋体"/>
            <family val="3"/>
            <charset val="134"/>
          </rPr>
          <t xml:space="preserve">
6分钟1点体力</t>
        </r>
      </text>
    </comment>
    <comment ref="AB45" authorId="1" shapeId="0">
      <text>
        <r>
          <rPr>
            <b/>
            <sz val="9"/>
            <color indexed="81"/>
            <rFont val="宋体"/>
            <family val="3"/>
            <charset val="134"/>
          </rPr>
          <t>Sky123.Org:</t>
        </r>
        <r>
          <rPr>
            <sz val="9"/>
            <color indexed="81"/>
            <rFont val="宋体"/>
            <family val="3"/>
            <charset val="134"/>
          </rPr>
          <t xml:space="preserve">
第一天任务需要给的经验</t>
        </r>
      </text>
    </comment>
  </commentList>
</comments>
</file>

<file path=xl/comments4.xml><?xml version="1.0" encoding="utf-8"?>
<comments xmlns="http://schemas.openxmlformats.org/spreadsheetml/2006/main">
  <authors>
    <author>Javy</author>
  </authors>
  <commentLis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每体力对应金币</t>
        </r>
      </text>
    </comment>
  </commentList>
</comments>
</file>

<file path=xl/comments5.xml><?xml version="1.0" encoding="utf-8"?>
<comments xmlns="http://schemas.openxmlformats.org/spreadsheetml/2006/main">
  <authors>
    <author>Javy</author>
  </authors>
  <commentLis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每天次数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竞技场每日排名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是否购买月卡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每个成就平均奖励</t>
        </r>
      </text>
    </comment>
  </commentList>
</comments>
</file>

<file path=xl/comments6.xml><?xml version="1.0" encoding="utf-8"?>
<comments xmlns="http://schemas.openxmlformats.org/spreadsheetml/2006/main">
  <authors>
    <author>Javy</author>
  </authors>
  <commentList>
    <comment ref="AU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绿蓝色宝物成品计入碎片中</t>
        </r>
      </text>
    </comment>
    <comment ref="AU10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钥匙</t>
        </r>
      </text>
    </comment>
    <comment ref="AU18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2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28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36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40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4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50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53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6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7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77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82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90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94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97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104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  <comment ref="AU107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手机</t>
        </r>
      </text>
    </comment>
    <comment ref="AU116" authorId="0" shapeId="0">
      <text>
        <r>
          <rPr>
            <b/>
            <sz val="9"/>
            <color indexed="81"/>
            <rFont val="宋体"/>
            <family val="3"/>
            <charset val="134"/>
          </rPr>
          <t>Javy:</t>
        </r>
        <r>
          <rPr>
            <sz val="9"/>
            <color indexed="81"/>
            <rFont val="宋体"/>
            <family val="3"/>
            <charset val="134"/>
          </rPr>
          <t xml:space="preserve">
须刨</t>
        </r>
      </text>
    </comment>
  </commentList>
</comments>
</file>

<file path=xl/comments7.xml><?xml version="1.0" encoding="utf-8"?>
<comments xmlns="http://schemas.openxmlformats.org/spreadsheetml/2006/main">
  <authors>
    <author>Ycat008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每天副本数
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每天副本数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每副本数
注：高品质物品不会在前面关卡掉落（装备升级石）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每天单次抽奖次数（每天5次免费次数）
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第十抽
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每天单次抽奖数（每天1次免费次数）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第十抽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每天刷新数（每次刷新6个物品，每天刷新2次，可用钻石无限刷新）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每天刷新数（每次刷新12个物品，每天刷新4次）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每天刷新数（每次刷新6个物品，每天刷新1次）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每天刷新数（每次刷新6个物品，每天刷新1次）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每天刷新数（每次刷新6个物品，每天刷新1次）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每天刷新数（每次刷新12个物品，每天刷新1次）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固定</t>
        </r>
      </text>
    </comment>
  </commentList>
</comments>
</file>

<file path=xl/sharedStrings.xml><?xml version="1.0" encoding="utf-8"?>
<sst xmlns="http://schemas.openxmlformats.org/spreadsheetml/2006/main" count="2726" uniqueCount="1503">
  <si>
    <t>角色等级</t>
    <phoneticPr fontId="1" type="noConversion"/>
  </si>
  <si>
    <t>每天游戏时间（h)</t>
    <phoneticPr fontId="1" type="noConversion"/>
  </si>
  <si>
    <t>累计时间(S)</t>
    <phoneticPr fontId="1" type="noConversion"/>
  </si>
  <si>
    <t>非RMB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</si>
  <si>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</si>
  <si>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</si>
  <si>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</si>
  <si>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</si>
  <si>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每秒恢复体力</t>
    <phoneticPr fontId="1" type="noConversion"/>
  </si>
  <si>
    <t>每天拥有体力</t>
    <phoneticPr fontId="1" type="noConversion"/>
  </si>
  <si>
    <t>一天(S)</t>
    <phoneticPr fontId="1" type="noConversion"/>
  </si>
  <si>
    <t>每天赠送体力</t>
    <phoneticPr fontId="1" type="noConversion"/>
  </si>
  <si>
    <t>每天总体力</t>
    <phoneticPr fontId="1" type="noConversion"/>
  </si>
  <si>
    <t>等级时间</t>
    <phoneticPr fontId="1" type="noConversion"/>
  </si>
  <si>
    <t>推算时间</t>
    <phoneticPr fontId="1" type="noConversion"/>
  </si>
  <si>
    <t>需要的总经验</t>
    <phoneticPr fontId="1" type="noConversion"/>
  </si>
  <si>
    <t>标准属性价值参考系</t>
    <phoneticPr fontId="1" type="noConversion"/>
  </si>
  <si>
    <t>主线任务</t>
    <phoneticPr fontId="1" type="noConversion"/>
  </si>
  <si>
    <t>日常任务</t>
    <phoneticPr fontId="1" type="noConversion"/>
  </si>
  <si>
    <t>装备ID</t>
    <phoneticPr fontId="1" type="noConversion"/>
  </si>
  <si>
    <t>品质</t>
    <phoneticPr fontId="1" type="noConversion"/>
  </si>
  <si>
    <t>部位</t>
    <phoneticPr fontId="1" type="noConversion"/>
  </si>
  <si>
    <t>等级</t>
    <phoneticPr fontId="1" type="noConversion"/>
  </si>
  <si>
    <t>属性估值</t>
    <phoneticPr fontId="1" type="noConversion"/>
  </si>
  <si>
    <t>装备</t>
    <phoneticPr fontId="1" type="noConversion"/>
  </si>
  <si>
    <t>强化</t>
    <phoneticPr fontId="1" type="noConversion"/>
  </si>
  <si>
    <t>升星</t>
    <phoneticPr fontId="1" type="noConversion"/>
  </si>
  <si>
    <t>经验总消耗</t>
    <phoneticPr fontId="1" type="noConversion"/>
  </si>
  <si>
    <t>每级经验消耗</t>
    <phoneticPr fontId="1" type="noConversion"/>
  </si>
  <si>
    <t>每级金币消耗</t>
    <phoneticPr fontId="1" type="noConversion"/>
  </si>
  <si>
    <t>强化属性估值</t>
    <phoneticPr fontId="1" type="noConversion"/>
  </si>
  <si>
    <t>金币总消耗</t>
    <phoneticPr fontId="1" type="noConversion"/>
  </si>
  <si>
    <t>每级需要经验</t>
    <phoneticPr fontId="1" type="noConversion"/>
  </si>
  <si>
    <t>每级消耗金币</t>
    <phoneticPr fontId="1" type="noConversion"/>
  </si>
  <si>
    <t>总经验</t>
    <phoneticPr fontId="1" type="noConversion"/>
  </si>
  <si>
    <t>总金币</t>
    <phoneticPr fontId="1" type="noConversion"/>
  </si>
  <si>
    <t>2-1</t>
    <phoneticPr fontId="1" type="noConversion"/>
  </si>
  <si>
    <t>2-2</t>
    <phoneticPr fontId="1" type="noConversion"/>
  </si>
  <si>
    <t>2-3</t>
  </si>
  <si>
    <t>2-4</t>
  </si>
  <si>
    <t>3</t>
    <phoneticPr fontId="1" type="noConversion"/>
  </si>
  <si>
    <t>4-1</t>
    <phoneticPr fontId="1" type="noConversion"/>
  </si>
  <si>
    <t>4-2</t>
    <phoneticPr fontId="1" type="noConversion"/>
  </si>
  <si>
    <t>4-3</t>
  </si>
  <si>
    <t>4-4</t>
  </si>
  <si>
    <t>角色等级</t>
    <phoneticPr fontId="0" type="Hiragana"/>
  </si>
  <si>
    <t>参考职业</t>
    <phoneticPr fontId="0" type="Hiragana"/>
  </si>
  <si>
    <t>金币消耗</t>
    <phoneticPr fontId="0" type="Hiragana"/>
  </si>
  <si>
    <t>总消耗</t>
    <phoneticPr fontId="1" type="noConversion"/>
  </si>
  <si>
    <t>BOSS副本</t>
    <phoneticPr fontId="1" type="noConversion"/>
  </si>
  <si>
    <t>精英副本</t>
    <phoneticPr fontId="1" type="noConversion"/>
  </si>
  <si>
    <t>金币副本</t>
    <phoneticPr fontId="1" type="noConversion"/>
  </si>
  <si>
    <t>材料副本</t>
    <phoneticPr fontId="1" type="noConversion"/>
  </si>
  <si>
    <t>命运副本</t>
    <phoneticPr fontId="1" type="noConversion"/>
  </si>
  <si>
    <t>支线任务</t>
    <phoneticPr fontId="1" type="noConversion"/>
  </si>
  <si>
    <t>等级</t>
    <phoneticPr fontId="1" type="noConversion"/>
  </si>
  <si>
    <t>普通副本</t>
    <phoneticPr fontId="1" type="noConversion"/>
  </si>
  <si>
    <t>普通副本</t>
    <phoneticPr fontId="1" type="noConversion"/>
  </si>
  <si>
    <t>经验</t>
    <phoneticPr fontId="1" type="noConversion"/>
  </si>
  <si>
    <t>体力设计</t>
    <phoneticPr fontId="1" type="noConversion"/>
  </si>
  <si>
    <t>体力总值</t>
    <phoneticPr fontId="1" type="noConversion"/>
  </si>
  <si>
    <t>80级经验总消耗</t>
    <phoneticPr fontId="1" type="noConversion"/>
  </si>
  <si>
    <t>大R每天购买</t>
    <phoneticPr fontId="1" type="noConversion"/>
  </si>
  <si>
    <t>非小R购买</t>
    <phoneticPr fontId="1" type="noConversion"/>
  </si>
  <si>
    <t>1点体力相当于X点经验</t>
    <phoneticPr fontId="1" type="noConversion"/>
  </si>
  <si>
    <t>升级赠送</t>
    <phoneticPr fontId="1" type="noConversion"/>
  </si>
  <si>
    <t>需要总经验证</t>
    <phoneticPr fontId="1" type="noConversion"/>
  </si>
  <si>
    <t>总停留时间(s)</t>
    <phoneticPr fontId="1" type="noConversion"/>
  </si>
  <si>
    <t>总时间(月)</t>
    <phoneticPr fontId="1" type="noConversion"/>
  </si>
  <si>
    <t>需要经验</t>
    <phoneticPr fontId="1" type="noConversion"/>
  </si>
  <si>
    <t>总需要经验</t>
    <phoneticPr fontId="1" type="noConversion"/>
  </si>
  <si>
    <t>一个月</t>
    <phoneticPr fontId="1" type="noConversion"/>
  </si>
  <si>
    <t>午餐晚餐体力</t>
    <phoneticPr fontId="1" type="noConversion"/>
  </si>
  <si>
    <t>购买体力1次</t>
    <phoneticPr fontId="1" type="noConversion"/>
  </si>
  <si>
    <t>经验需要体力</t>
    <phoneticPr fontId="1" type="noConversion"/>
  </si>
  <si>
    <t>总评估</t>
    <phoneticPr fontId="1" type="noConversion"/>
  </si>
  <si>
    <t>任务经验比例</t>
    <phoneticPr fontId="1" type="noConversion"/>
  </si>
  <si>
    <t>体力经验比例</t>
    <phoneticPr fontId="1" type="noConversion"/>
  </si>
  <si>
    <t>赠送体力</t>
    <phoneticPr fontId="1" type="noConversion"/>
  </si>
  <si>
    <t>估计第一天经验</t>
    <phoneticPr fontId="1" type="noConversion"/>
  </si>
  <si>
    <t>体力获取经验</t>
    <phoneticPr fontId="1" type="noConversion"/>
  </si>
  <si>
    <t>任务获取经验</t>
    <phoneticPr fontId="1" type="noConversion"/>
  </si>
  <si>
    <t>真实需要体力消耗</t>
    <phoneticPr fontId="1" type="noConversion"/>
  </si>
  <si>
    <t>时间评估</t>
    <phoneticPr fontId="1" type="noConversion"/>
  </si>
  <si>
    <t>节奏评估(天）</t>
    <phoneticPr fontId="1" type="noConversion"/>
  </si>
  <si>
    <t>一级一天</t>
    <phoneticPr fontId="1" type="noConversion"/>
  </si>
  <si>
    <t>体力&amp;经验平衡</t>
    <phoneticPr fontId="1" type="noConversion"/>
  </si>
  <si>
    <t>活动副本</t>
    <phoneticPr fontId="1" type="noConversion"/>
  </si>
  <si>
    <t>BOSS副本</t>
    <phoneticPr fontId="1" type="noConversion"/>
  </si>
  <si>
    <t>马仔经验副本</t>
    <phoneticPr fontId="1" type="noConversion"/>
  </si>
  <si>
    <r>
      <t>根据节奏在</t>
    </r>
    <r>
      <rPr>
        <sz val="11"/>
        <color rgb="FFFF0000"/>
        <rFont val="宋体"/>
        <family val="3"/>
        <charset val="134"/>
        <scheme val="minor"/>
      </rPr>
      <t>47</t>
    </r>
    <r>
      <rPr>
        <sz val="11"/>
        <color theme="1"/>
        <rFont val="宋体"/>
        <family val="2"/>
        <scheme val="minor"/>
      </rPr>
      <t>级的时候，一关要一天时间，获取</t>
    </r>
    <phoneticPr fontId="1" type="noConversion"/>
  </si>
  <si>
    <t>对应一天的消耗体力</t>
    <phoneticPr fontId="1" type="noConversion"/>
  </si>
  <si>
    <t>体力VS经验</t>
    <phoneticPr fontId="1" type="noConversion"/>
  </si>
  <si>
    <t>重置</t>
    <phoneticPr fontId="1" type="noConversion"/>
  </si>
  <si>
    <t>等级</t>
    <phoneticPr fontId="1" type="noConversion"/>
  </si>
  <si>
    <t>普通关卡</t>
    <phoneticPr fontId="1" type="noConversion"/>
  </si>
  <si>
    <t>精英关卡</t>
    <phoneticPr fontId="1" type="noConversion"/>
  </si>
  <si>
    <t>关卡总量</t>
    <phoneticPr fontId="1" type="noConversion"/>
  </si>
  <si>
    <t>天数</t>
    <phoneticPr fontId="1" type="noConversion"/>
  </si>
  <si>
    <t>金币副本</t>
    <phoneticPr fontId="1" type="noConversion"/>
  </si>
  <si>
    <t>材料副本</t>
    <phoneticPr fontId="1" type="noConversion"/>
  </si>
  <si>
    <t>命格副本</t>
    <phoneticPr fontId="1" type="noConversion"/>
  </si>
  <si>
    <t>副本经验估算</t>
    <phoneticPr fontId="1" type="noConversion"/>
  </si>
  <si>
    <t>任务经验估算</t>
    <phoneticPr fontId="1" type="noConversion"/>
  </si>
  <si>
    <t>第一章</t>
    <phoneticPr fontId="1" type="noConversion"/>
  </si>
  <si>
    <t>第二章</t>
    <phoneticPr fontId="1" type="noConversion"/>
  </si>
  <si>
    <t>精英本</t>
    <phoneticPr fontId="1" type="noConversion"/>
  </si>
  <si>
    <t>30级第一天的真实模拟</t>
    <phoneticPr fontId="1" type="noConversion"/>
  </si>
  <si>
    <t>正常刷副本</t>
    <phoneticPr fontId="1" type="noConversion"/>
  </si>
  <si>
    <t>材料本、金钱本、马仔经验、命格副本</t>
    <phoneticPr fontId="1" type="noConversion"/>
  </si>
  <si>
    <t>体力最大值</t>
    <phoneticPr fontId="1" type="noConversion"/>
  </si>
  <si>
    <t>章节</t>
    <phoneticPr fontId="1" type="noConversion"/>
  </si>
  <si>
    <t>难度</t>
    <phoneticPr fontId="1" type="noConversion"/>
  </si>
  <si>
    <t>打副本经验</t>
    <phoneticPr fontId="1" type="noConversion"/>
  </si>
  <si>
    <t>共获得体力</t>
    <phoneticPr fontId="1" type="noConversion"/>
  </si>
  <si>
    <t>打副本需要消耗体力</t>
    <phoneticPr fontId="1" type="noConversion"/>
  </si>
  <si>
    <t>午餐体力</t>
    <phoneticPr fontId="1" type="noConversion"/>
  </si>
  <si>
    <t>任务给经验</t>
    <phoneticPr fontId="1" type="noConversion"/>
  </si>
  <si>
    <t>体力定价</t>
    <phoneticPr fontId="1" type="noConversion"/>
  </si>
  <si>
    <t>一天的体力</t>
    <phoneticPr fontId="1" type="noConversion"/>
  </si>
  <si>
    <t>boss副本</t>
    <phoneticPr fontId="1" type="noConversion"/>
  </si>
  <si>
    <t>时间评估(S)</t>
    <phoneticPr fontId="1" type="noConversion"/>
  </si>
  <si>
    <t>时间评估（天）</t>
    <phoneticPr fontId="1" type="noConversion"/>
  </si>
  <si>
    <t>体力和经验对应值</t>
    <phoneticPr fontId="1" type="noConversion"/>
  </si>
  <si>
    <t>每级停留时间</t>
    <phoneticPr fontId="1" type="noConversion"/>
  </si>
  <si>
    <t>体力设计</t>
    <phoneticPr fontId="1" type="noConversion"/>
  </si>
  <si>
    <t/>
  </si>
  <si>
    <t>旺角道(1-1)</t>
    <phoneticPr fontId="1" type="noConversion"/>
  </si>
  <si>
    <t>西洋菜南街(1-2)</t>
    <phoneticPr fontId="1" type="noConversion"/>
  </si>
  <si>
    <t>通菜街(1-3)</t>
    <phoneticPr fontId="1" type="noConversion"/>
  </si>
  <si>
    <t>告士打道(1-5)</t>
    <phoneticPr fontId="1" type="noConversion"/>
  </si>
  <si>
    <t>日常任务</t>
    <phoneticPr fontId="1" type="noConversion"/>
  </si>
  <si>
    <t>比重</t>
    <phoneticPr fontId="1" type="noConversion"/>
  </si>
  <si>
    <t>百分比</t>
    <phoneticPr fontId="1" type="noConversion"/>
  </si>
  <si>
    <t>主支线任务</t>
    <phoneticPr fontId="1" type="noConversion"/>
  </si>
  <si>
    <t>需要分配经验</t>
    <phoneticPr fontId="1" type="noConversion"/>
  </si>
  <si>
    <t>任务总经验</t>
    <phoneticPr fontId="1" type="noConversion"/>
  </si>
  <si>
    <t>日常任务个数</t>
    <phoneticPr fontId="1" type="noConversion"/>
  </si>
  <si>
    <t>日常任务经验</t>
    <phoneticPr fontId="1" type="noConversion"/>
  </si>
  <si>
    <t>设计日常任务经验</t>
    <phoneticPr fontId="1" type="noConversion"/>
  </si>
  <si>
    <t>每个任务经验</t>
    <phoneticPr fontId="1" type="noConversion"/>
  </si>
  <si>
    <t>设计停留时间</t>
    <phoneticPr fontId="1" type="noConversion"/>
  </si>
  <si>
    <t>获得体力</t>
    <phoneticPr fontId="1" type="noConversion"/>
  </si>
  <si>
    <t>等级赠送</t>
    <phoneticPr fontId="1" type="noConversion"/>
  </si>
  <si>
    <t>午餐晚餐</t>
    <phoneticPr fontId="1" type="noConversion"/>
  </si>
  <si>
    <t>初始体力</t>
    <phoneticPr fontId="1" type="noConversion"/>
  </si>
  <si>
    <t>体力</t>
    <phoneticPr fontId="1" type="noConversion"/>
  </si>
  <si>
    <t>经验</t>
    <phoneticPr fontId="1" type="noConversion"/>
  </si>
  <si>
    <t>估每日任务</t>
    <phoneticPr fontId="1" type="noConversion"/>
  </si>
  <si>
    <t>根据中期需要每天一级</t>
    <phoneticPr fontId="1" type="noConversion"/>
  </si>
  <si>
    <t>每日任务总经验</t>
    <phoneticPr fontId="1" type="noConversion"/>
  </si>
  <si>
    <t>主线任务总经验</t>
    <phoneticPr fontId="1" type="noConversion"/>
  </si>
  <si>
    <t>6个月周期总个数</t>
    <phoneticPr fontId="1" type="noConversion"/>
  </si>
  <si>
    <t>人物等级</t>
    <phoneticPr fontId="1" type="noConversion"/>
  </si>
  <si>
    <t>技能总需求</t>
    <phoneticPr fontId="1" type="noConversion"/>
  </si>
  <si>
    <t>强化总需求</t>
    <phoneticPr fontId="1" type="noConversion"/>
  </si>
  <si>
    <t>升星总需求</t>
    <phoneticPr fontId="1" type="noConversion"/>
  </si>
  <si>
    <t>第一天</t>
    <phoneticPr fontId="1" type="noConversion"/>
  </si>
  <si>
    <t>总消耗金币</t>
    <phoneticPr fontId="1" type="noConversion"/>
  </si>
  <si>
    <t>金币副本</t>
    <phoneticPr fontId="1" type="noConversion"/>
  </si>
  <si>
    <t>主线任务</t>
    <phoneticPr fontId="1" type="noConversion"/>
  </si>
  <si>
    <t>竞技场</t>
    <phoneticPr fontId="1" type="noConversion"/>
  </si>
  <si>
    <t>点金手</t>
    <phoneticPr fontId="1" type="noConversion"/>
  </si>
  <si>
    <t>副本成就</t>
    <phoneticPr fontId="1" type="noConversion"/>
  </si>
  <si>
    <t>英雄之路</t>
    <phoneticPr fontId="1" type="noConversion"/>
  </si>
  <si>
    <t>精英副本</t>
    <phoneticPr fontId="1" type="noConversion"/>
  </si>
  <si>
    <t>权重</t>
    <phoneticPr fontId="1" type="noConversion"/>
  </si>
  <si>
    <t>百分比</t>
    <phoneticPr fontId="1" type="noConversion"/>
  </si>
  <si>
    <t>投放率</t>
    <phoneticPr fontId="1" type="noConversion"/>
  </si>
  <si>
    <t>6个月</t>
    <phoneticPr fontId="1" type="noConversion"/>
  </si>
  <si>
    <t>日</t>
    <phoneticPr fontId="1" type="noConversion"/>
  </si>
  <si>
    <t>日常任务</t>
    <phoneticPr fontId="1" type="noConversion"/>
  </si>
  <si>
    <t>消耗</t>
    <phoneticPr fontId="1" type="noConversion"/>
  </si>
  <si>
    <t>个数</t>
    <phoneticPr fontId="1" type="noConversion"/>
  </si>
  <si>
    <t>金币投放</t>
    <phoneticPr fontId="1" type="noConversion"/>
  </si>
  <si>
    <t>每天</t>
    <phoneticPr fontId="1" type="noConversion"/>
  </si>
  <si>
    <t>每次</t>
    <phoneticPr fontId="1" type="noConversion"/>
  </si>
  <si>
    <t>次数设计</t>
    <phoneticPr fontId="1" type="noConversion"/>
  </si>
  <si>
    <t>成就任务</t>
    <phoneticPr fontId="1" type="noConversion"/>
  </si>
  <si>
    <t>材料副本</t>
    <phoneticPr fontId="1" type="noConversion"/>
  </si>
  <si>
    <t>总天数</t>
    <phoneticPr fontId="1" type="noConversion"/>
  </si>
  <si>
    <t>普通副本强化材料</t>
    <phoneticPr fontId="1" type="noConversion"/>
  </si>
  <si>
    <t>普通副本部位材料</t>
    <phoneticPr fontId="1" type="noConversion"/>
  </si>
  <si>
    <t>材料副本部位材料</t>
    <phoneticPr fontId="1" type="noConversion"/>
  </si>
  <si>
    <t>材料副本强化材料</t>
    <phoneticPr fontId="1" type="noConversion"/>
  </si>
  <si>
    <t>材料副本升星材料</t>
    <phoneticPr fontId="1" type="noConversion"/>
  </si>
  <si>
    <t>初级升星石</t>
    <phoneticPr fontId="1" type="noConversion"/>
  </si>
  <si>
    <t>中级升星石</t>
    <phoneticPr fontId="1" type="noConversion"/>
  </si>
  <si>
    <t>高级升星石</t>
    <phoneticPr fontId="1" type="noConversion"/>
  </si>
  <si>
    <t>容量</t>
    <phoneticPr fontId="1" type="noConversion"/>
  </si>
  <si>
    <t>中级强化石</t>
    <phoneticPr fontId="1" type="noConversion"/>
  </si>
  <si>
    <t>高级强化石</t>
    <phoneticPr fontId="1" type="noConversion"/>
  </si>
  <si>
    <t>低级强化石</t>
  </si>
  <si>
    <t>低级强化石</t>
    <phoneticPr fontId="1" type="noConversion"/>
  </si>
  <si>
    <t>中级强化石大量</t>
    <phoneticPr fontId="1" type="noConversion"/>
  </si>
  <si>
    <t>中级强化石大量、少量高级强化石</t>
    <phoneticPr fontId="1" type="noConversion"/>
  </si>
  <si>
    <t>共天</t>
    <phoneticPr fontId="1" type="noConversion"/>
  </si>
  <si>
    <t>武器</t>
    <phoneticPr fontId="1" type="noConversion"/>
  </si>
  <si>
    <t>衣服</t>
    <phoneticPr fontId="1" type="noConversion"/>
  </si>
  <si>
    <t>项链</t>
    <phoneticPr fontId="1" type="noConversion"/>
  </si>
  <si>
    <t>裤子</t>
    <phoneticPr fontId="1" type="noConversion"/>
  </si>
  <si>
    <t>鞋子</t>
    <phoneticPr fontId="1" type="noConversion"/>
  </si>
  <si>
    <t>腰带</t>
    <phoneticPr fontId="1" type="noConversion"/>
  </si>
  <si>
    <t>都有</t>
    <phoneticPr fontId="1" type="noConversion"/>
  </si>
  <si>
    <t>低级、中（低为主）</t>
    <phoneticPr fontId="1" type="noConversion"/>
  </si>
  <si>
    <t>低中（中为主）</t>
    <phoneticPr fontId="1" type="noConversion"/>
  </si>
  <si>
    <t>中、高级</t>
    <phoneticPr fontId="1" type="noConversion"/>
  </si>
  <si>
    <t>高</t>
    <phoneticPr fontId="1" type="noConversion"/>
  </si>
  <si>
    <t>高</t>
    <phoneticPr fontId="1" type="noConversion"/>
  </si>
  <si>
    <t>精英副本</t>
    <phoneticPr fontId="1" type="noConversion"/>
  </si>
  <si>
    <t>装备投放</t>
    <phoneticPr fontId="1" type="noConversion"/>
  </si>
  <si>
    <t>部位材料(武器)</t>
  </si>
  <si>
    <t>部位材料(衣服)</t>
  </si>
  <si>
    <t>部位材料(鞋子)</t>
  </si>
  <si>
    <t>每天经验</t>
    <phoneticPr fontId="1" type="noConversion"/>
  </si>
  <si>
    <t>低级的个数</t>
    <phoneticPr fontId="1" type="noConversion"/>
  </si>
  <si>
    <t>中级每天个数</t>
    <phoneticPr fontId="1" type="noConversion"/>
  </si>
  <si>
    <t>高级每天个数</t>
    <phoneticPr fontId="1" type="noConversion"/>
  </si>
  <si>
    <t>升星经验</t>
    <phoneticPr fontId="1" type="noConversion"/>
  </si>
  <si>
    <t>强化经验</t>
    <phoneticPr fontId="1" type="noConversion"/>
  </si>
  <si>
    <t>中</t>
    <phoneticPr fontId="1" type="noConversion"/>
  </si>
  <si>
    <t>高</t>
    <phoneticPr fontId="1" type="noConversion"/>
  </si>
  <si>
    <t>低</t>
    <phoneticPr fontId="1" type="noConversion"/>
  </si>
  <si>
    <t>龙魂总量</t>
    <phoneticPr fontId="1" type="noConversion"/>
  </si>
  <si>
    <t>属性价值总量</t>
    <phoneticPr fontId="1" type="noConversion"/>
  </si>
  <si>
    <t>龙魂/属性</t>
    <phoneticPr fontId="1" type="noConversion"/>
  </si>
  <si>
    <t>天数</t>
    <phoneticPr fontId="1" type="noConversion"/>
  </si>
  <si>
    <t>精英副本每天打的次数</t>
    <phoneticPr fontId="1" type="noConversion"/>
  </si>
  <si>
    <t>每次每天</t>
    <phoneticPr fontId="1" type="noConversion"/>
  </si>
  <si>
    <t>等级</t>
  </si>
  <si>
    <t>精英副本</t>
    <phoneticPr fontId="1" type="noConversion"/>
  </si>
  <si>
    <t>龙魂开启</t>
    <phoneticPr fontId="1" type="noConversion"/>
  </si>
  <si>
    <t>BOSS副本</t>
    <phoneticPr fontId="1" type="noConversion"/>
  </si>
  <si>
    <t>精英副本</t>
    <phoneticPr fontId="1" type="noConversion"/>
  </si>
  <si>
    <t>经验副本</t>
    <phoneticPr fontId="1" type="noConversion"/>
  </si>
  <si>
    <t>马仔装备</t>
    <phoneticPr fontId="1" type="noConversion"/>
  </si>
  <si>
    <t>马仔碎片</t>
    <phoneticPr fontId="1" type="noConversion"/>
  </si>
  <si>
    <t>马仔经验药水</t>
    <phoneticPr fontId="1" type="noConversion"/>
  </si>
  <si>
    <t>马仔坑位</t>
    <phoneticPr fontId="1" type="noConversion"/>
  </si>
  <si>
    <t>英雄之路</t>
    <phoneticPr fontId="1" type="noConversion"/>
  </si>
  <si>
    <t>马仔经验药水</t>
    <phoneticPr fontId="1" type="noConversion"/>
  </si>
  <si>
    <t>马仔经验药水总量</t>
    <phoneticPr fontId="1" type="noConversion"/>
  </si>
  <si>
    <t>每天</t>
    <phoneticPr fontId="1" type="noConversion"/>
  </si>
  <si>
    <t>经验副本</t>
    <phoneticPr fontId="1" type="noConversion"/>
  </si>
  <si>
    <t>每天投放</t>
    <phoneticPr fontId="1" type="noConversion"/>
  </si>
  <si>
    <t>开始开放马仔</t>
    <phoneticPr fontId="1" type="noConversion"/>
  </si>
  <si>
    <t>马仔个数</t>
    <phoneticPr fontId="1" type="noConversion"/>
  </si>
  <si>
    <t>时间</t>
    <phoneticPr fontId="1" type="noConversion"/>
  </si>
  <si>
    <t>第一天</t>
    <phoneticPr fontId="1" type="noConversion"/>
  </si>
  <si>
    <t>第三天</t>
    <phoneticPr fontId="1" type="noConversion"/>
  </si>
  <si>
    <t>第二天</t>
    <phoneticPr fontId="1" type="noConversion"/>
  </si>
  <si>
    <t>等级开放5个</t>
    <phoneticPr fontId="1" type="noConversion"/>
  </si>
  <si>
    <t>马仔经副本</t>
    <phoneticPr fontId="1" type="noConversion"/>
  </si>
  <si>
    <t>ID</t>
    <phoneticPr fontId="1" type="noConversion"/>
  </si>
  <si>
    <t>名称</t>
  </si>
  <si>
    <t>不够的放商店卖</t>
    <phoneticPr fontId="1" type="noConversion"/>
  </si>
  <si>
    <t>马仔经验副本每次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</si>
  <si>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</si>
  <si>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</si>
  <si>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</si>
  <si>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</si>
  <si>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</si>
  <si>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比重</t>
    <phoneticPr fontId="1" type="noConversion"/>
  </si>
  <si>
    <t>属性占比</t>
    <phoneticPr fontId="1" type="noConversion"/>
  </si>
  <si>
    <t>普通关卡id</t>
    <phoneticPr fontId="1" type="noConversion"/>
  </si>
  <si>
    <t>精英关卡等级</t>
    <phoneticPr fontId="1" type="noConversion"/>
  </si>
  <si>
    <t>主线龙魂</t>
    <phoneticPr fontId="1" type="noConversion"/>
  </si>
  <si>
    <t>支线龙魂</t>
    <phoneticPr fontId="1" type="noConversion"/>
  </si>
  <si>
    <t>每日投放量</t>
    <phoneticPr fontId="1" type="noConversion"/>
  </si>
  <si>
    <t>每级龙魂</t>
    <phoneticPr fontId="1" type="noConversion"/>
  </si>
  <si>
    <t>日常精英本次数</t>
    <phoneticPr fontId="1" type="noConversion"/>
  </si>
  <si>
    <t>日常产出占主线龙魂比例</t>
    <phoneticPr fontId="1" type="noConversion"/>
  </si>
  <si>
    <t>远征41-45级段第1关</t>
  </si>
  <si>
    <t>远征41-45级段第2关</t>
  </si>
  <si>
    <t>远征41-45级段第3关</t>
  </si>
  <si>
    <t>远征41-45级段第4关</t>
  </si>
  <si>
    <t>远征41-45级段第5关</t>
  </si>
  <si>
    <t>远征41-45级段第6关</t>
  </si>
  <si>
    <t>远征41-45级段第7关</t>
  </si>
  <si>
    <t>远征41-45级段第8关</t>
  </si>
  <si>
    <t>远征41-45级段第9关</t>
  </si>
  <si>
    <t>远征41-45级段第10关</t>
  </si>
  <si>
    <t>远征41-45级段第11关</t>
  </si>
  <si>
    <t>远征41-45级段第12关</t>
  </si>
  <si>
    <t>远征41-45级段第13关</t>
  </si>
  <si>
    <t>远征41-45级段第14关</t>
  </si>
  <si>
    <t>远征41-45级段第15关</t>
  </si>
  <si>
    <t>远征46-50级段第1关</t>
  </si>
  <si>
    <t>远征46-50级段第2关</t>
  </si>
  <si>
    <t>远征46-50级段第3关</t>
  </si>
  <si>
    <t>远征46-50级段第4关</t>
  </si>
  <si>
    <t>远征46-50级段第5关</t>
  </si>
  <si>
    <t>远征46-50级段第6关</t>
  </si>
  <si>
    <t>远征46-50级段第7关</t>
  </si>
  <si>
    <t>远征46-50级段第8关</t>
  </si>
  <si>
    <t>远征46-50级段第9关</t>
  </si>
  <si>
    <t>远征46-50级段第10关</t>
  </si>
  <si>
    <t>远征46-50级段第11关</t>
  </si>
  <si>
    <t>远征46-50级段第12关</t>
  </si>
  <si>
    <t>远征46-50级段第13关</t>
  </si>
  <si>
    <t>远征46-50级段第14关</t>
  </si>
  <si>
    <t>远征46-50级段第15关</t>
  </si>
  <si>
    <t>远征51-55级段第1关</t>
  </si>
  <si>
    <t>远征51-55级段第2关</t>
  </si>
  <si>
    <t>远征51-55级段第3关</t>
  </si>
  <si>
    <t>远征51-55级段第4关</t>
  </si>
  <si>
    <t>远征51-55级段第5关</t>
  </si>
  <si>
    <t>远征51-55级段第6关</t>
  </si>
  <si>
    <t>远征51-55级段第7关</t>
  </si>
  <si>
    <t>远征51-55级段第8关</t>
  </si>
  <si>
    <t>远征51-55级段第9关</t>
  </si>
  <si>
    <t>远征51-55级段第10关</t>
  </si>
  <si>
    <t>远征51-55级段第11关</t>
  </si>
  <si>
    <t>远征51-55级段第12关</t>
  </si>
  <si>
    <t>远征51-55级段第13关</t>
  </si>
  <si>
    <t>远征51-55级段第14关</t>
  </si>
  <si>
    <t>远征51-55级段第15关</t>
  </si>
  <si>
    <t>远征56-60级段第1关</t>
  </si>
  <si>
    <t>远征56-60级段第2关</t>
  </si>
  <si>
    <t>远征56-60级段第3关</t>
  </si>
  <si>
    <t>远征56-60级段第4关</t>
  </si>
  <si>
    <t>远征56-60级段第5关</t>
  </si>
  <si>
    <t>远征56-60级段第6关</t>
  </si>
  <si>
    <t>远征56-60级段第7关</t>
  </si>
  <si>
    <t>远征56-60级段第8关</t>
  </si>
  <si>
    <t>远征56-60级段第9关</t>
  </si>
  <si>
    <t>远征56-60级段第10关</t>
  </si>
  <si>
    <t>远征56-60级段第11关</t>
  </si>
  <si>
    <t>远征56-60级段第12关</t>
  </si>
  <si>
    <t>远征56-60级段第13关</t>
  </si>
  <si>
    <t>远征56-60级段第14关</t>
  </si>
  <si>
    <t>远征56-60级段第15关</t>
  </si>
  <si>
    <t>远征61-65级段第1关</t>
  </si>
  <si>
    <t>远征61-65级段第2关</t>
  </si>
  <si>
    <t>远征61-65级段第3关</t>
  </si>
  <si>
    <t>远征61-65级段第4关</t>
  </si>
  <si>
    <t>远征61-65级段第5关</t>
  </si>
  <si>
    <t>远征61-65级段第6关</t>
  </si>
  <si>
    <t>远征61-65级段第7关</t>
  </si>
  <si>
    <t>远征61-65级段第8关</t>
  </si>
  <si>
    <t>远征61-65级段第9关</t>
  </si>
  <si>
    <t>远征61-65级段第10关</t>
  </si>
  <si>
    <t>远征61-65级段第11关</t>
  </si>
  <si>
    <t>远征61-65级段第12关</t>
  </si>
  <si>
    <t>远征61-65级段第13关</t>
  </si>
  <si>
    <t>远征61-65级段第14关</t>
  </si>
  <si>
    <t>远征61-65级段第15关</t>
  </si>
  <si>
    <t>远征66-70级段第1关</t>
  </si>
  <si>
    <t>远征66-70级段第2关</t>
  </si>
  <si>
    <t>远征66-70级段第3关</t>
  </si>
  <si>
    <t>远征66-70级段第4关</t>
  </si>
  <si>
    <t>远征66-70级段第5关</t>
  </si>
  <si>
    <t>远征66-70级段第6关</t>
  </si>
  <si>
    <t>远征66-70级段第7关</t>
  </si>
  <si>
    <t>远征66-70级段第8关</t>
  </si>
  <si>
    <t>远征66-70级段第9关</t>
  </si>
  <si>
    <t>远征66-70级段第10关</t>
  </si>
  <si>
    <t>远征66-70级段第11关</t>
  </si>
  <si>
    <t>远征66-70级段第12关</t>
  </si>
  <si>
    <t>远征66-70级段第13关</t>
  </si>
  <si>
    <t>远征66-70级段第14关</t>
  </si>
  <si>
    <t>远征66-70级段第15关</t>
  </si>
  <si>
    <t>远征71-75级段第1关</t>
  </si>
  <si>
    <t>远征71-75级段第2关</t>
  </si>
  <si>
    <t>远征71-75级段第3关</t>
  </si>
  <si>
    <t>远征71-75级段第4关</t>
  </si>
  <si>
    <t>远征71-75级段第5关</t>
  </si>
  <si>
    <t>远征71-75级段第6关</t>
  </si>
  <si>
    <t>远征71-75级段第7关</t>
  </si>
  <si>
    <t>远征71-75级段第8关</t>
  </si>
  <si>
    <t>远征71-75级段第9关</t>
  </si>
  <si>
    <t>远征71-75级段第10关</t>
  </si>
  <si>
    <t>远征71-75级段第11关</t>
  </si>
  <si>
    <t>远征71-75级段第12关</t>
  </si>
  <si>
    <t>远征71-75级段第13关</t>
  </si>
  <si>
    <t>远征71-75级段第14关</t>
  </si>
  <si>
    <t>远征71-75级段第15关</t>
  </si>
  <si>
    <t>远征76-80级段第1关</t>
  </si>
  <si>
    <t>远征76-80级段第2关</t>
  </si>
  <si>
    <t>远征76-80级段第3关</t>
  </si>
  <si>
    <t>远征76-80级段第4关</t>
  </si>
  <si>
    <t>远征76-80级段第5关</t>
  </si>
  <si>
    <t>远征76-80级段第6关</t>
  </si>
  <si>
    <t>远征76-80级段第7关</t>
  </si>
  <si>
    <t>远征76-80级段第8关</t>
  </si>
  <si>
    <t>远征76-80级段第9关</t>
  </si>
  <si>
    <t>远征76-80级段第10关</t>
  </si>
  <si>
    <t>远征76-80级段第11关</t>
  </si>
  <si>
    <t>远征76-80级段第12关</t>
  </si>
  <si>
    <t>远征76-80级段第13关</t>
  </si>
  <si>
    <t>远征76-80级段第14关</t>
  </si>
  <si>
    <t>远征76-80级段第15关</t>
  </si>
  <si>
    <t>等级</t>
    <phoneticPr fontId="1" type="noConversion"/>
  </si>
  <si>
    <t>角色等级</t>
    <phoneticPr fontId="1" type="noConversion"/>
  </si>
  <si>
    <t>猎命消耗</t>
    <phoneticPr fontId="1" type="noConversion"/>
  </si>
  <si>
    <t>副本产出</t>
    <phoneticPr fontId="1" type="noConversion"/>
  </si>
  <si>
    <t>远征产出</t>
    <phoneticPr fontId="1" type="noConversion"/>
  </si>
  <si>
    <t>关数</t>
    <phoneticPr fontId="1" type="noConversion"/>
  </si>
  <si>
    <t>序号</t>
    <phoneticPr fontId="1" type="noConversion"/>
  </si>
  <si>
    <t>1点战斗力对应金币</t>
    <phoneticPr fontId="1" type="noConversion"/>
  </si>
  <si>
    <t>1钻石对应金币</t>
    <phoneticPr fontId="1" type="noConversion"/>
  </si>
  <si>
    <t>钻石/金币</t>
    <phoneticPr fontId="1" type="noConversion"/>
  </si>
  <si>
    <t>1点战斗对应钻石</t>
    <phoneticPr fontId="1" type="noConversion"/>
  </si>
  <si>
    <t>ID</t>
    <phoneticPr fontId="1" type="noConversion"/>
  </si>
  <si>
    <t>名字</t>
    <phoneticPr fontId="1" type="noConversion"/>
  </si>
  <si>
    <t>价值评估</t>
    <phoneticPr fontId="1" type="noConversion"/>
  </si>
  <si>
    <t>需求量</t>
    <phoneticPr fontId="1" type="noConversion"/>
  </si>
  <si>
    <t>稀有度</t>
    <phoneticPr fontId="1" type="noConversion"/>
  </si>
  <si>
    <t>金币价格</t>
    <phoneticPr fontId="1" type="noConversion"/>
  </si>
  <si>
    <t>钻石价格</t>
    <phoneticPr fontId="1" type="noConversion"/>
  </si>
  <si>
    <t>道具</t>
    <phoneticPr fontId="1" type="noConversion"/>
  </si>
  <si>
    <t>翅膀碎片</t>
  </si>
  <si>
    <t>富甲一方</t>
  </si>
  <si>
    <t>不哭死神</t>
  </si>
  <si>
    <t>至尊王者</t>
  </si>
  <si>
    <t>双倍经验卡（1天）</t>
  </si>
  <si>
    <t>双倍经验卡（2天）</t>
  </si>
  <si>
    <t>新手之拳</t>
  </si>
  <si>
    <t>染血之剑</t>
  </si>
  <si>
    <t>暗羽霸刀</t>
  </si>
  <si>
    <t>玄武霸刀</t>
  </si>
  <si>
    <t>霸道之刃</t>
  </si>
  <si>
    <t>白虎霸刀</t>
  </si>
  <si>
    <t>马仔装备</t>
    <phoneticPr fontId="1" type="noConversion"/>
  </si>
  <si>
    <t>摩拉</t>
  </si>
  <si>
    <t>月立</t>
  </si>
  <si>
    <t>赤金戒指</t>
  </si>
  <si>
    <t>法拉捷</t>
  </si>
  <si>
    <t>冬利</t>
  </si>
  <si>
    <t>马仔经验投放金币价值</t>
    <phoneticPr fontId="1" type="noConversion"/>
  </si>
  <si>
    <t>精英副本</t>
    <phoneticPr fontId="1" type="noConversion"/>
  </si>
  <si>
    <t>副本名称</t>
    <phoneticPr fontId="1" type="noConversion"/>
  </si>
  <si>
    <t>龙魂投放</t>
    <phoneticPr fontId="1" type="noConversion"/>
  </si>
  <si>
    <t>副本占比</t>
    <phoneticPr fontId="1" type="noConversion"/>
  </si>
  <si>
    <t>远征占比</t>
    <phoneticPr fontId="1" type="noConversion"/>
  </si>
  <si>
    <t>命格</t>
    <phoneticPr fontId="1" type="noConversion"/>
  </si>
  <si>
    <t>龙魂</t>
    <phoneticPr fontId="1" type="noConversion"/>
  </si>
  <si>
    <t>真刚</t>
  </si>
  <si>
    <t>虎啸</t>
  </si>
  <si>
    <t>豪魄</t>
  </si>
  <si>
    <t>捉影</t>
  </si>
  <si>
    <t>游刃</t>
  </si>
  <si>
    <t>傲骨</t>
  </si>
  <si>
    <t>心眼</t>
  </si>
  <si>
    <t>噬生</t>
  </si>
  <si>
    <t>痛击</t>
  </si>
  <si>
    <t>不坏</t>
  </si>
  <si>
    <t>盘蛇</t>
  </si>
  <si>
    <t>天命</t>
  </si>
  <si>
    <t>龙吟</t>
  </si>
  <si>
    <t>守御</t>
  </si>
  <si>
    <t>千眼</t>
  </si>
  <si>
    <t>逍遥</t>
  </si>
  <si>
    <t>流离</t>
  </si>
  <si>
    <t>夺魄</t>
  </si>
  <si>
    <t>破天</t>
  </si>
  <si>
    <t>幽灵</t>
  </si>
  <si>
    <t>困魔</t>
  </si>
  <si>
    <t>八卦</t>
  </si>
  <si>
    <t>剎那</t>
  </si>
  <si>
    <t>咆哮</t>
  </si>
  <si>
    <t>冰魄寒光</t>
  </si>
  <si>
    <t>赑屃</t>
  </si>
  <si>
    <t>鸱吻</t>
  </si>
  <si>
    <t>蒲牢</t>
  </si>
  <si>
    <t>睚眦</t>
  </si>
  <si>
    <t>饕餮</t>
  </si>
  <si>
    <t>蚣蝮</t>
  </si>
  <si>
    <t>狴犴</t>
  </si>
  <si>
    <t>狻猊</t>
  </si>
  <si>
    <t>椒图</t>
  </si>
  <si>
    <t>貔貅</t>
  </si>
  <si>
    <t>犼</t>
  </si>
  <si>
    <t>螭</t>
  </si>
  <si>
    <t>麒麟</t>
  </si>
  <si>
    <t>蟠螭</t>
  </si>
  <si>
    <t>点金手</t>
  </si>
  <si>
    <t>总天数</t>
    <phoneticPr fontId="1" type="noConversion"/>
  </si>
  <si>
    <t>点金手</t>
    <phoneticPr fontId="1" type="noConversion"/>
  </si>
  <si>
    <t>次数</t>
    <phoneticPr fontId="1" type="noConversion"/>
  </si>
  <si>
    <t>马仔</t>
    <phoneticPr fontId="1" type="noConversion"/>
  </si>
  <si>
    <t>蟹仔</t>
  </si>
  <si>
    <t>比利</t>
  </si>
  <si>
    <t>黎九</t>
  </si>
  <si>
    <t>黑古</t>
  </si>
  <si>
    <t>肥仔</t>
  </si>
  <si>
    <t>司徒浩南</t>
  </si>
  <si>
    <t>山下忠秀</t>
  </si>
  <si>
    <t>大天二</t>
  </si>
  <si>
    <t>月立碎片</t>
  </si>
  <si>
    <t>赤金戒指碎片</t>
  </si>
  <si>
    <t>法拉捷碎片</t>
  </si>
  <si>
    <t>微调</t>
    <phoneticPr fontId="1" type="noConversion"/>
  </si>
  <si>
    <t>命币产出</t>
    <phoneticPr fontId="1" type="noConversion"/>
  </si>
  <si>
    <t>最终产出</t>
    <phoneticPr fontId="1" type="noConversion"/>
  </si>
  <si>
    <t>命币总量</t>
    <phoneticPr fontId="1" type="noConversion"/>
  </si>
  <si>
    <t>属性价值总量</t>
    <phoneticPr fontId="1" type="noConversion"/>
  </si>
  <si>
    <t>命格副本产出</t>
    <phoneticPr fontId="1" type="noConversion"/>
  </si>
  <si>
    <t>远征产出</t>
    <phoneticPr fontId="1" type="noConversion"/>
  </si>
  <si>
    <t>其他途径需求</t>
    <phoneticPr fontId="1" type="noConversion"/>
  </si>
  <si>
    <t>副本</t>
    <phoneticPr fontId="1" type="noConversion"/>
  </si>
  <si>
    <t>每次产出</t>
    <phoneticPr fontId="1" type="noConversion"/>
  </si>
  <si>
    <t>增量</t>
    <phoneticPr fontId="1" type="noConversion"/>
  </si>
  <si>
    <t>每天产出</t>
    <phoneticPr fontId="1" type="noConversion"/>
  </si>
  <si>
    <t>副本产出</t>
    <phoneticPr fontId="1" type="noConversion"/>
  </si>
  <si>
    <t>每天远征关数</t>
    <phoneticPr fontId="1" type="noConversion"/>
  </si>
  <si>
    <t>命币/钻石</t>
    <phoneticPr fontId="1" type="noConversion"/>
  </si>
  <si>
    <t>每章节增量</t>
    <phoneticPr fontId="1" type="noConversion"/>
  </si>
  <si>
    <t>钻石价格</t>
    <phoneticPr fontId="1" type="noConversion"/>
  </si>
  <si>
    <t>预留</t>
    <phoneticPr fontId="1" type="noConversion"/>
  </si>
  <si>
    <t>追债玩法</t>
    <phoneticPr fontId="1" type="noConversion"/>
  </si>
  <si>
    <t>数值</t>
    <phoneticPr fontId="1" type="noConversion"/>
  </si>
  <si>
    <t>6个月</t>
    <phoneticPr fontId="1" type="noConversion"/>
  </si>
  <si>
    <t>扛把子</t>
  </si>
  <si>
    <t>神之手</t>
  </si>
  <si>
    <t>爵士之刃</t>
  </si>
  <si>
    <t>爵士之枪</t>
  </si>
  <si>
    <t>爵士长裤</t>
  </si>
  <si>
    <t>爵士腰带</t>
  </si>
  <si>
    <t>暴血之刃</t>
  </si>
  <si>
    <t>暴血之枪</t>
  </si>
  <si>
    <t>暴血长裤</t>
  </si>
  <si>
    <t>暴血腰带</t>
  </si>
  <si>
    <t>勇气之刃</t>
  </si>
  <si>
    <t>勇气之枪</t>
  </si>
  <si>
    <t>勇气长裤</t>
  </si>
  <si>
    <t>勇气腰带</t>
  </si>
  <si>
    <t>暗魔之刃</t>
  </si>
  <si>
    <t>暗魔之枪</t>
  </si>
  <si>
    <t>暗魔长裤</t>
  </si>
  <si>
    <t>暗魔腰带</t>
  </si>
  <si>
    <t>战爵之刃</t>
  </si>
  <si>
    <t>战爵之枪</t>
  </si>
  <si>
    <t>战爵长裤</t>
  </si>
  <si>
    <t>战爵腰带</t>
  </si>
  <si>
    <t>堕落之刃</t>
  </si>
  <si>
    <t>堕落之枪</t>
  </si>
  <si>
    <t>堕落长裤</t>
  </si>
  <si>
    <t>堕落腰带</t>
  </si>
  <si>
    <t>幻痛霸刀</t>
  </si>
  <si>
    <t>朱雀霸刀</t>
  </si>
  <si>
    <t>高洁之刃</t>
  </si>
  <si>
    <t>高洁之枪</t>
  </si>
  <si>
    <t>高洁长裤</t>
  </si>
  <si>
    <t>高洁腰带</t>
  </si>
  <si>
    <t>星宿之刃</t>
  </si>
  <si>
    <t>星宿之枪</t>
  </si>
  <si>
    <t>星宿长裤</t>
  </si>
  <si>
    <t>星宿腰带</t>
  </si>
  <si>
    <t>命币/金钱</t>
    <phoneticPr fontId="1" type="noConversion"/>
  </si>
  <si>
    <t>总需求量</t>
    <phoneticPr fontId="1" type="noConversion"/>
  </si>
  <si>
    <t>蓝装每日产出</t>
    <phoneticPr fontId="1" type="noConversion"/>
  </si>
  <si>
    <t>紫装每日产出</t>
    <phoneticPr fontId="1" type="noConversion"/>
  </si>
  <si>
    <t>橙装每日产出</t>
    <phoneticPr fontId="1" type="noConversion"/>
  </si>
  <si>
    <t>产出分配</t>
    <phoneticPr fontId="1" type="noConversion"/>
  </si>
  <si>
    <t>神秘商店</t>
    <phoneticPr fontId="1" type="noConversion"/>
  </si>
  <si>
    <t>钻石商店</t>
    <phoneticPr fontId="1" type="noConversion"/>
  </si>
  <si>
    <t>VIP商店</t>
    <phoneticPr fontId="1" type="noConversion"/>
  </si>
  <si>
    <t>积分商店</t>
    <phoneticPr fontId="1" type="noConversion"/>
  </si>
  <si>
    <t>总需求量</t>
    <phoneticPr fontId="1" type="noConversion"/>
  </si>
  <si>
    <t>每天需求</t>
    <phoneticPr fontId="1" type="noConversion"/>
  </si>
  <si>
    <t>每日产出量</t>
    <phoneticPr fontId="1" type="noConversion"/>
  </si>
  <si>
    <t>其他</t>
    <phoneticPr fontId="1" type="noConversion"/>
  </si>
  <si>
    <t>每日次数</t>
    <phoneticPr fontId="1" type="noConversion"/>
  </si>
  <si>
    <t>掉落等级</t>
    <phoneticPr fontId="1" type="noConversion"/>
  </si>
  <si>
    <t>单位产出验证</t>
    <phoneticPr fontId="1" type="noConversion"/>
  </si>
  <si>
    <t>扛把子(3天)</t>
  </si>
  <si>
    <t>神之手(3天)</t>
  </si>
  <si>
    <t>富甲一方(3天)</t>
  </si>
  <si>
    <t>不哭死神(3天)</t>
  </si>
  <si>
    <t>至尊王者(3天)</t>
  </si>
  <si>
    <t>单位产出</t>
    <phoneticPr fontId="1" type="noConversion"/>
  </si>
  <si>
    <t>蓝色装备碎片（无用）</t>
  </si>
  <si>
    <t>紫色装备碎片（无用）</t>
  </si>
  <si>
    <t>橙色装备碎片（无用）</t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</si>
  <si>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</si>
  <si>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</si>
  <si>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</si>
  <si>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</si>
  <si>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</si>
  <si>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</si>
  <si>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投放等级</t>
    <phoneticPr fontId="1" type="noConversion"/>
  </si>
  <si>
    <t>预计投完等级</t>
    <phoneticPr fontId="1" type="noConversion"/>
  </si>
  <si>
    <t>精英副本</t>
    <phoneticPr fontId="1" type="noConversion"/>
  </si>
  <si>
    <t>江湖路</t>
    <phoneticPr fontId="1" type="noConversion"/>
  </si>
  <si>
    <t>投放天数</t>
    <phoneticPr fontId="1" type="noConversion"/>
  </si>
  <si>
    <t>总天数</t>
    <phoneticPr fontId="1" type="noConversion"/>
  </si>
  <si>
    <t>碎片每天投放</t>
    <phoneticPr fontId="1" type="noConversion"/>
  </si>
  <si>
    <t>成品每天投放</t>
    <phoneticPr fontId="1" type="noConversion"/>
  </si>
  <si>
    <t>产出分配</t>
    <phoneticPr fontId="1" type="noConversion"/>
  </si>
  <si>
    <t>每日产出</t>
    <phoneticPr fontId="1" type="noConversion"/>
  </si>
  <si>
    <t>每日次数</t>
    <phoneticPr fontId="1" type="noConversion"/>
  </si>
  <si>
    <t>单位产出</t>
    <phoneticPr fontId="1" type="noConversion"/>
  </si>
  <si>
    <t>碎片兑换比</t>
    <phoneticPr fontId="1" type="noConversion"/>
  </si>
  <si>
    <t>马仔数</t>
    <phoneticPr fontId="1" type="noConversion"/>
  </si>
  <si>
    <t>马仔援护数</t>
    <phoneticPr fontId="1" type="noConversion"/>
  </si>
  <si>
    <t>投放量</t>
    <phoneticPr fontId="1" type="noConversion"/>
  </si>
  <si>
    <t>金币商店</t>
    <phoneticPr fontId="1" type="noConversion"/>
  </si>
  <si>
    <t>竞技商店</t>
    <phoneticPr fontId="1" type="noConversion"/>
  </si>
  <si>
    <t>满级天数</t>
    <phoneticPr fontId="1" type="noConversion"/>
  </si>
  <si>
    <t>品质数量</t>
    <phoneticPr fontId="1" type="noConversion"/>
  </si>
  <si>
    <t>品质</t>
    <phoneticPr fontId="1" type="noConversion"/>
  </si>
  <si>
    <t>普通副本</t>
    <phoneticPr fontId="1" type="noConversion"/>
  </si>
  <si>
    <t>金币抽</t>
    <phoneticPr fontId="1" type="noConversion"/>
  </si>
  <si>
    <t>金币十抽</t>
    <phoneticPr fontId="1" type="noConversion"/>
  </si>
  <si>
    <t>钻石抽</t>
    <phoneticPr fontId="1" type="noConversion"/>
  </si>
  <si>
    <t>钻石十抽</t>
    <phoneticPr fontId="1" type="noConversion"/>
  </si>
  <si>
    <t>帮会商店</t>
    <phoneticPr fontId="1" type="noConversion"/>
  </si>
  <si>
    <t>马仔碎片</t>
    <phoneticPr fontId="1" type="noConversion"/>
  </si>
  <si>
    <t>品质</t>
    <phoneticPr fontId="1" type="noConversion"/>
  </si>
  <si>
    <t>蓝</t>
    <phoneticPr fontId="1" type="noConversion"/>
  </si>
  <si>
    <t>绿</t>
    <phoneticPr fontId="1" type="noConversion"/>
  </si>
  <si>
    <t>紫</t>
    <phoneticPr fontId="1" type="noConversion"/>
  </si>
  <si>
    <t>马仔宝物碎片</t>
    <phoneticPr fontId="1" type="noConversion"/>
  </si>
  <si>
    <t>装备升级石</t>
    <phoneticPr fontId="1" type="noConversion"/>
  </si>
  <si>
    <t>紫</t>
    <phoneticPr fontId="1" type="noConversion"/>
  </si>
  <si>
    <t>升星石</t>
    <phoneticPr fontId="1" type="noConversion"/>
  </si>
  <si>
    <t>强化石</t>
    <phoneticPr fontId="1" type="noConversion"/>
  </si>
  <si>
    <t>部位材料</t>
    <phoneticPr fontId="1" type="noConversion"/>
  </si>
  <si>
    <t>马仔经验</t>
    <phoneticPr fontId="1" type="noConversion"/>
  </si>
  <si>
    <t>金币卡</t>
    <phoneticPr fontId="1" type="noConversion"/>
  </si>
  <si>
    <t>命运石</t>
    <phoneticPr fontId="1" type="noConversion"/>
  </si>
  <si>
    <t>龙魂币</t>
    <phoneticPr fontId="1" type="noConversion"/>
  </si>
  <si>
    <t>每天次数</t>
    <phoneticPr fontId="1" type="noConversion"/>
  </si>
  <si>
    <t>每天产出汇总</t>
    <phoneticPr fontId="1" type="noConversion"/>
  </si>
  <si>
    <t>总产出</t>
    <phoneticPr fontId="1" type="noConversion"/>
  </si>
  <si>
    <t>马仔数</t>
    <phoneticPr fontId="1" type="noConversion"/>
  </si>
  <si>
    <t>马仔星级</t>
    <phoneticPr fontId="1" type="noConversion"/>
  </si>
  <si>
    <t>灵魂石数</t>
    <phoneticPr fontId="1" type="noConversion"/>
  </si>
  <si>
    <t>总数</t>
    <phoneticPr fontId="1" type="noConversion"/>
  </si>
  <si>
    <t>每天投放</t>
    <phoneticPr fontId="1" type="noConversion"/>
  </si>
  <si>
    <t>普通副本</t>
    <phoneticPr fontId="1" type="noConversion"/>
  </si>
  <si>
    <t>金币十抽</t>
    <phoneticPr fontId="1" type="noConversion"/>
  </si>
  <si>
    <t>金币单抽</t>
    <phoneticPr fontId="1" type="noConversion"/>
  </si>
  <si>
    <t>钻石十抽</t>
    <phoneticPr fontId="1" type="noConversion"/>
  </si>
  <si>
    <t>钻石单抽</t>
    <phoneticPr fontId="1" type="noConversion"/>
  </si>
  <si>
    <t>物品</t>
    <phoneticPr fontId="1" type="noConversion"/>
  </si>
  <si>
    <t>品质</t>
    <phoneticPr fontId="1" type="noConversion"/>
  </si>
  <si>
    <t>挑战BOSS</t>
    <phoneticPr fontId="1" type="noConversion"/>
  </si>
  <si>
    <t>组队副本</t>
    <phoneticPr fontId="1" type="noConversion"/>
  </si>
  <si>
    <t>推塔</t>
    <phoneticPr fontId="1" type="noConversion"/>
  </si>
  <si>
    <t>拼战</t>
    <phoneticPr fontId="1" type="noConversion"/>
  </si>
  <si>
    <t>其他</t>
    <phoneticPr fontId="1" type="noConversion"/>
  </si>
  <si>
    <t>英雄之路每关</t>
    <phoneticPr fontId="1" type="noConversion"/>
  </si>
  <si>
    <t>预留投放</t>
    <phoneticPr fontId="1" type="noConversion"/>
  </si>
  <si>
    <t>瞬狱·斩</t>
    <phoneticPr fontId="1" type="noConversion"/>
  </si>
  <si>
    <t>影袭·斩第1段</t>
    <phoneticPr fontId="1" type="noConversion"/>
  </si>
  <si>
    <t>影袭·斩第2段</t>
    <phoneticPr fontId="1" type="noConversion"/>
  </si>
  <si>
    <t>影袭·斩第3段</t>
    <phoneticPr fontId="1" type="noConversion"/>
  </si>
  <si>
    <t>影袭·斩第4段</t>
    <phoneticPr fontId="1" type="noConversion"/>
  </si>
  <si>
    <t>光刃·斩</t>
    <phoneticPr fontId="1" type="noConversion"/>
  </si>
  <si>
    <t>裂空·斩第1段</t>
    <phoneticPr fontId="1" type="noConversion"/>
  </si>
  <si>
    <t>裂空·斩第2段</t>
    <phoneticPr fontId="1" type="noConversion"/>
  </si>
  <si>
    <t>裂空·斩第3段</t>
    <phoneticPr fontId="1" type="noConversion"/>
  </si>
  <si>
    <t>裂空·斩第4段</t>
    <phoneticPr fontId="1" type="noConversion"/>
  </si>
  <si>
    <t>新手关卡(1-0)</t>
    <phoneticPr fontId="1" type="noConversion"/>
  </si>
  <si>
    <t>新手关卡(1-0)</t>
    <phoneticPr fontId="1" type="noConversion"/>
  </si>
  <si>
    <t>花园街(1-4)</t>
    <phoneticPr fontId="1" type="noConversion"/>
  </si>
  <si>
    <t>庙街(1-5)</t>
    <phoneticPr fontId="1" type="noConversion"/>
  </si>
  <si>
    <t>谢斐道(2-1)</t>
    <phoneticPr fontId="1" type="noConversion"/>
  </si>
  <si>
    <t>骆克道(2-2)</t>
    <phoneticPr fontId="1" type="noConversion"/>
  </si>
  <si>
    <t>轩尼诗道(2-3)</t>
    <phoneticPr fontId="1" type="noConversion"/>
  </si>
  <si>
    <t>湾仔道(2-4)</t>
    <phoneticPr fontId="1" type="noConversion"/>
  </si>
  <si>
    <t>铜锣湾道(2-5)</t>
    <phoneticPr fontId="1" type="noConversion"/>
  </si>
  <si>
    <t>星光大道东(2-6)</t>
    <phoneticPr fontId="1" type="noConversion"/>
  </si>
  <si>
    <t>高级装备升级石</t>
  </si>
  <si>
    <t>蓝色</t>
  </si>
  <si>
    <t>稀有装备升级石</t>
  </si>
  <si>
    <t>部位材料(裤子)</t>
    <phoneticPr fontId="1" type="noConversion"/>
  </si>
  <si>
    <t>史诗装备升级石</t>
  </si>
  <si>
    <t>传说装备升级石</t>
  </si>
  <si>
    <t>红色</t>
  </si>
  <si>
    <t>部位材料(腰带)</t>
    <phoneticPr fontId="1" type="noConversion"/>
  </si>
  <si>
    <t>部位材料(项链)</t>
    <phoneticPr fontId="1" type="noConversion"/>
  </si>
  <si>
    <t>中级强化石</t>
    <phoneticPr fontId="1" type="noConversion"/>
  </si>
  <si>
    <t>部位材料(裤子)</t>
    <phoneticPr fontId="1" type="noConversion"/>
  </si>
  <si>
    <t>部位材料(项链)</t>
    <phoneticPr fontId="1" type="noConversion"/>
  </si>
  <si>
    <t>消耗体力</t>
    <phoneticPr fontId="1" type="noConversion"/>
  </si>
  <si>
    <t>新手之剑</t>
  </si>
  <si>
    <t>染血之枪</t>
  </si>
  <si>
    <t>染血长裤</t>
  </si>
  <si>
    <t>染血腰带</t>
  </si>
  <si>
    <t>狂气之剑</t>
  </si>
  <si>
    <t>狂气之枪</t>
  </si>
  <si>
    <t>狂气长裤</t>
  </si>
  <si>
    <t>狂气腰带</t>
  </si>
  <si>
    <t>野性之剑</t>
  </si>
  <si>
    <t>野性之枪</t>
  </si>
  <si>
    <t>野性长裤</t>
  </si>
  <si>
    <t>野性腰带</t>
  </si>
  <si>
    <t>紫云之剑</t>
  </si>
  <si>
    <t>紫云之枪</t>
  </si>
  <si>
    <t>紫云长裤</t>
  </si>
  <si>
    <t>紫云腰带</t>
  </si>
  <si>
    <t>碧蓝之剑</t>
  </si>
  <si>
    <t>碧蓝之枪</t>
  </si>
  <si>
    <t>碧蓝长裤</t>
  </si>
  <si>
    <t>碧蓝腰带</t>
  </si>
  <si>
    <t>斩魄之刃</t>
  </si>
  <si>
    <t>玫瑰骑士</t>
  </si>
  <si>
    <t>黑鸦长裤</t>
  </si>
  <si>
    <t>黑鸦腰带</t>
  </si>
  <si>
    <t>暗羽之枪</t>
  </si>
  <si>
    <t>暗羽长裤</t>
  </si>
  <si>
    <t>暗羽腰带</t>
  </si>
  <si>
    <t>玄武之枪</t>
  </si>
  <si>
    <t>玄武长裤</t>
  </si>
  <si>
    <t>玄武腰带</t>
  </si>
  <si>
    <t>嗜血之剑</t>
  </si>
  <si>
    <t>嗜血枪</t>
  </si>
  <si>
    <t>嗜血长裤</t>
  </si>
  <si>
    <t>嗜血腰带</t>
  </si>
  <si>
    <t>霸道之枪</t>
  </si>
  <si>
    <t>霸道长裤</t>
  </si>
  <si>
    <t>霸道腰带</t>
  </si>
  <si>
    <t>白虎之枪</t>
  </si>
  <si>
    <t>白虎长裤</t>
  </si>
  <si>
    <t>白虎腰带</t>
  </si>
  <si>
    <t>幻痛之枪</t>
  </si>
  <si>
    <t>幻痛长裤</t>
  </si>
  <si>
    <t>幻痛腰带</t>
  </si>
  <si>
    <t>焚天之剑</t>
  </si>
  <si>
    <t>焚天之枪</t>
  </si>
  <si>
    <t>焚天长裤</t>
  </si>
  <si>
    <t>焚天腰带</t>
  </si>
  <si>
    <t>朱雀之枪</t>
  </si>
  <si>
    <t>朱雀长裤</t>
  </si>
  <si>
    <t>朱雀腰带</t>
  </si>
  <si>
    <t>炼狱之剑</t>
  </si>
  <si>
    <t>炼狱之枪</t>
  </si>
  <si>
    <t>炼狱长裤</t>
  </si>
  <si>
    <t>炼狱腰带</t>
  </si>
  <si>
    <t>青龙之拳</t>
  </si>
  <si>
    <t>青龙战衣</t>
  </si>
  <si>
    <t>青龙长靴</t>
  </si>
  <si>
    <t>亚诺</t>
  </si>
  <si>
    <t>毒蝎耳钉</t>
  </si>
  <si>
    <t>诅咒项链</t>
  </si>
  <si>
    <t>幸运戒指</t>
  </si>
  <si>
    <t>银色手环</t>
  </si>
  <si>
    <t>镀金耳钉</t>
  </si>
  <si>
    <t>水晶项链</t>
  </si>
  <si>
    <t>白银戒指</t>
  </si>
  <si>
    <t>银针手表</t>
  </si>
  <si>
    <t>水晶耳钉</t>
  </si>
  <si>
    <t>越野手表</t>
  </si>
  <si>
    <t>鎏金手环</t>
  </si>
  <si>
    <t>银饰耳钉</t>
  </si>
  <si>
    <t>金饰项链</t>
  </si>
  <si>
    <t>黄金戒指</t>
  </si>
  <si>
    <t>白金手环</t>
  </si>
  <si>
    <t>金针手表</t>
  </si>
  <si>
    <t>青玉项链</t>
  </si>
  <si>
    <t>猫妖项链</t>
  </si>
  <si>
    <t>苍蓝戒指</t>
  </si>
  <si>
    <t>红石项链</t>
  </si>
  <si>
    <t>精准手表</t>
  </si>
  <si>
    <t>苍蓝项链</t>
  </si>
  <si>
    <t>贵族项链</t>
  </si>
  <si>
    <t>王者手环</t>
  </si>
  <si>
    <t>小迭钞票</t>
  </si>
  <si>
    <t>金块</t>
  </si>
  <si>
    <t>大迭钞票</t>
  </si>
  <si>
    <t>汉密手表</t>
  </si>
  <si>
    <t>深蓝</t>
  </si>
  <si>
    <t>星光红石</t>
  </si>
  <si>
    <t>符文手环</t>
  </si>
  <si>
    <t>圣徒项链</t>
  </si>
  <si>
    <t>小堆金块</t>
  </si>
  <si>
    <t>红石耳钉</t>
  </si>
  <si>
    <t>金饰宝盒</t>
  </si>
  <si>
    <t>千国手表</t>
  </si>
  <si>
    <t>大金块</t>
  </si>
  <si>
    <t>菠萝</t>
  </si>
  <si>
    <t>大堆钞票</t>
  </si>
  <si>
    <t>宾倪</t>
  </si>
  <si>
    <t>智能手表</t>
  </si>
  <si>
    <t>宝驼</t>
  </si>
  <si>
    <t>黑耀项链</t>
  </si>
  <si>
    <t>珍珠宝盒</t>
  </si>
  <si>
    <t>宝石手环</t>
  </si>
  <si>
    <t>红博机利</t>
  </si>
  <si>
    <t>皇家项链</t>
  </si>
  <si>
    <t>壕利手表</t>
  </si>
  <si>
    <t>大堆金块</t>
  </si>
  <si>
    <t>劳莱斯特</t>
  </si>
  <si>
    <t>翠绿之心</t>
  </si>
  <si>
    <t>巨额钞票</t>
  </si>
  <si>
    <t>古董宝盒</t>
  </si>
  <si>
    <t>海洋之泪</t>
  </si>
  <si>
    <t>巨量金块</t>
  </si>
  <si>
    <t>水晶宝盒</t>
  </si>
  <si>
    <t>房产证</t>
  </si>
  <si>
    <t>红石项链碎片</t>
  </si>
  <si>
    <t>精准手表碎片</t>
  </si>
  <si>
    <t>苍蓝项链碎片</t>
  </si>
  <si>
    <t>贵族项链碎片</t>
  </si>
  <si>
    <t>王者手环碎片</t>
  </si>
  <si>
    <t>小迭钞票碎片</t>
  </si>
  <si>
    <t>金块碎片</t>
  </si>
  <si>
    <t>大迭钞票碎片</t>
  </si>
  <si>
    <t>汉密手表碎片</t>
  </si>
  <si>
    <t>深蓝碎片</t>
  </si>
  <si>
    <t>星光红石碎片</t>
  </si>
  <si>
    <t>符文手环碎片</t>
  </si>
  <si>
    <t>圣徒项链碎片</t>
  </si>
  <si>
    <t>小堆金块碎片</t>
  </si>
  <si>
    <t>红石耳钉碎片</t>
  </si>
  <si>
    <t>金饰宝盒碎片</t>
  </si>
  <si>
    <t>千国手表碎片</t>
  </si>
  <si>
    <t>大金块碎片</t>
  </si>
  <si>
    <t>菠萝碎片</t>
  </si>
  <si>
    <t>大堆钞票碎片</t>
  </si>
  <si>
    <t>宾倪碎片</t>
  </si>
  <si>
    <t>智能手表碎片</t>
  </si>
  <si>
    <t>宝驼碎片</t>
  </si>
  <si>
    <t>黑耀项链碎片</t>
  </si>
  <si>
    <t>珍珠宝盒碎片</t>
  </si>
  <si>
    <t>宝石手环碎片</t>
  </si>
  <si>
    <t>红博机利碎片</t>
  </si>
  <si>
    <t>皇家项链碎片</t>
  </si>
  <si>
    <t>壕利手表碎片</t>
  </si>
  <si>
    <t>大堆金块碎片</t>
  </si>
  <si>
    <t>劳莱斯特碎片</t>
  </si>
  <si>
    <t>翠绿之心碎片</t>
  </si>
  <si>
    <t>巨额钞票碎片</t>
  </si>
  <si>
    <t>古董宝盒碎片</t>
  </si>
  <si>
    <t>海洋之泪碎片</t>
  </si>
  <si>
    <t>巨量金块碎片</t>
  </si>
  <si>
    <t>水晶宝盒碎片</t>
  </si>
  <si>
    <t>房产证碎片</t>
  </si>
  <si>
    <t>灰色物质</t>
  </si>
  <si>
    <t>兽腾</t>
  </si>
  <si>
    <t>战狂</t>
  </si>
  <si>
    <t>贪狼</t>
  </si>
  <si>
    <t>辉煌</t>
  </si>
  <si>
    <t>破军</t>
  </si>
  <si>
    <t>飞仙</t>
  </si>
  <si>
    <t>虚空</t>
  </si>
  <si>
    <t>无惧</t>
  </si>
  <si>
    <t>天杀</t>
  </si>
  <si>
    <t>诛魔</t>
  </si>
  <si>
    <t>寂灭</t>
  </si>
  <si>
    <t>审判</t>
  </si>
  <si>
    <t>天狱</t>
  </si>
  <si>
    <t>无尽</t>
  </si>
  <si>
    <t>断罪</t>
  </si>
  <si>
    <t>一元复始</t>
  </si>
  <si>
    <t>大破坏神</t>
  </si>
  <si>
    <t>天地无用</t>
  </si>
  <si>
    <t>百步穿杨</t>
  </si>
  <si>
    <t>破碎虚空</t>
  </si>
  <si>
    <t>震破苍穹</t>
  </si>
  <si>
    <t>雷霆万钧</t>
  </si>
  <si>
    <t>快刀乱麻</t>
  </si>
  <si>
    <t>明镜止水</t>
  </si>
  <si>
    <t>背水一战</t>
  </si>
  <si>
    <t>金钟护体</t>
  </si>
  <si>
    <t>轩辕剑体</t>
  </si>
  <si>
    <t>气势如虹</t>
  </si>
  <si>
    <t>包罗万象</t>
  </si>
  <si>
    <t>心无杂念</t>
  </si>
  <si>
    <t>披荆斩棘</t>
  </si>
  <si>
    <t>斗转星移</t>
  </si>
  <si>
    <t>鱼龙</t>
  </si>
  <si>
    <t>蛟龙</t>
  </si>
  <si>
    <t>角龙</t>
  </si>
  <si>
    <t>应龙</t>
  </si>
  <si>
    <t>亚芝</t>
  </si>
  <si>
    <t>靓坤</t>
  </si>
  <si>
    <t>乌鸦</t>
  </si>
  <si>
    <t>赌王</t>
  </si>
  <si>
    <t>宫本一</t>
  </si>
  <si>
    <t>陈浩南</t>
  </si>
  <si>
    <t>山鸡</t>
  </si>
  <si>
    <t>1点战斗对应钻石</t>
    <phoneticPr fontId="1" type="noConversion"/>
  </si>
  <si>
    <t>品质</t>
    <phoneticPr fontId="1" type="noConversion"/>
  </si>
  <si>
    <t>马仔经验药水</t>
  </si>
  <si>
    <t>金币卡</t>
  </si>
  <si>
    <t>VIP礼包</t>
  </si>
  <si>
    <t>VIP体验卡</t>
  </si>
  <si>
    <t>巨额金币卡</t>
  </si>
  <si>
    <t>扫荡券</t>
  </si>
  <si>
    <t>洪兴新星</t>
  </si>
  <si>
    <t>洪兴打仔</t>
  </si>
  <si>
    <t>二路元帅</t>
  </si>
  <si>
    <t>战无不胜</t>
  </si>
  <si>
    <t>猛龙过江</t>
  </si>
  <si>
    <t>壕气冲天</t>
  </si>
  <si>
    <t>富可敌国</t>
  </si>
  <si>
    <t>战斗狂人</t>
  </si>
  <si>
    <t>干架王</t>
  </si>
  <si>
    <t>破坏王</t>
  </si>
  <si>
    <t>战无尽</t>
  </si>
  <si>
    <t>绝世战神</t>
  </si>
  <si>
    <t>横砍一条街</t>
  </si>
  <si>
    <t>洪兴新星(3天)</t>
  </si>
  <si>
    <t>洪兴打仔(3天)</t>
  </si>
  <si>
    <t>二路元帅(3天)</t>
  </si>
  <si>
    <t>战无不胜(3天)</t>
  </si>
  <si>
    <t>猛龙过江(3天)</t>
  </si>
  <si>
    <t>壕气冲天(3天)</t>
  </si>
  <si>
    <t>富可敌国(3天)</t>
  </si>
  <si>
    <t>战斗狂人(3天)</t>
  </si>
  <si>
    <t>干架王(3天)</t>
  </si>
  <si>
    <t>破坏王(3天)</t>
  </si>
  <si>
    <t>战无尽(3天)</t>
  </si>
  <si>
    <t>绝世战神(3天)</t>
  </si>
  <si>
    <t>横砍一条街(3天)</t>
  </si>
  <si>
    <t>中级强化石</t>
  </si>
  <si>
    <t>高级强化石</t>
  </si>
  <si>
    <t>初级升星石</t>
  </si>
  <si>
    <t>中级升星石</t>
  </si>
  <si>
    <t>高级升星石</t>
  </si>
  <si>
    <t>4阶升星石(不用）</t>
  </si>
  <si>
    <t>5阶升星石（不用）</t>
  </si>
  <si>
    <t>金币卡(1万)</t>
  </si>
  <si>
    <t>金币卡(2万)</t>
  </si>
  <si>
    <t>金币卡(5万)</t>
  </si>
  <si>
    <t>马仔经验合剂</t>
  </si>
  <si>
    <t>马仔经验甘露</t>
  </si>
  <si>
    <t>钻石兑换卡(100)</t>
  </si>
  <si>
    <t>钻石兑换卡(500)</t>
  </si>
  <si>
    <t>钻石兑换卡(1000)</t>
  </si>
  <si>
    <t>初级体力药水</t>
  </si>
  <si>
    <t>中级体力药水</t>
  </si>
  <si>
    <t>高级体力药水</t>
  </si>
  <si>
    <t>成长礼包</t>
  </si>
  <si>
    <t>部位材料(裤子)</t>
  </si>
  <si>
    <t>部位材料(项链)</t>
  </si>
  <si>
    <t>部位材料(腰带)</t>
  </si>
  <si>
    <t>龙魂币(500)</t>
  </si>
  <si>
    <t>龙魂币(1000)</t>
  </si>
  <si>
    <t>命运石(1万)</t>
  </si>
  <si>
    <t>命运石(2万)</t>
  </si>
  <si>
    <t>钻石</t>
  </si>
  <si>
    <t>金币</t>
  </si>
  <si>
    <t>龙魂币</t>
  </si>
  <si>
    <t>命运石</t>
  </si>
  <si>
    <t>擂台币</t>
  </si>
  <si>
    <t>vip经验卡</t>
  </si>
  <si>
    <t>技能升级石</t>
  </si>
  <si>
    <t>关卡占领</t>
    <phoneticPr fontId="1" type="noConversion"/>
  </si>
  <si>
    <t>等级</t>
    <phoneticPr fontId="1" type="noConversion"/>
  </si>
  <si>
    <t>时间</t>
    <phoneticPr fontId="1" type="noConversion"/>
  </si>
  <si>
    <t>投放途径</t>
    <phoneticPr fontId="1" type="noConversion"/>
  </si>
  <si>
    <t>等级成就</t>
    <phoneticPr fontId="1" type="noConversion"/>
  </si>
  <si>
    <t>投放方式</t>
    <phoneticPr fontId="1" type="noConversion"/>
  </si>
  <si>
    <t>7天登陆</t>
    <phoneticPr fontId="1" type="noConversion"/>
  </si>
  <si>
    <t>月签到</t>
    <phoneticPr fontId="1" type="noConversion"/>
  </si>
  <si>
    <t>拼战</t>
    <phoneticPr fontId="1" type="noConversion"/>
  </si>
  <si>
    <t>时间</t>
    <phoneticPr fontId="1" type="noConversion"/>
  </si>
  <si>
    <t>总投放</t>
    <phoneticPr fontId="1" type="noConversion"/>
  </si>
  <si>
    <t>拼战</t>
    <phoneticPr fontId="1" type="noConversion"/>
  </si>
  <si>
    <t>等级</t>
    <phoneticPr fontId="1" type="noConversion"/>
  </si>
  <si>
    <t>时间</t>
    <phoneticPr fontId="1" type="noConversion"/>
  </si>
  <si>
    <t>等级成就</t>
    <phoneticPr fontId="1" type="noConversion"/>
  </si>
  <si>
    <t>每天投放</t>
    <phoneticPr fontId="1" type="noConversion"/>
  </si>
  <si>
    <t>每级投放</t>
    <phoneticPr fontId="1" type="noConversion"/>
  </si>
  <si>
    <t>竞技场</t>
    <phoneticPr fontId="1" type="noConversion"/>
  </si>
  <si>
    <t>参数</t>
    <phoneticPr fontId="1" type="noConversion"/>
  </si>
  <si>
    <t>月卡</t>
    <phoneticPr fontId="1" type="noConversion"/>
  </si>
  <si>
    <t>投放天数</t>
    <phoneticPr fontId="1" type="noConversion"/>
  </si>
  <si>
    <t>副本成就</t>
    <phoneticPr fontId="1" type="noConversion"/>
  </si>
  <si>
    <t>占比</t>
    <phoneticPr fontId="1" type="noConversion"/>
  </si>
  <si>
    <t>购买体力</t>
    <phoneticPr fontId="1" type="noConversion"/>
  </si>
  <si>
    <t>点金手</t>
    <phoneticPr fontId="1" type="noConversion"/>
  </si>
  <si>
    <t>神秘商店</t>
    <phoneticPr fontId="1" type="noConversion"/>
  </si>
  <si>
    <t>钻石商店</t>
    <phoneticPr fontId="1" type="noConversion"/>
  </si>
  <si>
    <t>公会贡献</t>
    <phoneticPr fontId="1" type="noConversion"/>
  </si>
  <si>
    <t>VIP商店</t>
    <phoneticPr fontId="1" type="noConversion"/>
  </si>
  <si>
    <t>钻石十连抽</t>
    <phoneticPr fontId="1" type="noConversion"/>
  </si>
  <si>
    <t>命币购买</t>
    <phoneticPr fontId="1" type="noConversion"/>
  </si>
  <si>
    <t>每天消耗</t>
    <phoneticPr fontId="1" type="noConversion"/>
  </si>
  <si>
    <t>消耗途径</t>
    <phoneticPr fontId="1" type="noConversion"/>
  </si>
  <si>
    <t>每天次数</t>
    <phoneticPr fontId="1" type="noConversion"/>
  </si>
  <si>
    <t>免费玩家</t>
    <phoneticPr fontId="1" type="noConversion"/>
  </si>
  <si>
    <t>小R</t>
    <phoneticPr fontId="1" type="noConversion"/>
  </si>
  <si>
    <t>大R</t>
    <phoneticPr fontId="1" type="noConversion"/>
  </si>
  <si>
    <t>成品产出占比</t>
    <phoneticPr fontId="1" type="noConversion"/>
  </si>
  <si>
    <t>成品需求</t>
    <phoneticPr fontId="1" type="noConversion"/>
  </si>
  <si>
    <t>碎片需求</t>
    <phoneticPr fontId="1" type="noConversion"/>
  </si>
  <si>
    <t>钻石价值</t>
    <phoneticPr fontId="1" type="noConversion"/>
  </si>
  <si>
    <t>马仔数</t>
  </si>
  <si>
    <t>马仔援护数</t>
  </si>
  <si>
    <t>满级天数</t>
  </si>
  <si>
    <t>品质</t>
  </si>
  <si>
    <t>投放量</t>
  </si>
  <si>
    <t>需求量</t>
  </si>
  <si>
    <t>碎片</t>
  </si>
  <si>
    <t>碎片兑换比</t>
  </si>
  <si>
    <t>投放等级</t>
  </si>
  <si>
    <t>预计投完等级</t>
  </si>
  <si>
    <t>投放天数</t>
  </si>
  <si>
    <t>成品每天投放</t>
  </si>
  <si>
    <t>碎片每天投放</t>
  </si>
  <si>
    <t>品质数量</t>
  </si>
  <si>
    <t>绿</t>
  </si>
  <si>
    <t>蓝</t>
  </si>
  <si>
    <t>紫</t>
  </si>
  <si>
    <t>橙</t>
  </si>
  <si>
    <t>红</t>
  </si>
  <si>
    <t>产出分配</t>
  </si>
  <si>
    <t>普通副本</t>
  </si>
  <si>
    <t>精英副本</t>
  </si>
  <si>
    <t>江湖路</t>
  </si>
  <si>
    <t>金币单抽</t>
  </si>
  <si>
    <t>金币十抽</t>
  </si>
  <si>
    <t>钻石单抽</t>
  </si>
  <si>
    <t>钻石十抽</t>
  </si>
  <si>
    <t>金币商店</t>
  </si>
  <si>
    <t>神秘商店</t>
  </si>
  <si>
    <t>钻石商店</t>
  </si>
  <si>
    <t>VIP商店</t>
  </si>
  <si>
    <t>积分商店</t>
  </si>
  <si>
    <t>竞技商店</t>
  </si>
  <si>
    <t>其他</t>
  </si>
  <si>
    <t>每日产出</t>
  </si>
  <si>
    <t>每日次数</t>
  </si>
  <si>
    <t>单位产出</t>
  </si>
  <si>
    <t>单位产出验证</t>
  </si>
  <si>
    <t>集中投放</t>
    <phoneticPr fontId="1" type="noConversion"/>
  </si>
  <si>
    <t>开始等级</t>
    <phoneticPr fontId="1" type="noConversion"/>
  </si>
  <si>
    <t>结束等级</t>
    <phoneticPr fontId="1" type="noConversion"/>
  </si>
  <si>
    <t>ID</t>
    <phoneticPr fontId="1" type="noConversion"/>
  </si>
  <si>
    <t>主线任务</t>
    <phoneticPr fontId="1" type="noConversion"/>
  </si>
  <si>
    <t>日常任务</t>
    <phoneticPr fontId="1" type="noConversion"/>
  </si>
  <si>
    <t>天周期</t>
    <phoneticPr fontId="1" type="noConversion"/>
  </si>
  <si>
    <t>成就任务</t>
    <phoneticPr fontId="1" type="noConversion"/>
  </si>
  <si>
    <t>消耗体力</t>
    <phoneticPr fontId="1" type="noConversion"/>
  </si>
  <si>
    <t>每体力兑换龙魂</t>
    <phoneticPr fontId="1" type="noConversion"/>
  </si>
  <si>
    <t>ID</t>
  </si>
  <si>
    <t>次数</t>
    <phoneticPr fontId="1" type="noConversion"/>
  </si>
  <si>
    <t>设定消耗</t>
    <phoneticPr fontId="1" type="noConversion"/>
  </si>
  <si>
    <t>材料本、金钱本、马仔经验</t>
    <phoneticPr fontId="1" type="noConversion"/>
  </si>
  <si>
    <t>金币副本次数</t>
    <phoneticPr fontId="1" type="noConversion"/>
  </si>
  <si>
    <t>材料副本次数</t>
    <phoneticPr fontId="1" type="noConversion"/>
  </si>
  <si>
    <t>马仔经验副本次数</t>
    <phoneticPr fontId="1" type="noConversion"/>
  </si>
  <si>
    <t>命运副本次数</t>
    <phoneticPr fontId="1" type="noConversion"/>
  </si>
  <si>
    <t>BOSS副本</t>
    <phoneticPr fontId="1" type="noConversion"/>
  </si>
  <si>
    <t>普通副本</t>
    <phoneticPr fontId="1" type="noConversion"/>
  </si>
  <si>
    <t>精英副本</t>
    <phoneticPr fontId="1" type="noConversion"/>
  </si>
  <si>
    <t>金币副本</t>
    <phoneticPr fontId="1" type="noConversion"/>
  </si>
  <si>
    <t>材料副本</t>
    <phoneticPr fontId="1" type="noConversion"/>
  </si>
  <si>
    <t>马仔经验副本</t>
    <phoneticPr fontId="1" type="noConversion"/>
  </si>
  <si>
    <t>命运副本</t>
    <phoneticPr fontId="1" type="noConversion"/>
  </si>
  <si>
    <t>次数</t>
    <phoneticPr fontId="1" type="noConversion"/>
  </si>
  <si>
    <t>非V次数</t>
    <phoneticPr fontId="1" type="noConversion"/>
  </si>
  <si>
    <t>非R</t>
    <phoneticPr fontId="1" type="noConversion"/>
  </si>
  <si>
    <t>R</t>
    <phoneticPr fontId="1" type="noConversion"/>
  </si>
  <si>
    <t>宵夜</t>
    <phoneticPr fontId="1" type="noConversion"/>
  </si>
  <si>
    <t>体力消耗</t>
    <phoneticPr fontId="1" type="noConversion"/>
  </si>
  <si>
    <t>等级</t>
    <phoneticPr fontId="1" type="noConversion"/>
  </si>
  <si>
    <t>远征开启等级</t>
    <phoneticPr fontId="1" type="noConversion"/>
  </si>
  <si>
    <t>猎命次数</t>
    <phoneticPr fontId="1" type="noConversion"/>
  </si>
  <si>
    <t>每日远征调整</t>
    <phoneticPr fontId="1" type="noConversion"/>
  </si>
  <si>
    <t>8小时恢复体力</t>
    <phoneticPr fontId="1" type="noConversion"/>
  </si>
  <si>
    <t>第一天体力经验</t>
    <phoneticPr fontId="1" type="noConversion"/>
  </si>
  <si>
    <t>关卡数量</t>
    <phoneticPr fontId="1" type="noConversion"/>
  </si>
  <si>
    <t>章节</t>
    <phoneticPr fontId="1" type="noConversion"/>
  </si>
  <si>
    <t>前面关卡总数量</t>
    <phoneticPr fontId="1" type="noConversion"/>
  </si>
  <si>
    <t>远征24-30级段第1关</t>
    <phoneticPr fontId="1" type="noConversion"/>
  </si>
  <si>
    <t>远征24-30级段第2关</t>
  </si>
  <si>
    <t>远征24-30级段第3关</t>
  </si>
  <si>
    <t>远征24-30级段第4关</t>
  </si>
  <si>
    <t>远征24-30级段第5关</t>
  </si>
  <si>
    <t>远征24-30级段第6关</t>
  </si>
  <si>
    <t>远征24-30级段第7关</t>
  </si>
  <si>
    <t>远征24-30级段第8关</t>
  </si>
  <si>
    <t>远征24-30级段第9关</t>
  </si>
  <si>
    <t>远征24-30级段第10关</t>
  </si>
  <si>
    <t>远征24-30级段第11关</t>
  </si>
  <si>
    <t>远征24-30级段第12关</t>
  </si>
  <si>
    <t>远征24-30级段第13关</t>
  </si>
  <si>
    <t>远征24-30级段第14关</t>
  </si>
  <si>
    <t>远征24-30级段第15关</t>
  </si>
  <si>
    <t>远征31-35级段第1关</t>
    <phoneticPr fontId="1" type="noConversion"/>
  </si>
  <si>
    <t>远征31-35级段第2关</t>
  </si>
  <si>
    <t>远征31-35级段第3关</t>
  </si>
  <si>
    <t>远征31-35级段第4关</t>
  </si>
  <si>
    <t>远征31-35级段第5关</t>
  </si>
  <si>
    <t>远征31-35级段第6关</t>
  </si>
  <si>
    <t>远征31-35级段第7关</t>
  </si>
  <si>
    <t>远征31-35级段第8关</t>
  </si>
  <si>
    <t>远征31-35级段第9关</t>
  </si>
  <si>
    <t>远征31-35级段第10关</t>
  </si>
  <si>
    <t>远征31-35级段第11关</t>
  </si>
  <si>
    <t>远征31-35级段第12关</t>
  </si>
  <si>
    <t>远征31-35级段第13关</t>
  </si>
  <si>
    <t>远征31-35级段第14关</t>
  </si>
  <si>
    <t>远征31-35级段第15关</t>
  </si>
  <si>
    <t>远征36-40级段第1关</t>
    <phoneticPr fontId="1" type="noConversion"/>
  </si>
  <si>
    <t>远征36-40级段第2关</t>
  </si>
  <si>
    <t>远征36-40级段第3关</t>
  </si>
  <si>
    <t>远征36-40级段第4关</t>
  </si>
  <si>
    <t>远征36-40级段第5关</t>
  </si>
  <si>
    <t>远征36-40级段第6关</t>
  </si>
  <si>
    <t>远征36-40级段第7关</t>
  </si>
  <si>
    <t>远征36-40级段第8关</t>
  </si>
  <si>
    <t>远征36-40级段第9关</t>
  </si>
  <si>
    <t>远征36-40级段第10关</t>
  </si>
  <si>
    <t>远征36-40级段第11关</t>
  </si>
  <si>
    <t>远征36-40级段第12关</t>
  </si>
  <si>
    <t>远征36-40级段第13关</t>
  </si>
  <si>
    <t>远征36-40级段第14关</t>
  </si>
  <si>
    <t>远征36-40级段第15关</t>
  </si>
  <si>
    <t>寻宝券</t>
  </si>
  <si>
    <t>关卡调整</t>
    <phoneticPr fontId="1" type="noConversion"/>
  </si>
  <si>
    <t>霸主</t>
  </si>
  <si>
    <t>装备金币需求量</t>
    <phoneticPr fontId="1" type="noConversion"/>
  </si>
  <si>
    <t>技能升级需求量</t>
    <phoneticPr fontId="1" type="noConversion"/>
  </si>
  <si>
    <t>技能冷却石</t>
  </si>
  <si>
    <t>星级</t>
    <phoneticPr fontId="1" type="noConversion"/>
  </si>
  <si>
    <t>巴闭</t>
  </si>
  <si>
    <t>耀阳</t>
  </si>
  <si>
    <t>笑面虎</t>
  </si>
  <si>
    <t>马仔碎片(蟹仔)</t>
  </si>
  <si>
    <t>马仔碎片(比利)</t>
  </si>
  <si>
    <t>马仔碎片(黎九)</t>
  </si>
  <si>
    <t>马仔碎片(黑古)</t>
  </si>
  <si>
    <t>马仔碎片(靓坤)</t>
  </si>
  <si>
    <t>马仔碎片(雷复轰)</t>
  </si>
  <si>
    <t>马仔碎片(肥仔)</t>
  </si>
  <si>
    <t>马仔碎片(司徒浩南)</t>
  </si>
  <si>
    <t>马仔碎片(乌鸦)</t>
  </si>
  <si>
    <t>马仔碎片(赌王)</t>
  </si>
  <si>
    <t>马仔碎片(山下忠秀)</t>
  </si>
  <si>
    <t>马仔碎片(宫本一)</t>
  </si>
  <si>
    <t>马仔碎片(陈浩南)</t>
  </si>
  <si>
    <t>马仔碎片(山鸡)</t>
  </si>
  <si>
    <t>马仔碎片(大天二)</t>
  </si>
  <si>
    <t>金豆</t>
  </si>
  <si>
    <t>单次扫荡特权</t>
  </si>
  <si>
    <t>多次扫荡特权</t>
  </si>
  <si>
    <t>扫荡特权</t>
  </si>
  <si>
    <t>龙魂币(2000)</t>
  </si>
  <si>
    <t>命运石(5000)</t>
  </si>
  <si>
    <t>稀有度调整</t>
    <phoneticPr fontId="1" type="noConversion"/>
  </si>
  <si>
    <t>总需求量</t>
  </si>
  <si>
    <t>每天需求</t>
  </si>
  <si>
    <t>金币价值</t>
  </si>
  <si>
    <t>钻石价值</t>
  </si>
  <si>
    <t>技能升级石</t>
    <phoneticPr fontId="1" type="noConversion"/>
  </si>
  <si>
    <t>技能冷却石</t>
    <phoneticPr fontId="1" type="noConversion"/>
  </si>
  <si>
    <t>价值</t>
    <phoneticPr fontId="1" type="noConversion"/>
  </si>
  <si>
    <t>马仔追债</t>
    <phoneticPr fontId="1" type="noConversion"/>
  </si>
  <si>
    <t>劫掠</t>
    <phoneticPr fontId="1" type="noConversion"/>
  </si>
  <si>
    <t>日常任务</t>
    <phoneticPr fontId="1" type="noConversion"/>
  </si>
  <si>
    <t>产出分配</t>
    <phoneticPr fontId="1" type="noConversion"/>
  </si>
  <si>
    <t>材料</t>
    <phoneticPr fontId="1" type="noConversion"/>
  </si>
  <si>
    <t>ID</t>
    <phoneticPr fontId="1" type="noConversion"/>
  </si>
  <si>
    <t>其他</t>
    <phoneticPr fontId="1" type="noConversion"/>
  </si>
  <si>
    <t>帮贡价值</t>
    <phoneticPr fontId="1" type="noConversion"/>
  </si>
  <si>
    <t>每日产出</t>
    <phoneticPr fontId="1" type="noConversion"/>
  </si>
  <si>
    <t>每日次数</t>
    <phoneticPr fontId="1" type="noConversion"/>
  </si>
  <si>
    <t>单位产出</t>
    <phoneticPr fontId="1" type="noConversion"/>
  </si>
  <si>
    <t>实际产出</t>
    <phoneticPr fontId="1" type="noConversion"/>
  </si>
  <si>
    <t>马仔碎片(巴闭)</t>
  </si>
  <si>
    <t>马仔碎片(耀阳)</t>
  </si>
  <si>
    <t>马仔碎片(笑面虎)</t>
  </si>
  <si>
    <t>1金豆对应钻石</t>
    <phoneticPr fontId="1" type="noConversion"/>
  </si>
  <si>
    <t>这个表引用很多，不要随便移动位置</t>
    <phoneticPr fontId="1" type="noConversion"/>
  </si>
  <si>
    <t>1钻石对应金豆</t>
    <phoneticPr fontId="1" type="noConversion"/>
  </si>
  <si>
    <t>1钻石对应红包</t>
    <phoneticPr fontId="1" type="noConversion"/>
  </si>
  <si>
    <t>雷复轰</t>
  </si>
  <si>
    <t>BOSS副本</t>
    <phoneticPr fontId="1" type="noConversion"/>
  </si>
  <si>
    <t>竞技场</t>
    <phoneticPr fontId="1" type="noConversion"/>
  </si>
  <si>
    <t>公会商店</t>
    <phoneticPr fontId="1" type="noConversion"/>
  </si>
  <si>
    <t>关卡奖励</t>
    <phoneticPr fontId="1" type="noConversion"/>
  </si>
  <si>
    <t>VIP礼包</t>
    <phoneticPr fontId="1" type="noConversion"/>
  </si>
  <si>
    <t>首充礼包</t>
    <phoneticPr fontId="1" type="noConversion"/>
  </si>
  <si>
    <t>累充礼包</t>
    <phoneticPr fontId="1" type="noConversion"/>
  </si>
  <si>
    <t>月签到</t>
    <phoneticPr fontId="1" type="noConversion"/>
  </si>
  <si>
    <t>唯一</t>
    <phoneticPr fontId="1" type="noConversion"/>
  </si>
  <si>
    <t>1红包对应钻石</t>
    <phoneticPr fontId="1" type="noConversion"/>
  </si>
  <si>
    <t>1钻石对应帮贡</t>
    <phoneticPr fontId="1" type="noConversion"/>
  </si>
  <si>
    <t>物品</t>
    <phoneticPr fontId="1" type="noConversion"/>
  </si>
  <si>
    <t>初级升星石</t>
    <phoneticPr fontId="1" type="noConversion"/>
  </si>
  <si>
    <t>中级升星石</t>
    <phoneticPr fontId="1" type="noConversion"/>
  </si>
  <si>
    <t>高级升星石</t>
    <phoneticPr fontId="1" type="noConversion"/>
  </si>
  <si>
    <t>部位材料</t>
    <phoneticPr fontId="1" type="noConversion"/>
  </si>
  <si>
    <t>竞技场价值</t>
    <phoneticPr fontId="1" type="noConversion"/>
  </si>
  <si>
    <t>1钻石对应竞技币</t>
    <phoneticPr fontId="1" type="noConversion"/>
  </si>
  <si>
    <t>公会商店</t>
    <phoneticPr fontId="1" type="noConversion"/>
  </si>
  <si>
    <t>升级经验</t>
    <phoneticPr fontId="1" type="noConversion"/>
  </si>
  <si>
    <t>总经验</t>
    <phoneticPr fontId="1" type="noConversion"/>
  </si>
  <si>
    <t>每天体力经验</t>
    <phoneticPr fontId="1" type="noConversion"/>
  </si>
  <si>
    <t>任务经验</t>
    <phoneticPr fontId="1" type="noConversion"/>
  </si>
  <si>
    <t>任务ID</t>
    <phoneticPr fontId="1" type="noConversion"/>
  </si>
  <si>
    <t>参考等级</t>
    <phoneticPr fontId="1" type="noConversion"/>
  </si>
  <si>
    <t>经验</t>
    <phoneticPr fontId="1" type="noConversion"/>
  </si>
  <si>
    <t>日常任务经验</t>
    <phoneticPr fontId="1" type="noConversion"/>
  </si>
  <si>
    <t>每天总经验</t>
    <phoneticPr fontId="1" type="noConversion"/>
  </si>
  <si>
    <t>非R升级时间</t>
    <phoneticPr fontId="1" type="noConversion"/>
  </si>
  <si>
    <t>非R总升级时间</t>
    <phoneticPr fontId="1" type="noConversion"/>
  </si>
  <si>
    <t>小R升级时间</t>
    <phoneticPr fontId="1" type="noConversion"/>
  </si>
  <si>
    <t>小R总升级时间</t>
    <phoneticPr fontId="1" type="noConversion"/>
  </si>
  <si>
    <t>中R升级时间</t>
    <phoneticPr fontId="1" type="noConversion"/>
  </si>
  <si>
    <t>中R总升级时间</t>
    <phoneticPr fontId="1" type="noConversion"/>
  </si>
  <si>
    <t>大R升级时间</t>
    <phoneticPr fontId="1" type="noConversion"/>
  </si>
  <si>
    <t>大R总升级时间</t>
    <phoneticPr fontId="1" type="noConversion"/>
  </si>
  <si>
    <t>标准升级时间</t>
    <phoneticPr fontId="1" type="noConversion"/>
  </si>
  <si>
    <t>标准总升级时间</t>
    <phoneticPr fontId="1" type="noConversion"/>
  </si>
  <si>
    <t>初级设计停留时间</t>
    <phoneticPr fontId="1" type="noConversion"/>
  </si>
  <si>
    <t>初级设计总升级天数</t>
    <phoneticPr fontId="1" type="noConversion"/>
  </si>
  <si>
    <t>追债</t>
    <phoneticPr fontId="1" type="noConversion"/>
  </si>
  <si>
    <t>马仔碎片(制服太妹)</t>
  </si>
  <si>
    <t>亚诺</t>
    <phoneticPr fontId="1" type="noConversion"/>
  </si>
  <si>
    <t>毒蝎耳钉</t>
    <phoneticPr fontId="1" type="noConversion"/>
  </si>
  <si>
    <t>诅咒项链</t>
    <phoneticPr fontId="1" type="noConversion"/>
  </si>
  <si>
    <t>幸运戒指</t>
    <phoneticPr fontId="1" type="noConversion"/>
  </si>
  <si>
    <t>银色手环</t>
    <phoneticPr fontId="1" type="noConversion"/>
  </si>
  <si>
    <t>镀金耳钉</t>
    <phoneticPr fontId="1" type="noConversion"/>
  </si>
  <si>
    <t>水晶项链</t>
    <phoneticPr fontId="1" type="noConversion"/>
  </si>
  <si>
    <t>白银戒指</t>
    <phoneticPr fontId="1" type="noConversion"/>
  </si>
  <si>
    <t>银针手表</t>
    <phoneticPr fontId="1" type="noConversion"/>
  </si>
  <si>
    <t>水晶耳钉</t>
    <phoneticPr fontId="1" type="noConversion"/>
  </si>
  <si>
    <t>越野手表</t>
    <phoneticPr fontId="1" type="noConversion"/>
  </si>
  <si>
    <t>鎏金手环</t>
    <phoneticPr fontId="1" type="noConversion"/>
  </si>
  <si>
    <t>银饰耳钉</t>
    <phoneticPr fontId="1" type="noConversion"/>
  </si>
  <si>
    <t>金饰项链</t>
    <phoneticPr fontId="1" type="noConversion"/>
  </si>
  <si>
    <t>黄金戒指</t>
    <phoneticPr fontId="1" type="noConversion"/>
  </si>
  <si>
    <t>白金手环</t>
    <phoneticPr fontId="1" type="noConversion"/>
  </si>
  <si>
    <t>金针手表</t>
    <phoneticPr fontId="1" type="noConversion"/>
  </si>
  <si>
    <t>青玉项链</t>
    <phoneticPr fontId="1" type="noConversion"/>
  </si>
  <si>
    <t>猫妖项链</t>
    <phoneticPr fontId="1" type="noConversion"/>
  </si>
  <si>
    <t>苍蓝戒指</t>
    <phoneticPr fontId="1" type="noConversion"/>
  </si>
  <si>
    <t>红石项链</t>
    <phoneticPr fontId="1" type="noConversion"/>
  </si>
  <si>
    <t>精准手表</t>
    <phoneticPr fontId="1" type="noConversion"/>
  </si>
  <si>
    <t>苍蓝项链</t>
    <phoneticPr fontId="1" type="noConversion"/>
  </si>
  <si>
    <t>贵族项链</t>
    <phoneticPr fontId="1" type="noConversion"/>
  </si>
  <si>
    <t>王者手环</t>
    <phoneticPr fontId="1" type="noConversion"/>
  </si>
  <si>
    <t>小迭钞票</t>
    <phoneticPr fontId="1" type="noConversion"/>
  </si>
  <si>
    <t>金块</t>
    <phoneticPr fontId="1" type="noConversion"/>
  </si>
  <si>
    <t>大迭钞票</t>
    <phoneticPr fontId="1" type="noConversion"/>
  </si>
  <si>
    <t>汉密手表</t>
    <phoneticPr fontId="1" type="noConversion"/>
  </si>
  <si>
    <t>深蓝</t>
    <phoneticPr fontId="1" type="noConversion"/>
  </si>
  <si>
    <t>星光红石</t>
    <phoneticPr fontId="1" type="noConversion"/>
  </si>
  <si>
    <t>符文手环</t>
    <phoneticPr fontId="1" type="noConversion"/>
  </si>
  <si>
    <t>赤金戒指</t>
    <phoneticPr fontId="1" type="noConversion"/>
  </si>
  <si>
    <t>法拉捷</t>
    <phoneticPr fontId="1" type="noConversion"/>
  </si>
  <si>
    <t>圣徒项链</t>
    <phoneticPr fontId="1" type="noConversion"/>
  </si>
  <si>
    <t>小堆金块</t>
    <phoneticPr fontId="1" type="noConversion"/>
  </si>
  <si>
    <t>红石耳钉</t>
    <phoneticPr fontId="1" type="noConversion"/>
  </si>
  <si>
    <t>金饰宝盒</t>
    <phoneticPr fontId="1" type="noConversion"/>
  </si>
  <si>
    <t>千国手表</t>
    <phoneticPr fontId="1" type="noConversion"/>
  </si>
  <si>
    <t>冬利</t>
    <phoneticPr fontId="1" type="noConversion"/>
  </si>
  <si>
    <t>大金块</t>
    <phoneticPr fontId="1" type="noConversion"/>
  </si>
  <si>
    <t>菠萝</t>
    <phoneticPr fontId="1" type="noConversion"/>
  </si>
  <si>
    <t>大堆钞票</t>
    <phoneticPr fontId="1" type="noConversion"/>
  </si>
  <si>
    <t>宾倪</t>
    <phoneticPr fontId="1" type="noConversion"/>
  </si>
  <si>
    <t>智能手表</t>
    <phoneticPr fontId="1" type="noConversion"/>
  </si>
  <si>
    <t>宝驼</t>
    <phoneticPr fontId="1" type="noConversion"/>
  </si>
  <si>
    <t>黑耀项链</t>
    <phoneticPr fontId="1" type="noConversion"/>
  </si>
  <si>
    <t>珍珠宝盒</t>
    <phoneticPr fontId="1" type="noConversion"/>
  </si>
  <si>
    <t>宝石手环</t>
    <phoneticPr fontId="1" type="noConversion"/>
  </si>
  <si>
    <t>红博机利</t>
    <phoneticPr fontId="1" type="noConversion"/>
  </si>
  <si>
    <t>皇家项链</t>
    <phoneticPr fontId="1" type="noConversion"/>
  </si>
  <si>
    <t>壕利手表</t>
    <phoneticPr fontId="1" type="noConversion"/>
  </si>
  <si>
    <t>大堆金块</t>
    <phoneticPr fontId="1" type="noConversion"/>
  </si>
  <si>
    <t>劳莱斯特</t>
    <phoneticPr fontId="1" type="noConversion"/>
  </si>
  <si>
    <t>翠绿之心</t>
    <phoneticPr fontId="1" type="noConversion"/>
  </si>
  <si>
    <t>巨额钞票</t>
    <phoneticPr fontId="1" type="noConversion"/>
  </si>
  <si>
    <t>古董宝盒</t>
    <phoneticPr fontId="1" type="noConversion"/>
  </si>
  <si>
    <t>海洋之泪</t>
    <phoneticPr fontId="1" type="noConversion"/>
  </si>
  <si>
    <t>巨量金块</t>
    <phoneticPr fontId="1" type="noConversion"/>
  </si>
  <si>
    <t>水晶宝盒</t>
    <phoneticPr fontId="1" type="noConversion"/>
  </si>
  <si>
    <t>房产证</t>
    <phoneticPr fontId="1" type="noConversion"/>
  </si>
  <si>
    <t>一次方参数</t>
    <phoneticPr fontId="1" type="noConversion"/>
  </si>
  <si>
    <t>二次方参数</t>
    <phoneticPr fontId="1" type="noConversion"/>
  </si>
  <si>
    <t>三次方参数</t>
    <phoneticPr fontId="1" type="noConversion"/>
  </si>
  <si>
    <t>固定参数</t>
    <phoneticPr fontId="1" type="noConversion"/>
  </si>
  <si>
    <t>调整系数</t>
    <phoneticPr fontId="1" type="noConversion"/>
  </si>
  <si>
    <t>四次方参数</t>
    <phoneticPr fontId="1" type="noConversion"/>
  </si>
  <si>
    <t>升级天数</t>
    <phoneticPr fontId="1" type="noConversion"/>
  </si>
  <si>
    <t>总天数</t>
    <phoneticPr fontId="1" type="noConversion"/>
  </si>
  <si>
    <t>升级经验</t>
    <phoneticPr fontId="1" type="noConversion"/>
  </si>
  <si>
    <t>总经验</t>
    <phoneticPr fontId="1" type="noConversion"/>
  </si>
  <si>
    <t>生产率系数</t>
    <phoneticPr fontId="1" type="noConversion"/>
  </si>
  <si>
    <t>金币生产率</t>
    <phoneticPr fontId="1" type="noConversion"/>
  </si>
  <si>
    <t>钻石生产率</t>
    <phoneticPr fontId="1" type="noConversion"/>
  </si>
  <si>
    <t>经验生产率</t>
    <phoneticPr fontId="1" type="noConversion"/>
  </si>
  <si>
    <t>每天生产率</t>
    <phoneticPr fontId="1" type="noConversion"/>
  </si>
  <si>
    <t>等级</t>
    <phoneticPr fontId="1" type="noConversion"/>
  </si>
  <si>
    <t>金币生产率（每天）</t>
    <phoneticPr fontId="1" type="noConversion"/>
  </si>
  <si>
    <t>等级收益</t>
    <phoneticPr fontId="1" type="noConversion"/>
  </si>
  <si>
    <t>金币总量</t>
    <phoneticPr fontId="1" type="noConversion"/>
  </si>
  <si>
    <t>平均金币产能</t>
    <phoneticPr fontId="1" type="noConversion"/>
  </si>
  <si>
    <t>总生命</t>
    <phoneticPr fontId="1" type="noConversion"/>
  </si>
  <si>
    <t>总攻击</t>
    <phoneticPr fontId="1" type="noConversion"/>
  </si>
  <si>
    <t>总防御</t>
    <phoneticPr fontId="1" type="noConversion"/>
  </si>
  <si>
    <t>战斗力</t>
    <phoneticPr fontId="1" type="noConversion"/>
  </si>
  <si>
    <t>战斗力差值</t>
    <phoneticPr fontId="1" type="noConversion"/>
  </si>
  <si>
    <t>普通任务</t>
    <phoneticPr fontId="1" type="noConversion"/>
  </si>
  <si>
    <t>体力</t>
    <phoneticPr fontId="1" type="noConversion"/>
  </si>
  <si>
    <t>日常</t>
    <phoneticPr fontId="1" type="noConversion"/>
  </si>
  <si>
    <t>精英</t>
    <phoneticPr fontId="1" type="noConversion"/>
  </si>
  <si>
    <t>大R购买</t>
    <phoneticPr fontId="1" type="noConversion"/>
  </si>
  <si>
    <t>第一天</t>
    <phoneticPr fontId="1" type="noConversion"/>
  </si>
  <si>
    <t>普通本任务</t>
    <phoneticPr fontId="1" type="noConversion"/>
  </si>
  <si>
    <t>精英本任务</t>
    <phoneticPr fontId="1" type="noConversion"/>
  </si>
  <si>
    <t>体力</t>
    <phoneticPr fontId="1" type="noConversion"/>
  </si>
  <si>
    <t>固定值</t>
    <phoneticPr fontId="1" type="noConversion"/>
  </si>
  <si>
    <t>一次方系数</t>
    <phoneticPr fontId="1" type="noConversion"/>
  </si>
  <si>
    <t>二次方系数</t>
    <phoneticPr fontId="1" type="noConversion"/>
  </si>
  <si>
    <t>调整系数</t>
    <phoneticPr fontId="1" type="noConversion"/>
  </si>
  <si>
    <t>每点战斗力对应金币</t>
    <phoneticPr fontId="1" type="noConversion"/>
  </si>
  <si>
    <t>战斗力对应金币</t>
    <phoneticPr fontId="1" type="noConversion"/>
  </si>
  <si>
    <t>等级</t>
    <phoneticPr fontId="1" type="noConversion"/>
  </si>
  <si>
    <t>蓝色装备属性</t>
    <phoneticPr fontId="1" type="noConversion"/>
  </si>
  <si>
    <t>紫色装备属性</t>
    <phoneticPr fontId="1" type="noConversion"/>
  </si>
  <si>
    <t>蓝装强化金币</t>
    <phoneticPr fontId="1" type="noConversion"/>
  </si>
  <si>
    <t>紫装强化金币</t>
    <phoneticPr fontId="1" type="noConversion"/>
  </si>
  <si>
    <t>蓝装强化战力</t>
    <phoneticPr fontId="1" type="noConversion"/>
  </si>
  <si>
    <t>紫装强化战力</t>
    <phoneticPr fontId="1" type="noConversion"/>
  </si>
  <si>
    <t>技能战力</t>
    <phoneticPr fontId="1" type="noConversion"/>
  </si>
  <si>
    <t>技能金币</t>
    <phoneticPr fontId="1" type="noConversion"/>
  </si>
  <si>
    <t>蓝装升星战力</t>
    <phoneticPr fontId="1" type="noConversion"/>
  </si>
  <si>
    <t>蓝色装备升星属性</t>
    <phoneticPr fontId="1" type="noConversion"/>
  </si>
  <si>
    <t>升星金币</t>
    <phoneticPr fontId="1" type="noConversion"/>
  </si>
  <si>
    <t>升级时间</t>
    <phoneticPr fontId="1" type="noConversion"/>
  </si>
  <si>
    <t>每日产出</t>
    <phoneticPr fontId="1" type="noConversion"/>
  </si>
  <si>
    <t>参考每日消耗</t>
    <phoneticPr fontId="1" type="noConversion"/>
  </si>
  <si>
    <t>日常任务</t>
    <phoneticPr fontId="1" type="noConversion"/>
  </si>
  <si>
    <t>每级总金币</t>
    <phoneticPr fontId="1" type="noConversion"/>
  </si>
  <si>
    <t>任务金币</t>
    <phoneticPr fontId="1" type="noConversion"/>
  </si>
  <si>
    <t>普通任务</t>
    <phoneticPr fontId="1" type="noConversion"/>
  </si>
  <si>
    <t>金币</t>
    <phoneticPr fontId="1" type="noConversion"/>
  </si>
  <si>
    <t>副本ID</t>
    <phoneticPr fontId="1" type="noConversion"/>
  </si>
  <si>
    <t>成就金币</t>
    <phoneticPr fontId="1" type="noConversion"/>
  </si>
  <si>
    <t>副本成就</t>
    <phoneticPr fontId="1" type="noConversion"/>
  </si>
  <si>
    <t>体力金币</t>
    <phoneticPr fontId="1" type="noConversion"/>
  </si>
  <si>
    <t>其他</t>
    <phoneticPr fontId="1" type="noConversion"/>
  </si>
  <si>
    <t>副本</t>
    <phoneticPr fontId="1" type="noConversion"/>
  </si>
  <si>
    <t>远征产出</t>
    <phoneticPr fontId="1" type="noConversion"/>
  </si>
  <si>
    <t>金币副本产出</t>
    <phoneticPr fontId="1" type="noConversion"/>
  </si>
  <si>
    <t>1钻石对应体力</t>
    <phoneticPr fontId="1" type="noConversion"/>
  </si>
  <si>
    <t>1体力对应经验</t>
    <phoneticPr fontId="1" type="noConversion"/>
  </si>
  <si>
    <t>普通副本</t>
    <phoneticPr fontId="1" type="noConversion"/>
  </si>
  <si>
    <t>副本1体力对应经验</t>
    <phoneticPr fontId="1" type="noConversion"/>
  </si>
  <si>
    <t>等级</t>
    <phoneticPr fontId="1" type="noConversion"/>
  </si>
  <si>
    <t>白金手环碎片</t>
  </si>
  <si>
    <t>银饰耳钉碎片</t>
  </si>
  <si>
    <t>白银戒指碎片</t>
  </si>
  <si>
    <t>水晶项链碎片</t>
  </si>
  <si>
    <t>越野手表碎片</t>
  </si>
  <si>
    <t>黄金戒指碎片</t>
  </si>
  <si>
    <t>摩拉碎片</t>
  </si>
  <si>
    <t>青玉项链碎片</t>
  </si>
  <si>
    <t>水晶耳钉碎片</t>
  </si>
  <si>
    <t>金针手表碎片</t>
  </si>
  <si>
    <t>毒蝎耳钉碎片</t>
  </si>
  <si>
    <t>猫妖项链碎片</t>
  </si>
  <si>
    <t>苍蓝戒指碎片</t>
  </si>
  <si>
    <t>紫色装备礼包</t>
  </si>
  <si>
    <t>鎏金之剑</t>
  </si>
  <si>
    <t>鎏金之枪</t>
  </si>
  <si>
    <t>鎏金长裤</t>
  </si>
  <si>
    <t>鎏金腰带</t>
  </si>
  <si>
    <t>平均</t>
    <phoneticPr fontId="1" type="noConversion"/>
  </si>
  <si>
    <t>马仔追债</t>
    <phoneticPr fontId="1" type="noConversion"/>
  </si>
  <si>
    <t>紫</t>
    <phoneticPr fontId="1" type="noConversion"/>
  </si>
  <si>
    <t>红</t>
    <phoneticPr fontId="1" type="noConversion"/>
  </si>
  <si>
    <t>药水</t>
    <phoneticPr fontId="1" type="noConversion"/>
  </si>
  <si>
    <t>合剂</t>
    <phoneticPr fontId="1" type="noConversion"/>
  </si>
  <si>
    <t>甘露</t>
    <phoneticPr fontId="1" type="noConversion"/>
  </si>
  <si>
    <t>总</t>
    <phoneticPr fontId="1" type="noConversion"/>
  </si>
  <si>
    <t>经验副本</t>
    <phoneticPr fontId="1" type="noConversion"/>
  </si>
  <si>
    <t>马仔药水</t>
    <phoneticPr fontId="1" type="noConversion"/>
  </si>
  <si>
    <t>马仔合剂</t>
    <phoneticPr fontId="1" type="noConversion"/>
  </si>
  <si>
    <t>马仔甘露</t>
    <phoneticPr fontId="1" type="noConversion"/>
  </si>
  <si>
    <t>经验</t>
    <phoneticPr fontId="1" type="noConversion"/>
  </si>
  <si>
    <t>钻石价值</t>
    <phoneticPr fontId="1" type="noConversion"/>
  </si>
  <si>
    <t>新手之枪</t>
  </si>
  <si>
    <t>染血之拳</t>
  </si>
  <si>
    <t>染血战衣</t>
  </si>
  <si>
    <t>染血长靴</t>
  </si>
  <si>
    <t>染血项链</t>
  </si>
  <si>
    <t>狂气之拳</t>
  </si>
  <si>
    <t>狂气战衣</t>
  </si>
  <si>
    <t>狂气长靴</t>
  </si>
  <si>
    <t>狂气项链</t>
  </si>
  <si>
    <t>野性之拳</t>
  </si>
  <si>
    <t>野性战衣</t>
  </si>
  <si>
    <t>野性长靴</t>
  </si>
  <si>
    <t>野性项链</t>
  </si>
  <si>
    <t>紫云之拳</t>
  </si>
  <si>
    <t>紫云战衣</t>
  </si>
  <si>
    <t>紫云长靴</t>
  </si>
  <si>
    <t>紫云项链</t>
  </si>
  <si>
    <t>鎏金之拳</t>
  </si>
  <si>
    <t>鎏金战衣</t>
  </si>
  <si>
    <t>鎏金长靴</t>
  </si>
  <si>
    <t>鎏金项链</t>
  </si>
  <si>
    <t>虹光之剑</t>
  </si>
  <si>
    <t>虹光之拳</t>
  </si>
  <si>
    <t>虹光之枪</t>
  </si>
  <si>
    <t>虹光战衣</t>
  </si>
  <si>
    <t>虹光长裤</t>
  </si>
  <si>
    <t>虹光长靴</t>
  </si>
  <si>
    <t>虹光腰带</t>
  </si>
  <si>
    <t>虹光项链</t>
  </si>
  <si>
    <t>碧蓝之拳</t>
  </si>
  <si>
    <t>碧蓝战衣</t>
  </si>
  <si>
    <t>碧蓝长靴</t>
  </si>
  <si>
    <t>碧蓝项链</t>
  </si>
  <si>
    <t>流光之拳</t>
  </si>
  <si>
    <t>黑鸦战衣</t>
  </si>
  <si>
    <t>黑鸦长靴</t>
  </si>
  <si>
    <t>黑鸦项链</t>
  </si>
  <si>
    <t>爵士之拳</t>
  </si>
  <si>
    <t>爵士战衣</t>
  </si>
  <si>
    <t>爵士长靴</t>
  </si>
  <si>
    <t>爵士项链</t>
  </si>
  <si>
    <t>暴血之拳</t>
  </si>
  <si>
    <t>暴血战衣</t>
  </si>
  <si>
    <t>暴血长靴</t>
  </si>
  <si>
    <t>暴血项链</t>
  </si>
  <si>
    <t>勇气之拳</t>
  </si>
  <si>
    <t>勇气战衣</t>
  </si>
  <si>
    <t>勇气长靴</t>
  </si>
  <si>
    <t>勇气项链</t>
  </si>
  <si>
    <t>暗羽之拳</t>
  </si>
  <si>
    <t>暗羽战衣</t>
  </si>
  <si>
    <t>暗羽长靴</t>
  </si>
  <si>
    <t>暗羽项链</t>
  </si>
  <si>
    <t>玄武之拳</t>
  </si>
  <si>
    <t>玄武战衣</t>
  </si>
  <si>
    <t>玄武长靴</t>
  </si>
  <si>
    <t>玄武项链</t>
  </si>
  <si>
    <t>暗魔之拳</t>
  </si>
  <si>
    <t>暗魔战衣</t>
  </si>
  <si>
    <t>暗魔长靴</t>
  </si>
  <si>
    <t>暗魔项链</t>
  </si>
  <si>
    <t>战爵之拳</t>
  </si>
  <si>
    <t>战爵之衣</t>
  </si>
  <si>
    <t>战爵长靴</t>
  </si>
  <si>
    <t>战爵项链</t>
  </si>
  <si>
    <t>嗜血拳</t>
  </si>
  <si>
    <t>嗜血战衣</t>
  </si>
  <si>
    <t>嗜血长靴</t>
  </si>
  <si>
    <t>嗜血项链</t>
  </si>
  <si>
    <t>霸道之拳</t>
  </si>
  <si>
    <t>霸道战衣</t>
  </si>
  <si>
    <t>霸道长靴</t>
  </si>
  <si>
    <t>霸道项链</t>
  </si>
  <si>
    <t>白虎之拳</t>
  </si>
  <si>
    <t>白虎战衣</t>
  </si>
  <si>
    <t>白虎长靴</t>
  </si>
  <si>
    <t>白虎项链</t>
  </si>
  <si>
    <t>堕落之拳</t>
  </si>
  <si>
    <t>堕落战衣</t>
  </si>
  <si>
    <t>堕落长靴</t>
  </si>
  <si>
    <t>堕落项链</t>
  </si>
  <si>
    <t>幻痛之拳</t>
  </si>
  <si>
    <t>幻痛战衣</t>
  </si>
  <si>
    <t>幻痛长靴</t>
  </si>
  <si>
    <t>幻痛项链</t>
  </si>
  <si>
    <t>焚天之拳</t>
  </si>
  <si>
    <t>焚天战衣</t>
  </si>
  <si>
    <t>焚天长靴</t>
  </si>
  <si>
    <t>焚天项链</t>
  </si>
  <si>
    <t>朱雀之拳</t>
  </si>
  <si>
    <t>朱雀战衣</t>
  </si>
  <si>
    <t>朱雀长靴</t>
  </si>
  <si>
    <t>朱雀项链</t>
  </si>
  <si>
    <t>高洁之拳</t>
  </si>
  <si>
    <t>高洁战衣</t>
  </si>
  <si>
    <t>高洁长靴</t>
  </si>
  <si>
    <t>高洁项链</t>
  </si>
  <si>
    <t>星宿之拳</t>
  </si>
  <si>
    <t>星宿战衣</t>
  </si>
  <si>
    <t>星宿长靴</t>
  </si>
  <si>
    <t>星宿项链</t>
  </si>
  <si>
    <t>炼狱之拳</t>
  </si>
  <si>
    <t>炼狱战衣</t>
  </si>
  <si>
    <t>炼狱长靴</t>
  </si>
  <si>
    <t>炼狱项链</t>
  </si>
  <si>
    <t>青龙霸刀</t>
  </si>
  <si>
    <t>青龙之枪</t>
  </si>
  <si>
    <t>青龙长裤</t>
  </si>
  <si>
    <t>青龙腰带</t>
  </si>
  <si>
    <t>青龙项链</t>
  </si>
  <si>
    <t>其他</t>
    <phoneticPr fontId="1" type="noConversion"/>
  </si>
  <si>
    <t>升级时间</t>
    <phoneticPr fontId="1" type="noConversion"/>
  </si>
  <si>
    <t>参考时间</t>
    <phoneticPr fontId="1" type="noConversion"/>
  </si>
  <si>
    <t>生产力曲线</t>
    <phoneticPr fontId="1" type="noConversion"/>
  </si>
  <si>
    <t>橙色装备礼包</t>
  </si>
  <si>
    <t>限时碎片(陈浩南)</t>
  </si>
  <si>
    <t>限时碎片(山鸡)</t>
  </si>
  <si>
    <t>限时碎片(大天二)</t>
  </si>
  <si>
    <t>堂口贡献</t>
  </si>
  <si>
    <t>马仔宝物礼包</t>
  </si>
  <si>
    <t>马仔宝物碎片礼包</t>
  </si>
  <si>
    <t>金币价格</t>
  </si>
  <si>
    <t>钻石价格</t>
  </si>
  <si>
    <t>红色装备礼包</t>
  </si>
  <si>
    <t>命格福袋</t>
  </si>
  <si>
    <t>马仔碎片福袋</t>
  </si>
  <si>
    <t>装备升星石福袋</t>
  </si>
  <si>
    <t>马仔追债宝箱</t>
  </si>
  <si>
    <t>部位材料宝箱</t>
  </si>
  <si>
    <t>马仔经验圣水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</si>
</sst>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 * #,##0.00_ ;_ * \-#,##0.00_ ;_ * &quot;-&quot;??_ ;_ @_ "/>
    <numFmt numFmtId="176" formatCode="#,##0_ "/>
    <numFmt numFmtId="177" formatCode="#,##0.0000_ "/>
    <numFmt numFmtId="178" formatCode="#,##0_);\(#,##0\)"/>
    <numFmt numFmtId="179" formatCode="#,##0.00_ "/>
    <numFmt numFmtId="180" formatCode="#,##0_);[Red]\(#,##0\)"/>
    <numFmt numFmtId="181" formatCode="0_ "/>
    <numFmt numFmtId="182" formatCode="0_);[Red]\(0\)"/>
    <numFmt numFmtId="183" formatCode="0.00_);[Red]\(0.00\)"/>
    <numFmt numFmtId="184" formatCode="0.0"/>
    <numFmt numFmtId="185" formatCode="_ * #,##0_ ;_ * \-#,##0_ ;_ * &quot;-&quot;??_ ;_ @_ "/>
  </numFmts>
  <fonts count="1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theme="0" tint="-0.34998626667073579"/>
      <name val="宋体"/>
      <family val="2"/>
      <scheme val="minor"/>
    </font>
    <font>
      <sz val="11"/>
      <color theme="0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0" tint="-0.249977111117893"/>
      <name val="宋体"/>
      <family val="2"/>
      <scheme val="minor"/>
    </font>
    <font>
      <sz val="11"/>
      <color theme="0" tint="-0.249977111117893"/>
      <name val="宋体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">
    <xf numFmtId="0" fontId="0" fillId="0" borderId="0"/>
    <xf numFmtId="43" fontId="12" fillId="0" borderId="0" applyFont="0" applyFill="0" applyBorder="0" applyAlignment="0" applyProtection="0">
      <alignment vertical="center"/>
    </xf>
  </cellStyleXfs>
  <cellXfs count="175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176" fontId="0" fillId="0" borderId="1" xfId="0" applyNumberFormat="1" applyBorder="1"/>
    <xf numFmtId="0" fontId="0" fillId="0" borderId="2" xfId="0" applyBorder="1"/>
    <xf numFmtId="0" fontId="0" fillId="6" borderId="1" xfId="0" applyFill="1" applyBorder="1"/>
    <xf numFmtId="0" fontId="0" fillId="7" borderId="1" xfId="0" applyFill="1" applyBorder="1"/>
    <xf numFmtId="0" fontId="0" fillId="0" borderId="2" xfId="0" applyFill="1" applyBorder="1"/>
    <xf numFmtId="49" fontId="0" fillId="0" borderId="0" xfId="0" applyNumberFormat="1"/>
    <xf numFmtId="176" fontId="0" fillId="0" borderId="0" xfId="0" applyNumberFormat="1"/>
    <xf numFmtId="0" fontId="0" fillId="10" borderId="1" xfId="0" applyFill="1" applyBorder="1"/>
    <xf numFmtId="0" fontId="0" fillId="0" borderId="0" xfId="0" applyBorder="1"/>
    <xf numFmtId="0" fontId="0" fillId="7" borderId="0" xfId="0" applyFill="1" applyBorder="1"/>
    <xf numFmtId="0" fontId="0" fillId="11" borderId="1" xfId="0" applyFill="1" applyBorder="1"/>
    <xf numFmtId="0" fontId="0" fillId="12" borderId="1" xfId="0" applyFill="1" applyBorder="1"/>
    <xf numFmtId="0" fontId="5" fillId="0" borderId="1" xfId="0" applyFont="1" applyBorder="1"/>
    <xf numFmtId="0" fontId="0" fillId="9" borderId="1" xfId="0" applyFill="1" applyBorder="1"/>
    <xf numFmtId="0" fontId="0" fillId="0" borderId="4" xfId="0" applyBorder="1"/>
    <xf numFmtId="0" fontId="0" fillId="7" borderId="3" xfId="0" applyFill="1" applyBorder="1"/>
    <xf numFmtId="0" fontId="0" fillId="0" borderId="1" xfId="0" applyBorder="1" applyAlignment="1"/>
    <xf numFmtId="0" fontId="0" fillId="7" borderId="5" xfId="0" applyFill="1" applyBorder="1"/>
    <xf numFmtId="0" fontId="0" fillId="10" borderId="2" xfId="0" applyFill="1" applyBorder="1"/>
    <xf numFmtId="0" fontId="0" fillId="10" borderId="4" xfId="0" applyFill="1" applyBorder="1"/>
    <xf numFmtId="0" fontId="0" fillId="7" borderId="6" xfId="0" applyFill="1" applyBorder="1"/>
    <xf numFmtId="0" fontId="0" fillId="2" borderId="0" xfId="0" applyFill="1"/>
    <xf numFmtId="177" fontId="0" fillId="0" borderId="1" xfId="0" applyNumberFormat="1" applyBorder="1"/>
    <xf numFmtId="0" fontId="6" fillId="9" borderId="1" xfId="0" applyFont="1" applyFill="1" applyBorder="1"/>
    <xf numFmtId="0" fontId="0" fillId="0" borderId="6" xfId="0" applyBorder="1"/>
    <xf numFmtId="178" fontId="0" fillId="0" borderId="0" xfId="0" applyNumberFormat="1"/>
    <xf numFmtId="58" fontId="0" fillId="0" borderId="0" xfId="0" applyNumberFormat="1"/>
    <xf numFmtId="0" fontId="0" fillId="13" borderId="1" xfId="0" applyFill="1" applyBorder="1"/>
    <xf numFmtId="10" fontId="0" fillId="13" borderId="1" xfId="0" applyNumberFormat="1" applyFill="1" applyBorder="1"/>
    <xf numFmtId="176" fontId="0" fillId="13" borderId="1" xfId="0" applyNumberFormat="1" applyFill="1" applyBorder="1"/>
    <xf numFmtId="0" fontId="0" fillId="14" borderId="0" xfId="0" applyFill="1"/>
    <xf numFmtId="0" fontId="0" fillId="14" borderId="1" xfId="0" applyFill="1" applyBorder="1"/>
    <xf numFmtId="0" fontId="0" fillId="3" borderId="0" xfId="0" applyFill="1" applyBorder="1"/>
    <xf numFmtId="0" fontId="0" fillId="15" borderId="0" xfId="0" applyFill="1"/>
    <xf numFmtId="0" fontId="0" fillId="3" borderId="1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" borderId="0" xfId="0" applyFill="1" applyBorder="1"/>
    <xf numFmtId="10" fontId="0" fillId="0" borderId="1" xfId="0" applyNumberFormat="1" applyBorder="1"/>
    <xf numFmtId="0" fontId="0" fillId="0" borderId="6" xfId="0" applyFill="1" applyBorder="1"/>
    <xf numFmtId="0" fontId="0" fillId="16" borderId="1" xfId="0" applyFill="1" applyBorder="1"/>
    <xf numFmtId="176" fontId="0" fillId="16" borderId="1" xfId="0" applyNumberFormat="1" applyFill="1" applyBorder="1"/>
    <xf numFmtId="179" fontId="0" fillId="0" borderId="0" xfId="0" applyNumberFormat="1"/>
    <xf numFmtId="10" fontId="0" fillId="2" borderId="0" xfId="0" applyNumberFormat="1" applyFill="1"/>
    <xf numFmtId="0" fontId="0" fillId="0" borderId="3" xfId="0" applyBorder="1"/>
    <xf numFmtId="9" fontId="0" fillId="0" borderId="3" xfId="0" applyNumberFormat="1" applyBorder="1"/>
    <xf numFmtId="0" fontId="0" fillId="0" borderId="0" xfId="0" applyFill="1" applyBorder="1"/>
    <xf numFmtId="0" fontId="0" fillId="17" borderId="0" xfId="0" applyFill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16" borderId="0" xfId="0" applyNumberFormat="1" applyFill="1"/>
    <xf numFmtId="0" fontId="0" fillId="16" borderId="0" xfId="0" applyFill="1"/>
    <xf numFmtId="0" fontId="5" fillId="3" borderId="1" xfId="0" applyFont="1" applyFill="1" applyBorder="1"/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80" fontId="0" fillId="13" borderId="0" xfId="0" applyNumberFormat="1" applyFill="1"/>
    <xf numFmtId="180" fontId="0" fillId="13" borderId="0" xfId="0" applyNumberFormat="1" applyFill="1" applyBorder="1"/>
    <xf numFmtId="180" fontId="0" fillId="16" borderId="1" xfId="0" applyNumberFormat="1" applyFill="1" applyBorder="1"/>
    <xf numFmtId="9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0" xfId="0" applyFont="1"/>
    <xf numFmtId="0" fontId="8" fillId="2" borderId="0" xfId="0" applyFont="1" applyFill="1"/>
    <xf numFmtId="0" fontId="8" fillId="8" borderId="0" xfId="0" applyFont="1" applyFill="1"/>
    <xf numFmtId="0" fontId="8" fillId="18" borderId="0" xfId="0" applyFont="1" applyFill="1"/>
    <xf numFmtId="0" fontId="8" fillId="11" borderId="0" xfId="0" applyFont="1" applyFill="1"/>
    <xf numFmtId="0" fontId="8" fillId="9" borderId="0" xfId="0" applyFont="1" applyFill="1"/>
    <xf numFmtId="0" fontId="9" fillId="0" borderId="0" xfId="0" applyFont="1"/>
    <xf numFmtId="0" fontId="9" fillId="2" borderId="0" xfId="0" applyFont="1" applyFill="1"/>
    <xf numFmtId="0" fontId="9" fillId="18" borderId="0" xfId="0" applyFont="1" applyFill="1"/>
    <xf numFmtId="0" fontId="9" fillId="11" borderId="0" xfId="0" applyFont="1" applyFill="1"/>
    <xf numFmtId="0" fontId="9" fillId="9" borderId="0" xfId="0" applyFont="1" applyFill="1"/>
    <xf numFmtId="0" fontId="0" fillId="0" borderId="1" xfId="0" applyNumberFormat="1" applyBorder="1"/>
    <xf numFmtId="0" fontId="0" fillId="0" borderId="1" xfId="0" applyBorder="1" applyAlignment="1">
      <alignment horizontal="center"/>
    </xf>
    <xf numFmtId="0" fontId="10" fillId="0" borderId="0" xfId="0" applyFont="1"/>
    <xf numFmtId="0" fontId="0" fillId="0" borderId="1" xfId="0" applyBorder="1" applyAlignment="1">
      <alignment horizontal="center"/>
    </xf>
    <xf numFmtId="176" fontId="0" fillId="5" borderId="1" xfId="0" applyNumberFormat="1" applyFill="1" applyBorder="1"/>
    <xf numFmtId="0" fontId="0" fillId="13" borderId="0" xfId="0" applyFill="1"/>
    <xf numFmtId="181" fontId="0" fillId="0" borderId="1" xfId="0" applyNumberFormat="1" applyBorder="1"/>
    <xf numFmtId="182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0" xfId="0" applyFont="1"/>
    <xf numFmtId="0" fontId="0" fillId="0" borderId="16" xfId="0" applyBorder="1"/>
    <xf numFmtId="0" fontId="0" fillId="0" borderId="16" xfId="0" applyFill="1" applyBorder="1"/>
    <xf numFmtId="0" fontId="0" fillId="0" borderId="1" xfId="0" applyBorder="1" applyAlignment="1">
      <alignment horizontal="center"/>
    </xf>
    <xf numFmtId="0" fontId="0" fillId="8" borderId="1" xfId="0" applyFill="1" applyBorder="1"/>
    <xf numFmtId="0" fontId="0" fillId="18" borderId="1" xfId="0" applyFill="1" applyBorder="1"/>
    <xf numFmtId="0" fontId="0" fillId="0" borderId="0" xfId="0" applyNumberFormat="1"/>
    <xf numFmtId="0" fontId="0" fillId="0" borderId="0" xfId="0" applyAlignment="1">
      <alignment horizontal="center" vertical="center" wrapText="1"/>
    </xf>
    <xf numFmtId="183" fontId="0" fillId="0" borderId="0" xfId="0" applyNumberFormat="1" applyAlignment="1">
      <alignment horizontal="center" vertical="center" wrapText="1"/>
    </xf>
    <xf numFmtId="183" fontId="0" fillId="0" borderId="0" xfId="0" applyNumberFormat="1"/>
    <xf numFmtId="182" fontId="0" fillId="0" borderId="0" xfId="0" applyNumberFormat="1" applyAlignment="1">
      <alignment horizontal="center" vertical="center" wrapText="1"/>
    </xf>
    <xf numFmtId="182" fontId="0" fillId="0" borderId="0" xfId="0" applyNumberFormat="1"/>
    <xf numFmtId="1" fontId="0" fillId="0" borderId="0" xfId="0" applyNumberFormat="1" applyAlignment="1">
      <alignment horizontal="center" vertical="center" wrapText="1"/>
    </xf>
    <xf numFmtId="1" fontId="0" fillId="0" borderId="0" xfId="0" applyNumberFormat="1"/>
    <xf numFmtId="184" fontId="0" fillId="0" borderId="0" xfId="0" applyNumberFormat="1"/>
    <xf numFmtId="0" fontId="0" fillId="19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82" fontId="0" fillId="0" borderId="0" xfId="0" applyNumberFormat="1" applyFill="1"/>
    <xf numFmtId="183" fontId="0" fillId="0" borderId="0" xfId="0" applyNumberFormat="1" applyFill="1"/>
    <xf numFmtId="1" fontId="0" fillId="0" borderId="0" xfId="0" applyNumberFormat="1" applyFill="1"/>
    <xf numFmtId="184" fontId="0" fillId="0" borderId="0" xfId="0" applyNumberFormat="1" applyFill="1"/>
    <xf numFmtId="0" fontId="0" fillId="8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184" fontId="0" fillId="21" borderId="0" xfId="0" applyNumberFormat="1" applyFill="1"/>
    <xf numFmtId="0" fontId="0" fillId="21" borderId="0" xfId="0" applyFill="1"/>
    <xf numFmtId="0" fontId="9" fillId="0" borderId="0" xfId="0" applyFont="1" applyAlignment="1">
      <alignment horizontal="center" vertical="center" textRotation="255"/>
    </xf>
    <xf numFmtId="0" fontId="11" fillId="0" borderId="1" xfId="0" applyFont="1" applyBorder="1" applyProtection="1"/>
    <xf numFmtId="0" fontId="0" fillId="7" borderId="0" xfId="0" applyFill="1"/>
    <xf numFmtId="182" fontId="0" fillId="7" borderId="0" xfId="0" applyNumberFormat="1" applyFill="1"/>
    <xf numFmtId="183" fontId="0" fillId="7" borderId="0" xfId="0" applyNumberFormat="1" applyFill="1"/>
    <xf numFmtId="1" fontId="0" fillId="7" borderId="0" xfId="0" applyNumberFormat="1" applyFill="1"/>
    <xf numFmtId="184" fontId="0" fillId="7" borderId="0" xfId="0" applyNumberFormat="1" applyFill="1"/>
    <xf numFmtId="0" fontId="0" fillId="7" borderId="0" xfId="0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185" fontId="0" fillId="0" borderId="0" xfId="1" applyNumberFormat="1" applyFont="1" applyAlignment="1"/>
    <xf numFmtId="185" fontId="0" fillId="0" borderId="0" xfId="0" applyNumberFormat="1"/>
    <xf numFmtId="185" fontId="0" fillId="16" borderId="0" xfId="0" applyNumberFormat="1" applyFill="1"/>
    <xf numFmtId="0" fontId="13" fillId="0" borderId="16" xfId="0" applyFont="1" applyBorder="1"/>
    <xf numFmtId="0" fontId="14" fillId="0" borderId="16" xfId="0" applyFont="1" applyBorder="1"/>
    <xf numFmtId="0" fontId="6" fillId="2" borderId="0" xfId="0" applyFont="1" applyFill="1" applyBorder="1"/>
    <xf numFmtId="0" fontId="6" fillId="22" borderId="0" xfId="0" applyFont="1" applyFill="1" applyBorder="1"/>
    <xf numFmtId="0" fontId="6" fillId="8" borderId="0" xfId="0" applyFont="1" applyFill="1" applyBorder="1"/>
    <xf numFmtId="0" fontId="6" fillId="18" borderId="0" xfId="0" applyFont="1" applyFill="1" applyBorder="1"/>
    <xf numFmtId="0" fontId="6" fillId="24" borderId="0" xfId="0" applyFont="1" applyFill="1" applyBorder="1"/>
    <xf numFmtId="0" fontId="6" fillId="11" borderId="0" xfId="0" applyFont="1" applyFill="1" applyBorder="1"/>
    <xf numFmtId="0" fontId="6" fillId="9" borderId="0" xfId="0" applyFont="1" applyFill="1" applyBorder="1"/>
    <xf numFmtId="0" fontId="9" fillId="8" borderId="0" xfId="0" applyFont="1" applyFill="1"/>
    <xf numFmtId="0" fontId="6" fillId="25" borderId="0" xfId="0" applyFont="1" applyFill="1" applyBorder="1"/>
    <xf numFmtId="0" fontId="6" fillId="23" borderId="0" xfId="0" applyFont="1" applyFill="1" applyBorder="1"/>
    <xf numFmtId="0" fontId="6" fillId="26" borderId="0" xfId="0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185" fontId="0" fillId="16" borderId="1" xfId="1" applyNumberFormat="1" applyFont="1" applyFill="1" applyBorder="1" applyAlignment="1"/>
    <xf numFmtId="185" fontId="0" fillId="13" borderId="1" xfId="1" applyNumberFormat="1" applyFont="1" applyFill="1" applyBorder="1" applyAlignment="1"/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9" borderId="1" xfId="0" applyFill="1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5" xfId="0" applyBorder="1" applyAlignment="1">
      <alignment horizontal="center"/>
    </xf>
  </cellXfs>
  <cellStyles count="2">
    <cellStyle name="常规" xfId="0" builtinId="0"/>
    <cellStyle name="千位分隔" xfId="1" builtinId="3"/>
  </cellStyles>
  <dxfs count="6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externalLink" Target="externalLinks/externalLink11.xml"/><Relationship Id="rId40" Type="http://schemas.openxmlformats.org/officeDocument/2006/relationships/externalLink" Target="externalLinks/externalLink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externalLink" Target="externalLinks/externalLink1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yVal>
            <c:numRef>
              <c:f>'1、经济推算'!$R$3:$R$82</c:f>
              <c:numCache>
                <c:formatCode>General</c:formatCode>
                <c:ptCount val="80"/>
                <c:pt idx="0">
                  <c:v>100</c:v>
                </c:pt>
                <c:pt idx="79">
                  <c:v>250000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918192"/>
        <c:axId val="460918752"/>
      </c:scatterChart>
      <c:valAx>
        <c:axId val="46091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918752"/>
        <c:crosses val="autoZero"/>
        <c:crossBetween val="midCat"/>
      </c:valAx>
      <c:valAx>
        <c:axId val="46091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091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'1、经济推算'!$T$3:$T$82</c:f>
              <c:numCache>
                <c:formatCode>General</c:formatCode>
                <c:ptCount val="80"/>
                <c:pt idx="0">
                  <c:v>2.0018004583053545E-2</c:v>
                </c:pt>
                <c:pt idx="1">
                  <c:v>4.0165855944747517E-2</c:v>
                </c:pt>
                <c:pt idx="2">
                  <c:v>6.0677728893736169E-2</c:v>
                </c:pt>
                <c:pt idx="3">
                  <c:v>8.1921574943537967E-2</c:v>
                </c:pt>
                <c:pt idx="4">
                  <c:v>0.10441056640433248</c:v>
                </c:pt>
                <c:pt idx="5">
                  <c:v>0.12881454047475727</c:v>
                </c:pt>
                <c:pt idx="6">
                  <c:v>0.15597144333370477</c:v>
                </c:pt>
                <c:pt idx="7">
                  <c:v>0.18689877423211912</c:v>
                </c:pt>
                <c:pt idx="8">
                  <c:v>0.22280502958479304</c:v>
                </c:pt>
                <c:pt idx="9">
                  <c:v>0.26510114706216481</c:v>
                </c:pt>
                <c:pt idx="10">
                  <c:v>0.315411949682115</c:v>
                </c:pt>
                <c:pt idx="11">
                  <c:v>0.37558758990176339</c:v>
                </c:pt>
                <c:pt idx="12">
                  <c:v>0.44771499370926593</c:v>
                </c:pt>
                <c:pt idx="13">
                  <c:v>0.53412930471561149</c:v>
                </c:pt>
                <c:pt idx="14">
                  <c:v>0.63742532824641884</c:v>
                </c:pt>
                <c:pt idx="15">
                  <c:v>0.7604689754337336</c:v>
                </c:pt>
                <c:pt idx="16">
                  <c:v>0.90640870730782475</c:v>
                </c:pt>
                <c:pt idx="17">
                  <c:v>1.0786869788889819</c:v>
                </c:pt>
                <c:pt idx="18">
                  <c:v>1.281051683279312</c:v>
                </c:pt>
                <c:pt idx="19">
                  <c:v>1.517567595754536</c:v>
                </c:pt>
                <c:pt idx="20">
                  <c:v>1.7926278178557864</c:v>
                </c:pt>
                <c:pt idx="21">
                  <c:v>2.1109652214814032</c:v>
                </c:pt>
                <c:pt idx="22">
                  <c:v>2.477663892978732</c:v>
                </c:pt>
                <c:pt idx="23">
                  <c:v>2.898170577235919</c:v>
                </c:pt>
                <c:pt idx="24">
                  <c:v>3.37830612177371</c:v>
                </c:pt>
                <c:pt idx="25">
                  <c:v>3.9242769208372463</c:v>
                </c:pt>
                <c:pt idx="26">
                  <c:v>4.5426863594878606</c:v>
                </c:pt>
                <c:pt idx="27">
                  <c:v>5.2405462576948754</c:v>
                </c:pt>
                <c:pt idx="28">
                  <c:v>6.0252883144273994</c:v>
                </c:pt>
                <c:pt idx="29">
                  <c:v>6.9047755517461242</c:v>
                </c:pt>
                <c:pt idx="30">
                  <c:v>7.8873137588951217</c:v>
                </c:pt>
                <c:pt idx="31">
                  <c:v>8.98166293639364</c:v>
                </c:pt>
                <c:pt idx="32">
                  <c:v>10.197048740127901</c:v>
                </c:pt>
                <c:pt idx="33">
                  <c:v>11.543173925442895</c:v>
                </c:pt>
                <c:pt idx="34">
                  <c:v>13.030229791234184</c:v>
                </c:pt>
                <c:pt idx="35">
                  <c:v>14.66890762403969</c:v>
                </c:pt>
                <c:pt idx="36">
                  <c:v>16.470410142131499</c:v>
                </c:pt>
                <c:pt idx="37">
                  <c:v>18.446462939607656</c:v>
                </c:pt>
                <c:pt idx="38">
                  <c:v>20.609325930483955</c:v>
                </c:pt>
                <c:pt idx="39">
                  <c:v>22.971804792785747</c:v>
                </c:pt>
                <c:pt idx="40">
                  <c:v>25.547262412639732</c:v>
                </c:pt>
                <c:pt idx="41">
                  <c:v>28.349630328365752</c:v>
                </c:pt>
                <c:pt idx="42">
                  <c:v>31.39342017456859</c:v>
                </c:pt>
                <c:pt idx="43">
                  <c:v>34.693735126229775</c:v>
                </c:pt>
                <c:pt idx="44">
                  <c:v>38.266281342799367</c:v>
                </c:pt>
                <c:pt idx="45">
                  <c:v>42.127379412287759</c:v>
                </c:pt>
                <c:pt idx="46">
                  <c:v>46.293975795357483</c:v>
                </c:pt>
                <c:pt idx="47">
                  <c:v>50.783654269414981</c:v>
                </c:pt>
                <c:pt idx="48">
                  <c:v>55.614647372702429</c:v>
                </c:pt>
                <c:pt idx="49">
                  <c:v>60.805847848389526</c:v>
                </c:pt>
                <c:pt idx="50">
                  <c:v>66.376820088665283</c:v>
                </c:pt>
                <c:pt idx="51">
                  <c:v>72.34781157882982</c:v>
                </c:pt>
                <c:pt idx="52">
                  <c:v>78.739764341386177</c:v>
                </c:pt>
                <c:pt idx="53">
                  <c:v>85.574326380132106</c:v>
                </c:pt>
                <c:pt idx="54">
                  <c:v>92.873863124251855</c:v>
                </c:pt>
                <c:pt idx="55">
                  <c:v>100.66146887240798</c:v>
                </c:pt>
                <c:pt idx="56">
                  <c:v>108.96097823683311</c:v>
                </c:pt>
                <c:pt idx="57">
                  <c:v>117.79697758742182</c:v>
                </c:pt>
                <c:pt idx="58">
                  <c:v>127.19481649582234</c:v>
                </c:pt>
                <c:pt idx="59">
                  <c:v>137.18061917952838</c:v>
                </c:pt>
                <c:pt idx="60">
                  <c:v>147.78129594597098</c:v>
                </c:pt>
                <c:pt idx="61">
                  <c:v>159.02455463661022</c:v>
                </c:pt>
                <c:pt idx="62">
                  <c:v>170.93891207102709</c:v>
                </c:pt>
                <c:pt idx="63">
                  <c:v>183.55370549101522</c:v>
                </c:pt>
                <c:pt idx="64">
                  <c:v>196.89910400467278</c:v>
                </c:pt>
                <c:pt idx="65">
                  <c:v>211.00612003049412</c:v>
                </c:pt>
                <c:pt idx="66">
                  <c:v>225.90662074146172</c:v>
                </c:pt>
                <c:pt idx="67">
                  <c:v>241.63333950913793</c:v>
                </c:pt>
                <c:pt idx="68">
                  <c:v>258.2198873477567</c:v>
                </c:pt>
                <c:pt idx="69">
                  <c:v>275.7007643583155</c:v>
                </c:pt>
                <c:pt idx="70">
                  <c:v>294.11137117266708</c:v>
                </c:pt>
                <c:pt idx="71">
                  <c:v>313.48802039761114</c:v>
                </c:pt>
                <c:pt idx="72">
                  <c:v>333.86794805898626</c:v>
                </c:pt>
                <c:pt idx="73">
                  <c:v>355.28932504576176</c:v>
                </c:pt>
                <c:pt idx="74">
                  <c:v>377.79126855412926</c:v>
                </c:pt>
                <c:pt idx="75">
                  <c:v>401.41385353159478</c:v>
                </c:pt>
                <c:pt idx="76">
                  <c:v>426.19812412107024</c:v>
                </c:pt>
                <c:pt idx="77">
                  <c:v>452.18610510496541</c:v>
                </c:pt>
                <c:pt idx="78">
                  <c:v>479.42081334927974</c:v>
                </c:pt>
                <c:pt idx="79">
                  <c:v>507.94626924769409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'1、经济推算'!$J$3:$J$82</c:f>
              <c:numCache>
                <c:formatCode>General</c:formatCode>
                <c:ptCount val="80"/>
                <c:pt idx="0">
                  <c:v>1.8345984399899647E-2</c:v>
                </c:pt>
                <c:pt idx="1">
                  <c:v>3.8540493015981322E-2</c:v>
                </c:pt>
                <c:pt idx="2">
                  <c:v>6.0769781418037738E-2</c:v>
                </c:pt>
                <c:pt idx="3">
                  <c:v>8.5238872112737563E-2</c:v>
                </c:pt>
                <c:pt idx="4">
                  <c:v>0.11217344548261912</c:v>
                </c:pt>
                <c:pt idx="5">
                  <c:v>0.1418219212543271</c:v>
                </c:pt>
                <c:pt idx="6">
                  <c:v>0.17445774969364053</c:v>
                </c:pt>
                <c:pt idx="7">
                  <c:v>0.21038193365916727</c:v>
                </c:pt>
                <c:pt idx="8">
                  <c:v>0.24992580477580797</c:v>
                </c:pt>
                <c:pt idx="9">
                  <c:v>0.29345407933285994</c:v>
                </c:pt>
                <c:pt idx="10">
                  <c:v>0.34136822209155337</c:v>
                </c:pt>
                <c:pt idx="11">
                  <c:v>0.39411014902668667</c:v>
                </c:pt>
                <c:pt idx="12">
                  <c:v>0.45216630315304279</c:v>
                </c:pt>
                <c:pt idx="13">
                  <c:v>0.51607214102826071</c:v>
                </c:pt>
                <c:pt idx="14">
                  <c:v>0.58641707131153653</c:v>
                </c:pt>
                <c:pt idx="15">
                  <c:v>0.66384989092687696</c:v>
                </c:pt>
                <c:pt idx="16">
                  <c:v>0.74908476896907372</c:v>
                </c:pt>
                <c:pt idx="17">
                  <c:v>0.84290783354244314</c:v>
                </c:pt>
                <c:pt idx="18">
                  <c:v>0.94618442228327204</c:v>
                </c:pt>
                <c:pt idx="19">
                  <c:v>1.059867063438118</c:v>
                </c:pt>
                <c:pt idx="20">
                  <c:v>1.1850042611080895</c:v>
                </c:pt>
                <c:pt idx="21">
                  <c:v>1.3227501656861169</c:v>
                </c:pt>
                <c:pt idx="22">
                  <c:v>1.4743752186784302</c:v>
                </c:pt>
                <c:pt idx="23">
                  <c:v>1.6412778700882864</c:v>
                </c:pt>
                <c:pt idx="24">
                  <c:v>1.8249974764323131</c:v>
                </c:pt>
                <c:pt idx="25">
                  <c:v>2.0272284983489062</c:v>
                </c:pt>
                <c:pt idx="26">
                  <c:v>2.2498361287443611</c:v>
                </c:pt>
                <c:pt idx="27">
                  <c:v>2.4948734956163796</c:v>
                </c:pt>
                <c:pt idx="28">
                  <c:v>2.7646005982179718</c:v>
                </c:pt>
                <c:pt idx="29">
                  <c:v>3.0615051512115086</c:v>
                </c:pt>
                <c:pt idx="30">
                  <c:v>3.3883255290602246</c:v>
                </c:pt>
                <c:pt idx="31">
                  <c:v>3.7480760222751357</c:v>
                </c:pt>
                <c:pt idx="32">
                  <c:v>4.144074638457754</c:v>
                </c:pt>
                <c:pt idx="33">
                  <c:v>4.5799737045498432</c:v>
                </c:pt>
                <c:pt idx="34">
                  <c:v>5.0597935525372213</c:v>
                </c:pt>
                <c:pt idx="35">
                  <c:v>5.5879595992935407</c:v>
                </c:pt>
                <c:pt idx="36">
                  <c:v>6.1693431625544273</c:v>
                </c:pt>
                <c:pt idx="37">
                  <c:v>6.8093063894709651</c:v>
                </c:pt>
                <c:pt idx="38">
                  <c:v>7.5137517121221791</c:v>
                </c:pt>
                <c:pt idx="39">
                  <c:v>8.289176286118666</c:v>
                </c:pt>
                <c:pt idx="40">
                  <c:v>9.1427319143889676</c:v>
                </c:pt>
                <c:pt idx="41">
                  <c:v>10.082291008830579</c:v>
                </c:pt>
                <c:pt idx="42">
                  <c:v>11.116519198195157</c:v>
                </c:pt>
                <c:pt idx="43">
                  <c:v>12.254955251876297</c:v>
                </c:pt>
                <c:pt idx="44">
                  <c:v>13.508099056743347</c:v>
                </c:pt>
                <c:pt idx="45">
                  <c:v>14.887508458438656</c:v>
                </c:pt>
                <c:pt idx="46">
                  <c:v>16.405905860313279</c:v>
                </c:pt>
                <c:pt idx="47">
                  <c:v>18.077295563171678</c:v>
                </c:pt>
                <c:pt idx="48">
                  <c:v>19.917092928059262</c:v>
                </c:pt>
                <c:pt idx="49">
                  <c:v>21.94226655337151</c:v>
                </c:pt>
                <c:pt idx="50">
                  <c:v>24.171494777595512</c:v>
                </c:pt>
                <c:pt idx="51">
                  <c:v>26.625337951121285</c:v>
                </c:pt>
                <c:pt idx="52">
                  <c:v>29.326428065999529</c:v>
                </c:pt>
                <c:pt idx="53">
                  <c:v>32.299677492616297</c:v>
                </c:pt>
                <c:pt idx="54">
                  <c:v>35.572508748479606</c:v>
                </c:pt>
                <c:pt idx="55">
                  <c:v>39.17510741829394</c:v>
                </c:pt>
                <c:pt idx="56">
                  <c:v>43.140700558024719</c:v>
                </c:pt>
                <c:pt idx="57">
                  <c:v>47.505863150695717</c:v>
                </c:pt>
                <c:pt idx="58">
                  <c:v>52.310855440385765</c:v>
                </c:pt>
                <c:pt idx="59">
                  <c:v>57.599994255683271</c:v>
                </c:pt>
                <c:pt idx="60">
                  <c:v>63.42206174734438</c:v>
                </c:pt>
                <c:pt idx="61">
                  <c:v>69.830755309975032</c:v>
                </c:pt>
                <c:pt idx="62">
                  <c:v>76.885182837400592</c:v>
                </c:pt>
                <c:pt idx="63">
                  <c:v>84.650407879502907</c:v>
                </c:pt>
                <c:pt idx="64">
                  <c:v>93.19804972855006</c:v>
                </c:pt>
                <c:pt idx="65">
                  <c:v>102.60694396966296</c:v>
                </c:pt>
                <c:pt idx="66">
                  <c:v>112.96386958772875</c:v>
                </c:pt>
                <c:pt idx="67">
                  <c:v>124.3643493369261</c:v>
                </c:pt>
                <c:pt idx="68">
                  <c:v>136.91353075473489</c:v>
                </c:pt>
                <c:pt idx="69">
                  <c:v>150.72715594609272</c:v>
                </c:pt>
                <c:pt idx="70">
                  <c:v>165.93262908209542</c:v>
                </c:pt>
                <c:pt idx="71">
                  <c:v>182.67019145886732</c:v>
                </c:pt>
                <c:pt idx="72">
                  <c:v>201.09421495426361</c:v>
                </c:pt>
                <c:pt idx="73">
                  <c:v>221.37462581205909</c:v>
                </c:pt>
                <c:pt idx="74">
                  <c:v>243.6984718852994</c:v>
                </c:pt>
                <c:pt idx="75">
                  <c:v>268.27164779362505</c:v>
                </c:pt>
                <c:pt idx="76">
                  <c:v>295.320793905833</c:v>
                </c:pt>
                <c:pt idx="77">
                  <c:v>325.09538666214337</c:v>
                </c:pt>
                <c:pt idx="78">
                  <c:v>357.87003951538151</c:v>
                </c:pt>
                <c:pt idx="79">
                  <c:v>393.94703571283947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951440"/>
        <c:axId val="464952000"/>
      </c:lineChart>
      <c:catAx>
        <c:axId val="464951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952000"/>
        <c:crosses val="autoZero"/>
        <c:auto val="1"/>
        <c:lblAlgn val="ctr"/>
        <c:lblOffset val="100"/>
        <c:noMultiLvlLbl val="0"/>
      </c:catAx>
      <c:valAx>
        <c:axId val="4649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95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升级时间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升级时间!$L$1</c:f>
              <c:strCache>
                <c:ptCount val="1"/>
                <c:pt idx="0">
                  <c:v>标准总升级时间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升级时间!$A$4:$A$82</c:f>
              <c:numCache>
                <c:formatCode>General</c:formatCode>
                <c:ptCount val="7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</c:numCache>
            </c:numRef>
          </c:cat>
          <c:val>
            <c:numRef>
              <c:f>升级时间!$L$4:$L$82</c:f>
              <c:numCache>
                <c:formatCode>0.0</c:formatCode>
                <c:ptCount val="79"/>
                <c:pt idx="0">
                  <c:v>0</c:v>
                </c:pt>
                <c:pt idx="1">
                  <c:v>3.995139087029519E-3</c:v>
                </c:pt>
                <c:pt idx="2">
                  <c:v>3.995139087029519E-3</c:v>
                </c:pt>
                <c:pt idx="3">
                  <c:v>3.995139087029519E-3</c:v>
                </c:pt>
                <c:pt idx="4">
                  <c:v>1.5424271158784851E-2</c:v>
                </c:pt>
                <c:pt idx="5">
                  <c:v>1.5424271158784851E-2</c:v>
                </c:pt>
                <c:pt idx="6">
                  <c:v>2.9230258130418504E-2</c:v>
                </c:pt>
                <c:pt idx="7">
                  <c:v>3.2871397551508696E-2</c:v>
                </c:pt>
                <c:pt idx="8">
                  <c:v>5.1127666037808148E-2</c:v>
                </c:pt>
                <c:pt idx="9">
                  <c:v>4.118521614745746E-2</c:v>
                </c:pt>
                <c:pt idx="10">
                  <c:v>4.6232145025808059E-2</c:v>
                </c:pt>
                <c:pt idx="11">
                  <c:v>2.2763925741477758E-2</c:v>
                </c:pt>
                <c:pt idx="12">
                  <c:v>2.2763925741477758E-2</c:v>
                </c:pt>
                <c:pt idx="13">
                  <c:v>2.2763925741477758E-2</c:v>
                </c:pt>
                <c:pt idx="14">
                  <c:v>2.2763925741477758E-2</c:v>
                </c:pt>
                <c:pt idx="15">
                  <c:v>2.2763925741477758E-2</c:v>
                </c:pt>
                <c:pt idx="16">
                  <c:v>2.2763925741477758E-2</c:v>
                </c:pt>
                <c:pt idx="17">
                  <c:v>2.2763925741477758E-2</c:v>
                </c:pt>
                <c:pt idx="18">
                  <c:v>2.2763925741477758E-2</c:v>
                </c:pt>
                <c:pt idx="19">
                  <c:v>2.2763925741477758E-2</c:v>
                </c:pt>
                <c:pt idx="20">
                  <c:v>2.2763925741477758E-2</c:v>
                </c:pt>
                <c:pt idx="21">
                  <c:v>2.2763925741477758E-2</c:v>
                </c:pt>
                <c:pt idx="22">
                  <c:v>2.2763925741477758E-2</c:v>
                </c:pt>
                <c:pt idx="23">
                  <c:v>2.2763925741477758E-2</c:v>
                </c:pt>
                <c:pt idx="24">
                  <c:v>2.2763925741477758E-2</c:v>
                </c:pt>
                <c:pt idx="25">
                  <c:v>2.2763925741477758E-2</c:v>
                </c:pt>
                <c:pt idx="26">
                  <c:v>0.24604353240084162</c:v>
                </c:pt>
                <c:pt idx="27">
                  <c:v>0.35100962765870636</c:v>
                </c:pt>
                <c:pt idx="28">
                  <c:v>0.55298373609634432</c:v>
                </c:pt>
                <c:pt idx="29">
                  <c:v>0.80004277893291675</c:v>
                </c:pt>
                <c:pt idx="30">
                  <c:v>1.152057931930784</c:v>
                </c:pt>
                <c:pt idx="31">
                  <c:v>1.6160664821697261</c:v>
                </c:pt>
                <c:pt idx="32">
                  <c:v>2.0270440476288956</c:v>
                </c:pt>
                <c:pt idx="33">
                  <c:v>2.6148083177994028</c:v>
                </c:pt>
                <c:pt idx="34">
                  <c:v>3.1809631085520573</c:v>
                </c:pt>
                <c:pt idx="35">
                  <c:v>3.8738449579502827</c:v>
                </c:pt>
                <c:pt idx="36">
                  <c:v>4.4669730210808218</c:v>
                </c:pt>
                <c:pt idx="37">
                  <c:v>5.2569113295089451</c:v>
                </c:pt>
                <c:pt idx="38">
                  <c:v>6.0626077075894118</c:v>
                </c:pt>
                <c:pt idx="39">
                  <c:v>7.0232146989234572</c:v>
                </c:pt>
                <c:pt idx="40">
                  <c:v>8.1608004687277891</c:v>
                </c:pt>
                <c:pt idx="41">
                  <c:v>9.2410936689339209</c:v>
                </c:pt>
                <c:pt idx="42">
                  <c:v>10.598119899045951</c:v>
                </c:pt>
                <c:pt idx="43">
                  <c:v>11.987547368023904</c:v>
                </c:pt>
                <c:pt idx="44">
                  <c:v>13.596320833056303</c:v>
                </c:pt>
                <c:pt idx="45">
                  <c:v>15.044882924570899</c:v>
                </c:pt>
                <c:pt idx="46">
                  <c:v>16.824306063105603</c:v>
                </c:pt>
                <c:pt idx="47">
                  <c:v>18.631171067210428</c:v>
                </c:pt>
                <c:pt idx="48">
                  <c:v>20.700930088119524</c:v>
                </c:pt>
                <c:pt idx="49">
                  <c:v>22.924998227268873</c:v>
                </c:pt>
                <c:pt idx="50">
                  <c:v>25.160993560584973</c:v>
                </c:pt>
                <c:pt idx="51">
                  <c:v>27.305389928422827</c:v>
                </c:pt>
                <c:pt idx="52">
                  <c:v>30.048173156175949</c:v>
                </c:pt>
                <c:pt idx="53">
                  <c:v>32.984808646433727</c:v>
                </c:pt>
                <c:pt idx="54">
                  <c:v>36.125903587684377</c:v>
                </c:pt>
                <c:pt idx="55">
                  <c:v>39.458870782921885</c:v>
                </c:pt>
                <c:pt idx="56">
                  <c:v>43.013881790512727</c:v>
                </c:pt>
                <c:pt idx="57">
                  <c:v>46.802580946263973</c:v>
                </c:pt>
                <c:pt idx="58">
                  <c:v>50.554225656896385</c:v>
                </c:pt>
                <c:pt idx="59">
                  <c:v>54.824688298450916</c:v>
                </c:pt>
                <c:pt idx="60">
                  <c:v>58.989184592119017</c:v>
                </c:pt>
                <c:pt idx="61">
                  <c:v>63.813759006635621</c:v>
                </c:pt>
                <c:pt idx="62">
                  <c:v>68.93543445159402</c:v>
                </c:pt>
                <c:pt idx="63">
                  <c:v>74.361127913290517</c:v>
                </c:pt>
                <c:pt idx="64">
                  <c:v>80.072158823292227</c:v>
                </c:pt>
                <c:pt idx="65">
                  <c:v>86.106782350707334</c:v>
                </c:pt>
                <c:pt idx="66">
                  <c:v>92.480149989327771</c:v>
                </c:pt>
                <c:pt idx="67">
                  <c:v>99.207742613245287</c:v>
                </c:pt>
                <c:pt idx="68">
                  <c:v>106.30551163983712</c:v>
                </c:pt>
                <c:pt idx="69">
                  <c:v>113.23566345154515</c:v>
                </c:pt>
                <c:pt idx="70">
                  <c:v>121.08498548972116</c:v>
                </c:pt>
                <c:pt idx="71">
                  <c:v>129.3306060497375</c:v>
                </c:pt>
                <c:pt idx="72">
                  <c:v>137.99013735554416</c:v>
                </c:pt>
                <c:pt idx="73">
                  <c:v>147.0746164008165</c:v>
                </c:pt>
                <c:pt idx="74">
                  <c:v>157.35400265071806</c:v>
                </c:pt>
                <c:pt idx="75">
                  <c:v>168.14278138318423</c:v>
                </c:pt>
                <c:pt idx="76">
                  <c:v>179.46039649345579</c:v>
                </c:pt>
                <c:pt idx="77">
                  <c:v>191.32671457014837</c:v>
                </c:pt>
                <c:pt idx="78">
                  <c:v>203.76211882711343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升级时间!$N$1</c:f>
              <c:strCache>
                <c:ptCount val="1"/>
                <c:pt idx="0">
                  <c:v>非R总升级时间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升级时间!$A$4:$A$82</c:f>
              <c:numCache>
                <c:formatCode>General</c:formatCode>
                <c:ptCount val="7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</c:numCache>
            </c:numRef>
          </c:cat>
          <c:val>
            <c:numRef>
              <c:f>升级时间!$N$4:$N$82</c:f>
              <c:numCache>
                <c:formatCode>0.0</c:formatCode>
                <c:ptCount val="79"/>
                <c:pt idx="0">
                  <c:v>0</c:v>
                </c:pt>
                <c:pt idx="1">
                  <c:v>4.5470164483051674E-3</c:v>
                </c:pt>
                <c:pt idx="2">
                  <c:v>4.5470164483051674E-3</c:v>
                </c:pt>
                <c:pt idx="3">
                  <c:v>4.5470164483051674E-3</c:v>
                </c:pt>
                <c:pt idx="4">
                  <c:v>1.7554936920671851E-2</c:v>
                </c:pt>
                <c:pt idx="5">
                  <c:v>1.7554936920671851E-2</c:v>
                </c:pt>
                <c:pt idx="6">
                  <c:v>3.3268044393928949E-2</c:v>
                </c:pt>
                <c:pt idx="7">
                  <c:v>3.741216065061214E-2</c:v>
                </c:pt>
                <c:pt idx="8">
                  <c:v>5.819029910425981E-2</c:v>
                </c:pt>
                <c:pt idx="9">
                  <c:v>4.6877581688695581E-2</c:v>
                </c:pt>
                <c:pt idx="10">
                  <c:v>5.2620077838728185E-2</c:v>
                </c:pt>
                <c:pt idx="11">
                  <c:v>2.591747074107658E-2</c:v>
                </c:pt>
                <c:pt idx="12">
                  <c:v>2.591747074107658E-2</c:v>
                </c:pt>
                <c:pt idx="13">
                  <c:v>2.591747074107658E-2</c:v>
                </c:pt>
                <c:pt idx="14">
                  <c:v>2.591747074107658E-2</c:v>
                </c:pt>
                <c:pt idx="15">
                  <c:v>2.591747074107658E-2</c:v>
                </c:pt>
                <c:pt idx="16">
                  <c:v>2.591747074107658E-2</c:v>
                </c:pt>
                <c:pt idx="17">
                  <c:v>2.591747074107658E-2</c:v>
                </c:pt>
                <c:pt idx="18">
                  <c:v>2.591747074107658E-2</c:v>
                </c:pt>
                <c:pt idx="19">
                  <c:v>2.591747074107658E-2</c:v>
                </c:pt>
                <c:pt idx="20">
                  <c:v>2.591747074107658E-2</c:v>
                </c:pt>
                <c:pt idx="21">
                  <c:v>2.591747074107658E-2</c:v>
                </c:pt>
                <c:pt idx="22">
                  <c:v>2.591747074107658E-2</c:v>
                </c:pt>
                <c:pt idx="23">
                  <c:v>2.591747074107658E-2</c:v>
                </c:pt>
                <c:pt idx="24">
                  <c:v>2.591747074107658E-2</c:v>
                </c:pt>
                <c:pt idx="25">
                  <c:v>2.591747074107658E-2</c:v>
                </c:pt>
                <c:pt idx="26">
                  <c:v>0.27989893005111488</c:v>
                </c:pt>
                <c:pt idx="27">
                  <c:v>0.39929828967261721</c:v>
                </c:pt>
                <c:pt idx="28">
                  <c:v>0.62904465823414513</c:v>
                </c:pt>
                <c:pt idx="29">
                  <c:v>0.90999764684390216</c:v>
                </c:pt>
                <c:pt idx="30">
                  <c:v>1.3103056385497269</c:v>
                </c:pt>
                <c:pt idx="31">
                  <c:v>1.8379713634442676</c:v>
                </c:pt>
                <c:pt idx="32">
                  <c:v>2.3053308008549234</c:v>
                </c:pt>
                <c:pt idx="33">
                  <c:v>2.9737302506644636</c:v>
                </c:pt>
                <c:pt idx="34">
                  <c:v>3.6124223745695456</c:v>
                </c:pt>
                <c:pt idx="35">
                  <c:v>4.3940781818428833</c:v>
                </c:pt>
                <c:pt idx="36">
                  <c:v>5.0631994691235835</c:v>
                </c:pt>
                <c:pt idx="37">
                  <c:v>5.9543468800519967</c:v>
                </c:pt>
                <c:pt idx="38">
                  <c:v>6.8632713285314288</c:v>
                </c:pt>
                <c:pt idx="39">
                  <c:v>7.9466917174657263</c:v>
                </c:pt>
                <c:pt idx="40">
                  <c:v>9.2297175837004879</c:v>
                </c:pt>
                <c:pt idx="41">
                  <c:v>10.448126037614603</c:v>
                </c:pt>
                <c:pt idx="42">
                  <c:v>11.978647779893652</c:v>
                </c:pt>
                <c:pt idx="43">
                  <c:v>13.545713252471105</c:v>
                </c:pt>
                <c:pt idx="44">
                  <c:v>15.360168059605096</c:v>
                </c:pt>
                <c:pt idx="45">
                  <c:v>16.993928503514329</c:v>
                </c:pt>
                <c:pt idx="46">
                  <c:v>19.000850508269505</c:v>
                </c:pt>
                <c:pt idx="47">
                  <c:v>21.038722815216182</c:v>
                </c:pt>
                <c:pt idx="48">
                  <c:v>23.373100082572357</c:v>
                </c:pt>
                <c:pt idx="49">
                  <c:v>25.880910249849432</c:v>
                </c:pt>
                <c:pt idx="50">
                  <c:v>28.402169258136347</c:v>
                </c:pt>
                <c:pt idx="51">
                  <c:v>30.820143293766684</c:v>
                </c:pt>
                <c:pt idx="52">
                  <c:v>33.912845151285822</c:v>
                </c:pt>
                <c:pt idx="53">
                  <c:v>37.224130543320577</c:v>
                </c:pt>
                <c:pt idx="54">
                  <c:v>40.765959901599068</c:v>
                </c:pt>
                <c:pt idx="55">
                  <c:v>44.524140180470596</c:v>
                </c:pt>
                <c:pt idx="56">
                  <c:v>48.532692163517353</c:v>
                </c:pt>
                <c:pt idx="57">
                  <c:v>52.804745746903102</c:v>
                </c:pt>
                <c:pt idx="58">
                  <c:v>57.035017555451965</c:v>
                </c:pt>
                <c:pt idx="59">
                  <c:v>61.849141031497666</c:v>
                </c:pt>
                <c:pt idx="60">
                  <c:v>66.543807875826957</c:v>
                </c:pt>
                <c:pt idx="61">
                  <c:v>71.982585568165959</c:v>
                </c:pt>
                <c:pt idx="62">
                  <c:v>77.75628740466901</c:v>
                </c:pt>
                <c:pt idx="63">
                  <c:v>83.872710954102672</c:v>
                </c:pt>
                <c:pt idx="64">
                  <c:v>90.310797476328673</c:v>
                </c:pt>
                <c:pt idx="65">
                  <c:v>97.113672300647835</c:v>
                </c:pt>
                <c:pt idx="66">
                  <c:v>104.29841581578691</c:v>
                </c:pt>
                <c:pt idx="67">
                  <c:v>111.88247972327109</c:v>
                </c:pt>
                <c:pt idx="68">
                  <c:v>119.88384617148041</c:v>
                </c:pt>
                <c:pt idx="69">
                  <c:v>127.69438851737661</c:v>
                </c:pt>
                <c:pt idx="70">
                  <c:v>136.54087035954566</c:v>
                </c:pt>
                <c:pt idx="71">
                  <c:v>145.83399557556123</c:v>
                </c:pt>
                <c:pt idx="72">
                  <c:v>155.59361380576377</c:v>
                </c:pt>
                <c:pt idx="73">
                  <c:v>165.83216415809989</c:v>
                </c:pt>
                <c:pt idx="74">
                  <c:v>177.41741997587846</c:v>
                </c:pt>
                <c:pt idx="75">
                  <c:v>189.57678032467618</c:v>
                </c:pt>
                <c:pt idx="76">
                  <c:v>202.33215920742884</c:v>
                </c:pt>
                <c:pt idx="77">
                  <c:v>215.70594701844044</c:v>
                </c:pt>
                <c:pt idx="78">
                  <c:v>229.72111640813165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升级时间!$P$1</c:f>
              <c:strCache>
                <c:ptCount val="1"/>
                <c:pt idx="0">
                  <c:v>小R总升级时间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升级时间!$A$4:$A$82</c:f>
              <c:numCache>
                <c:formatCode>General</c:formatCode>
                <c:ptCount val="7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</c:numCache>
            </c:numRef>
          </c:cat>
          <c:val>
            <c:numRef>
              <c:f>升级时间!$P$4:$P$82</c:f>
              <c:numCache>
                <c:formatCode>0.0</c:formatCode>
                <c:ptCount val="79"/>
                <c:pt idx="0">
                  <c:v>0</c:v>
                </c:pt>
                <c:pt idx="1">
                  <c:v>3.562726312883058E-3</c:v>
                </c:pt>
                <c:pt idx="2">
                  <c:v>3.562726312883058E-3</c:v>
                </c:pt>
                <c:pt idx="3">
                  <c:v>3.562726312883058E-3</c:v>
                </c:pt>
                <c:pt idx="4">
                  <c:v>1.3754829435814339E-2</c:v>
                </c:pt>
                <c:pt idx="5">
                  <c:v>1.3754829435814339E-2</c:v>
                </c:pt>
                <c:pt idx="6">
                  <c:v>2.6066529225903894E-2</c:v>
                </c:pt>
                <c:pt idx="7">
                  <c:v>2.9313570928784657E-2</c:v>
                </c:pt>
                <c:pt idx="8">
                  <c:v>4.5593877244617366E-2</c:v>
                </c:pt>
                <c:pt idx="9">
                  <c:v>3.6725607941046984E-2</c:v>
                </c:pt>
                <c:pt idx="10">
                  <c:v>4.1227267486006566E-2</c:v>
                </c:pt>
                <c:pt idx="11">
                  <c:v>2.0294550601944506E-2</c:v>
                </c:pt>
                <c:pt idx="12">
                  <c:v>2.0294550601944506E-2</c:v>
                </c:pt>
                <c:pt idx="13">
                  <c:v>2.0294550601944506E-2</c:v>
                </c:pt>
                <c:pt idx="14">
                  <c:v>2.0294550601944506E-2</c:v>
                </c:pt>
                <c:pt idx="15">
                  <c:v>2.0294550601944506E-2</c:v>
                </c:pt>
                <c:pt idx="16">
                  <c:v>2.0294550601944506E-2</c:v>
                </c:pt>
                <c:pt idx="17">
                  <c:v>2.0294550601944506E-2</c:v>
                </c:pt>
                <c:pt idx="18">
                  <c:v>2.0294550601944506E-2</c:v>
                </c:pt>
                <c:pt idx="19">
                  <c:v>2.0294550601944506E-2</c:v>
                </c:pt>
                <c:pt idx="20">
                  <c:v>2.0294550601944506E-2</c:v>
                </c:pt>
                <c:pt idx="21">
                  <c:v>2.0294550601944506E-2</c:v>
                </c:pt>
                <c:pt idx="22">
                  <c:v>2.0294550601944506E-2</c:v>
                </c:pt>
                <c:pt idx="23">
                  <c:v>2.0294550601944506E-2</c:v>
                </c:pt>
                <c:pt idx="24">
                  <c:v>2.0294550601944506E-2</c:v>
                </c:pt>
                <c:pt idx="25">
                  <c:v>2.0294550601944506E-2</c:v>
                </c:pt>
                <c:pt idx="26">
                  <c:v>0.21949442622142795</c:v>
                </c:pt>
                <c:pt idx="27">
                  <c:v>0.31314038624646823</c:v>
                </c:pt>
                <c:pt idx="28">
                  <c:v>0.49333246863630098</c:v>
                </c:pt>
                <c:pt idx="29">
                  <c:v>0.71379507718619628</c:v>
                </c:pt>
                <c:pt idx="30">
                  <c:v>1.0279150461943176</c:v>
                </c:pt>
                <c:pt idx="31">
                  <c:v>1.441972083737366</c:v>
                </c:pt>
                <c:pt idx="32">
                  <c:v>1.8087070354167034</c:v>
                </c:pt>
                <c:pt idx="33">
                  <c:v>2.3331972249943078</c:v>
                </c:pt>
                <c:pt idx="34">
                  <c:v>2.8416106521614726</c:v>
                </c:pt>
                <c:pt idx="35">
                  <c:v>3.4638264161686299</c:v>
                </c:pt>
                <c:pt idx="36">
                  <c:v>3.996462148040349</c:v>
                </c:pt>
                <c:pt idx="37">
                  <c:v>4.7058357137124895</c:v>
                </c:pt>
                <c:pt idx="38">
                  <c:v>5.4293602047646585</c:v>
                </c:pt>
                <c:pt idx="39">
                  <c:v>6.292162434135248</c:v>
                </c:pt>
                <c:pt idx="40">
                  <c:v>7.3139242442636103</c:v>
                </c:pt>
                <c:pt idx="41">
                  <c:v>8.2842267612350007</c:v>
                </c:pt>
                <c:pt idx="42">
                  <c:v>9.5030865730181855</c:v>
                </c:pt>
                <c:pt idx="43">
                  <c:v>10.751048672604901</c:v>
                </c:pt>
                <c:pt idx="44">
                  <c:v>12.19602392752631</c:v>
                </c:pt>
                <c:pt idx="45">
                  <c:v>13.497099823512475</c:v>
                </c:pt>
                <c:pt idx="46">
                  <c:v>15.095349955743155</c:v>
                </c:pt>
                <c:pt idx="47">
                  <c:v>16.718247943970702</c:v>
                </c:pt>
                <c:pt idx="48">
                  <c:v>18.577273241111453</c:v>
                </c:pt>
                <c:pt idx="49">
                  <c:v>20.575280192676601</c:v>
                </c:pt>
                <c:pt idx="50">
                  <c:v>22.584002021379888</c:v>
                </c:pt>
                <c:pt idx="51">
                  <c:v>24.510435287713989</c:v>
                </c:pt>
                <c:pt idx="52">
                  <c:v>26.974433516555592</c:v>
                </c:pt>
                <c:pt idx="53">
                  <c:v>29.612580262361728</c:v>
                </c:pt>
                <c:pt idx="54">
                  <c:v>32.434404566065531</c:v>
                </c:pt>
                <c:pt idx="55">
                  <c:v>35.42859863242635</c:v>
                </c:pt>
                <c:pt idx="56">
                  <c:v>38.622267288987302</c:v>
                </c:pt>
                <c:pt idx="57">
                  <c:v>42.025871305128319</c:v>
                </c:pt>
                <c:pt idx="58">
                  <c:v>45.39618720494294</c:v>
                </c:pt>
                <c:pt idx="59">
                  <c:v>49.233320852867585</c:v>
                </c:pt>
                <c:pt idx="60">
                  <c:v>52.975240686001733</c:v>
                </c:pt>
                <c:pt idx="61">
                  <c:v>57.310259717129256</c:v>
                </c:pt>
                <c:pt idx="62">
                  <c:v>61.912232578890524</c:v>
                </c:pt>
                <c:pt idx="63">
                  <c:v>66.787374382641758</c:v>
                </c:pt>
                <c:pt idx="64">
                  <c:v>71.918900099754254</c:v>
                </c:pt>
                <c:pt idx="65">
                  <c:v>77.341183101198126</c:v>
                </c:pt>
                <c:pt idx="66">
                  <c:v>83.06783744042032</c:v>
                </c:pt>
                <c:pt idx="67">
                  <c:v>89.112773128551424</c:v>
                </c:pt>
                <c:pt idx="68">
                  <c:v>95.490322973412916</c:v>
                </c:pt>
                <c:pt idx="69">
                  <c:v>101.71845117733356</c:v>
                </c:pt>
                <c:pt idx="70">
                  <c:v>108.77263776600675</c:v>
                </c:pt>
                <c:pt idx="71">
                  <c:v>116.18297788033229</c:v>
                </c:pt>
                <c:pt idx="72">
                  <c:v>123.96529962793278</c:v>
                </c:pt>
                <c:pt idx="73">
                  <c:v>132.12952195625172</c:v>
                </c:pt>
                <c:pt idx="74">
                  <c:v>141.36760752226289</c:v>
                </c:pt>
                <c:pt idx="75">
                  <c:v>151.06348416900707</c:v>
                </c:pt>
                <c:pt idx="76">
                  <c:v>161.23462612729966</c:v>
                </c:pt>
                <c:pt idx="77">
                  <c:v>171.89888750253894</c:v>
                </c:pt>
                <c:pt idx="78">
                  <c:v>183.07458669128019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升级时间!$R$1</c:f>
              <c:strCache>
                <c:ptCount val="1"/>
                <c:pt idx="0">
                  <c:v>中R总升级时间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升级时间!$A$4:$A$82</c:f>
              <c:numCache>
                <c:formatCode>General</c:formatCode>
                <c:ptCount val="7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</c:numCache>
            </c:numRef>
          </c:cat>
          <c:val>
            <c:numRef>
              <c:f>升级时间!$R$4:$R$82</c:f>
              <c:numCache>
                <c:formatCode>0.0</c:formatCode>
                <c:ptCount val="79"/>
                <c:pt idx="0">
                  <c:v>0</c:v>
                </c:pt>
                <c:pt idx="1">
                  <c:v>2.6894505149087674E-3</c:v>
                </c:pt>
                <c:pt idx="2">
                  <c:v>2.6894505149087674E-3</c:v>
                </c:pt>
                <c:pt idx="3">
                  <c:v>2.6894505149087674E-3</c:v>
                </c:pt>
                <c:pt idx="4">
                  <c:v>1.0383321608192077E-2</c:v>
                </c:pt>
                <c:pt idx="5">
                  <c:v>1.0383321608192077E-2</c:v>
                </c:pt>
                <c:pt idx="6">
                  <c:v>1.9677245539459085E-2</c:v>
                </c:pt>
                <c:pt idx="7">
                  <c:v>2.2128390312540491E-2</c:v>
                </c:pt>
                <c:pt idx="8">
                  <c:v>3.441815785535144E-2</c:v>
                </c:pt>
                <c:pt idx="9">
                  <c:v>2.7720673686400098E-2</c:v>
                </c:pt>
                <c:pt idx="10">
                  <c:v>3.1120411843228189E-2</c:v>
                </c:pt>
                <c:pt idx="11">
                  <c:v>1.5311629413977561E-2</c:v>
                </c:pt>
                <c:pt idx="12">
                  <c:v>1.5311629413977561E-2</c:v>
                </c:pt>
                <c:pt idx="13">
                  <c:v>1.5311629413977561E-2</c:v>
                </c:pt>
                <c:pt idx="14">
                  <c:v>1.5311629413977561E-2</c:v>
                </c:pt>
                <c:pt idx="15">
                  <c:v>1.5311629413977561E-2</c:v>
                </c:pt>
                <c:pt idx="16">
                  <c:v>1.5311629413977561E-2</c:v>
                </c:pt>
                <c:pt idx="17">
                  <c:v>1.5311629413977561E-2</c:v>
                </c:pt>
                <c:pt idx="18">
                  <c:v>1.5311629413977561E-2</c:v>
                </c:pt>
                <c:pt idx="19">
                  <c:v>1.5311629413977561E-2</c:v>
                </c:pt>
                <c:pt idx="20">
                  <c:v>1.5311629413977561E-2</c:v>
                </c:pt>
                <c:pt idx="21">
                  <c:v>1.5311629413977561E-2</c:v>
                </c:pt>
                <c:pt idx="22">
                  <c:v>1.5311629413977561E-2</c:v>
                </c:pt>
                <c:pt idx="23">
                  <c:v>1.5311629413977561E-2</c:v>
                </c:pt>
                <c:pt idx="24">
                  <c:v>1.5311629413977561E-2</c:v>
                </c:pt>
                <c:pt idx="25">
                  <c:v>1.5311629413977561E-2</c:v>
                </c:pt>
                <c:pt idx="26">
                  <c:v>0.16581734988987779</c:v>
                </c:pt>
                <c:pt idx="27">
                  <c:v>0.23657167460717443</c:v>
                </c:pt>
                <c:pt idx="28">
                  <c:v>0.3727160326284602</c:v>
                </c:pt>
                <c:pt idx="29">
                  <c:v>0.53935992655273957</c:v>
                </c:pt>
                <c:pt idx="30">
                  <c:v>0.77679780837404744</c:v>
                </c:pt>
                <c:pt idx="31">
                  <c:v>1.0897764014188129</c:v>
                </c:pt>
                <c:pt idx="32">
                  <c:v>1.3669850436822732</c:v>
                </c:pt>
                <c:pt idx="33">
                  <c:v>1.7634381569389563</c:v>
                </c:pt>
                <c:pt idx="34">
                  <c:v>2.1527388316974285</c:v>
                </c:pt>
                <c:pt idx="35">
                  <c:v>2.6291798614377786</c:v>
                </c:pt>
                <c:pt idx="36">
                  <c:v>3.0370279605202501</c:v>
                </c:pt>
                <c:pt idx="37">
                  <c:v>3.5802071784860789</c:v>
                </c:pt>
                <c:pt idx="38">
                  <c:v>4.1342219969780336</c:v>
                </c:pt>
                <c:pt idx="39">
                  <c:v>4.7951468702038236</c:v>
                </c:pt>
                <c:pt idx="40">
                  <c:v>5.5778381658889025</c:v>
                </c:pt>
                <c:pt idx="41">
                  <c:v>6.3211105476580176</c:v>
                </c:pt>
                <c:pt idx="42">
                  <c:v>7.2547831080204013</c:v>
                </c:pt>
                <c:pt idx="43">
                  <c:v>8.2107486403088785</c:v>
                </c:pt>
                <c:pt idx="44">
                  <c:v>9.3176304431874115</c:v>
                </c:pt>
                <c:pt idx="45">
                  <c:v>10.314282274093191</c:v>
                </c:pt>
                <c:pt idx="46">
                  <c:v>11.538575895585392</c:v>
                </c:pt>
                <c:pt idx="47">
                  <c:v>12.781750299423162</c:v>
                </c:pt>
                <c:pt idx="48">
                  <c:v>14.205803248072357</c:v>
                </c:pt>
                <c:pt idx="49">
                  <c:v>15.736925996613715</c:v>
                </c:pt>
                <c:pt idx="50">
                  <c:v>17.276259823760771</c:v>
                </c:pt>
                <c:pt idx="51">
                  <c:v>18.752533865410321</c:v>
                </c:pt>
                <c:pt idx="52">
                  <c:v>20.640757396159124</c:v>
                </c:pt>
                <c:pt idx="53">
                  <c:v>22.662435295392612</c:v>
                </c:pt>
                <c:pt idx="54">
                  <c:v>24.824869905744315</c:v>
                </c:pt>
                <c:pt idx="55">
                  <c:v>27.119395780622444</c:v>
                </c:pt>
                <c:pt idx="56">
                  <c:v>29.566784027962363</c:v>
                </c:pt>
                <c:pt idx="57">
                  <c:v>32.175050997232873</c:v>
                </c:pt>
                <c:pt idx="58">
                  <c:v>34.75780844957027</c:v>
                </c:pt>
                <c:pt idx="59">
                  <c:v>37.699462535820516</c:v>
                </c:pt>
                <c:pt idx="60">
                  <c:v>40.568123045863835</c:v>
                </c:pt>
                <c:pt idx="61">
                  <c:v>43.89147000663128</c:v>
                </c:pt>
                <c:pt idx="62">
                  <c:v>47.419471248113872</c:v>
                </c:pt>
                <c:pt idx="63">
                  <c:v>51.15689144868746</c:v>
                </c:pt>
                <c:pt idx="64">
                  <c:v>55.090862735459446</c:v>
                </c:pt>
                <c:pt idx="65">
                  <c:v>59.247736696998309</c:v>
                </c:pt>
                <c:pt idx="66">
                  <c:v>63.63795024784163</c:v>
                </c:pt>
                <c:pt idx="67">
                  <c:v>68.272167191973466</c:v>
                </c:pt>
                <c:pt idx="68">
                  <c:v>73.161375461158528</c:v>
                </c:pt>
                <c:pt idx="69">
                  <c:v>77.937914917859899</c:v>
                </c:pt>
                <c:pt idx="70">
                  <c:v>83.347983476583551</c:v>
                </c:pt>
                <c:pt idx="71">
                  <c:v>89.031196921253965</c:v>
                </c:pt>
                <c:pt idx="72">
                  <c:v>94.999694305228573</c:v>
                </c:pt>
                <c:pt idx="73">
                  <c:v>101.26108276861137</c:v>
                </c:pt>
                <c:pt idx="74">
                  <c:v>108.34604935338047</c:v>
                </c:pt>
                <c:pt idx="75">
                  <c:v>115.78210973205552</c:v>
                </c:pt>
                <c:pt idx="76">
                  <c:v>123.58266541954315</c:v>
                </c:pt>
                <c:pt idx="77">
                  <c:v>131.76140926803055</c:v>
                </c:pt>
                <c:pt idx="78">
                  <c:v>140.33239020860339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升级时间!$T$1</c:f>
              <c:strCache>
                <c:ptCount val="1"/>
                <c:pt idx="0">
                  <c:v>大R总升级时间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升级时间!$A$4:$A$82</c:f>
              <c:numCache>
                <c:formatCode>General</c:formatCode>
                <c:ptCount val="7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</c:numCache>
            </c:numRef>
          </c:cat>
          <c:val>
            <c:numRef>
              <c:f>升级时间!$T$4:$T$82</c:f>
              <c:numCache>
                <c:formatCode>0.0</c:formatCode>
                <c:ptCount val="79"/>
                <c:pt idx="0">
                  <c:v>0</c:v>
                </c:pt>
                <c:pt idx="1">
                  <c:v>1.9094103251965629E-3</c:v>
                </c:pt>
                <c:pt idx="2">
                  <c:v>1.9094103251965629E-3</c:v>
                </c:pt>
                <c:pt idx="3">
                  <c:v>1.9094103251965629E-3</c:v>
                </c:pt>
                <c:pt idx="4">
                  <c:v>7.3717740403158438E-3</c:v>
                </c:pt>
                <c:pt idx="5">
                  <c:v>7.3717740403158438E-3</c:v>
                </c:pt>
                <c:pt idx="6">
                  <c:v>1.3970116050172321E-2</c:v>
                </c:pt>
                <c:pt idx="7">
                  <c:v>1.5710338118705897E-2</c:v>
                </c:pt>
                <c:pt idx="8">
                  <c:v>2.4435618212325635E-2</c:v>
                </c:pt>
                <c:pt idx="9">
                  <c:v>1.9678776142336114E-2</c:v>
                </c:pt>
                <c:pt idx="10">
                  <c:v>2.2093416787000844E-2</c:v>
                </c:pt>
                <c:pt idx="11">
                  <c:v>1.0865337789309842E-2</c:v>
                </c:pt>
                <c:pt idx="12">
                  <c:v>1.0865337789309842E-2</c:v>
                </c:pt>
                <c:pt idx="13">
                  <c:v>1.0865337789309842E-2</c:v>
                </c:pt>
                <c:pt idx="14">
                  <c:v>1.0865337789309842E-2</c:v>
                </c:pt>
                <c:pt idx="15">
                  <c:v>1.0865337789309842E-2</c:v>
                </c:pt>
                <c:pt idx="16">
                  <c:v>1.0865337789309842E-2</c:v>
                </c:pt>
                <c:pt idx="17">
                  <c:v>1.0865337789309842E-2</c:v>
                </c:pt>
                <c:pt idx="18">
                  <c:v>1.0865337789309842E-2</c:v>
                </c:pt>
                <c:pt idx="19">
                  <c:v>1.0865337789309842E-2</c:v>
                </c:pt>
                <c:pt idx="20">
                  <c:v>1.0865337789309842E-2</c:v>
                </c:pt>
                <c:pt idx="21">
                  <c:v>1.0865337789309842E-2</c:v>
                </c:pt>
                <c:pt idx="22">
                  <c:v>1.0865337789309842E-2</c:v>
                </c:pt>
                <c:pt idx="23">
                  <c:v>1.0865337789309842E-2</c:v>
                </c:pt>
                <c:pt idx="24">
                  <c:v>1.0865337789309842E-2</c:v>
                </c:pt>
                <c:pt idx="25">
                  <c:v>1.0865337789309842E-2</c:v>
                </c:pt>
                <c:pt idx="26">
                  <c:v>0.11780307108838849</c:v>
                </c:pt>
                <c:pt idx="27">
                  <c:v>0.16807562606138193</c:v>
                </c:pt>
                <c:pt idx="28">
                  <c:v>0.26480928510250656</c:v>
                </c:pt>
                <c:pt idx="29">
                  <c:v>0.38326005994351964</c:v>
                </c:pt>
                <c:pt idx="30">
                  <c:v>0.5520313267210607</c:v>
                </c:pt>
                <c:pt idx="31">
                  <c:v>0.77449706477953306</c:v>
                </c:pt>
                <c:pt idx="32">
                  <c:v>0.97153745849268114</c:v>
                </c:pt>
                <c:pt idx="33">
                  <c:v>1.2533370333077301</c:v>
                </c:pt>
                <c:pt idx="34">
                  <c:v>1.5333143714142841</c:v>
                </c:pt>
                <c:pt idx="35">
                  <c:v>1.8759613276627096</c:v>
                </c:pt>
                <c:pt idx="36">
                  <c:v>2.1692776061504686</c:v>
                </c:pt>
                <c:pt idx="37">
                  <c:v>2.5599213461214405</c:v>
                </c:pt>
                <c:pt idx="38">
                  <c:v>2.9583578354730111</c:v>
                </c:pt>
                <c:pt idx="39">
                  <c:v>3.4338554917491639</c:v>
                </c:pt>
                <c:pt idx="40">
                  <c:v>3.9969571266892334</c:v>
                </c:pt>
                <c:pt idx="41">
                  <c:v>4.5316991069403967</c:v>
                </c:pt>
                <c:pt idx="42">
                  <c:v>5.2034231290895825</c:v>
                </c:pt>
                <c:pt idx="43">
                  <c:v>5.8911856698839369</c:v>
                </c:pt>
                <c:pt idx="44">
                  <c:v>6.6875238383578299</c:v>
                </c:pt>
                <c:pt idx="45">
                  <c:v>7.404557844667857</c:v>
                </c:pt>
                <c:pt idx="46">
                  <c:v>8.2853671033239582</c:v>
                </c:pt>
                <c:pt idx="47">
                  <c:v>9.1797600053223949</c:v>
                </c:pt>
                <c:pt idx="48">
                  <c:v>10.204284678135714</c:v>
                </c:pt>
                <c:pt idx="49">
                  <c:v>11.306241302113454</c:v>
                </c:pt>
                <c:pt idx="50">
                  <c:v>12.414107480023542</c:v>
                </c:pt>
                <c:pt idx="51">
                  <c:v>13.476589218050027</c:v>
                </c:pt>
                <c:pt idx="52">
                  <c:v>14.835553043283189</c:v>
                </c:pt>
                <c:pt idx="53">
                  <c:v>16.290564638357512</c:v>
                </c:pt>
                <c:pt idx="54">
                  <c:v>17.846879535426272</c:v>
                </c:pt>
                <c:pt idx="55">
                  <c:v>19.498261169667582</c:v>
                </c:pt>
                <c:pt idx="56">
                  <c:v>21.25965861031742</c:v>
                </c:pt>
                <c:pt idx="57">
                  <c:v>23.136841263784046</c:v>
                </c:pt>
                <c:pt idx="58">
                  <c:v>24.995664591595236</c:v>
                </c:pt>
                <c:pt idx="59">
                  <c:v>27.113557258183</c:v>
                </c:pt>
                <c:pt idx="60">
                  <c:v>29.178896988489356</c:v>
                </c:pt>
                <c:pt idx="61">
                  <c:v>31.571595773038879</c:v>
                </c:pt>
                <c:pt idx="62">
                  <c:v>34.111638802562126</c:v>
                </c:pt>
                <c:pt idx="63">
                  <c:v>36.802456486310149</c:v>
                </c:pt>
                <c:pt idx="64">
                  <c:v>39.634784385693372</c:v>
                </c:pt>
                <c:pt idx="65">
                  <c:v>42.627594764120666</c:v>
                </c:pt>
                <c:pt idx="66">
                  <c:v>45.788401851380051</c:v>
                </c:pt>
                <c:pt idx="67">
                  <c:v>49.124883230081025</c:v>
                </c:pt>
                <c:pt idx="68">
                  <c:v>52.644949844006625</c:v>
                </c:pt>
                <c:pt idx="69">
                  <c:v>56.085146079501136</c:v>
                </c:pt>
                <c:pt idx="70">
                  <c:v>59.981627550700239</c:v>
                </c:pt>
                <c:pt idx="71">
                  <c:v>64.074835546802277</c:v>
                </c:pt>
                <c:pt idx="72">
                  <c:v>68.373512950817286</c:v>
                </c:pt>
                <c:pt idx="73">
                  <c:v>72.883138636098209</c:v>
                </c:pt>
                <c:pt idx="74">
                  <c:v>77.985928133488699</c:v>
                </c:pt>
                <c:pt idx="75">
                  <c:v>83.341585121883838</c:v>
                </c:pt>
                <c:pt idx="76">
                  <c:v>88.959761744126695</c:v>
                </c:pt>
                <c:pt idx="77">
                  <c:v>94.850319972252578</c:v>
                </c:pt>
                <c:pt idx="78">
                  <c:v>101.02337823619844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5029264"/>
        <c:axId val="4650298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升级时间!$K$1</c15:sqref>
                        </c15:formulaRef>
                      </c:ext>
                    </c:extLst>
                    <c:strCache>
                      <c:ptCount val="1"/>
                      <c:pt idx="0">
                        <c:v>标准升级时间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升级时间!$A$4:$A$82</c15:sqref>
                        </c15:formulaRef>
                      </c:ext>
                    </c:extLst>
                    <c:numCache>
                      <c:formatCode>General</c:formatCode>
                      <c:ptCount val="7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升级时间!$K$4:$K$82</c15:sqref>
                        </c15:formulaRef>
                      </c:ext>
                    </c:extLst>
                    <c:numCache>
                      <c:formatCode>0.0</c:formatCode>
                      <c:ptCount val="79"/>
                      <c:pt idx="0">
                        <c:v>0</c:v>
                      </c:pt>
                      <c:pt idx="1">
                        <c:v>3.995139087029519E-3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1.1429132071755332E-2</c:v>
                      </c:pt>
                      <c:pt idx="5">
                        <c:v>0</c:v>
                      </c:pt>
                      <c:pt idx="6">
                        <c:v>1.3805986971633653E-2</c:v>
                      </c:pt>
                      <c:pt idx="7">
                        <c:v>3.6411394210901942E-3</c:v>
                      </c:pt>
                      <c:pt idx="8">
                        <c:v>1.8256268486299448E-2</c:v>
                      </c:pt>
                      <c:pt idx="9">
                        <c:v>-9.942449890350688E-3</c:v>
                      </c:pt>
                      <c:pt idx="10">
                        <c:v>5.0469288783506023E-3</c:v>
                      </c:pt>
                      <c:pt idx="11">
                        <c:v>-2.3468219284330301E-2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0.22327960665936386</c:v>
                      </c:pt>
                      <c:pt idx="27">
                        <c:v>0.10496609525786471</c:v>
                      </c:pt>
                      <c:pt idx="28">
                        <c:v>0.20197410843763797</c:v>
                      </c:pt>
                      <c:pt idx="29">
                        <c:v>0.24705904283657248</c:v>
                      </c:pt>
                      <c:pt idx="30">
                        <c:v>0.35201515299786718</c:v>
                      </c:pt>
                      <c:pt idx="31">
                        <c:v>0.46400855023894211</c:v>
                      </c:pt>
                      <c:pt idx="32">
                        <c:v>0.41097756545916919</c:v>
                      </c:pt>
                      <c:pt idx="33">
                        <c:v>0.58776427017050703</c:v>
                      </c:pt>
                      <c:pt idx="34">
                        <c:v>0.56615479075265474</c:v>
                      </c:pt>
                      <c:pt idx="35">
                        <c:v>0.6928818493982255</c:v>
                      </c:pt>
                      <c:pt idx="36">
                        <c:v>0.59312806313053945</c:v>
                      </c:pt>
                      <c:pt idx="37">
                        <c:v>0.78993830842812307</c:v>
                      </c:pt>
                      <c:pt idx="38">
                        <c:v>0.80569637808046635</c:v>
                      </c:pt>
                      <c:pt idx="39">
                        <c:v>0.96060699133404548</c:v>
                      </c:pt>
                      <c:pt idx="40">
                        <c:v>1.1375857698043312</c:v>
                      </c:pt>
                      <c:pt idx="41">
                        <c:v>1.080293200206131</c:v>
                      </c:pt>
                      <c:pt idx="42">
                        <c:v>1.3570262301120297</c:v>
                      </c:pt>
                      <c:pt idx="43">
                        <c:v>1.3894274689779536</c:v>
                      </c:pt>
                      <c:pt idx="44">
                        <c:v>1.6087734650323986</c:v>
                      </c:pt>
                      <c:pt idx="45">
                        <c:v>1.4485620915145954</c:v>
                      </c:pt>
                      <c:pt idx="46">
                        <c:v>1.779423138534705</c:v>
                      </c:pt>
                      <c:pt idx="47">
                        <c:v>1.806865004104824</c:v>
                      </c:pt>
                      <c:pt idx="48">
                        <c:v>2.0697590209090966</c:v>
                      </c:pt>
                      <c:pt idx="49">
                        <c:v>2.2240681391493489</c:v>
                      </c:pt>
                      <c:pt idx="50">
                        <c:v>2.2359953333160996</c:v>
                      </c:pt>
                      <c:pt idx="51">
                        <c:v>2.1443963678378539</c:v>
                      </c:pt>
                      <c:pt idx="52">
                        <c:v>2.7427832277531237</c:v>
                      </c:pt>
                      <c:pt idx="53">
                        <c:v>2.9366354902577791</c:v>
                      </c:pt>
                      <c:pt idx="54">
                        <c:v>3.141094941250651</c:v>
                      </c:pt>
                      <c:pt idx="55">
                        <c:v>3.3329671952375062</c:v>
                      </c:pt>
                      <c:pt idx="56">
                        <c:v>3.5550110075908443</c:v>
                      </c:pt>
                      <c:pt idx="57">
                        <c:v>3.7886991557512468</c:v>
                      </c:pt>
                      <c:pt idx="58">
                        <c:v>3.7516447106324096</c:v>
                      </c:pt>
                      <c:pt idx="59">
                        <c:v>4.2704626415545279</c:v>
                      </c:pt>
                      <c:pt idx="60">
                        <c:v>4.1644962936680985</c:v>
                      </c:pt>
                      <c:pt idx="61">
                        <c:v>4.8245744145166034</c:v>
                      </c:pt>
                      <c:pt idx="62">
                        <c:v>5.1216754449583952</c:v>
                      </c:pt>
                      <c:pt idx="63">
                        <c:v>5.425693461696504</c:v>
                      </c:pt>
                      <c:pt idx="64">
                        <c:v>5.7110309100017034</c:v>
                      </c:pt>
                      <c:pt idx="65">
                        <c:v>6.0346235274151026</c:v>
                      </c:pt>
                      <c:pt idx="66">
                        <c:v>6.3733676386204339</c:v>
                      </c:pt>
                      <c:pt idx="67">
                        <c:v>6.7275926239175217</c:v>
                      </c:pt>
                      <c:pt idx="68">
                        <c:v>7.0977690265918296</c:v>
                      </c:pt>
                      <c:pt idx="69">
                        <c:v>6.9301518117080239</c:v>
                      </c:pt>
                      <c:pt idx="70">
                        <c:v>7.8493220381760178</c:v>
                      </c:pt>
                      <c:pt idx="71">
                        <c:v>8.2456205600163397</c:v>
                      </c:pt>
                      <c:pt idx="72">
                        <c:v>8.659531305806663</c:v>
                      </c:pt>
                      <c:pt idx="73">
                        <c:v>9.084479045272321</c:v>
                      </c:pt>
                      <c:pt idx="74">
                        <c:v>10.279386249901554</c:v>
                      </c:pt>
                      <c:pt idx="75">
                        <c:v>10.788778732466158</c:v>
                      </c:pt>
                      <c:pt idx="76">
                        <c:v>11.317615110271564</c:v>
                      </c:pt>
                      <c:pt idx="77">
                        <c:v>11.866318076692572</c:v>
                      </c:pt>
                      <c:pt idx="78">
                        <c:v>12.435404256965052</c:v>
                      </c:pt>
                    </c:numCache>
                  </c:numRef>
                </c:val>
                <c:smooth val="1"/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升级时间!$M$1</c15:sqref>
                        </c15:formulaRef>
                      </c:ext>
                    </c:extLst>
                    <c:strCache>
                      <c:ptCount val="1"/>
                      <c:pt idx="0">
                        <c:v>非R升级时间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升级时间!$A$4:$A$82</c15:sqref>
                        </c15:formulaRef>
                      </c:ext>
                    </c:extLst>
                    <c:numCache>
                      <c:formatCode>General</c:formatCode>
                      <c:ptCount val="7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升级时间!$M$4:$M$82</c15:sqref>
                        </c15:formulaRef>
                      </c:ext>
                    </c:extLst>
                    <c:numCache>
                      <c:formatCode>0.0</c:formatCode>
                      <c:ptCount val="79"/>
                      <c:pt idx="0">
                        <c:v>0</c:v>
                      </c:pt>
                      <c:pt idx="1">
                        <c:v>4.5470164483051674E-3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1.3007920472366683E-2</c:v>
                      </c:pt>
                      <c:pt idx="5">
                        <c:v>0</c:v>
                      </c:pt>
                      <c:pt idx="6">
                        <c:v>1.5713107473257097E-2</c:v>
                      </c:pt>
                      <c:pt idx="7">
                        <c:v>4.144116256683191E-3</c:v>
                      </c:pt>
                      <c:pt idx="8">
                        <c:v>2.0778138453647666E-2</c:v>
                      </c:pt>
                      <c:pt idx="9">
                        <c:v>-1.1312717415564229E-2</c:v>
                      </c:pt>
                      <c:pt idx="10">
                        <c:v>5.7424961500326032E-3</c:v>
                      </c:pt>
                      <c:pt idx="11">
                        <c:v>-2.6702607097651605E-2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0.25398145931003829</c:v>
                      </c:pt>
                      <c:pt idx="27">
                        <c:v>0.11939935962150232</c:v>
                      </c:pt>
                      <c:pt idx="28">
                        <c:v>0.22974636856152797</c:v>
                      </c:pt>
                      <c:pt idx="29">
                        <c:v>0.28095298860975709</c:v>
                      </c:pt>
                      <c:pt idx="30">
                        <c:v>0.40030799170582482</c:v>
                      </c:pt>
                      <c:pt idx="31">
                        <c:v>0.52766572489454078</c:v>
                      </c:pt>
                      <c:pt idx="32">
                        <c:v>0.467359437410656</c:v>
                      </c:pt>
                      <c:pt idx="33">
                        <c:v>0.66839944980954014</c:v>
                      </c:pt>
                      <c:pt idx="34">
                        <c:v>0.63869212390508201</c:v>
                      </c:pt>
                      <c:pt idx="35">
                        <c:v>0.78165580727333761</c:v>
                      </c:pt>
                      <c:pt idx="36">
                        <c:v>0.66912128728070031</c:v>
                      </c:pt>
                      <c:pt idx="37">
                        <c:v>0.8911474109284131</c:v>
                      </c:pt>
                      <c:pt idx="38">
                        <c:v>0.90892444847943221</c:v>
                      </c:pt>
                      <c:pt idx="39">
                        <c:v>1.0834203889342977</c:v>
                      </c:pt>
                      <c:pt idx="40">
                        <c:v>1.2830258662347607</c:v>
                      </c:pt>
                      <c:pt idx="41">
                        <c:v>1.2184084539141145</c:v>
                      </c:pt>
                      <c:pt idx="42">
                        <c:v>1.5305217422790494</c:v>
                      </c:pt>
                      <c:pt idx="43">
                        <c:v>1.5670654725774529</c:v>
                      </c:pt>
                      <c:pt idx="44">
                        <c:v>1.8144548071339912</c:v>
                      </c:pt>
                      <c:pt idx="45">
                        <c:v>1.6337604439092328</c:v>
                      </c:pt>
                      <c:pt idx="46">
                        <c:v>2.0069220047551743</c:v>
                      </c:pt>
                      <c:pt idx="47">
                        <c:v>2.0378723069466793</c:v>
                      </c:pt>
                      <c:pt idx="48">
                        <c:v>2.3343772673561736</c:v>
                      </c:pt>
                      <c:pt idx="49">
                        <c:v>2.5078101672770763</c:v>
                      </c:pt>
                      <c:pt idx="50">
                        <c:v>2.5212590082869135</c:v>
                      </c:pt>
                      <c:pt idx="51">
                        <c:v>2.4179740356303361</c:v>
                      </c:pt>
                      <c:pt idx="52">
                        <c:v>3.0927018575191361</c:v>
                      </c:pt>
                      <c:pt idx="53">
                        <c:v>3.3112853920347547</c:v>
                      </c:pt>
                      <c:pt idx="54">
                        <c:v>3.5418293582784899</c:v>
                      </c:pt>
                      <c:pt idx="55">
                        <c:v>3.7581802788715266</c:v>
                      </c:pt>
                      <c:pt idx="56">
                        <c:v>4.0085519830467611</c:v>
                      </c:pt>
                      <c:pt idx="57">
                        <c:v>4.2720535833857491</c:v>
                      </c:pt>
                      <c:pt idx="58">
                        <c:v>4.2302718085488635</c:v>
                      </c:pt>
                      <c:pt idx="59">
                        <c:v>4.8141234760457028</c:v>
                      </c:pt>
                      <c:pt idx="60">
                        <c:v>4.6946668443292889</c:v>
                      </c:pt>
                      <c:pt idx="61">
                        <c:v>5.4387776923389977</c:v>
                      </c:pt>
                      <c:pt idx="62">
                        <c:v>5.7737018365030481</c:v>
                      </c:pt>
                      <c:pt idx="63">
                        <c:v>6.1164235494336667</c:v>
                      </c:pt>
                      <c:pt idx="64">
                        <c:v>6.4380865222260022</c:v>
                      </c:pt>
                      <c:pt idx="65">
                        <c:v>6.8028748243191561</c:v>
                      </c:pt>
                      <c:pt idx="66">
                        <c:v>7.1847435151390799</c:v>
                      </c:pt>
                      <c:pt idx="67">
                        <c:v>7.5840639074841816</c:v>
                      </c:pt>
                      <c:pt idx="68">
                        <c:v>8.0013664482093301</c:v>
                      </c:pt>
                      <c:pt idx="69">
                        <c:v>7.8105423458961907</c:v>
                      </c:pt>
                      <c:pt idx="70">
                        <c:v>8.8464818421690499</c:v>
                      </c:pt>
                      <c:pt idx="71">
                        <c:v>9.2931252160155786</c:v>
                      </c:pt>
                      <c:pt idx="72">
                        <c:v>9.7596182302025234</c:v>
                      </c:pt>
                      <c:pt idx="73">
                        <c:v>10.238550352336132</c:v>
                      </c:pt>
                      <c:pt idx="74">
                        <c:v>11.585255817778577</c:v>
                      </c:pt>
                      <c:pt idx="75">
                        <c:v>12.159360348797708</c:v>
                      </c:pt>
                      <c:pt idx="76">
                        <c:v>12.755378882752662</c:v>
                      </c:pt>
                      <c:pt idx="77">
                        <c:v>13.373787811011608</c:v>
                      </c:pt>
                      <c:pt idx="78">
                        <c:v>14.015169389691197</c:v>
                      </c:pt>
                    </c:numCache>
                  </c:numRef>
                </c:val>
                <c:smooth val="1"/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升级时间!$O$1</c15:sqref>
                        </c15:formulaRef>
                      </c:ext>
                    </c:extLst>
                    <c:strCache>
                      <c:ptCount val="1"/>
                      <c:pt idx="0">
                        <c:v>小R升级时间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升级时间!$A$4:$A$82</c15:sqref>
                        </c15:formulaRef>
                      </c:ext>
                    </c:extLst>
                    <c:numCache>
                      <c:formatCode>General</c:formatCode>
                      <c:ptCount val="7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升级时间!$O$4:$O$82</c15:sqref>
                        </c15:formulaRef>
                      </c:ext>
                    </c:extLst>
                    <c:numCache>
                      <c:formatCode>0.0</c:formatCode>
                      <c:ptCount val="79"/>
                      <c:pt idx="0">
                        <c:v>0</c:v>
                      </c:pt>
                      <c:pt idx="1">
                        <c:v>3.562726312883058E-3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1.0192103122931281E-2</c:v>
                      </c:pt>
                      <c:pt idx="5">
                        <c:v>0</c:v>
                      </c:pt>
                      <c:pt idx="6">
                        <c:v>1.2311699790089555E-2</c:v>
                      </c:pt>
                      <c:pt idx="7">
                        <c:v>3.2470417028807618E-3</c:v>
                      </c:pt>
                      <c:pt idx="8">
                        <c:v>1.6280306315832709E-2</c:v>
                      </c:pt>
                      <c:pt idx="9">
                        <c:v>-8.8682693035703787E-3</c:v>
                      </c:pt>
                      <c:pt idx="10">
                        <c:v>4.5016595449595834E-3</c:v>
                      </c:pt>
                      <c:pt idx="11">
                        <c:v>-2.093271688406206E-2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0.19919987561948344</c:v>
                      </c:pt>
                      <c:pt idx="27">
                        <c:v>9.3645960025040262E-2</c:v>
                      </c:pt>
                      <c:pt idx="28">
                        <c:v>0.18019208238983275</c:v>
                      </c:pt>
                      <c:pt idx="29">
                        <c:v>0.22046260854989524</c:v>
                      </c:pt>
                      <c:pt idx="30">
                        <c:v>0.31411996900812134</c:v>
                      </c:pt>
                      <c:pt idx="31">
                        <c:v>0.4140570375430484</c:v>
                      </c:pt>
                      <c:pt idx="32">
                        <c:v>0.36673495167933745</c:v>
                      </c:pt>
                      <c:pt idx="33">
                        <c:v>0.52449018957760429</c:v>
                      </c:pt>
                      <c:pt idx="34">
                        <c:v>0.50841342716716498</c:v>
                      </c:pt>
                      <c:pt idx="35">
                        <c:v>0.62221576400715728</c:v>
                      </c:pt>
                      <c:pt idx="36">
                        <c:v>0.53263573187171898</c:v>
                      </c:pt>
                      <c:pt idx="37">
                        <c:v>0.70937356567214016</c:v>
                      </c:pt>
                      <c:pt idx="38">
                        <c:v>0.72352449105216909</c:v>
                      </c:pt>
                      <c:pt idx="39">
                        <c:v>0.86280222937058926</c:v>
                      </c:pt>
                      <c:pt idx="40">
                        <c:v>1.0217618101283628</c:v>
                      </c:pt>
                      <c:pt idx="41">
                        <c:v>0.97030251697138947</c:v>
                      </c:pt>
                      <c:pt idx="42">
                        <c:v>1.2188598117831841</c:v>
                      </c:pt>
                      <c:pt idx="43">
                        <c:v>1.2479620995867158</c:v>
                      </c:pt>
                      <c:pt idx="44">
                        <c:v>1.4449752549214103</c:v>
                      </c:pt>
                      <c:pt idx="45">
                        <c:v>1.3010758959861639</c:v>
                      </c:pt>
                      <c:pt idx="46">
                        <c:v>1.5982501322306806</c:v>
                      </c:pt>
                      <c:pt idx="47">
                        <c:v>1.6228979882275492</c:v>
                      </c:pt>
                      <c:pt idx="48">
                        <c:v>1.859025297140751</c:v>
                      </c:pt>
                      <c:pt idx="49">
                        <c:v>1.9980069515651468</c:v>
                      </c:pt>
                      <c:pt idx="50">
                        <c:v>2.008721828703286</c:v>
                      </c:pt>
                      <c:pt idx="51">
                        <c:v>1.9264332663340999</c:v>
                      </c:pt>
                      <c:pt idx="52">
                        <c:v>2.4639982288416018</c:v>
                      </c:pt>
                      <c:pt idx="53">
                        <c:v>2.6381467458061372</c:v>
                      </c:pt>
                      <c:pt idx="54">
                        <c:v>2.8218243037037998</c:v>
                      </c:pt>
                      <c:pt idx="55">
                        <c:v>2.994194066360818</c:v>
                      </c:pt>
                      <c:pt idx="56">
                        <c:v>3.1936686565609547</c:v>
                      </c:pt>
                      <c:pt idx="57">
                        <c:v>3.4036040161410135</c:v>
                      </c:pt>
                      <c:pt idx="58">
                        <c:v>3.3703158998146212</c:v>
                      </c:pt>
                      <c:pt idx="59">
                        <c:v>3.8371336479246443</c:v>
                      </c:pt>
                      <c:pt idx="60">
                        <c:v>3.7419198331341481</c:v>
                      </c:pt>
                      <c:pt idx="61">
                        <c:v>4.3350190311275245</c:v>
                      </c:pt>
                      <c:pt idx="62">
                        <c:v>4.6019728617612703</c:v>
                      </c:pt>
                      <c:pt idx="63">
                        <c:v>4.8751418037512337</c:v>
                      </c:pt>
                      <c:pt idx="64">
                        <c:v>5.1315257171124999</c:v>
                      </c:pt>
                      <c:pt idx="65">
                        <c:v>5.4222830014438692</c:v>
                      </c:pt>
                      <c:pt idx="66">
                        <c:v>5.7266543392221925</c:v>
                      </c:pt>
                      <c:pt idx="67">
                        <c:v>6.0449356881310994</c:v>
                      </c:pt>
                      <c:pt idx="68">
                        <c:v>6.3775498448614885</c:v>
                      </c:pt>
                      <c:pt idx="69">
                        <c:v>6.2281282039206518</c:v>
                      </c:pt>
                      <c:pt idx="70">
                        <c:v>7.0541865886731951</c:v>
                      </c:pt>
                      <c:pt idx="71">
                        <c:v>7.4103401143255363</c:v>
                      </c:pt>
                      <c:pt idx="72">
                        <c:v>7.7823217476004922</c:v>
                      </c:pt>
                      <c:pt idx="73">
                        <c:v>8.1642223283189548</c:v>
                      </c:pt>
                      <c:pt idx="74">
                        <c:v>9.2380855660111632</c:v>
                      </c:pt>
                      <c:pt idx="75">
                        <c:v>9.6958766467441908</c:v>
                      </c:pt>
                      <c:pt idx="76">
                        <c:v>10.171141958292585</c:v>
                      </c:pt>
                      <c:pt idx="77">
                        <c:v>10.66426137523929</c:v>
                      </c:pt>
                      <c:pt idx="78">
                        <c:v>11.175699188741236</c:v>
                      </c:pt>
                    </c:numCache>
                  </c:numRef>
                </c:val>
                <c:smooth val="1"/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升级时间!$Q$1</c15:sqref>
                        </c15:formulaRef>
                      </c:ext>
                    </c:extLst>
                    <c:strCache>
                      <c:ptCount val="1"/>
                      <c:pt idx="0">
                        <c:v>中R升级时间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升级时间!$A$4:$A$82</c15:sqref>
                        </c15:formulaRef>
                      </c:ext>
                    </c:extLst>
                    <c:numCache>
                      <c:formatCode>General</c:formatCode>
                      <c:ptCount val="7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升级时间!$Q$4:$Q$82</c15:sqref>
                        </c15:formulaRef>
                      </c:ext>
                    </c:extLst>
                    <c:numCache>
                      <c:formatCode>0.0</c:formatCode>
                      <c:ptCount val="79"/>
                      <c:pt idx="0">
                        <c:v>0</c:v>
                      </c:pt>
                      <c:pt idx="1">
                        <c:v>2.6894505149087674E-3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7.6938710932833096E-3</c:v>
                      </c:pt>
                      <c:pt idx="5">
                        <c:v>0</c:v>
                      </c:pt>
                      <c:pt idx="6">
                        <c:v>9.293923931267007E-3</c:v>
                      </c:pt>
                      <c:pt idx="7">
                        <c:v>2.4511447730814085E-3</c:v>
                      </c:pt>
                      <c:pt idx="8">
                        <c:v>1.2289767542810951E-2</c:v>
                      </c:pt>
                      <c:pt idx="9">
                        <c:v>-6.6974841689513417E-3</c:v>
                      </c:pt>
                      <c:pt idx="10">
                        <c:v>3.3997381568280924E-3</c:v>
                      </c:pt>
                      <c:pt idx="11">
                        <c:v>-1.5808782429250628E-2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0.15050572047590022</c:v>
                      </c:pt>
                      <c:pt idx="27">
                        <c:v>7.0754324717296646E-2</c:v>
                      </c:pt>
                      <c:pt idx="28">
                        <c:v>0.13614435802128577</c:v>
                      </c:pt>
                      <c:pt idx="29">
                        <c:v>0.16664389392427931</c:v>
                      </c:pt>
                      <c:pt idx="30">
                        <c:v>0.23743788182130784</c:v>
                      </c:pt>
                      <c:pt idx="31">
                        <c:v>0.3129785930447655</c:v>
                      </c:pt>
                      <c:pt idx="32">
                        <c:v>0.27720864226346037</c:v>
                      </c:pt>
                      <c:pt idx="33">
                        <c:v>0.3964531132566832</c:v>
                      </c:pt>
                      <c:pt idx="34">
                        <c:v>0.38930067475847213</c:v>
                      </c:pt>
                      <c:pt idx="35">
                        <c:v>0.47644102974035007</c:v>
                      </c:pt>
                      <c:pt idx="36">
                        <c:v>0.40784809908247155</c:v>
                      </c:pt>
                      <c:pt idx="37">
                        <c:v>0.54317921796582869</c:v>
                      </c:pt>
                      <c:pt idx="38">
                        <c:v>0.55401481849195466</c:v>
                      </c:pt>
                      <c:pt idx="39">
                        <c:v>0.66092487322578963</c:v>
                      </c:pt>
                      <c:pt idx="40">
                        <c:v>0.78269129568507934</c:v>
                      </c:pt>
                      <c:pt idx="41">
                        <c:v>0.74327238176911503</c:v>
                      </c:pt>
                      <c:pt idx="42">
                        <c:v>0.93367256036238389</c:v>
                      </c:pt>
                      <c:pt idx="43">
                        <c:v>0.95596553228847747</c:v>
                      </c:pt>
                      <c:pt idx="44">
                        <c:v>1.1068818028785339</c:v>
                      </c:pt>
                      <c:pt idx="45">
                        <c:v>0.99665183090577947</c:v>
                      </c:pt>
                      <c:pt idx="46">
                        <c:v>1.2242936214922018</c:v>
                      </c:pt>
                      <c:pt idx="47">
                        <c:v>1.2431744038377708</c:v>
                      </c:pt>
                      <c:pt idx="48">
                        <c:v>1.4240529486491951</c:v>
                      </c:pt>
                      <c:pt idx="49">
                        <c:v>1.5311227485413592</c:v>
                      </c:pt>
                      <c:pt idx="50">
                        <c:v>1.5393338271470562</c:v>
                      </c:pt>
                      <c:pt idx="51">
                        <c:v>1.4762740416495499</c:v>
                      </c:pt>
                      <c:pt idx="52">
                        <c:v>1.8882235307488031</c:v>
                      </c:pt>
                      <c:pt idx="53">
                        <c:v>2.0216778992334898</c:v>
                      </c:pt>
                      <c:pt idx="54">
                        <c:v>2.1624346103517018</c:v>
                      </c:pt>
                      <c:pt idx="55">
                        <c:v>2.2945258748781305</c:v>
                      </c:pt>
                      <c:pt idx="56">
                        <c:v>2.4473882473399189</c:v>
                      </c:pt>
                      <c:pt idx="57">
                        <c:v>2.6082669692705105</c:v>
                      </c:pt>
                      <c:pt idx="58">
                        <c:v>2.5827574523373968</c:v>
                      </c:pt>
                      <c:pt idx="59">
                        <c:v>2.9416540862502427</c:v>
                      </c:pt>
                      <c:pt idx="60">
                        <c:v>2.8686605100433193</c:v>
                      </c:pt>
                      <c:pt idx="61">
                        <c:v>3.3233469607674415</c:v>
                      </c:pt>
                      <c:pt idx="62">
                        <c:v>3.5280012414825901</c:v>
                      </c:pt>
                      <c:pt idx="63">
                        <c:v>3.7374202005735904</c:v>
                      </c:pt>
                      <c:pt idx="64">
                        <c:v>3.9339712867719845</c:v>
                      </c:pt>
                      <c:pt idx="65">
                        <c:v>4.1568739615388637</c:v>
                      </c:pt>
                      <c:pt idx="66">
                        <c:v>4.3902135508433231</c:v>
                      </c:pt>
                      <c:pt idx="67">
                        <c:v>4.6342169441318308</c:v>
                      </c:pt>
                      <c:pt idx="68">
                        <c:v>4.8892082691850582</c:v>
                      </c:pt>
                      <c:pt idx="69">
                        <c:v>4.7765394567013688</c:v>
                      </c:pt>
                      <c:pt idx="70">
                        <c:v>5.4100685587236557</c:v>
                      </c:pt>
                      <c:pt idx="71">
                        <c:v>5.6832134446704154</c:v>
                      </c:pt>
                      <c:pt idx="72">
                        <c:v>5.9684973839746114</c:v>
                      </c:pt>
                      <c:pt idx="73">
                        <c:v>6.261388463382799</c:v>
                      </c:pt>
                      <c:pt idx="74">
                        <c:v>7.0849665847690853</c:v>
                      </c:pt>
                      <c:pt idx="75">
                        <c:v>7.4360603786750543</c:v>
                      </c:pt>
                      <c:pt idx="76">
                        <c:v>7.8005556874876314</c:v>
                      </c:pt>
                      <c:pt idx="77">
                        <c:v>8.1787438484873949</c:v>
                      </c:pt>
                      <c:pt idx="78">
                        <c:v>8.570980940572829</c:v>
                      </c:pt>
                    </c:numCache>
                  </c:numRef>
                </c:val>
                <c:smooth val="1"/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升级时间!$S$1</c15:sqref>
                        </c15:formulaRef>
                      </c:ext>
                    </c:extLst>
                    <c:strCache>
                      <c:ptCount val="1"/>
                      <c:pt idx="0">
                        <c:v>大R升级时间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升级时间!$A$4:$A$82</c15:sqref>
                        </c15:formulaRef>
                      </c:ext>
                    </c:extLst>
                    <c:numCache>
                      <c:formatCode>General</c:formatCode>
                      <c:ptCount val="7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升级时间!$S$4:$S$82</c15:sqref>
                        </c15:formulaRef>
                      </c:ext>
                    </c:extLst>
                    <c:numCache>
                      <c:formatCode>0.0</c:formatCode>
                      <c:ptCount val="79"/>
                      <c:pt idx="0">
                        <c:v>0</c:v>
                      </c:pt>
                      <c:pt idx="1">
                        <c:v>1.9094103251965629E-3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5.4623637151192811E-3</c:v>
                      </c:pt>
                      <c:pt idx="5">
                        <c:v>0</c:v>
                      </c:pt>
                      <c:pt idx="6">
                        <c:v>6.5983420098564768E-3</c:v>
                      </c:pt>
                      <c:pt idx="7">
                        <c:v>1.7402220685335764E-3</c:v>
                      </c:pt>
                      <c:pt idx="8">
                        <c:v>8.7252800936197372E-3</c:v>
                      </c:pt>
                      <c:pt idx="9">
                        <c:v>-4.7568420699895218E-3</c:v>
                      </c:pt>
                      <c:pt idx="10">
                        <c:v>2.4146406446647318E-3</c:v>
                      </c:pt>
                      <c:pt idx="11">
                        <c:v>-1.1228078997691002E-2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0.10693773329907864</c:v>
                      </c:pt>
                      <c:pt idx="27">
                        <c:v>5.027255497299344E-2</c:v>
                      </c:pt>
                      <c:pt idx="28">
                        <c:v>9.6733659041124603E-2</c:v>
                      </c:pt>
                      <c:pt idx="29">
                        <c:v>0.11845077484101305</c:v>
                      </c:pt>
                      <c:pt idx="30">
                        <c:v>0.16877126677754109</c:v>
                      </c:pt>
                      <c:pt idx="31">
                        <c:v>0.22246573805847233</c:v>
                      </c:pt>
                      <c:pt idx="32">
                        <c:v>0.19704039371314805</c:v>
                      </c:pt>
                      <c:pt idx="33">
                        <c:v>0.28179957481504897</c:v>
                      </c:pt>
                      <c:pt idx="34">
                        <c:v>0.27997733810655401</c:v>
                      </c:pt>
                      <c:pt idx="35">
                        <c:v>0.34264695624842556</c:v>
                      </c:pt>
                      <c:pt idx="36">
                        <c:v>0.29331627848775893</c:v>
                      </c:pt>
                      <c:pt idx="37">
                        <c:v>0.39064373997097174</c:v>
                      </c:pt>
                      <c:pt idx="38">
                        <c:v>0.39843648935157039</c:v>
                      </c:pt>
                      <c:pt idx="39">
                        <c:v>0.4754976562761527</c:v>
                      </c:pt>
                      <c:pt idx="40">
                        <c:v>0.56310163494006971</c:v>
                      </c:pt>
                      <c:pt idx="41">
                        <c:v>0.5347419802511636</c:v>
                      </c:pt>
                      <c:pt idx="42">
                        <c:v>0.67172402214918592</c:v>
                      </c:pt>
                      <c:pt idx="43">
                        <c:v>0.68776254079435462</c:v>
                      </c:pt>
                      <c:pt idx="44">
                        <c:v>0.79633816847389305</c:v>
                      </c:pt>
                      <c:pt idx="45">
                        <c:v>0.71703400631002689</c:v>
                      </c:pt>
                      <c:pt idx="46">
                        <c:v>0.88080925865610071</c:v>
                      </c:pt>
                      <c:pt idx="47">
                        <c:v>0.89439290199843746</c:v>
                      </c:pt>
                      <c:pt idx="48">
                        <c:v>1.0245246728133193</c:v>
                      </c:pt>
                      <c:pt idx="49">
                        <c:v>1.1019566239777403</c:v>
                      </c:pt>
                      <c:pt idx="50">
                        <c:v>1.107866177910088</c:v>
                      </c:pt>
                      <c:pt idx="51">
                        <c:v>1.0624817380264848</c:v>
                      </c:pt>
                      <c:pt idx="52">
                        <c:v>1.3589638252331628</c:v>
                      </c:pt>
                      <c:pt idx="53">
                        <c:v>1.4550115950743243</c:v>
                      </c:pt>
                      <c:pt idx="54">
                        <c:v>1.5563148970687593</c:v>
                      </c:pt>
                      <c:pt idx="55">
                        <c:v>1.6513816342413095</c:v>
                      </c:pt>
                      <c:pt idx="56">
                        <c:v>1.7613974406498381</c:v>
                      </c:pt>
                      <c:pt idx="57">
                        <c:v>1.8771826534666272</c:v>
                      </c:pt>
                      <c:pt idx="58">
                        <c:v>1.8588233278111912</c:v>
                      </c:pt>
                      <c:pt idx="59">
                        <c:v>2.1178926665877649</c:v>
                      </c:pt>
                      <c:pt idx="60">
                        <c:v>2.0653397303063548</c:v>
                      </c:pt>
                      <c:pt idx="61">
                        <c:v>2.3926987845495251</c:v>
                      </c:pt>
                      <c:pt idx="62">
                        <c:v>2.5400430295232477</c:v>
                      </c:pt>
                      <c:pt idx="63">
                        <c:v>2.6908176837480209</c:v>
                      </c:pt>
                      <c:pt idx="64">
                        <c:v>2.832327899383221</c:v>
                      </c:pt>
                      <c:pt idx="65">
                        <c:v>2.9928103784272957</c:v>
                      </c:pt>
                      <c:pt idx="66">
                        <c:v>3.1608070872593874</c:v>
                      </c:pt>
                      <c:pt idx="67">
                        <c:v>3.3364813787009751</c:v>
                      </c:pt>
                      <c:pt idx="68">
                        <c:v>3.5200666139255987</c:v>
                      </c:pt>
                      <c:pt idx="69">
                        <c:v>3.4401962354945099</c:v>
                      </c:pt>
                      <c:pt idx="70">
                        <c:v>3.896481471199106</c:v>
                      </c:pt>
                      <c:pt idx="71">
                        <c:v>4.0932079961020431</c:v>
                      </c:pt>
                      <c:pt idx="72">
                        <c:v>4.298677404015006</c:v>
                      </c:pt>
                      <c:pt idx="73">
                        <c:v>4.5096256852809189</c:v>
                      </c:pt>
                      <c:pt idx="74">
                        <c:v>5.1027894973904857</c:v>
                      </c:pt>
                      <c:pt idx="75">
                        <c:v>5.3556569883951379</c:v>
                      </c:pt>
                      <c:pt idx="76">
                        <c:v>5.6181766222428591</c:v>
                      </c:pt>
                      <c:pt idx="77">
                        <c:v>5.8905582281258893</c:v>
                      </c:pt>
                      <c:pt idx="78">
                        <c:v>6.1730582639458573</c:v>
                      </c:pt>
                    </c:numCache>
                  </c:numRef>
                </c:val>
                <c:smooth val="1"/>
              </c15:ser>
            </c15:filteredLineSeries>
          </c:ext>
        </c:extLst>
      </c:lineChart>
      <c:catAx>
        <c:axId val="46502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029824"/>
        <c:crosses val="autoZero"/>
        <c:auto val="1"/>
        <c:lblAlgn val="ctr"/>
        <c:lblOffset val="100"/>
        <c:noMultiLvlLbl val="0"/>
      </c:catAx>
      <c:valAx>
        <c:axId val="46502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502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金币生产率曲线!$L$2:$L$81</c:f>
              <c:numCache>
                <c:formatCode>General</c:formatCode>
                <c:ptCount val="8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318.74772404793828</c:v>
                </c:pt>
                <c:pt idx="27">
                  <c:v>147.32800972112918</c:v>
                </c:pt>
                <c:pt idx="28">
                  <c:v>278.89751538372542</c:v>
                </c:pt>
                <c:pt idx="29">
                  <c:v>291.48621900223378</c:v>
                </c:pt>
                <c:pt idx="30">
                  <c:v>405.19515576786421</c:v>
                </c:pt>
                <c:pt idx="31">
                  <c:v>519.51273558723562</c:v>
                </c:pt>
                <c:pt idx="32">
                  <c:v>449.87574692226428</c:v>
                </c:pt>
                <c:pt idx="33">
                  <c:v>629.66047667687724</c:v>
                </c:pt>
                <c:pt idx="34">
                  <c:v>594.09305188031908</c:v>
                </c:pt>
                <c:pt idx="35">
                  <c:v>712.76925769448337</c:v>
                </c:pt>
                <c:pt idx="36">
                  <c:v>598.59656319459305</c:v>
                </c:pt>
                <c:pt idx="37">
                  <c:v>782.66277160496168</c:v>
                </c:pt>
                <c:pt idx="38">
                  <c:v>784.19770070926938</c:v>
                </c:pt>
                <c:pt idx="39">
                  <c:v>808.846993400158</c:v>
                </c:pt>
                <c:pt idx="40">
                  <c:v>937.46599132324843</c:v>
                </c:pt>
                <c:pt idx="41">
                  <c:v>871.99934386662017</c:v>
                </c:pt>
                <c:pt idx="42">
                  <c:v>1073.7211622189859</c:v>
                </c:pt>
                <c:pt idx="43">
                  <c:v>1078.3743310021734</c:v>
                </c:pt>
                <c:pt idx="44">
                  <c:v>1225.5726441085537</c:v>
                </c:pt>
                <c:pt idx="45">
                  <c:v>1083.8083974980584</c:v>
                </c:pt>
                <c:pt idx="46">
                  <c:v>1308.3052380424756</c:v>
                </c:pt>
                <c:pt idx="47">
                  <c:v>1306.1629473946909</c:v>
                </c:pt>
                <c:pt idx="48">
                  <c:v>1471.7911645589372</c:v>
                </c:pt>
                <c:pt idx="49">
                  <c:v>1393.9690124010081</c:v>
                </c:pt>
                <c:pt idx="50">
                  <c:v>1375.8248419383199</c:v>
                </c:pt>
                <c:pt idx="51">
                  <c:v>1296.064754992801</c:v>
                </c:pt>
                <c:pt idx="52">
                  <c:v>1629.1819693833413</c:v>
                </c:pt>
                <c:pt idx="53">
                  <c:v>1715.1336211157409</c:v>
                </c:pt>
                <c:pt idx="54">
                  <c:v>1804.6772492044272</c:v>
                </c:pt>
                <c:pt idx="55">
                  <c:v>1884.5571218739651</c:v>
                </c:pt>
                <c:pt idx="56">
                  <c:v>1979.0539478774192</c:v>
                </c:pt>
                <c:pt idx="57">
                  <c:v>2077.3711678656382</c:v>
                </c:pt>
                <c:pt idx="58">
                  <c:v>2026.8091756135525</c:v>
                </c:pt>
                <c:pt idx="59">
                  <c:v>2067.8342218450039</c:v>
                </c:pt>
                <c:pt idx="60">
                  <c:v>1984.4414179469088</c:v>
                </c:pt>
                <c:pt idx="61">
                  <c:v>2263.3061924156918</c:v>
                </c:pt>
                <c:pt idx="62">
                  <c:v>2366.2972484652473</c:v>
                </c:pt>
                <c:pt idx="63">
                  <c:v>2469.6846892852745</c:v>
                </c:pt>
                <c:pt idx="64">
                  <c:v>2561.9938434624369</c:v>
                </c:pt>
                <c:pt idx="65">
                  <c:v>2668.8991257067296</c:v>
                </c:pt>
                <c:pt idx="66">
                  <c:v>2779.7371872526273</c:v>
                </c:pt>
                <c:pt idx="67">
                  <c:v>2894.5121101845143</c:v>
                </c:pt>
                <c:pt idx="68">
                  <c:v>3013.288850396279</c:v>
                </c:pt>
                <c:pt idx="69">
                  <c:v>2673.3891519987683</c:v>
                </c:pt>
                <c:pt idx="70">
                  <c:v>2985.3523662123257</c:v>
                </c:pt>
                <c:pt idx="71">
                  <c:v>3092.8612635310583</c:v>
                </c:pt>
                <c:pt idx="72">
                  <c:v>3204.2689850729384</c:v>
                </c:pt>
                <c:pt idx="73">
                  <c:v>3317.0386317803482</c:v>
                </c:pt>
                <c:pt idx="74">
                  <c:v>3704.6482490480994</c:v>
                </c:pt>
                <c:pt idx="75">
                  <c:v>3838.7513877206329</c:v>
                </c:pt>
                <c:pt idx="76">
                  <c:v>3976.6253543493035</c:v>
                </c:pt>
                <c:pt idx="77">
                  <c:v>4118.2978204831388</c:v>
                </c:pt>
                <c:pt idx="78">
                  <c:v>4263.8280178512259</c:v>
                </c:pt>
                <c:pt idx="79">
                  <c:v>4095.5817322379121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金币生产率曲线!$M$1</c:f>
              <c:strCache>
                <c:ptCount val="1"/>
                <c:pt idx="0">
                  <c:v>生产力曲线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金币生产率曲线!$M$2:$M$81</c:f>
              <c:numCache>
                <c:formatCode>General</c:formatCode>
                <c:ptCount val="80"/>
                <c:pt idx="0">
                  <c:v>50</c:v>
                </c:pt>
                <c:pt idx="1">
                  <c:v>56</c:v>
                </c:pt>
                <c:pt idx="2">
                  <c:v>62</c:v>
                </c:pt>
                <c:pt idx="3">
                  <c:v>68</c:v>
                </c:pt>
                <c:pt idx="4">
                  <c:v>74</c:v>
                </c:pt>
                <c:pt idx="5">
                  <c:v>80</c:v>
                </c:pt>
                <c:pt idx="6">
                  <c:v>86</c:v>
                </c:pt>
                <c:pt idx="7">
                  <c:v>92</c:v>
                </c:pt>
                <c:pt idx="8">
                  <c:v>98</c:v>
                </c:pt>
                <c:pt idx="9">
                  <c:v>104</c:v>
                </c:pt>
                <c:pt idx="10">
                  <c:v>110</c:v>
                </c:pt>
                <c:pt idx="11">
                  <c:v>116</c:v>
                </c:pt>
                <c:pt idx="12">
                  <c:v>122</c:v>
                </c:pt>
                <c:pt idx="13">
                  <c:v>128</c:v>
                </c:pt>
                <c:pt idx="14">
                  <c:v>134</c:v>
                </c:pt>
                <c:pt idx="15">
                  <c:v>140</c:v>
                </c:pt>
                <c:pt idx="16">
                  <c:v>146</c:v>
                </c:pt>
                <c:pt idx="17">
                  <c:v>152</c:v>
                </c:pt>
                <c:pt idx="18">
                  <c:v>158</c:v>
                </c:pt>
                <c:pt idx="19">
                  <c:v>182</c:v>
                </c:pt>
                <c:pt idx="20">
                  <c:v>210</c:v>
                </c:pt>
                <c:pt idx="21">
                  <c:v>239</c:v>
                </c:pt>
                <c:pt idx="22">
                  <c:v>270</c:v>
                </c:pt>
                <c:pt idx="23">
                  <c:v>302</c:v>
                </c:pt>
                <c:pt idx="24">
                  <c:v>335</c:v>
                </c:pt>
                <c:pt idx="25">
                  <c:v>370</c:v>
                </c:pt>
                <c:pt idx="26">
                  <c:v>406</c:v>
                </c:pt>
                <c:pt idx="27">
                  <c:v>443</c:v>
                </c:pt>
                <c:pt idx="28">
                  <c:v>482</c:v>
                </c:pt>
                <c:pt idx="29">
                  <c:v>522</c:v>
                </c:pt>
                <c:pt idx="30">
                  <c:v>563</c:v>
                </c:pt>
                <c:pt idx="31">
                  <c:v>606</c:v>
                </c:pt>
                <c:pt idx="32">
                  <c:v>651</c:v>
                </c:pt>
                <c:pt idx="33">
                  <c:v>696</c:v>
                </c:pt>
                <c:pt idx="34">
                  <c:v>743</c:v>
                </c:pt>
                <c:pt idx="35">
                  <c:v>791</c:v>
                </c:pt>
                <c:pt idx="36">
                  <c:v>841</c:v>
                </c:pt>
                <c:pt idx="37">
                  <c:v>892</c:v>
                </c:pt>
                <c:pt idx="38">
                  <c:v>944</c:v>
                </c:pt>
                <c:pt idx="39">
                  <c:v>998</c:v>
                </c:pt>
                <c:pt idx="40">
                  <c:v>1053</c:v>
                </c:pt>
                <c:pt idx="41">
                  <c:v>1110</c:v>
                </c:pt>
                <c:pt idx="42">
                  <c:v>1167</c:v>
                </c:pt>
                <c:pt idx="43">
                  <c:v>1226</c:v>
                </c:pt>
                <c:pt idx="44">
                  <c:v>1287</c:v>
                </c:pt>
                <c:pt idx="45">
                  <c:v>1349</c:v>
                </c:pt>
                <c:pt idx="46">
                  <c:v>1412</c:v>
                </c:pt>
                <c:pt idx="47">
                  <c:v>1477</c:v>
                </c:pt>
                <c:pt idx="48">
                  <c:v>1543</c:v>
                </c:pt>
                <c:pt idx="49">
                  <c:v>1610</c:v>
                </c:pt>
                <c:pt idx="50">
                  <c:v>1679</c:v>
                </c:pt>
                <c:pt idx="51">
                  <c:v>1749</c:v>
                </c:pt>
                <c:pt idx="52">
                  <c:v>1820</c:v>
                </c:pt>
                <c:pt idx="53">
                  <c:v>1893</c:v>
                </c:pt>
                <c:pt idx="54">
                  <c:v>1967</c:v>
                </c:pt>
                <c:pt idx="55">
                  <c:v>2042</c:v>
                </c:pt>
                <c:pt idx="56">
                  <c:v>2119</c:v>
                </c:pt>
                <c:pt idx="57">
                  <c:v>2198</c:v>
                </c:pt>
                <c:pt idx="58">
                  <c:v>2277</c:v>
                </c:pt>
                <c:pt idx="59">
                  <c:v>2358</c:v>
                </c:pt>
                <c:pt idx="60">
                  <c:v>2440</c:v>
                </c:pt>
                <c:pt idx="61">
                  <c:v>2524</c:v>
                </c:pt>
                <c:pt idx="62">
                  <c:v>2609</c:v>
                </c:pt>
                <c:pt idx="63">
                  <c:v>2695</c:v>
                </c:pt>
                <c:pt idx="64">
                  <c:v>2783</c:v>
                </c:pt>
                <c:pt idx="65">
                  <c:v>2872</c:v>
                </c:pt>
                <c:pt idx="66">
                  <c:v>2963</c:v>
                </c:pt>
                <c:pt idx="67">
                  <c:v>3054</c:v>
                </c:pt>
                <c:pt idx="68">
                  <c:v>3147</c:v>
                </c:pt>
                <c:pt idx="69">
                  <c:v>3242</c:v>
                </c:pt>
                <c:pt idx="70">
                  <c:v>3338</c:v>
                </c:pt>
                <c:pt idx="71">
                  <c:v>3435</c:v>
                </c:pt>
                <c:pt idx="72">
                  <c:v>3534</c:v>
                </c:pt>
                <c:pt idx="73">
                  <c:v>3634</c:v>
                </c:pt>
                <c:pt idx="74">
                  <c:v>3735</c:v>
                </c:pt>
                <c:pt idx="75">
                  <c:v>3838</c:v>
                </c:pt>
                <c:pt idx="76">
                  <c:v>3942</c:v>
                </c:pt>
                <c:pt idx="77">
                  <c:v>4047</c:v>
                </c:pt>
                <c:pt idx="78">
                  <c:v>4154</c:v>
                </c:pt>
                <c:pt idx="79">
                  <c:v>4262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726128"/>
        <c:axId val="464726688"/>
      </c:lineChart>
      <c:catAx>
        <c:axId val="464726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726688"/>
        <c:crosses val="autoZero"/>
        <c:auto val="1"/>
        <c:lblAlgn val="ctr"/>
        <c:lblOffset val="100"/>
        <c:noMultiLvlLbl val="0"/>
      </c:catAx>
      <c:valAx>
        <c:axId val="46472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72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平均产出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金币生产率曲线!$AX$2:$AX$81</c:f>
              <c:numCache>
                <c:formatCode>#,##0_ 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208267.24808589611</c:v>
                </c:pt>
                <c:pt idx="27">
                  <c:v>373624.91109119484</c:v>
                </c:pt>
                <c:pt idx="28">
                  <c:v>174666.77435320528</c:v>
                </c:pt>
                <c:pt idx="29">
                  <c:v>241688.69238999087</c:v>
                </c:pt>
                <c:pt idx="30">
                  <c:v>225954.04954616367</c:v>
                </c:pt>
                <c:pt idx="31">
                  <c:v>219757.04452493912</c:v>
                </c:pt>
                <c:pt idx="32">
                  <c:v>225721.00788033471</c:v>
                </c:pt>
                <c:pt idx="33">
                  <c:v>179044.53468870983</c:v>
                </c:pt>
                <c:pt idx="34">
                  <c:v>232258.55216389304</c:v>
                </c:pt>
                <c:pt idx="35">
                  <c:v>199978.21216394371</c:v>
                </c:pt>
                <c:pt idx="36">
                  <c:v>229124.33253002379</c:v>
                </c:pt>
                <c:pt idx="37">
                  <c:v>186404.28482766866</c:v>
                </c:pt>
                <c:pt idx="38">
                  <c:v>228315.27082917574</c:v>
                </c:pt>
                <c:pt idx="39">
                  <c:v>161696.02502832984</c:v>
                </c:pt>
                <c:pt idx="40">
                  <c:v>168434.11130064633</c:v>
                </c:pt>
                <c:pt idx="41">
                  <c:v>171791.95189939384</c:v>
                </c:pt>
                <c:pt idx="42">
                  <c:v>177691.10138522004</c:v>
                </c:pt>
                <c:pt idx="43">
                  <c:v>199243.20022547102</c:v>
                </c:pt>
                <c:pt idx="44">
                  <c:v>144780.00365874745</c:v>
                </c:pt>
                <c:pt idx="45">
                  <c:v>274048.26242616068</c:v>
                </c:pt>
                <c:pt idx="46">
                  <c:v>260809.50134507797</c:v>
                </c:pt>
                <c:pt idx="47">
                  <c:v>144615.41043374169</c:v>
                </c:pt>
                <c:pt idx="48">
                  <c:v>236834.5856472622</c:v>
                </c:pt>
                <c:pt idx="49">
                  <c:v>260070.75406194179</c:v>
                </c:pt>
                <c:pt idx="50">
                  <c:v>171426.08841612111</c:v>
                </c:pt>
                <c:pt idx="51">
                  <c:v>256063.63407970031</c:v>
                </c:pt>
                <c:pt idx="52">
                  <c:v>279686.78568781691</c:v>
                </c:pt>
                <c:pt idx="53">
                  <c:v>170673.10861993887</c:v>
                </c:pt>
                <c:pt idx="54">
                  <c:v>179067.38675888706</c:v>
                </c:pt>
                <c:pt idx="55">
                  <c:v>235020.53987510348</c:v>
                </c:pt>
                <c:pt idx="56">
                  <c:v>221605.44625065805</c:v>
                </c:pt>
                <c:pt idx="57">
                  <c:v>234336.98033309609</c:v>
                </c:pt>
                <c:pt idx="58">
                  <c:v>203669.07457550996</c:v>
                </c:pt>
                <c:pt idx="59">
                  <c:v>248146.14386803962</c:v>
                </c:pt>
                <c:pt idx="60">
                  <c:v>277359.53419825283</c:v>
                </c:pt>
                <c:pt idx="61">
                  <c:v>280900.66203937301</c:v>
                </c:pt>
                <c:pt idx="62">
                  <c:v>222962.79104453532</c:v>
                </c:pt>
                <c:pt idx="63">
                  <c:v>294320.97055819602</c:v>
                </c:pt>
                <c:pt idx="64">
                  <c:v>250490.42458964899</c:v>
                </c:pt>
                <c:pt idx="65">
                  <c:v>271248.57022213831</c:v>
                </c:pt>
                <c:pt idx="66">
                  <c:v>226784.54052932587</c:v>
                </c:pt>
                <c:pt idx="67">
                  <c:v>320731.30582719919</c:v>
                </c:pt>
                <c:pt idx="68">
                  <c:v>256366.76278491996</c:v>
                </c:pt>
                <c:pt idx="69">
                  <c:v>306240.35918668128</c:v>
                </c:pt>
                <c:pt idx="70">
                  <c:v>360454.64340736793</c:v>
                </c:pt>
                <c:pt idx="71">
                  <c:v>243082.5945093905</c:v>
                </c:pt>
                <c:pt idx="72">
                  <c:v>316835.06919354823</c:v>
                </c:pt>
                <c:pt idx="73">
                  <c:v>408332.56820498448</c:v>
                </c:pt>
                <c:pt idx="74">
                  <c:v>205166.75649207868</c:v>
                </c:pt>
                <c:pt idx="75">
                  <c:v>304459.73193968285</c:v>
                </c:pt>
                <c:pt idx="76">
                  <c:v>448608.08599606931</c:v>
                </c:pt>
                <c:pt idx="77">
                  <c:v>161322.48972453506</c:v>
                </c:pt>
                <c:pt idx="78">
                  <c:v>320030.57660317828</c:v>
                </c:pt>
                <c:pt idx="79">
                  <c:v>476119.63315829518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金币生产率曲线!$AY$2:$AY$81</c:f>
              <c:numCache>
                <c:formatCode>#,##0_ </c:formatCode>
                <c:ptCount val="80"/>
                <c:pt idx="0">
                  <c:v>81820</c:v>
                </c:pt>
                <c:pt idx="1">
                  <c:v>83680</c:v>
                </c:pt>
                <c:pt idx="2">
                  <c:v>85580</c:v>
                </c:pt>
                <c:pt idx="3">
                  <c:v>87520</c:v>
                </c:pt>
                <c:pt idx="4">
                  <c:v>89500</c:v>
                </c:pt>
                <c:pt idx="5">
                  <c:v>91520</c:v>
                </c:pt>
                <c:pt idx="6">
                  <c:v>93580</c:v>
                </c:pt>
                <c:pt idx="7">
                  <c:v>95680</c:v>
                </c:pt>
                <c:pt idx="8">
                  <c:v>97820</c:v>
                </c:pt>
                <c:pt idx="9">
                  <c:v>100000</c:v>
                </c:pt>
                <c:pt idx="10">
                  <c:v>102220</c:v>
                </c:pt>
                <c:pt idx="11">
                  <c:v>104480</c:v>
                </c:pt>
                <c:pt idx="12">
                  <c:v>106780</c:v>
                </c:pt>
                <c:pt idx="13">
                  <c:v>109120</c:v>
                </c:pt>
                <c:pt idx="14">
                  <c:v>111500</c:v>
                </c:pt>
                <c:pt idx="15">
                  <c:v>113920</c:v>
                </c:pt>
                <c:pt idx="16">
                  <c:v>116380</c:v>
                </c:pt>
                <c:pt idx="17">
                  <c:v>118880</c:v>
                </c:pt>
                <c:pt idx="18">
                  <c:v>121420</c:v>
                </c:pt>
                <c:pt idx="19">
                  <c:v>124000</c:v>
                </c:pt>
                <c:pt idx="20">
                  <c:v>126620</c:v>
                </c:pt>
                <c:pt idx="21">
                  <c:v>129280</c:v>
                </c:pt>
                <c:pt idx="22">
                  <c:v>131980</c:v>
                </c:pt>
                <c:pt idx="23">
                  <c:v>134720</c:v>
                </c:pt>
                <c:pt idx="24">
                  <c:v>137500</c:v>
                </c:pt>
                <c:pt idx="25">
                  <c:v>140320</c:v>
                </c:pt>
                <c:pt idx="26">
                  <c:v>143180</c:v>
                </c:pt>
                <c:pt idx="27">
                  <c:v>146080</c:v>
                </c:pt>
                <c:pt idx="28">
                  <c:v>149020</c:v>
                </c:pt>
                <c:pt idx="29">
                  <c:v>152000</c:v>
                </c:pt>
                <c:pt idx="30">
                  <c:v>155020</c:v>
                </c:pt>
                <c:pt idx="31">
                  <c:v>158080</c:v>
                </c:pt>
                <c:pt idx="32">
                  <c:v>161180</c:v>
                </c:pt>
                <c:pt idx="33">
                  <c:v>164320</c:v>
                </c:pt>
                <c:pt idx="34">
                  <c:v>167500</c:v>
                </c:pt>
                <c:pt idx="35">
                  <c:v>170720</c:v>
                </c:pt>
                <c:pt idx="36">
                  <c:v>173980</c:v>
                </c:pt>
                <c:pt idx="37">
                  <c:v>177280</c:v>
                </c:pt>
                <c:pt idx="38">
                  <c:v>180620</c:v>
                </c:pt>
                <c:pt idx="39">
                  <c:v>184000</c:v>
                </c:pt>
                <c:pt idx="40">
                  <c:v>187420</c:v>
                </c:pt>
                <c:pt idx="41">
                  <c:v>190880</c:v>
                </c:pt>
                <c:pt idx="42">
                  <c:v>194380</c:v>
                </c:pt>
                <c:pt idx="43">
                  <c:v>197920</c:v>
                </c:pt>
                <c:pt idx="44">
                  <c:v>201500</c:v>
                </c:pt>
                <c:pt idx="45">
                  <c:v>205120</c:v>
                </c:pt>
                <c:pt idx="46">
                  <c:v>208780</c:v>
                </c:pt>
                <c:pt idx="47">
                  <c:v>212480</c:v>
                </c:pt>
                <c:pt idx="48">
                  <c:v>216220</c:v>
                </c:pt>
                <c:pt idx="49">
                  <c:v>220000</c:v>
                </c:pt>
                <c:pt idx="50">
                  <c:v>223820</c:v>
                </c:pt>
                <c:pt idx="51">
                  <c:v>227680</c:v>
                </c:pt>
                <c:pt idx="52">
                  <c:v>231580</c:v>
                </c:pt>
                <c:pt idx="53">
                  <c:v>235520</c:v>
                </c:pt>
                <c:pt idx="54">
                  <c:v>239500</c:v>
                </c:pt>
                <c:pt idx="55">
                  <c:v>243520</c:v>
                </c:pt>
                <c:pt idx="56">
                  <c:v>247580</c:v>
                </c:pt>
                <c:pt idx="57">
                  <c:v>251680</c:v>
                </c:pt>
                <c:pt idx="58">
                  <c:v>255820</c:v>
                </c:pt>
                <c:pt idx="59">
                  <c:v>260000</c:v>
                </c:pt>
                <c:pt idx="60">
                  <c:v>264220</c:v>
                </c:pt>
                <c:pt idx="61">
                  <c:v>268480</c:v>
                </c:pt>
                <c:pt idx="62">
                  <c:v>272780</c:v>
                </c:pt>
                <c:pt idx="63">
                  <c:v>277120</c:v>
                </c:pt>
                <c:pt idx="64">
                  <c:v>281500</c:v>
                </c:pt>
                <c:pt idx="65">
                  <c:v>285920</c:v>
                </c:pt>
                <c:pt idx="66">
                  <c:v>290380</c:v>
                </c:pt>
                <c:pt idx="67">
                  <c:v>294880</c:v>
                </c:pt>
                <c:pt idx="68">
                  <c:v>299420</c:v>
                </c:pt>
                <c:pt idx="69">
                  <c:v>304000</c:v>
                </c:pt>
                <c:pt idx="70">
                  <c:v>308620</c:v>
                </c:pt>
                <c:pt idx="71">
                  <c:v>313280</c:v>
                </c:pt>
                <c:pt idx="72">
                  <c:v>317980</c:v>
                </c:pt>
                <c:pt idx="73">
                  <c:v>322720</c:v>
                </c:pt>
                <c:pt idx="74">
                  <c:v>327500</c:v>
                </c:pt>
                <c:pt idx="75">
                  <c:v>332320</c:v>
                </c:pt>
                <c:pt idx="76">
                  <c:v>337180</c:v>
                </c:pt>
                <c:pt idx="77">
                  <c:v>342080</c:v>
                </c:pt>
                <c:pt idx="78">
                  <c:v>347020</c:v>
                </c:pt>
                <c:pt idx="79">
                  <c:v>352000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729664"/>
        <c:axId val="464730224"/>
      </c:lineChart>
      <c:catAx>
        <c:axId val="464729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730224"/>
        <c:crosses val="autoZero"/>
        <c:auto val="1"/>
        <c:lblAlgn val="ctr"/>
        <c:lblOffset val="100"/>
        <c:noMultiLvlLbl val="0"/>
      </c:catAx>
      <c:valAx>
        <c:axId val="46473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72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等级金币消耗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金币生产率曲线!$AK$2:$AK$81</c:f>
              <c:numCache>
                <c:formatCode>_ * #,##0_ ;_ * \-#,##0_ ;_ * "-"??_ ;_ @_ </c:formatCode>
                <c:ptCount val="80"/>
                <c:pt idx="0">
                  <c:v>546.00000000000011</c:v>
                </c:pt>
                <c:pt idx="1">
                  <c:v>611.5200000000001</c:v>
                </c:pt>
                <c:pt idx="2">
                  <c:v>677.04000000000008</c:v>
                </c:pt>
                <c:pt idx="3">
                  <c:v>742.56000000000017</c:v>
                </c:pt>
                <c:pt idx="4">
                  <c:v>808.08000000000015</c:v>
                </c:pt>
                <c:pt idx="5">
                  <c:v>1859.1999999999998</c:v>
                </c:pt>
                <c:pt idx="6">
                  <c:v>3546.64</c:v>
                </c:pt>
                <c:pt idx="7">
                  <c:v>3886.08</c:v>
                </c:pt>
                <c:pt idx="8">
                  <c:v>3453.52</c:v>
                </c:pt>
                <c:pt idx="9">
                  <c:v>6368.96</c:v>
                </c:pt>
                <c:pt idx="10">
                  <c:v>5856.4</c:v>
                </c:pt>
                <c:pt idx="11">
                  <c:v>5711.84</c:v>
                </c:pt>
                <c:pt idx="12">
                  <c:v>9423.2799999999988</c:v>
                </c:pt>
                <c:pt idx="13">
                  <c:v>7710.7199999999993</c:v>
                </c:pt>
                <c:pt idx="14">
                  <c:v>7804.16</c:v>
                </c:pt>
                <c:pt idx="15">
                  <c:v>16738.400000000001</c:v>
                </c:pt>
                <c:pt idx="16">
                  <c:v>12783.76</c:v>
                </c:pt>
                <c:pt idx="17">
                  <c:v>15741.12</c:v>
                </c:pt>
                <c:pt idx="18">
                  <c:v>19680.48</c:v>
                </c:pt>
                <c:pt idx="19">
                  <c:v>18665.919999999998</c:v>
                </c:pt>
                <c:pt idx="20">
                  <c:v>21537.599999999999</c:v>
                </c:pt>
                <c:pt idx="21">
                  <c:v>34310.839999999997</c:v>
                </c:pt>
                <c:pt idx="22">
                  <c:v>27691.200000000001</c:v>
                </c:pt>
                <c:pt idx="23">
                  <c:v>36107.120000000003</c:v>
                </c:pt>
                <c:pt idx="24">
                  <c:v>50772.600000000006</c:v>
                </c:pt>
                <c:pt idx="25">
                  <c:v>38317.199999999997</c:v>
                </c:pt>
                <c:pt idx="26">
                  <c:v>62345.36</c:v>
                </c:pt>
                <c:pt idx="27">
                  <c:v>57838.080000000002</c:v>
                </c:pt>
                <c:pt idx="28">
                  <c:v>59073.919999999998</c:v>
                </c:pt>
                <c:pt idx="29">
                  <c:v>86944.320000000007</c:v>
                </c:pt>
                <c:pt idx="30">
                  <c:v>111676.68000000001</c:v>
                </c:pt>
                <c:pt idx="31">
                  <c:v>133538.16</c:v>
                </c:pt>
                <c:pt idx="32">
                  <c:v>131736.36000000002</c:v>
                </c:pt>
                <c:pt idx="33">
                  <c:v>145018.56</c:v>
                </c:pt>
                <c:pt idx="34">
                  <c:v>178587.48</c:v>
                </c:pt>
                <c:pt idx="35">
                  <c:v>185378.76</c:v>
                </c:pt>
                <c:pt idx="36">
                  <c:v>191209.76</c:v>
                </c:pt>
                <c:pt idx="37">
                  <c:v>209941.12</c:v>
                </c:pt>
                <c:pt idx="38">
                  <c:v>251443.84000000003</c:v>
                </c:pt>
                <c:pt idx="39">
                  <c:v>229899.28000000003</c:v>
                </c:pt>
                <c:pt idx="40">
                  <c:v>267841.08</c:v>
                </c:pt>
                <c:pt idx="41">
                  <c:v>272349.60000000003</c:v>
                </c:pt>
                <c:pt idx="42">
                  <c:v>331848.12</c:v>
                </c:pt>
                <c:pt idx="43">
                  <c:v>380501.36</c:v>
                </c:pt>
                <c:pt idx="44">
                  <c:v>340231.32</c:v>
                </c:pt>
                <c:pt idx="45">
                  <c:v>513861.08</c:v>
                </c:pt>
                <c:pt idx="46">
                  <c:v>594339.04</c:v>
                </c:pt>
                <c:pt idx="47">
                  <c:v>398671.84</c:v>
                </c:pt>
                <c:pt idx="48">
                  <c:v>640221.56000000006</c:v>
                </c:pt>
                <c:pt idx="49">
                  <c:v>738861.2</c:v>
                </c:pt>
                <c:pt idx="50">
                  <c:v>550577.68000000005</c:v>
                </c:pt>
                <c:pt idx="51">
                  <c:v>718699.08000000007</c:v>
                </c:pt>
                <c:pt idx="52">
                  <c:v>962634.4</c:v>
                </c:pt>
                <c:pt idx="53">
                  <c:v>709723.56</c:v>
                </c:pt>
                <c:pt idx="54">
                  <c:v>784675.64</c:v>
                </c:pt>
                <c:pt idx="55">
                  <c:v>1018794.64</c:v>
                </c:pt>
                <c:pt idx="56">
                  <c:v>1038140.48</c:v>
                </c:pt>
                <c:pt idx="57">
                  <c:v>1153774.1600000001</c:v>
                </c:pt>
                <c:pt idx="58">
                  <c:v>1035852.8400000001</c:v>
                </c:pt>
                <c:pt idx="59">
                  <c:v>1358019.36</c:v>
                </c:pt>
                <c:pt idx="60">
                  <c:v>1456045.6</c:v>
                </c:pt>
                <c:pt idx="61">
                  <c:v>1690423.76</c:v>
                </c:pt>
                <c:pt idx="62">
                  <c:v>1496887.6600000001</c:v>
                </c:pt>
                <c:pt idx="63">
                  <c:v>1972039.3</c:v>
                </c:pt>
                <c:pt idx="64">
                  <c:v>1824924.42</c:v>
                </c:pt>
                <c:pt idx="65">
                  <c:v>2052733.28</c:v>
                </c:pt>
                <c:pt idx="66">
                  <c:v>1883697.62</c:v>
                </c:pt>
                <c:pt idx="67">
                  <c:v>2619537.96</c:v>
                </c:pt>
                <c:pt idx="68">
                  <c:v>2305932.7800000003</c:v>
                </c:pt>
                <c:pt idx="69">
                  <c:v>2608967.08</c:v>
                </c:pt>
                <c:pt idx="70">
                  <c:v>3365638.6399999997</c:v>
                </c:pt>
                <c:pt idx="71">
                  <c:v>2566906.7999999998</c:v>
                </c:pt>
                <c:pt idx="72">
                  <c:v>3333551.52</c:v>
                </c:pt>
                <c:pt idx="73">
                  <c:v>4318209.5199999996</c:v>
                </c:pt>
                <c:pt idx="74">
                  <c:v>2783620.8</c:v>
                </c:pt>
                <c:pt idx="75">
                  <c:v>3992594.6399999997</c:v>
                </c:pt>
                <c:pt idx="76">
                  <c:v>5819495.7599999998</c:v>
                </c:pt>
                <c:pt idx="77">
                  <c:v>2692388.16</c:v>
                </c:pt>
                <c:pt idx="78">
                  <c:v>4794879.12</c:v>
                </c:pt>
                <c:pt idx="79">
                  <c:v>7042017.3599999994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732464"/>
        <c:axId val="464733024"/>
      </c:lineChart>
      <c:catAx>
        <c:axId val="464732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733024"/>
        <c:crosses val="autoZero"/>
        <c:auto val="1"/>
        <c:lblAlgn val="ctr"/>
        <c:lblOffset val="100"/>
        <c:noMultiLvlLbl val="0"/>
      </c:catAx>
      <c:valAx>
        <c:axId val="46473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473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161925</xdr:colOff>
      <xdr:row>4</xdr:row>
      <xdr:rowOff>9525</xdr:rowOff>
    </xdr:from>
    <xdr:to>
      <xdr:col>15</xdr:col>
      <xdr:colOff>76200</xdr:colOff>
      <xdr:row>20</xdr:row>
      <xdr:rowOff>9525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21</xdr:row>
      <xdr:rowOff>71436</xdr:rowOff>
    </xdr:from>
    <xdr:to>
      <xdr:col>15</xdr:col>
      <xdr:colOff>47625</xdr:colOff>
      <xdr:row>42</xdr:row>
      <xdr:rowOff>171449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138112</xdr:colOff>
      <xdr:row>2</xdr:row>
      <xdr:rowOff>95255</xdr:rowOff>
    </xdr:from>
    <xdr:to>
      <xdr:col>28</xdr:col>
      <xdr:colOff>0</xdr:colOff>
      <xdr:row>36</xdr:row>
      <xdr:rowOff>66674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249555</xdr:colOff>
      <xdr:row>9</xdr:row>
      <xdr:rowOff>80010</xdr:rowOff>
    </xdr:from>
    <xdr:to>
      <xdr:col>22</xdr:col>
      <xdr:colOff>535305</xdr:colOff>
      <xdr:row>34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57</xdr:col>
      <xdr:colOff>76200</xdr:colOff>
      <xdr:row>0</xdr:row>
      <xdr:rowOff>100012</xdr:rowOff>
    </xdr:from>
    <xdr:to>
      <xdr:col>63</xdr:col>
      <xdr:colOff>533400</xdr:colOff>
      <xdr:row>16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495300</xdr:colOff>
      <xdr:row>35</xdr:row>
      <xdr:rowOff>14287</xdr:rowOff>
    </xdr:from>
    <xdr:to>
      <xdr:col>22</xdr:col>
      <xdr:colOff>209550</xdr:colOff>
      <xdr:row>51</xdr:row>
      <xdr:rowOff>14287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510540</xdr:colOff>
      <xdr:row>5</xdr:row>
      <xdr:rowOff>121920</xdr:rowOff>
    </xdr:from>
    <xdr:to>
      <xdr:col>13</xdr:col>
      <xdr:colOff>396240</xdr:colOff>
      <xdr:row>7</xdr:row>
      <xdr:rowOff>68580</xdr:rowOff>
    </xdr:to>
    <xdr:sp macro="[0]!Sheet14.mergeItemData" textlink="">
      <xdr:nvSpPr>
        <xdr:cNvPr id="2" name="圆角矩形 1"/>
        <xdr:cNvSpPr/>
      </xdr:nvSpPr>
      <xdr:spPr>
        <a:xfrm>
          <a:off x="7216140" y="1036320"/>
          <a:ext cx="1104900" cy="312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/>
            <a:t>更新数据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44;&#20250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219;&#211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&#34920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7963;&#21160;&#34920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1454;&#25216;&#2233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1830;&#24215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0027;&#35282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36947;&#2085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40857;&#39746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629;&#26684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&#39532;&#2018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公会等级表"/>
      <sheetName val="D_公会职务表"/>
      <sheetName val="D_公会ICON表"/>
      <sheetName val="D_公会工坊表"/>
      <sheetName val="D_公会技能表"/>
      <sheetName val="D_工坊技能描述表"/>
      <sheetName val="工坊技能图标"/>
      <sheetName val="D_公会商店"/>
      <sheetName val="D_捐献表"/>
      <sheetName val="公会经济估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E2">
            <v>20</v>
          </cell>
          <cell r="G2">
            <v>600</v>
          </cell>
          <cell r="I2">
            <v>30</v>
          </cell>
        </row>
      </sheetData>
      <sheetData sheetId="8">
        <row r="5">
          <cell r="C5">
            <v>100</v>
          </cell>
        </row>
      </sheetData>
      <sheetData sheetId="9">
        <row r="16">
          <cell r="D16">
            <v>40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  <sheetName val="数值框架推算"/>
    </sheetNames>
    <sheetDataSet>
      <sheetData sheetId="0">
        <row r="1">
          <cell r="B1" t="str">
            <v>属性类型</v>
          </cell>
        </row>
      </sheetData>
      <sheetData sheetId="1">
        <row r="12">
          <cell r="C12" t="str">
            <v>生命</v>
          </cell>
          <cell r="D12" t="str">
            <v>攻击</v>
          </cell>
          <cell r="E12" t="str">
            <v>防御</v>
          </cell>
        </row>
        <row r="13">
          <cell r="C13">
            <v>0.04</v>
          </cell>
          <cell r="D13">
            <v>1</v>
          </cell>
          <cell r="E13">
            <v>1</v>
          </cell>
        </row>
      </sheetData>
      <sheetData sheetId="2"/>
      <sheetData sheetId="3"/>
      <sheetData sheetId="4">
        <row r="5">
          <cell r="D5">
            <v>495.65999999999997</v>
          </cell>
          <cell r="E5">
            <v>118.80000000000001</v>
          </cell>
          <cell r="F5">
            <v>52.800000000000004</v>
          </cell>
        </row>
        <row r="6">
          <cell r="D6">
            <v>577.43999999999994</v>
          </cell>
          <cell r="E6">
            <v>129.6</v>
          </cell>
          <cell r="F6">
            <v>57.6</v>
          </cell>
        </row>
        <row r="7">
          <cell r="D7">
            <v>665.34000000000015</v>
          </cell>
          <cell r="E7">
            <v>140.4</v>
          </cell>
          <cell r="F7">
            <v>62.400000000000006</v>
          </cell>
        </row>
        <row r="8">
          <cell r="D8">
            <v>759.3599999999999</v>
          </cell>
          <cell r="E8">
            <v>151.19999999999999</v>
          </cell>
          <cell r="F8">
            <v>67.2</v>
          </cell>
        </row>
        <row r="9">
          <cell r="D9">
            <v>859.50000000000011</v>
          </cell>
          <cell r="E9">
            <v>162</v>
          </cell>
          <cell r="F9">
            <v>72</v>
          </cell>
        </row>
        <row r="10">
          <cell r="D10">
            <v>1490.8920000000001</v>
          </cell>
          <cell r="E10">
            <v>266.76</v>
          </cell>
          <cell r="F10">
            <v>118.56</v>
          </cell>
        </row>
        <row r="11">
          <cell r="D11">
            <v>1795.7769374999998</v>
          </cell>
          <cell r="E11">
            <v>305.80874999999997</v>
          </cell>
          <cell r="F11">
            <v>135.91499999999999</v>
          </cell>
        </row>
        <row r="12">
          <cell r="D12">
            <v>2138.9940000000001</v>
          </cell>
          <cell r="E12">
            <v>347.49</v>
          </cell>
          <cell r="F12">
            <v>154.44000000000003</v>
          </cell>
        </row>
        <row r="13">
          <cell r="D13">
            <v>2810.0112472826086</v>
          </cell>
          <cell r="E13">
            <v>436.41244565217391</v>
          </cell>
          <cell r="F13">
            <v>193.96108695652174</v>
          </cell>
        </row>
        <row r="14">
          <cell r="D14">
            <v>3580.6793478260875</v>
          </cell>
          <cell r="E14">
            <v>532.66304347826099</v>
          </cell>
          <cell r="F14">
            <v>236.73913043478265</v>
          </cell>
        </row>
        <row r="15">
          <cell r="D15">
            <v>4457.2272309782602</v>
          </cell>
          <cell r="E15">
            <v>636.24179347826089</v>
          </cell>
          <cell r="F15">
            <v>282.77413043478259</v>
          </cell>
        </row>
        <row r="16">
          <cell r="D16">
            <v>5445.8838260869561</v>
          </cell>
          <cell r="E16">
            <v>747.14869565217396</v>
          </cell>
          <cell r="F16">
            <v>332.06608695652176</v>
          </cell>
        </row>
        <row r="17">
          <cell r="D17">
            <v>6552.878062499999</v>
          </cell>
          <cell r="E17">
            <v>865.38374999999996</v>
          </cell>
          <cell r="F17">
            <v>384.61500000000001</v>
          </cell>
        </row>
        <row r="18">
          <cell r="D18">
            <v>7784.4388695652187</v>
          </cell>
          <cell r="E18">
            <v>990.94695652173925</v>
          </cell>
          <cell r="F18">
            <v>440.42086956521746</v>
          </cell>
        </row>
        <row r="19">
          <cell r="D19">
            <v>9146.7951766304341</v>
          </cell>
          <cell r="E19">
            <v>1123.8383152173913</v>
          </cell>
          <cell r="F19">
            <v>499.48369565217394</v>
          </cell>
        </row>
        <row r="20">
          <cell r="D20">
            <v>10646.17591304348</v>
          </cell>
          <cell r="E20">
            <v>1264.0578260869565</v>
          </cell>
          <cell r="F20">
            <v>561.80347826086961</v>
          </cell>
        </row>
        <row r="21">
          <cell r="D21">
            <v>12288.810008152173</v>
          </cell>
          <cell r="E21">
            <v>1411.6054891304348</v>
          </cell>
          <cell r="F21">
            <v>627.38021739130443</v>
          </cell>
        </row>
        <row r="22">
          <cell r="D22">
            <v>14080.926391304352</v>
          </cell>
          <cell r="E22">
            <v>1566.4813043478266</v>
          </cell>
          <cell r="F22">
            <v>696.21391304347856</v>
          </cell>
        </row>
        <row r="23">
          <cell r="D23">
            <v>16028.753991847825</v>
          </cell>
          <cell r="E23">
            <v>1728.6852717391307</v>
          </cell>
          <cell r="F23">
            <v>768.30456521739143</v>
          </cell>
        </row>
        <row r="24">
          <cell r="D24">
            <v>18138.521739130436</v>
          </cell>
          <cell r="E24">
            <v>1898.217391304348</v>
          </cell>
          <cell r="F24">
            <v>843.65217391304361</v>
          </cell>
        </row>
        <row r="25">
          <cell r="D25">
            <v>20416.458562500007</v>
          </cell>
          <cell r="E25">
            <v>2075.0776630434789</v>
          </cell>
          <cell r="F25">
            <v>922.25673913043511</v>
          </cell>
        </row>
        <row r="26">
          <cell r="D26">
            <v>22868.793391304349</v>
          </cell>
          <cell r="E26">
            <v>2259.266086956522</v>
          </cell>
          <cell r="F26">
            <v>1004.1182608695653</v>
          </cell>
        </row>
        <row r="27">
          <cell r="D27">
            <v>25977.209001045157</v>
          </cell>
          <cell r="E27">
            <v>2496.4749707357864</v>
          </cell>
          <cell r="F27">
            <v>1109.5444314381273</v>
          </cell>
        </row>
        <row r="28">
          <cell r="D28">
            <v>29327.9727826087</v>
          </cell>
          <cell r="E28">
            <v>2743.781237458194</v>
          </cell>
          <cell r="F28">
            <v>1219.4583277591973</v>
          </cell>
        </row>
        <row r="29">
          <cell r="D29">
            <v>32929.667511496664</v>
          </cell>
          <cell r="E29">
            <v>3001.1848871237471</v>
          </cell>
          <cell r="F29">
            <v>1333.8599498327765</v>
          </cell>
        </row>
        <row r="30">
          <cell r="D30">
            <v>37257.666363210708</v>
          </cell>
          <cell r="E30">
            <v>3310.1579197324422</v>
          </cell>
          <cell r="F30">
            <v>1471.1812976588633</v>
          </cell>
        </row>
        <row r="31">
          <cell r="D31">
            <v>41903.848113252519</v>
          </cell>
          <cell r="E31">
            <v>3631.5323352842815</v>
          </cell>
          <cell r="F31">
            <v>1614.0143712374586</v>
          </cell>
        </row>
        <row r="32">
          <cell r="D32">
            <v>46878.753937123758</v>
          </cell>
          <cell r="E32">
            <v>3965.3081337792655</v>
          </cell>
          <cell r="F32">
            <v>1762.3591705685624</v>
          </cell>
        </row>
        <row r="33">
          <cell r="D33">
            <v>52192.925010326107</v>
          </cell>
          <cell r="E33">
            <v>4311.4853152173928</v>
          </cell>
          <cell r="F33">
            <v>1916.2156956521749</v>
          </cell>
        </row>
        <row r="34">
          <cell r="D34">
            <v>58580.113789715739</v>
          </cell>
          <cell r="E34">
            <v>4728.4396780936477</v>
          </cell>
          <cell r="F34">
            <v>2101.5287458193989</v>
          </cell>
        </row>
        <row r="35">
          <cell r="D35">
            <v>65439.306328846171</v>
          </cell>
          <cell r="E35">
            <v>5163.9961153846161</v>
          </cell>
          <cell r="F35">
            <v>2295.1093846153849</v>
          </cell>
        </row>
        <row r="36">
          <cell r="D36">
            <v>72812.7775214047</v>
          </cell>
          <cell r="E36">
            <v>5620.1972357859549</v>
          </cell>
          <cell r="F36">
            <v>2497.8654381270912</v>
          </cell>
        </row>
        <row r="37">
          <cell r="D37">
            <v>80692.898434991686</v>
          </cell>
          <cell r="E37">
            <v>6095.1413001672272</v>
          </cell>
          <cell r="F37">
            <v>2708.9516889632123</v>
          </cell>
        </row>
        <row r="38">
          <cell r="D38">
            <v>89095.600571989969</v>
          </cell>
          <cell r="E38">
            <v>6588.8283085284293</v>
          </cell>
          <cell r="F38">
            <v>2928.3681371237462</v>
          </cell>
        </row>
        <row r="39">
          <cell r="D39">
            <v>98036.81543478262</v>
          </cell>
          <cell r="E39">
            <v>7101.2582608695666</v>
          </cell>
          <cell r="F39">
            <v>3156.1147826086963</v>
          </cell>
        </row>
        <row r="40">
          <cell r="D40">
            <v>107532.47452575252</v>
          </cell>
          <cell r="E40">
            <v>7632.4311571906364</v>
          </cell>
          <cell r="F40">
            <v>3392.191625418061</v>
          </cell>
        </row>
        <row r="41">
          <cell r="D41">
            <v>117598.50934728263</v>
          </cell>
          <cell r="E41">
            <v>8182.3469974916397</v>
          </cell>
          <cell r="F41">
            <v>3636.59866555184</v>
          </cell>
        </row>
        <row r="42">
          <cell r="D42">
            <v>128250.85140175585</v>
          </cell>
          <cell r="E42">
            <v>8751.0057817725756</v>
          </cell>
          <cell r="F42">
            <v>3889.3359030100337</v>
          </cell>
        </row>
        <row r="43">
          <cell r="D43">
            <v>139505.43219155521</v>
          </cell>
          <cell r="E43">
            <v>9338.4075100334449</v>
          </cell>
          <cell r="F43">
            <v>4150.4033377926426</v>
          </cell>
        </row>
        <row r="44">
          <cell r="D44">
            <v>152741.95063545156</v>
          </cell>
          <cell r="E44">
            <v>10034.14274247492</v>
          </cell>
          <cell r="F44">
            <v>4459.6189966555203</v>
          </cell>
        </row>
        <row r="45">
          <cell r="D45">
            <v>166760.21205660541</v>
          </cell>
          <cell r="E45">
            <v>10754.868566889636</v>
          </cell>
          <cell r="F45">
            <v>4779.9415852842822</v>
          </cell>
        </row>
        <row r="46">
          <cell r="D46">
            <v>181581.45845819404</v>
          </cell>
          <cell r="E46">
            <v>11500.584983277597</v>
          </cell>
          <cell r="F46">
            <v>5111.3711036789318</v>
          </cell>
        </row>
        <row r="47">
          <cell r="D47">
            <v>197226.93184339468</v>
          </cell>
          <cell r="E47">
            <v>12271.291991638798</v>
          </cell>
          <cell r="F47">
            <v>5453.9075518394666</v>
          </cell>
        </row>
        <row r="48">
          <cell r="D48">
            <v>213717.87421538465</v>
          </cell>
          <cell r="E48">
            <v>13066.989591973246</v>
          </cell>
          <cell r="F48">
            <v>5807.5509297658873</v>
          </cell>
        </row>
        <row r="49">
          <cell r="D49">
            <v>231075.52757734121</v>
          </cell>
          <cell r="E49">
            <v>13887.677784280941</v>
          </cell>
          <cell r="F49">
            <v>6172.3012374581958</v>
          </cell>
        </row>
        <row r="50">
          <cell r="D50">
            <v>249321.13393244156</v>
          </cell>
          <cell r="E50">
            <v>14733.356568561878</v>
          </cell>
          <cell r="F50">
            <v>6548.1584749163903</v>
          </cell>
        </row>
        <row r="51">
          <cell r="D51">
            <v>268475.93528386293</v>
          </cell>
          <cell r="E51">
            <v>15604.025944816058</v>
          </cell>
          <cell r="F51">
            <v>6935.1226421404708</v>
          </cell>
        </row>
        <row r="52">
          <cell r="D52">
            <v>288561.17363478272</v>
          </cell>
          <cell r="E52">
            <v>16499.685913043486</v>
          </cell>
          <cell r="F52">
            <v>7333.1937391304382</v>
          </cell>
        </row>
        <row r="53">
          <cell r="D53">
            <v>309598.0909883781</v>
          </cell>
          <cell r="E53">
            <v>17420.336473244155</v>
          </cell>
          <cell r="F53">
            <v>7742.3717658862915</v>
          </cell>
        </row>
        <row r="54">
          <cell r="D54">
            <v>333789.56046195666</v>
          </cell>
          <cell r="E54">
            <v>18486.806425585291</v>
          </cell>
          <cell r="F54">
            <v>8216.3584113712404</v>
          </cell>
        </row>
        <row r="55">
          <cell r="D55">
            <v>359158.23752035969</v>
          </cell>
          <cell r="E55">
            <v>19584.514617892979</v>
          </cell>
          <cell r="F55">
            <v>8704.228719063547</v>
          </cell>
        </row>
        <row r="56">
          <cell r="D56">
            <v>385730.67466755857</v>
          </cell>
          <cell r="E56">
            <v>20713.461050167229</v>
          </cell>
          <cell r="F56">
            <v>9205.9826889632131</v>
          </cell>
        </row>
        <row r="57">
          <cell r="D57">
            <v>413533.42440752522</v>
          </cell>
          <cell r="E57">
            <v>21873.645722408033</v>
          </cell>
          <cell r="F57">
            <v>9721.620321070237</v>
          </cell>
        </row>
        <row r="58">
          <cell r="D58">
            <v>442593.03924423084</v>
          </cell>
          <cell r="E58">
            <v>23065.068634615389</v>
          </cell>
          <cell r="F58">
            <v>10251.141615384618</v>
          </cell>
        </row>
        <row r="59">
          <cell r="D59">
            <v>472936.07168164715</v>
          </cell>
          <cell r="E59">
            <v>24287.729786789299</v>
          </cell>
          <cell r="F59">
            <v>10794.546571906356</v>
          </cell>
        </row>
        <row r="60">
          <cell r="D60">
            <v>504589.07422374596</v>
          </cell>
          <cell r="E60">
            <v>25541.629178929772</v>
          </cell>
          <cell r="F60">
            <v>11351.835190635455</v>
          </cell>
        </row>
        <row r="61">
          <cell r="D61">
            <v>537578.59937449847</v>
          </cell>
          <cell r="E61">
            <v>26826.766811036796</v>
          </cell>
          <cell r="F61">
            <v>11923.007471571909</v>
          </cell>
        </row>
        <row r="62">
          <cell r="D62">
            <v>571931.19963787636</v>
          </cell>
          <cell r="E62">
            <v>28143.142683110374</v>
          </cell>
          <cell r="F62">
            <v>12508.063414715723</v>
          </cell>
        </row>
        <row r="63">
          <cell r="D63">
            <v>607673.42751785135</v>
          </cell>
          <cell r="E63">
            <v>29490.756795150512</v>
          </cell>
          <cell r="F63">
            <v>13107.003020066893</v>
          </cell>
        </row>
        <row r="64">
          <cell r="D64">
            <v>648008.34702341165</v>
          </cell>
          <cell r="E64">
            <v>31021.676187290985</v>
          </cell>
          <cell r="F64">
            <v>13787.411638795993</v>
          </cell>
        </row>
        <row r="65">
          <cell r="D65">
            <v>690004.44706793502</v>
          </cell>
          <cell r="E65">
            <v>32590.081467391312</v>
          </cell>
          <cell r="F65">
            <v>14484.480652173917</v>
          </cell>
        </row>
        <row r="66">
          <cell r="D66">
            <v>733693.59065618762</v>
          </cell>
          <cell r="E66">
            <v>34195.972635451515</v>
          </cell>
          <cell r="F66">
            <v>15198.210060200676</v>
          </cell>
        </row>
        <row r="67">
          <cell r="D67">
            <v>779107.64079293516</v>
          </cell>
          <cell r="E67">
            <v>35839.349691471587</v>
          </cell>
          <cell r="F67">
            <v>15928.599862876261</v>
          </cell>
        </row>
        <row r="68">
          <cell r="D68">
            <v>826278.46048294357</v>
          </cell>
          <cell r="E68">
            <v>37520.21263545152</v>
          </cell>
          <cell r="F68">
            <v>16675.650060200678</v>
          </cell>
        </row>
        <row r="69">
          <cell r="D69">
            <v>875237.91273097834</v>
          </cell>
          <cell r="E69">
            <v>39238.561467391308</v>
          </cell>
          <cell r="F69">
            <v>17439.360652173917</v>
          </cell>
        </row>
        <row r="70">
          <cell r="D70">
            <v>926017.86054180656</v>
          </cell>
          <cell r="E70">
            <v>40994.396187290993</v>
          </cell>
          <cell r="F70">
            <v>18219.731638795998</v>
          </cell>
        </row>
        <row r="71">
          <cell r="D71">
            <v>978650.16692019301</v>
          </cell>
          <cell r="E71">
            <v>42787.716795150533</v>
          </cell>
          <cell r="F71">
            <v>19016.763020066905</v>
          </cell>
        </row>
        <row r="72">
          <cell r="D72">
            <v>1033166.6948709039</v>
          </cell>
          <cell r="E72">
            <v>44618.523290969941</v>
          </cell>
          <cell r="F72">
            <v>19830.45479598664</v>
          </cell>
        </row>
        <row r="73">
          <cell r="D73">
            <v>1089599.307398705</v>
          </cell>
          <cell r="E73">
            <v>46486.815674749203</v>
          </cell>
          <cell r="F73">
            <v>20660.806966555203</v>
          </cell>
        </row>
        <row r="74">
          <cell r="D74">
            <v>1152328.276097409</v>
          </cell>
          <cell r="E74">
            <v>48575.89922658867</v>
          </cell>
          <cell r="F74">
            <v>21589.288545150521</v>
          </cell>
        </row>
        <row r="75">
          <cell r="D75">
            <v>1217290.9066357866</v>
          </cell>
          <cell r="E75">
            <v>50708.716314381301</v>
          </cell>
          <cell r="F75">
            <v>22537.207250836134</v>
          </cell>
        </row>
        <row r="76">
          <cell r="D76">
            <v>1284524.3725193988</v>
          </cell>
          <cell r="E76">
            <v>52885.266938127126</v>
          </cell>
          <cell r="F76">
            <v>23504.563083612054</v>
          </cell>
        </row>
        <row r="77">
          <cell r="D77">
            <v>1354065.8472538053</v>
          </cell>
          <cell r="E77">
            <v>55105.551097826123</v>
          </cell>
          <cell r="F77">
            <v>24491.356043478278</v>
          </cell>
        </row>
        <row r="78">
          <cell r="D78">
            <v>1425952.504344566</v>
          </cell>
          <cell r="E78">
            <v>57369.568793478291</v>
          </cell>
          <cell r="F78">
            <v>25497.586130434796</v>
          </cell>
        </row>
        <row r="79">
          <cell r="D79">
            <v>1500221.5172972416</v>
          </cell>
          <cell r="E79">
            <v>59677.320025083645</v>
          </cell>
          <cell r="F79">
            <v>26523.253344481622</v>
          </cell>
        </row>
        <row r="80">
          <cell r="D80">
            <v>1576910.059617392</v>
          </cell>
          <cell r="E80">
            <v>62028.804792642171</v>
          </cell>
          <cell r="F80">
            <v>27568.357685618743</v>
          </cell>
        </row>
        <row r="81">
          <cell r="D81">
            <v>1656055.3048105778</v>
          </cell>
          <cell r="E81">
            <v>64424.023096153876</v>
          </cell>
          <cell r="F81">
            <v>28632.899153846167</v>
          </cell>
        </row>
        <row r="82">
          <cell r="D82">
            <v>1737694.4263823582</v>
          </cell>
          <cell r="E82">
            <v>66862.974935618739</v>
          </cell>
          <cell r="F82">
            <v>29716.877749163887</v>
          </cell>
        </row>
        <row r="83">
          <cell r="D83">
            <v>1821864.5978382952</v>
          </cell>
          <cell r="E83">
            <v>69345.660311036816</v>
          </cell>
          <cell r="F83">
            <v>30820.29347157192</v>
          </cell>
        </row>
        <row r="84">
          <cell r="D84">
            <v>1914300.3150501673</v>
          </cell>
          <cell r="E84">
            <v>72086.622742474923</v>
          </cell>
          <cell r="F84">
            <v>32038.498996655522</v>
          </cell>
        </row>
      </sheetData>
      <sheetData sheetId="5">
        <row r="4">
          <cell r="B4" t="str">
            <v>等级</v>
          </cell>
        </row>
        <row r="5">
          <cell r="F5">
            <v>191.42640000000003</v>
          </cell>
        </row>
        <row r="6">
          <cell r="F6">
            <v>207.0264</v>
          </cell>
        </row>
        <row r="7">
          <cell r="F7">
            <v>222.62640000000002</v>
          </cell>
        </row>
        <row r="8">
          <cell r="F8">
            <v>238.22640000000001</v>
          </cell>
        </row>
        <row r="9">
          <cell r="F9">
            <v>253.82640000000001</v>
          </cell>
        </row>
        <row r="10">
          <cell r="F10">
            <v>269.4264</v>
          </cell>
        </row>
        <row r="11">
          <cell r="F11">
            <v>285.02640000000002</v>
          </cell>
        </row>
        <row r="12">
          <cell r="F12">
            <v>300.62639999999999</v>
          </cell>
        </row>
        <row r="13">
          <cell r="F13">
            <v>316.22640000000001</v>
          </cell>
        </row>
        <row r="14">
          <cell r="F14">
            <v>331.82640000000004</v>
          </cell>
        </row>
        <row r="15">
          <cell r="F15">
            <v>347.42639999999994</v>
          </cell>
        </row>
        <row r="16">
          <cell r="F16">
            <v>363.02640000000002</v>
          </cell>
        </row>
        <row r="17">
          <cell r="F17">
            <v>378.62639999999999</v>
          </cell>
        </row>
        <row r="18">
          <cell r="F18">
            <v>394.22640000000001</v>
          </cell>
        </row>
        <row r="19">
          <cell r="F19">
            <v>409.82639999999998</v>
          </cell>
        </row>
        <row r="20">
          <cell r="F20">
            <v>425.4264</v>
          </cell>
        </row>
        <row r="21">
          <cell r="F21">
            <v>441.02640000000002</v>
          </cell>
        </row>
        <row r="22">
          <cell r="F22">
            <v>456.6264000000001</v>
          </cell>
        </row>
        <row r="23">
          <cell r="F23">
            <v>472.22640000000013</v>
          </cell>
        </row>
        <row r="24">
          <cell r="F24">
            <v>487.82640000000004</v>
          </cell>
        </row>
        <row r="25">
          <cell r="F25">
            <v>503.42640000000006</v>
          </cell>
        </row>
        <row r="26">
          <cell r="F26">
            <v>519.02640000000008</v>
          </cell>
        </row>
        <row r="27">
          <cell r="F27">
            <v>534.62640000000022</v>
          </cell>
        </row>
        <row r="28">
          <cell r="F28">
            <v>550.22640000000013</v>
          </cell>
        </row>
        <row r="29">
          <cell r="F29">
            <v>565.82640000000015</v>
          </cell>
        </row>
        <row r="30">
          <cell r="F30">
            <v>581.42640000000017</v>
          </cell>
        </row>
        <row r="31">
          <cell r="F31">
            <v>597.02640000000008</v>
          </cell>
        </row>
        <row r="32">
          <cell r="F32">
            <v>612.62640000000022</v>
          </cell>
        </row>
        <row r="33">
          <cell r="F33">
            <v>628.22640000000013</v>
          </cell>
        </row>
        <row r="34">
          <cell r="F34">
            <v>651.62640000000022</v>
          </cell>
        </row>
        <row r="35">
          <cell r="F35">
            <v>675.02640000000008</v>
          </cell>
        </row>
        <row r="36">
          <cell r="F36">
            <v>698.42640000000029</v>
          </cell>
        </row>
        <row r="37">
          <cell r="F37">
            <v>721.82640000000026</v>
          </cell>
        </row>
        <row r="38">
          <cell r="F38">
            <v>745.22640000000013</v>
          </cell>
        </row>
        <row r="39">
          <cell r="F39">
            <v>768.62640000000033</v>
          </cell>
        </row>
        <row r="40">
          <cell r="F40">
            <v>792.02640000000008</v>
          </cell>
        </row>
        <row r="41">
          <cell r="F41">
            <v>815.42640000000029</v>
          </cell>
        </row>
        <row r="42">
          <cell r="F42">
            <v>838.82640000000015</v>
          </cell>
        </row>
        <row r="43">
          <cell r="F43">
            <v>862.22640000000013</v>
          </cell>
        </row>
        <row r="44">
          <cell r="F44">
            <v>893.42640000000029</v>
          </cell>
        </row>
        <row r="45">
          <cell r="F45">
            <v>924.62640000000033</v>
          </cell>
        </row>
        <row r="46">
          <cell r="F46">
            <v>955.82640000000049</v>
          </cell>
        </row>
        <row r="47">
          <cell r="F47">
            <v>987.02640000000031</v>
          </cell>
        </row>
        <row r="48">
          <cell r="F48">
            <v>1018.2264000000002</v>
          </cell>
        </row>
        <row r="49">
          <cell r="F49">
            <v>1049.4264000000003</v>
          </cell>
        </row>
        <row r="50">
          <cell r="F50">
            <v>1080.6264000000006</v>
          </cell>
        </row>
        <row r="51">
          <cell r="F51">
            <v>1111.8264000000004</v>
          </cell>
        </row>
        <row r="52">
          <cell r="F52">
            <v>1143.0264000000006</v>
          </cell>
        </row>
        <row r="53">
          <cell r="F53">
            <v>1174.2264000000007</v>
          </cell>
        </row>
        <row r="54">
          <cell r="F54">
            <v>1213.2264000000005</v>
          </cell>
        </row>
        <row r="55">
          <cell r="F55">
            <v>1252.2264000000005</v>
          </cell>
        </row>
        <row r="56">
          <cell r="F56">
            <v>1291.2264000000002</v>
          </cell>
        </row>
        <row r="57">
          <cell r="F57">
            <v>1330.2264000000005</v>
          </cell>
        </row>
        <row r="58">
          <cell r="F58">
            <v>1369.2264000000005</v>
          </cell>
        </row>
        <row r="59">
          <cell r="F59">
            <v>1408.2264000000002</v>
          </cell>
        </row>
        <row r="60">
          <cell r="F60">
            <v>1447.2264000000005</v>
          </cell>
        </row>
        <row r="61">
          <cell r="F61">
            <v>1486.2264000000002</v>
          </cell>
        </row>
        <row r="62">
          <cell r="F62">
            <v>1525.2264000000005</v>
          </cell>
        </row>
        <row r="63">
          <cell r="F63">
            <v>1564.2264000000002</v>
          </cell>
        </row>
        <row r="64">
          <cell r="F64">
            <v>1611.0264000000004</v>
          </cell>
        </row>
        <row r="65">
          <cell r="F65">
            <v>1657.8264000000006</v>
          </cell>
        </row>
        <row r="66">
          <cell r="F66">
            <v>1704.6264000000006</v>
          </cell>
        </row>
        <row r="67">
          <cell r="F67">
            <v>1751.4264000000007</v>
          </cell>
        </row>
        <row r="68">
          <cell r="F68">
            <v>1798.2264000000009</v>
          </cell>
        </row>
        <row r="69">
          <cell r="F69">
            <v>1845.0264000000006</v>
          </cell>
        </row>
        <row r="70">
          <cell r="F70">
            <v>1891.8264000000013</v>
          </cell>
        </row>
        <row r="71">
          <cell r="F71">
            <v>1938.6264000000015</v>
          </cell>
        </row>
        <row r="72">
          <cell r="F72">
            <v>1985.4264000000014</v>
          </cell>
        </row>
        <row r="73">
          <cell r="F73">
            <v>2032.2264000000014</v>
          </cell>
        </row>
        <row r="74">
          <cell r="F74">
            <v>2086.8264000000017</v>
          </cell>
        </row>
        <row r="75">
          <cell r="F75">
            <v>2141.4264000000012</v>
          </cell>
        </row>
        <row r="76">
          <cell r="F76">
            <v>2196.0264000000016</v>
          </cell>
        </row>
        <row r="77">
          <cell r="F77">
            <v>2250.626400000001</v>
          </cell>
        </row>
        <row r="78">
          <cell r="F78">
            <v>2305.2264000000014</v>
          </cell>
        </row>
        <row r="79">
          <cell r="F79">
            <v>2359.8264000000017</v>
          </cell>
        </row>
        <row r="80">
          <cell r="F80">
            <v>2414.4264000000012</v>
          </cell>
        </row>
        <row r="81">
          <cell r="F81">
            <v>2469.0264000000011</v>
          </cell>
        </row>
        <row r="82">
          <cell r="F82">
            <v>2523.626400000001</v>
          </cell>
        </row>
        <row r="83">
          <cell r="F83">
            <v>2578.2264000000009</v>
          </cell>
        </row>
        <row r="84">
          <cell r="F84">
            <v>2640.6264000000006</v>
          </cell>
        </row>
        <row r="85">
          <cell r="F85">
            <v>2703.0264000000006</v>
          </cell>
        </row>
        <row r="86">
          <cell r="F86">
            <v>2765.4264000000003</v>
          </cell>
        </row>
        <row r="87">
          <cell r="F87">
            <v>2827.8264000000008</v>
          </cell>
        </row>
        <row r="88">
          <cell r="F88">
            <v>2890.2264000000005</v>
          </cell>
        </row>
        <row r="89">
          <cell r="F89">
            <v>2952.6264000000006</v>
          </cell>
        </row>
        <row r="90">
          <cell r="F90">
            <v>3015.0264000000006</v>
          </cell>
        </row>
        <row r="91">
          <cell r="F91">
            <v>3077.4263999999994</v>
          </cell>
        </row>
        <row r="92">
          <cell r="F92">
            <v>3139.826399999999</v>
          </cell>
        </row>
        <row r="93">
          <cell r="F93">
            <v>3202.2263999999996</v>
          </cell>
        </row>
        <row r="94">
          <cell r="F94">
            <v>3264.6263999999987</v>
          </cell>
        </row>
        <row r="95">
          <cell r="F95">
            <v>3327.0263999999984</v>
          </cell>
        </row>
        <row r="96">
          <cell r="F96">
            <v>3389.4263999999985</v>
          </cell>
        </row>
        <row r="97">
          <cell r="F97">
            <v>3451.8263999999986</v>
          </cell>
        </row>
        <row r="98">
          <cell r="F98">
            <v>3514.2263999999986</v>
          </cell>
        </row>
        <row r="99">
          <cell r="F99">
            <v>3576.6263999999983</v>
          </cell>
        </row>
        <row r="100">
          <cell r="F100">
            <v>3639.0263999999979</v>
          </cell>
        </row>
        <row r="101">
          <cell r="F101">
            <v>3701.4263999999976</v>
          </cell>
        </row>
        <row r="102">
          <cell r="F102">
            <v>3763.8263999999967</v>
          </cell>
        </row>
        <row r="103">
          <cell r="F103">
            <v>3826.2263999999968</v>
          </cell>
        </row>
        <row r="104">
          <cell r="F104">
            <v>3888.6263999999974</v>
          </cell>
        </row>
      </sheetData>
      <sheetData sheetId="6"/>
      <sheetData sheetId="7"/>
      <sheetData sheetId="8"/>
      <sheetData sheetId="9">
        <row r="16">
          <cell r="B16">
            <v>0.1</v>
          </cell>
        </row>
      </sheetData>
      <sheetData sheetId="10"/>
      <sheetData sheetId="11">
        <row r="1">
          <cell r="B1">
            <v>19</v>
          </cell>
        </row>
      </sheetData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任务"/>
      <sheetName val="D_日常任务"/>
      <sheetName val="D_新手引导"/>
      <sheetName val="D_成就任务"/>
      <sheetName val="任务辅助表"/>
      <sheetName val="任务经验掉落配置表"/>
      <sheetName val="任务剧情配置表"/>
      <sheetName val="日常任务辅助表"/>
      <sheetName val="任务配置辅助表"/>
      <sheetName val="日常任务配置"/>
      <sheetName val="成就任务配置"/>
      <sheetName val="任务运算表"/>
      <sheetName val="日常任务运算表"/>
    </sheetNames>
    <sheetDataSet>
      <sheetData sheetId="0"/>
      <sheetData sheetId="1"/>
      <sheetData sheetId="2"/>
      <sheetData sheetId="3">
        <row r="8">
          <cell r="G8">
            <v>1001</v>
          </cell>
          <cell r="H8">
            <v>3</v>
          </cell>
          <cell r="I8">
            <v>1001</v>
          </cell>
          <cell r="J8" t="str">
            <v>三星通关·浴室砍巴闭</v>
          </cell>
          <cell r="K8">
            <v>3093</v>
          </cell>
        </row>
        <row r="9">
          <cell r="G9">
            <v>1002</v>
          </cell>
          <cell r="H9">
            <v>3</v>
          </cell>
          <cell r="I9">
            <v>1002</v>
          </cell>
          <cell r="J9" t="str">
            <v>三星通关·西贡打大傻</v>
          </cell>
          <cell r="K9">
            <v>3179</v>
          </cell>
        </row>
        <row r="10">
          <cell r="G10">
            <v>1003</v>
          </cell>
          <cell r="H10">
            <v>3</v>
          </cell>
          <cell r="I10">
            <v>1003</v>
          </cell>
          <cell r="J10" t="str">
            <v>三星通关·戏逗小结巴</v>
          </cell>
          <cell r="K10">
            <v>3265</v>
          </cell>
        </row>
        <row r="11">
          <cell r="G11">
            <v>1004</v>
          </cell>
          <cell r="H11">
            <v>3</v>
          </cell>
          <cell r="I11">
            <v>1004</v>
          </cell>
          <cell r="J11" t="str">
            <v>三星通关·秘密任务</v>
          </cell>
          <cell r="K11">
            <v>3351</v>
          </cell>
        </row>
        <row r="12">
          <cell r="G12">
            <v>1005</v>
          </cell>
          <cell r="H12">
            <v>3</v>
          </cell>
          <cell r="I12">
            <v>1005</v>
          </cell>
          <cell r="J12" t="str">
            <v>三星通关·遭遇埋伏</v>
          </cell>
          <cell r="K12">
            <v>3437</v>
          </cell>
        </row>
        <row r="13">
          <cell r="G13">
            <v>1006</v>
          </cell>
          <cell r="H13">
            <v>3</v>
          </cell>
          <cell r="I13">
            <v>1006</v>
          </cell>
          <cell r="J13" t="str">
            <v>三星通关·逃出生天</v>
          </cell>
          <cell r="K13">
            <v>3523</v>
          </cell>
        </row>
        <row r="14">
          <cell r="G14">
            <v>1007</v>
          </cell>
          <cell r="H14">
            <v>3</v>
          </cell>
          <cell r="I14">
            <v>1007</v>
          </cell>
          <cell r="J14" t="str">
            <v>三星通关·B哥遇害</v>
          </cell>
          <cell r="K14">
            <v>3609</v>
          </cell>
        </row>
        <row r="15">
          <cell r="G15">
            <v>1008</v>
          </cell>
          <cell r="H15">
            <v>3</v>
          </cell>
          <cell r="I15">
            <v>1008</v>
          </cell>
          <cell r="J15" t="str">
            <v>三星通关·同仇敌忾</v>
          </cell>
          <cell r="K15">
            <v>3695</v>
          </cell>
        </row>
        <row r="16">
          <cell r="G16">
            <v>1009</v>
          </cell>
          <cell r="H16">
            <v>3</v>
          </cell>
          <cell r="I16">
            <v>1009</v>
          </cell>
          <cell r="J16" t="str">
            <v>三星通关·合力毙靓坤</v>
          </cell>
          <cell r="K16">
            <v>3780</v>
          </cell>
        </row>
        <row r="17">
          <cell r="G17">
            <v>2001</v>
          </cell>
          <cell r="H17">
            <v>3</v>
          </cell>
          <cell r="I17">
            <v>1010</v>
          </cell>
          <cell r="J17" t="str">
            <v>三星通关·协助山鸡</v>
          </cell>
          <cell r="K17">
            <v>3866</v>
          </cell>
        </row>
        <row r="18">
          <cell r="G18">
            <v>2002</v>
          </cell>
          <cell r="H18">
            <v>3</v>
          </cell>
          <cell r="I18">
            <v>1011</v>
          </cell>
          <cell r="J18" t="str">
            <v>三星通关·伏击张议员</v>
          </cell>
          <cell r="K18">
            <v>3952</v>
          </cell>
        </row>
        <row r="19">
          <cell r="G19">
            <v>2003</v>
          </cell>
          <cell r="H19">
            <v>3</v>
          </cell>
          <cell r="I19">
            <v>1012</v>
          </cell>
          <cell r="J19" t="str">
            <v>三星通关·蒋生遇雷功</v>
          </cell>
          <cell r="K19">
            <v>4038</v>
          </cell>
        </row>
        <row r="20">
          <cell r="G20">
            <v>2004</v>
          </cell>
          <cell r="H20">
            <v>3</v>
          </cell>
          <cell r="I20">
            <v>1013</v>
          </cell>
          <cell r="J20" t="str">
            <v>三星通关·争夺扛把子</v>
          </cell>
          <cell r="K20">
            <v>4124</v>
          </cell>
        </row>
        <row r="21">
          <cell r="G21">
            <v>2005</v>
          </cell>
          <cell r="H21">
            <v>3</v>
          </cell>
          <cell r="I21">
            <v>1014</v>
          </cell>
          <cell r="J21" t="str">
            <v>三星通关·约战大飞</v>
          </cell>
          <cell r="K21">
            <v>4210</v>
          </cell>
        </row>
        <row r="22">
          <cell r="G22">
            <v>2006</v>
          </cell>
          <cell r="H22">
            <v>3</v>
          </cell>
          <cell r="I22">
            <v>1015</v>
          </cell>
          <cell r="J22" t="str">
            <v>三星通关·缓和契机</v>
          </cell>
          <cell r="K22">
            <v>4296</v>
          </cell>
        </row>
        <row r="23">
          <cell r="G23">
            <v>2007</v>
          </cell>
          <cell r="H23">
            <v>3</v>
          </cell>
          <cell r="I23">
            <v>1016</v>
          </cell>
          <cell r="J23" t="str">
            <v>三星通关·落入陷阱</v>
          </cell>
          <cell r="K23">
            <v>4382</v>
          </cell>
        </row>
        <row r="24">
          <cell r="G24">
            <v>2008</v>
          </cell>
          <cell r="H24">
            <v>3</v>
          </cell>
          <cell r="I24">
            <v>1017</v>
          </cell>
          <cell r="J24" t="str">
            <v>三星通关·突出重围</v>
          </cell>
          <cell r="K24">
            <v>4468</v>
          </cell>
        </row>
        <row r="25">
          <cell r="G25">
            <v>2009</v>
          </cell>
          <cell r="H25">
            <v>3</v>
          </cell>
          <cell r="I25">
            <v>1018</v>
          </cell>
          <cell r="J25" t="str">
            <v>三星通关·赌场除丁瑶</v>
          </cell>
          <cell r="K25">
            <v>4554</v>
          </cell>
        </row>
        <row r="26">
          <cell r="G26">
            <v>3001</v>
          </cell>
          <cell r="H26">
            <v>3</v>
          </cell>
          <cell r="I26">
            <v>1019</v>
          </cell>
          <cell r="J26" t="str">
            <v>三星通关·东星鸿门宴</v>
          </cell>
          <cell r="K26">
            <v>4640</v>
          </cell>
        </row>
        <row r="27">
          <cell r="G27">
            <v>3002</v>
          </cell>
          <cell r="H27">
            <v>3</v>
          </cell>
          <cell r="I27">
            <v>1020</v>
          </cell>
          <cell r="J27" t="str">
            <v>三星通关·怒打笑面虎</v>
          </cell>
          <cell r="K27">
            <v>4726</v>
          </cell>
        </row>
        <row r="28">
          <cell r="G28">
            <v>3003</v>
          </cell>
          <cell r="H28">
            <v>3</v>
          </cell>
          <cell r="I28">
            <v>1021</v>
          </cell>
          <cell r="J28" t="str">
            <v>三星通关·蒋生遇袭</v>
          </cell>
          <cell r="K28">
            <v>4812</v>
          </cell>
        </row>
        <row r="29">
          <cell r="G29">
            <v>3004</v>
          </cell>
          <cell r="H29">
            <v>3</v>
          </cell>
          <cell r="I29">
            <v>1022</v>
          </cell>
          <cell r="J29" t="str">
            <v>三星通关·遭遇诬陷</v>
          </cell>
          <cell r="K29">
            <v>4898</v>
          </cell>
        </row>
        <row r="30">
          <cell r="G30">
            <v>3005</v>
          </cell>
          <cell r="H30">
            <v>3</v>
          </cell>
          <cell r="I30">
            <v>1023</v>
          </cell>
          <cell r="J30" t="str">
            <v>三星通关·掩护浩南</v>
          </cell>
          <cell r="K30">
            <v>4983</v>
          </cell>
        </row>
        <row r="31">
          <cell r="G31">
            <v>3006</v>
          </cell>
          <cell r="H31">
            <v>3</v>
          </cell>
          <cell r="I31">
            <v>1024</v>
          </cell>
          <cell r="J31" t="str">
            <v>三星通关·获取弹药</v>
          </cell>
          <cell r="K31">
            <v>5069</v>
          </cell>
        </row>
        <row r="32">
          <cell r="G32">
            <v>3007</v>
          </cell>
          <cell r="H32">
            <v>3</v>
          </cell>
          <cell r="I32">
            <v>1025</v>
          </cell>
          <cell r="J32" t="str">
            <v>三星通关·小结巴之死</v>
          </cell>
          <cell r="K32">
            <v>5155</v>
          </cell>
        </row>
        <row r="33">
          <cell r="G33">
            <v>3008</v>
          </cell>
          <cell r="H33">
            <v>3</v>
          </cell>
          <cell r="I33">
            <v>1026</v>
          </cell>
          <cell r="J33" t="str">
            <v>三星通关·复仇之路</v>
          </cell>
          <cell r="K33">
            <v>5241</v>
          </cell>
        </row>
        <row r="34">
          <cell r="G34">
            <v>3009</v>
          </cell>
          <cell r="H34">
            <v>3</v>
          </cell>
          <cell r="I34">
            <v>1027</v>
          </cell>
          <cell r="J34" t="str">
            <v>三星通关·双虎覆灭</v>
          </cell>
          <cell r="K34">
            <v>5327</v>
          </cell>
        </row>
        <row r="35">
          <cell r="G35">
            <v>4001</v>
          </cell>
          <cell r="H35">
            <v>3</v>
          </cell>
          <cell r="I35">
            <v>1028</v>
          </cell>
          <cell r="J35" t="str">
            <v>三星通关·驱除袭击者</v>
          </cell>
          <cell r="K35">
            <v>5413</v>
          </cell>
        </row>
        <row r="36">
          <cell r="G36">
            <v>4002</v>
          </cell>
          <cell r="H36">
            <v>3</v>
          </cell>
          <cell r="I36">
            <v>1029</v>
          </cell>
          <cell r="J36" t="str">
            <v>三星通关·屯门之争</v>
          </cell>
          <cell r="K36">
            <v>5499</v>
          </cell>
        </row>
        <row r="37">
          <cell r="G37">
            <v>4003</v>
          </cell>
          <cell r="H37">
            <v>3</v>
          </cell>
          <cell r="I37">
            <v>1030</v>
          </cell>
          <cell r="J37" t="str">
            <v>三星通关·教会解围</v>
          </cell>
          <cell r="K37">
            <v>5585</v>
          </cell>
        </row>
        <row r="38">
          <cell r="G38">
            <v>4004</v>
          </cell>
          <cell r="H38">
            <v>3</v>
          </cell>
          <cell r="I38">
            <v>1031</v>
          </cell>
          <cell r="J38" t="str">
            <v>三星通关·地盘纷争</v>
          </cell>
          <cell r="K38">
            <v>5671</v>
          </cell>
        </row>
        <row r="39">
          <cell r="G39">
            <v>4005</v>
          </cell>
          <cell r="H39">
            <v>3</v>
          </cell>
          <cell r="I39">
            <v>1032</v>
          </cell>
          <cell r="J39" t="str">
            <v>三星通关·营救大天二</v>
          </cell>
          <cell r="K39">
            <v>5757</v>
          </cell>
        </row>
        <row r="40">
          <cell r="G40">
            <v>4006</v>
          </cell>
          <cell r="H40">
            <v>3</v>
          </cell>
          <cell r="I40">
            <v>1033</v>
          </cell>
          <cell r="J40" t="str">
            <v>三星通关·调虎离山</v>
          </cell>
          <cell r="K40">
            <v>5843</v>
          </cell>
        </row>
        <row r="41">
          <cell r="G41">
            <v>4007</v>
          </cell>
          <cell r="H41">
            <v>3</v>
          </cell>
          <cell r="I41">
            <v>1034</v>
          </cell>
          <cell r="J41" t="str">
            <v>三星通关·痛失战友</v>
          </cell>
          <cell r="K41">
            <v>5929</v>
          </cell>
        </row>
        <row r="42">
          <cell r="G42">
            <v>4008</v>
          </cell>
          <cell r="H42">
            <v>3</v>
          </cell>
          <cell r="I42">
            <v>1035</v>
          </cell>
          <cell r="J42" t="str">
            <v>三星通关·追击真凶</v>
          </cell>
          <cell r="K42">
            <v>6015</v>
          </cell>
        </row>
        <row r="43">
          <cell r="G43">
            <v>4009</v>
          </cell>
          <cell r="H43">
            <v>3</v>
          </cell>
          <cell r="I43">
            <v>1036</v>
          </cell>
          <cell r="J43" t="str">
            <v>三星通关·一决雌雄</v>
          </cell>
          <cell r="K43">
            <v>6101</v>
          </cell>
        </row>
        <row r="44">
          <cell r="G44">
            <v>5001</v>
          </cell>
          <cell r="H44">
            <v>3</v>
          </cell>
          <cell r="I44">
            <v>1037</v>
          </cell>
          <cell r="J44" t="str">
            <v>三星通关·双雄之争</v>
          </cell>
          <cell r="K44">
            <v>6187</v>
          </cell>
        </row>
        <row r="45">
          <cell r="G45">
            <v>5002</v>
          </cell>
          <cell r="H45">
            <v>3</v>
          </cell>
          <cell r="I45">
            <v>1038</v>
          </cell>
          <cell r="J45" t="str">
            <v>三星通关·守卫赌船</v>
          </cell>
          <cell r="K45">
            <v>6272</v>
          </cell>
        </row>
        <row r="46">
          <cell r="G46">
            <v>5003</v>
          </cell>
          <cell r="H46">
            <v>3</v>
          </cell>
          <cell r="I46">
            <v>1039</v>
          </cell>
          <cell r="J46" t="str">
            <v>三星通关·正面冲突</v>
          </cell>
          <cell r="K46">
            <v>6358</v>
          </cell>
        </row>
        <row r="47">
          <cell r="G47">
            <v>5004</v>
          </cell>
          <cell r="H47">
            <v>3</v>
          </cell>
          <cell r="I47">
            <v>1040</v>
          </cell>
          <cell r="J47" t="str">
            <v>三星通关·冲突升级</v>
          </cell>
          <cell r="K47">
            <v>6444</v>
          </cell>
        </row>
        <row r="48">
          <cell r="G48">
            <v>5005</v>
          </cell>
          <cell r="H48">
            <v>3</v>
          </cell>
          <cell r="I48">
            <v>1041</v>
          </cell>
          <cell r="J48" t="str">
            <v>三星通关·缉拿长毛</v>
          </cell>
          <cell r="K48">
            <v>6530</v>
          </cell>
        </row>
        <row r="49">
          <cell r="G49">
            <v>5006</v>
          </cell>
          <cell r="H49">
            <v>3</v>
          </cell>
          <cell r="I49">
            <v>1042</v>
          </cell>
          <cell r="J49" t="str">
            <v>三星通关·备战拳赛</v>
          </cell>
          <cell r="K49">
            <v>6616</v>
          </cell>
        </row>
        <row r="50">
          <cell r="G50">
            <v>5007</v>
          </cell>
          <cell r="H50">
            <v>3</v>
          </cell>
          <cell r="I50">
            <v>1043</v>
          </cell>
          <cell r="J50" t="str">
            <v>三星通关·金牌打手</v>
          </cell>
          <cell r="K50">
            <v>6702</v>
          </cell>
        </row>
        <row r="51">
          <cell r="G51">
            <v>5008</v>
          </cell>
          <cell r="H51">
            <v>3</v>
          </cell>
          <cell r="I51">
            <v>1044</v>
          </cell>
          <cell r="J51" t="str">
            <v>三星通关·螳臂当车</v>
          </cell>
          <cell r="K51">
            <v>6788</v>
          </cell>
        </row>
        <row r="52">
          <cell r="G52">
            <v>5009</v>
          </cell>
          <cell r="H52">
            <v>3</v>
          </cell>
          <cell r="I52">
            <v>1045</v>
          </cell>
          <cell r="J52" t="str">
            <v>三星通关·龙争虎斗</v>
          </cell>
          <cell r="K52">
            <v>6874</v>
          </cell>
        </row>
        <row r="53">
          <cell r="G53">
            <v>6001</v>
          </cell>
          <cell r="H53">
            <v>3</v>
          </cell>
          <cell r="I53">
            <v>1046</v>
          </cell>
          <cell r="J53" t="str">
            <v>三星通关·婚礼遭袭</v>
          </cell>
          <cell r="K53">
            <v>6960</v>
          </cell>
        </row>
        <row r="54">
          <cell r="G54">
            <v>6002</v>
          </cell>
          <cell r="H54">
            <v>3</v>
          </cell>
          <cell r="I54">
            <v>1047</v>
          </cell>
          <cell r="J54" t="str">
            <v>三星通关·纠缠不休</v>
          </cell>
          <cell r="K54">
            <v>7046</v>
          </cell>
        </row>
        <row r="55">
          <cell r="G55">
            <v>6003</v>
          </cell>
          <cell r="H55">
            <v>3</v>
          </cell>
          <cell r="I55">
            <v>1048</v>
          </cell>
          <cell r="J55" t="str">
            <v>三星通关·试炼之战</v>
          </cell>
          <cell r="K55">
            <v>7132</v>
          </cell>
        </row>
        <row r="56">
          <cell r="G56">
            <v>6004</v>
          </cell>
          <cell r="H56">
            <v>3</v>
          </cell>
          <cell r="I56">
            <v>1049</v>
          </cell>
          <cell r="J56" t="str">
            <v>三星通关·反守为攻</v>
          </cell>
          <cell r="K56">
            <v>7218</v>
          </cell>
        </row>
        <row r="57">
          <cell r="G57">
            <v>6005</v>
          </cell>
          <cell r="H57">
            <v>3</v>
          </cell>
          <cell r="I57">
            <v>1050</v>
          </cell>
          <cell r="J57" t="str">
            <v>三星通关·突破重围</v>
          </cell>
          <cell r="K57">
            <v>7304</v>
          </cell>
        </row>
        <row r="58">
          <cell r="G58">
            <v>6006</v>
          </cell>
          <cell r="H58">
            <v>3</v>
          </cell>
          <cell r="I58">
            <v>1051</v>
          </cell>
          <cell r="J58" t="str">
            <v>三星通关·力克强敌</v>
          </cell>
          <cell r="K58">
            <v>7390</v>
          </cell>
        </row>
        <row r="59">
          <cell r="G59">
            <v>6007</v>
          </cell>
          <cell r="H59">
            <v>3</v>
          </cell>
          <cell r="I59">
            <v>1052</v>
          </cell>
          <cell r="J59" t="str">
            <v>三星通关·正面交锋</v>
          </cell>
          <cell r="K59">
            <v>7475</v>
          </cell>
        </row>
        <row r="60">
          <cell r="G60">
            <v>6008</v>
          </cell>
          <cell r="H60">
            <v>3</v>
          </cell>
          <cell r="I60">
            <v>1053</v>
          </cell>
          <cell r="J60" t="str">
            <v>三星通关·愈战愈勇</v>
          </cell>
          <cell r="K60">
            <v>7561</v>
          </cell>
        </row>
        <row r="61">
          <cell r="G61">
            <v>6009</v>
          </cell>
          <cell r="H61">
            <v>3</v>
          </cell>
          <cell r="I61">
            <v>1054</v>
          </cell>
          <cell r="J61" t="str">
            <v>三星通关·决战太乙</v>
          </cell>
          <cell r="K61">
            <v>7647</v>
          </cell>
        </row>
        <row r="62">
          <cell r="G62">
            <v>7001</v>
          </cell>
          <cell r="H62">
            <v>3</v>
          </cell>
          <cell r="I62">
            <v>1055</v>
          </cell>
          <cell r="J62" t="str">
            <v>三星通关·突袭白虎堂</v>
          </cell>
          <cell r="K62">
            <v>7733</v>
          </cell>
        </row>
        <row r="63">
          <cell r="G63">
            <v>7002</v>
          </cell>
          <cell r="H63">
            <v>3</v>
          </cell>
          <cell r="I63">
            <v>1056</v>
          </cell>
          <cell r="J63" t="str">
            <v>三星通关·勇闯玄武堂</v>
          </cell>
          <cell r="K63">
            <v>7819</v>
          </cell>
        </row>
        <row r="64">
          <cell r="G64">
            <v>7003</v>
          </cell>
          <cell r="H64">
            <v>3</v>
          </cell>
          <cell r="I64">
            <v>1057</v>
          </cell>
          <cell r="J64" t="str">
            <v>三星通关·激战朱雀堂</v>
          </cell>
          <cell r="K64">
            <v>7905</v>
          </cell>
        </row>
        <row r="65">
          <cell r="G65">
            <v>7004</v>
          </cell>
          <cell r="H65">
            <v>3</v>
          </cell>
          <cell r="I65">
            <v>1058</v>
          </cell>
          <cell r="J65" t="str">
            <v>三星通关·恶战青龙堂</v>
          </cell>
          <cell r="K65">
            <v>7991</v>
          </cell>
        </row>
        <row r="66">
          <cell r="G66">
            <v>7005</v>
          </cell>
          <cell r="H66">
            <v>3</v>
          </cell>
          <cell r="I66">
            <v>1059</v>
          </cell>
          <cell r="J66" t="str">
            <v>三星通关·挑战佐维</v>
          </cell>
          <cell r="K66">
            <v>8077</v>
          </cell>
        </row>
        <row r="67">
          <cell r="G67">
            <v>7006</v>
          </cell>
          <cell r="H67">
            <v>3</v>
          </cell>
          <cell r="I67">
            <v>1060</v>
          </cell>
          <cell r="J67" t="str">
            <v>三星通关·恶虎下山</v>
          </cell>
          <cell r="K67">
            <v>8163</v>
          </cell>
        </row>
        <row r="68">
          <cell r="G68">
            <v>7007</v>
          </cell>
          <cell r="H68">
            <v>3</v>
          </cell>
          <cell r="I68">
            <v>1061</v>
          </cell>
          <cell r="J68" t="str">
            <v>三星通关·狂龙出海</v>
          </cell>
          <cell r="K68">
            <v>8249</v>
          </cell>
        </row>
        <row r="69">
          <cell r="G69">
            <v>7008</v>
          </cell>
          <cell r="H69">
            <v>3</v>
          </cell>
          <cell r="I69">
            <v>1062</v>
          </cell>
          <cell r="J69" t="str">
            <v>三星通关·兵临城下</v>
          </cell>
          <cell r="K69">
            <v>8335</v>
          </cell>
        </row>
        <row r="70">
          <cell r="G70">
            <v>7009</v>
          </cell>
          <cell r="H70">
            <v>3</v>
          </cell>
          <cell r="I70">
            <v>1063</v>
          </cell>
          <cell r="J70" t="str">
            <v>三星通关·决战东京</v>
          </cell>
          <cell r="K70">
            <v>8421</v>
          </cell>
        </row>
        <row r="71">
          <cell r="G71">
            <v>8001</v>
          </cell>
          <cell r="H71">
            <v>3</v>
          </cell>
          <cell r="I71">
            <v>1064</v>
          </cell>
          <cell r="J71" t="str">
            <v>三星通关·再战靓坤</v>
          </cell>
          <cell r="K71">
            <v>8507</v>
          </cell>
        </row>
        <row r="72">
          <cell r="G72">
            <v>8002</v>
          </cell>
          <cell r="H72">
            <v>3</v>
          </cell>
          <cell r="I72">
            <v>1065</v>
          </cell>
          <cell r="J72" t="str">
            <v>三星通关·噩梦再临</v>
          </cell>
          <cell r="K72">
            <v>8593</v>
          </cell>
        </row>
        <row r="73">
          <cell r="G73">
            <v>8003</v>
          </cell>
          <cell r="H73">
            <v>3</v>
          </cell>
          <cell r="I73">
            <v>1066</v>
          </cell>
          <cell r="J73" t="str">
            <v>三星通关·死性不改</v>
          </cell>
          <cell r="K73">
            <v>8679</v>
          </cell>
        </row>
        <row r="74">
          <cell r="G74">
            <v>8004</v>
          </cell>
          <cell r="H74">
            <v>3</v>
          </cell>
          <cell r="I74">
            <v>1067</v>
          </cell>
          <cell r="J74" t="str">
            <v>三星通关·阴魂不散</v>
          </cell>
          <cell r="K74">
            <v>8764</v>
          </cell>
        </row>
        <row r="75">
          <cell r="G75">
            <v>8005</v>
          </cell>
          <cell r="H75">
            <v>3</v>
          </cell>
          <cell r="I75">
            <v>1068</v>
          </cell>
          <cell r="J75" t="str">
            <v>三星通关·意外强敌</v>
          </cell>
          <cell r="K75">
            <v>8850</v>
          </cell>
        </row>
        <row r="76">
          <cell r="G76">
            <v>8006</v>
          </cell>
          <cell r="H76">
            <v>3</v>
          </cell>
          <cell r="I76">
            <v>1069</v>
          </cell>
          <cell r="J76" t="str">
            <v>三星通关·复仇之战</v>
          </cell>
          <cell r="K76">
            <v>8936</v>
          </cell>
        </row>
        <row r="77">
          <cell r="G77">
            <v>8007</v>
          </cell>
          <cell r="H77">
            <v>3</v>
          </cell>
          <cell r="I77">
            <v>1070</v>
          </cell>
          <cell r="J77" t="str">
            <v>三星通关·劲敌出现</v>
          </cell>
          <cell r="K77">
            <v>9022</v>
          </cell>
        </row>
        <row r="78">
          <cell r="G78">
            <v>8008</v>
          </cell>
          <cell r="H78">
            <v>3</v>
          </cell>
          <cell r="I78">
            <v>1071</v>
          </cell>
          <cell r="J78" t="str">
            <v>三星通关·约战山鸡</v>
          </cell>
          <cell r="K78">
            <v>9108</v>
          </cell>
        </row>
        <row r="79">
          <cell r="G79">
            <v>8009</v>
          </cell>
          <cell r="H79">
            <v>3</v>
          </cell>
          <cell r="I79">
            <v>1072</v>
          </cell>
          <cell r="J79" t="str">
            <v>三星通关·揭穿雷复轰</v>
          </cell>
          <cell r="K79">
            <v>9194</v>
          </cell>
        </row>
        <row r="80">
          <cell r="K80">
            <v>0</v>
          </cell>
        </row>
        <row r="81">
          <cell r="K81">
            <v>0</v>
          </cell>
        </row>
        <row r="82">
          <cell r="K82">
            <v>0</v>
          </cell>
        </row>
        <row r="83">
          <cell r="K83">
            <v>0</v>
          </cell>
        </row>
        <row r="84">
          <cell r="K84">
            <v>0</v>
          </cell>
        </row>
        <row r="85">
          <cell r="K85">
            <v>0</v>
          </cell>
        </row>
        <row r="86">
          <cell r="K86">
            <v>0</v>
          </cell>
        </row>
        <row r="87">
          <cell r="K87">
            <v>0</v>
          </cell>
        </row>
        <row r="88">
          <cell r="K88">
            <v>0</v>
          </cell>
        </row>
        <row r="89">
          <cell r="K89">
            <v>0</v>
          </cell>
        </row>
        <row r="90">
          <cell r="K90">
            <v>0</v>
          </cell>
        </row>
        <row r="91">
          <cell r="K91">
            <v>0</v>
          </cell>
        </row>
        <row r="92">
          <cell r="K92">
            <v>0</v>
          </cell>
        </row>
        <row r="93">
          <cell r="K93">
            <v>0</v>
          </cell>
        </row>
        <row r="94">
          <cell r="K94">
            <v>0</v>
          </cell>
        </row>
        <row r="95">
          <cell r="K95">
            <v>0</v>
          </cell>
        </row>
        <row r="96">
          <cell r="K96">
            <v>0</v>
          </cell>
        </row>
        <row r="97">
          <cell r="K97">
            <v>0</v>
          </cell>
        </row>
        <row r="98">
          <cell r="K98">
            <v>0</v>
          </cell>
        </row>
        <row r="99">
          <cell r="K99">
            <v>0</v>
          </cell>
        </row>
        <row r="100">
          <cell r="K100">
            <v>0</v>
          </cell>
        </row>
        <row r="101">
          <cell r="K101">
            <v>0</v>
          </cell>
        </row>
        <row r="102">
          <cell r="K102">
            <v>0</v>
          </cell>
        </row>
        <row r="103">
          <cell r="K103">
            <v>0</v>
          </cell>
        </row>
        <row r="104">
          <cell r="K104">
            <v>0</v>
          </cell>
        </row>
        <row r="105">
          <cell r="K105">
            <v>0</v>
          </cell>
        </row>
        <row r="106">
          <cell r="K106">
            <v>0</v>
          </cell>
        </row>
        <row r="107">
          <cell r="K107">
            <v>0</v>
          </cell>
        </row>
        <row r="108">
          <cell r="K108">
            <v>0</v>
          </cell>
        </row>
        <row r="109">
          <cell r="K109">
            <v>0</v>
          </cell>
        </row>
        <row r="110">
          <cell r="K110">
            <v>0</v>
          </cell>
        </row>
        <row r="111">
          <cell r="K111">
            <v>0</v>
          </cell>
        </row>
        <row r="112">
          <cell r="K112">
            <v>0</v>
          </cell>
        </row>
        <row r="113">
          <cell r="K113">
            <v>0</v>
          </cell>
        </row>
        <row r="114">
          <cell r="K114">
            <v>0</v>
          </cell>
        </row>
        <row r="115">
          <cell r="K115">
            <v>0</v>
          </cell>
        </row>
        <row r="116">
          <cell r="K116">
            <v>0</v>
          </cell>
        </row>
        <row r="117">
          <cell r="K117">
            <v>0</v>
          </cell>
        </row>
        <row r="118">
          <cell r="K118">
            <v>0</v>
          </cell>
        </row>
        <row r="119">
          <cell r="K119">
            <v>0</v>
          </cell>
        </row>
        <row r="120">
          <cell r="K120">
            <v>0</v>
          </cell>
        </row>
        <row r="121">
          <cell r="K121">
            <v>0</v>
          </cell>
        </row>
        <row r="122">
          <cell r="K122">
            <v>0</v>
          </cell>
        </row>
        <row r="123">
          <cell r="K123">
            <v>0</v>
          </cell>
        </row>
        <row r="124">
          <cell r="K124">
            <v>0</v>
          </cell>
        </row>
        <row r="125">
          <cell r="K125">
            <v>0</v>
          </cell>
        </row>
        <row r="126">
          <cell r="K126">
            <v>0</v>
          </cell>
        </row>
        <row r="127">
          <cell r="K127">
            <v>0</v>
          </cell>
        </row>
      </sheetData>
      <sheetData sheetId="4"/>
      <sheetData sheetId="5">
        <row r="4">
          <cell r="C4">
            <v>1001</v>
          </cell>
          <cell r="D4" t="str">
            <v>初入江湖</v>
          </cell>
          <cell r="E4" t="str">
            <v>0</v>
          </cell>
          <cell r="F4" t="str">
            <v>习得技能</v>
          </cell>
          <cell r="G4"/>
          <cell r="H4">
            <v>1</v>
          </cell>
          <cell r="I4">
            <v>1</v>
          </cell>
          <cell r="J4" t="str">
            <v>打怪</v>
          </cell>
          <cell r="K4">
            <v>2</v>
          </cell>
          <cell r="L4"/>
          <cell r="M4">
            <v>111101</v>
          </cell>
          <cell r="N4">
            <v>1</v>
          </cell>
          <cell r="O4">
            <v>0</v>
          </cell>
          <cell r="P4">
            <v>1010</v>
          </cell>
          <cell r="T4">
            <v>120</v>
          </cell>
          <cell r="U4">
            <v>1000</v>
          </cell>
        </row>
        <row r="5">
          <cell r="C5">
            <v>1002</v>
          </cell>
          <cell r="D5" t="str">
            <v>必备之物</v>
          </cell>
          <cell r="E5">
            <v>3001</v>
          </cell>
          <cell r="F5" t="str">
            <v>勇闯西贡</v>
          </cell>
          <cell r="G5" t="str">
            <v>狩猎巴闭</v>
          </cell>
          <cell r="H5">
            <v>1</v>
          </cell>
          <cell r="I5">
            <v>1</v>
          </cell>
          <cell r="J5" t="str">
            <v>对话</v>
          </cell>
          <cell r="K5">
            <v>1</v>
          </cell>
          <cell r="L5"/>
          <cell r="M5">
            <v>0</v>
          </cell>
          <cell r="N5">
            <v>1</v>
          </cell>
          <cell r="O5" t="str">
            <v/>
          </cell>
          <cell r="P5" t="str">
            <v/>
          </cell>
          <cell r="T5">
            <v>128</v>
          </cell>
          <cell r="U5">
            <v>336</v>
          </cell>
        </row>
        <row r="6">
          <cell r="C6">
            <v>1003</v>
          </cell>
          <cell r="D6" t="str">
            <v>勇闯西贡</v>
          </cell>
          <cell r="E6">
            <v>1002</v>
          </cell>
          <cell r="F6" t="str">
            <v>戏逗小结巴</v>
          </cell>
          <cell r="G6" t="str">
            <v>必备之物</v>
          </cell>
          <cell r="H6">
            <v>1</v>
          </cell>
          <cell r="I6">
            <v>1</v>
          </cell>
          <cell r="J6" t="str">
            <v>打怪</v>
          </cell>
          <cell r="K6">
            <v>2</v>
          </cell>
          <cell r="L6"/>
          <cell r="M6">
            <v>112104</v>
          </cell>
          <cell r="N6">
            <v>3</v>
          </cell>
          <cell r="O6">
            <v>0</v>
          </cell>
          <cell r="P6">
            <v>1002</v>
          </cell>
          <cell r="T6">
            <v>136</v>
          </cell>
          <cell r="U6">
            <v>348</v>
          </cell>
        </row>
        <row r="7">
          <cell r="C7">
            <v>1004</v>
          </cell>
          <cell r="D7" t="str">
            <v>习得技能</v>
          </cell>
          <cell r="E7">
            <v>1001</v>
          </cell>
          <cell r="F7" t="str">
            <v>狩猎巴闭</v>
          </cell>
          <cell r="G7" t="str">
            <v>初入江湖</v>
          </cell>
          <cell r="H7">
            <v>1</v>
          </cell>
          <cell r="I7">
            <v>1</v>
          </cell>
          <cell r="J7" t="str">
            <v>升级技能</v>
          </cell>
          <cell r="K7">
            <v>11</v>
          </cell>
          <cell r="L7"/>
          <cell r="M7">
            <v>0</v>
          </cell>
          <cell r="N7">
            <v>3</v>
          </cell>
          <cell r="O7" t="str">
            <v/>
          </cell>
          <cell r="P7"/>
          <cell r="T7">
            <v>122</v>
          </cell>
          <cell r="U7">
            <v>312</v>
          </cell>
        </row>
        <row r="8">
          <cell r="C8">
            <v>1005</v>
          </cell>
          <cell r="D8" t="str">
            <v>召见</v>
          </cell>
          <cell r="E8">
            <v>1006</v>
          </cell>
          <cell r="F8" t="str">
            <v>陷阱</v>
          </cell>
          <cell r="G8" t="str">
            <v>戏逗小结巴</v>
          </cell>
          <cell r="H8">
            <v>1</v>
          </cell>
          <cell r="I8">
            <v>1</v>
          </cell>
          <cell r="J8" t="str">
            <v>对话</v>
          </cell>
          <cell r="K8">
            <v>1</v>
          </cell>
          <cell r="L8"/>
          <cell r="M8">
            <v>0</v>
          </cell>
          <cell r="N8">
            <v>3</v>
          </cell>
          <cell r="O8" t="str">
            <v/>
          </cell>
          <cell r="P8" t="str">
            <v/>
          </cell>
          <cell r="T8">
            <v>153</v>
          </cell>
          <cell r="U8">
            <v>372</v>
          </cell>
        </row>
        <row r="9">
          <cell r="C9">
            <v>1006</v>
          </cell>
          <cell r="D9" t="str">
            <v>戏逗小结巴</v>
          </cell>
          <cell r="E9">
            <v>1003</v>
          </cell>
          <cell r="F9" t="str">
            <v>召见</v>
          </cell>
          <cell r="G9" t="str">
            <v>勇闯西贡</v>
          </cell>
          <cell r="H9">
            <v>1</v>
          </cell>
          <cell r="I9">
            <v>1</v>
          </cell>
          <cell r="J9" t="str">
            <v>打怪</v>
          </cell>
          <cell r="K9">
            <v>2</v>
          </cell>
          <cell r="L9"/>
          <cell r="M9">
            <v>113104</v>
          </cell>
          <cell r="N9">
            <v>4</v>
          </cell>
          <cell r="O9">
            <v>0</v>
          </cell>
          <cell r="P9">
            <v>1003</v>
          </cell>
          <cell r="T9">
            <v>142</v>
          </cell>
          <cell r="U9">
            <v>360</v>
          </cell>
        </row>
        <row r="10">
          <cell r="C10">
            <v>1008</v>
          </cell>
          <cell r="D10" t="str">
            <v>陷阱</v>
          </cell>
          <cell r="E10">
            <v>1005</v>
          </cell>
          <cell r="F10" t="str">
            <v>追查线索</v>
          </cell>
          <cell r="G10" t="str">
            <v>召见</v>
          </cell>
          <cell r="H10">
            <v>1</v>
          </cell>
          <cell r="I10">
            <v>1</v>
          </cell>
          <cell r="J10" t="str">
            <v>打怪</v>
          </cell>
          <cell r="K10">
            <v>2</v>
          </cell>
          <cell r="L10"/>
          <cell r="M10">
            <v>115104</v>
          </cell>
          <cell r="N10">
            <v>6</v>
          </cell>
          <cell r="O10">
            <v>0</v>
          </cell>
          <cell r="P10">
            <v>1005</v>
          </cell>
          <cell r="T10">
            <v>174</v>
          </cell>
          <cell r="U10">
            <v>384</v>
          </cell>
        </row>
        <row r="11">
          <cell r="C11">
            <v>1010</v>
          </cell>
          <cell r="D11" t="str">
            <v>追查线索</v>
          </cell>
          <cell r="E11">
            <v>1008</v>
          </cell>
          <cell r="F11" t="str">
            <v>B哥遇害</v>
          </cell>
          <cell r="G11" t="str">
            <v>陷阱</v>
          </cell>
          <cell r="H11">
            <v>1</v>
          </cell>
          <cell r="I11">
            <v>1</v>
          </cell>
          <cell r="J11" t="str">
            <v>对话</v>
          </cell>
          <cell r="K11">
            <v>1</v>
          </cell>
          <cell r="L11"/>
          <cell r="M11">
            <v>0</v>
          </cell>
          <cell r="N11">
            <v>6</v>
          </cell>
          <cell r="O11" t="str">
            <v/>
          </cell>
          <cell r="P11" t="str">
            <v/>
          </cell>
          <cell r="T11">
            <v>202</v>
          </cell>
          <cell r="U11">
            <v>396</v>
          </cell>
        </row>
        <row r="12">
          <cell r="C12">
            <v>1011</v>
          </cell>
          <cell r="D12" t="str">
            <v>B哥遇害</v>
          </cell>
          <cell r="E12">
            <v>1010</v>
          </cell>
          <cell r="F12" t="str">
            <v>截杀靓坤</v>
          </cell>
          <cell r="G12" t="str">
            <v>追查线索</v>
          </cell>
          <cell r="H12">
            <v>1</v>
          </cell>
          <cell r="I12">
            <v>1</v>
          </cell>
          <cell r="J12" t="str">
            <v>打怪</v>
          </cell>
          <cell r="K12">
            <v>2</v>
          </cell>
          <cell r="L12"/>
          <cell r="M12">
            <v>117104</v>
          </cell>
          <cell r="N12">
            <v>8</v>
          </cell>
          <cell r="O12">
            <v>0</v>
          </cell>
          <cell r="P12">
            <v>1007</v>
          </cell>
          <cell r="T12">
            <v>239</v>
          </cell>
          <cell r="U12">
            <v>408</v>
          </cell>
        </row>
        <row r="13">
          <cell r="C13">
            <v>1012</v>
          </cell>
          <cell r="D13" t="str">
            <v>截杀靓坤</v>
          </cell>
          <cell r="E13">
            <v>1011</v>
          </cell>
          <cell r="F13" t="str">
            <v>猛龙过江</v>
          </cell>
          <cell r="G13" t="str">
            <v>B哥遇害</v>
          </cell>
          <cell r="H13">
            <v>1</v>
          </cell>
          <cell r="I13">
            <v>1</v>
          </cell>
          <cell r="J13" t="str">
            <v>打怪</v>
          </cell>
          <cell r="K13">
            <v>2</v>
          </cell>
          <cell r="L13"/>
          <cell r="M13">
            <v>119104</v>
          </cell>
          <cell r="N13">
            <v>10</v>
          </cell>
          <cell r="O13">
            <v>0</v>
          </cell>
          <cell r="P13">
            <v>1009</v>
          </cell>
          <cell r="T13">
            <v>284</v>
          </cell>
          <cell r="U13">
            <v>420</v>
          </cell>
        </row>
        <row r="14">
          <cell r="C14">
            <v>1013</v>
          </cell>
          <cell r="D14" t="str">
            <v>猛龙过江</v>
          </cell>
          <cell r="E14">
            <v>1012</v>
          </cell>
          <cell r="F14" t="str">
            <v>傲气冲天</v>
          </cell>
          <cell r="G14" t="str">
            <v>截杀靓坤</v>
          </cell>
          <cell r="H14">
            <v>1</v>
          </cell>
          <cell r="I14">
            <v>1</v>
          </cell>
          <cell r="J14" t="str">
            <v>对话</v>
          </cell>
          <cell r="K14">
            <v>1</v>
          </cell>
          <cell r="L14"/>
          <cell r="M14">
            <v>0</v>
          </cell>
          <cell r="N14">
            <v>10</v>
          </cell>
          <cell r="O14" t="str">
            <v/>
          </cell>
          <cell r="P14" t="str">
            <v/>
          </cell>
          <cell r="T14">
            <v>339</v>
          </cell>
          <cell r="U14">
            <v>432</v>
          </cell>
        </row>
        <row r="15">
          <cell r="C15">
            <v>1014</v>
          </cell>
          <cell r="D15" t="str">
            <v>傲气冲天</v>
          </cell>
          <cell r="E15">
            <v>1013</v>
          </cell>
          <cell r="F15" t="str">
            <v>伏击张议员</v>
          </cell>
          <cell r="G15" t="str">
            <v>猛龙过江</v>
          </cell>
          <cell r="H15">
            <v>1</v>
          </cell>
          <cell r="I15">
            <v>1</v>
          </cell>
          <cell r="J15" t="str">
            <v>打怪</v>
          </cell>
          <cell r="K15">
            <v>2</v>
          </cell>
          <cell r="L15"/>
          <cell r="M15">
            <v>121104</v>
          </cell>
          <cell r="N15">
            <v>11</v>
          </cell>
          <cell r="O15">
            <v>0</v>
          </cell>
          <cell r="P15">
            <v>2001</v>
          </cell>
          <cell r="T15">
            <v>407</v>
          </cell>
          <cell r="U15">
            <v>444</v>
          </cell>
        </row>
        <row r="16">
          <cell r="C16">
            <v>1015</v>
          </cell>
          <cell r="D16" t="str">
            <v>伏击张议员</v>
          </cell>
          <cell r="E16">
            <v>1014</v>
          </cell>
          <cell r="F16" t="str">
            <v>阴云密布</v>
          </cell>
          <cell r="G16" t="str">
            <v>傲气冲天</v>
          </cell>
          <cell r="H16">
            <v>1</v>
          </cell>
          <cell r="I16">
            <v>1</v>
          </cell>
          <cell r="J16" t="str">
            <v>打怪</v>
          </cell>
          <cell r="K16">
            <v>2</v>
          </cell>
          <cell r="L16"/>
          <cell r="M16">
            <v>122104</v>
          </cell>
          <cell r="N16">
            <v>12</v>
          </cell>
          <cell r="O16">
            <v>0</v>
          </cell>
          <cell r="P16">
            <v>2002</v>
          </cell>
          <cell r="T16">
            <v>488</v>
          </cell>
          <cell r="U16">
            <v>456</v>
          </cell>
        </row>
        <row r="17">
          <cell r="C17">
            <v>1016</v>
          </cell>
          <cell r="D17" t="str">
            <v>阴云密布</v>
          </cell>
          <cell r="E17">
            <v>1015</v>
          </cell>
          <cell r="F17" t="str">
            <v>联络蒋生</v>
          </cell>
          <cell r="G17" t="str">
            <v>伏击张议员</v>
          </cell>
          <cell r="H17">
            <v>1</v>
          </cell>
          <cell r="I17">
            <v>1</v>
          </cell>
          <cell r="J17" t="str">
            <v>对话</v>
          </cell>
          <cell r="K17">
            <v>1</v>
          </cell>
          <cell r="L17"/>
          <cell r="M17">
            <v>0</v>
          </cell>
          <cell r="N17">
            <v>12</v>
          </cell>
          <cell r="O17" t="str">
            <v/>
          </cell>
          <cell r="P17" t="str">
            <v/>
          </cell>
          <cell r="T17">
            <v>583</v>
          </cell>
          <cell r="U17">
            <v>468</v>
          </cell>
        </row>
        <row r="18">
          <cell r="C18">
            <v>1017</v>
          </cell>
          <cell r="D18" t="str">
            <v>蒋生遇雷功</v>
          </cell>
          <cell r="E18">
            <v>3004</v>
          </cell>
          <cell r="F18" t="str">
            <v>重返洪兴</v>
          </cell>
          <cell r="G18" t="str">
            <v>联络蒋生</v>
          </cell>
          <cell r="H18">
            <v>1</v>
          </cell>
          <cell r="I18">
            <v>1</v>
          </cell>
          <cell r="J18" t="str">
            <v>打怪</v>
          </cell>
          <cell r="K18">
            <v>2</v>
          </cell>
          <cell r="L18"/>
          <cell r="M18">
            <v>123104</v>
          </cell>
          <cell r="N18">
            <v>13</v>
          </cell>
          <cell r="O18">
            <v>0</v>
          </cell>
          <cell r="P18">
            <v>2003</v>
          </cell>
          <cell r="T18">
            <v>824</v>
          </cell>
          <cell r="U18">
            <v>492</v>
          </cell>
        </row>
        <row r="19">
          <cell r="C19">
            <v>1018</v>
          </cell>
          <cell r="D19" t="str">
            <v>重返洪兴</v>
          </cell>
          <cell r="E19">
            <v>1017</v>
          </cell>
          <cell r="F19" t="str">
            <v>以武服人</v>
          </cell>
          <cell r="G19" t="str">
            <v>蒋生遇雷功</v>
          </cell>
          <cell r="H19">
            <v>1</v>
          </cell>
          <cell r="I19">
            <v>1</v>
          </cell>
          <cell r="J19" t="str">
            <v>对话</v>
          </cell>
          <cell r="K19">
            <v>1</v>
          </cell>
          <cell r="L19"/>
          <cell r="M19">
            <v>0</v>
          </cell>
          <cell r="N19">
            <v>13</v>
          </cell>
          <cell r="O19" t="str">
            <v/>
          </cell>
          <cell r="P19" t="str">
            <v/>
          </cell>
          <cell r="T19">
            <v>972</v>
          </cell>
          <cell r="U19">
            <v>504</v>
          </cell>
        </row>
        <row r="20">
          <cell r="C20">
            <v>1019</v>
          </cell>
          <cell r="D20" t="str">
            <v>以武服人</v>
          </cell>
          <cell r="E20">
            <v>1018</v>
          </cell>
          <cell r="F20" t="str">
            <v>精英副本</v>
          </cell>
          <cell r="G20" t="str">
            <v>重返洪兴</v>
          </cell>
          <cell r="H20">
            <v>1</v>
          </cell>
          <cell r="I20">
            <v>1</v>
          </cell>
          <cell r="J20" t="str">
            <v>打怪</v>
          </cell>
          <cell r="K20">
            <v>2</v>
          </cell>
          <cell r="L20"/>
          <cell r="M20">
            <v>125104</v>
          </cell>
          <cell r="N20">
            <v>15</v>
          </cell>
          <cell r="O20">
            <v>0</v>
          </cell>
          <cell r="P20">
            <v>2005</v>
          </cell>
          <cell r="T20">
            <v>1000</v>
          </cell>
          <cell r="U20">
            <v>516</v>
          </cell>
        </row>
        <row r="21">
          <cell r="C21">
            <v>1020</v>
          </cell>
          <cell r="D21" t="str">
            <v>和谈</v>
          </cell>
          <cell r="E21">
            <v>2201</v>
          </cell>
          <cell r="F21" t="str">
            <v>遭遇诬陷</v>
          </cell>
          <cell r="G21" t="str">
            <v>精英副本</v>
          </cell>
          <cell r="H21">
            <v>1</v>
          </cell>
          <cell r="I21">
            <v>1</v>
          </cell>
          <cell r="J21" t="str">
            <v>对话</v>
          </cell>
          <cell r="K21">
            <v>1</v>
          </cell>
          <cell r="L21"/>
          <cell r="M21">
            <v>0</v>
          </cell>
          <cell r="N21">
            <v>15</v>
          </cell>
          <cell r="O21" t="str">
            <v/>
          </cell>
          <cell r="P21" t="str">
            <v/>
          </cell>
          <cell r="T21">
            <v>1000</v>
          </cell>
          <cell r="U21">
            <v>564</v>
          </cell>
        </row>
        <row r="22">
          <cell r="C22">
            <v>1021</v>
          </cell>
          <cell r="D22" t="str">
            <v>遭遇诬陷</v>
          </cell>
          <cell r="E22">
            <v>1020</v>
          </cell>
          <cell r="F22" t="str">
            <v>力破阴谋</v>
          </cell>
          <cell r="G22" t="str">
            <v>和谈</v>
          </cell>
          <cell r="H22">
            <v>1</v>
          </cell>
          <cell r="I22">
            <v>1</v>
          </cell>
          <cell r="J22" t="str">
            <v>打怪</v>
          </cell>
          <cell r="K22">
            <v>2</v>
          </cell>
          <cell r="L22"/>
          <cell r="M22">
            <v>127104</v>
          </cell>
          <cell r="N22">
            <v>17</v>
          </cell>
          <cell r="O22">
            <v>0</v>
          </cell>
          <cell r="P22">
            <v>2007</v>
          </cell>
          <cell r="T22">
            <v>1000</v>
          </cell>
          <cell r="U22">
            <v>620</v>
          </cell>
        </row>
        <row r="23">
          <cell r="C23">
            <v>1022</v>
          </cell>
          <cell r="D23" t="str">
            <v>力破阴谋</v>
          </cell>
          <cell r="E23">
            <v>1021</v>
          </cell>
          <cell r="F23" t="str">
            <v>暂别山鸡</v>
          </cell>
          <cell r="G23" t="str">
            <v>遭遇诬陷</v>
          </cell>
          <cell r="H23">
            <v>1</v>
          </cell>
          <cell r="I23">
            <v>1</v>
          </cell>
          <cell r="J23" t="str">
            <v>打怪</v>
          </cell>
          <cell r="K23">
            <v>2</v>
          </cell>
          <cell r="L23"/>
          <cell r="M23">
            <v>129104</v>
          </cell>
          <cell r="N23">
            <v>19</v>
          </cell>
          <cell r="O23">
            <v>0</v>
          </cell>
          <cell r="P23">
            <v>2009</v>
          </cell>
          <cell r="T23">
            <v>1000</v>
          </cell>
          <cell r="U23">
            <v>678</v>
          </cell>
        </row>
        <row r="24">
          <cell r="C24">
            <v>1023</v>
          </cell>
          <cell r="D24" t="str">
            <v>暂别山鸡</v>
          </cell>
          <cell r="E24">
            <v>1022</v>
          </cell>
          <cell r="F24" t="str">
            <v>风起云涌</v>
          </cell>
          <cell r="G24" t="str">
            <v>力破阴谋</v>
          </cell>
          <cell r="H24">
            <v>1</v>
          </cell>
          <cell r="I24">
            <v>1</v>
          </cell>
          <cell r="J24" t="str">
            <v>对话</v>
          </cell>
          <cell r="K24">
            <v>1</v>
          </cell>
          <cell r="L24"/>
          <cell r="M24">
            <v>0</v>
          </cell>
          <cell r="N24">
            <v>19</v>
          </cell>
          <cell r="O24" t="str">
            <v/>
          </cell>
          <cell r="P24" t="str">
            <v/>
          </cell>
          <cell r="T24">
            <v>1000</v>
          </cell>
          <cell r="U24">
            <v>740</v>
          </cell>
        </row>
        <row r="25">
          <cell r="C25">
            <v>1024</v>
          </cell>
          <cell r="D25" t="str">
            <v>风起云涌</v>
          </cell>
          <cell r="E25">
            <v>1023</v>
          </cell>
          <cell r="F25" t="str">
            <v>宴会波澜</v>
          </cell>
          <cell r="G25" t="str">
            <v>暂别山鸡</v>
          </cell>
          <cell r="H25">
            <v>1</v>
          </cell>
          <cell r="I25">
            <v>1</v>
          </cell>
          <cell r="J25" t="str">
            <v>对话</v>
          </cell>
          <cell r="K25">
            <v>1</v>
          </cell>
          <cell r="L25"/>
          <cell r="M25">
            <v>0</v>
          </cell>
          <cell r="N25">
            <v>19</v>
          </cell>
          <cell r="O25" t="str">
            <v/>
          </cell>
          <cell r="P25" t="str">
            <v/>
          </cell>
          <cell r="T25">
            <v>1000</v>
          </cell>
          <cell r="U25">
            <v>804</v>
          </cell>
        </row>
        <row r="26">
          <cell r="C26">
            <v>1025</v>
          </cell>
          <cell r="D26" t="str">
            <v>宴会波澜</v>
          </cell>
          <cell r="E26">
            <v>1024</v>
          </cell>
          <cell r="F26" t="str">
            <v>调查酒吧</v>
          </cell>
          <cell r="G26" t="str">
            <v>风起云涌</v>
          </cell>
          <cell r="H26">
            <v>1</v>
          </cell>
          <cell r="I26">
            <v>1</v>
          </cell>
          <cell r="J26" t="str">
            <v>打怪</v>
          </cell>
          <cell r="K26">
            <v>2</v>
          </cell>
          <cell r="L26"/>
          <cell r="M26">
            <v>131104</v>
          </cell>
          <cell r="N26">
            <v>20</v>
          </cell>
          <cell r="O26">
            <v>0</v>
          </cell>
          <cell r="P26">
            <v>3001</v>
          </cell>
          <cell r="T26">
            <v>1000</v>
          </cell>
          <cell r="U26">
            <v>870</v>
          </cell>
        </row>
        <row r="27">
          <cell r="C27">
            <v>1026</v>
          </cell>
          <cell r="D27" t="str">
            <v>调查酒吧</v>
          </cell>
          <cell r="E27">
            <v>1025</v>
          </cell>
          <cell r="F27" t="str">
            <v>痛打笑面虎</v>
          </cell>
          <cell r="G27" t="str">
            <v>宴会波澜</v>
          </cell>
          <cell r="H27">
            <v>1</v>
          </cell>
          <cell r="I27">
            <v>1</v>
          </cell>
          <cell r="J27" t="str">
            <v>对话</v>
          </cell>
          <cell r="K27">
            <v>1</v>
          </cell>
          <cell r="L27"/>
          <cell r="M27">
            <v>0</v>
          </cell>
          <cell r="N27">
            <v>20</v>
          </cell>
          <cell r="O27" t="str">
            <v/>
          </cell>
          <cell r="P27" t="str">
            <v/>
          </cell>
          <cell r="T27">
            <v>1000</v>
          </cell>
          <cell r="U27">
            <v>940</v>
          </cell>
        </row>
        <row r="28">
          <cell r="C28">
            <v>1027</v>
          </cell>
          <cell r="D28" t="str">
            <v>痛打笑面虎</v>
          </cell>
          <cell r="E28">
            <v>1026</v>
          </cell>
          <cell r="F28" t="str">
            <v>护卫蒋生</v>
          </cell>
          <cell r="G28" t="str">
            <v>调查酒吧</v>
          </cell>
          <cell r="H28">
            <v>1</v>
          </cell>
          <cell r="I28">
            <v>1</v>
          </cell>
          <cell r="J28" t="str">
            <v>打怪</v>
          </cell>
          <cell r="K28">
            <v>2</v>
          </cell>
          <cell r="L28"/>
          <cell r="M28">
            <v>132104</v>
          </cell>
          <cell r="N28">
            <v>21</v>
          </cell>
          <cell r="O28">
            <v>0</v>
          </cell>
          <cell r="P28">
            <v>3002</v>
          </cell>
          <cell r="T28">
            <v>1000</v>
          </cell>
          <cell r="U28">
            <v>1012</v>
          </cell>
        </row>
        <row r="29">
          <cell r="C29">
            <v>1028</v>
          </cell>
          <cell r="D29" t="str">
            <v>护卫蒋生</v>
          </cell>
          <cell r="E29">
            <v>1027</v>
          </cell>
          <cell r="F29" t="str">
            <v>实力检测</v>
          </cell>
          <cell r="G29" t="str">
            <v>痛打笑面虎</v>
          </cell>
          <cell r="H29">
            <v>1</v>
          </cell>
          <cell r="I29">
            <v>1</v>
          </cell>
          <cell r="J29" t="str">
            <v>对话</v>
          </cell>
          <cell r="K29">
            <v>1</v>
          </cell>
          <cell r="L29"/>
          <cell r="M29">
            <v>0</v>
          </cell>
          <cell r="N29">
            <v>21</v>
          </cell>
          <cell r="O29" t="str">
            <v/>
          </cell>
          <cell r="P29" t="str">
            <v/>
          </cell>
          <cell r="T29">
            <v>1000</v>
          </cell>
          <cell r="U29">
            <v>1086</v>
          </cell>
        </row>
        <row r="30">
          <cell r="C30">
            <v>1029</v>
          </cell>
          <cell r="D30" t="str">
            <v>蒋生遭袭</v>
          </cell>
          <cell r="E30">
            <v>3003</v>
          </cell>
          <cell r="F30" t="str">
            <v>突围</v>
          </cell>
          <cell r="G30" t="str">
            <v>实力检测</v>
          </cell>
          <cell r="H30">
            <v>1</v>
          </cell>
          <cell r="I30">
            <v>1</v>
          </cell>
          <cell r="J30" t="str">
            <v>打怪</v>
          </cell>
          <cell r="K30">
            <v>2</v>
          </cell>
          <cell r="L30"/>
          <cell r="M30">
            <v>133104</v>
          </cell>
          <cell r="N30">
            <v>22</v>
          </cell>
          <cell r="O30">
            <v>0</v>
          </cell>
          <cell r="P30">
            <v>3003</v>
          </cell>
          <cell r="T30">
            <v>1050</v>
          </cell>
          <cell r="U30">
            <v>1244</v>
          </cell>
        </row>
        <row r="31">
          <cell r="C31">
            <v>1030</v>
          </cell>
          <cell r="D31" t="str">
            <v>突围</v>
          </cell>
          <cell r="E31">
            <v>1029</v>
          </cell>
          <cell r="F31" t="str">
            <v>营救准备</v>
          </cell>
          <cell r="G31" t="str">
            <v>蒋生遭袭</v>
          </cell>
          <cell r="H31">
            <v>1</v>
          </cell>
          <cell r="I31">
            <v>1</v>
          </cell>
          <cell r="J31" t="str">
            <v>打怪</v>
          </cell>
          <cell r="K31">
            <v>2</v>
          </cell>
          <cell r="L31"/>
          <cell r="M31">
            <v>135104</v>
          </cell>
          <cell r="N31">
            <v>24</v>
          </cell>
          <cell r="O31">
            <v>0</v>
          </cell>
          <cell r="P31">
            <v>3005</v>
          </cell>
          <cell r="T31">
            <v>1050</v>
          </cell>
          <cell r="U31">
            <v>1326</v>
          </cell>
        </row>
        <row r="32">
          <cell r="C32">
            <v>1031</v>
          </cell>
          <cell r="D32" t="str">
            <v>营救准备</v>
          </cell>
          <cell r="E32">
            <v>1030</v>
          </cell>
          <cell r="F32" t="str">
            <v>生死相随</v>
          </cell>
          <cell r="G32" t="str">
            <v>突围</v>
          </cell>
          <cell r="H32">
            <v>1</v>
          </cell>
          <cell r="I32">
            <v>1</v>
          </cell>
          <cell r="J32" t="str">
            <v>对话</v>
          </cell>
          <cell r="K32">
            <v>1</v>
          </cell>
          <cell r="L32"/>
          <cell r="M32">
            <v>0</v>
          </cell>
          <cell r="N32">
            <v>24</v>
          </cell>
          <cell r="O32" t="str">
            <v/>
          </cell>
          <cell r="P32" t="str">
            <v/>
          </cell>
          <cell r="T32">
            <v>1050</v>
          </cell>
          <cell r="U32">
            <v>1412</v>
          </cell>
        </row>
        <row r="33">
          <cell r="C33">
            <v>1032</v>
          </cell>
          <cell r="D33" t="str">
            <v>生死相随</v>
          </cell>
          <cell r="E33">
            <v>1031</v>
          </cell>
          <cell r="F33" t="str">
            <v>双虎覆灭</v>
          </cell>
          <cell r="G33" t="str">
            <v>营救准备</v>
          </cell>
          <cell r="H33">
            <v>1</v>
          </cell>
          <cell r="I33">
            <v>1</v>
          </cell>
          <cell r="J33" t="str">
            <v>打怪</v>
          </cell>
          <cell r="K33">
            <v>2</v>
          </cell>
          <cell r="L33"/>
          <cell r="M33">
            <v>137104</v>
          </cell>
          <cell r="N33">
            <v>26</v>
          </cell>
          <cell r="O33">
            <v>0</v>
          </cell>
          <cell r="P33">
            <v>3007</v>
          </cell>
          <cell r="T33">
            <v>1050</v>
          </cell>
          <cell r="U33">
            <v>1502</v>
          </cell>
        </row>
        <row r="34">
          <cell r="C34">
            <v>1033</v>
          </cell>
          <cell r="D34" t="str">
            <v>双虎覆灭</v>
          </cell>
          <cell r="E34">
            <v>1032</v>
          </cell>
          <cell r="F34" t="str">
            <v>探望浩南</v>
          </cell>
          <cell r="G34" t="str">
            <v>生死相随</v>
          </cell>
          <cell r="H34">
            <v>1</v>
          </cell>
          <cell r="I34">
            <v>1</v>
          </cell>
          <cell r="J34" t="str">
            <v>打怪</v>
          </cell>
          <cell r="K34">
            <v>2</v>
          </cell>
          <cell r="L34"/>
          <cell r="M34">
            <v>139104</v>
          </cell>
          <cell r="N34">
            <v>28</v>
          </cell>
          <cell r="O34">
            <v>0</v>
          </cell>
          <cell r="P34">
            <v>3009</v>
          </cell>
          <cell r="T34">
            <v>1050</v>
          </cell>
          <cell r="U34">
            <v>1592</v>
          </cell>
        </row>
        <row r="35">
          <cell r="C35">
            <v>1034</v>
          </cell>
          <cell r="D35" t="str">
            <v>探望浩南</v>
          </cell>
          <cell r="E35">
            <v>1033</v>
          </cell>
          <cell r="F35" t="str">
            <v>龙头更替</v>
          </cell>
          <cell r="G35" t="str">
            <v>双虎覆灭</v>
          </cell>
          <cell r="H35">
            <v>1</v>
          </cell>
          <cell r="I35">
            <v>1</v>
          </cell>
          <cell r="J35" t="str">
            <v>对话</v>
          </cell>
          <cell r="K35">
            <v>1</v>
          </cell>
          <cell r="L35"/>
          <cell r="M35">
            <v>0</v>
          </cell>
          <cell r="N35">
            <v>28</v>
          </cell>
          <cell r="O35" t="str">
            <v/>
          </cell>
          <cell r="P35" t="str">
            <v/>
          </cell>
          <cell r="T35">
            <v>1050</v>
          </cell>
          <cell r="U35">
            <v>1686</v>
          </cell>
        </row>
        <row r="36">
          <cell r="C36">
            <v>1035</v>
          </cell>
          <cell r="D36" t="str">
            <v>龙头更替</v>
          </cell>
          <cell r="E36">
            <v>1034</v>
          </cell>
          <cell r="F36" t="str">
            <v>趁虚而入</v>
          </cell>
          <cell r="G36" t="str">
            <v>探望浩南</v>
          </cell>
          <cell r="H36">
            <v>1</v>
          </cell>
          <cell r="I36">
            <v>1</v>
          </cell>
          <cell r="J36" t="str">
            <v>对话</v>
          </cell>
          <cell r="K36">
            <v>1</v>
          </cell>
          <cell r="L36"/>
          <cell r="M36">
            <v>0</v>
          </cell>
          <cell r="N36">
            <v>28</v>
          </cell>
          <cell r="O36" t="str">
            <v/>
          </cell>
          <cell r="P36" t="str">
            <v/>
          </cell>
          <cell r="T36">
            <v>1050</v>
          </cell>
          <cell r="U36">
            <v>1782</v>
          </cell>
        </row>
        <row r="37">
          <cell r="C37">
            <v>1036</v>
          </cell>
          <cell r="D37" t="str">
            <v>趁虚而入</v>
          </cell>
          <cell r="E37">
            <v>1035</v>
          </cell>
          <cell r="F37" t="str">
            <v>屯门之位</v>
          </cell>
          <cell r="G37" t="str">
            <v>龙头更替</v>
          </cell>
          <cell r="H37">
            <v>1</v>
          </cell>
          <cell r="I37">
            <v>1</v>
          </cell>
          <cell r="J37" t="str">
            <v>打怪</v>
          </cell>
          <cell r="K37">
            <v>2</v>
          </cell>
          <cell r="L37"/>
          <cell r="M37">
            <v>141104</v>
          </cell>
          <cell r="N37">
            <v>29</v>
          </cell>
          <cell r="O37">
            <v>0</v>
          </cell>
          <cell r="P37">
            <v>4001</v>
          </cell>
          <cell r="T37">
            <v>1050</v>
          </cell>
          <cell r="U37">
            <v>1882</v>
          </cell>
        </row>
        <row r="38">
          <cell r="C38">
            <v>1037</v>
          </cell>
          <cell r="D38" t="str">
            <v>屯门之位</v>
          </cell>
          <cell r="E38">
            <v>1036</v>
          </cell>
          <cell r="F38" t="str">
            <v>竞争</v>
          </cell>
          <cell r="G38" t="str">
            <v>趁虚而入</v>
          </cell>
          <cell r="H38">
            <v>1</v>
          </cell>
          <cell r="I38">
            <v>1</v>
          </cell>
          <cell r="J38" t="str">
            <v>对话</v>
          </cell>
          <cell r="K38">
            <v>1</v>
          </cell>
          <cell r="L38"/>
          <cell r="M38">
            <v>0</v>
          </cell>
          <cell r="N38">
            <v>29</v>
          </cell>
          <cell r="O38" t="str">
            <v/>
          </cell>
          <cell r="P38" t="str">
            <v/>
          </cell>
          <cell r="T38">
            <v>1050</v>
          </cell>
          <cell r="U38">
            <v>1984</v>
          </cell>
        </row>
        <row r="39">
          <cell r="C39">
            <v>1038</v>
          </cell>
          <cell r="D39" t="str">
            <v>竞争</v>
          </cell>
          <cell r="E39">
            <v>1037</v>
          </cell>
          <cell r="F39" t="str">
            <v>协助山鸡</v>
          </cell>
          <cell r="G39" t="str">
            <v>屯门之位</v>
          </cell>
          <cell r="H39">
            <v>1</v>
          </cell>
          <cell r="I39">
            <v>1</v>
          </cell>
          <cell r="J39" t="str">
            <v>打怪</v>
          </cell>
          <cell r="K39">
            <v>2</v>
          </cell>
          <cell r="L39"/>
          <cell r="M39">
            <v>142104</v>
          </cell>
          <cell r="N39">
            <v>30</v>
          </cell>
          <cell r="O39">
            <v>0</v>
          </cell>
          <cell r="P39">
            <v>4002</v>
          </cell>
          <cell r="T39">
            <v>1050</v>
          </cell>
          <cell r="U39">
            <v>2088</v>
          </cell>
        </row>
        <row r="40">
          <cell r="C40">
            <v>1039</v>
          </cell>
          <cell r="D40" t="str">
            <v>协助山鸡</v>
          </cell>
          <cell r="E40">
            <v>1038</v>
          </cell>
          <cell r="F40" t="str">
            <v>街头激斗</v>
          </cell>
          <cell r="G40" t="str">
            <v>竞争</v>
          </cell>
          <cell r="H40">
            <v>1</v>
          </cell>
          <cell r="I40">
            <v>1</v>
          </cell>
          <cell r="J40" t="str">
            <v>对话</v>
          </cell>
          <cell r="K40">
            <v>1</v>
          </cell>
          <cell r="L40"/>
          <cell r="M40">
            <v>0</v>
          </cell>
          <cell r="N40">
            <v>30</v>
          </cell>
          <cell r="O40" t="str">
            <v/>
          </cell>
          <cell r="P40" t="str">
            <v/>
          </cell>
          <cell r="T40">
            <v>1100</v>
          </cell>
          <cell r="U40">
            <v>2196</v>
          </cell>
        </row>
        <row r="41">
          <cell r="C41">
            <v>1040</v>
          </cell>
          <cell r="D41" t="str">
            <v>街头激斗</v>
          </cell>
          <cell r="E41">
            <v>1039</v>
          </cell>
          <cell r="F41" t="str">
            <v>马失前蹄</v>
          </cell>
          <cell r="G41" t="str">
            <v>协助山鸡</v>
          </cell>
          <cell r="H41">
            <v>1</v>
          </cell>
          <cell r="I41">
            <v>1</v>
          </cell>
          <cell r="J41" t="str">
            <v>打怪</v>
          </cell>
          <cell r="K41">
            <v>2</v>
          </cell>
          <cell r="L41"/>
          <cell r="M41">
            <v>143104</v>
          </cell>
          <cell r="N41">
            <v>31</v>
          </cell>
          <cell r="O41">
            <v>0</v>
          </cell>
          <cell r="P41">
            <v>4003</v>
          </cell>
          <cell r="T41">
            <v>1100</v>
          </cell>
          <cell r="U41">
            <v>2306</v>
          </cell>
        </row>
        <row r="42">
          <cell r="C42">
            <v>1041</v>
          </cell>
          <cell r="D42" t="str">
            <v>马失前蹄</v>
          </cell>
          <cell r="E42">
            <v>1040</v>
          </cell>
          <cell r="F42" t="str">
            <v>营救大天二</v>
          </cell>
          <cell r="G42" t="str">
            <v>街头激斗</v>
          </cell>
          <cell r="H42">
            <v>1</v>
          </cell>
          <cell r="I42">
            <v>1</v>
          </cell>
          <cell r="J42" t="str">
            <v>打怪</v>
          </cell>
          <cell r="K42">
            <v>2</v>
          </cell>
          <cell r="L42"/>
          <cell r="M42">
            <v>145104</v>
          </cell>
          <cell r="N42">
            <v>33</v>
          </cell>
          <cell r="O42">
            <v>0</v>
          </cell>
          <cell r="P42">
            <v>4005</v>
          </cell>
          <cell r="T42">
            <v>1100</v>
          </cell>
          <cell r="U42">
            <v>2420</v>
          </cell>
        </row>
        <row r="43">
          <cell r="C43">
            <v>1042</v>
          </cell>
          <cell r="D43" t="str">
            <v>营救大天二</v>
          </cell>
          <cell r="E43">
            <v>1041</v>
          </cell>
          <cell r="F43" t="str">
            <v>痛失战友</v>
          </cell>
          <cell r="G43" t="str">
            <v>马失前蹄</v>
          </cell>
          <cell r="H43">
            <v>1</v>
          </cell>
          <cell r="I43">
            <v>1</v>
          </cell>
          <cell r="J43" t="str">
            <v>对话</v>
          </cell>
          <cell r="K43">
            <v>1</v>
          </cell>
          <cell r="L43"/>
          <cell r="M43">
            <v>0</v>
          </cell>
          <cell r="N43">
            <v>33</v>
          </cell>
          <cell r="O43" t="str">
            <v/>
          </cell>
          <cell r="P43" t="str">
            <v/>
          </cell>
          <cell r="T43">
            <v>1100</v>
          </cell>
          <cell r="U43">
            <v>2534</v>
          </cell>
        </row>
        <row r="44">
          <cell r="C44">
            <v>1043</v>
          </cell>
          <cell r="D44" t="str">
            <v>痛失战友</v>
          </cell>
          <cell r="E44">
            <v>1042</v>
          </cell>
          <cell r="F44" t="str">
            <v>一决雌雄</v>
          </cell>
          <cell r="G44" t="str">
            <v>营救大天二</v>
          </cell>
          <cell r="H44">
            <v>1</v>
          </cell>
          <cell r="I44">
            <v>1</v>
          </cell>
          <cell r="J44" t="str">
            <v>打怪</v>
          </cell>
          <cell r="K44">
            <v>2</v>
          </cell>
          <cell r="L44"/>
          <cell r="M44">
            <v>147104</v>
          </cell>
          <cell r="N44">
            <v>35</v>
          </cell>
          <cell r="O44">
            <v>0</v>
          </cell>
          <cell r="P44">
            <v>4007</v>
          </cell>
          <cell r="T44">
            <v>1150</v>
          </cell>
          <cell r="U44">
            <v>2652</v>
          </cell>
        </row>
        <row r="45">
          <cell r="C45">
            <v>1044</v>
          </cell>
          <cell r="D45" t="str">
            <v>一决雌雄</v>
          </cell>
          <cell r="E45">
            <v>1043</v>
          </cell>
          <cell r="F45" t="str">
            <v>成长</v>
          </cell>
          <cell r="G45" t="str">
            <v>痛失战友</v>
          </cell>
          <cell r="H45">
            <v>1</v>
          </cell>
          <cell r="I45">
            <v>1</v>
          </cell>
          <cell r="J45" t="str">
            <v>打怪</v>
          </cell>
          <cell r="K45">
            <v>2</v>
          </cell>
          <cell r="L45"/>
          <cell r="M45">
            <v>149104</v>
          </cell>
          <cell r="N45">
            <v>37</v>
          </cell>
          <cell r="O45">
            <v>0</v>
          </cell>
          <cell r="P45">
            <v>4009</v>
          </cell>
          <cell r="T45">
            <v>1200</v>
          </cell>
          <cell r="U45">
            <v>2774</v>
          </cell>
        </row>
        <row r="46">
          <cell r="C46">
            <v>1045</v>
          </cell>
          <cell r="D46" t="str">
            <v>成长</v>
          </cell>
          <cell r="E46">
            <v>1044</v>
          </cell>
          <cell r="F46" t="str">
            <v>风起铜锣湾</v>
          </cell>
          <cell r="G46" t="str">
            <v>一决雌雄</v>
          </cell>
          <cell r="H46">
            <v>1</v>
          </cell>
          <cell r="I46">
            <v>1</v>
          </cell>
          <cell r="J46" t="str">
            <v>对话</v>
          </cell>
          <cell r="K46">
            <v>1</v>
          </cell>
          <cell r="L46"/>
          <cell r="M46">
            <v>0</v>
          </cell>
          <cell r="N46">
            <v>37</v>
          </cell>
          <cell r="O46" t="str">
            <v/>
          </cell>
          <cell r="P46" t="str">
            <v/>
          </cell>
          <cell r="T46">
            <v>1250</v>
          </cell>
          <cell r="U46">
            <v>2898</v>
          </cell>
        </row>
        <row r="47">
          <cell r="C47">
            <v>1046</v>
          </cell>
          <cell r="D47" t="str">
            <v>风起铜锣湾</v>
          </cell>
          <cell r="E47">
            <v>1045</v>
          </cell>
          <cell r="F47" t="str">
            <v>前哨战</v>
          </cell>
          <cell r="G47" t="str">
            <v>成长</v>
          </cell>
          <cell r="H47">
            <v>1</v>
          </cell>
          <cell r="I47">
            <v>1</v>
          </cell>
          <cell r="J47" t="str">
            <v>对话</v>
          </cell>
          <cell r="K47">
            <v>1</v>
          </cell>
          <cell r="L47"/>
          <cell r="M47">
            <v>0</v>
          </cell>
          <cell r="N47">
            <v>37</v>
          </cell>
          <cell r="O47" t="str">
            <v/>
          </cell>
          <cell r="P47" t="str">
            <v/>
          </cell>
          <cell r="T47">
            <v>1300</v>
          </cell>
          <cell r="U47">
            <v>3024</v>
          </cell>
        </row>
        <row r="48">
          <cell r="C48">
            <v>1047</v>
          </cell>
          <cell r="D48" t="str">
            <v>前哨战</v>
          </cell>
          <cell r="E48">
            <v>1046</v>
          </cell>
          <cell r="F48" t="str">
            <v>禁止通行</v>
          </cell>
          <cell r="G48" t="str">
            <v>风起铜锣湾</v>
          </cell>
          <cell r="H48">
            <v>1</v>
          </cell>
          <cell r="I48">
            <v>1</v>
          </cell>
          <cell r="J48" t="str">
            <v>打怪</v>
          </cell>
          <cell r="K48">
            <v>2</v>
          </cell>
          <cell r="L48"/>
          <cell r="M48">
            <v>151104</v>
          </cell>
          <cell r="N48">
            <v>38</v>
          </cell>
          <cell r="O48">
            <v>0</v>
          </cell>
          <cell r="P48">
            <v>5001</v>
          </cell>
          <cell r="T48">
            <v>1350</v>
          </cell>
          <cell r="U48">
            <v>3154</v>
          </cell>
        </row>
        <row r="49">
          <cell r="C49">
            <v>1048</v>
          </cell>
          <cell r="D49" t="str">
            <v>禁止通行</v>
          </cell>
          <cell r="E49">
            <v>1047</v>
          </cell>
          <cell r="F49" t="str">
            <v>联络十三妹</v>
          </cell>
          <cell r="G49" t="str">
            <v>前哨战</v>
          </cell>
          <cell r="H49">
            <v>1</v>
          </cell>
          <cell r="I49">
            <v>1</v>
          </cell>
          <cell r="J49" t="str">
            <v>打怪</v>
          </cell>
          <cell r="K49">
            <v>2</v>
          </cell>
          <cell r="L49"/>
          <cell r="M49">
            <v>152104</v>
          </cell>
          <cell r="N49">
            <v>39</v>
          </cell>
          <cell r="O49">
            <v>0</v>
          </cell>
          <cell r="P49">
            <v>5002</v>
          </cell>
          <cell r="T49">
            <v>1400</v>
          </cell>
          <cell r="U49">
            <v>3286</v>
          </cell>
        </row>
        <row r="50">
          <cell r="C50">
            <v>1049</v>
          </cell>
          <cell r="D50" t="str">
            <v>联络十三妹</v>
          </cell>
          <cell r="E50">
            <v>1048</v>
          </cell>
          <cell r="F50" t="str">
            <v>冲突</v>
          </cell>
          <cell r="G50" t="str">
            <v>禁止通行</v>
          </cell>
          <cell r="H50">
            <v>1</v>
          </cell>
          <cell r="I50">
            <v>1</v>
          </cell>
          <cell r="J50" t="str">
            <v>对话</v>
          </cell>
          <cell r="K50">
            <v>1</v>
          </cell>
          <cell r="L50"/>
          <cell r="M50">
            <v>0</v>
          </cell>
          <cell r="N50">
            <v>39</v>
          </cell>
          <cell r="O50" t="str">
            <v/>
          </cell>
          <cell r="P50" t="str">
            <v/>
          </cell>
          <cell r="T50">
            <v>1500</v>
          </cell>
          <cell r="U50">
            <v>3420</v>
          </cell>
        </row>
        <row r="51">
          <cell r="C51">
            <v>1050</v>
          </cell>
          <cell r="D51" t="str">
            <v>冲突</v>
          </cell>
          <cell r="E51">
            <v>1049</v>
          </cell>
          <cell r="F51" t="str">
            <v>战书</v>
          </cell>
          <cell r="G51" t="str">
            <v>联络十三妹</v>
          </cell>
          <cell r="H51">
            <v>1</v>
          </cell>
          <cell r="I51">
            <v>1</v>
          </cell>
          <cell r="J51" t="str">
            <v>打怪</v>
          </cell>
          <cell r="K51">
            <v>2</v>
          </cell>
          <cell r="L51"/>
          <cell r="M51">
            <v>153104</v>
          </cell>
          <cell r="N51">
            <v>40</v>
          </cell>
          <cell r="O51">
            <v>0</v>
          </cell>
          <cell r="P51">
            <v>5003</v>
          </cell>
          <cell r="T51">
            <v>1600</v>
          </cell>
          <cell r="U51">
            <v>3558</v>
          </cell>
        </row>
        <row r="52">
          <cell r="C52">
            <v>1051</v>
          </cell>
          <cell r="D52" t="str">
            <v>战书</v>
          </cell>
          <cell r="E52">
            <v>1050</v>
          </cell>
          <cell r="F52" t="str">
            <v>应战</v>
          </cell>
          <cell r="G52" t="str">
            <v>冲突</v>
          </cell>
          <cell r="H52">
            <v>1</v>
          </cell>
          <cell r="I52">
            <v>1</v>
          </cell>
          <cell r="J52" t="str">
            <v>打怪</v>
          </cell>
          <cell r="K52">
            <v>2</v>
          </cell>
          <cell r="L52"/>
          <cell r="M52">
            <v>155104</v>
          </cell>
          <cell r="N52">
            <v>42</v>
          </cell>
          <cell r="O52">
            <v>0</v>
          </cell>
          <cell r="P52">
            <v>5005</v>
          </cell>
          <cell r="T52">
            <v>1700</v>
          </cell>
          <cell r="U52">
            <v>3698</v>
          </cell>
        </row>
        <row r="53">
          <cell r="C53">
            <v>1052</v>
          </cell>
          <cell r="D53" t="str">
            <v>应战</v>
          </cell>
          <cell r="E53">
            <v>1051</v>
          </cell>
          <cell r="F53" t="str">
            <v>力克强敌</v>
          </cell>
          <cell r="G53" t="str">
            <v>战书</v>
          </cell>
          <cell r="H53">
            <v>1</v>
          </cell>
          <cell r="I53">
            <v>1</v>
          </cell>
          <cell r="J53" t="str">
            <v>对话</v>
          </cell>
          <cell r="K53">
            <v>1</v>
          </cell>
          <cell r="L53"/>
          <cell r="M53">
            <v>0</v>
          </cell>
          <cell r="N53">
            <v>42</v>
          </cell>
          <cell r="O53" t="str">
            <v/>
          </cell>
          <cell r="P53" t="str">
            <v/>
          </cell>
          <cell r="T53">
            <v>1800</v>
          </cell>
          <cell r="U53">
            <v>3840</v>
          </cell>
        </row>
        <row r="54">
          <cell r="C54">
            <v>1053</v>
          </cell>
          <cell r="D54" t="str">
            <v>力克强敌</v>
          </cell>
          <cell r="E54">
            <v>1052</v>
          </cell>
          <cell r="F54" t="str">
            <v>龙争虎斗</v>
          </cell>
          <cell r="G54" t="str">
            <v>应战</v>
          </cell>
          <cell r="H54">
            <v>1</v>
          </cell>
          <cell r="I54">
            <v>1</v>
          </cell>
          <cell r="J54" t="str">
            <v>打怪</v>
          </cell>
          <cell r="K54">
            <v>2</v>
          </cell>
          <cell r="L54"/>
          <cell r="M54">
            <v>157104</v>
          </cell>
          <cell r="N54">
            <v>44</v>
          </cell>
          <cell r="O54">
            <v>0</v>
          </cell>
          <cell r="P54">
            <v>5007</v>
          </cell>
          <cell r="T54">
            <v>1900</v>
          </cell>
          <cell r="U54">
            <v>3986</v>
          </cell>
        </row>
        <row r="55">
          <cell r="C55">
            <v>1054</v>
          </cell>
          <cell r="D55" t="str">
            <v>龙争虎斗</v>
          </cell>
          <cell r="E55">
            <v>1053</v>
          </cell>
          <cell r="F55" t="str">
            <v>山鸡大婚</v>
          </cell>
          <cell r="G55" t="str">
            <v>力克强敌</v>
          </cell>
          <cell r="H55">
            <v>1</v>
          </cell>
          <cell r="I55">
            <v>1</v>
          </cell>
          <cell r="J55" t="str">
            <v>打怪</v>
          </cell>
          <cell r="K55">
            <v>2</v>
          </cell>
          <cell r="L55"/>
          <cell r="M55">
            <v>159104</v>
          </cell>
          <cell r="N55">
            <v>46</v>
          </cell>
          <cell r="O55">
            <v>0</v>
          </cell>
          <cell r="P55">
            <v>5009</v>
          </cell>
          <cell r="T55">
            <v>2000</v>
          </cell>
          <cell r="U55">
            <v>4134</v>
          </cell>
        </row>
        <row r="56">
          <cell r="C56">
            <v>1055</v>
          </cell>
          <cell r="D56" t="str">
            <v>山鸡大婚</v>
          </cell>
          <cell r="E56">
            <v>1054</v>
          </cell>
          <cell r="F56" t="str">
            <v>远渡重洋</v>
          </cell>
          <cell r="G56" t="str">
            <v>龙争虎斗</v>
          </cell>
          <cell r="H56">
            <v>1</v>
          </cell>
          <cell r="I56">
            <v>1</v>
          </cell>
          <cell r="J56" t="str">
            <v>对话</v>
          </cell>
          <cell r="K56">
            <v>1</v>
          </cell>
          <cell r="L56"/>
          <cell r="M56">
            <v>0</v>
          </cell>
          <cell r="N56">
            <v>46</v>
          </cell>
          <cell r="O56" t="str">
            <v/>
          </cell>
          <cell r="P56" t="str">
            <v/>
          </cell>
          <cell r="T56">
            <v>2100</v>
          </cell>
          <cell r="U56">
            <v>4284</v>
          </cell>
        </row>
        <row r="57">
          <cell r="C57">
            <v>1056</v>
          </cell>
          <cell r="D57" t="str">
            <v>远渡重洋</v>
          </cell>
          <cell r="E57">
            <v>1055</v>
          </cell>
          <cell r="F57" t="str">
            <v>神秘访客</v>
          </cell>
          <cell r="G57" t="str">
            <v>山鸡大婚</v>
          </cell>
          <cell r="H57">
            <v>1</v>
          </cell>
          <cell r="I57">
            <v>1</v>
          </cell>
          <cell r="J57" t="str">
            <v>对话</v>
          </cell>
          <cell r="K57">
            <v>1</v>
          </cell>
          <cell r="L57"/>
          <cell r="M57">
            <v>0</v>
          </cell>
          <cell r="N57">
            <v>46</v>
          </cell>
          <cell r="O57" t="str">
            <v/>
          </cell>
          <cell r="P57" t="str">
            <v/>
          </cell>
          <cell r="T57">
            <v>2200</v>
          </cell>
          <cell r="U57">
            <v>4438</v>
          </cell>
        </row>
        <row r="58">
          <cell r="C58">
            <v>1057</v>
          </cell>
          <cell r="D58" t="str">
            <v>神秘访客</v>
          </cell>
          <cell r="E58">
            <v>1056</v>
          </cell>
          <cell r="F58" t="str">
            <v>阴谋</v>
          </cell>
          <cell r="G58" t="str">
            <v>远渡重洋</v>
          </cell>
          <cell r="H58">
            <v>1</v>
          </cell>
          <cell r="I58">
            <v>1</v>
          </cell>
          <cell r="J58" t="str">
            <v>打怪</v>
          </cell>
          <cell r="K58">
            <v>2</v>
          </cell>
          <cell r="L58"/>
          <cell r="M58">
            <v>161104</v>
          </cell>
          <cell r="N58">
            <v>47</v>
          </cell>
          <cell r="O58">
            <v>0</v>
          </cell>
          <cell r="P58">
            <v>6001</v>
          </cell>
          <cell r="T58">
            <v>2300</v>
          </cell>
          <cell r="U58">
            <v>4596</v>
          </cell>
        </row>
        <row r="59">
          <cell r="C59">
            <v>1058</v>
          </cell>
          <cell r="D59" t="str">
            <v>阴谋</v>
          </cell>
          <cell r="E59">
            <v>1057</v>
          </cell>
          <cell r="F59" t="str">
            <v>协力合作</v>
          </cell>
          <cell r="G59" t="str">
            <v>神秘访客</v>
          </cell>
          <cell r="H59">
            <v>1</v>
          </cell>
          <cell r="I59">
            <v>1</v>
          </cell>
          <cell r="J59" t="str">
            <v>打怪</v>
          </cell>
          <cell r="K59">
            <v>2</v>
          </cell>
          <cell r="L59"/>
          <cell r="M59">
            <v>162104</v>
          </cell>
          <cell r="N59">
            <v>48</v>
          </cell>
          <cell r="O59">
            <v>0</v>
          </cell>
          <cell r="P59">
            <v>6002</v>
          </cell>
          <cell r="T59">
            <v>2400</v>
          </cell>
          <cell r="U59">
            <v>4754</v>
          </cell>
        </row>
        <row r="60">
          <cell r="C60">
            <v>1059</v>
          </cell>
          <cell r="D60" t="str">
            <v>协力合作</v>
          </cell>
          <cell r="E60">
            <v>1058</v>
          </cell>
          <cell r="F60" t="str">
            <v>突破点</v>
          </cell>
          <cell r="G60" t="str">
            <v>阴谋</v>
          </cell>
          <cell r="H60">
            <v>1</v>
          </cell>
          <cell r="I60">
            <v>1</v>
          </cell>
          <cell r="J60" t="str">
            <v>对话</v>
          </cell>
          <cell r="K60">
            <v>1</v>
          </cell>
          <cell r="L60"/>
          <cell r="M60">
            <v>0</v>
          </cell>
          <cell r="N60">
            <v>48</v>
          </cell>
          <cell r="O60" t="str">
            <v/>
          </cell>
          <cell r="P60" t="str">
            <v/>
          </cell>
          <cell r="T60">
            <v>2500</v>
          </cell>
          <cell r="U60">
            <v>4916</v>
          </cell>
        </row>
        <row r="61">
          <cell r="C61">
            <v>1060</v>
          </cell>
          <cell r="D61" t="str">
            <v>突破点</v>
          </cell>
          <cell r="E61">
            <v>1059</v>
          </cell>
          <cell r="F61" t="str">
            <v>强者之战</v>
          </cell>
          <cell r="G61" t="str">
            <v>协力合作</v>
          </cell>
          <cell r="H61">
            <v>1</v>
          </cell>
          <cell r="I61">
            <v>1</v>
          </cell>
          <cell r="J61" t="str">
            <v>打怪</v>
          </cell>
          <cell r="K61">
            <v>2</v>
          </cell>
          <cell r="L61"/>
          <cell r="M61">
            <v>163104</v>
          </cell>
          <cell r="N61">
            <v>49</v>
          </cell>
          <cell r="O61">
            <v>0</v>
          </cell>
          <cell r="P61">
            <v>6003</v>
          </cell>
          <cell r="T61">
            <v>2700</v>
          </cell>
          <cell r="U61">
            <v>5080</v>
          </cell>
        </row>
        <row r="62">
          <cell r="C62">
            <v>1061</v>
          </cell>
          <cell r="D62" t="str">
            <v>强者之战</v>
          </cell>
          <cell r="E62">
            <v>1060</v>
          </cell>
          <cell r="F62" t="str">
            <v>阔别重逢</v>
          </cell>
          <cell r="G62" t="str">
            <v>突破点</v>
          </cell>
          <cell r="H62">
            <v>1</v>
          </cell>
          <cell r="I62">
            <v>1</v>
          </cell>
          <cell r="J62" t="str">
            <v>打怪</v>
          </cell>
          <cell r="K62">
            <v>2</v>
          </cell>
          <cell r="L62"/>
          <cell r="M62">
            <v>164104</v>
          </cell>
          <cell r="N62">
            <v>50</v>
          </cell>
          <cell r="O62">
            <v>0</v>
          </cell>
          <cell r="P62">
            <v>6004</v>
          </cell>
          <cell r="T62">
            <v>2900</v>
          </cell>
          <cell r="U62">
            <v>5248</v>
          </cell>
        </row>
        <row r="63">
          <cell r="C63">
            <v>1062</v>
          </cell>
          <cell r="D63" t="str">
            <v>阔别重逢</v>
          </cell>
          <cell r="E63">
            <v>1061</v>
          </cell>
          <cell r="F63" t="str">
            <v>风暴前夕</v>
          </cell>
          <cell r="G63" t="str">
            <v>强者之战</v>
          </cell>
          <cell r="H63">
            <v>1</v>
          </cell>
          <cell r="I63">
            <v>1</v>
          </cell>
          <cell r="J63" t="str">
            <v>打怪</v>
          </cell>
          <cell r="K63">
            <v>2</v>
          </cell>
          <cell r="L63"/>
          <cell r="M63">
            <v>165104</v>
          </cell>
          <cell r="N63">
            <v>51</v>
          </cell>
          <cell r="O63">
            <v>0</v>
          </cell>
          <cell r="P63">
            <v>6005</v>
          </cell>
          <cell r="T63">
            <v>3100</v>
          </cell>
          <cell r="U63">
            <v>5418</v>
          </cell>
        </row>
        <row r="64">
          <cell r="C64">
            <v>1063</v>
          </cell>
          <cell r="D64" t="str">
            <v>风暴前夕</v>
          </cell>
          <cell r="E64">
            <v>1062</v>
          </cell>
          <cell r="F64" t="str">
            <v>讨伐</v>
          </cell>
          <cell r="G64" t="str">
            <v>阔别重逢</v>
          </cell>
          <cell r="H64">
            <v>1</v>
          </cell>
          <cell r="I64">
            <v>1</v>
          </cell>
          <cell r="J64" t="str">
            <v>对话</v>
          </cell>
          <cell r="K64">
            <v>1</v>
          </cell>
          <cell r="L64"/>
          <cell r="M64">
            <v>0</v>
          </cell>
          <cell r="N64">
            <v>51</v>
          </cell>
          <cell r="O64" t="str">
            <v/>
          </cell>
          <cell r="P64" t="str">
            <v/>
          </cell>
          <cell r="T64">
            <v>3300</v>
          </cell>
          <cell r="U64">
            <v>5590</v>
          </cell>
        </row>
        <row r="65">
          <cell r="C65">
            <v>1064</v>
          </cell>
          <cell r="D65" t="str">
            <v>讨伐</v>
          </cell>
          <cell r="E65">
            <v>1063</v>
          </cell>
          <cell r="F65" t="str">
            <v>正面交锋</v>
          </cell>
          <cell r="G65" t="str">
            <v>风暴前夕</v>
          </cell>
          <cell r="H65">
            <v>1</v>
          </cell>
          <cell r="I65">
            <v>1</v>
          </cell>
          <cell r="J65" t="str">
            <v>打怪</v>
          </cell>
          <cell r="K65">
            <v>2</v>
          </cell>
          <cell r="L65"/>
          <cell r="M65">
            <v>166104</v>
          </cell>
          <cell r="N65">
            <v>52</v>
          </cell>
          <cell r="O65">
            <v>0</v>
          </cell>
          <cell r="P65">
            <v>6006</v>
          </cell>
          <cell r="T65">
            <v>3500</v>
          </cell>
          <cell r="U65">
            <v>5766</v>
          </cell>
        </row>
        <row r="66">
          <cell r="C66">
            <v>1065</v>
          </cell>
          <cell r="D66" t="str">
            <v>僵局</v>
          </cell>
          <cell r="E66">
            <v>3007</v>
          </cell>
          <cell r="F66" t="str">
            <v>深入虎穴</v>
          </cell>
          <cell r="G66" t="str">
            <v>恶战</v>
          </cell>
          <cell r="H66">
            <v>1</v>
          </cell>
          <cell r="I66">
            <v>1</v>
          </cell>
          <cell r="J66" t="str">
            <v>对话</v>
          </cell>
          <cell r="K66">
            <v>1</v>
          </cell>
          <cell r="L66"/>
          <cell r="M66">
            <v>0</v>
          </cell>
          <cell r="N66">
            <v>52</v>
          </cell>
          <cell r="O66" t="str">
            <v/>
          </cell>
          <cell r="P66" t="str">
            <v/>
          </cell>
          <cell r="T66">
            <v>4300</v>
          </cell>
          <cell r="U66">
            <v>6494</v>
          </cell>
        </row>
        <row r="67">
          <cell r="C67">
            <v>1066</v>
          </cell>
          <cell r="D67" t="str">
            <v>深入虎穴</v>
          </cell>
          <cell r="E67">
            <v>1065</v>
          </cell>
          <cell r="F67" t="str">
            <v>激战东京1</v>
          </cell>
          <cell r="G67" t="str">
            <v>僵局</v>
          </cell>
          <cell r="H67">
            <v>1</v>
          </cell>
          <cell r="I67">
            <v>1</v>
          </cell>
          <cell r="J67" t="str">
            <v>对话</v>
          </cell>
          <cell r="K67">
            <v>1</v>
          </cell>
          <cell r="L67"/>
          <cell r="M67">
            <v>0</v>
          </cell>
          <cell r="N67">
            <v>52</v>
          </cell>
          <cell r="O67" t="str">
            <v/>
          </cell>
          <cell r="P67" t="str">
            <v/>
          </cell>
          <cell r="T67">
            <v>4500</v>
          </cell>
          <cell r="U67">
            <v>6684</v>
          </cell>
        </row>
        <row r="68">
          <cell r="C68">
            <v>1067</v>
          </cell>
          <cell r="D68" t="str">
            <v>激战东京1</v>
          </cell>
          <cell r="E68">
            <v>1066</v>
          </cell>
          <cell r="F68" t="str">
            <v>激战东京2</v>
          </cell>
          <cell r="G68" t="str">
            <v>深入虎穴</v>
          </cell>
          <cell r="H68">
            <v>1</v>
          </cell>
          <cell r="I68">
            <v>1</v>
          </cell>
          <cell r="J68" t="str">
            <v>打怪</v>
          </cell>
          <cell r="K68">
            <v>2</v>
          </cell>
          <cell r="L68"/>
          <cell r="M68">
            <v>171104</v>
          </cell>
          <cell r="N68">
            <v>56</v>
          </cell>
          <cell r="O68">
            <v>0</v>
          </cell>
          <cell r="P68">
            <v>7001</v>
          </cell>
          <cell r="T68">
            <v>4800</v>
          </cell>
          <cell r="U68">
            <v>6876</v>
          </cell>
        </row>
        <row r="69">
          <cell r="C69">
            <v>1068</v>
          </cell>
          <cell r="D69" t="str">
            <v>激战东京2</v>
          </cell>
          <cell r="E69">
            <v>1067</v>
          </cell>
          <cell r="F69" t="str">
            <v>激战东京3</v>
          </cell>
          <cell r="G69" t="str">
            <v>激战东京1</v>
          </cell>
          <cell r="H69">
            <v>1</v>
          </cell>
          <cell r="I69">
            <v>1</v>
          </cell>
          <cell r="J69" t="str">
            <v>打怪</v>
          </cell>
          <cell r="K69">
            <v>2</v>
          </cell>
          <cell r="L69"/>
          <cell r="M69">
            <v>172104</v>
          </cell>
          <cell r="N69">
            <v>57</v>
          </cell>
          <cell r="O69">
            <v>0</v>
          </cell>
          <cell r="P69">
            <v>7002</v>
          </cell>
          <cell r="T69">
            <v>5100</v>
          </cell>
          <cell r="U69">
            <v>7070</v>
          </cell>
        </row>
        <row r="70">
          <cell r="C70">
            <v>1069</v>
          </cell>
          <cell r="D70" t="str">
            <v>激战东京3</v>
          </cell>
          <cell r="E70">
            <v>1068</v>
          </cell>
          <cell r="F70" t="str">
            <v>激战东京4</v>
          </cell>
          <cell r="G70" t="str">
            <v>激战东京2</v>
          </cell>
          <cell r="H70">
            <v>1</v>
          </cell>
          <cell r="I70">
            <v>1</v>
          </cell>
          <cell r="J70" t="str">
            <v>打怪</v>
          </cell>
          <cell r="K70">
            <v>2</v>
          </cell>
          <cell r="L70"/>
          <cell r="M70">
            <v>173104</v>
          </cell>
          <cell r="N70">
            <v>58</v>
          </cell>
          <cell r="O70">
            <v>0</v>
          </cell>
          <cell r="P70">
            <v>7003</v>
          </cell>
          <cell r="T70">
            <v>5400</v>
          </cell>
          <cell r="U70">
            <v>7268</v>
          </cell>
        </row>
        <row r="71">
          <cell r="C71">
            <v>1070</v>
          </cell>
          <cell r="D71" t="str">
            <v>激战东京4</v>
          </cell>
          <cell r="E71">
            <v>1069</v>
          </cell>
          <cell r="F71" t="str">
            <v>蓄势待发</v>
          </cell>
          <cell r="G71" t="str">
            <v>激战东京3</v>
          </cell>
          <cell r="H71">
            <v>1</v>
          </cell>
          <cell r="I71">
            <v>1</v>
          </cell>
          <cell r="J71" t="str">
            <v>打怪</v>
          </cell>
          <cell r="K71">
            <v>2</v>
          </cell>
          <cell r="L71"/>
          <cell r="M71">
            <v>174104</v>
          </cell>
          <cell r="N71">
            <v>59</v>
          </cell>
          <cell r="O71">
            <v>0</v>
          </cell>
          <cell r="P71">
            <v>7004</v>
          </cell>
          <cell r="T71">
            <v>5700</v>
          </cell>
          <cell r="U71">
            <v>7468</v>
          </cell>
        </row>
        <row r="72">
          <cell r="C72">
            <v>1071</v>
          </cell>
          <cell r="D72" t="str">
            <v>蓄势待发</v>
          </cell>
          <cell r="E72">
            <v>1070</v>
          </cell>
          <cell r="F72" t="str">
            <v>渔翁得利</v>
          </cell>
          <cell r="G72" t="str">
            <v>激战东京4</v>
          </cell>
          <cell r="H72">
            <v>1</v>
          </cell>
          <cell r="I72">
            <v>1</v>
          </cell>
          <cell r="J72" t="str">
            <v>对话</v>
          </cell>
          <cell r="K72">
            <v>1</v>
          </cell>
          <cell r="L72"/>
          <cell r="M72">
            <v>0</v>
          </cell>
          <cell r="N72">
            <v>59</v>
          </cell>
          <cell r="O72" t="str">
            <v/>
          </cell>
          <cell r="P72" t="str">
            <v/>
          </cell>
          <cell r="T72">
            <v>6000</v>
          </cell>
          <cell r="U72">
            <v>7670</v>
          </cell>
        </row>
        <row r="73">
          <cell r="C73">
            <v>1072</v>
          </cell>
          <cell r="D73" t="str">
            <v>渔翁得利</v>
          </cell>
          <cell r="E73">
            <v>1071</v>
          </cell>
          <cell r="F73" t="str">
            <v>破晓</v>
          </cell>
          <cell r="G73" t="str">
            <v>蓄势待发</v>
          </cell>
          <cell r="H73">
            <v>1</v>
          </cell>
          <cell r="I73">
            <v>1</v>
          </cell>
          <cell r="J73" t="str">
            <v>打怪</v>
          </cell>
          <cell r="K73">
            <v>2</v>
          </cell>
          <cell r="L73"/>
          <cell r="M73">
            <v>175104</v>
          </cell>
          <cell r="N73">
            <v>60</v>
          </cell>
          <cell r="O73">
            <v>0</v>
          </cell>
          <cell r="P73">
            <v>7005</v>
          </cell>
          <cell r="T73">
            <v>6300</v>
          </cell>
          <cell r="U73">
            <v>7876</v>
          </cell>
        </row>
        <row r="74">
          <cell r="C74">
            <v>1073</v>
          </cell>
          <cell r="D74" t="str">
            <v>破晓</v>
          </cell>
          <cell r="E74">
            <v>1072</v>
          </cell>
          <cell r="F74" t="str">
            <v>战况升级</v>
          </cell>
          <cell r="G74" t="str">
            <v>渔翁得利</v>
          </cell>
          <cell r="H74">
            <v>1</v>
          </cell>
          <cell r="I74">
            <v>1</v>
          </cell>
          <cell r="J74" t="str">
            <v>打怪</v>
          </cell>
          <cell r="K74">
            <v>2</v>
          </cell>
          <cell r="L74"/>
          <cell r="M74">
            <v>176104</v>
          </cell>
          <cell r="N74">
            <v>61</v>
          </cell>
          <cell r="O74">
            <v>0</v>
          </cell>
          <cell r="P74">
            <v>7006</v>
          </cell>
          <cell r="T74">
            <v>6600</v>
          </cell>
          <cell r="U74">
            <v>8084</v>
          </cell>
        </row>
        <row r="75">
          <cell r="C75">
            <v>1074</v>
          </cell>
          <cell r="D75" t="str">
            <v>再相会</v>
          </cell>
          <cell r="E75">
            <v>3010</v>
          </cell>
          <cell r="F75" t="str">
            <v>宿敌逆袭</v>
          </cell>
          <cell r="G75" t="str">
            <v>斩破黑暗</v>
          </cell>
          <cell r="H75">
            <v>1</v>
          </cell>
          <cell r="I75">
            <v>1</v>
          </cell>
          <cell r="J75" t="str">
            <v>对话</v>
          </cell>
          <cell r="K75">
            <v>1</v>
          </cell>
          <cell r="L75"/>
          <cell r="M75">
            <v>0</v>
          </cell>
          <cell r="N75">
            <v>61</v>
          </cell>
          <cell r="O75" t="str">
            <v/>
          </cell>
          <cell r="P75" t="str">
            <v/>
          </cell>
          <cell r="T75">
            <v>8000</v>
          </cell>
          <cell r="U75">
            <v>8942</v>
          </cell>
        </row>
        <row r="76">
          <cell r="C76">
            <v>1075</v>
          </cell>
          <cell r="D76" t="str">
            <v>宿敌逆袭</v>
          </cell>
          <cell r="E76">
            <v>1074</v>
          </cell>
          <cell r="F76" t="str">
            <v>冤家路窄</v>
          </cell>
          <cell r="G76" t="str">
            <v>再相会</v>
          </cell>
          <cell r="H76">
            <v>1</v>
          </cell>
          <cell r="I76">
            <v>1</v>
          </cell>
          <cell r="J76" t="str">
            <v>打怪</v>
          </cell>
          <cell r="K76">
            <v>2</v>
          </cell>
          <cell r="L76"/>
          <cell r="M76">
            <v>181104</v>
          </cell>
          <cell r="N76">
            <v>65</v>
          </cell>
          <cell r="O76">
            <v>0</v>
          </cell>
          <cell r="P76">
            <v>8001</v>
          </cell>
          <cell r="T76">
            <v>8500</v>
          </cell>
          <cell r="U76">
            <v>9164</v>
          </cell>
        </row>
        <row r="77">
          <cell r="C77">
            <v>1076</v>
          </cell>
          <cell r="D77" t="str">
            <v>冤家路窄</v>
          </cell>
          <cell r="E77">
            <v>1075</v>
          </cell>
          <cell r="F77" t="str">
            <v>自甘堕落</v>
          </cell>
          <cell r="G77" t="str">
            <v>宿敌逆袭</v>
          </cell>
          <cell r="H77">
            <v>1</v>
          </cell>
          <cell r="I77">
            <v>1</v>
          </cell>
          <cell r="J77" t="str">
            <v>打怪</v>
          </cell>
          <cell r="K77">
            <v>2</v>
          </cell>
          <cell r="L77"/>
          <cell r="M77">
            <v>182104</v>
          </cell>
          <cell r="N77">
            <v>66</v>
          </cell>
          <cell r="O77">
            <v>0</v>
          </cell>
          <cell r="P77">
            <v>8002</v>
          </cell>
          <cell r="T77">
            <v>9000</v>
          </cell>
          <cell r="U77">
            <v>9390</v>
          </cell>
        </row>
        <row r="78">
          <cell r="C78">
            <v>1077</v>
          </cell>
          <cell r="D78" t="str">
            <v>强敌涌现</v>
          </cell>
          <cell r="E78">
            <v>3013</v>
          </cell>
          <cell r="F78" t="str">
            <v>再会浩南</v>
          </cell>
          <cell r="G78" t="str">
            <v>意外强敌</v>
          </cell>
          <cell r="H78">
            <v>1</v>
          </cell>
          <cell r="I78">
            <v>1</v>
          </cell>
          <cell r="J78" t="str">
            <v>打怪</v>
          </cell>
          <cell r="K78">
            <v>2</v>
          </cell>
          <cell r="L78"/>
          <cell r="M78">
            <v>186104</v>
          </cell>
          <cell r="N78">
            <v>70</v>
          </cell>
          <cell r="O78">
            <v>0</v>
          </cell>
          <cell r="P78">
            <v>8006</v>
          </cell>
          <cell r="T78">
            <v>11000</v>
          </cell>
          <cell r="U78">
            <v>10314</v>
          </cell>
        </row>
        <row r="79">
          <cell r="C79">
            <v>1078</v>
          </cell>
          <cell r="D79" t="str">
            <v>再会浩南</v>
          </cell>
          <cell r="E79">
            <v>1077</v>
          </cell>
          <cell r="F79" t="str">
            <v>携手抗敌</v>
          </cell>
          <cell r="G79" t="str">
            <v>强敌涌现</v>
          </cell>
          <cell r="H79">
            <v>1</v>
          </cell>
          <cell r="I79">
            <v>1</v>
          </cell>
          <cell r="J79" t="str">
            <v>对话</v>
          </cell>
          <cell r="K79">
            <v>1</v>
          </cell>
          <cell r="L79"/>
          <cell r="M79">
            <v>0</v>
          </cell>
          <cell r="N79">
            <v>70</v>
          </cell>
          <cell r="O79" t="str">
            <v/>
          </cell>
          <cell r="P79" t="str">
            <v/>
          </cell>
          <cell r="T79">
            <v>11500</v>
          </cell>
          <cell r="U79">
            <v>10552</v>
          </cell>
        </row>
        <row r="80">
          <cell r="C80">
            <v>1079</v>
          </cell>
          <cell r="D80" t="str">
            <v>携手抗敌</v>
          </cell>
          <cell r="E80">
            <v>1078</v>
          </cell>
          <cell r="F80" t="str">
            <v>友情岁月</v>
          </cell>
          <cell r="G80" t="str">
            <v>再会浩南</v>
          </cell>
          <cell r="H80">
            <v>1</v>
          </cell>
          <cell r="I80">
            <v>1</v>
          </cell>
          <cell r="J80" t="str">
            <v>打怪</v>
          </cell>
          <cell r="K80">
            <v>2</v>
          </cell>
          <cell r="L80"/>
          <cell r="M80">
            <v>187104</v>
          </cell>
          <cell r="N80">
            <v>71</v>
          </cell>
          <cell r="O80">
            <v>0</v>
          </cell>
          <cell r="P80">
            <v>8007</v>
          </cell>
          <cell r="T80">
            <v>12000</v>
          </cell>
          <cell r="U80">
            <v>10792</v>
          </cell>
        </row>
        <row r="81">
          <cell r="C81">
            <v>1080</v>
          </cell>
          <cell r="D81" t="str">
            <v>友情岁月</v>
          </cell>
          <cell r="E81">
            <v>1079</v>
          </cell>
          <cell r="F81" t="str">
            <v>血战宝岛</v>
          </cell>
          <cell r="G81" t="str">
            <v>携手抗敌</v>
          </cell>
          <cell r="H81">
            <v>1</v>
          </cell>
          <cell r="I81">
            <v>1</v>
          </cell>
          <cell r="J81" t="str">
            <v>打怪</v>
          </cell>
          <cell r="K81">
            <v>2</v>
          </cell>
          <cell r="L81"/>
          <cell r="M81">
            <v>188104</v>
          </cell>
          <cell r="N81">
            <v>72</v>
          </cell>
          <cell r="O81">
            <v>0</v>
          </cell>
          <cell r="P81">
            <v>8008</v>
          </cell>
          <cell r="T81">
            <v>13000</v>
          </cell>
          <cell r="U81">
            <v>11036</v>
          </cell>
        </row>
        <row r="82">
          <cell r="C82">
            <v>1081</v>
          </cell>
          <cell r="D82" t="str">
            <v>血战宝岛</v>
          </cell>
          <cell r="E82">
            <v>1080</v>
          </cell>
          <cell r="F82" t="str">
            <v>最后主线</v>
          </cell>
          <cell r="G82" t="str">
            <v>友情岁月</v>
          </cell>
          <cell r="H82">
            <v>1</v>
          </cell>
          <cell r="I82">
            <v>1</v>
          </cell>
          <cell r="J82" t="str">
            <v>打怪</v>
          </cell>
          <cell r="K82">
            <v>2</v>
          </cell>
          <cell r="L82"/>
          <cell r="M82">
            <v>189104</v>
          </cell>
          <cell r="N82">
            <v>73</v>
          </cell>
          <cell r="O82">
            <v>0</v>
          </cell>
          <cell r="P82">
            <v>8009</v>
          </cell>
          <cell r="T82">
            <v>14000</v>
          </cell>
          <cell r="U82">
            <v>11282</v>
          </cell>
        </row>
        <row r="83">
          <cell r="C83">
            <v>2201</v>
          </cell>
          <cell r="D83" t="str">
            <v>精英副本</v>
          </cell>
          <cell r="E83">
            <v>1019</v>
          </cell>
          <cell r="F83" t="str">
            <v>和谈</v>
          </cell>
          <cell r="G83" t="str">
            <v>以武服人</v>
          </cell>
          <cell r="H83">
            <v>1</v>
          </cell>
          <cell r="I83">
            <v>1</v>
          </cell>
          <cell r="J83" t="str">
            <v>打怪</v>
          </cell>
          <cell r="K83">
            <v>2</v>
          </cell>
          <cell r="L83"/>
          <cell r="M83">
            <v>211004</v>
          </cell>
          <cell r="N83">
            <v>13</v>
          </cell>
          <cell r="O83">
            <v>0</v>
          </cell>
          <cell r="P83">
            <v>1201</v>
          </cell>
          <cell r="T83">
            <v>1000</v>
          </cell>
          <cell r="U83">
            <v>804</v>
          </cell>
        </row>
        <row r="84">
          <cell r="C84">
            <v>3001</v>
          </cell>
          <cell r="D84" t="str">
            <v>狩猎巴闭</v>
          </cell>
          <cell r="E84">
            <v>1004</v>
          </cell>
          <cell r="F84" t="str">
            <v>必备之物</v>
          </cell>
          <cell r="G84" t="str">
            <v>习得技能</v>
          </cell>
          <cell r="H84">
            <v>1</v>
          </cell>
          <cell r="I84">
            <v>1</v>
          </cell>
          <cell r="J84" t="str">
            <v>打怪</v>
          </cell>
          <cell r="K84">
            <v>2</v>
          </cell>
          <cell r="L84"/>
          <cell r="M84">
            <v>111104</v>
          </cell>
          <cell r="N84">
            <v>2</v>
          </cell>
          <cell r="O84">
            <v>0</v>
          </cell>
          <cell r="P84">
            <v>1001</v>
          </cell>
          <cell r="T84">
            <v>124</v>
          </cell>
          <cell r="U84">
            <v>324</v>
          </cell>
        </row>
        <row r="85">
          <cell r="C85">
            <v>3003</v>
          </cell>
          <cell r="D85" t="str">
            <v>实力检测</v>
          </cell>
          <cell r="E85">
            <v>1028</v>
          </cell>
          <cell r="F85" t="str">
            <v>蒋生遭袭</v>
          </cell>
          <cell r="G85" t="str">
            <v>护卫蒋生</v>
          </cell>
          <cell r="H85">
            <v>1</v>
          </cell>
          <cell r="I85">
            <v>1</v>
          </cell>
          <cell r="J85" t="str">
            <v>对话</v>
          </cell>
          <cell r="K85">
            <v>1</v>
          </cell>
          <cell r="L85"/>
          <cell r="M85">
            <v>0</v>
          </cell>
          <cell r="N85">
            <v>22</v>
          </cell>
          <cell r="O85" t="str">
            <v/>
          </cell>
          <cell r="P85" t="str">
            <v/>
          </cell>
          <cell r="T85">
            <v>1000</v>
          </cell>
          <cell r="U85">
            <v>1164</v>
          </cell>
        </row>
        <row r="86">
          <cell r="C86">
            <v>9999</v>
          </cell>
          <cell r="D86" t="str">
            <v>最后主线</v>
          </cell>
          <cell r="E86">
            <v>1081</v>
          </cell>
          <cell r="F86" t="e">
            <v>#N/A</v>
          </cell>
          <cell r="G86" t="str">
            <v>血战宝岛</v>
          </cell>
          <cell r="H86">
            <v>1</v>
          </cell>
          <cell r="I86">
            <v>1</v>
          </cell>
          <cell r="J86" t="str">
            <v>对话</v>
          </cell>
          <cell r="K86">
            <v>1</v>
          </cell>
          <cell r="L86"/>
          <cell r="M86">
            <v>0</v>
          </cell>
          <cell r="N86">
            <v>74</v>
          </cell>
          <cell r="O86" t="str">
            <v/>
          </cell>
          <cell r="P86" t="str">
            <v/>
          </cell>
          <cell r="T86">
            <v>15000</v>
          </cell>
          <cell r="U86">
            <v>11532</v>
          </cell>
        </row>
        <row r="87">
          <cell r="C87">
            <v>3004</v>
          </cell>
          <cell r="D87" t="str">
            <v>联络蒋生</v>
          </cell>
          <cell r="E87">
            <v>1016</v>
          </cell>
          <cell r="F87" t="str">
            <v>蒋生遇雷功</v>
          </cell>
          <cell r="G87" t="str">
            <v>阴云密布</v>
          </cell>
          <cell r="H87">
            <v>1</v>
          </cell>
          <cell r="I87">
            <v>1</v>
          </cell>
          <cell r="J87" t="str">
            <v>对话</v>
          </cell>
          <cell r="K87">
            <v>1</v>
          </cell>
          <cell r="M87">
            <v>0</v>
          </cell>
          <cell r="N87">
            <v>13</v>
          </cell>
          <cell r="O87" t="str">
            <v/>
          </cell>
          <cell r="T87">
            <v>694</v>
          </cell>
          <cell r="U87">
            <v>480</v>
          </cell>
        </row>
        <row r="88">
          <cell r="C88">
            <v>3005</v>
          </cell>
          <cell r="D88" t="str">
            <v>正面交锋</v>
          </cell>
          <cell r="E88">
            <v>1064</v>
          </cell>
          <cell r="F88" t="str">
            <v>愈战愈勇</v>
          </cell>
          <cell r="G88" t="str">
            <v>讨伐</v>
          </cell>
          <cell r="H88">
            <v>1</v>
          </cell>
          <cell r="I88">
            <v>1</v>
          </cell>
          <cell r="J88" t="str">
            <v>打怪</v>
          </cell>
          <cell r="K88">
            <v>2</v>
          </cell>
          <cell r="M88">
            <v>167104</v>
          </cell>
          <cell r="N88">
            <v>53</v>
          </cell>
          <cell r="O88">
            <v>0</v>
          </cell>
          <cell r="P88">
            <v>6007</v>
          </cell>
          <cell r="T88">
            <v>3700</v>
          </cell>
          <cell r="U88">
            <v>5944</v>
          </cell>
        </row>
        <row r="89">
          <cell r="C89">
            <v>3006</v>
          </cell>
          <cell r="D89" t="str">
            <v>愈战愈勇</v>
          </cell>
          <cell r="E89">
            <v>3005</v>
          </cell>
          <cell r="F89" t="str">
            <v>恶战</v>
          </cell>
          <cell r="G89" t="str">
            <v>正面交锋</v>
          </cell>
          <cell r="H89">
            <v>1</v>
          </cell>
          <cell r="I89">
            <v>1</v>
          </cell>
          <cell r="J89" t="str">
            <v>打怪</v>
          </cell>
          <cell r="K89">
            <v>2</v>
          </cell>
          <cell r="M89">
            <v>168104</v>
          </cell>
          <cell r="N89">
            <v>54</v>
          </cell>
          <cell r="O89">
            <v>0</v>
          </cell>
          <cell r="P89">
            <v>6008</v>
          </cell>
          <cell r="T89">
            <v>3900</v>
          </cell>
          <cell r="U89">
            <v>6126</v>
          </cell>
        </row>
        <row r="90">
          <cell r="C90">
            <v>3007</v>
          </cell>
          <cell r="D90" t="str">
            <v>恶战</v>
          </cell>
          <cell r="E90">
            <v>3006</v>
          </cell>
          <cell r="F90" t="str">
            <v>僵局</v>
          </cell>
          <cell r="G90" t="str">
            <v>愈战愈勇</v>
          </cell>
          <cell r="H90">
            <v>1</v>
          </cell>
          <cell r="I90">
            <v>1</v>
          </cell>
          <cell r="J90" t="str">
            <v>打怪</v>
          </cell>
          <cell r="K90">
            <v>2</v>
          </cell>
          <cell r="M90">
            <v>169104</v>
          </cell>
          <cell r="N90">
            <v>55</v>
          </cell>
          <cell r="O90">
            <v>0</v>
          </cell>
          <cell r="P90">
            <v>6009</v>
          </cell>
          <cell r="T90">
            <v>4100</v>
          </cell>
          <cell r="U90">
            <v>6308</v>
          </cell>
        </row>
        <row r="91">
          <cell r="C91">
            <v>3008</v>
          </cell>
          <cell r="D91" t="str">
            <v>战况升级</v>
          </cell>
          <cell r="E91">
            <v>1073</v>
          </cell>
          <cell r="F91" t="str">
            <v>罪恶之巢</v>
          </cell>
          <cell r="G91" t="str">
            <v>破晓</v>
          </cell>
          <cell r="H91">
            <v>1</v>
          </cell>
          <cell r="I91">
            <v>1</v>
          </cell>
          <cell r="J91" t="str">
            <v>打怪</v>
          </cell>
          <cell r="K91">
            <v>2</v>
          </cell>
          <cell r="M91">
            <v>177104</v>
          </cell>
          <cell r="N91">
            <v>62</v>
          </cell>
          <cell r="O91">
            <v>0</v>
          </cell>
          <cell r="P91">
            <v>7007</v>
          </cell>
          <cell r="T91">
            <v>6900</v>
          </cell>
          <cell r="U91">
            <v>8294</v>
          </cell>
        </row>
        <row r="92">
          <cell r="C92">
            <v>3009</v>
          </cell>
          <cell r="D92" t="str">
            <v>罪恶之巢</v>
          </cell>
          <cell r="E92">
            <v>3008</v>
          </cell>
          <cell r="F92" t="str">
            <v>斩破黑暗</v>
          </cell>
          <cell r="G92" t="str">
            <v>战况升级</v>
          </cell>
          <cell r="H92">
            <v>1</v>
          </cell>
          <cell r="I92">
            <v>1</v>
          </cell>
          <cell r="J92" t="str">
            <v>打怪</v>
          </cell>
          <cell r="K92">
            <v>2</v>
          </cell>
          <cell r="M92">
            <v>178104</v>
          </cell>
          <cell r="N92">
            <v>63</v>
          </cell>
          <cell r="O92">
            <v>0</v>
          </cell>
          <cell r="P92">
            <v>7008</v>
          </cell>
          <cell r="T92">
            <v>7200</v>
          </cell>
          <cell r="U92">
            <v>8508</v>
          </cell>
        </row>
        <row r="93">
          <cell r="C93">
            <v>3010</v>
          </cell>
          <cell r="D93" t="str">
            <v>斩破黑暗</v>
          </cell>
          <cell r="E93">
            <v>3009</v>
          </cell>
          <cell r="F93" t="str">
            <v>再相会</v>
          </cell>
          <cell r="G93" t="str">
            <v>罪恶之巢</v>
          </cell>
          <cell r="H93">
            <v>1</v>
          </cell>
          <cell r="I93">
            <v>1</v>
          </cell>
          <cell r="J93" t="str">
            <v>打怪</v>
          </cell>
          <cell r="K93">
            <v>2</v>
          </cell>
          <cell r="M93">
            <v>179104</v>
          </cell>
          <cell r="N93">
            <v>64</v>
          </cell>
          <cell r="O93">
            <v>0</v>
          </cell>
          <cell r="P93">
            <v>7009</v>
          </cell>
          <cell r="T93">
            <v>7500</v>
          </cell>
          <cell r="U93">
            <v>8724</v>
          </cell>
        </row>
        <row r="94">
          <cell r="C94">
            <v>3011</v>
          </cell>
          <cell r="D94" t="str">
            <v>自甘堕落</v>
          </cell>
          <cell r="E94">
            <v>1076</v>
          </cell>
          <cell r="F94" t="str">
            <v>阴魂不散</v>
          </cell>
          <cell r="G94" t="str">
            <v>冤家路窄</v>
          </cell>
          <cell r="H94">
            <v>1</v>
          </cell>
          <cell r="I94">
            <v>1</v>
          </cell>
          <cell r="J94" t="str">
            <v>打怪</v>
          </cell>
          <cell r="K94">
            <v>2</v>
          </cell>
          <cell r="M94">
            <v>183104</v>
          </cell>
          <cell r="N94">
            <v>67</v>
          </cell>
          <cell r="O94">
            <v>0</v>
          </cell>
          <cell r="P94">
            <v>8003</v>
          </cell>
          <cell r="T94">
            <v>9500</v>
          </cell>
          <cell r="U94">
            <v>9616</v>
          </cell>
        </row>
        <row r="95">
          <cell r="C95">
            <v>3012</v>
          </cell>
          <cell r="D95" t="str">
            <v>阴魂不散</v>
          </cell>
          <cell r="E95">
            <v>3011</v>
          </cell>
          <cell r="F95" t="str">
            <v>意外强敌</v>
          </cell>
          <cell r="G95" t="str">
            <v>自甘堕落</v>
          </cell>
          <cell r="H95">
            <v>1</v>
          </cell>
          <cell r="I95">
            <v>1</v>
          </cell>
          <cell r="J95" t="str">
            <v>打怪</v>
          </cell>
          <cell r="K95">
            <v>2</v>
          </cell>
          <cell r="M95">
            <v>184104</v>
          </cell>
          <cell r="N95">
            <v>68</v>
          </cell>
          <cell r="O95">
            <v>0</v>
          </cell>
          <cell r="P95">
            <v>8004</v>
          </cell>
          <cell r="T95">
            <v>10000</v>
          </cell>
          <cell r="U95">
            <v>9846</v>
          </cell>
        </row>
        <row r="96">
          <cell r="C96">
            <v>3013</v>
          </cell>
          <cell r="D96" t="str">
            <v>意外强敌</v>
          </cell>
          <cell r="E96">
            <v>3012</v>
          </cell>
          <cell r="F96" t="str">
            <v>强敌涌现</v>
          </cell>
          <cell r="G96" t="str">
            <v>阴魂不散</v>
          </cell>
          <cell r="H96">
            <v>1</v>
          </cell>
          <cell r="I96">
            <v>1</v>
          </cell>
          <cell r="J96" t="str">
            <v>打怪</v>
          </cell>
          <cell r="K96">
            <v>2</v>
          </cell>
          <cell r="M96">
            <v>185104</v>
          </cell>
          <cell r="N96">
            <v>69</v>
          </cell>
          <cell r="O96">
            <v>0</v>
          </cell>
          <cell r="P96">
            <v>8005</v>
          </cell>
          <cell r="T96">
            <v>10500</v>
          </cell>
          <cell r="U96">
            <v>10078</v>
          </cell>
        </row>
        <row r="97">
          <cell r="C97">
            <v>10001</v>
          </cell>
          <cell r="D97" t="str">
            <v>精英巴闭</v>
          </cell>
          <cell r="E97">
            <v>1019</v>
          </cell>
          <cell r="F97" t="str">
            <v>精英大傻保镖</v>
          </cell>
          <cell r="G97" t="str">
            <v>以武服人</v>
          </cell>
          <cell r="H97">
            <v>2</v>
          </cell>
          <cell r="I97">
            <v>1</v>
          </cell>
          <cell r="J97" t="str">
            <v>打怪</v>
          </cell>
          <cell r="K97">
            <v>2</v>
          </cell>
          <cell r="L97"/>
          <cell r="M97">
            <v>501201</v>
          </cell>
          <cell r="N97">
            <v>13</v>
          </cell>
          <cell r="O97">
            <v>0</v>
          </cell>
          <cell r="P97">
            <v>1201</v>
          </cell>
          <cell r="T97">
            <v>1000</v>
          </cell>
          <cell r="U97">
            <v>1100</v>
          </cell>
        </row>
        <row r="98">
          <cell r="C98">
            <v>10002</v>
          </cell>
          <cell r="D98" t="str">
            <v>精英大傻保镖</v>
          </cell>
          <cell r="E98">
            <v>10001</v>
          </cell>
          <cell r="F98" t="str">
            <v>精英偷车贼</v>
          </cell>
          <cell r="G98" t="str">
            <v>精英巴闭</v>
          </cell>
          <cell r="H98">
            <v>2</v>
          </cell>
          <cell r="I98">
            <v>1</v>
          </cell>
          <cell r="J98" t="str">
            <v>打怪</v>
          </cell>
          <cell r="K98">
            <v>2</v>
          </cell>
          <cell r="L98"/>
          <cell r="M98">
            <v>501202</v>
          </cell>
          <cell r="N98">
            <v>14</v>
          </cell>
          <cell r="O98">
            <v>0</v>
          </cell>
          <cell r="P98">
            <v>1202</v>
          </cell>
          <cell r="T98">
            <v>1100</v>
          </cell>
          <cell r="U98">
            <v>1124</v>
          </cell>
        </row>
        <row r="99">
          <cell r="C99">
            <v>10003</v>
          </cell>
          <cell r="D99" t="str">
            <v>精英偷车贼</v>
          </cell>
          <cell r="E99">
            <v>10002</v>
          </cell>
          <cell r="F99" t="str">
            <v>精英丧彪手下</v>
          </cell>
          <cell r="G99" t="str">
            <v>精英大傻保镖</v>
          </cell>
          <cell r="H99">
            <v>2</v>
          </cell>
          <cell r="I99">
            <v>1</v>
          </cell>
          <cell r="J99" t="str">
            <v>打怪</v>
          </cell>
          <cell r="K99">
            <v>2</v>
          </cell>
          <cell r="L99"/>
          <cell r="M99">
            <v>501203</v>
          </cell>
          <cell r="N99">
            <v>15</v>
          </cell>
          <cell r="O99">
            <v>0</v>
          </cell>
          <cell r="P99">
            <v>1203</v>
          </cell>
          <cell r="T99">
            <v>1200</v>
          </cell>
          <cell r="U99">
            <v>1148</v>
          </cell>
        </row>
        <row r="100">
          <cell r="C100">
            <v>10004</v>
          </cell>
          <cell r="D100" t="str">
            <v>精英丧彪手下</v>
          </cell>
          <cell r="E100">
            <v>10003</v>
          </cell>
          <cell r="F100" t="str">
            <v>精英丧彪</v>
          </cell>
          <cell r="G100" t="str">
            <v>精英偷车贼</v>
          </cell>
          <cell r="H100">
            <v>2</v>
          </cell>
          <cell r="I100">
            <v>1</v>
          </cell>
          <cell r="J100" t="str">
            <v>打怪</v>
          </cell>
          <cell r="K100">
            <v>2</v>
          </cell>
          <cell r="L100"/>
          <cell r="M100">
            <v>501204</v>
          </cell>
          <cell r="N100">
            <v>16</v>
          </cell>
          <cell r="O100">
            <v>0</v>
          </cell>
          <cell r="P100">
            <v>1204</v>
          </cell>
          <cell r="T100">
            <v>1300</v>
          </cell>
          <cell r="U100">
            <v>1172</v>
          </cell>
        </row>
        <row r="101">
          <cell r="C101">
            <v>10005</v>
          </cell>
          <cell r="D101" t="str">
            <v>精英丧彪</v>
          </cell>
          <cell r="E101">
            <v>10004</v>
          </cell>
          <cell r="F101" t="str">
            <v>精英拦截者</v>
          </cell>
          <cell r="G101" t="str">
            <v>精英丧彪手下</v>
          </cell>
          <cell r="H101">
            <v>2</v>
          </cell>
          <cell r="I101">
            <v>1</v>
          </cell>
          <cell r="J101" t="str">
            <v>打怪</v>
          </cell>
          <cell r="K101">
            <v>2</v>
          </cell>
          <cell r="L101"/>
          <cell r="M101">
            <v>501205</v>
          </cell>
          <cell r="N101">
            <v>17</v>
          </cell>
          <cell r="O101">
            <v>0</v>
          </cell>
          <cell r="P101">
            <v>1205</v>
          </cell>
          <cell r="T101">
            <v>1400</v>
          </cell>
          <cell r="U101">
            <v>1196</v>
          </cell>
        </row>
        <row r="102">
          <cell r="C102">
            <v>10006</v>
          </cell>
          <cell r="D102" t="str">
            <v>精英拦截者</v>
          </cell>
          <cell r="E102">
            <v>10005</v>
          </cell>
          <cell r="F102" t="str">
            <v>精英靓坤手下</v>
          </cell>
          <cell r="G102" t="str">
            <v>精英丧彪</v>
          </cell>
          <cell r="H102">
            <v>2</v>
          </cell>
          <cell r="I102">
            <v>1</v>
          </cell>
          <cell r="J102" t="str">
            <v>打怪</v>
          </cell>
          <cell r="K102">
            <v>2</v>
          </cell>
          <cell r="L102"/>
          <cell r="M102">
            <v>501206</v>
          </cell>
          <cell r="N102">
            <v>18</v>
          </cell>
          <cell r="O102">
            <v>0</v>
          </cell>
          <cell r="P102">
            <v>1206</v>
          </cell>
          <cell r="T102">
            <v>1500</v>
          </cell>
          <cell r="U102">
            <v>1220</v>
          </cell>
        </row>
        <row r="103">
          <cell r="C103">
            <v>10007</v>
          </cell>
          <cell r="D103" t="str">
            <v>精英靓坤手下</v>
          </cell>
          <cell r="E103">
            <v>10006</v>
          </cell>
          <cell r="F103" t="str">
            <v>精英阿强</v>
          </cell>
          <cell r="G103" t="str">
            <v>精英拦截者</v>
          </cell>
          <cell r="H103">
            <v>2</v>
          </cell>
          <cell r="I103">
            <v>1</v>
          </cell>
          <cell r="J103" t="str">
            <v>打怪</v>
          </cell>
          <cell r="K103">
            <v>2</v>
          </cell>
          <cell r="L103"/>
          <cell r="M103">
            <v>501207</v>
          </cell>
          <cell r="N103">
            <v>19</v>
          </cell>
          <cell r="O103">
            <v>0</v>
          </cell>
          <cell r="P103">
            <v>1207</v>
          </cell>
          <cell r="T103">
            <v>1600</v>
          </cell>
          <cell r="U103">
            <v>1244</v>
          </cell>
        </row>
        <row r="104">
          <cell r="C104">
            <v>10008</v>
          </cell>
          <cell r="D104" t="str">
            <v>精英阿强</v>
          </cell>
          <cell r="E104">
            <v>10007</v>
          </cell>
          <cell r="F104" t="str">
            <v>精英靓坤</v>
          </cell>
          <cell r="G104" t="str">
            <v>精英靓坤手下</v>
          </cell>
          <cell r="H104">
            <v>2</v>
          </cell>
          <cell r="I104">
            <v>1</v>
          </cell>
          <cell r="J104" t="str">
            <v>打怪</v>
          </cell>
          <cell r="K104">
            <v>2</v>
          </cell>
          <cell r="L104"/>
          <cell r="M104">
            <v>501208</v>
          </cell>
          <cell r="N104">
            <v>20</v>
          </cell>
          <cell r="O104">
            <v>0</v>
          </cell>
          <cell r="P104">
            <v>1208</v>
          </cell>
          <cell r="T104">
            <v>1700</v>
          </cell>
          <cell r="U104">
            <v>1268</v>
          </cell>
        </row>
        <row r="105">
          <cell r="C105">
            <v>10009</v>
          </cell>
          <cell r="D105" t="str">
            <v>精英靓坤</v>
          </cell>
          <cell r="E105">
            <v>10008</v>
          </cell>
          <cell r="F105" t="str">
            <v>精英议员保镖</v>
          </cell>
          <cell r="G105" t="str">
            <v>精英阿强</v>
          </cell>
          <cell r="H105">
            <v>2</v>
          </cell>
          <cell r="I105">
            <v>1</v>
          </cell>
          <cell r="J105" t="str">
            <v>打怪</v>
          </cell>
          <cell r="K105">
            <v>2</v>
          </cell>
          <cell r="L105"/>
          <cell r="M105">
            <v>501209</v>
          </cell>
          <cell r="N105">
            <v>21</v>
          </cell>
          <cell r="O105">
            <v>0</v>
          </cell>
          <cell r="P105">
            <v>1209</v>
          </cell>
          <cell r="T105">
            <v>1800</v>
          </cell>
          <cell r="U105">
            <v>1292</v>
          </cell>
        </row>
        <row r="106">
          <cell r="C106">
            <v>10010</v>
          </cell>
          <cell r="D106" t="str">
            <v>精英议员保镖</v>
          </cell>
          <cell r="E106">
            <v>10009</v>
          </cell>
          <cell r="F106" t="str">
            <v>精英张议员</v>
          </cell>
          <cell r="G106" t="str">
            <v>精英靓坤</v>
          </cell>
          <cell r="H106">
            <v>2</v>
          </cell>
          <cell r="I106">
            <v>1</v>
          </cell>
          <cell r="J106" t="str">
            <v>打怪</v>
          </cell>
          <cell r="K106">
            <v>2</v>
          </cell>
          <cell r="L106"/>
          <cell r="M106">
            <v>502201</v>
          </cell>
          <cell r="N106">
            <v>22</v>
          </cell>
          <cell r="O106">
            <v>0</v>
          </cell>
          <cell r="P106">
            <v>2201</v>
          </cell>
          <cell r="T106">
            <v>1800</v>
          </cell>
          <cell r="U106">
            <v>1316</v>
          </cell>
        </row>
        <row r="107">
          <cell r="C107">
            <v>10011</v>
          </cell>
          <cell r="D107" t="str">
            <v>精英张议员</v>
          </cell>
          <cell r="E107">
            <v>10010</v>
          </cell>
          <cell r="F107" t="str">
            <v>精英枪手</v>
          </cell>
          <cell r="G107" t="str">
            <v>精英议员保镖</v>
          </cell>
          <cell r="H107">
            <v>2</v>
          </cell>
          <cell r="I107">
            <v>1</v>
          </cell>
          <cell r="J107" t="str">
            <v>打怪</v>
          </cell>
          <cell r="K107">
            <v>2</v>
          </cell>
          <cell r="L107"/>
          <cell r="M107">
            <v>502202</v>
          </cell>
          <cell r="N107">
            <v>23</v>
          </cell>
          <cell r="O107">
            <v>0</v>
          </cell>
          <cell r="P107">
            <v>2202</v>
          </cell>
          <cell r="T107">
            <v>1800</v>
          </cell>
          <cell r="U107">
            <v>1340</v>
          </cell>
        </row>
        <row r="108">
          <cell r="C108">
            <v>10012</v>
          </cell>
          <cell r="D108" t="str">
            <v>精英枪手</v>
          </cell>
          <cell r="E108">
            <v>10011</v>
          </cell>
          <cell r="F108" t="str">
            <v>精英大飞手下</v>
          </cell>
          <cell r="G108" t="str">
            <v>精英张议员</v>
          </cell>
          <cell r="H108">
            <v>2</v>
          </cell>
          <cell r="I108">
            <v>1</v>
          </cell>
          <cell r="J108" t="str">
            <v>打怪</v>
          </cell>
          <cell r="K108">
            <v>2</v>
          </cell>
          <cell r="L108"/>
          <cell r="M108">
            <v>502203</v>
          </cell>
          <cell r="N108">
            <v>24</v>
          </cell>
          <cell r="O108">
            <v>0</v>
          </cell>
          <cell r="P108">
            <v>2203</v>
          </cell>
          <cell r="T108">
            <v>1800</v>
          </cell>
          <cell r="U108">
            <v>1364</v>
          </cell>
        </row>
        <row r="109">
          <cell r="C109">
            <v>10013</v>
          </cell>
          <cell r="D109" t="str">
            <v>精英大飞手下</v>
          </cell>
          <cell r="E109">
            <v>10012</v>
          </cell>
          <cell r="F109" t="str">
            <v>精英大飞弟子</v>
          </cell>
          <cell r="G109" t="str">
            <v>精英枪手</v>
          </cell>
          <cell r="H109">
            <v>2</v>
          </cell>
          <cell r="I109">
            <v>1</v>
          </cell>
          <cell r="J109" t="str">
            <v>打怪</v>
          </cell>
          <cell r="K109">
            <v>2</v>
          </cell>
          <cell r="L109"/>
          <cell r="M109">
            <v>502204</v>
          </cell>
          <cell r="N109">
            <v>25</v>
          </cell>
          <cell r="O109">
            <v>0</v>
          </cell>
          <cell r="P109">
            <v>2204</v>
          </cell>
          <cell r="T109">
            <v>1800</v>
          </cell>
          <cell r="U109">
            <v>1388</v>
          </cell>
        </row>
        <row r="110">
          <cell r="C110">
            <v>10014</v>
          </cell>
          <cell r="D110" t="str">
            <v>精英大飞弟子</v>
          </cell>
          <cell r="E110">
            <v>10013</v>
          </cell>
          <cell r="F110" t="str">
            <v>精英追踪者</v>
          </cell>
          <cell r="G110" t="str">
            <v>精英大飞手下</v>
          </cell>
          <cell r="H110">
            <v>2</v>
          </cell>
          <cell r="I110">
            <v>1</v>
          </cell>
          <cell r="J110" t="str">
            <v>打怪</v>
          </cell>
          <cell r="K110">
            <v>2</v>
          </cell>
          <cell r="L110"/>
          <cell r="M110">
            <v>502205</v>
          </cell>
          <cell r="N110">
            <v>26</v>
          </cell>
          <cell r="O110">
            <v>0</v>
          </cell>
          <cell r="P110">
            <v>2205</v>
          </cell>
          <cell r="T110">
            <v>1800</v>
          </cell>
          <cell r="U110">
            <v>1412</v>
          </cell>
        </row>
        <row r="111">
          <cell r="C111">
            <v>10015</v>
          </cell>
          <cell r="D111" t="str">
            <v>精英追踪者</v>
          </cell>
          <cell r="E111">
            <v>10014</v>
          </cell>
          <cell r="F111" t="str">
            <v>精英雷公保镖</v>
          </cell>
          <cell r="G111" t="str">
            <v>精英大飞弟子</v>
          </cell>
          <cell r="H111">
            <v>2</v>
          </cell>
          <cell r="I111">
            <v>1</v>
          </cell>
          <cell r="J111" t="str">
            <v>打怪</v>
          </cell>
          <cell r="K111">
            <v>2</v>
          </cell>
          <cell r="L111"/>
          <cell r="M111">
            <v>502206</v>
          </cell>
          <cell r="N111">
            <v>27</v>
          </cell>
          <cell r="O111">
            <v>0</v>
          </cell>
          <cell r="P111">
            <v>2206</v>
          </cell>
          <cell r="T111">
            <v>1800</v>
          </cell>
          <cell r="U111">
            <v>1436</v>
          </cell>
        </row>
        <row r="112">
          <cell r="C112">
            <v>10016</v>
          </cell>
          <cell r="D112" t="str">
            <v>精英雷公保镖</v>
          </cell>
          <cell r="E112">
            <v>10015</v>
          </cell>
          <cell r="F112" t="str">
            <v>精英赌场警卫</v>
          </cell>
          <cell r="G112" t="str">
            <v>精英追踪者</v>
          </cell>
          <cell r="H112">
            <v>2</v>
          </cell>
          <cell r="I112">
            <v>1</v>
          </cell>
          <cell r="J112" t="str">
            <v>打怪</v>
          </cell>
          <cell r="K112">
            <v>2</v>
          </cell>
          <cell r="L112"/>
          <cell r="M112">
            <v>502207</v>
          </cell>
          <cell r="N112">
            <v>28</v>
          </cell>
          <cell r="O112">
            <v>0</v>
          </cell>
          <cell r="P112">
            <v>2207</v>
          </cell>
          <cell r="T112">
            <v>1800</v>
          </cell>
          <cell r="U112">
            <v>1460</v>
          </cell>
        </row>
        <row r="113">
          <cell r="C113">
            <v>10017</v>
          </cell>
          <cell r="D113" t="str">
            <v>精英赌场警卫</v>
          </cell>
          <cell r="E113">
            <v>10016</v>
          </cell>
          <cell r="F113" t="str">
            <v>精英丁瑶护卫</v>
          </cell>
          <cell r="G113" t="str">
            <v>精英雷公保镖</v>
          </cell>
          <cell r="H113">
            <v>2</v>
          </cell>
          <cell r="I113">
            <v>1</v>
          </cell>
          <cell r="J113" t="str">
            <v>打怪</v>
          </cell>
          <cell r="K113">
            <v>2</v>
          </cell>
          <cell r="L113"/>
          <cell r="M113">
            <v>502208</v>
          </cell>
          <cell r="N113">
            <v>29</v>
          </cell>
          <cell r="O113">
            <v>0</v>
          </cell>
          <cell r="P113">
            <v>2208</v>
          </cell>
          <cell r="T113">
            <v>1800</v>
          </cell>
          <cell r="U113">
            <v>1484</v>
          </cell>
        </row>
        <row r="114">
          <cell r="C114">
            <v>10018</v>
          </cell>
          <cell r="D114" t="str">
            <v>精英丁瑶护卫</v>
          </cell>
          <cell r="E114">
            <v>10017</v>
          </cell>
          <cell r="F114" t="str">
            <v>精英乌鸦手下</v>
          </cell>
          <cell r="G114" t="str">
            <v>精英赌场警卫</v>
          </cell>
          <cell r="H114">
            <v>2</v>
          </cell>
          <cell r="I114">
            <v>1</v>
          </cell>
          <cell r="J114" t="str">
            <v>打怪</v>
          </cell>
          <cell r="K114">
            <v>2</v>
          </cell>
          <cell r="L114"/>
          <cell r="M114">
            <v>502209</v>
          </cell>
          <cell r="N114">
            <v>30</v>
          </cell>
          <cell r="O114">
            <v>0</v>
          </cell>
          <cell r="P114">
            <v>2209</v>
          </cell>
          <cell r="T114">
            <v>1800</v>
          </cell>
          <cell r="U114">
            <v>1508</v>
          </cell>
        </row>
        <row r="115">
          <cell r="C115">
            <v>10019</v>
          </cell>
          <cell r="D115" t="str">
            <v>精英乌鸦手下</v>
          </cell>
          <cell r="E115">
            <v>10018</v>
          </cell>
          <cell r="F115" t="str">
            <v>精英笑面虎</v>
          </cell>
          <cell r="G115" t="str">
            <v>精英丁瑶护卫</v>
          </cell>
          <cell r="H115">
            <v>2</v>
          </cell>
          <cell r="I115">
            <v>1</v>
          </cell>
          <cell r="J115" t="str">
            <v>打怪</v>
          </cell>
          <cell r="K115">
            <v>2</v>
          </cell>
          <cell r="L115"/>
          <cell r="M115">
            <v>503201</v>
          </cell>
          <cell r="N115">
            <v>31</v>
          </cell>
          <cell r="O115">
            <v>0</v>
          </cell>
          <cell r="P115">
            <v>3201</v>
          </cell>
          <cell r="T115">
            <v>1800</v>
          </cell>
          <cell r="U115">
            <v>1532</v>
          </cell>
        </row>
        <row r="116">
          <cell r="C116">
            <v>10020</v>
          </cell>
          <cell r="D116" t="str">
            <v>精英笑面虎</v>
          </cell>
          <cell r="E116">
            <v>10019</v>
          </cell>
          <cell r="F116" t="str">
            <v>精英东星杀手</v>
          </cell>
          <cell r="G116" t="str">
            <v>精英乌鸦手下</v>
          </cell>
          <cell r="H116">
            <v>2</v>
          </cell>
          <cell r="I116">
            <v>1</v>
          </cell>
          <cell r="J116" t="str">
            <v>打怪</v>
          </cell>
          <cell r="K116">
            <v>2</v>
          </cell>
          <cell r="L116"/>
          <cell r="M116">
            <v>503202</v>
          </cell>
          <cell r="N116">
            <v>32</v>
          </cell>
          <cell r="O116">
            <v>0</v>
          </cell>
          <cell r="P116">
            <v>3202</v>
          </cell>
          <cell r="T116">
            <v>1800</v>
          </cell>
          <cell r="U116">
            <v>1628</v>
          </cell>
        </row>
        <row r="117">
          <cell r="C117">
            <v>10021</v>
          </cell>
          <cell r="D117" t="str">
            <v>精英东星杀手</v>
          </cell>
          <cell r="E117">
            <v>10020</v>
          </cell>
          <cell r="F117" t="str">
            <v>精英赏金猎手</v>
          </cell>
          <cell r="G117" t="str">
            <v>精英笑面虎</v>
          </cell>
          <cell r="H117">
            <v>2</v>
          </cell>
          <cell r="I117">
            <v>1</v>
          </cell>
          <cell r="J117" t="str">
            <v>打怪</v>
          </cell>
          <cell r="K117">
            <v>2</v>
          </cell>
          <cell r="L117"/>
          <cell r="M117">
            <v>503203</v>
          </cell>
          <cell r="N117">
            <v>33</v>
          </cell>
          <cell r="O117">
            <v>0</v>
          </cell>
          <cell r="P117">
            <v>3203</v>
          </cell>
          <cell r="T117">
            <v>1875</v>
          </cell>
          <cell r="U117">
            <v>1740</v>
          </cell>
        </row>
        <row r="118">
          <cell r="C118">
            <v>10022</v>
          </cell>
          <cell r="D118" t="str">
            <v>精英赏金猎手</v>
          </cell>
          <cell r="E118">
            <v>10021</v>
          </cell>
          <cell r="F118" t="str">
            <v>精英追杀者</v>
          </cell>
          <cell r="G118" t="str">
            <v>精英东星杀手</v>
          </cell>
          <cell r="H118">
            <v>2</v>
          </cell>
          <cell r="I118">
            <v>1</v>
          </cell>
          <cell r="J118" t="str">
            <v>打怪</v>
          </cell>
          <cell r="K118">
            <v>2</v>
          </cell>
          <cell r="L118"/>
          <cell r="M118">
            <v>503204</v>
          </cell>
          <cell r="N118">
            <v>34</v>
          </cell>
          <cell r="O118">
            <v>0</v>
          </cell>
          <cell r="P118">
            <v>3204</v>
          </cell>
          <cell r="T118">
            <v>1875</v>
          </cell>
          <cell r="U118">
            <v>1856</v>
          </cell>
        </row>
        <row r="119">
          <cell r="C119">
            <v>10023</v>
          </cell>
          <cell r="D119" t="str">
            <v>精英追杀者</v>
          </cell>
          <cell r="E119">
            <v>10022</v>
          </cell>
          <cell r="F119" t="str">
            <v>精英弹药守卫</v>
          </cell>
          <cell r="G119" t="str">
            <v>精英赏金猎手</v>
          </cell>
          <cell r="H119">
            <v>2</v>
          </cell>
          <cell r="I119">
            <v>1</v>
          </cell>
          <cell r="J119" t="str">
            <v>打怪</v>
          </cell>
          <cell r="K119">
            <v>2</v>
          </cell>
          <cell r="L119"/>
          <cell r="M119">
            <v>503205</v>
          </cell>
          <cell r="N119">
            <v>35</v>
          </cell>
          <cell r="O119">
            <v>0</v>
          </cell>
          <cell r="P119">
            <v>3205</v>
          </cell>
          <cell r="T119">
            <v>1875</v>
          </cell>
          <cell r="U119">
            <v>1980</v>
          </cell>
        </row>
        <row r="120">
          <cell r="C120">
            <v>10024</v>
          </cell>
          <cell r="D120" t="str">
            <v>精英弹药守卫</v>
          </cell>
          <cell r="E120">
            <v>10023</v>
          </cell>
          <cell r="F120" t="str">
            <v>精英人质看守</v>
          </cell>
          <cell r="G120" t="str">
            <v>精英追杀者</v>
          </cell>
          <cell r="H120">
            <v>2</v>
          </cell>
          <cell r="I120">
            <v>1</v>
          </cell>
          <cell r="J120" t="str">
            <v>打怪</v>
          </cell>
          <cell r="K120">
            <v>2</v>
          </cell>
          <cell r="L120"/>
          <cell r="M120">
            <v>503206</v>
          </cell>
          <cell r="N120">
            <v>36</v>
          </cell>
          <cell r="O120">
            <v>0</v>
          </cell>
          <cell r="P120">
            <v>3206</v>
          </cell>
          <cell r="T120">
            <v>1875</v>
          </cell>
          <cell r="U120">
            <v>2108</v>
          </cell>
        </row>
        <row r="121">
          <cell r="C121">
            <v>10025</v>
          </cell>
          <cell r="D121" t="str">
            <v>精英人质看守</v>
          </cell>
          <cell r="E121">
            <v>10024</v>
          </cell>
          <cell r="F121" t="str">
            <v>精英乌鸦心腹</v>
          </cell>
          <cell r="G121" t="str">
            <v>精英弹药守卫</v>
          </cell>
          <cell r="H121">
            <v>2</v>
          </cell>
          <cell r="I121">
            <v>1</v>
          </cell>
          <cell r="J121" t="str">
            <v>打怪</v>
          </cell>
          <cell r="K121">
            <v>2</v>
          </cell>
          <cell r="L121"/>
          <cell r="M121">
            <v>503207</v>
          </cell>
          <cell r="N121">
            <v>37</v>
          </cell>
          <cell r="O121">
            <v>0</v>
          </cell>
          <cell r="P121">
            <v>3207</v>
          </cell>
          <cell r="T121">
            <v>1875</v>
          </cell>
          <cell r="U121">
            <v>2240</v>
          </cell>
        </row>
        <row r="122">
          <cell r="C122">
            <v>10026</v>
          </cell>
          <cell r="D122" t="str">
            <v>精英乌鸦心腹</v>
          </cell>
          <cell r="E122">
            <v>10025</v>
          </cell>
          <cell r="F122" t="str">
            <v>精英乌鸦</v>
          </cell>
          <cell r="G122" t="str">
            <v>精英人质看守</v>
          </cell>
          <cell r="H122">
            <v>2</v>
          </cell>
          <cell r="I122">
            <v>1</v>
          </cell>
          <cell r="J122" t="str">
            <v>打怪</v>
          </cell>
          <cell r="K122">
            <v>2</v>
          </cell>
          <cell r="L122"/>
          <cell r="M122">
            <v>503208</v>
          </cell>
          <cell r="N122">
            <v>38</v>
          </cell>
          <cell r="O122">
            <v>0</v>
          </cell>
          <cell r="P122">
            <v>3208</v>
          </cell>
          <cell r="T122">
            <v>1875</v>
          </cell>
          <cell r="U122">
            <v>2380</v>
          </cell>
        </row>
        <row r="123">
          <cell r="C123">
            <v>10027</v>
          </cell>
          <cell r="D123" t="str">
            <v>精英乌鸦</v>
          </cell>
          <cell r="E123">
            <v>10026</v>
          </cell>
          <cell r="F123" t="str">
            <v>精英袭击者</v>
          </cell>
          <cell r="G123" t="str">
            <v>精英乌鸦心腹</v>
          </cell>
          <cell r="H123">
            <v>2</v>
          </cell>
          <cell r="I123">
            <v>1</v>
          </cell>
          <cell r="J123" t="str">
            <v>打怪</v>
          </cell>
          <cell r="K123">
            <v>2</v>
          </cell>
          <cell r="L123"/>
          <cell r="M123">
            <v>503209</v>
          </cell>
          <cell r="N123">
            <v>39</v>
          </cell>
          <cell r="O123">
            <v>0</v>
          </cell>
          <cell r="P123">
            <v>3209</v>
          </cell>
          <cell r="T123">
            <v>1875</v>
          </cell>
          <cell r="U123">
            <v>2524</v>
          </cell>
        </row>
        <row r="124">
          <cell r="C124">
            <v>10028</v>
          </cell>
          <cell r="D124" t="str">
            <v>精英袭击者</v>
          </cell>
          <cell r="E124">
            <v>10027</v>
          </cell>
          <cell r="F124" t="str">
            <v>精英生番手下</v>
          </cell>
          <cell r="G124" t="str">
            <v>精英乌鸦</v>
          </cell>
          <cell r="H124">
            <v>2</v>
          </cell>
          <cell r="I124">
            <v>1</v>
          </cell>
          <cell r="J124" t="str">
            <v>打怪</v>
          </cell>
          <cell r="K124">
            <v>2</v>
          </cell>
          <cell r="L124"/>
          <cell r="M124">
            <v>504201</v>
          </cell>
          <cell r="N124">
            <v>40</v>
          </cell>
          <cell r="O124">
            <v>0</v>
          </cell>
          <cell r="P124">
            <v>4201</v>
          </cell>
          <cell r="T124">
            <v>1875</v>
          </cell>
          <cell r="U124">
            <v>2672</v>
          </cell>
        </row>
        <row r="125">
          <cell r="C125">
            <v>10029</v>
          </cell>
          <cell r="D125" t="str">
            <v>精英生番手下</v>
          </cell>
          <cell r="E125">
            <v>10028</v>
          </cell>
          <cell r="F125" t="str">
            <v>精英混混头目</v>
          </cell>
          <cell r="G125" t="str">
            <v>精英袭击者</v>
          </cell>
          <cell r="H125">
            <v>2</v>
          </cell>
          <cell r="I125">
            <v>1</v>
          </cell>
          <cell r="J125" t="str">
            <v>打怪</v>
          </cell>
          <cell r="K125">
            <v>2</v>
          </cell>
          <cell r="L125"/>
          <cell r="M125">
            <v>504202</v>
          </cell>
          <cell r="N125">
            <v>41</v>
          </cell>
          <cell r="O125">
            <v>0</v>
          </cell>
          <cell r="P125">
            <v>4202</v>
          </cell>
          <cell r="T125">
            <v>1875</v>
          </cell>
          <cell r="U125">
            <v>2828</v>
          </cell>
        </row>
        <row r="126">
          <cell r="C126">
            <v>10030</v>
          </cell>
          <cell r="D126" t="str">
            <v>精英混混头目</v>
          </cell>
          <cell r="E126">
            <v>10029</v>
          </cell>
          <cell r="F126" t="str">
            <v>精英黑星</v>
          </cell>
          <cell r="G126" t="str">
            <v>精英生番手下</v>
          </cell>
          <cell r="H126">
            <v>2</v>
          </cell>
          <cell r="I126">
            <v>1</v>
          </cell>
          <cell r="J126" t="str">
            <v>打怪</v>
          </cell>
          <cell r="K126">
            <v>2</v>
          </cell>
          <cell r="L126"/>
          <cell r="M126">
            <v>504203</v>
          </cell>
          <cell r="N126">
            <v>42</v>
          </cell>
          <cell r="O126">
            <v>0</v>
          </cell>
          <cell r="P126">
            <v>4203</v>
          </cell>
          <cell r="T126">
            <v>1875</v>
          </cell>
          <cell r="U126">
            <v>2988</v>
          </cell>
        </row>
        <row r="127">
          <cell r="C127">
            <v>10031</v>
          </cell>
          <cell r="D127" t="str">
            <v>精英黑星</v>
          </cell>
          <cell r="E127">
            <v>10030</v>
          </cell>
          <cell r="F127" t="str">
            <v>精英生番</v>
          </cell>
          <cell r="G127" t="str">
            <v>精英混混头目</v>
          </cell>
          <cell r="H127">
            <v>2</v>
          </cell>
          <cell r="I127">
            <v>1</v>
          </cell>
          <cell r="J127" t="str">
            <v>打怪</v>
          </cell>
          <cell r="K127">
            <v>2</v>
          </cell>
          <cell r="L127"/>
          <cell r="M127">
            <v>504204</v>
          </cell>
          <cell r="N127">
            <v>43</v>
          </cell>
          <cell r="O127">
            <v>0</v>
          </cell>
          <cell r="P127">
            <v>4204</v>
          </cell>
          <cell r="T127">
            <v>1950</v>
          </cell>
          <cell r="U127">
            <v>3152</v>
          </cell>
        </row>
        <row r="128">
          <cell r="C128">
            <v>10032</v>
          </cell>
          <cell r="D128" t="str">
            <v>精英生番</v>
          </cell>
          <cell r="E128">
            <v>10031</v>
          </cell>
          <cell r="F128" t="str">
            <v>精英毒贩头目</v>
          </cell>
          <cell r="G128" t="str">
            <v>精英黑星</v>
          </cell>
          <cell r="H128">
            <v>2</v>
          </cell>
          <cell r="I128">
            <v>1</v>
          </cell>
          <cell r="J128" t="str">
            <v>打怪</v>
          </cell>
          <cell r="K128">
            <v>2</v>
          </cell>
          <cell r="L128"/>
          <cell r="M128">
            <v>504205</v>
          </cell>
          <cell r="N128">
            <v>44</v>
          </cell>
          <cell r="O128">
            <v>0</v>
          </cell>
          <cell r="P128">
            <v>4205</v>
          </cell>
          <cell r="T128">
            <v>1950</v>
          </cell>
          <cell r="U128">
            <v>3324</v>
          </cell>
        </row>
        <row r="129">
          <cell r="C129">
            <v>10033</v>
          </cell>
          <cell r="D129" t="str">
            <v>精英毒贩头目</v>
          </cell>
          <cell r="E129">
            <v>10032</v>
          </cell>
          <cell r="F129" t="str">
            <v>精英耀阳手下</v>
          </cell>
          <cell r="G129" t="str">
            <v>精英生番</v>
          </cell>
          <cell r="H129">
            <v>2</v>
          </cell>
          <cell r="I129">
            <v>1</v>
          </cell>
          <cell r="J129" t="str">
            <v>打怪</v>
          </cell>
          <cell r="K129">
            <v>2</v>
          </cell>
          <cell r="L129"/>
          <cell r="M129">
            <v>504206</v>
          </cell>
          <cell r="N129">
            <v>45</v>
          </cell>
          <cell r="O129">
            <v>0</v>
          </cell>
          <cell r="P129">
            <v>4206</v>
          </cell>
          <cell r="T129">
            <v>1950</v>
          </cell>
          <cell r="U129">
            <v>3504</v>
          </cell>
        </row>
        <row r="130">
          <cell r="C130">
            <v>10034</v>
          </cell>
          <cell r="D130" t="str">
            <v>精英耀阳手下</v>
          </cell>
          <cell r="E130">
            <v>10033</v>
          </cell>
          <cell r="F130" t="str">
            <v>精英东星拳师</v>
          </cell>
          <cell r="G130" t="str">
            <v>精英毒贩头目</v>
          </cell>
          <cell r="H130">
            <v>2</v>
          </cell>
          <cell r="I130">
            <v>1</v>
          </cell>
          <cell r="J130" t="str">
            <v>打怪</v>
          </cell>
          <cell r="K130">
            <v>2</v>
          </cell>
          <cell r="L130"/>
          <cell r="M130">
            <v>504207</v>
          </cell>
          <cell r="N130">
            <v>46</v>
          </cell>
          <cell r="O130">
            <v>0</v>
          </cell>
          <cell r="P130">
            <v>4207</v>
          </cell>
          <cell r="T130">
            <v>1950</v>
          </cell>
          <cell r="U130">
            <v>3684</v>
          </cell>
        </row>
        <row r="131">
          <cell r="C131">
            <v>10035</v>
          </cell>
          <cell r="D131" t="str">
            <v>精英东星拳师</v>
          </cell>
          <cell r="E131">
            <v>10034</v>
          </cell>
          <cell r="F131" t="str">
            <v>精英耀阳</v>
          </cell>
          <cell r="G131" t="str">
            <v>精英耀阳手下</v>
          </cell>
          <cell r="H131">
            <v>2</v>
          </cell>
          <cell r="I131">
            <v>1</v>
          </cell>
          <cell r="J131" t="str">
            <v>打怪</v>
          </cell>
          <cell r="K131">
            <v>2</v>
          </cell>
          <cell r="L131"/>
          <cell r="M131">
            <v>504208</v>
          </cell>
          <cell r="N131">
            <v>47</v>
          </cell>
          <cell r="O131">
            <v>0</v>
          </cell>
          <cell r="P131">
            <v>4208</v>
          </cell>
          <cell r="T131">
            <v>2025</v>
          </cell>
          <cell r="U131">
            <v>3872</v>
          </cell>
        </row>
        <row r="132">
          <cell r="C132">
            <v>10036</v>
          </cell>
          <cell r="D132" t="str">
            <v>精英耀阳</v>
          </cell>
          <cell r="E132">
            <v>10035</v>
          </cell>
          <cell r="F132" t="str">
            <v>精英司徒手下</v>
          </cell>
          <cell r="G132" t="str">
            <v>精英东星拳师</v>
          </cell>
          <cell r="H132">
            <v>2</v>
          </cell>
          <cell r="I132">
            <v>1</v>
          </cell>
          <cell r="J132" t="str">
            <v>打怪</v>
          </cell>
          <cell r="K132">
            <v>2</v>
          </cell>
          <cell r="L132"/>
          <cell r="M132">
            <v>504209</v>
          </cell>
          <cell r="N132">
            <v>48</v>
          </cell>
          <cell r="O132">
            <v>0</v>
          </cell>
          <cell r="P132">
            <v>4209</v>
          </cell>
          <cell r="T132">
            <v>2100</v>
          </cell>
          <cell r="U132">
            <v>4064</v>
          </cell>
        </row>
        <row r="133">
          <cell r="C133">
            <v>10037</v>
          </cell>
          <cell r="D133" t="str">
            <v>精英司徒手下</v>
          </cell>
          <cell r="E133">
            <v>10036</v>
          </cell>
          <cell r="F133" t="str">
            <v>精英破坏分子</v>
          </cell>
          <cell r="G133" t="str">
            <v>精英耀阳</v>
          </cell>
          <cell r="H133">
            <v>2</v>
          </cell>
          <cell r="I133">
            <v>1</v>
          </cell>
          <cell r="J133" t="str">
            <v>打怪</v>
          </cell>
          <cell r="K133">
            <v>2</v>
          </cell>
          <cell r="L133"/>
          <cell r="M133">
            <v>505201</v>
          </cell>
          <cell r="N133">
            <v>49</v>
          </cell>
          <cell r="O133">
            <v>0</v>
          </cell>
          <cell r="P133">
            <v>5201</v>
          </cell>
          <cell r="T133">
            <v>2175</v>
          </cell>
          <cell r="U133">
            <v>4264</v>
          </cell>
        </row>
        <row r="134">
          <cell r="C134">
            <v>10038</v>
          </cell>
          <cell r="D134" t="str">
            <v>精英破坏分子</v>
          </cell>
          <cell r="E134">
            <v>10037</v>
          </cell>
          <cell r="F134" t="str">
            <v>精英地痞头目</v>
          </cell>
          <cell r="G134" t="str">
            <v>精英司徒手下</v>
          </cell>
          <cell r="H134">
            <v>2</v>
          </cell>
          <cell r="I134">
            <v>1</v>
          </cell>
          <cell r="J134" t="str">
            <v>打怪</v>
          </cell>
          <cell r="K134">
            <v>2</v>
          </cell>
          <cell r="L134"/>
          <cell r="M134">
            <v>505202</v>
          </cell>
          <cell r="N134">
            <v>50</v>
          </cell>
          <cell r="O134">
            <v>0</v>
          </cell>
          <cell r="P134">
            <v>5202</v>
          </cell>
          <cell r="T134">
            <v>2250</v>
          </cell>
          <cell r="U134">
            <v>4468</v>
          </cell>
        </row>
        <row r="135">
          <cell r="C135">
            <v>10039</v>
          </cell>
          <cell r="D135" t="str">
            <v>精英地痞头目</v>
          </cell>
          <cell r="E135">
            <v>10038</v>
          </cell>
          <cell r="F135" t="str">
            <v>精英外籍打手</v>
          </cell>
          <cell r="G135" t="str">
            <v>精英破坏分子</v>
          </cell>
          <cell r="H135">
            <v>2</v>
          </cell>
          <cell r="I135">
            <v>1</v>
          </cell>
          <cell r="J135" t="str">
            <v>打怪</v>
          </cell>
          <cell r="K135">
            <v>2</v>
          </cell>
          <cell r="L135"/>
          <cell r="M135">
            <v>505203</v>
          </cell>
          <cell r="N135">
            <v>51</v>
          </cell>
          <cell r="O135">
            <v>0</v>
          </cell>
          <cell r="P135">
            <v>5203</v>
          </cell>
          <cell r="T135">
            <v>2325</v>
          </cell>
          <cell r="U135">
            <v>4676</v>
          </cell>
        </row>
        <row r="136">
          <cell r="C136">
            <v>10040</v>
          </cell>
          <cell r="D136" t="str">
            <v>精英外籍打手</v>
          </cell>
          <cell r="E136">
            <v>10039</v>
          </cell>
          <cell r="F136" t="str">
            <v>精英长毛</v>
          </cell>
          <cell r="G136" t="str">
            <v>精英地痞头目</v>
          </cell>
          <cell r="H136">
            <v>2</v>
          </cell>
          <cell r="I136">
            <v>1</v>
          </cell>
          <cell r="J136" t="str">
            <v>打怪</v>
          </cell>
          <cell r="K136">
            <v>2</v>
          </cell>
          <cell r="L136"/>
          <cell r="M136">
            <v>505204</v>
          </cell>
          <cell r="N136">
            <v>52</v>
          </cell>
          <cell r="O136">
            <v>0</v>
          </cell>
          <cell r="P136">
            <v>5204</v>
          </cell>
          <cell r="T136">
            <v>2400</v>
          </cell>
          <cell r="U136">
            <v>4892</v>
          </cell>
        </row>
        <row r="137">
          <cell r="C137">
            <v>10041</v>
          </cell>
          <cell r="D137" t="str">
            <v>精英长毛</v>
          </cell>
          <cell r="E137">
            <v>10040</v>
          </cell>
          <cell r="F137" t="str">
            <v>精英大头仔</v>
          </cell>
          <cell r="G137" t="str">
            <v>精英外籍打手</v>
          </cell>
          <cell r="H137">
            <v>2</v>
          </cell>
          <cell r="I137">
            <v>1</v>
          </cell>
          <cell r="J137" t="str">
            <v>打怪</v>
          </cell>
          <cell r="K137">
            <v>2</v>
          </cell>
          <cell r="L137"/>
          <cell r="M137">
            <v>505205</v>
          </cell>
          <cell r="N137">
            <v>53</v>
          </cell>
          <cell r="O137">
            <v>0</v>
          </cell>
          <cell r="P137">
            <v>5205</v>
          </cell>
          <cell r="T137">
            <v>2550</v>
          </cell>
          <cell r="U137">
            <v>5112</v>
          </cell>
        </row>
        <row r="138">
          <cell r="C138">
            <v>10042</v>
          </cell>
          <cell r="D138" t="str">
            <v>精英大头仔</v>
          </cell>
          <cell r="E138">
            <v>10041</v>
          </cell>
          <cell r="F138" t="str">
            <v>精英阿勇</v>
          </cell>
          <cell r="G138" t="str">
            <v>精英长毛</v>
          </cell>
          <cell r="H138">
            <v>2</v>
          </cell>
          <cell r="I138">
            <v>1</v>
          </cell>
          <cell r="J138" t="str">
            <v>打怪</v>
          </cell>
          <cell r="K138">
            <v>2</v>
          </cell>
          <cell r="L138"/>
          <cell r="M138">
            <v>505206</v>
          </cell>
          <cell r="N138">
            <v>54</v>
          </cell>
          <cell r="O138">
            <v>0</v>
          </cell>
          <cell r="P138">
            <v>5206</v>
          </cell>
          <cell r="T138">
            <v>2700</v>
          </cell>
          <cell r="U138">
            <v>5340</v>
          </cell>
        </row>
        <row r="139">
          <cell r="C139">
            <v>10043</v>
          </cell>
          <cell r="D139" t="str">
            <v>精英阿勇</v>
          </cell>
          <cell r="E139">
            <v>10042</v>
          </cell>
          <cell r="F139" t="str">
            <v>精英非法裁判</v>
          </cell>
          <cell r="G139" t="str">
            <v>精英大头仔</v>
          </cell>
          <cell r="H139">
            <v>2</v>
          </cell>
          <cell r="I139">
            <v>1</v>
          </cell>
          <cell r="J139" t="str">
            <v>打怪</v>
          </cell>
          <cell r="K139">
            <v>2</v>
          </cell>
          <cell r="L139"/>
          <cell r="M139">
            <v>505207</v>
          </cell>
          <cell r="N139">
            <v>55</v>
          </cell>
          <cell r="O139">
            <v>0</v>
          </cell>
          <cell r="P139">
            <v>5207</v>
          </cell>
          <cell r="T139">
            <v>2850</v>
          </cell>
          <cell r="U139">
            <v>5568</v>
          </cell>
        </row>
        <row r="140">
          <cell r="C140">
            <v>10044</v>
          </cell>
          <cell r="D140" t="str">
            <v>精英非法裁判</v>
          </cell>
          <cell r="E140">
            <v>10043</v>
          </cell>
          <cell r="F140" t="str">
            <v>精英司徒浩南</v>
          </cell>
          <cell r="G140" t="str">
            <v>精英阿勇</v>
          </cell>
          <cell r="H140">
            <v>2</v>
          </cell>
          <cell r="I140">
            <v>1</v>
          </cell>
          <cell r="J140" t="str">
            <v>打怪</v>
          </cell>
          <cell r="K140">
            <v>2</v>
          </cell>
          <cell r="L140"/>
          <cell r="M140">
            <v>505208</v>
          </cell>
          <cell r="N140">
            <v>56</v>
          </cell>
          <cell r="O140">
            <v>0</v>
          </cell>
          <cell r="P140">
            <v>5208</v>
          </cell>
          <cell r="T140">
            <v>3000</v>
          </cell>
          <cell r="U140">
            <v>5804</v>
          </cell>
        </row>
        <row r="141">
          <cell r="C141">
            <v>10045</v>
          </cell>
          <cell r="D141" t="str">
            <v>精英司徒浩南</v>
          </cell>
          <cell r="E141">
            <v>10044</v>
          </cell>
          <cell r="F141" t="str">
            <v>精英鬼冢</v>
          </cell>
          <cell r="G141" t="str">
            <v>精英非法裁判</v>
          </cell>
          <cell r="H141">
            <v>2</v>
          </cell>
          <cell r="I141">
            <v>1</v>
          </cell>
          <cell r="J141" t="str">
            <v>打怪</v>
          </cell>
          <cell r="K141">
            <v>2</v>
          </cell>
          <cell r="L141"/>
          <cell r="M141">
            <v>505209</v>
          </cell>
          <cell r="N141">
            <v>57</v>
          </cell>
          <cell r="O141">
            <v>0</v>
          </cell>
          <cell r="P141">
            <v>5209</v>
          </cell>
          <cell r="T141">
            <v>3150</v>
          </cell>
          <cell r="U141">
            <v>6048</v>
          </cell>
        </row>
        <row r="142">
          <cell r="C142">
            <v>10046</v>
          </cell>
          <cell r="D142" t="str">
            <v>精英鬼冢</v>
          </cell>
          <cell r="E142">
            <v>10045</v>
          </cell>
          <cell r="F142" t="str">
            <v>精英暗魔</v>
          </cell>
          <cell r="G142" t="str">
            <v>精英司徒浩南</v>
          </cell>
          <cell r="H142">
            <v>2</v>
          </cell>
          <cell r="I142">
            <v>1</v>
          </cell>
          <cell r="J142" t="str">
            <v>打怪</v>
          </cell>
          <cell r="K142">
            <v>2</v>
          </cell>
          <cell r="L142"/>
          <cell r="M142">
            <v>506201</v>
          </cell>
          <cell r="N142">
            <v>58</v>
          </cell>
          <cell r="O142">
            <v>0</v>
          </cell>
          <cell r="P142">
            <v>6201</v>
          </cell>
          <cell r="T142">
            <v>3300</v>
          </cell>
          <cell r="U142">
            <v>6296</v>
          </cell>
        </row>
        <row r="143">
          <cell r="C143">
            <v>10047</v>
          </cell>
          <cell r="D143" t="str">
            <v>精英暗魔</v>
          </cell>
          <cell r="E143">
            <v>10046</v>
          </cell>
          <cell r="F143" t="str">
            <v>精英血狂</v>
          </cell>
          <cell r="G143" t="str">
            <v>精英鬼冢</v>
          </cell>
          <cell r="H143">
            <v>2</v>
          </cell>
          <cell r="I143">
            <v>1</v>
          </cell>
          <cell r="J143" t="str">
            <v>打怪</v>
          </cell>
          <cell r="K143">
            <v>2</v>
          </cell>
          <cell r="L143"/>
          <cell r="M143">
            <v>506202</v>
          </cell>
          <cell r="N143">
            <v>59</v>
          </cell>
          <cell r="O143">
            <v>0</v>
          </cell>
          <cell r="P143">
            <v>6202</v>
          </cell>
          <cell r="T143">
            <v>3450</v>
          </cell>
          <cell r="U143">
            <v>6548</v>
          </cell>
        </row>
        <row r="144">
          <cell r="C144">
            <v>10048</v>
          </cell>
          <cell r="D144" t="str">
            <v>精英血狂</v>
          </cell>
          <cell r="E144">
            <v>10047</v>
          </cell>
          <cell r="F144" t="str">
            <v>精英獠牙</v>
          </cell>
          <cell r="G144" t="str">
            <v>精英暗魔</v>
          </cell>
          <cell r="H144">
            <v>2</v>
          </cell>
          <cell r="I144">
            <v>1</v>
          </cell>
          <cell r="J144" t="str">
            <v>打怪</v>
          </cell>
          <cell r="K144">
            <v>2</v>
          </cell>
          <cell r="L144"/>
          <cell r="M144">
            <v>506203</v>
          </cell>
          <cell r="N144">
            <v>60</v>
          </cell>
          <cell r="O144">
            <v>0</v>
          </cell>
          <cell r="P144">
            <v>6203</v>
          </cell>
          <cell r="T144">
            <v>3600</v>
          </cell>
          <cell r="U144">
            <v>6808</v>
          </cell>
        </row>
        <row r="145">
          <cell r="C145">
            <v>10049</v>
          </cell>
          <cell r="D145" t="str">
            <v>精英獠牙</v>
          </cell>
          <cell r="E145">
            <v>10048</v>
          </cell>
          <cell r="F145" t="str">
            <v>精英陈浩南</v>
          </cell>
          <cell r="G145" t="str">
            <v>精英血狂</v>
          </cell>
          <cell r="H145">
            <v>2</v>
          </cell>
          <cell r="I145">
            <v>1</v>
          </cell>
          <cell r="J145" t="str">
            <v>打怪</v>
          </cell>
          <cell r="K145">
            <v>2</v>
          </cell>
          <cell r="L145"/>
          <cell r="M145">
            <v>506204</v>
          </cell>
          <cell r="N145">
            <v>61</v>
          </cell>
          <cell r="O145">
            <v>0</v>
          </cell>
          <cell r="P145">
            <v>6204</v>
          </cell>
          <cell r="T145">
            <v>3750</v>
          </cell>
          <cell r="U145">
            <v>7072</v>
          </cell>
        </row>
        <row r="146">
          <cell r="C146">
            <v>10050</v>
          </cell>
          <cell r="D146" t="str">
            <v>精英陈浩南</v>
          </cell>
          <cell r="E146">
            <v>10049</v>
          </cell>
          <cell r="F146" t="str">
            <v>精英毒牙</v>
          </cell>
          <cell r="G146" t="str">
            <v>精英獠牙</v>
          </cell>
          <cell r="H146">
            <v>2</v>
          </cell>
          <cell r="I146">
            <v>1</v>
          </cell>
          <cell r="J146" t="str">
            <v>打怪</v>
          </cell>
          <cell r="K146">
            <v>2</v>
          </cell>
          <cell r="L146"/>
          <cell r="M146">
            <v>506205</v>
          </cell>
          <cell r="N146">
            <v>62</v>
          </cell>
          <cell r="O146">
            <v>0</v>
          </cell>
          <cell r="P146">
            <v>6205</v>
          </cell>
          <cell r="T146">
            <v>3900</v>
          </cell>
          <cell r="U146">
            <v>7340</v>
          </cell>
        </row>
        <row r="147">
          <cell r="C147">
            <v>10051</v>
          </cell>
          <cell r="D147" t="str">
            <v>精英毒牙</v>
          </cell>
          <cell r="E147">
            <v>10050</v>
          </cell>
          <cell r="F147" t="str">
            <v>精英织田</v>
          </cell>
          <cell r="G147" t="str">
            <v>精英陈浩南</v>
          </cell>
          <cell r="H147">
            <v>2</v>
          </cell>
          <cell r="I147">
            <v>1</v>
          </cell>
          <cell r="J147" t="str">
            <v>打怪</v>
          </cell>
          <cell r="K147">
            <v>2</v>
          </cell>
          <cell r="L147"/>
          <cell r="M147">
            <v>506206</v>
          </cell>
          <cell r="N147">
            <v>63</v>
          </cell>
          <cell r="O147">
            <v>0</v>
          </cell>
          <cell r="P147">
            <v>6206</v>
          </cell>
          <cell r="T147">
            <v>4050</v>
          </cell>
          <cell r="U147">
            <v>7616</v>
          </cell>
        </row>
        <row r="148">
          <cell r="C148">
            <v>10052</v>
          </cell>
          <cell r="D148" t="str">
            <v>精英织田</v>
          </cell>
          <cell r="E148">
            <v>10051</v>
          </cell>
          <cell r="F148" t="str">
            <v>精英太乙部下</v>
          </cell>
          <cell r="G148" t="str">
            <v>精英毒牙</v>
          </cell>
          <cell r="H148">
            <v>2</v>
          </cell>
          <cell r="I148">
            <v>1</v>
          </cell>
          <cell r="J148" t="str">
            <v>打怪</v>
          </cell>
          <cell r="K148">
            <v>2</v>
          </cell>
          <cell r="L148"/>
          <cell r="M148">
            <v>506207</v>
          </cell>
          <cell r="N148">
            <v>64</v>
          </cell>
          <cell r="O148">
            <v>0</v>
          </cell>
          <cell r="P148">
            <v>6207</v>
          </cell>
          <cell r="T148">
            <v>4350</v>
          </cell>
          <cell r="U148">
            <v>7896</v>
          </cell>
        </row>
        <row r="149">
          <cell r="C149">
            <v>10053</v>
          </cell>
          <cell r="D149" t="str">
            <v>精英太乙部下</v>
          </cell>
          <cell r="E149">
            <v>10052</v>
          </cell>
          <cell r="F149" t="str">
            <v>精英太乙</v>
          </cell>
          <cell r="G149" t="str">
            <v>精英织田</v>
          </cell>
          <cell r="H149">
            <v>2</v>
          </cell>
          <cell r="I149">
            <v>1</v>
          </cell>
          <cell r="J149" t="str">
            <v>打怪</v>
          </cell>
          <cell r="K149">
            <v>2</v>
          </cell>
          <cell r="L149"/>
          <cell r="M149">
            <v>506208</v>
          </cell>
          <cell r="N149">
            <v>65</v>
          </cell>
          <cell r="O149">
            <v>0</v>
          </cell>
          <cell r="P149">
            <v>6208</v>
          </cell>
          <cell r="T149">
            <v>4650</v>
          </cell>
          <cell r="U149">
            <v>8180</v>
          </cell>
        </row>
        <row r="150">
          <cell r="C150">
            <v>10054</v>
          </cell>
          <cell r="D150" t="str">
            <v>精英太乙</v>
          </cell>
          <cell r="E150">
            <v>10053</v>
          </cell>
          <cell r="F150" t="str">
            <v>精英白虎堂</v>
          </cell>
          <cell r="G150" t="str">
            <v>精英太乙部下</v>
          </cell>
          <cell r="H150">
            <v>2</v>
          </cell>
          <cell r="I150">
            <v>1</v>
          </cell>
          <cell r="J150" t="str">
            <v>打怪</v>
          </cell>
          <cell r="K150">
            <v>2</v>
          </cell>
          <cell r="L150"/>
          <cell r="M150">
            <v>506209</v>
          </cell>
          <cell r="N150">
            <v>66</v>
          </cell>
          <cell r="O150">
            <v>0</v>
          </cell>
          <cell r="P150">
            <v>6209</v>
          </cell>
          <cell r="T150">
            <v>4950</v>
          </cell>
          <cell r="U150">
            <v>8472</v>
          </cell>
        </row>
        <row r="151">
          <cell r="C151">
            <v>10055</v>
          </cell>
          <cell r="D151" t="str">
            <v>精英白虎堂</v>
          </cell>
          <cell r="E151">
            <v>10054</v>
          </cell>
          <cell r="F151" t="str">
            <v>精英玄武堂</v>
          </cell>
          <cell r="G151" t="str">
            <v>精英太乙</v>
          </cell>
          <cell r="H151">
            <v>2</v>
          </cell>
          <cell r="I151">
            <v>1</v>
          </cell>
          <cell r="J151" t="str">
            <v>打怪</v>
          </cell>
          <cell r="K151">
            <v>2</v>
          </cell>
          <cell r="L151"/>
          <cell r="M151">
            <v>507201</v>
          </cell>
          <cell r="N151">
            <v>67</v>
          </cell>
          <cell r="O151">
            <v>0</v>
          </cell>
          <cell r="P151">
            <v>7201</v>
          </cell>
          <cell r="T151">
            <v>5250</v>
          </cell>
          <cell r="U151">
            <v>8768</v>
          </cell>
        </row>
        <row r="152">
          <cell r="C152">
            <v>10056</v>
          </cell>
          <cell r="D152" t="str">
            <v>精英玄武堂</v>
          </cell>
          <cell r="E152">
            <v>10055</v>
          </cell>
          <cell r="F152" t="str">
            <v>精英朱雀堂</v>
          </cell>
          <cell r="G152" t="str">
            <v>精英白虎堂</v>
          </cell>
          <cell r="H152">
            <v>2</v>
          </cell>
          <cell r="I152">
            <v>1</v>
          </cell>
          <cell r="J152" t="str">
            <v>打怪</v>
          </cell>
          <cell r="K152">
            <v>2</v>
          </cell>
          <cell r="L152"/>
          <cell r="M152">
            <v>507202</v>
          </cell>
          <cell r="N152">
            <v>68</v>
          </cell>
          <cell r="O152">
            <v>0</v>
          </cell>
          <cell r="P152">
            <v>7202</v>
          </cell>
          <cell r="T152">
            <v>5550</v>
          </cell>
          <cell r="U152">
            <v>9068</v>
          </cell>
        </row>
        <row r="153">
          <cell r="C153">
            <v>10057</v>
          </cell>
          <cell r="D153" t="str">
            <v>精英朱雀堂</v>
          </cell>
          <cell r="E153">
            <v>10056</v>
          </cell>
          <cell r="F153" t="str">
            <v>精英青龙堂</v>
          </cell>
          <cell r="G153" t="str">
            <v>精英玄武堂</v>
          </cell>
          <cell r="H153">
            <v>2</v>
          </cell>
          <cell r="I153">
            <v>1</v>
          </cell>
          <cell r="J153" t="str">
            <v>打怪</v>
          </cell>
          <cell r="K153">
            <v>2</v>
          </cell>
          <cell r="L153"/>
          <cell r="M153">
            <v>507203</v>
          </cell>
          <cell r="N153">
            <v>69</v>
          </cell>
          <cell r="O153">
            <v>0</v>
          </cell>
          <cell r="P153">
            <v>7203</v>
          </cell>
          <cell r="T153">
            <v>5850</v>
          </cell>
          <cell r="U153">
            <v>9376</v>
          </cell>
        </row>
        <row r="154">
          <cell r="C154">
            <v>10058</v>
          </cell>
          <cell r="D154" t="str">
            <v>精英青龙堂</v>
          </cell>
          <cell r="E154">
            <v>10057</v>
          </cell>
          <cell r="F154" t="str">
            <v>精英佐维</v>
          </cell>
          <cell r="G154" t="str">
            <v>精英朱雀堂</v>
          </cell>
          <cell r="H154">
            <v>2</v>
          </cell>
          <cell r="I154">
            <v>1</v>
          </cell>
          <cell r="J154" t="str">
            <v>打怪</v>
          </cell>
          <cell r="K154">
            <v>2</v>
          </cell>
          <cell r="L154"/>
          <cell r="M154">
            <v>507204</v>
          </cell>
          <cell r="N154">
            <v>70</v>
          </cell>
          <cell r="O154">
            <v>0</v>
          </cell>
          <cell r="P154">
            <v>7204</v>
          </cell>
          <cell r="T154">
            <v>6150</v>
          </cell>
          <cell r="U154">
            <v>9692</v>
          </cell>
        </row>
        <row r="155">
          <cell r="C155">
            <v>10059</v>
          </cell>
          <cell r="D155" t="str">
            <v>精英佐维</v>
          </cell>
          <cell r="E155">
            <v>10058</v>
          </cell>
          <cell r="F155" t="str">
            <v>精英傲虎</v>
          </cell>
          <cell r="G155" t="str">
            <v>精英青龙堂</v>
          </cell>
          <cell r="H155">
            <v>2</v>
          </cell>
          <cell r="I155">
            <v>1</v>
          </cell>
          <cell r="J155" t="str">
            <v>打怪</v>
          </cell>
          <cell r="K155">
            <v>2</v>
          </cell>
          <cell r="L155"/>
          <cell r="M155">
            <v>507205</v>
          </cell>
          <cell r="N155">
            <v>71</v>
          </cell>
          <cell r="O155">
            <v>0</v>
          </cell>
          <cell r="P155">
            <v>7205</v>
          </cell>
          <cell r="T155">
            <v>6450</v>
          </cell>
          <cell r="U155">
            <v>10008</v>
          </cell>
        </row>
        <row r="156">
          <cell r="C156">
            <v>10060</v>
          </cell>
          <cell r="D156" t="str">
            <v>精英傲虎</v>
          </cell>
          <cell r="E156">
            <v>10059</v>
          </cell>
          <cell r="F156" t="str">
            <v>精英狂龙</v>
          </cell>
          <cell r="G156" t="str">
            <v>精英佐维</v>
          </cell>
          <cell r="H156">
            <v>2</v>
          </cell>
          <cell r="I156">
            <v>1</v>
          </cell>
          <cell r="J156" t="str">
            <v>打怪</v>
          </cell>
          <cell r="K156">
            <v>2</v>
          </cell>
          <cell r="L156"/>
          <cell r="M156">
            <v>507206</v>
          </cell>
          <cell r="N156">
            <v>72</v>
          </cell>
          <cell r="O156">
            <v>0</v>
          </cell>
          <cell r="P156">
            <v>7206</v>
          </cell>
          <cell r="T156">
            <v>6750</v>
          </cell>
          <cell r="U156">
            <v>10332</v>
          </cell>
        </row>
        <row r="157">
          <cell r="C157">
            <v>10061</v>
          </cell>
          <cell r="D157" t="str">
            <v>精英狂龙</v>
          </cell>
          <cell r="E157">
            <v>10060</v>
          </cell>
          <cell r="F157" t="str">
            <v>精英山崎</v>
          </cell>
          <cell r="G157" t="str">
            <v>精英傲虎</v>
          </cell>
          <cell r="H157">
            <v>2</v>
          </cell>
          <cell r="I157">
            <v>1</v>
          </cell>
          <cell r="J157" t="str">
            <v>打怪</v>
          </cell>
          <cell r="K157">
            <v>2</v>
          </cell>
          <cell r="L157"/>
          <cell r="M157">
            <v>507207</v>
          </cell>
          <cell r="N157">
            <v>73</v>
          </cell>
          <cell r="O157">
            <v>0</v>
          </cell>
          <cell r="P157">
            <v>7207</v>
          </cell>
          <cell r="T157">
            <v>7050</v>
          </cell>
          <cell r="U157">
            <v>10660</v>
          </cell>
        </row>
        <row r="158">
          <cell r="C158">
            <v>10062</v>
          </cell>
          <cell r="D158" t="str">
            <v>精英山崎</v>
          </cell>
          <cell r="E158">
            <v>10061</v>
          </cell>
          <cell r="F158" t="str">
            <v>精英杀手首领</v>
          </cell>
          <cell r="G158" t="str">
            <v>精英狂龙</v>
          </cell>
          <cell r="H158">
            <v>2</v>
          </cell>
          <cell r="I158">
            <v>1</v>
          </cell>
          <cell r="J158" t="str">
            <v>打怪</v>
          </cell>
          <cell r="K158">
            <v>2</v>
          </cell>
          <cell r="L158"/>
          <cell r="M158">
            <v>507208</v>
          </cell>
          <cell r="N158">
            <v>74</v>
          </cell>
          <cell r="O158">
            <v>0</v>
          </cell>
          <cell r="P158">
            <v>7208</v>
          </cell>
          <cell r="T158">
            <v>7500</v>
          </cell>
          <cell r="U158">
            <v>10996</v>
          </cell>
        </row>
        <row r="159">
          <cell r="C159">
            <v>10063</v>
          </cell>
          <cell r="D159" t="str">
            <v>精英杀手首领</v>
          </cell>
          <cell r="E159">
            <v>10062</v>
          </cell>
          <cell r="F159" t="str">
            <v>精英复仇靓坤</v>
          </cell>
          <cell r="G159" t="str">
            <v>精英山崎</v>
          </cell>
          <cell r="H159">
            <v>2</v>
          </cell>
          <cell r="I159">
            <v>1</v>
          </cell>
          <cell r="J159" t="str">
            <v>打怪</v>
          </cell>
          <cell r="K159">
            <v>2</v>
          </cell>
          <cell r="L159"/>
          <cell r="M159">
            <v>507209</v>
          </cell>
          <cell r="N159">
            <v>75</v>
          </cell>
          <cell r="O159">
            <v>0</v>
          </cell>
          <cell r="P159">
            <v>7209</v>
          </cell>
          <cell r="T159">
            <v>7950</v>
          </cell>
          <cell r="U159">
            <v>11336</v>
          </cell>
        </row>
        <row r="160">
          <cell r="C160">
            <v>10064</v>
          </cell>
          <cell r="D160" t="str">
            <v>精英复仇靓坤</v>
          </cell>
          <cell r="E160">
            <v>10063</v>
          </cell>
          <cell r="F160" t="str">
            <v>精英复仇乌鸦</v>
          </cell>
          <cell r="G160" t="str">
            <v>精英杀手首领</v>
          </cell>
          <cell r="H160">
            <v>2</v>
          </cell>
          <cell r="I160">
            <v>1</v>
          </cell>
          <cell r="J160" t="str">
            <v>打怪</v>
          </cell>
          <cell r="K160">
            <v>2</v>
          </cell>
          <cell r="L160"/>
          <cell r="M160">
            <v>508201</v>
          </cell>
          <cell r="N160">
            <v>76</v>
          </cell>
          <cell r="O160">
            <v>0</v>
          </cell>
          <cell r="P160">
            <v>8201</v>
          </cell>
          <cell r="T160">
            <v>8400</v>
          </cell>
          <cell r="U160">
            <v>11680</v>
          </cell>
        </row>
        <row r="161">
          <cell r="C161">
            <v>10065</v>
          </cell>
          <cell r="D161" t="str">
            <v>精英复仇乌鸦</v>
          </cell>
          <cell r="E161">
            <v>10064</v>
          </cell>
          <cell r="F161" t="str">
            <v>精英复仇司徒</v>
          </cell>
          <cell r="G161" t="str">
            <v>精英复仇靓坤</v>
          </cell>
          <cell r="H161">
            <v>2</v>
          </cell>
          <cell r="I161">
            <v>1</v>
          </cell>
          <cell r="J161" t="str">
            <v>打怪</v>
          </cell>
          <cell r="K161">
            <v>2</v>
          </cell>
          <cell r="L161"/>
          <cell r="M161">
            <v>508202</v>
          </cell>
          <cell r="N161">
            <v>77</v>
          </cell>
          <cell r="O161">
            <v>0</v>
          </cell>
          <cell r="P161">
            <v>8202</v>
          </cell>
          <cell r="T161">
            <v>8850</v>
          </cell>
          <cell r="U161">
            <v>12032</v>
          </cell>
        </row>
        <row r="162">
          <cell r="C162">
            <v>10066</v>
          </cell>
          <cell r="D162" t="str">
            <v>精英复仇司徒</v>
          </cell>
          <cell r="E162">
            <v>10065</v>
          </cell>
          <cell r="F162" t="str">
            <v>精英生番</v>
          </cell>
          <cell r="G162" t="str">
            <v>精英复仇乌鸦</v>
          </cell>
          <cell r="H162">
            <v>2</v>
          </cell>
          <cell r="I162">
            <v>1</v>
          </cell>
          <cell r="J162" t="str">
            <v>打怪</v>
          </cell>
          <cell r="K162">
            <v>2</v>
          </cell>
          <cell r="L162"/>
          <cell r="M162">
            <v>508203</v>
          </cell>
          <cell r="N162">
            <v>78</v>
          </cell>
          <cell r="O162">
            <v>0</v>
          </cell>
          <cell r="P162">
            <v>8203</v>
          </cell>
          <cell r="T162">
            <v>9300</v>
          </cell>
          <cell r="U162">
            <v>12388</v>
          </cell>
        </row>
        <row r="163">
          <cell r="C163">
            <v>10067</v>
          </cell>
          <cell r="D163" t="str">
            <v>精英生番</v>
          </cell>
          <cell r="E163">
            <v>10066</v>
          </cell>
          <cell r="F163" t="str">
            <v>精英耀阳</v>
          </cell>
          <cell r="G163" t="str">
            <v>精英复仇司徒</v>
          </cell>
          <cell r="H163">
            <v>2</v>
          </cell>
          <cell r="I163">
            <v>1</v>
          </cell>
          <cell r="J163" t="str">
            <v>打怪</v>
          </cell>
          <cell r="K163">
            <v>2</v>
          </cell>
          <cell r="L163"/>
          <cell r="M163">
            <v>508204</v>
          </cell>
          <cell r="N163">
            <v>79</v>
          </cell>
          <cell r="O163">
            <v>0</v>
          </cell>
          <cell r="P163">
            <v>8204</v>
          </cell>
          <cell r="T163">
            <v>9750</v>
          </cell>
          <cell r="U163">
            <v>12752</v>
          </cell>
        </row>
        <row r="164">
          <cell r="C164">
            <v>10068</v>
          </cell>
          <cell r="D164" t="str">
            <v>精英耀阳</v>
          </cell>
          <cell r="E164">
            <v>10067</v>
          </cell>
          <cell r="F164" t="str">
            <v>精英赌王</v>
          </cell>
          <cell r="G164" t="str">
            <v>精英生番</v>
          </cell>
          <cell r="H164">
            <v>2</v>
          </cell>
          <cell r="I164">
            <v>1</v>
          </cell>
          <cell r="J164" t="str">
            <v>打怪</v>
          </cell>
          <cell r="K164">
            <v>2</v>
          </cell>
          <cell r="L164"/>
          <cell r="M164">
            <v>508205</v>
          </cell>
          <cell r="N164">
            <v>80</v>
          </cell>
          <cell r="O164">
            <v>0</v>
          </cell>
          <cell r="P164">
            <v>8205</v>
          </cell>
          <cell r="T164">
            <v>10200</v>
          </cell>
          <cell r="U164">
            <v>13116</v>
          </cell>
        </row>
        <row r="165">
          <cell r="C165">
            <v>10069</v>
          </cell>
          <cell r="D165" t="str">
            <v>精英赌王</v>
          </cell>
          <cell r="E165">
            <v>10068</v>
          </cell>
          <cell r="F165" t="str">
            <v>精英地中海</v>
          </cell>
          <cell r="G165" t="str">
            <v>精英耀阳</v>
          </cell>
          <cell r="H165">
            <v>2</v>
          </cell>
          <cell r="I165">
            <v>1</v>
          </cell>
          <cell r="J165" t="str">
            <v>打怪</v>
          </cell>
          <cell r="K165">
            <v>2</v>
          </cell>
          <cell r="L165"/>
          <cell r="M165">
            <v>508206</v>
          </cell>
          <cell r="N165">
            <v>81</v>
          </cell>
          <cell r="O165">
            <v>0</v>
          </cell>
          <cell r="P165">
            <v>8206</v>
          </cell>
          <cell r="T165">
            <v>10650</v>
          </cell>
          <cell r="U165">
            <v>13488</v>
          </cell>
        </row>
        <row r="166">
          <cell r="C166">
            <v>10070</v>
          </cell>
          <cell r="D166" t="str">
            <v>精英地中海</v>
          </cell>
          <cell r="E166">
            <v>10069</v>
          </cell>
          <cell r="F166" t="str">
            <v>精英山鸡</v>
          </cell>
          <cell r="G166" t="str">
            <v>精英赌王</v>
          </cell>
          <cell r="H166">
            <v>2</v>
          </cell>
          <cell r="I166">
            <v>1</v>
          </cell>
          <cell r="J166" t="str">
            <v>打怪</v>
          </cell>
          <cell r="K166">
            <v>2</v>
          </cell>
          <cell r="L166"/>
          <cell r="M166">
            <v>508207</v>
          </cell>
          <cell r="N166">
            <v>82</v>
          </cell>
          <cell r="O166">
            <v>0</v>
          </cell>
          <cell r="P166">
            <v>8207</v>
          </cell>
          <cell r="T166">
            <v>11100</v>
          </cell>
          <cell r="U166">
            <v>13868</v>
          </cell>
        </row>
        <row r="167">
          <cell r="C167">
            <v>10071</v>
          </cell>
          <cell r="D167" t="str">
            <v>精英山鸡</v>
          </cell>
          <cell r="E167">
            <v>10070</v>
          </cell>
          <cell r="F167" t="str">
            <v>精英雷复轰</v>
          </cell>
          <cell r="G167" t="str">
            <v>精英地中海</v>
          </cell>
          <cell r="H167">
            <v>2</v>
          </cell>
          <cell r="I167">
            <v>1</v>
          </cell>
          <cell r="J167" t="str">
            <v>打怪</v>
          </cell>
          <cell r="K167">
            <v>2</v>
          </cell>
          <cell r="L167"/>
          <cell r="M167">
            <v>508208</v>
          </cell>
          <cell r="N167">
            <v>83</v>
          </cell>
          <cell r="O167">
            <v>0</v>
          </cell>
          <cell r="P167">
            <v>8208</v>
          </cell>
          <cell r="T167">
            <v>11550</v>
          </cell>
          <cell r="U167">
            <v>14252</v>
          </cell>
        </row>
        <row r="168">
          <cell r="C168">
            <v>10072</v>
          </cell>
          <cell r="D168" t="str">
            <v>精英雷复轰</v>
          </cell>
          <cell r="E168">
            <v>10071</v>
          </cell>
          <cell r="F168" t="e">
            <v>#N/A</v>
          </cell>
          <cell r="G168" t="str">
            <v>精英山鸡</v>
          </cell>
          <cell r="H168">
            <v>2</v>
          </cell>
          <cell r="I168">
            <v>1</v>
          </cell>
          <cell r="J168" t="str">
            <v>打怪</v>
          </cell>
          <cell r="K168">
            <v>2</v>
          </cell>
          <cell r="L168"/>
          <cell r="M168">
            <v>508209</v>
          </cell>
          <cell r="N168">
            <v>84</v>
          </cell>
          <cell r="O168">
            <v>0</v>
          </cell>
          <cell r="P168">
            <v>8209</v>
          </cell>
          <cell r="T168">
            <v>12300</v>
          </cell>
          <cell r="U168">
            <v>14640</v>
          </cell>
        </row>
        <row r="169">
          <cell r="C169"/>
          <cell r="D169"/>
          <cell r="E169"/>
          <cell r="F169"/>
          <cell r="G169"/>
          <cell r="H169"/>
          <cell r="I169"/>
          <cell r="J169"/>
          <cell r="K169"/>
          <cell r="L169"/>
          <cell r="M169"/>
          <cell r="N169">
            <v>84</v>
          </cell>
          <cell r="O169"/>
          <cell r="P169"/>
          <cell r="T169"/>
          <cell r="U169"/>
        </row>
        <row r="170">
          <cell r="C170"/>
          <cell r="D170"/>
          <cell r="E170"/>
          <cell r="F170"/>
          <cell r="G170"/>
          <cell r="H170"/>
          <cell r="I170"/>
          <cell r="J170"/>
          <cell r="K170"/>
          <cell r="L170"/>
          <cell r="M170"/>
          <cell r="N170">
            <v>84</v>
          </cell>
          <cell r="O170"/>
          <cell r="P170"/>
          <cell r="T170"/>
          <cell r="U170"/>
        </row>
        <row r="171">
          <cell r="C171"/>
          <cell r="D171"/>
          <cell r="E171"/>
          <cell r="F171"/>
          <cell r="G171"/>
          <cell r="H171"/>
          <cell r="I171"/>
          <cell r="J171"/>
          <cell r="K171"/>
          <cell r="L171"/>
          <cell r="M171"/>
          <cell r="N171">
            <v>84</v>
          </cell>
          <cell r="O171"/>
          <cell r="P171"/>
          <cell r="T171"/>
          <cell r="U171"/>
        </row>
        <row r="172"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>
            <v>84</v>
          </cell>
          <cell r="O172"/>
          <cell r="P172"/>
          <cell r="T172"/>
          <cell r="U172"/>
        </row>
        <row r="173">
          <cell r="C173"/>
          <cell r="D173"/>
          <cell r="E173"/>
          <cell r="F173"/>
          <cell r="G173"/>
          <cell r="H173"/>
          <cell r="I173"/>
          <cell r="J173"/>
          <cell r="K173"/>
          <cell r="L173"/>
          <cell r="M173"/>
          <cell r="N173">
            <v>84</v>
          </cell>
          <cell r="O173"/>
          <cell r="P173"/>
          <cell r="T173"/>
          <cell r="U173"/>
        </row>
        <row r="174"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/>
          <cell r="N174">
            <v>84</v>
          </cell>
          <cell r="O174"/>
          <cell r="P174"/>
          <cell r="T174"/>
          <cell r="U174"/>
        </row>
        <row r="175"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/>
          <cell r="N175">
            <v>84</v>
          </cell>
          <cell r="O175"/>
          <cell r="P175"/>
          <cell r="T175"/>
          <cell r="U175"/>
        </row>
        <row r="176">
          <cell r="C176"/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>
            <v>84</v>
          </cell>
          <cell r="O176"/>
          <cell r="P176"/>
          <cell r="T176"/>
          <cell r="U176"/>
        </row>
        <row r="177"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/>
          <cell r="N177">
            <v>84</v>
          </cell>
          <cell r="O177"/>
          <cell r="P177"/>
          <cell r="T177"/>
          <cell r="U177"/>
        </row>
        <row r="178"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>
            <v>84</v>
          </cell>
          <cell r="O178"/>
          <cell r="P178"/>
          <cell r="T178"/>
          <cell r="U178"/>
        </row>
        <row r="179"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/>
          <cell r="N179">
            <v>84</v>
          </cell>
          <cell r="O179"/>
          <cell r="P179"/>
          <cell r="T179"/>
          <cell r="U179"/>
        </row>
        <row r="180"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/>
          <cell r="N180">
            <v>84</v>
          </cell>
          <cell r="O180"/>
          <cell r="P180"/>
          <cell r="T180"/>
        </row>
        <row r="181">
          <cell r="C181"/>
          <cell r="D181"/>
          <cell r="E181"/>
          <cell r="F181"/>
          <cell r="G181"/>
          <cell r="H181"/>
          <cell r="I181"/>
          <cell r="J181"/>
          <cell r="K181"/>
          <cell r="L181"/>
          <cell r="M181"/>
          <cell r="N181">
            <v>84</v>
          </cell>
          <cell r="O181"/>
          <cell r="P181"/>
          <cell r="T181"/>
        </row>
        <row r="182">
          <cell r="C182"/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>
            <v>84</v>
          </cell>
          <cell r="O182"/>
          <cell r="P182"/>
          <cell r="T182"/>
        </row>
        <row r="183"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/>
          <cell r="N183">
            <v>84</v>
          </cell>
          <cell r="O183"/>
          <cell r="P183"/>
          <cell r="T183"/>
        </row>
        <row r="184">
          <cell r="C184"/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>
            <v>84</v>
          </cell>
          <cell r="O184"/>
          <cell r="P184"/>
          <cell r="T184"/>
        </row>
        <row r="185">
          <cell r="C185"/>
          <cell r="D185"/>
          <cell r="E185"/>
          <cell r="F185"/>
          <cell r="G185"/>
          <cell r="H185"/>
          <cell r="I185"/>
          <cell r="J185"/>
          <cell r="K185"/>
          <cell r="L185"/>
          <cell r="M185"/>
          <cell r="N185">
            <v>84</v>
          </cell>
          <cell r="O185"/>
          <cell r="P185"/>
          <cell r="T185"/>
        </row>
        <row r="186">
          <cell r="C186"/>
          <cell r="D186"/>
          <cell r="E186"/>
          <cell r="F186"/>
          <cell r="G186"/>
          <cell r="H186"/>
          <cell r="I186"/>
          <cell r="J186"/>
          <cell r="K186"/>
          <cell r="L186"/>
          <cell r="M186"/>
          <cell r="N186">
            <v>84</v>
          </cell>
          <cell r="O186"/>
          <cell r="P186"/>
          <cell r="T186"/>
        </row>
        <row r="187">
          <cell r="C187"/>
          <cell r="D187"/>
          <cell r="E187"/>
          <cell r="F187"/>
          <cell r="G187"/>
          <cell r="H187"/>
          <cell r="I187"/>
          <cell r="J187"/>
          <cell r="K187"/>
          <cell r="L187"/>
          <cell r="M187"/>
          <cell r="N187">
            <v>84</v>
          </cell>
          <cell r="O187"/>
          <cell r="P187"/>
          <cell r="T187"/>
        </row>
        <row r="188"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/>
          <cell r="N188">
            <v>84</v>
          </cell>
          <cell r="O188"/>
          <cell r="P188"/>
        </row>
        <row r="189"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/>
          <cell r="N189">
            <v>84</v>
          </cell>
          <cell r="O189"/>
          <cell r="P189"/>
        </row>
        <row r="190">
          <cell r="C190"/>
          <cell r="D190"/>
          <cell r="E190"/>
          <cell r="F190"/>
          <cell r="G190"/>
          <cell r="H190"/>
          <cell r="I190"/>
          <cell r="J190"/>
          <cell r="K190"/>
          <cell r="L190"/>
          <cell r="M190"/>
          <cell r="N190">
            <v>84</v>
          </cell>
          <cell r="O190"/>
          <cell r="P190"/>
        </row>
        <row r="191"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>
            <v>84</v>
          </cell>
          <cell r="O191"/>
          <cell r="P191"/>
        </row>
        <row r="192"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/>
          <cell r="N192">
            <v>84</v>
          </cell>
          <cell r="O192"/>
          <cell r="P192"/>
        </row>
        <row r="193">
          <cell r="C193"/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>
            <v>84</v>
          </cell>
          <cell r="O193"/>
          <cell r="P193"/>
        </row>
        <row r="194"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/>
          <cell r="N194">
            <v>84</v>
          </cell>
          <cell r="O194"/>
          <cell r="P194"/>
        </row>
        <row r="195"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/>
          <cell r="N195">
            <v>84</v>
          </cell>
          <cell r="O195"/>
          <cell r="P195"/>
        </row>
        <row r="196">
          <cell r="C196"/>
          <cell r="D196"/>
          <cell r="E196"/>
          <cell r="F196"/>
          <cell r="G196"/>
          <cell r="H196"/>
          <cell r="I196"/>
          <cell r="J196"/>
          <cell r="K196"/>
          <cell r="L196"/>
          <cell r="M196"/>
          <cell r="N196">
            <v>84</v>
          </cell>
          <cell r="O196"/>
          <cell r="P196"/>
        </row>
        <row r="197"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>
            <v>84</v>
          </cell>
          <cell r="O197"/>
          <cell r="P197"/>
        </row>
        <row r="198"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/>
          <cell r="N198">
            <v>84</v>
          </cell>
          <cell r="O198"/>
          <cell r="P198"/>
        </row>
        <row r="199">
          <cell r="C199"/>
          <cell r="D199"/>
          <cell r="E199"/>
          <cell r="F199"/>
          <cell r="G199"/>
          <cell r="H199"/>
          <cell r="I199"/>
          <cell r="J199"/>
          <cell r="K199"/>
          <cell r="L199"/>
          <cell r="M199"/>
          <cell r="N199">
            <v>84</v>
          </cell>
          <cell r="O199"/>
          <cell r="P199"/>
        </row>
        <row r="200">
          <cell r="C200"/>
          <cell r="D200"/>
          <cell r="E200"/>
          <cell r="F200"/>
          <cell r="G200"/>
          <cell r="H200"/>
          <cell r="I200"/>
          <cell r="J200"/>
          <cell r="K200"/>
          <cell r="L200"/>
          <cell r="M200"/>
          <cell r="N200">
            <v>84</v>
          </cell>
          <cell r="O200"/>
          <cell r="P200"/>
        </row>
      </sheetData>
      <sheetData sheetId="6"/>
      <sheetData sheetId="7">
        <row r="6">
          <cell r="H6">
            <v>619.27545087976534</v>
          </cell>
        </row>
        <row r="8">
          <cell r="P8">
            <v>6812.0299596774194</v>
          </cell>
        </row>
        <row r="18">
          <cell r="H18">
            <v>619.27545087976534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技能表"/>
      <sheetName val="D_技能表CD"/>
      <sheetName val="金币生产率"/>
      <sheetName val="消耗&amp;价值&amp;分析"/>
      <sheetName val="伤害参考系"/>
      <sheetName val="技能配置辅助表"/>
      <sheetName val="技能CD配置辅助表"/>
      <sheetName val="升级时间"/>
    </sheetNames>
    <sheetDataSet>
      <sheetData sheetId="0">
        <row r="15">
          <cell r="AN15">
            <v>2.5</v>
          </cell>
        </row>
        <row r="16">
          <cell r="AN16">
            <v>7724</v>
          </cell>
        </row>
      </sheetData>
      <sheetData sheetId="1">
        <row r="4">
          <cell r="S4" t="str">
            <v>冷却石价值</v>
          </cell>
        </row>
        <row r="5">
          <cell r="S5" t="str">
            <v>冷却石总需求</v>
          </cell>
        </row>
      </sheetData>
      <sheetData sheetId="2"/>
      <sheetData sheetId="3">
        <row r="7">
          <cell r="B7"/>
          <cell r="AT7">
            <v>0</v>
          </cell>
        </row>
        <row r="8">
          <cell r="B8">
            <v>0</v>
          </cell>
          <cell r="AT8">
            <v>0</v>
          </cell>
        </row>
        <row r="9">
          <cell r="B9">
            <v>0</v>
          </cell>
          <cell r="AT9">
            <v>0</v>
          </cell>
        </row>
        <row r="10">
          <cell r="B10">
            <v>0</v>
          </cell>
          <cell r="AT10">
            <v>0</v>
          </cell>
        </row>
        <row r="11">
          <cell r="B11">
            <v>0</v>
          </cell>
          <cell r="AT11">
            <v>0</v>
          </cell>
        </row>
        <row r="12">
          <cell r="B12">
            <v>0</v>
          </cell>
          <cell r="AT12">
            <v>0</v>
          </cell>
        </row>
        <row r="13">
          <cell r="B13">
            <v>1548</v>
          </cell>
          <cell r="AT13">
            <v>18</v>
          </cell>
        </row>
        <row r="14">
          <cell r="B14">
            <v>3296</v>
          </cell>
          <cell r="AT14">
            <v>19</v>
          </cell>
        </row>
        <row r="15">
          <cell r="B15">
            <v>4472</v>
          </cell>
          <cell r="AT15">
            <v>12</v>
          </cell>
        </row>
        <row r="16">
          <cell r="B16">
            <v>8424</v>
          </cell>
          <cell r="AT16">
            <v>38</v>
          </cell>
        </row>
        <row r="17">
          <cell r="B17">
            <v>11724</v>
          </cell>
          <cell r="AT17">
            <v>30</v>
          </cell>
        </row>
        <row r="18">
          <cell r="B18">
            <v>14740</v>
          </cell>
          <cell r="AT18">
            <v>26</v>
          </cell>
        </row>
        <row r="19">
          <cell r="B19">
            <v>21328</v>
          </cell>
          <cell r="AT19">
            <v>54</v>
          </cell>
        </row>
        <row r="20">
          <cell r="B20">
            <v>26064</v>
          </cell>
          <cell r="AT20">
            <v>37</v>
          </cell>
        </row>
        <row r="21">
          <cell r="B21">
            <v>30754</v>
          </cell>
          <cell r="AT21">
            <v>35</v>
          </cell>
        </row>
        <row r="22">
          <cell r="B22">
            <v>40274</v>
          </cell>
          <cell r="AT22">
            <v>68</v>
          </cell>
        </row>
        <row r="23">
          <cell r="B23">
            <v>45530</v>
          </cell>
          <cell r="AT23">
            <v>36</v>
          </cell>
        </row>
        <row r="24">
          <cell r="B24">
            <v>53434</v>
          </cell>
          <cell r="AT24">
            <v>52</v>
          </cell>
        </row>
        <row r="25">
          <cell r="B25">
            <v>64968</v>
          </cell>
          <cell r="AT25">
            <v>73</v>
          </cell>
        </row>
        <row r="26">
          <cell r="B26">
            <v>74250</v>
          </cell>
          <cell r="AT26">
            <v>51</v>
          </cell>
        </row>
        <row r="27">
          <cell r="B27">
            <v>84960</v>
          </cell>
          <cell r="AT27">
            <v>51</v>
          </cell>
        </row>
        <row r="28">
          <cell r="B28">
            <v>106948</v>
          </cell>
          <cell r="AT28">
            <v>92</v>
          </cell>
        </row>
        <row r="29">
          <cell r="B29">
            <v>120718</v>
          </cell>
          <cell r="AT29">
            <v>51</v>
          </cell>
        </row>
        <row r="30">
          <cell r="B30">
            <v>141254</v>
          </cell>
          <cell r="AT30">
            <v>68</v>
          </cell>
        </row>
        <row r="31">
          <cell r="B31">
            <v>174754</v>
          </cell>
          <cell r="AT31">
            <v>100</v>
          </cell>
        </row>
        <row r="32">
          <cell r="B32">
            <v>193994</v>
          </cell>
          <cell r="AT32">
            <v>52</v>
          </cell>
        </row>
        <row r="33">
          <cell r="B33">
            <v>235406</v>
          </cell>
          <cell r="AT33">
            <v>102</v>
          </cell>
        </row>
        <row r="34">
          <cell r="B34">
            <v>270403</v>
          </cell>
          <cell r="AT34">
            <v>79</v>
          </cell>
        </row>
        <row r="35">
          <cell r="B35">
            <v>304625</v>
          </cell>
          <cell r="AT35">
            <v>71</v>
          </cell>
        </row>
        <row r="36">
          <cell r="B36">
            <v>364655</v>
          </cell>
          <cell r="AT36">
            <v>115</v>
          </cell>
        </row>
        <row r="37">
          <cell r="B37">
            <v>417577</v>
          </cell>
          <cell r="AT37">
            <v>94</v>
          </cell>
        </row>
        <row r="38">
          <cell r="B38">
            <v>487873</v>
          </cell>
          <cell r="AT38">
            <v>116</v>
          </cell>
        </row>
        <row r="39">
          <cell r="B39">
            <v>551671</v>
          </cell>
          <cell r="AT39">
            <v>98</v>
          </cell>
        </row>
        <row r="40">
          <cell r="B40">
            <v>624055</v>
          </cell>
          <cell r="AT40">
            <v>104</v>
          </cell>
        </row>
        <row r="41">
          <cell r="B41">
            <v>725103</v>
          </cell>
          <cell r="AT41">
            <v>136</v>
          </cell>
        </row>
        <row r="42">
          <cell r="B42">
            <v>827933</v>
          </cell>
          <cell r="AT42">
            <v>130</v>
          </cell>
        </row>
        <row r="43">
          <cell r="B43">
            <v>931376</v>
          </cell>
          <cell r="AT43">
            <v>123</v>
          </cell>
        </row>
        <row r="44">
          <cell r="B44">
            <v>1048228</v>
          </cell>
          <cell r="AT44">
            <v>131</v>
          </cell>
        </row>
        <row r="45">
          <cell r="B45">
            <v>1201156</v>
          </cell>
          <cell r="AT45">
            <v>162</v>
          </cell>
        </row>
        <row r="46">
          <cell r="B46">
            <v>1326904</v>
          </cell>
          <cell r="AT46">
            <v>126</v>
          </cell>
        </row>
        <row r="47">
          <cell r="B47">
            <v>1484854</v>
          </cell>
          <cell r="AT47">
            <v>150</v>
          </cell>
        </row>
        <row r="48">
          <cell r="B48">
            <v>1641364</v>
          </cell>
          <cell r="AT48">
            <v>141</v>
          </cell>
        </row>
        <row r="49">
          <cell r="B49">
            <v>1851424</v>
          </cell>
          <cell r="AT49">
            <v>180</v>
          </cell>
        </row>
        <row r="50">
          <cell r="B50">
            <v>2103980</v>
          </cell>
          <cell r="AT50">
            <v>206</v>
          </cell>
        </row>
        <row r="51">
          <cell r="B51">
            <v>2309900</v>
          </cell>
          <cell r="AT51">
            <v>160</v>
          </cell>
        </row>
        <row r="52">
          <cell r="B52">
            <v>2613425</v>
          </cell>
          <cell r="AT52">
            <v>225</v>
          </cell>
        </row>
        <row r="53">
          <cell r="B53">
            <v>2987605</v>
          </cell>
          <cell r="AT53">
            <v>265</v>
          </cell>
        </row>
        <row r="54">
          <cell r="B54">
            <v>3155983</v>
          </cell>
          <cell r="AT54">
            <v>114</v>
          </cell>
        </row>
        <row r="55">
          <cell r="B55">
            <v>3555620</v>
          </cell>
          <cell r="AT55">
            <v>259</v>
          </cell>
        </row>
        <row r="56">
          <cell r="B56">
            <v>4043450</v>
          </cell>
          <cell r="AT56">
            <v>303</v>
          </cell>
        </row>
        <row r="57">
          <cell r="B57">
            <v>4332238</v>
          </cell>
          <cell r="AT57">
            <v>172</v>
          </cell>
        </row>
        <row r="58">
          <cell r="B58">
            <v>4778233</v>
          </cell>
          <cell r="AT58">
            <v>255</v>
          </cell>
        </row>
        <row r="59">
          <cell r="B59">
            <v>5457093</v>
          </cell>
          <cell r="AT59">
            <v>373</v>
          </cell>
        </row>
        <row r="60">
          <cell r="B60">
            <v>5871660</v>
          </cell>
          <cell r="AT60">
            <v>219</v>
          </cell>
        </row>
        <row r="61">
          <cell r="B61">
            <v>6349641</v>
          </cell>
          <cell r="AT61">
            <v>243</v>
          </cell>
        </row>
        <row r="62">
          <cell r="B62">
            <v>7050047</v>
          </cell>
          <cell r="AT62">
            <v>343</v>
          </cell>
        </row>
        <row r="63">
          <cell r="B63">
            <v>7757793</v>
          </cell>
          <cell r="AT63">
            <v>334</v>
          </cell>
        </row>
        <row r="64">
          <cell r="B64">
            <v>8568855</v>
          </cell>
          <cell r="AT64">
            <v>369</v>
          </cell>
        </row>
        <row r="65">
          <cell r="B65">
            <v>9249678</v>
          </cell>
          <cell r="AT65">
            <v>299</v>
          </cell>
        </row>
        <row r="66">
          <cell r="B66">
            <v>10240038</v>
          </cell>
          <cell r="AT66">
            <v>420</v>
          </cell>
        </row>
        <row r="67">
          <cell r="B67">
            <v>11184318</v>
          </cell>
          <cell r="AT67">
            <v>387</v>
          </cell>
        </row>
        <row r="68">
          <cell r="B68">
            <v>12345358</v>
          </cell>
          <cell r="AT68">
            <v>460</v>
          </cell>
        </row>
        <row r="69">
          <cell r="B69">
            <v>13295034</v>
          </cell>
          <cell r="AT69">
            <v>364</v>
          </cell>
        </row>
        <row r="70">
          <cell r="B70">
            <v>14701824</v>
          </cell>
          <cell r="AT70">
            <v>522</v>
          </cell>
        </row>
        <row r="71">
          <cell r="B71">
            <v>15943042</v>
          </cell>
          <cell r="AT71">
            <v>446</v>
          </cell>
        </row>
        <row r="72">
          <cell r="B72">
            <v>17393402</v>
          </cell>
          <cell r="AT72">
            <v>505</v>
          </cell>
        </row>
        <row r="73">
          <cell r="B73">
            <v>18655640</v>
          </cell>
          <cell r="AT73">
            <v>426</v>
          </cell>
        </row>
        <row r="74">
          <cell r="B74">
            <v>20634632</v>
          </cell>
          <cell r="AT74">
            <v>648</v>
          </cell>
        </row>
        <row r="75">
          <cell r="B75">
            <v>22280513</v>
          </cell>
          <cell r="AT75">
            <v>523</v>
          </cell>
        </row>
        <row r="76">
          <cell r="B76">
            <v>24209503</v>
          </cell>
          <cell r="AT76">
            <v>595</v>
          </cell>
        </row>
        <row r="77">
          <cell r="B77">
            <v>26706327</v>
          </cell>
          <cell r="AT77">
            <v>748</v>
          </cell>
        </row>
        <row r="78">
          <cell r="B78">
            <v>28379172</v>
          </cell>
          <cell r="AT78">
            <v>487</v>
          </cell>
        </row>
        <row r="79">
          <cell r="B79">
            <v>30792894</v>
          </cell>
          <cell r="AT79">
            <v>683</v>
          </cell>
        </row>
        <row r="80">
          <cell r="B80">
            <v>34165246</v>
          </cell>
          <cell r="AT80">
            <v>928</v>
          </cell>
        </row>
        <row r="81">
          <cell r="B81">
            <v>35976721</v>
          </cell>
          <cell r="AT81">
            <v>485</v>
          </cell>
        </row>
        <row r="82">
          <cell r="B82">
            <v>38970361</v>
          </cell>
          <cell r="AT82">
            <v>780</v>
          </cell>
        </row>
        <row r="83">
          <cell r="B83">
            <v>43763833</v>
          </cell>
          <cell r="AT83">
            <v>1216</v>
          </cell>
        </row>
        <row r="84">
          <cell r="B84">
            <v>45402868</v>
          </cell>
          <cell r="AT84">
            <v>405</v>
          </cell>
        </row>
        <row r="85">
          <cell r="B85">
            <v>49116544</v>
          </cell>
          <cell r="AT85">
            <v>894</v>
          </cell>
        </row>
        <row r="86">
          <cell r="A86">
            <v>60615598</v>
          </cell>
          <cell r="B86">
            <v>55049248</v>
          </cell>
          <cell r="AT86">
            <v>1392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装备基础数据"/>
      <sheetName val="D_装备升级表"/>
      <sheetName val="D_装备强化数据"/>
      <sheetName val="D_装备金币参考表"/>
      <sheetName val="D_装备升星数据"/>
      <sheetName val="D_装备分解表"/>
      <sheetName val="定义数据"/>
      <sheetName val="装备属性计算表"/>
      <sheetName val="强化辅助表"/>
      <sheetName val="升星辅助表"/>
      <sheetName val="升星消耗"/>
      <sheetName val="价值&amp;消耗"/>
    </sheetNames>
    <sheetDataSet>
      <sheetData sheetId="0">
        <row r="2">
          <cell r="A2" t="str">
            <v>10001</v>
          </cell>
          <cell r="B2" t="str">
            <v>新手之剑</v>
          </cell>
          <cell r="I2">
            <v>0</v>
          </cell>
          <cell r="AP2">
            <v>0</v>
          </cell>
          <cell r="AQ2">
            <v>0</v>
          </cell>
          <cell r="AR2">
            <v>0</v>
          </cell>
          <cell r="AS2">
            <v>10</v>
          </cell>
        </row>
        <row r="3">
          <cell r="A3" t="str">
            <v>20001</v>
          </cell>
          <cell r="B3" t="str">
            <v>新手之拳</v>
          </cell>
          <cell r="I3">
            <v>0</v>
          </cell>
          <cell r="AP3">
            <v>0</v>
          </cell>
          <cell r="AQ3">
            <v>0</v>
          </cell>
          <cell r="AR3">
            <v>0</v>
          </cell>
          <cell r="AS3">
            <v>10</v>
          </cell>
        </row>
        <row r="4">
          <cell r="A4" t="str">
            <v>30001</v>
          </cell>
          <cell r="B4" t="str">
            <v>新手之枪</v>
          </cell>
          <cell r="I4">
            <v>0</v>
          </cell>
          <cell r="AP4">
            <v>0</v>
          </cell>
          <cell r="AQ4">
            <v>0</v>
          </cell>
          <cell r="AR4">
            <v>0</v>
          </cell>
          <cell r="AS4">
            <v>10</v>
          </cell>
        </row>
        <row r="5">
          <cell r="A5" t="str">
            <v>10002</v>
          </cell>
          <cell r="B5" t="str">
            <v>染血之剑</v>
          </cell>
          <cell r="I5">
            <v>0</v>
          </cell>
          <cell r="AP5">
            <v>16.599081639928706</v>
          </cell>
          <cell r="AQ5">
            <v>829.95408199643532</v>
          </cell>
          <cell r="AR5">
            <v>50</v>
          </cell>
          <cell r="AS5">
            <v>10</v>
          </cell>
        </row>
        <row r="6">
          <cell r="A6" t="str">
            <v>20002</v>
          </cell>
          <cell r="B6" t="str">
            <v>染血之拳</v>
          </cell>
          <cell r="I6">
            <v>0</v>
          </cell>
          <cell r="AP6">
            <v>16.599081639928706</v>
          </cell>
          <cell r="AQ6">
            <v>829.95408199643532</v>
          </cell>
          <cell r="AR6">
            <v>50</v>
          </cell>
          <cell r="AS6">
            <v>10</v>
          </cell>
        </row>
        <row r="7">
          <cell r="A7" t="str">
            <v>30002</v>
          </cell>
          <cell r="B7" t="str">
            <v>染血之枪</v>
          </cell>
          <cell r="I7">
            <v>0</v>
          </cell>
          <cell r="AP7">
            <v>16.599081639928706</v>
          </cell>
          <cell r="AQ7">
            <v>829.95408199643532</v>
          </cell>
          <cell r="AR7">
            <v>50</v>
          </cell>
          <cell r="AS7">
            <v>10</v>
          </cell>
        </row>
        <row r="8">
          <cell r="A8" t="str">
            <v>51002</v>
          </cell>
          <cell r="B8" t="str">
            <v>染血战衣</v>
          </cell>
          <cell r="I8">
            <v>0</v>
          </cell>
          <cell r="AP8">
            <v>14.569636415687212</v>
          </cell>
          <cell r="AQ8">
            <v>728.48182078436059</v>
          </cell>
          <cell r="AR8">
            <v>43.886874984216874</v>
          </cell>
          <cell r="AS8">
            <v>10</v>
          </cell>
        </row>
        <row r="9">
          <cell r="A9" t="str">
            <v>52002</v>
          </cell>
          <cell r="B9" t="str">
            <v>染血长裤</v>
          </cell>
          <cell r="I9">
            <v>0</v>
          </cell>
          <cell r="AP9">
            <v>5.2122187059503178</v>
          </cell>
          <cell r="AQ9">
            <v>260.61093529751588</v>
          </cell>
          <cell r="AR9">
            <v>15.700322520893103</v>
          </cell>
          <cell r="AS9">
            <v>10</v>
          </cell>
        </row>
        <row r="10">
          <cell r="A10" t="str">
            <v>55002</v>
          </cell>
          <cell r="B10" t="str">
            <v>染血长靴</v>
          </cell>
          <cell r="I10">
            <v>0</v>
          </cell>
          <cell r="AP10">
            <v>6.677519452253911</v>
          </cell>
          <cell r="AQ10">
            <v>333.87597261269553</v>
          </cell>
          <cell r="AR10">
            <v>20.114123169896615</v>
          </cell>
          <cell r="AS10">
            <v>10</v>
          </cell>
        </row>
        <row r="11">
          <cell r="A11" t="str">
            <v>54002</v>
          </cell>
          <cell r="B11" t="str">
            <v>染血腰带</v>
          </cell>
          <cell r="I11">
            <v>0</v>
          </cell>
          <cell r="AP11">
            <v>4.8025194522539119</v>
          </cell>
          <cell r="AQ11">
            <v>240.12597261269559</v>
          </cell>
          <cell r="AR11">
            <v>14.466220350111305</v>
          </cell>
          <cell r="AS11">
            <v>10</v>
          </cell>
        </row>
        <row r="12">
          <cell r="A12" t="str">
            <v>53002</v>
          </cell>
          <cell r="B12" t="str">
            <v>染血项链</v>
          </cell>
          <cell r="I12">
            <v>0</v>
          </cell>
          <cell r="AP12">
            <v>10.289971657754013</v>
          </cell>
          <cell r="AQ12">
            <v>514.49858288770065</v>
          </cell>
          <cell r="AR12">
            <v>30.995605302047927</v>
          </cell>
          <cell r="AS12">
            <v>10</v>
          </cell>
        </row>
        <row r="13">
          <cell r="A13" t="str">
            <v>10103</v>
          </cell>
          <cell r="B13" t="str">
            <v>狂气之剑</v>
          </cell>
          <cell r="I13">
            <v>1</v>
          </cell>
          <cell r="AP13">
            <v>27.271223842473059</v>
          </cell>
          <cell r="AQ13">
            <v>1363.561192123653</v>
          </cell>
          <cell r="AR13">
            <v>60</v>
          </cell>
          <cell r="AS13">
            <v>10</v>
          </cell>
        </row>
        <row r="14">
          <cell r="A14" t="str">
            <v>20103</v>
          </cell>
          <cell r="B14" t="str">
            <v>狂气之拳</v>
          </cell>
          <cell r="I14">
            <v>1</v>
          </cell>
          <cell r="AP14">
            <v>27.271223842473059</v>
          </cell>
          <cell r="AQ14">
            <v>1363.561192123653</v>
          </cell>
          <cell r="AR14">
            <v>60</v>
          </cell>
          <cell r="AS14">
            <v>10</v>
          </cell>
        </row>
        <row r="15">
          <cell r="A15" t="str">
            <v>30103</v>
          </cell>
          <cell r="B15" t="str">
            <v>狂气之枪</v>
          </cell>
          <cell r="I15">
            <v>1</v>
          </cell>
          <cell r="AP15">
            <v>27.271223842473059</v>
          </cell>
          <cell r="AQ15">
            <v>1363.561192123653</v>
          </cell>
          <cell r="AR15">
            <v>60</v>
          </cell>
          <cell r="AS15">
            <v>10</v>
          </cell>
        </row>
        <row r="16">
          <cell r="A16" t="str">
            <v>51103</v>
          </cell>
          <cell r="B16" t="str">
            <v>狂气战衣</v>
          </cell>
          <cell r="I16">
            <v>1</v>
          </cell>
          <cell r="AP16">
            <v>23.526385910626644</v>
          </cell>
          <cell r="AQ16">
            <v>1176.3192955313323</v>
          </cell>
          <cell r="AR16">
            <v>51.760902363287215</v>
          </cell>
          <cell r="AS16">
            <v>10</v>
          </cell>
        </row>
        <row r="17">
          <cell r="A17" t="str">
            <v>52103</v>
          </cell>
          <cell r="B17" t="str">
            <v>狂气长裤</v>
          </cell>
          <cell r="I17">
            <v>1</v>
          </cell>
          <cell r="AP17">
            <v>8.6681045762457778</v>
          </cell>
          <cell r="AQ17">
            <v>433.4052288122889</v>
          </cell>
          <cell r="AR17">
            <v>19.070881364874719</v>
          </cell>
          <cell r="AS17">
            <v>10</v>
          </cell>
        </row>
        <row r="18">
          <cell r="A18" t="str">
            <v>55103</v>
          </cell>
          <cell r="B18" t="str">
            <v>狂气长靴</v>
          </cell>
          <cell r="I18">
            <v>1</v>
          </cell>
          <cell r="AP18">
            <v>11.042635776579273</v>
          </cell>
          <cell r="AQ18">
            <v>552.13178882896364</v>
          </cell>
          <cell r="AR18">
            <v>24.295137996809203</v>
          </cell>
          <cell r="AS18">
            <v>10</v>
          </cell>
        </row>
        <row r="19">
          <cell r="A19" t="str">
            <v>54103</v>
          </cell>
          <cell r="B19" t="str">
            <v>狂气腰带</v>
          </cell>
          <cell r="I19">
            <v>1</v>
          </cell>
          <cell r="AP19">
            <v>8.8834588928300544</v>
          </cell>
          <cell r="AQ19">
            <v>444.17294464150274</v>
          </cell>
          <cell r="AR19">
            <v>19.544686980262345</v>
          </cell>
          <cell r="AS19">
            <v>10</v>
          </cell>
        </row>
        <row r="20">
          <cell r="A20" t="str">
            <v>53103</v>
          </cell>
          <cell r="B20" t="str">
            <v>狂气项链</v>
          </cell>
          <cell r="I20">
            <v>1</v>
          </cell>
          <cell r="AP20">
            <v>16.5572540855615</v>
          </cell>
          <cell r="AQ20">
            <v>827.86270427807494</v>
          </cell>
          <cell r="AR20">
            <v>36.42796710818979</v>
          </cell>
          <cell r="AS20">
            <v>10</v>
          </cell>
        </row>
        <row r="21">
          <cell r="A21" t="str">
            <v>10104</v>
          </cell>
          <cell r="B21" t="str">
            <v>野性之剑</v>
          </cell>
          <cell r="I21">
            <v>1</v>
          </cell>
          <cell r="AP21">
            <v>54.542447684946119</v>
          </cell>
          <cell r="AQ21">
            <v>2727.1223842473059</v>
          </cell>
          <cell r="AR21">
            <v>180</v>
          </cell>
          <cell r="AS21">
            <v>10</v>
          </cell>
        </row>
        <row r="22">
          <cell r="A22" t="str">
            <v>20104</v>
          </cell>
          <cell r="B22" t="str">
            <v>野性之拳</v>
          </cell>
          <cell r="I22">
            <v>1</v>
          </cell>
          <cell r="AP22">
            <v>54.542447684946119</v>
          </cell>
          <cell r="AQ22">
            <v>2727.1223842473059</v>
          </cell>
          <cell r="AR22">
            <v>180</v>
          </cell>
          <cell r="AS22">
            <v>10</v>
          </cell>
        </row>
        <row r="23">
          <cell r="A23" t="str">
            <v>30104</v>
          </cell>
          <cell r="B23" t="str">
            <v>野性之枪</v>
          </cell>
          <cell r="I23">
            <v>1</v>
          </cell>
          <cell r="AP23">
            <v>54.542447684946119</v>
          </cell>
          <cell r="AQ23">
            <v>2727.1223842473059</v>
          </cell>
          <cell r="AR23">
            <v>180</v>
          </cell>
          <cell r="AS23">
            <v>10</v>
          </cell>
        </row>
        <row r="24">
          <cell r="A24" t="str">
            <v>51104</v>
          </cell>
          <cell r="B24" t="str">
            <v>野性战衣</v>
          </cell>
          <cell r="I24">
            <v>1</v>
          </cell>
          <cell r="AP24">
            <v>47.052771821253287</v>
          </cell>
          <cell r="AQ24">
            <v>2352.6385910626645</v>
          </cell>
          <cell r="AR24">
            <v>155.28270708986165</v>
          </cell>
          <cell r="AS24">
            <v>10</v>
          </cell>
        </row>
        <row r="25">
          <cell r="A25" t="str">
            <v>52104</v>
          </cell>
          <cell r="B25" t="str">
            <v>野性长裤</v>
          </cell>
          <cell r="I25">
            <v>1</v>
          </cell>
          <cell r="AP25">
            <v>17.336209152491556</v>
          </cell>
          <cell r="AQ25">
            <v>866.81045762457779</v>
          </cell>
          <cell r="AR25">
            <v>57.212644094624153</v>
          </cell>
          <cell r="AS25">
            <v>10</v>
          </cell>
        </row>
        <row r="26">
          <cell r="A26" t="str">
            <v>55104</v>
          </cell>
          <cell r="B26" t="str">
            <v>野性长靴</v>
          </cell>
          <cell r="I26">
            <v>1</v>
          </cell>
          <cell r="AP26">
            <v>22.085271553158545</v>
          </cell>
          <cell r="AQ26">
            <v>1104.2635776579273</v>
          </cell>
          <cell r="AR26">
            <v>72.885413990427608</v>
          </cell>
          <cell r="AS26">
            <v>10</v>
          </cell>
        </row>
        <row r="27">
          <cell r="A27" t="str">
            <v>54104</v>
          </cell>
          <cell r="B27" t="str">
            <v>野性腰带</v>
          </cell>
          <cell r="I27">
            <v>1</v>
          </cell>
          <cell r="AP27">
            <v>17.766917785660109</v>
          </cell>
          <cell r="AQ27">
            <v>888.34588928300548</v>
          </cell>
          <cell r="AR27">
            <v>58.634060940787037</v>
          </cell>
          <cell r="AS27">
            <v>10</v>
          </cell>
        </row>
        <row r="28">
          <cell r="A28" t="str">
            <v>53104</v>
          </cell>
          <cell r="B28" t="str">
            <v>野性项链</v>
          </cell>
          <cell r="I28">
            <v>1</v>
          </cell>
          <cell r="AP28">
            <v>33.114508171122999</v>
          </cell>
          <cell r="AQ28">
            <v>1655.7254085561499</v>
          </cell>
          <cell r="AR28">
            <v>109.28390132456938</v>
          </cell>
          <cell r="AS28">
            <v>10</v>
          </cell>
        </row>
        <row r="29">
          <cell r="A29" t="str">
            <v>10205</v>
          </cell>
          <cell r="B29" t="str">
            <v>紫云之剑</v>
          </cell>
          <cell r="I29">
            <v>2</v>
          </cell>
          <cell r="AP29">
            <v>78.44478193951754</v>
          </cell>
          <cell r="AQ29">
            <v>3922.2390969758771</v>
          </cell>
          <cell r="AR29">
            <v>359.99999999999994</v>
          </cell>
          <cell r="AS29">
            <v>10</v>
          </cell>
        </row>
        <row r="30">
          <cell r="A30" t="str">
            <v>20205</v>
          </cell>
          <cell r="B30" t="str">
            <v>紫云之拳</v>
          </cell>
          <cell r="I30">
            <v>2</v>
          </cell>
          <cell r="AP30">
            <v>78.44478193951754</v>
          </cell>
          <cell r="AQ30">
            <v>3922.2390969758771</v>
          </cell>
          <cell r="AR30">
            <v>359.99999999999994</v>
          </cell>
          <cell r="AS30">
            <v>10</v>
          </cell>
        </row>
        <row r="31">
          <cell r="A31" t="str">
            <v>30205</v>
          </cell>
          <cell r="B31" t="str">
            <v>紫云之枪</v>
          </cell>
          <cell r="I31">
            <v>2</v>
          </cell>
          <cell r="AP31">
            <v>78.44478193951754</v>
          </cell>
          <cell r="AQ31">
            <v>3922.2390969758771</v>
          </cell>
          <cell r="AR31">
            <v>359.99999999999994</v>
          </cell>
          <cell r="AS31">
            <v>10</v>
          </cell>
        </row>
        <row r="32">
          <cell r="A32" t="str">
            <v>51205</v>
          </cell>
          <cell r="B32" t="str">
            <v>紫云战衣</v>
          </cell>
          <cell r="I32">
            <v>2</v>
          </cell>
          <cell r="AP32">
            <v>66.481629457733803</v>
          </cell>
          <cell r="AQ32">
            <v>3324.0814728866903</v>
          </cell>
          <cell r="AR32">
            <v>305.0985166003428</v>
          </cell>
          <cell r="AS32">
            <v>10</v>
          </cell>
        </row>
        <row r="33">
          <cell r="A33" t="str">
            <v>52205</v>
          </cell>
          <cell r="B33" t="str">
            <v>紫云长裤</v>
          </cell>
          <cell r="I33">
            <v>2</v>
          </cell>
          <cell r="AP33">
            <v>25.23747283105687</v>
          </cell>
          <cell r="AQ33">
            <v>1261.8736415528435</v>
          </cell>
          <cell r="AR33">
            <v>115.8201985466103</v>
          </cell>
          <cell r="AS33">
            <v>10</v>
          </cell>
        </row>
        <row r="34">
          <cell r="A34" t="str">
            <v>55205</v>
          </cell>
          <cell r="B34" t="str">
            <v>紫云长靴</v>
          </cell>
          <cell r="I34">
            <v>2</v>
          </cell>
          <cell r="AP34">
            <v>31.972386208936598</v>
          </cell>
          <cell r="AQ34">
            <v>1598.6193104468298</v>
          </cell>
          <cell r="AR34">
            <v>146.72816662415676</v>
          </cell>
          <cell r="AS34">
            <v>10</v>
          </cell>
        </row>
        <row r="35">
          <cell r="A35" t="str">
            <v>54205</v>
          </cell>
          <cell r="B35" t="str">
            <v>紫云腰带</v>
          </cell>
          <cell r="I35">
            <v>2</v>
          </cell>
          <cell r="AP35">
            <v>28.434641991718891</v>
          </cell>
          <cell r="AQ35">
            <v>1421.7320995859445</v>
          </cell>
          <cell r="AR35">
            <v>130.49269644106244</v>
          </cell>
          <cell r="AS35">
            <v>10</v>
          </cell>
        </row>
        <row r="36">
          <cell r="A36" t="str">
            <v>53205</v>
          </cell>
          <cell r="B36" t="str">
            <v>紫云项链</v>
          </cell>
          <cell r="I36">
            <v>2</v>
          </cell>
          <cell r="AP36">
            <v>46.615269814616767</v>
          </cell>
          <cell r="AQ36">
            <v>2330.7634907308384</v>
          </cell>
          <cell r="AR36">
            <v>213.92751332014529</v>
          </cell>
          <cell r="AS36">
            <v>10</v>
          </cell>
        </row>
        <row r="37">
          <cell r="A37" t="str">
            <v>10306</v>
          </cell>
          <cell r="B37" t="str">
            <v>鎏金之剑</v>
          </cell>
          <cell r="I37">
            <v>3</v>
          </cell>
          <cell r="AP37">
            <v>102.13865243691686</v>
          </cell>
          <cell r="AQ37">
            <v>5106.9326218458427</v>
          </cell>
          <cell r="AR37">
            <v>899.99999999999989</v>
          </cell>
          <cell r="AS37">
            <v>10</v>
          </cell>
        </row>
        <row r="38">
          <cell r="A38" t="str">
            <v>20306</v>
          </cell>
          <cell r="B38" t="str">
            <v>鎏金之拳</v>
          </cell>
          <cell r="I38">
            <v>3</v>
          </cell>
          <cell r="AP38">
            <v>102.13865243691686</v>
          </cell>
          <cell r="AQ38">
            <v>5106.9326218458427</v>
          </cell>
          <cell r="AR38">
            <v>899.99999999999989</v>
          </cell>
          <cell r="AS38">
            <v>10</v>
          </cell>
        </row>
        <row r="39">
          <cell r="A39" t="str">
            <v>30306</v>
          </cell>
          <cell r="B39" t="str">
            <v>鎏金之枪</v>
          </cell>
          <cell r="I39">
            <v>3</v>
          </cell>
          <cell r="AP39">
            <v>102.13865243691686</v>
          </cell>
          <cell r="AQ39">
            <v>5106.9326218458427</v>
          </cell>
          <cell r="AR39">
            <v>899.99999999999989</v>
          </cell>
          <cell r="AS39">
            <v>10</v>
          </cell>
        </row>
        <row r="40">
          <cell r="A40" t="str">
            <v>51306</v>
          </cell>
          <cell r="B40" t="str">
            <v>鎏金战衣</v>
          </cell>
          <cell r="I40">
            <v>3</v>
          </cell>
          <cell r="AP40">
            <v>84.997573004868073</v>
          </cell>
          <cell r="AQ40">
            <v>4249.8786502434041</v>
          </cell>
          <cell r="AR40">
            <v>748.96049516247569</v>
          </cell>
          <cell r="AS40">
            <v>10</v>
          </cell>
        </row>
        <row r="41">
          <cell r="A41" t="str">
            <v>52306</v>
          </cell>
          <cell r="B41" t="str">
            <v>鎏金长裤</v>
          </cell>
          <cell r="I41">
            <v>3</v>
          </cell>
          <cell r="AP41">
            <v>33.259525329938178</v>
          </cell>
          <cell r="AQ41">
            <v>1662.9762664969089</v>
          </cell>
          <cell r="AR41">
            <v>293.06802158401308</v>
          </cell>
          <cell r="AS41">
            <v>10</v>
          </cell>
        </row>
        <row r="42">
          <cell r="A42" t="str">
            <v>55306</v>
          </cell>
          <cell r="B42" t="str">
            <v>鎏金长靴</v>
          </cell>
          <cell r="I42">
            <v>3</v>
          </cell>
          <cell r="AP42">
            <v>41.903462963133002</v>
          </cell>
          <cell r="AQ42">
            <v>2095.1731481566503</v>
          </cell>
          <cell r="AR42">
            <v>369.23452353272603</v>
          </cell>
          <cell r="AS42">
            <v>10</v>
          </cell>
        </row>
        <row r="43">
          <cell r="A43" t="str">
            <v>54306</v>
          </cell>
          <cell r="B43" t="str">
            <v>鎏金腰带</v>
          </cell>
          <cell r="I43">
            <v>3</v>
          </cell>
          <cell r="AP43">
            <v>40.807791613975198</v>
          </cell>
          <cell r="AQ43">
            <v>2040.3895806987598</v>
          </cell>
          <cell r="AR43">
            <v>359.57995897058765</v>
          </cell>
          <cell r="AS43">
            <v>10</v>
          </cell>
        </row>
        <row r="44">
          <cell r="A44" t="str">
            <v>53306</v>
          </cell>
          <cell r="B44" t="str">
            <v>鎏金项链</v>
          </cell>
          <cell r="I44">
            <v>3</v>
          </cell>
          <cell r="AP44">
            <v>59.367232969697</v>
          </cell>
          <cell r="AQ44">
            <v>2968.3616484848499</v>
          </cell>
          <cell r="AR44">
            <v>523.11743299851332</v>
          </cell>
          <cell r="AS44">
            <v>10</v>
          </cell>
        </row>
        <row r="45">
          <cell r="A45" t="str">
            <v>10407</v>
          </cell>
          <cell r="B45" t="str">
            <v>虹光之剑</v>
          </cell>
          <cell r="I45">
            <v>4</v>
          </cell>
          <cell r="AP45">
            <v>119.64196112108959</v>
          </cell>
          <cell r="AQ45">
            <v>5982.0980560544795</v>
          </cell>
          <cell r="AR45">
            <v>1500</v>
          </cell>
          <cell r="AS45">
            <v>10</v>
          </cell>
        </row>
        <row r="46">
          <cell r="A46" t="str">
            <v>20407</v>
          </cell>
          <cell r="B46" t="str">
            <v>虹光之拳</v>
          </cell>
          <cell r="I46">
            <v>4</v>
          </cell>
          <cell r="AP46">
            <v>119.64196112108959</v>
          </cell>
          <cell r="AQ46">
            <v>5982.0980560544795</v>
          </cell>
          <cell r="AR46">
            <v>1500</v>
          </cell>
          <cell r="AS46">
            <v>10</v>
          </cell>
        </row>
        <row r="47">
          <cell r="A47" t="str">
            <v>30407</v>
          </cell>
          <cell r="B47" t="str">
            <v>虹光之枪</v>
          </cell>
          <cell r="I47">
            <v>4</v>
          </cell>
          <cell r="AP47">
            <v>119.64196112108959</v>
          </cell>
          <cell r="AQ47">
            <v>5982.0980560544795</v>
          </cell>
          <cell r="AR47">
            <v>1500</v>
          </cell>
          <cell r="AS47">
            <v>10</v>
          </cell>
        </row>
        <row r="48">
          <cell r="A48" t="str">
            <v>51407</v>
          </cell>
          <cell r="B48" t="str">
            <v>虹光战衣</v>
          </cell>
          <cell r="I48">
            <v>4</v>
          </cell>
          <cell r="AP48">
            <v>97.714859488243945</v>
          </cell>
          <cell r="AQ48">
            <v>4885.7429744121973</v>
          </cell>
          <cell r="AR48">
            <v>1225.0909953241251</v>
          </cell>
          <cell r="AS48">
            <v>10</v>
          </cell>
        </row>
        <row r="49">
          <cell r="A49" t="str">
            <v>52407</v>
          </cell>
          <cell r="B49" t="str">
            <v>虹光长裤</v>
          </cell>
          <cell r="I49">
            <v>4</v>
          </cell>
          <cell r="AP49">
            <v>39.43082538012905</v>
          </cell>
          <cell r="AQ49">
            <v>1971.5412690064525</v>
          </cell>
          <cell r="AR49">
            <v>494.36031903833202</v>
          </cell>
          <cell r="AS49">
            <v>10</v>
          </cell>
        </row>
        <row r="50">
          <cell r="A50" t="str">
            <v>55407</v>
          </cell>
          <cell r="B50" t="str">
            <v>虹光长靴</v>
          </cell>
          <cell r="I50">
            <v>4</v>
          </cell>
          <cell r="AP50">
            <v>49.408096967378796</v>
          </cell>
          <cell r="AQ50">
            <v>2470.4048483689398</v>
          </cell>
          <cell r="AR50">
            <v>619.44943694177095</v>
          </cell>
          <cell r="AS50">
            <v>10</v>
          </cell>
        </row>
        <row r="51">
          <cell r="A51" t="str">
            <v>54407</v>
          </cell>
          <cell r="B51" t="str">
            <v>虹光腰带</v>
          </cell>
          <cell r="I51">
            <v>4</v>
          </cell>
          <cell r="AP51">
            <v>52.27273014517047</v>
          </cell>
          <cell r="AQ51">
            <v>2613.6365072585236</v>
          </cell>
          <cell r="AR51">
            <v>655.36450993475341</v>
          </cell>
          <cell r="AS51">
            <v>10</v>
          </cell>
        </row>
        <row r="52">
          <cell r="A52" t="str">
            <v>53407</v>
          </cell>
          <cell r="B52" t="str">
            <v>虹光项链</v>
          </cell>
          <cell r="I52">
            <v>4</v>
          </cell>
          <cell r="AP52">
            <v>67.97180727272729</v>
          </cell>
          <cell r="AQ52">
            <v>3398.5903636363646</v>
          </cell>
          <cell r="AR52">
            <v>852.19023454404567</v>
          </cell>
          <cell r="AS52">
            <v>10</v>
          </cell>
        </row>
        <row r="53">
          <cell r="A53" t="str">
            <v>10108</v>
          </cell>
          <cell r="B53" t="str">
            <v>碧蓝之剑</v>
          </cell>
          <cell r="I53">
            <v>1</v>
          </cell>
          <cell r="AP53">
            <v>109.08489536989224</v>
          </cell>
          <cell r="AQ53">
            <v>5454.2447684946119</v>
          </cell>
          <cell r="AR53">
            <v>360</v>
          </cell>
          <cell r="AS53">
            <v>10</v>
          </cell>
        </row>
        <row r="54">
          <cell r="A54" t="str">
            <v>20108</v>
          </cell>
          <cell r="B54" t="str">
            <v>碧蓝之拳</v>
          </cell>
          <cell r="I54">
            <v>1</v>
          </cell>
          <cell r="AP54">
            <v>109.08489536989224</v>
          </cell>
          <cell r="AQ54">
            <v>5454.2447684946119</v>
          </cell>
          <cell r="AR54">
            <v>360</v>
          </cell>
          <cell r="AS54">
            <v>10</v>
          </cell>
        </row>
        <row r="55">
          <cell r="A55" t="str">
            <v>30108</v>
          </cell>
          <cell r="B55" t="str">
            <v>碧蓝之枪</v>
          </cell>
          <cell r="I55">
            <v>1</v>
          </cell>
          <cell r="AP55">
            <v>109.08489536989224</v>
          </cell>
          <cell r="AQ55">
            <v>5454.2447684946119</v>
          </cell>
          <cell r="AR55">
            <v>360</v>
          </cell>
          <cell r="AS55">
            <v>10</v>
          </cell>
        </row>
        <row r="56">
          <cell r="A56" t="str">
            <v>51108</v>
          </cell>
          <cell r="B56" t="str">
            <v>碧蓝战衣</v>
          </cell>
          <cell r="I56">
            <v>1</v>
          </cell>
          <cell r="AP56">
            <v>94.105543642506575</v>
          </cell>
          <cell r="AQ56">
            <v>4705.2771821253291</v>
          </cell>
          <cell r="AR56">
            <v>310.56541417972329</v>
          </cell>
          <cell r="AS56">
            <v>10</v>
          </cell>
        </row>
        <row r="57">
          <cell r="A57" t="str">
            <v>52108</v>
          </cell>
          <cell r="B57" t="str">
            <v>碧蓝长裤</v>
          </cell>
          <cell r="I57">
            <v>1</v>
          </cell>
          <cell r="AP57">
            <v>34.672418304983111</v>
          </cell>
          <cell r="AQ57">
            <v>1733.6209152491556</v>
          </cell>
          <cell r="AR57">
            <v>114.42528818924831</v>
          </cell>
          <cell r="AS57">
            <v>10</v>
          </cell>
        </row>
        <row r="58">
          <cell r="A58" t="str">
            <v>55108</v>
          </cell>
          <cell r="B58" t="str">
            <v>碧蓝长靴</v>
          </cell>
          <cell r="I58">
            <v>1</v>
          </cell>
          <cell r="AP58">
            <v>44.170543106317091</v>
          </cell>
          <cell r="AQ58">
            <v>2208.5271553158545</v>
          </cell>
          <cell r="AR58">
            <v>145.77082798085522</v>
          </cell>
          <cell r="AS58">
            <v>10</v>
          </cell>
        </row>
        <row r="59">
          <cell r="A59" t="str">
            <v>54108</v>
          </cell>
          <cell r="B59" t="str">
            <v>碧蓝腰带</v>
          </cell>
          <cell r="I59">
            <v>1</v>
          </cell>
          <cell r="AP59">
            <v>35.533835571320218</v>
          </cell>
          <cell r="AQ59">
            <v>1776.691778566011</v>
          </cell>
          <cell r="AR59">
            <v>117.26812188157407</v>
          </cell>
          <cell r="AS59">
            <v>10</v>
          </cell>
        </row>
        <row r="60">
          <cell r="A60" t="str">
            <v>53108</v>
          </cell>
          <cell r="B60" t="str">
            <v>碧蓝项链</v>
          </cell>
          <cell r="I60">
            <v>1</v>
          </cell>
          <cell r="AP60">
            <v>66.229016342245998</v>
          </cell>
          <cell r="AQ60">
            <v>3311.4508171122998</v>
          </cell>
          <cell r="AR60">
            <v>218.56780264913877</v>
          </cell>
          <cell r="AS60">
            <v>10</v>
          </cell>
        </row>
        <row r="61">
          <cell r="A61" t="str">
            <v>10209</v>
          </cell>
          <cell r="B61" t="str">
            <v>斩魄之刃</v>
          </cell>
          <cell r="I61">
            <v>2</v>
          </cell>
          <cell r="AP61">
            <v>156.88956387903508</v>
          </cell>
          <cell r="AQ61">
            <v>7844.4781939517543</v>
          </cell>
          <cell r="AR61">
            <v>719.99999999999989</v>
          </cell>
          <cell r="AS61">
            <v>10</v>
          </cell>
        </row>
        <row r="62">
          <cell r="A62" t="str">
            <v>20209</v>
          </cell>
          <cell r="B62" t="str">
            <v>流光之拳</v>
          </cell>
          <cell r="I62">
            <v>2</v>
          </cell>
          <cell r="AP62">
            <v>156.88956387903508</v>
          </cell>
          <cell r="AQ62">
            <v>7844.4781939517543</v>
          </cell>
          <cell r="AR62">
            <v>719.99999999999989</v>
          </cell>
          <cell r="AS62">
            <v>10</v>
          </cell>
        </row>
        <row r="63">
          <cell r="A63" t="str">
            <v>30209</v>
          </cell>
          <cell r="B63" t="str">
            <v>玫瑰骑士</v>
          </cell>
          <cell r="I63">
            <v>2</v>
          </cell>
          <cell r="AP63">
            <v>156.88956387903508</v>
          </cell>
          <cell r="AQ63">
            <v>7844.4781939517543</v>
          </cell>
          <cell r="AR63">
            <v>719.99999999999989</v>
          </cell>
          <cell r="AS63">
            <v>10</v>
          </cell>
        </row>
        <row r="64">
          <cell r="A64" t="str">
            <v>51209</v>
          </cell>
          <cell r="B64" t="str">
            <v>黑鸦战衣</v>
          </cell>
          <cell r="I64">
            <v>2</v>
          </cell>
          <cell r="AP64">
            <v>132.96325891546761</v>
          </cell>
          <cell r="AQ64">
            <v>6648.1629457733807</v>
          </cell>
          <cell r="AR64">
            <v>610.19703320068561</v>
          </cell>
          <cell r="AS64">
            <v>10</v>
          </cell>
        </row>
        <row r="65">
          <cell r="A65" t="str">
            <v>52209</v>
          </cell>
          <cell r="B65" t="str">
            <v>黑鸦长裤</v>
          </cell>
          <cell r="I65">
            <v>2</v>
          </cell>
          <cell r="AP65">
            <v>50.47494566211374</v>
          </cell>
          <cell r="AQ65">
            <v>2523.7472831056871</v>
          </cell>
          <cell r="AR65">
            <v>231.6403970932206</v>
          </cell>
          <cell r="AS65">
            <v>10</v>
          </cell>
        </row>
        <row r="66">
          <cell r="A66" t="str">
            <v>55209</v>
          </cell>
          <cell r="B66" t="str">
            <v>黑鸦长靴</v>
          </cell>
          <cell r="I66">
            <v>2</v>
          </cell>
          <cell r="AP66">
            <v>63.944772417873196</v>
          </cell>
          <cell r="AQ66">
            <v>3197.2386208936596</v>
          </cell>
          <cell r="AR66">
            <v>293.45633324831351</v>
          </cell>
          <cell r="AS66">
            <v>10</v>
          </cell>
        </row>
        <row r="67">
          <cell r="A67" t="str">
            <v>54209</v>
          </cell>
          <cell r="B67" t="str">
            <v>黑鸦腰带</v>
          </cell>
          <cell r="I67">
            <v>2</v>
          </cell>
          <cell r="AP67">
            <v>56.869283983437782</v>
          </cell>
          <cell r="AQ67">
            <v>2843.464199171889</v>
          </cell>
          <cell r="AR67">
            <v>260.98539288212487</v>
          </cell>
          <cell r="AS67">
            <v>10</v>
          </cell>
        </row>
        <row r="68">
          <cell r="A68" t="str">
            <v>53209</v>
          </cell>
          <cell r="B68" t="str">
            <v>黑鸦项链</v>
          </cell>
          <cell r="I68">
            <v>2</v>
          </cell>
          <cell r="AP68">
            <v>93.230539629233533</v>
          </cell>
          <cell r="AQ68">
            <v>4661.5269814616768</v>
          </cell>
          <cell r="AR68">
            <v>427.85502664029059</v>
          </cell>
          <cell r="AS68">
            <v>10</v>
          </cell>
        </row>
        <row r="69">
          <cell r="A69" t="str">
            <v>10310</v>
          </cell>
          <cell r="B69" t="str">
            <v>爵士之刃</v>
          </cell>
          <cell r="I69">
            <v>3</v>
          </cell>
          <cell r="AP69">
            <v>204.27730487383371</v>
          </cell>
          <cell r="AQ69">
            <v>10213.865243691685</v>
          </cell>
          <cell r="AR69">
            <v>1799.9999999999998</v>
          </cell>
          <cell r="AS69">
            <v>10</v>
          </cell>
        </row>
        <row r="70">
          <cell r="A70" t="str">
            <v>20310</v>
          </cell>
          <cell r="B70" t="str">
            <v>爵士之拳</v>
          </cell>
          <cell r="I70">
            <v>3</v>
          </cell>
          <cell r="AP70">
            <v>204.27730487383371</v>
          </cell>
          <cell r="AQ70">
            <v>10213.865243691685</v>
          </cell>
          <cell r="AR70">
            <v>1799.9999999999998</v>
          </cell>
          <cell r="AS70">
            <v>10</v>
          </cell>
        </row>
        <row r="71">
          <cell r="A71" t="str">
            <v>30310</v>
          </cell>
          <cell r="B71" t="str">
            <v>爵士之枪</v>
          </cell>
          <cell r="I71">
            <v>3</v>
          </cell>
          <cell r="AP71">
            <v>204.27730487383371</v>
          </cell>
          <cell r="AQ71">
            <v>10213.865243691685</v>
          </cell>
          <cell r="AR71">
            <v>1799.9999999999998</v>
          </cell>
          <cell r="AS71">
            <v>10</v>
          </cell>
        </row>
        <row r="72">
          <cell r="A72" t="str">
            <v>51310</v>
          </cell>
          <cell r="B72" t="str">
            <v>爵士战衣</v>
          </cell>
          <cell r="I72">
            <v>3</v>
          </cell>
          <cell r="AP72">
            <v>169.99514600973615</v>
          </cell>
          <cell r="AQ72">
            <v>8499.7573004868082</v>
          </cell>
          <cell r="AR72">
            <v>1497.9209903249514</v>
          </cell>
          <cell r="AS72">
            <v>10</v>
          </cell>
        </row>
        <row r="73">
          <cell r="A73" t="str">
            <v>52310</v>
          </cell>
          <cell r="B73" t="str">
            <v>爵士长裤</v>
          </cell>
          <cell r="I73">
            <v>3</v>
          </cell>
          <cell r="AP73">
            <v>66.519050659876356</v>
          </cell>
          <cell r="AQ73">
            <v>3325.9525329938178</v>
          </cell>
          <cell r="AR73">
            <v>586.13604316802616</v>
          </cell>
          <cell r="AS73">
            <v>10</v>
          </cell>
        </row>
        <row r="74">
          <cell r="A74" t="str">
            <v>55310</v>
          </cell>
          <cell r="B74" t="str">
            <v>爵士长靴</v>
          </cell>
          <cell r="I74">
            <v>3</v>
          </cell>
          <cell r="AP74">
            <v>83.806925926266004</v>
          </cell>
          <cell r="AQ74">
            <v>4190.3462963133006</v>
          </cell>
          <cell r="AR74">
            <v>738.46904706545206</v>
          </cell>
          <cell r="AS74">
            <v>10</v>
          </cell>
        </row>
        <row r="75">
          <cell r="A75" t="str">
            <v>54310</v>
          </cell>
          <cell r="B75" t="str">
            <v>爵士腰带</v>
          </cell>
          <cell r="I75">
            <v>3</v>
          </cell>
          <cell r="AP75">
            <v>81.615583227950395</v>
          </cell>
          <cell r="AQ75">
            <v>4080.7791613975196</v>
          </cell>
          <cell r="AR75">
            <v>719.15991794117531</v>
          </cell>
          <cell r="AS75">
            <v>10</v>
          </cell>
        </row>
        <row r="76">
          <cell r="A76" t="str">
            <v>53310</v>
          </cell>
          <cell r="B76" t="str">
            <v>爵士项链</v>
          </cell>
          <cell r="I76">
            <v>3</v>
          </cell>
          <cell r="AP76">
            <v>118.734465939394</v>
          </cell>
          <cell r="AQ76">
            <v>5936.7232969696997</v>
          </cell>
          <cell r="AR76">
            <v>1046.2348659970266</v>
          </cell>
          <cell r="AS76">
            <v>10</v>
          </cell>
        </row>
        <row r="77">
          <cell r="A77" t="str">
            <v>10411</v>
          </cell>
          <cell r="B77" t="str">
            <v>暴血之刃</v>
          </cell>
          <cell r="I77">
            <v>4</v>
          </cell>
          <cell r="AP77">
            <v>239.28392224217919</v>
          </cell>
          <cell r="AQ77">
            <v>11964.196112108959</v>
          </cell>
          <cell r="AR77">
            <v>3000</v>
          </cell>
          <cell r="AS77">
            <v>10</v>
          </cell>
        </row>
        <row r="78">
          <cell r="A78" t="str">
            <v>20411</v>
          </cell>
          <cell r="B78" t="str">
            <v>暴血之拳</v>
          </cell>
          <cell r="I78">
            <v>4</v>
          </cell>
          <cell r="AP78">
            <v>239.28392224217919</v>
          </cell>
          <cell r="AQ78">
            <v>11964.196112108959</v>
          </cell>
          <cell r="AR78">
            <v>3000</v>
          </cell>
          <cell r="AS78">
            <v>10</v>
          </cell>
        </row>
        <row r="79">
          <cell r="A79" t="str">
            <v>30411</v>
          </cell>
          <cell r="B79" t="str">
            <v>暴血之枪</v>
          </cell>
          <cell r="I79">
            <v>4</v>
          </cell>
          <cell r="AP79">
            <v>239.28392224217919</v>
          </cell>
          <cell r="AQ79">
            <v>11964.196112108959</v>
          </cell>
          <cell r="AR79">
            <v>3000</v>
          </cell>
          <cell r="AS79">
            <v>10</v>
          </cell>
        </row>
        <row r="80">
          <cell r="A80" t="str">
            <v>51411</v>
          </cell>
          <cell r="B80" t="str">
            <v>暴血战衣</v>
          </cell>
          <cell r="I80">
            <v>4</v>
          </cell>
          <cell r="AP80">
            <v>195.42971897648789</v>
          </cell>
          <cell r="AQ80">
            <v>9771.4859488243947</v>
          </cell>
          <cell r="AR80">
            <v>2450.1819906482501</v>
          </cell>
          <cell r="AS80">
            <v>10</v>
          </cell>
        </row>
        <row r="81">
          <cell r="A81" t="str">
            <v>52411</v>
          </cell>
          <cell r="B81" t="str">
            <v>暴血长裤</v>
          </cell>
          <cell r="I81">
            <v>4</v>
          </cell>
          <cell r="AP81">
            <v>78.861650760258101</v>
          </cell>
          <cell r="AQ81">
            <v>3943.0825380129049</v>
          </cell>
          <cell r="AR81">
            <v>988.72063807666405</v>
          </cell>
          <cell r="AS81">
            <v>10</v>
          </cell>
        </row>
        <row r="82">
          <cell r="A82" t="str">
            <v>55411</v>
          </cell>
          <cell r="B82" t="str">
            <v>暴血长靴</v>
          </cell>
          <cell r="I82">
            <v>4</v>
          </cell>
          <cell r="AP82">
            <v>98.816193934757592</v>
          </cell>
          <cell r="AQ82">
            <v>4940.8096967378797</v>
          </cell>
          <cell r="AR82">
            <v>1238.8988738835419</v>
          </cell>
          <cell r="AS82">
            <v>10</v>
          </cell>
        </row>
        <row r="83">
          <cell r="A83" t="str">
            <v>54411</v>
          </cell>
          <cell r="B83" t="str">
            <v>暴血腰带</v>
          </cell>
          <cell r="I83">
            <v>4</v>
          </cell>
          <cell r="AP83">
            <v>104.54546029034094</v>
          </cell>
          <cell r="AQ83">
            <v>5227.2730145170472</v>
          </cell>
          <cell r="AR83">
            <v>1310.7290198695068</v>
          </cell>
          <cell r="AS83">
            <v>10</v>
          </cell>
        </row>
        <row r="84">
          <cell r="A84" t="str">
            <v>53411</v>
          </cell>
          <cell r="B84" t="str">
            <v>暴血项链</v>
          </cell>
          <cell r="I84">
            <v>4</v>
          </cell>
          <cell r="AP84">
            <v>135.94361454545458</v>
          </cell>
          <cell r="AQ84">
            <v>6797.1807272727292</v>
          </cell>
          <cell r="AR84">
            <v>1704.3804690880913</v>
          </cell>
          <cell r="AS84">
            <v>10</v>
          </cell>
        </row>
        <row r="85">
          <cell r="A85" t="str">
            <v>10112</v>
          </cell>
          <cell r="B85" t="str">
            <v>勇气之刃</v>
          </cell>
          <cell r="I85">
            <v>1</v>
          </cell>
          <cell r="AP85">
            <v>218.16979073978447</v>
          </cell>
          <cell r="AQ85">
            <v>10908.489536989224</v>
          </cell>
          <cell r="AR85">
            <v>539.99999999999989</v>
          </cell>
          <cell r="AS85">
            <v>10</v>
          </cell>
        </row>
        <row r="86">
          <cell r="A86" t="str">
            <v>20112</v>
          </cell>
          <cell r="B86" t="str">
            <v>勇气之拳</v>
          </cell>
          <cell r="I86">
            <v>1</v>
          </cell>
          <cell r="AP86">
            <v>218.16979073978447</v>
          </cell>
          <cell r="AQ86">
            <v>10908.489536989224</v>
          </cell>
          <cell r="AR86">
            <v>539.99999999999989</v>
          </cell>
          <cell r="AS86">
            <v>10</v>
          </cell>
        </row>
        <row r="87">
          <cell r="A87" t="str">
            <v>30112</v>
          </cell>
          <cell r="B87" t="str">
            <v>勇气之枪</v>
          </cell>
          <cell r="I87">
            <v>1</v>
          </cell>
          <cell r="AP87">
            <v>218.16979073978447</v>
          </cell>
          <cell r="AQ87">
            <v>10908.489536989224</v>
          </cell>
          <cell r="AR87">
            <v>539.99999999999989</v>
          </cell>
          <cell r="AS87">
            <v>10</v>
          </cell>
        </row>
        <row r="88">
          <cell r="A88" t="str">
            <v>51112</v>
          </cell>
          <cell r="B88" t="str">
            <v>勇气战衣</v>
          </cell>
          <cell r="I88">
            <v>1</v>
          </cell>
          <cell r="AP88">
            <v>188.21108728501315</v>
          </cell>
          <cell r="AQ88">
            <v>9410.5543642506582</v>
          </cell>
          <cell r="AR88">
            <v>465.84812126958496</v>
          </cell>
          <cell r="AS88">
            <v>10</v>
          </cell>
        </row>
        <row r="89">
          <cell r="A89" t="str">
            <v>52112</v>
          </cell>
          <cell r="B89" t="str">
            <v>勇气长裤</v>
          </cell>
          <cell r="I89">
            <v>1</v>
          </cell>
          <cell r="AP89">
            <v>69.344836609966222</v>
          </cell>
          <cell r="AQ89">
            <v>3467.2418304983112</v>
          </cell>
          <cell r="AR89">
            <v>171.63793228387246</v>
          </cell>
          <cell r="AS89">
            <v>10</v>
          </cell>
        </row>
        <row r="90">
          <cell r="A90" t="str">
            <v>55112</v>
          </cell>
          <cell r="B90" t="str">
            <v>勇气长靴</v>
          </cell>
          <cell r="I90">
            <v>1</v>
          </cell>
          <cell r="AP90">
            <v>88.341086212634181</v>
          </cell>
          <cell r="AQ90">
            <v>4417.0543106317091</v>
          </cell>
          <cell r="AR90">
            <v>218.65624197128281</v>
          </cell>
          <cell r="AS90">
            <v>10</v>
          </cell>
        </row>
        <row r="91">
          <cell r="A91" t="str">
            <v>54112</v>
          </cell>
          <cell r="B91" t="str">
            <v>勇气腰带</v>
          </cell>
          <cell r="I91">
            <v>1</v>
          </cell>
          <cell r="AP91">
            <v>71.067671142640435</v>
          </cell>
          <cell r="AQ91">
            <v>3553.3835571320219</v>
          </cell>
          <cell r="AR91">
            <v>175.90218282236108</v>
          </cell>
          <cell r="AS91">
            <v>10</v>
          </cell>
        </row>
        <row r="92">
          <cell r="A92" t="str">
            <v>53112</v>
          </cell>
          <cell r="B92" t="str">
            <v>勇气项链</v>
          </cell>
          <cell r="I92">
            <v>1</v>
          </cell>
          <cell r="AP92">
            <v>132.458032684492</v>
          </cell>
          <cell r="AQ92">
            <v>6622.9016342245995</v>
          </cell>
          <cell r="AR92">
            <v>327.85170397370814</v>
          </cell>
          <cell r="AS92">
            <v>10</v>
          </cell>
        </row>
        <row r="93">
          <cell r="A93" t="str">
            <v>10213</v>
          </cell>
          <cell r="B93" t="str">
            <v>暗羽霸刀</v>
          </cell>
          <cell r="I93">
            <v>2</v>
          </cell>
          <cell r="AP93">
            <v>313.77912775807016</v>
          </cell>
          <cell r="AQ93">
            <v>15688.956387903509</v>
          </cell>
          <cell r="AR93">
            <v>1080.0000000000002</v>
          </cell>
          <cell r="AS93">
            <v>10</v>
          </cell>
        </row>
        <row r="94">
          <cell r="A94" t="str">
            <v>20213</v>
          </cell>
          <cell r="B94" t="str">
            <v>暗羽之拳</v>
          </cell>
          <cell r="I94">
            <v>2</v>
          </cell>
          <cell r="AP94">
            <v>313.77912775807016</v>
          </cell>
          <cell r="AQ94">
            <v>15688.956387903509</v>
          </cell>
          <cell r="AR94">
            <v>1080.0000000000002</v>
          </cell>
          <cell r="AS94">
            <v>10</v>
          </cell>
        </row>
        <row r="95">
          <cell r="A95" t="str">
            <v>30213</v>
          </cell>
          <cell r="B95" t="str">
            <v>暗羽之枪</v>
          </cell>
          <cell r="I95">
            <v>2</v>
          </cell>
          <cell r="AP95">
            <v>313.77912775807016</v>
          </cell>
          <cell r="AQ95">
            <v>15688.956387903509</v>
          </cell>
          <cell r="AR95">
            <v>1080.0000000000002</v>
          </cell>
          <cell r="AS95">
            <v>10</v>
          </cell>
        </row>
        <row r="96">
          <cell r="A96" t="str">
            <v>51213</v>
          </cell>
          <cell r="B96" t="str">
            <v>暗羽战衣</v>
          </cell>
          <cell r="I96">
            <v>2</v>
          </cell>
          <cell r="AP96">
            <v>265.92651783093521</v>
          </cell>
          <cell r="AQ96">
            <v>13296.325891546761</v>
          </cell>
          <cell r="AR96">
            <v>915.29554980102876</v>
          </cell>
          <cell r="AS96">
            <v>10</v>
          </cell>
        </row>
        <row r="97">
          <cell r="A97" t="str">
            <v>52213</v>
          </cell>
          <cell r="B97" t="str">
            <v>暗羽长裤</v>
          </cell>
          <cell r="I97">
            <v>2</v>
          </cell>
          <cell r="AP97">
            <v>100.94989132422748</v>
          </cell>
          <cell r="AQ97">
            <v>5047.4945662113741</v>
          </cell>
          <cell r="AR97">
            <v>347.46059563983096</v>
          </cell>
          <cell r="AS97">
            <v>10</v>
          </cell>
        </row>
        <row r="98">
          <cell r="A98" t="str">
            <v>55213</v>
          </cell>
          <cell r="B98" t="str">
            <v>暗羽长靴</v>
          </cell>
          <cell r="I98">
            <v>2</v>
          </cell>
          <cell r="AP98">
            <v>127.88954483574639</v>
          </cell>
          <cell r="AQ98">
            <v>6394.4772417873191</v>
          </cell>
          <cell r="AR98">
            <v>440.18449987247038</v>
          </cell>
          <cell r="AS98">
            <v>10</v>
          </cell>
        </row>
        <row r="99">
          <cell r="A99" t="str">
            <v>54213</v>
          </cell>
          <cell r="B99" t="str">
            <v>暗羽腰带</v>
          </cell>
          <cell r="I99">
            <v>2</v>
          </cell>
          <cell r="AP99">
            <v>113.73856796687556</v>
          </cell>
          <cell r="AQ99">
            <v>5686.9283983437781</v>
          </cell>
          <cell r="AR99">
            <v>391.47808932318742</v>
          </cell>
          <cell r="AS99">
            <v>10</v>
          </cell>
        </row>
        <row r="100">
          <cell r="A100" t="str">
            <v>53213</v>
          </cell>
          <cell r="B100" t="str">
            <v>暗羽项链</v>
          </cell>
          <cell r="I100">
            <v>2</v>
          </cell>
          <cell r="AP100">
            <v>186.46107925846707</v>
          </cell>
          <cell r="AQ100">
            <v>9323.0539629233535</v>
          </cell>
          <cell r="AR100">
            <v>641.78253996043611</v>
          </cell>
          <cell r="AS100">
            <v>10</v>
          </cell>
        </row>
        <row r="101">
          <cell r="A101" t="str">
            <v>10314</v>
          </cell>
          <cell r="B101" t="str">
            <v>玄武霸刀</v>
          </cell>
          <cell r="I101">
            <v>3</v>
          </cell>
          <cell r="AP101">
            <v>408.55460974766743</v>
          </cell>
          <cell r="AQ101">
            <v>20427.730487383371</v>
          </cell>
          <cell r="AR101">
            <v>2700</v>
          </cell>
          <cell r="AS101">
            <v>10</v>
          </cell>
        </row>
        <row r="102">
          <cell r="A102" t="str">
            <v>20314</v>
          </cell>
          <cell r="B102" t="str">
            <v>玄武之拳</v>
          </cell>
          <cell r="I102">
            <v>3</v>
          </cell>
          <cell r="AP102">
            <v>408.55460974766743</v>
          </cell>
          <cell r="AQ102">
            <v>20427.730487383371</v>
          </cell>
          <cell r="AR102">
            <v>2700</v>
          </cell>
          <cell r="AS102">
            <v>10</v>
          </cell>
        </row>
        <row r="103">
          <cell r="A103" t="str">
            <v>30314</v>
          </cell>
          <cell r="B103" t="str">
            <v>玄武之枪</v>
          </cell>
          <cell r="I103">
            <v>3</v>
          </cell>
          <cell r="AP103">
            <v>408.55460974766743</v>
          </cell>
          <cell r="AQ103">
            <v>20427.730487383371</v>
          </cell>
          <cell r="AR103">
            <v>2700</v>
          </cell>
          <cell r="AS103">
            <v>10</v>
          </cell>
        </row>
        <row r="104">
          <cell r="A104" t="str">
            <v>51314</v>
          </cell>
          <cell r="B104" t="str">
            <v>玄武战衣</v>
          </cell>
          <cell r="I104">
            <v>3</v>
          </cell>
          <cell r="AP104">
            <v>339.99029201947229</v>
          </cell>
          <cell r="AQ104">
            <v>16999.514600973616</v>
          </cell>
          <cell r="AR104">
            <v>2246.8814854874277</v>
          </cell>
          <cell r="AS104">
            <v>10</v>
          </cell>
        </row>
        <row r="105">
          <cell r="A105" t="str">
            <v>52314</v>
          </cell>
          <cell r="B105" t="str">
            <v>玄武长裤</v>
          </cell>
          <cell r="I105">
            <v>3</v>
          </cell>
          <cell r="AP105">
            <v>133.03810131975271</v>
          </cell>
          <cell r="AQ105">
            <v>6651.9050659876357</v>
          </cell>
          <cell r="AR105">
            <v>879.20406475203936</v>
          </cell>
          <cell r="AS105">
            <v>10</v>
          </cell>
        </row>
        <row r="106">
          <cell r="A106" t="str">
            <v>55314</v>
          </cell>
          <cell r="B106" t="str">
            <v>玄武长靴</v>
          </cell>
          <cell r="I106">
            <v>3</v>
          </cell>
          <cell r="AP106">
            <v>167.61385185253201</v>
          </cell>
          <cell r="AQ106">
            <v>8380.6925926266013</v>
          </cell>
          <cell r="AR106">
            <v>1107.7035705981784</v>
          </cell>
          <cell r="AS106">
            <v>10</v>
          </cell>
        </row>
        <row r="107">
          <cell r="A107" t="str">
            <v>54314</v>
          </cell>
          <cell r="B107" t="str">
            <v>玄武腰带</v>
          </cell>
          <cell r="I107">
            <v>3</v>
          </cell>
          <cell r="AP107">
            <v>163.23116645590079</v>
          </cell>
          <cell r="AQ107">
            <v>8161.5583227950392</v>
          </cell>
          <cell r="AR107">
            <v>1078.7398769117631</v>
          </cell>
          <cell r="AS107">
            <v>10</v>
          </cell>
        </row>
        <row r="108">
          <cell r="A108" t="str">
            <v>53314</v>
          </cell>
          <cell r="B108" t="str">
            <v>玄武项链</v>
          </cell>
          <cell r="I108">
            <v>3</v>
          </cell>
          <cell r="AP108">
            <v>237.468931878788</v>
          </cell>
          <cell r="AQ108">
            <v>11873.446593939399</v>
          </cell>
          <cell r="AR108">
            <v>1569.3522989955404</v>
          </cell>
          <cell r="AS108">
            <v>10</v>
          </cell>
        </row>
        <row r="109">
          <cell r="A109" t="str">
            <v>10415</v>
          </cell>
          <cell r="B109" t="str">
            <v>暗魔之刃</v>
          </cell>
          <cell r="I109">
            <v>4</v>
          </cell>
          <cell r="AP109">
            <v>478.56784448435837</v>
          </cell>
          <cell r="AQ109">
            <v>23928.392224217918</v>
          </cell>
          <cell r="AR109">
            <v>4500</v>
          </cell>
          <cell r="AS109">
            <v>10</v>
          </cell>
        </row>
        <row r="110">
          <cell r="A110" t="str">
            <v>20415</v>
          </cell>
          <cell r="B110" t="str">
            <v>暗魔之拳</v>
          </cell>
          <cell r="I110">
            <v>4</v>
          </cell>
          <cell r="AP110">
            <v>478.56784448435837</v>
          </cell>
          <cell r="AQ110">
            <v>23928.392224217918</v>
          </cell>
          <cell r="AR110">
            <v>4500</v>
          </cell>
          <cell r="AS110">
            <v>10</v>
          </cell>
        </row>
        <row r="111">
          <cell r="A111" t="str">
            <v>30415</v>
          </cell>
          <cell r="B111" t="str">
            <v>暗魔之枪</v>
          </cell>
          <cell r="I111">
            <v>4</v>
          </cell>
          <cell r="AP111">
            <v>478.56784448435837</v>
          </cell>
          <cell r="AQ111">
            <v>23928.392224217918</v>
          </cell>
          <cell r="AR111">
            <v>4500</v>
          </cell>
          <cell r="AS111">
            <v>10</v>
          </cell>
        </row>
        <row r="112">
          <cell r="A112" t="str">
            <v>51415</v>
          </cell>
          <cell r="B112" t="str">
            <v>暗魔战衣</v>
          </cell>
          <cell r="I112">
            <v>4</v>
          </cell>
          <cell r="AP112">
            <v>390.85943795297578</v>
          </cell>
          <cell r="AQ112">
            <v>19542.971897648789</v>
          </cell>
          <cell r="AR112">
            <v>3675.272985972375</v>
          </cell>
          <cell r="AS112">
            <v>10</v>
          </cell>
        </row>
        <row r="113">
          <cell r="A113" t="str">
            <v>52415</v>
          </cell>
          <cell r="B113" t="str">
            <v>暗魔长裤</v>
          </cell>
          <cell r="I113">
            <v>4</v>
          </cell>
          <cell r="AP113">
            <v>157.7233015205162</v>
          </cell>
          <cell r="AQ113">
            <v>7886.1650760258099</v>
          </cell>
          <cell r="AR113">
            <v>1483.0809571149962</v>
          </cell>
          <cell r="AS113">
            <v>10</v>
          </cell>
        </row>
        <row r="114">
          <cell r="A114" t="str">
            <v>55415</v>
          </cell>
          <cell r="B114" t="str">
            <v>暗魔长靴</v>
          </cell>
          <cell r="I114">
            <v>4</v>
          </cell>
          <cell r="AP114">
            <v>197.63238786951518</v>
          </cell>
          <cell r="AQ114">
            <v>9881.6193934757594</v>
          </cell>
          <cell r="AR114">
            <v>1858.3483108253126</v>
          </cell>
          <cell r="AS114">
            <v>10</v>
          </cell>
        </row>
        <row r="115">
          <cell r="A115" t="str">
            <v>54415</v>
          </cell>
          <cell r="B115" t="str">
            <v>暗魔腰带</v>
          </cell>
          <cell r="I115">
            <v>4</v>
          </cell>
          <cell r="AP115">
            <v>209.09092058068188</v>
          </cell>
          <cell r="AQ115">
            <v>10454.546029034094</v>
          </cell>
          <cell r="AR115">
            <v>1966.0935298042602</v>
          </cell>
          <cell r="AS115">
            <v>10</v>
          </cell>
        </row>
        <row r="116">
          <cell r="A116" t="str">
            <v>53415</v>
          </cell>
          <cell r="B116" t="str">
            <v>暗魔项链</v>
          </cell>
          <cell r="I116">
            <v>4</v>
          </cell>
          <cell r="AP116">
            <v>271.88722909090916</v>
          </cell>
          <cell r="AQ116">
            <v>13594.361454545458</v>
          </cell>
          <cell r="AR116">
            <v>2556.5707036321369</v>
          </cell>
          <cell r="AS116">
            <v>10</v>
          </cell>
        </row>
        <row r="117">
          <cell r="A117" t="str">
            <v>10116</v>
          </cell>
          <cell r="B117" t="str">
            <v>战爵之刃</v>
          </cell>
          <cell r="I117">
            <v>1</v>
          </cell>
          <cell r="AP117">
            <v>327.2546861096767</v>
          </cell>
          <cell r="AQ117">
            <v>16362.734305483835</v>
          </cell>
          <cell r="AR117">
            <v>719.99999999999989</v>
          </cell>
          <cell r="AS117">
            <v>10</v>
          </cell>
        </row>
        <row r="118">
          <cell r="A118" t="str">
            <v>20116</v>
          </cell>
          <cell r="B118" t="str">
            <v>战爵之拳</v>
          </cell>
          <cell r="I118">
            <v>1</v>
          </cell>
          <cell r="AP118">
            <v>327.2546861096767</v>
          </cell>
          <cell r="AQ118">
            <v>16362.734305483835</v>
          </cell>
          <cell r="AR118">
            <v>719.99999999999989</v>
          </cell>
          <cell r="AS118">
            <v>10</v>
          </cell>
        </row>
        <row r="119">
          <cell r="A119" t="str">
            <v>30116</v>
          </cell>
          <cell r="B119" t="str">
            <v>战爵之枪</v>
          </cell>
          <cell r="I119">
            <v>1</v>
          </cell>
          <cell r="AP119">
            <v>327.2546861096767</v>
          </cell>
          <cell r="AQ119">
            <v>16362.734305483835</v>
          </cell>
          <cell r="AR119">
            <v>719.99999999999989</v>
          </cell>
          <cell r="AS119">
            <v>10</v>
          </cell>
        </row>
        <row r="120">
          <cell r="A120" t="str">
            <v>51116</v>
          </cell>
          <cell r="B120" t="str">
            <v>战爵之衣</v>
          </cell>
          <cell r="I120">
            <v>1</v>
          </cell>
          <cell r="AP120">
            <v>282.31663092751972</v>
          </cell>
          <cell r="AQ120">
            <v>14115.831546375986</v>
          </cell>
          <cell r="AR120">
            <v>621.13082835944658</v>
          </cell>
          <cell r="AS120">
            <v>10</v>
          </cell>
        </row>
        <row r="121">
          <cell r="A121" t="str">
            <v>52116</v>
          </cell>
          <cell r="B121" t="str">
            <v>战爵长裤</v>
          </cell>
          <cell r="I121">
            <v>1</v>
          </cell>
          <cell r="AP121">
            <v>104.01725491494935</v>
          </cell>
          <cell r="AQ121">
            <v>5200.8627457474677</v>
          </cell>
          <cell r="AR121">
            <v>228.8505763784967</v>
          </cell>
          <cell r="AS121">
            <v>10</v>
          </cell>
        </row>
        <row r="122">
          <cell r="A122" t="str">
            <v>55116</v>
          </cell>
          <cell r="B122" t="str">
            <v>战爵长靴</v>
          </cell>
          <cell r="I122">
            <v>1</v>
          </cell>
          <cell r="AP122">
            <v>132.51162931895126</v>
          </cell>
          <cell r="AQ122">
            <v>6625.5814659475636</v>
          </cell>
          <cell r="AR122">
            <v>291.54165596171043</v>
          </cell>
          <cell r="AS122">
            <v>10</v>
          </cell>
        </row>
        <row r="123">
          <cell r="A123" t="str">
            <v>54116</v>
          </cell>
          <cell r="B123" t="str">
            <v>战爵腰带</v>
          </cell>
          <cell r="I123">
            <v>1</v>
          </cell>
          <cell r="AP123">
            <v>106.60150671396066</v>
          </cell>
          <cell r="AQ123">
            <v>5330.0753356980331</v>
          </cell>
          <cell r="AR123">
            <v>234.53624376314815</v>
          </cell>
          <cell r="AS123">
            <v>10</v>
          </cell>
        </row>
        <row r="124">
          <cell r="A124" t="str">
            <v>53116</v>
          </cell>
          <cell r="B124" t="str">
            <v>战爵项链</v>
          </cell>
          <cell r="I124">
            <v>1</v>
          </cell>
          <cell r="AP124">
            <v>198.68704902673798</v>
          </cell>
          <cell r="AQ124">
            <v>9934.3524513368993</v>
          </cell>
          <cell r="AR124">
            <v>437.13560529827754</v>
          </cell>
          <cell r="AS124">
            <v>10</v>
          </cell>
        </row>
        <row r="125">
          <cell r="A125" t="str">
            <v>10217</v>
          </cell>
          <cell r="B125" t="str">
            <v>嗜血之剑</v>
          </cell>
          <cell r="I125">
            <v>2</v>
          </cell>
          <cell r="AP125">
            <v>470.66869163710521</v>
          </cell>
          <cell r="AQ125">
            <v>23533.434581855261</v>
          </cell>
          <cell r="AR125">
            <v>1440</v>
          </cell>
          <cell r="AS125">
            <v>10</v>
          </cell>
        </row>
        <row r="126">
          <cell r="A126" t="str">
            <v>20217</v>
          </cell>
          <cell r="B126" t="str">
            <v>嗜血拳</v>
          </cell>
          <cell r="I126">
            <v>2</v>
          </cell>
          <cell r="AP126">
            <v>470.66869163710521</v>
          </cell>
          <cell r="AQ126">
            <v>23533.434581855261</v>
          </cell>
          <cell r="AR126">
            <v>1440</v>
          </cell>
          <cell r="AS126">
            <v>10</v>
          </cell>
        </row>
        <row r="127">
          <cell r="A127" t="str">
            <v>30217</v>
          </cell>
          <cell r="B127" t="str">
            <v>嗜血枪</v>
          </cell>
          <cell r="I127">
            <v>2</v>
          </cell>
          <cell r="AP127">
            <v>470.66869163710521</v>
          </cell>
          <cell r="AQ127">
            <v>23533.434581855261</v>
          </cell>
          <cell r="AR127">
            <v>1440</v>
          </cell>
          <cell r="AS127">
            <v>10</v>
          </cell>
        </row>
        <row r="128">
          <cell r="A128" t="str">
            <v>51217</v>
          </cell>
          <cell r="B128" t="str">
            <v>嗜血战衣</v>
          </cell>
          <cell r="I128">
            <v>2</v>
          </cell>
          <cell r="AP128">
            <v>398.88977674640279</v>
          </cell>
          <cell r="AQ128">
            <v>19944.488837320139</v>
          </cell>
          <cell r="AR128">
            <v>1220.3940664013714</v>
          </cell>
          <cell r="AS128">
            <v>10</v>
          </cell>
        </row>
        <row r="129">
          <cell r="A129" t="str">
            <v>52217</v>
          </cell>
          <cell r="B129" t="str">
            <v>嗜血长裤</v>
          </cell>
          <cell r="I129">
            <v>2</v>
          </cell>
          <cell r="AP129">
            <v>151.42483698634121</v>
          </cell>
          <cell r="AQ129">
            <v>7571.2418493170599</v>
          </cell>
          <cell r="AR129">
            <v>463.2807941864412</v>
          </cell>
          <cell r="AS129">
            <v>10</v>
          </cell>
        </row>
        <row r="130">
          <cell r="A130" t="str">
            <v>55217</v>
          </cell>
          <cell r="B130" t="str">
            <v>嗜血长靴</v>
          </cell>
          <cell r="I130">
            <v>2</v>
          </cell>
          <cell r="AP130">
            <v>191.83431725361959</v>
          </cell>
          <cell r="AQ130">
            <v>9591.7158626809796</v>
          </cell>
          <cell r="AR130">
            <v>586.91266649662725</v>
          </cell>
          <cell r="AS130">
            <v>10</v>
          </cell>
        </row>
        <row r="131">
          <cell r="A131" t="str">
            <v>54217</v>
          </cell>
          <cell r="B131" t="str">
            <v>嗜血腰带</v>
          </cell>
          <cell r="I131">
            <v>2</v>
          </cell>
          <cell r="AP131">
            <v>170.60785195031335</v>
          </cell>
          <cell r="AQ131">
            <v>8530.3925975156671</v>
          </cell>
          <cell r="AR131">
            <v>521.97078576424985</v>
          </cell>
          <cell r="AS131">
            <v>10</v>
          </cell>
        </row>
        <row r="132">
          <cell r="A132" t="str">
            <v>53217</v>
          </cell>
          <cell r="B132" t="str">
            <v>嗜血项链</v>
          </cell>
          <cell r="I132">
            <v>2</v>
          </cell>
          <cell r="AP132">
            <v>279.6916188877006</v>
          </cell>
          <cell r="AQ132">
            <v>13984.58094438503</v>
          </cell>
          <cell r="AR132">
            <v>855.71005328058141</v>
          </cell>
          <cell r="AS132">
            <v>10</v>
          </cell>
        </row>
        <row r="133">
          <cell r="A133" t="str">
            <v>10318</v>
          </cell>
          <cell r="B133" t="str">
            <v>霸道之刃</v>
          </cell>
          <cell r="I133">
            <v>3</v>
          </cell>
          <cell r="AP133">
            <v>612.83191462150103</v>
          </cell>
          <cell r="AQ133">
            <v>30641.595731075053</v>
          </cell>
          <cell r="AR133">
            <v>3599.9999999999995</v>
          </cell>
          <cell r="AS133">
            <v>10</v>
          </cell>
        </row>
        <row r="134">
          <cell r="A134" t="str">
            <v>20318</v>
          </cell>
          <cell r="B134" t="str">
            <v>霸道之拳</v>
          </cell>
          <cell r="I134">
            <v>3</v>
          </cell>
          <cell r="AP134">
            <v>612.83191462150103</v>
          </cell>
          <cell r="AQ134">
            <v>30641.595731075053</v>
          </cell>
          <cell r="AR134">
            <v>3599.9999999999995</v>
          </cell>
          <cell r="AS134">
            <v>10</v>
          </cell>
        </row>
        <row r="135">
          <cell r="A135" t="str">
            <v>30318</v>
          </cell>
          <cell r="B135" t="str">
            <v>霸道之枪</v>
          </cell>
          <cell r="I135">
            <v>3</v>
          </cell>
          <cell r="AP135">
            <v>612.83191462150103</v>
          </cell>
          <cell r="AQ135">
            <v>30641.595731075053</v>
          </cell>
          <cell r="AR135">
            <v>3599.9999999999995</v>
          </cell>
          <cell r="AS135">
            <v>10</v>
          </cell>
        </row>
        <row r="136">
          <cell r="A136" t="str">
            <v>51318</v>
          </cell>
          <cell r="B136" t="str">
            <v>霸道战衣</v>
          </cell>
          <cell r="I136">
            <v>3</v>
          </cell>
          <cell r="AP136">
            <v>509.98543802920847</v>
          </cell>
          <cell r="AQ136">
            <v>25499.271901460423</v>
          </cell>
          <cell r="AR136">
            <v>2995.8419806499032</v>
          </cell>
          <cell r="AS136">
            <v>10</v>
          </cell>
        </row>
        <row r="137">
          <cell r="A137" t="str">
            <v>52318</v>
          </cell>
          <cell r="B137" t="str">
            <v>霸道长裤</v>
          </cell>
          <cell r="I137">
            <v>3</v>
          </cell>
          <cell r="AP137">
            <v>199.55715197962905</v>
          </cell>
          <cell r="AQ137">
            <v>9977.8575989814526</v>
          </cell>
          <cell r="AR137">
            <v>1172.2720863360523</v>
          </cell>
          <cell r="AS137">
            <v>10</v>
          </cell>
        </row>
        <row r="138">
          <cell r="A138" t="str">
            <v>55318</v>
          </cell>
          <cell r="B138" t="str">
            <v>霸道长靴</v>
          </cell>
          <cell r="I138">
            <v>3</v>
          </cell>
          <cell r="AP138">
            <v>251.42077777879794</v>
          </cell>
          <cell r="AQ138">
            <v>12571.038888939896</v>
          </cell>
          <cell r="AR138">
            <v>1476.9380941309037</v>
          </cell>
          <cell r="AS138">
            <v>10</v>
          </cell>
        </row>
        <row r="139">
          <cell r="A139" t="str">
            <v>54318</v>
          </cell>
          <cell r="B139" t="str">
            <v>霸道腰带</v>
          </cell>
          <cell r="I139">
            <v>3</v>
          </cell>
          <cell r="AP139">
            <v>244.8467496838511</v>
          </cell>
          <cell r="AQ139">
            <v>12242.337484192554</v>
          </cell>
          <cell r="AR139">
            <v>1438.3198358823502</v>
          </cell>
          <cell r="AS139">
            <v>10</v>
          </cell>
        </row>
        <row r="140">
          <cell r="A140" t="str">
            <v>53318</v>
          </cell>
          <cell r="B140" t="str">
            <v>霸道项链</v>
          </cell>
          <cell r="I140">
            <v>3</v>
          </cell>
          <cell r="AP140">
            <v>356.20339781818188</v>
          </cell>
          <cell r="AQ140">
            <v>17810.169890909096</v>
          </cell>
          <cell r="AR140">
            <v>2092.4697319940528</v>
          </cell>
          <cell r="AS140">
            <v>10</v>
          </cell>
        </row>
        <row r="141">
          <cell r="A141" t="str">
            <v>10419</v>
          </cell>
          <cell r="B141" t="str">
            <v>白虎霸刀</v>
          </cell>
          <cell r="I141">
            <v>4</v>
          </cell>
          <cell r="AP141">
            <v>717.85176672653756</v>
          </cell>
          <cell r="AQ141">
            <v>35892.58833632688</v>
          </cell>
          <cell r="AR141">
            <v>6000</v>
          </cell>
          <cell r="AS141">
            <v>10</v>
          </cell>
        </row>
        <row r="142">
          <cell r="A142" t="str">
            <v>20419</v>
          </cell>
          <cell r="B142" t="str">
            <v>白虎之拳</v>
          </cell>
          <cell r="I142">
            <v>4</v>
          </cell>
          <cell r="AP142">
            <v>717.85176672653756</v>
          </cell>
          <cell r="AQ142">
            <v>35892.58833632688</v>
          </cell>
          <cell r="AR142">
            <v>6000</v>
          </cell>
          <cell r="AS142">
            <v>10</v>
          </cell>
        </row>
        <row r="143">
          <cell r="A143" t="str">
            <v>30419</v>
          </cell>
          <cell r="B143" t="str">
            <v>白虎之枪</v>
          </cell>
          <cell r="I143">
            <v>4</v>
          </cell>
          <cell r="AP143">
            <v>717.85176672653756</v>
          </cell>
          <cell r="AQ143">
            <v>35892.58833632688</v>
          </cell>
          <cell r="AR143">
            <v>6000</v>
          </cell>
          <cell r="AS143">
            <v>10</v>
          </cell>
        </row>
        <row r="144">
          <cell r="A144" t="str">
            <v>51419</v>
          </cell>
          <cell r="B144" t="str">
            <v>白虎战衣</v>
          </cell>
          <cell r="I144">
            <v>4</v>
          </cell>
          <cell r="AP144">
            <v>586.28915692946362</v>
          </cell>
          <cell r="AQ144">
            <v>29314.457846473182</v>
          </cell>
          <cell r="AR144">
            <v>4900.3639812964993</v>
          </cell>
          <cell r="AS144">
            <v>10</v>
          </cell>
        </row>
        <row r="145">
          <cell r="A145" t="str">
            <v>52419</v>
          </cell>
          <cell r="B145" t="str">
            <v>白虎长裤</v>
          </cell>
          <cell r="I145">
            <v>4</v>
          </cell>
          <cell r="AP145">
            <v>236.58495228077425</v>
          </cell>
          <cell r="AQ145">
            <v>11829.247614038712</v>
          </cell>
          <cell r="AR145">
            <v>1977.4412761533276</v>
          </cell>
          <cell r="AS145">
            <v>10</v>
          </cell>
        </row>
        <row r="146">
          <cell r="A146" t="str">
            <v>55419</v>
          </cell>
          <cell r="B146" t="str">
            <v>白虎长靴</v>
          </cell>
          <cell r="I146">
            <v>4</v>
          </cell>
          <cell r="AP146">
            <v>296.44858180427275</v>
          </cell>
          <cell r="AQ146">
            <v>14822.429090213638</v>
          </cell>
          <cell r="AR146">
            <v>2477.7977477670834</v>
          </cell>
          <cell r="AS146">
            <v>10</v>
          </cell>
        </row>
        <row r="147">
          <cell r="A147" t="str">
            <v>54419</v>
          </cell>
          <cell r="B147" t="str">
            <v>白虎腰带</v>
          </cell>
          <cell r="I147">
            <v>4</v>
          </cell>
          <cell r="AP147">
            <v>313.63638087102282</v>
          </cell>
          <cell r="AQ147">
            <v>15681.819043551141</v>
          </cell>
          <cell r="AR147">
            <v>2621.4580397390137</v>
          </cell>
          <cell r="AS147">
            <v>10</v>
          </cell>
        </row>
        <row r="148">
          <cell r="A148" t="str">
            <v>53419</v>
          </cell>
          <cell r="B148" t="str">
            <v>白虎项链</v>
          </cell>
          <cell r="I148">
            <v>4</v>
          </cell>
          <cell r="AP148">
            <v>407.83084363636368</v>
          </cell>
          <cell r="AQ148">
            <v>20391.542181818186</v>
          </cell>
          <cell r="AR148">
            <v>3408.7609381761822</v>
          </cell>
          <cell r="AS148">
            <v>10</v>
          </cell>
        </row>
        <row r="149">
          <cell r="A149" t="str">
            <v>10120</v>
          </cell>
          <cell r="B149" t="str">
            <v>堕落之刃</v>
          </cell>
          <cell r="I149">
            <v>1</v>
          </cell>
          <cell r="AP149">
            <v>436.33958147956895</v>
          </cell>
          <cell r="AQ149">
            <v>21816.979073978448</v>
          </cell>
          <cell r="AR149">
            <v>840</v>
          </cell>
          <cell r="AS149">
            <v>10</v>
          </cell>
        </row>
        <row r="150">
          <cell r="A150" t="str">
            <v>20120</v>
          </cell>
          <cell r="B150" t="str">
            <v>堕落之拳</v>
          </cell>
          <cell r="I150">
            <v>1</v>
          </cell>
          <cell r="AP150">
            <v>436.33958147956895</v>
          </cell>
          <cell r="AQ150">
            <v>21816.979073978448</v>
          </cell>
          <cell r="AR150">
            <v>840</v>
          </cell>
          <cell r="AS150">
            <v>10</v>
          </cell>
        </row>
        <row r="151">
          <cell r="A151" t="str">
            <v>30120</v>
          </cell>
          <cell r="B151" t="str">
            <v>堕落之枪</v>
          </cell>
          <cell r="I151">
            <v>1</v>
          </cell>
          <cell r="AP151">
            <v>436.33958147956895</v>
          </cell>
          <cell r="AQ151">
            <v>21816.979073978448</v>
          </cell>
          <cell r="AR151">
            <v>840</v>
          </cell>
          <cell r="AS151">
            <v>10</v>
          </cell>
        </row>
        <row r="152">
          <cell r="A152" t="str">
            <v>51120</v>
          </cell>
          <cell r="B152" t="str">
            <v>堕落战衣</v>
          </cell>
          <cell r="I152">
            <v>1</v>
          </cell>
          <cell r="AP152">
            <v>376.4221745700263</v>
          </cell>
          <cell r="AQ152">
            <v>18821.108728501316</v>
          </cell>
          <cell r="AR152">
            <v>724.65263308602107</v>
          </cell>
          <cell r="AS152">
            <v>10</v>
          </cell>
        </row>
        <row r="153">
          <cell r="A153" t="str">
            <v>52120</v>
          </cell>
          <cell r="B153" t="str">
            <v>堕落长裤</v>
          </cell>
          <cell r="I153">
            <v>1</v>
          </cell>
          <cell r="AP153">
            <v>138.68967321993244</v>
          </cell>
          <cell r="AQ153">
            <v>6934.4836609966223</v>
          </cell>
          <cell r="AR153">
            <v>266.99233910824609</v>
          </cell>
          <cell r="AS153">
            <v>10</v>
          </cell>
        </row>
        <row r="154">
          <cell r="A154" t="str">
            <v>55120</v>
          </cell>
          <cell r="B154" t="str">
            <v>堕落长靴</v>
          </cell>
          <cell r="I154">
            <v>1</v>
          </cell>
          <cell r="AP154">
            <v>176.68217242526836</v>
          </cell>
          <cell r="AQ154">
            <v>8834.1086212634182</v>
          </cell>
          <cell r="AR154">
            <v>340.13193195532887</v>
          </cell>
          <cell r="AS154">
            <v>10</v>
          </cell>
        </row>
        <row r="155">
          <cell r="A155" t="str">
            <v>54120</v>
          </cell>
          <cell r="B155" t="str">
            <v>堕落腰带</v>
          </cell>
          <cell r="I155">
            <v>1</v>
          </cell>
          <cell r="AP155">
            <v>142.13534228528087</v>
          </cell>
          <cell r="AQ155">
            <v>7106.7671142640438</v>
          </cell>
          <cell r="AR155">
            <v>273.62561772367286</v>
          </cell>
          <cell r="AS155">
            <v>10</v>
          </cell>
        </row>
        <row r="156">
          <cell r="A156" t="str">
            <v>53120</v>
          </cell>
          <cell r="B156" t="str">
            <v>堕落项链</v>
          </cell>
          <cell r="I156">
            <v>1</v>
          </cell>
          <cell r="AP156">
            <v>264.91606536898399</v>
          </cell>
          <cell r="AQ156">
            <v>13245.803268449199</v>
          </cell>
          <cell r="AR156">
            <v>509.99153951465712</v>
          </cell>
          <cell r="AS156">
            <v>10</v>
          </cell>
        </row>
        <row r="157">
          <cell r="A157" t="str">
            <v>10221</v>
          </cell>
          <cell r="B157" t="str">
            <v>幻痛霸刀</v>
          </cell>
          <cell r="I157">
            <v>2</v>
          </cell>
          <cell r="AP157">
            <v>627.55825551614032</v>
          </cell>
          <cell r="AQ157">
            <v>31377.912775807017</v>
          </cell>
          <cell r="AR157">
            <v>1680</v>
          </cell>
          <cell r="AS157">
            <v>10</v>
          </cell>
        </row>
        <row r="158">
          <cell r="A158" t="str">
            <v>20221</v>
          </cell>
          <cell r="B158" t="str">
            <v>幻痛之拳</v>
          </cell>
          <cell r="I158">
            <v>2</v>
          </cell>
          <cell r="AP158">
            <v>627.55825551614032</v>
          </cell>
          <cell r="AQ158">
            <v>31377.912775807017</v>
          </cell>
          <cell r="AR158">
            <v>1680</v>
          </cell>
          <cell r="AS158">
            <v>10</v>
          </cell>
        </row>
        <row r="159">
          <cell r="A159" t="str">
            <v>30221</v>
          </cell>
          <cell r="B159" t="str">
            <v>幻痛之枪</v>
          </cell>
          <cell r="I159">
            <v>2</v>
          </cell>
          <cell r="AP159">
            <v>627.55825551614032</v>
          </cell>
          <cell r="AQ159">
            <v>31377.912775807017</v>
          </cell>
          <cell r="AR159">
            <v>1680</v>
          </cell>
          <cell r="AS159">
            <v>10</v>
          </cell>
        </row>
        <row r="160">
          <cell r="A160" t="str">
            <v>51221</v>
          </cell>
          <cell r="B160" t="str">
            <v>幻痛战衣</v>
          </cell>
          <cell r="I160">
            <v>2</v>
          </cell>
          <cell r="AP160">
            <v>531.85303566187042</v>
          </cell>
          <cell r="AQ160">
            <v>26592.651783093523</v>
          </cell>
          <cell r="AR160">
            <v>1423.7930774682668</v>
          </cell>
          <cell r="AS160">
            <v>10</v>
          </cell>
        </row>
        <row r="161">
          <cell r="A161" t="str">
            <v>52221</v>
          </cell>
          <cell r="B161" t="str">
            <v>幻痛长裤</v>
          </cell>
          <cell r="I161">
            <v>2</v>
          </cell>
          <cell r="AP161">
            <v>201.89978264845496</v>
          </cell>
          <cell r="AQ161">
            <v>10094.989132422748</v>
          </cell>
          <cell r="AR161">
            <v>540.49425988418147</v>
          </cell>
          <cell r="AS161">
            <v>10</v>
          </cell>
        </row>
        <row r="162">
          <cell r="A162" t="str">
            <v>55221</v>
          </cell>
          <cell r="B162" t="str">
            <v>幻痛长靴</v>
          </cell>
          <cell r="I162">
            <v>2</v>
          </cell>
          <cell r="AP162">
            <v>255.77908967149278</v>
          </cell>
          <cell r="AQ162">
            <v>12788.954483574638</v>
          </cell>
          <cell r="AR162">
            <v>684.73144424606494</v>
          </cell>
          <cell r="AS162">
            <v>10</v>
          </cell>
        </row>
        <row r="163">
          <cell r="A163" t="str">
            <v>54221</v>
          </cell>
          <cell r="B163" t="str">
            <v>幻痛腰带</v>
          </cell>
          <cell r="I163">
            <v>2</v>
          </cell>
          <cell r="AP163">
            <v>227.47713593375113</v>
          </cell>
          <cell r="AQ163">
            <v>11373.856796687556</v>
          </cell>
          <cell r="AR163">
            <v>608.96591672495799</v>
          </cell>
          <cell r="AS163">
            <v>10</v>
          </cell>
        </row>
        <row r="164">
          <cell r="A164" t="str">
            <v>53221</v>
          </cell>
          <cell r="B164" t="str">
            <v>幻痛项链</v>
          </cell>
          <cell r="I164">
            <v>2</v>
          </cell>
          <cell r="AP164">
            <v>372.92215851693413</v>
          </cell>
          <cell r="AQ164">
            <v>18646.107925846707</v>
          </cell>
          <cell r="AR164">
            <v>998.32839549401137</v>
          </cell>
          <cell r="AS164">
            <v>10</v>
          </cell>
        </row>
        <row r="165">
          <cell r="A165" t="str">
            <v>10322</v>
          </cell>
          <cell r="B165" t="str">
            <v>焚天之剑</v>
          </cell>
          <cell r="I165">
            <v>3</v>
          </cell>
          <cell r="AP165">
            <v>817.10921949533486</v>
          </cell>
          <cell r="AQ165">
            <v>40855.460974766742</v>
          </cell>
          <cell r="AR165">
            <v>4200</v>
          </cell>
          <cell r="AS165">
            <v>10</v>
          </cell>
        </row>
        <row r="166">
          <cell r="A166" t="str">
            <v>20322</v>
          </cell>
          <cell r="B166" t="str">
            <v>焚天之拳</v>
          </cell>
          <cell r="I166">
            <v>3</v>
          </cell>
          <cell r="AP166">
            <v>817.10921949533486</v>
          </cell>
          <cell r="AQ166">
            <v>40855.460974766742</v>
          </cell>
          <cell r="AR166">
            <v>4200</v>
          </cell>
          <cell r="AS166">
            <v>10</v>
          </cell>
        </row>
        <row r="167">
          <cell r="A167" t="str">
            <v>30322</v>
          </cell>
          <cell r="B167" t="str">
            <v>焚天之枪</v>
          </cell>
          <cell r="I167">
            <v>3</v>
          </cell>
          <cell r="AP167">
            <v>817.10921949533486</v>
          </cell>
          <cell r="AQ167">
            <v>40855.460974766742</v>
          </cell>
          <cell r="AR167">
            <v>4200</v>
          </cell>
          <cell r="AS167">
            <v>10</v>
          </cell>
        </row>
        <row r="168">
          <cell r="A168" t="str">
            <v>51322</v>
          </cell>
          <cell r="B168" t="str">
            <v>焚天战衣</v>
          </cell>
          <cell r="I168">
            <v>3</v>
          </cell>
          <cell r="AP168">
            <v>679.98058403894458</v>
          </cell>
          <cell r="AQ168">
            <v>33999.029201947233</v>
          </cell>
          <cell r="AR168">
            <v>3495.1489774248871</v>
          </cell>
          <cell r="AS168">
            <v>10</v>
          </cell>
        </row>
        <row r="169">
          <cell r="A169" t="str">
            <v>52322</v>
          </cell>
          <cell r="B169" t="str">
            <v>焚天长裤</v>
          </cell>
          <cell r="I169">
            <v>3</v>
          </cell>
          <cell r="AP169">
            <v>266.07620263950542</v>
          </cell>
          <cell r="AQ169">
            <v>13303.810131975271</v>
          </cell>
          <cell r="AR169">
            <v>1367.650767392061</v>
          </cell>
          <cell r="AS169">
            <v>10</v>
          </cell>
        </row>
        <row r="170">
          <cell r="A170" t="str">
            <v>55322</v>
          </cell>
          <cell r="B170" t="str">
            <v>焚天长靴</v>
          </cell>
          <cell r="I170">
            <v>3</v>
          </cell>
          <cell r="AP170">
            <v>335.22770370506402</v>
          </cell>
          <cell r="AQ170">
            <v>16761.385185253203</v>
          </cell>
          <cell r="AR170">
            <v>1723.0944431527219</v>
          </cell>
          <cell r="AS170">
            <v>10</v>
          </cell>
        </row>
        <row r="171">
          <cell r="A171" t="str">
            <v>54322</v>
          </cell>
          <cell r="B171" t="str">
            <v>焚天腰带</v>
          </cell>
          <cell r="I171">
            <v>3</v>
          </cell>
          <cell r="AP171">
            <v>326.46233291180158</v>
          </cell>
          <cell r="AQ171">
            <v>16323.116645590078</v>
          </cell>
          <cell r="AR171">
            <v>1678.0398085294091</v>
          </cell>
          <cell r="AS171">
            <v>10</v>
          </cell>
        </row>
        <row r="172">
          <cell r="A172" t="str">
            <v>53322</v>
          </cell>
          <cell r="B172" t="str">
            <v>焚天项链</v>
          </cell>
          <cell r="I172">
            <v>3</v>
          </cell>
          <cell r="AP172">
            <v>474.937863757576</v>
          </cell>
          <cell r="AQ172">
            <v>23746.893187878799</v>
          </cell>
          <cell r="AR172">
            <v>2441.214687326396</v>
          </cell>
          <cell r="AS172">
            <v>10</v>
          </cell>
        </row>
        <row r="173">
          <cell r="A173" t="str">
            <v>10423</v>
          </cell>
          <cell r="B173" t="str">
            <v>朱雀霸刀</v>
          </cell>
          <cell r="I173">
            <v>4</v>
          </cell>
          <cell r="AP173">
            <v>957.13568896871675</v>
          </cell>
          <cell r="AQ173">
            <v>47856.784448435836</v>
          </cell>
          <cell r="AR173">
            <v>7000</v>
          </cell>
          <cell r="AS173">
            <v>10</v>
          </cell>
        </row>
        <row r="174">
          <cell r="A174" t="str">
            <v>20423</v>
          </cell>
          <cell r="B174" t="str">
            <v>朱雀之拳</v>
          </cell>
          <cell r="I174">
            <v>4</v>
          </cell>
          <cell r="AP174">
            <v>957.13568896871675</v>
          </cell>
          <cell r="AQ174">
            <v>47856.784448435836</v>
          </cell>
          <cell r="AR174">
            <v>7000</v>
          </cell>
          <cell r="AS174">
            <v>10</v>
          </cell>
        </row>
        <row r="175">
          <cell r="A175" t="str">
            <v>30423</v>
          </cell>
          <cell r="B175" t="str">
            <v>朱雀之枪</v>
          </cell>
          <cell r="I175">
            <v>4</v>
          </cell>
          <cell r="AP175">
            <v>957.13568896871675</v>
          </cell>
          <cell r="AQ175">
            <v>47856.784448435836</v>
          </cell>
          <cell r="AR175">
            <v>7000</v>
          </cell>
          <cell r="AS175">
            <v>10</v>
          </cell>
        </row>
        <row r="176">
          <cell r="A176" t="str">
            <v>51423</v>
          </cell>
          <cell r="B176" t="str">
            <v>朱雀战衣</v>
          </cell>
          <cell r="I176">
            <v>4</v>
          </cell>
          <cell r="AP176">
            <v>781.71887590595156</v>
          </cell>
          <cell r="AQ176">
            <v>39085.943795297579</v>
          </cell>
          <cell r="AR176">
            <v>5717.0913115125841</v>
          </cell>
          <cell r="AS176">
            <v>10</v>
          </cell>
        </row>
        <row r="177">
          <cell r="A177" t="str">
            <v>52423</v>
          </cell>
          <cell r="B177" t="str">
            <v>朱雀长裤</v>
          </cell>
          <cell r="I177">
            <v>4</v>
          </cell>
          <cell r="AP177">
            <v>315.4466030410324</v>
          </cell>
          <cell r="AQ177">
            <v>15772.33015205162</v>
          </cell>
          <cell r="AR177">
            <v>2307.0148221788832</v>
          </cell>
          <cell r="AS177">
            <v>10</v>
          </cell>
        </row>
        <row r="178">
          <cell r="A178" t="str">
            <v>55423</v>
          </cell>
          <cell r="B178" t="str">
            <v>朱雀长靴</v>
          </cell>
          <cell r="I178">
            <v>4</v>
          </cell>
          <cell r="AP178">
            <v>395.26477573903037</v>
          </cell>
          <cell r="AQ178">
            <v>19763.238786951519</v>
          </cell>
          <cell r="AR178">
            <v>2890.764039061597</v>
          </cell>
          <cell r="AS178">
            <v>10</v>
          </cell>
        </row>
        <row r="179">
          <cell r="A179" t="str">
            <v>54423</v>
          </cell>
          <cell r="B179" t="str">
            <v>朱雀腰带</v>
          </cell>
          <cell r="I179">
            <v>4</v>
          </cell>
          <cell r="AP179">
            <v>418.18184116136376</v>
          </cell>
          <cell r="AQ179">
            <v>20909.092058068189</v>
          </cell>
          <cell r="AR179">
            <v>3058.3677130288493</v>
          </cell>
          <cell r="AS179">
            <v>10</v>
          </cell>
        </row>
        <row r="180">
          <cell r="A180" t="str">
            <v>53423</v>
          </cell>
          <cell r="B180" t="str">
            <v>朱雀项链</v>
          </cell>
          <cell r="I180">
            <v>4</v>
          </cell>
          <cell r="AP180">
            <v>543.77445818181832</v>
          </cell>
          <cell r="AQ180">
            <v>27188.722909090917</v>
          </cell>
          <cell r="AR180">
            <v>3976.8877612055462</v>
          </cell>
          <cell r="AS180">
            <v>10</v>
          </cell>
        </row>
        <row r="181">
          <cell r="A181" t="str">
            <v>10124</v>
          </cell>
          <cell r="B181" t="str">
            <v>高洁之刃</v>
          </cell>
          <cell r="I181">
            <v>1</v>
          </cell>
          <cell r="AP181">
            <v>545.42447684946114</v>
          </cell>
          <cell r="AQ181">
            <v>27271.223842473057</v>
          </cell>
          <cell r="AR181">
            <v>959.99999999999989</v>
          </cell>
          <cell r="AS181">
            <v>10</v>
          </cell>
        </row>
        <row r="182">
          <cell r="A182" t="str">
            <v>20124</v>
          </cell>
          <cell r="B182" t="str">
            <v>高洁之拳</v>
          </cell>
          <cell r="I182">
            <v>1</v>
          </cell>
          <cell r="AP182">
            <v>545.42447684946114</v>
          </cell>
          <cell r="AQ182">
            <v>27271.223842473057</v>
          </cell>
          <cell r="AR182">
            <v>959.99999999999989</v>
          </cell>
          <cell r="AS182">
            <v>10</v>
          </cell>
        </row>
        <row r="183">
          <cell r="A183" t="str">
            <v>30124</v>
          </cell>
          <cell r="B183" t="str">
            <v>高洁之枪</v>
          </cell>
          <cell r="I183">
            <v>1</v>
          </cell>
          <cell r="AP183">
            <v>545.42447684946114</v>
          </cell>
          <cell r="AQ183">
            <v>27271.223842473057</v>
          </cell>
          <cell r="AR183">
            <v>959.99999999999989</v>
          </cell>
          <cell r="AS183">
            <v>10</v>
          </cell>
        </row>
        <row r="184">
          <cell r="A184" t="str">
            <v>51124</v>
          </cell>
          <cell r="B184" t="str">
            <v>高洁战衣</v>
          </cell>
          <cell r="I184">
            <v>1</v>
          </cell>
          <cell r="AP184">
            <v>470.52771821253282</v>
          </cell>
          <cell r="AQ184">
            <v>23526.385910626639</v>
          </cell>
          <cell r="AR184">
            <v>828.17443781259544</v>
          </cell>
          <cell r="AS184">
            <v>10</v>
          </cell>
        </row>
        <row r="185">
          <cell r="A185" t="str">
            <v>52124</v>
          </cell>
          <cell r="B185" t="str">
            <v>高洁长裤</v>
          </cell>
          <cell r="I185">
            <v>1</v>
          </cell>
          <cell r="AP185">
            <v>173.36209152491557</v>
          </cell>
          <cell r="AQ185">
            <v>8668.1045762457779</v>
          </cell>
          <cell r="AR185">
            <v>305.13410183799556</v>
          </cell>
          <cell r="AS185">
            <v>10</v>
          </cell>
        </row>
        <row r="186">
          <cell r="A186" t="str">
            <v>55124</v>
          </cell>
          <cell r="B186" t="str">
            <v>高洁长靴</v>
          </cell>
          <cell r="I186">
            <v>1</v>
          </cell>
          <cell r="AP186">
            <v>220.85271553158546</v>
          </cell>
          <cell r="AQ186">
            <v>11042.635776579273</v>
          </cell>
          <cell r="AR186">
            <v>388.7222079489473</v>
          </cell>
          <cell r="AS186">
            <v>10</v>
          </cell>
        </row>
        <row r="187">
          <cell r="A187" t="str">
            <v>54124</v>
          </cell>
          <cell r="B187" t="str">
            <v>高洁腰带</v>
          </cell>
          <cell r="I187">
            <v>1</v>
          </cell>
          <cell r="AP187">
            <v>177.6691778566011</v>
          </cell>
          <cell r="AQ187">
            <v>8883.4588928300545</v>
          </cell>
          <cell r="AR187">
            <v>312.71499168419757</v>
          </cell>
          <cell r="AS187">
            <v>10</v>
          </cell>
        </row>
        <row r="188">
          <cell r="A188" t="str">
            <v>53124</v>
          </cell>
          <cell r="B188" t="str">
            <v>高洁项链</v>
          </cell>
          <cell r="I188">
            <v>1</v>
          </cell>
          <cell r="AP188">
            <v>331.14508171122998</v>
          </cell>
          <cell r="AQ188">
            <v>16557.254085561501</v>
          </cell>
          <cell r="AR188">
            <v>582.84747373103676</v>
          </cell>
          <cell r="AS188">
            <v>10</v>
          </cell>
        </row>
        <row r="189">
          <cell r="A189" t="str">
            <v>10225</v>
          </cell>
          <cell r="B189" t="str">
            <v>星宿之刃</v>
          </cell>
          <cell r="I189">
            <v>2</v>
          </cell>
          <cell r="AP189">
            <v>784.44781939517532</v>
          </cell>
          <cell r="AQ189">
            <v>39222.390969758766</v>
          </cell>
          <cell r="AR189">
            <v>1920</v>
          </cell>
          <cell r="AS189">
            <v>10</v>
          </cell>
        </row>
        <row r="190">
          <cell r="A190" t="str">
            <v>20225</v>
          </cell>
          <cell r="B190" t="str">
            <v>星宿之拳</v>
          </cell>
          <cell r="I190">
            <v>2</v>
          </cell>
          <cell r="AP190">
            <v>784.44781939517532</v>
          </cell>
          <cell r="AQ190">
            <v>39222.390969758766</v>
          </cell>
          <cell r="AR190">
            <v>1920</v>
          </cell>
          <cell r="AS190">
            <v>10</v>
          </cell>
        </row>
        <row r="191">
          <cell r="A191" t="str">
            <v>30225</v>
          </cell>
          <cell r="B191" t="str">
            <v>星宿之枪</v>
          </cell>
          <cell r="I191">
            <v>2</v>
          </cell>
          <cell r="AP191">
            <v>784.44781939517532</v>
          </cell>
          <cell r="AQ191">
            <v>39222.390969758766</v>
          </cell>
          <cell r="AR191">
            <v>1920</v>
          </cell>
          <cell r="AS191">
            <v>10</v>
          </cell>
        </row>
        <row r="192">
          <cell r="A192" t="str">
            <v>51225</v>
          </cell>
          <cell r="B192" t="str">
            <v>星宿战衣</v>
          </cell>
          <cell r="I192">
            <v>2</v>
          </cell>
          <cell r="AP192">
            <v>664.816294577338</v>
          </cell>
          <cell r="AQ192">
            <v>33240.814728866899</v>
          </cell>
          <cell r="AR192">
            <v>1627.1920885351622</v>
          </cell>
          <cell r="AS192">
            <v>10</v>
          </cell>
        </row>
        <row r="193">
          <cell r="A193" t="str">
            <v>52225</v>
          </cell>
          <cell r="B193" t="str">
            <v>星宿长裤</v>
          </cell>
          <cell r="I193">
            <v>2</v>
          </cell>
          <cell r="AP193">
            <v>252.37472831056871</v>
          </cell>
          <cell r="AQ193">
            <v>12618.736415528436</v>
          </cell>
          <cell r="AR193">
            <v>617.70772558192186</v>
          </cell>
          <cell r="AS193">
            <v>10</v>
          </cell>
        </row>
        <row r="194">
          <cell r="A194" t="str">
            <v>55225</v>
          </cell>
          <cell r="B194" t="str">
            <v>星宿长靴</v>
          </cell>
          <cell r="I194">
            <v>2</v>
          </cell>
          <cell r="AP194">
            <v>319.72386208936598</v>
          </cell>
          <cell r="AQ194">
            <v>15986.193104468299</v>
          </cell>
          <cell r="AR194">
            <v>782.55022199550297</v>
          </cell>
          <cell r="AS194">
            <v>10</v>
          </cell>
        </row>
        <row r="195">
          <cell r="A195" t="str">
            <v>54225</v>
          </cell>
          <cell r="B195" t="str">
            <v>星宿腰带</v>
          </cell>
          <cell r="I195">
            <v>2</v>
          </cell>
          <cell r="AP195">
            <v>284.34641991718894</v>
          </cell>
          <cell r="AQ195">
            <v>14217.320995859447</v>
          </cell>
          <cell r="AR195">
            <v>695.96104768566659</v>
          </cell>
          <cell r="AS195">
            <v>10</v>
          </cell>
        </row>
        <row r="196">
          <cell r="A196" t="str">
            <v>53225</v>
          </cell>
          <cell r="B196" t="str">
            <v>星宿项链</v>
          </cell>
          <cell r="I196">
            <v>2</v>
          </cell>
          <cell r="AP196">
            <v>466.15269814616761</v>
          </cell>
          <cell r="AQ196">
            <v>23307.63490730838</v>
          </cell>
          <cell r="AR196">
            <v>1140.9467377074418</v>
          </cell>
          <cell r="AS196">
            <v>10</v>
          </cell>
        </row>
        <row r="197">
          <cell r="A197" t="str">
            <v>10326</v>
          </cell>
          <cell r="B197" t="str">
            <v>炼狱之剑</v>
          </cell>
          <cell r="I197">
            <v>3</v>
          </cell>
          <cell r="AP197">
            <v>1021.3865243691686</v>
          </cell>
          <cell r="AQ197">
            <v>51069.326218458431</v>
          </cell>
          <cell r="AR197">
            <v>4800.0000000000009</v>
          </cell>
          <cell r="AS197">
            <v>10</v>
          </cell>
        </row>
        <row r="198">
          <cell r="A198" t="str">
            <v>20326</v>
          </cell>
          <cell r="B198" t="str">
            <v>炼狱之拳</v>
          </cell>
          <cell r="I198">
            <v>3</v>
          </cell>
          <cell r="AP198">
            <v>1021.3865243691686</v>
          </cell>
          <cell r="AQ198">
            <v>51069.326218458431</v>
          </cell>
          <cell r="AR198">
            <v>4800.0000000000009</v>
          </cell>
          <cell r="AS198">
            <v>10</v>
          </cell>
        </row>
        <row r="199">
          <cell r="A199" t="str">
            <v>30326</v>
          </cell>
          <cell r="B199" t="str">
            <v>炼狱之枪</v>
          </cell>
          <cell r="I199">
            <v>3</v>
          </cell>
          <cell r="AP199">
            <v>1021.3865243691686</v>
          </cell>
          <cell r="AQ199">
            <v>51069.326218458431</v>
          </cell>
          <cell r="AR199">
            <v>4800.0000000000009</v>
          </cell>
          <cell r="AS199">
            <v>10</v>
          </cell>
        </row>
        <row r="200">
          <cell r="A200" t="str">
            <v>51326</v>
          </cell>
          <cell r="B200" t="str">
            <v>炼狱战衣</v>
          </cell>
          <cell r="I200">
            <v>3</v>
          </cell>
          <cell r="AP200">
            <v>849.97573004868082</v>
          </cell>
          <cell r="AQ200">
            <v>42498.786502434043</v>
          </cell>
          <cell r="AR200">
            <v>3994.4559741998719</v>
          </cell>
          <cell r="AS200">
            <v>10</v>
          </cell>
        </row>
        <row r="201">
          <cell r="A201" t="str">
            <v>52326</v>
          </cell>
          <cell r="B201" t="str">
            <v>炼狱长裤</v>
          </cell>
          <cell r="I201">
            <v>3</v>
          </cell>
          <cell r="AP201">
            <v>332.5952532993818</v>
          </cell>
          <cell r="AQ201">
            <v>16629.76266496909</v>
          </cell>
          <cell r="AR201">
            <v>1563.0294484480696</v>
          </cell>
          <cell r="AS201">
            <v>10</v>
          </cell>
        </row>
        <row r="202">
          <cell r="A202" t="str">
            <v>55326</v>
          </cell>
          <cell r="B202" t="str">
            <v>炼狱长靴</v>
          </cell>
          <cell r="I202">
            <v>3</v>
          </cell>
          <cell r="AP202">
            <v>419.03462963132995</v>
          </cell>
          <cell r="AQ202">
            <v>20951.731481566498</v>
          </cell>
          <cell r="AR202">
            <v>1969.2507921745382</v>
          </cell>
          <cell r="AS202">
            <v>10</v>
          </cell>
        </row>
        <row r="203">
          <cell r="A203" t="str">
            <v>54326</v>
          </cell>
          <cell r="B203" t="str">
            <v>炼狱腰带</v>
          </cell>
          <cell r="I203">
            <v>3</v>
          </cell>
          <cell r="AP203">
            <v>408.07791613975189</v>
          </cell>
          <cell r="AQ203">
            <v>20403.895806987595</v>
          </cell>
          <cell r="AR203">
            <v>1917.759781176467</v>
          </cell>
          <cell r="AS203">
            <v>10</v>
          </cell>
        </row>
        <row r="204">
          <cell r="A204" t="str">
            <v>53326</v>
          </cell>
          <cell r="B204" t="str">
            <v>炼狱项链</v>
          </cell>
          <cell r="I204">
            <v>3</v>
          </cell>
          <cell r="AP204">
            <v>593.67232969696988</v>
          </cell>
          <cell r="AQ204">
            <v>29683.616484848495</v>
          </cell>
          <cell r="AR204">
            <v>2789.9596426587373</v>
          </cell>
          <cell r="AS204">
            <v>10</v>
          </cell>
        </row>
        <row r="205">
          <cell r="A205" t="str">
            <v>10427</v>
          </cell>
          <cell r="B205" t="str">
            <v>青龙霸刀</v>
          </cell>
          <cell r="I205">
            <v>4</v>
          </cell>
          <cell r="AP205">
            <v>1196.4196112108959</v>
          </cell>
          <cell r="AQ205">
            <v>59820.980560544798</v>
          </cell>
          <cell r="AR205">
            <v>8000</v>
          </cell>
          <cell r="AS205">
            <v>10</v>
          </cell>
        </row>
        <row r="206">
          <cell r="A206" t="str">
            <v>20427</v>
          </cell>
          <cell r="B206" t="str">
            <v>青龙之拳</v>
          </cell>
          <cell r="I206">
            <v>4</v>
          </cell>
          <cell r="AP206">
            <v>1196.4196112108959</v>
          </cell>
          <cell r="AQ206">
            <v>59820.980560544798</v>
          </cell>
          <cell r="AR206">
            <v>8000</v>
          </cell>
          <cell r="AS206">
            <v>10</v>
          </cell>
        </row>
        <row r="207">
          <cell r="A207" t="str">
            <v>30427</v>
          </cell>
          <cell r="B207" t="str">
            <v>青龙之枪</v>
          </cell>
          <cell r="I207">
            <v>4</v>
          </cell>
          <cell r="AP207">
            <v>1196.4196112108959</v>
          </cell>
          <cell r="AQ207">
            <v>59820.980560544798</v>
          </cell>
          <cell r="AR207">
            <v>8000</v>
          </cell>
          <cell r="AS207">
            <v>10</v>
          </cell>
        </row>
        <row r="208">
          <cell r="A208" t="str">
            <v>51427</v>
          </cell>
          <cell r="B208" t="str">
            <v>青龙战衣</v>
          </cell>
          <cell r="I208">
            <v>4</v>
          </cell>
          <cell r="AP208">
            <v>977.14859488243928</v>
          </cell>
          <cell r="AQ208">
            <v>48857.429744121968</v>
          </cell>
          <cell r="AR208">
            <v>6533.8186417286661</v>
          </cell>
          <cell r="AS208">
            <v>10</v>
          </cell>
        </row>
        <row r="209">
          <cell r="A209" t="str">
            <v>52427</v>
          </cell>
          <cell r="B209" t="str">
            <v>青龙长裤</v>
          </cell>
          <cell r="I209">
            <v>4</v>
          </cell>
          <cell r="AP209">
            <v>394.30825380129045</v>
          </cell>
          <cell r="AQ209">
            <v>19715.412690064521</v>
          </cell>
          <cell r="AR209">
            <v>2636.5883682044378</v>
          </cell>
          <cell r="AS209">
            <v>10</v>
          </cell>
        </row>
        <row r="210">
          <cell r="A210" t="str">
            <v>55427</v>
          </cell>
          <cell r="B210" t="str">
            <v>青龙长靴</v>
          </cell>
          <cell r="I210">
            <v>4</v>
          </cell>
          <cell r="AP210">
            <v>494.08096967378793</v>
          </cell>
          <cell r="AQ210">
            <v>24704.048483689396</v>
          </cell>
          <cell r="AR210">
            <v>3303.7303303561112</v>
          </cell>
          <cell r="AS210">
            <v>10</v>
          </cell>
        </row>
        <row r="211">
          <cell r="A211" t="str">
            <v>54427</v>
          </cell>
          <cell r="B211" t="str">
            <v>青龙腰带</v>
          </cell>
          <cell r="I211">
            <v>4</v>
          </cell>
          <cell r="AP211">
            <v>522.72730145170476</v>
          </cell>
          <cell r="AQ211">
            <v>26136.365072585239</v>
          </cell>
          <cell r="AR211">
            <v>3495.2773863186853</v>
          </cell>
          <cell r="AS211">
            <v>10</v>
          </cell>
        </row>
        <row r="212">
          <cell r="A212" t="str">
            <v>53427</v>
          </cell>
          <cell r="B212" t="str">
            <v>青龙项链</v>
          </cell>
          <cell r="I212">
            <v>4</v>
          </cell>
          <cell r="AP212">
            <v>679.7180727272729</v>
          </cell>
          <cell r="AQ212">
            <v>33985.903636363648</v>
          </cell>
          <cell r="AR212">
            <v>4545.0145842349111</v>
          </cell>
          <cell r="AS212">
            <v>10</v>
          </cell>
        </row>
      </sheetData>
      <sheetData sheetId="1">
        <row r="3">
          <cell r="U3">
            <v>85200</v>
          </cell>
        </row>
        <row r="4">
          <cell r="U4">
            <v>85300</v>
          </cell>
        </row>
        <row r="5">
          <cell r="U5">
            <v>85400</v>
          </cell>
        </row>
        <row r="6">
          <cell r="U6">
            <v>85500</v>
          </cell>
        </row>
        <row r="15">
          <cell r="W15" t="str">
            <v>总估值</v>
          </cell>
          <cell r="X15" t="str">
            <v>金币价值</v>
          </cell>
          <cell r="Y15" t="str">
            <v>钻石价值</v>
          </cell>
          <cell r="Z15" t="str">
            <v>稀有度</v>
          </cell>
          <cell r="AB15" t="str">
            <v>总值</v>
          </cell>
        </row>
        <row r="16">
          <cell r="V16">
            <v>2019.7074124618819</v>
          </cell>
          <cell r="Y16">
            <v>10</v>
          </cell>
          <cell r="AB16">
            <v>20197.074124618819</v>
          </cell>
        </row>
        <row r="17">
          <cell r="V17">
            <v>1328.0447276882121</v>
          </cell>
          <cell r="Y17">
            <v>30</v>
          </cell>
          <cell r="AA17" t="str">
            <v>紫色</v>
          </cell>
          <cell r="AB17">
            <v>39841.341830646365</v>
          </cell>
        </row>
        <row r="18">
          <cell r="V18">
            <v>1248.4901080620789</v>
          </cell>
          <cell r="Y18">
            <v>80</v>
          </cell>
          <cell r="AA18" t="str">
            <v>橙色</v>
          </cell>
          <cell r="AB18">
            <v>99879.208644966318</v>
          </cell>
        </row>
        <row r="19">
          <cell r="V19">
            <v>1669.2910991566057</v>
          </cell>
          <cell r="Y19">
            <v>100</v>
          </cell>
          <cell r="AB19">
            <v>166929.10991566058</v>
          </cell>
        </row>
      </sheetData>
      <sheetData sheetId="2"/>
      <sheetData sheetId="3"/>
      <sheetData sheetId="4"/>
      <sheetData sheetId="5"/>
      <sheetData sheetId="6"/>
      <sheetData sheetId="7">
        <row r="32">
          <cell r="A32" t="str">
            <v>500</v>
          </cell>
          <cell r="B32">
            <v>0</v>
          </cell>
          <cell r="C32" t="str">
            <v>武器</v>
          </cell>
          <cell r="D32">
            <v>5</v>
          </cell>
          <cell r="BJ32">
            <v>16.599081639928706</v>
          </cell>
        </row>
        <row r="33">
          <cell r="A33" t="str">
            <v>501</v>
          </cell>
          <cell r="B33">
            <v>0</v>
          </cell>
          <cell r="C33" t="str">
            <v>衣服</v>
          </cell>
          <cell r="D33">
            <v>5</v>
          </cell>
          <cell r="BJ33">
            <v>14.569636415687212</v>
          </cell>
        </row>
        <row r="34">
          <cell r="A34" t="str">
            <v>502</v>
          </cell>
          <cell r="B34">
            <v>0</v>
          </cell>
          <cell r="C34" t="str">
            <v>裤子</v>
          </cell>
          <cell r="D34">
            <v>5</v>
          </cell>
          <cell r="BJ34">
            <v>5.2122187059503178</v>
          </cell>
        </row>
        <row r="35">
          <cell r="A35" t="str">
            <v>505</v>
          </cell>
          <cell r="B35">
            <v>0</v>
          </cell>
          <cell r="C35" t="str">
            <v>鞋子</v>
          </cell>
          <cell r="D35">
            <v>5</v>
          </cell>
          <cell r="BJ35">
            <v>6.677519452253911</v>
          </cell>
        </row>
        <row r="36">
          <cell r="A36" t="str">
            <v>504</v>
          </cell>
          <cell r="B36">
            <v>0</v>
          </cell>
          <cell r="C36" t="str">
            <v>腰带</v>
          </cell>
          <cell r="D36">
            <v>5</v>
          </cell>
          <cell r="BJ36">
            <v>4.8025194522539119</v>
          </cell>
        </row>
        <row r="37">
          <cell r="A37" t="str">
            <v>503</v>
          </cell>
          <cell r="B37">
            <v>0</v>
          </cell>
          <cell r="C37" t="str">
            <v>项链</v>
          </cell>
          <cell r="D37">
            <v>5</v>
          </cell>
          <cell r="BJ37">
            <v>10.289971657754013</v>
          </cell>
        </row>
        <row r="38">
          <cell r="A38" t="str">
            <v>510</v>
          </cell>
          <cell r="B38">
            <v>1</v>
          </cell>
          <cell r="C38" t="str">
            <v>武器</v>
          </cell>
          <cell r="D38">
            <v>5</v>
          </cell>
          <cell r="BJ38">
            <v>27.271223842473059</v>
          </cell>
        </row>
        <row r="39">
          <cell r="A39" t="str">
            <v>511</v>
          </cell>
          <cell r="B39">
            <v>1</v>
          </cell>
          <cell r="C39" t="str">
            <v>衣服</v>
          </cell>
          <cell r="D39">
            <v>5</v>
          </cell>
          <cell r="BJ39">
            <v>23.526385910626644</v>
          </cell>
        </row>
        <row r="40">
          <cell r="A40" t="str">
            <v>512</v>
          </cell>
          <cell r="B40">
            <v>1</v>
          </cell>
          <cell r="C40" t="str">
            <v>裤子</v>
          </cell>
          <cell r="D40">
            <v>5</v>
          </cell>
          <cell r="BJ40">
            <v>8.6681045762457778</v>
          </cell>
        </row>
        <row r="41">
          <cell r="A41" t="str">
            <v>515</v>
          </cell>
          <cell r="B41">
            <v>1</v>
          </cell>
          <cell r="C41" t="str">
            <v>鞋子</v>
          </cell>
          <cell r="D41">
            <v>5</v>
          </cell>
          <cell r="BJ41">
            <v>11.042635776579273</v>
          </cell>
        </row>
        <row r="42">
          <cell r="A42" t="str">
            <v>514</v>
          </cell>
          <cell r="B42">
            <v>1</v>
          </cell>
          <cell r="C42" t="str">
            <v>腰带</v>
          </cell>
          <cell r="D42">
            <v>5</v>
          </cell>
          <cell r="BJ42">
            <v>8.8834588928300544</v>
          </cell>
        </row>
        <row r="43">
          <cell r="A43" t="str">
            <v>513</v>
          </cell>
          <cell r="B43">
            <v>1</v>
          </cell>
          <cell r="C43" t="str">
            <v>项链</v>
          </cell>
          <cell r="D43">
            <v>5</v>
          </cell>
          <cell r="BJ43">
            <v>16.5572540855615</v>
          </cell>
        </row>
        <row r="44">
          <cell r="A44" t="str">
            <v>1510</v>
          </cell>
          <cell r="B44">
            <v>1</v>
          </cell>
          <cell r="C44" t="str">
            <v>武器</v>
          </cell>
          <cell r="D44">
            <v>15</v>
          </cell>
          <cell r="BJ44">
            <v>54.542447684946119</v>
          </cell>
        </row>
        <row r="45">
          <cell r="A45" t="str">
            <v>1511</v>
          </cell>
          <cell r="B45">
            <v>1</v>
          </cell>
          <cell r="C45" t="str">
            <v>衣服</v>
          </cell>
          <cell r="D45">
            <v>15</v>
          </cell>
          <cell r="BJ45">
            <v>47.052771821253287</v>
          </cell>
        </row>
        <row r="46">
          <cell r="A46" t="str">
            <v>1512</v>
          </cell>
          <cell r="B46">
            <v>1</v>
          </cell>
          <cell r="C46" t="str">
            <v>裤子</v>
          </cell>
          <cell r="D46">
            <v>15</v>
          </cell>
          <cell r="BJ46">
            <v>17.336209152491556</v>
          </cell>
        </row>
        <row r="47">
          <cell r="A47" t="str">
            <v>1515</v>
          </cell>
          <cell r="B47">
            <v>1</v>
          </cell>
          <cell r="C47" t="str">
            <v>鞋子</v>
          </cell>
          <cell r="D47">
            <v>15</v>
          </cell>
          <cell r="BJ47">
            <v>22.085271553158545</v>
          </cell>
        </row>
        <row r="48">
          <cell r="A48" t="str">
            <v>1514</v>
          </cell>
          <cell r="B48">
            <v>1</v>
          </cell>
          <cell r="C48" t="str">
            <v>腰带</v>
          </cell>
          <cell r="D48">
            <v>15</v>
          </cell>
          <cell r="BJ48">
            <v>17.766917785660109</v>
          </cell>
        </row>
        <row r="49">
          <cell r="A49" t="str">
            <v>1513</v>
          </cell>
          <cell r="B49">
            <v>1</v>
          </cell>
          <cell r="C49" t="str">
            <v>项链</v>
          </cell>
          <cell r="D49">
            <v>15</v>
          </cell>
          <cell r="BJ49">
            <v>33.114508171122999</v>
          </cell>
        </row>
        <row r="50">
          <cell r="A50" t="str">
            <v>1520</v>
          </cell>
          <cell r="B50">
            <v>2</v>
          </cell>
          <cell r="C50" t="str">
            <v>武器</v>
          </cell>
          <cell r="D50">
            <v>15</v>
          </cell>
          <cell r="BJ50">
            <v>78.44478193951754</v>
          </cell>
        </row>
        <row r="51">
          <cell r="A51" t="str">
            <v>1521</v>
          </cell>
          <cell r="B51">
            <v>2</v>
          </cell>
          <cell r="C51" t="str">
            <v>衣服</v>
          </cell>
          <cell r="D51">
            <v>15</v>
          </cell>
          <cell r="BJ51">
            <v>66.481629457733803</v>
          </cell>
        </row>
        <row r="52">
          <cell r="A52" t="str">
            <v>1522</v>
          </cell>
          <cell r="B52">
            <v>2</v>
          </cell>
          <cell r="C52" t="str">
            <v>裤子</v>
          </cell>
          <cell r="D52">
            <v>15</v>
          </cell>
          <cell r="BJ52">
            <v>25.23747283105687</v>
          </cell>
        </row>
        <row r="53">
          <cell r="A53" t="str">
            <v>1525</v>
          </cell>
          <cell r="B53">
            <v>2</v>
          </cell>
          <cell r="C53" t="str">
            <v>鞋子</v>
          </cell>
          <cell r="D53">
            <v>15</v>
          </cell>
          <cell r="BJ53">
            <v>31.972386208936598</v>
          </cell>
        </row>
        <row r="54">
          <cell r="A54" t="str">
            <v>1524</v>
          </cell>
          <cell r="B54">
            <v>2</v>
          </cell>
          <cell r="C54" t="str">
            <v>腰带</v>
          </cell>
          <cell r="D54">
            <v>15</v>
          </cell>
          <cell r="BJ54">
            <v>28.434641991718891</v>
          </cell>
        </row>
        <row r="55">
          <cell r="A55" t="str">
            <v>1523</v>
          </cell>
          <cell r="B55">
            <v>2</v>
          </cell>
          <cell r="C55" t="str">
            <v>项链</v>
          </cell>
          <cell r="D55">
            <v>15</v>
          </cell>
          <cell r="BJ55">
            <v>46.615269814616767</v>
          </cell>
        </row>
        <row r="68">
          <cell r="A68" t="str">
            <v>3010</v>
          </cell>
          <cell r="B68">
            <v>1</v>
          </cell>
          <cell r="C68" t="str">
            <v>武器</v>
          </cell>
          <cell r="D68">
            <v>30</v>
          </cell>
          <cell r="BJ68">
            <v>109.08489536989224</v>
          </cell>
        </row>
        <row r="69">
          <cell r="A69" t="str">
            <v>3011</v>
          </cell>
          <cell r="B69">
            <v>1</v>
          </cell>
          <cell r="C69" t="str">
            <v>衣服</v>
          </cell>
          <cell r="D69">
            <v>30</v>
          </cell>
          <cell r="BJ69">
            <v>94.105543642506575</v>
          </cell>
        </row>
        <row r="70">
          <cell r="A70" t="str">
            <v>3012</v>
          </cell>
          <cell r="B70">
            <v>1</v>
          </cell>
          <cell r="C70" t="str">
            <v>裤子</v>
          </cell>
          <cell r="D70">
            <v>30</v>
          </cell>
          <cell r="BJ70">
            <v>34.672418304983111</v>
          </cell>
        </row>
        <row r="71">
          <cell r="A71" t="str">
            <v>3015</v>
          </cell>
          <cell r="B71">
            <v>1</v>
          </cell>
          <cell r="C71" t="str">
            <v>鞋子</v>
          </cell>
          <cell r="D71">
            <v>30</v>
          </cell>
          <cell r="BJ71">
            <v>44.170543106317091</v>
          </cell>
        </row>
        <row r="72">
          <cell r="A72" t="str">
            <v>3014</v>
          </cell>
          <cell r="B72">
            <v>1</v>
          </cell>
          <cell r="C72" t="str">
            <v>腰带</v>
          </cell>
          <cell r="D72">
            <v>30</v>
          </cell>
          <cell r="BJ72">
            <v>35.533835571320218</v>
          </cell>
        </row>
        <row r="73">
          <cell r="A73" t="str">
            <v>3013</v>
          </cell>
          <cell r="B73">
            <v>1</v>
          </cell>
          <cell r="C73" t="str">
            <v>项链</v>
          </cell>
          <cell r="D73">
            <v>30</v>
          </cell>
          <cell r="BJ73">
            <v>66.229016342245998</v>
          </cell>
        </row>
        <row r="74">
          <cell r="A74" t="str">
            <v>3020</v>
          </cell>
          <cell r="B74">
            <v>2</v>
          </cell>
          <cell r="C74" t="str">
            <v>武器</v>
          </cell>
          <cell r="D74">
            <v>30</v>
          </cell>
          <cell r="BJ74">
            <v>156.88956387903508</v>
          </cell>
        </row>
        <row r="75">
          <cell r="A75" t="str">
            <v>3021</v>
          </cell>
          <cell r="B75">
            <v>2</v>
          </cell>
          <cell r="C75" t="str">
            <v>衣服</v>
          </cell>
          <cell r="D75">
            <v>30</v>
          </cell>
          <cell r="BJ75">
            <v>132.96325891546761</v>
          </cell>
        </row>
        <row r="76">
          <cell r="A76" t="str">
            <v>3022</v>
          </cell>
          <cell r="B76">
            <v>2</v>
          </cell>
          <cell r="C76" t="str">
            <v>裤子</v>
          </cell>
          <cell r="D76">
            <v>30</v>
          </cell>
          <cell r="BJ76">
            <v>50.47494566211374</v>
          </cell>
        </row>
        <row r="77">
          <cell r="A77" t="str">
            <v>3025</v>
          </cell>
          <cell r="B77">
            <v>2</v>
          </cell>
          <cell r="C77" t="str">
            <v>鞋子</v>
          </cell>
          <cell r="D77">
            <v>30</v>
          </cell>
          <cell r="BJ77">
            <v>63.944772417873196</v>
          </cell>
        </row>
        <row r="78">
          <cell r="A78" t="str">
            <v>3024</v>
          </cell>
          <cell r="B78">
            <v>2</v>
          </cell>
          <cell r="C78" t="str">
            <v>腰带</v>
          </cell>
          <cell r="D78">
            <v>30</v>
          </cell>
          <cell r="BJ78">
            <v>56.869283983437782</v>
          </cell>
        </row>
        <row r="79">
          <cell r="A79" t="str">
            <v>3023</v>
          </cell>
          <cell r="B79">
            <v>2</v>
          </cell>
          <cell r="C79" t="str">
            <v>项链</v>
          </cell>
          <cell r="D79">
            <v>30</v>
          </cell>
          <cell r="BJ79">
            <v>93.230539629233533</v>
          </cell>
        </row>
        <row r="80">
          <cell r="A80" t="str">
            <v>3030</v>
          </cell>
          <cell r="B80">
            <v>3</v>
          </cell>
          <cell r="C80" t="str">
            <v>武器</v>
          </cell>
          <cell r="D80">
            <v>30</v>
          </cell>
          <cell r="BJ80">
            <v>204.27730487383371</v>
          </cell>
        </row>
        <row r="81">
          <cell r="A81" t="str">
            <v>3031</v>
          </cell>
          <cell r="B81">
            <v>3</v>
          </cell>
          <cell r="C81" t="str">
            <v>衣服</v>
          </cell>
          <cell r="D81">
            <v>30</v>
          </cell>
          <cell r="BJ81">
            <v>169.99514600973615</v>
          </cell>
        </row>
        <row r="82">
          <cell r="A82" t="str">
            <v>3032</v>
          </cell>
          <cell r="B82">
            <v>3</v>
          </cell>
          <cell r="C82" t="str">
            <v>裤子</v>
          </cell>
          <cell r="D82">
            <v>30</v>
          </cell>
          <cell r="BJ82">
            <v>66.519050659876356</v>
          </cell>
        </row>
        <row r="83">
          <cell r="A83" t="str">
            <v>3035</v>
          </cell>
          <cell r="B83">
            <v>3</v>
          </cell>
          <cell r="C83" t="str">
            <v>鞋子</v>
          </cell>
          <cell r="D83">
            <v>30</v>
          </cell>
          <cell r="BJ83">
            <v>83.806925926266004</v>
          </cell>
        </row>
        <row r="84">
          <cell r="A84" t="str">
            <v>3034</v>
          </cell>
          <cell r="B84">
            <v>3</v>
          </cell>
          <cell r="C84" t="str">
            <v>腰带</v>
          </cell>
          <cell r="D84">
            <v>30</v>
          </cell>
          <cell r="BJ84">
            <v>81.615583227950395</v>
          </cell>
        </row>
        <row r="85">
          <cell r="A85" t="str">
            <v>3033</v>
          </cell>
          <cell r="B85">
            <v>3</v>
          </cell>
          <cell r="C85" t="str">
            <v>项链</v>
          </cell>
          <cell r="D85">
            <v>30</v>
          </cell>
          <cell r="BJ85">
            <v>118.734465939394</v>
          </cell>
        </row>
        <row r="86">
          <cell r="A86" t="str">
            <v>3040</v>
          </cell>
          <cell r="B86">
            <v>4</v>
          </cell>
          <cell r="C86" t="str">
            <v>武器</v>
          </cell>
          <cell r="D86">
            <v>30</v>
          </cell>
          <cell r="BJ86">
            <v>239.28392224217919</v>
          </cell>
        </row>
        <row r="87">
          <cell r="A87" t="str">
            <v>3041</v>
          </cell>
          <cell r="B87">
            <v>4</v>
          </cell>
          <cell r="C87" t="str">
            <v>衣服</v>
          </cell>
          <cell r="D87">
            <v>30</v>
          </cell>
          <cell r="BJ87">
            <v>195.42971897648789</v>
          </cell>
        </row>
        <row r="88">
          <cell r="A88" t="str">
            <v>3042</v>
          </cell>
          <cell r="B88">
            <v>4</v>
          </cell>
          <cell r="C88" t="str">
            <v>裤子</v>
          </cell>
          <cell r="D88">
            <v>30</v>
          </cell>
          <cell r="BJ88">
            <v>78.861650760258101</v>
          </cell>
        </row>
        <row r="89">
          <cell r="A89" t="str">
            <v>3045</v>
          </cell>
          <cell r="B89">
            <v>4</v>
          </cell>
          <cell r="C89" t="str">
            <v>鞋子</v>
          </cell>
          <cell r="D89">
            <v>30</v>
          </cell>
          <cell r="BJ89">
            <v>98.816193934757592</v>
          </cell>
        </row>
        <row r="90">
          <cell r="A90" t="str">
            <v>3044</v>
          </cell>
          <cell r="B90">
            <v>4</v>
          </cell>
          <cell r="C90" t="str">
            <v>腰带</v>
          </cell>
          <cell r="D90">
            <v>30</v>
          </cell>
          <cell r="BJ90">
            <v>104.54546029034094</v>
          </cell>
        </row>
        <row r="91">
          <cell r="A91" t="str">
            <v>3043</v>
          </cell>
          <cell r="B91">
            <v>4</v>
          </cell>
          <cell r="C91" t="str">
            <v>项链</v>
          </cell>
          <cell r="D91">
            <v>30</v>
          </cell>
          <cell r="BJ91">
            <v>135.94361454545458</v>
          </cell>
        </row>
        <row r="92">
          <cell r="A92" t="str">
            <v>4510</v>
          </cell>
          <cell r="B92">
            <v>1</v>
          </cell>
          <cell r="C92" t="str">
            <v>武器</v>
          </cell>
          <cell r="D92">
            <v>45</v>
          </cell>
          <cell r="BJ92">
            <v>218.16979073978447</v>
          </cell>
        </row>
        <row r="93">
          <cell r="A93" t="str">
            <v>4511</v>
          </cell>
          <cell r="B93">
            <v>1</v>
          </cell>
          <cell r="C93" t="str">
            <v>衣服</v>
          </cell>
          <cell r="D93">
            <v>45</v>
          </cell>
          <cell r="BJ93">
            <v>188.21108728501315</v>
          </cell>
        </row>
        <row r="94">
          <cell r="A94" t="str">
            <v>4512</v>
          </cell>
          <cell r="B94">
            <v>1</v>
          </cell>
          <cell r="C94" t="str">
            <v>裤子</v>
          </cell>
          <cell r="D94">
            <v>45</v>
          </cell>
          <cell r="BJ94">
            <v>69.344836609966222</v>
          </cell>
        </row>
        <row r="95">
          <cell r="A95" t="str">
            <v>4515</v>
          </cell>
          <cell r="B95">
            <v>1</v>
          </cell>
          <cell r="C95" t="str">
            <v>鞋子</v>
          </cell>
          <cell r="D95">
            <v>45</v>
          </cell>
          <cell r="BJ95">
            <v>88.341086212634181</v>
          </cell>
        </row>
        <row r="96">
          <cell r="A96" t="str">
            <v>4514</v>
          </cell>
          <cell r="B96">
            <v>1</v>
          </cell>
          <cell r="C96" t="str">
            <v>腰带</v>
          </cell>
          <cell r="D96">
            <v>45</v>
          </cell>
          <cell r="BJ96">
            <v>71.067671142640435</v>
          </cell>
        </row>
        <row r="97">
          <cell r="A97" t="str">
            <v>4513</v>
          </cell>
          <cell r="B97">
            <v>1</v>
          </cell>
          <cell r="C97" t="str">
            <v>项链</v>
          </cell>
          <cell r="D97">
            <v>45</v>
          </cell>
          <cell r="BJ97">
            <v>132.458032684492</v>
          </cell>
        </row>
        <row r="98">
          <cell r="A98" t="str">
            <v>4520</v>
          </cell>
          <cell r="B98">
            <v>2</v>
          </cell>
          <cell r="C98" t="str">
            <v>武器</v>
          </cell>
          <cell r="D98">
            <v>45</v>
          </cell>
          <cell r="BJ98">
            <v>313.77912775807016</v>
          </cell>
        </row>
        <row r="99">
          <cell r="A99" t="str">
            <v>4521</v>
          </cell>
          <cell r="B99">
            <v>2</v>
          </cell>
          <cell r="C99" t="str">
            <v>衣服</v>
          </cell>
          <cell r="D99">
            <v>45</v>
          </cell>
          <cell r="BJ99">
            <v>265.92651783093521</v>
          </cell>
        </row>
        <row r="100">
          <cell r="A100" t="str">
            <v>4522</v>
          </cell>
          <cell r="B100">
            <v>2</v>
          </cell>
          <cell r="C100" t="str">
            <v>裤子</v>
          </cell>
          <cell r="D100">
            <v>45</v>
          </cell>
          <cell r="BJ100">
            <v>100.94989132422748</v>
          </cell>
        </row>
        <row r="101">
          <cell r="A101" t="str">
            <v>4525</v>
          </cell>
          <cell r="B101">
            <v>2</v>
          </cell>
          <cell r="C101" t="str">
            <v>鞋子</v>
          </cell>
          <cell r="D101">
            <v>45</v>
          </cell>
          <cell r="BJ101">
            <v>127.88954483574639</v>
          </cell>
        </row>
        <row r="102">
          <cell r="A102" t="str">
            <v>4524</v>
          </cell>
          <cell r="B102">
            <v>2</v>
          </cell>
          <cell r="C102" t="str">
            <v>腰带</v>
          </cell>
          <cell r="D102">
            <v>45</v>
          </cell>
          <cell r="BJ102">
            <v>113.73856796687556</v>
          </cell>
        </row>
        <row r="103">
          <cell r="A103" t="str">
            <v>4523</v>
          </cell>
          <cell r="B103">
            <v>2</v>
          </cell>
          <cell r="C103" t="str">
            <v>项链</v>
          </cell>
          <cell r="D103">
            <v>45</v>
          </cell>
          <cell r="BJ103">
            <v>186.46107925846707</v>
          </cell>
        </row>
        <row r="104">
          <cell r="A104" t="str">
            <v>4530</v>
          </cell>
          <cell r="B104">
            <v>3</v>
          </cell>
          <cell r="C104" t="str">
            <v>武器</v>
          </cell>
          <cell r="D104">
            <v>45</v>
          </cell>
          <cell r="BJ104">
            <v>408.55460974766743</v>
          </cell>
        </row>
        <row r="105">
          <cell r="A105" t="str">
            <v>4531</v>
          </cell>
          <cell r="B105">
            <v>3</v>
          </cell>
          <cell r="C105" t="str">
            <v>衣服</v>
          </cell>
          <cell r="D105">
            <v>45</v>
          </cell>
          <cell r="BJ105">
            <v>339.99029201947229</v>
          </cell>
        </row>
        <row r="106">
          <cell r="A106" t="str">
            <v>4532</v>
          </cell>
          <cell r="B106">
            <v>3</v>
          </cell>
          <cell r="C106" t="str">
            <v>裤子</v>
          </cell>
          <cell r="D106">
            <v>45</v>
          </cell>
          <cell r="BJ106">
            <v>133.03810131975271</v>
          </cell>
        </row>
        <row r="107">
          <cell r="A107" t="str">
            <v>4535</v>
          </cell>
          <cell r="B107">
            <v>3</v>
          </cell>
          <cell r="C107" t="str">
            <v>鞋子</v>
          </cell>
          <cell r="D107">
            <v>45</v>
          </cell>
          <cell r="BJ107">
            <v>167.61385185253201</v>
          </cell>
        </row>
        <row r="108">
          <cell r="A108" t="str">
            <v>4534</v>
          </cell>
          <cell r="B108">
            <v>3</v>
          </cell>
          <cell r="C108" t="str">
            <v>腰带</v>
          </cell>
          <cell r="D108">
            <v>45</v>
          </cell>
          <cell r="BJ108">
            <v>163.23116645590079</v>
          </cell>
        </row>
        <row r="109">
          <cell r="A109" t="str">
            <v>4533</v>
          </cell>
          <cell r="B109">
            <v>3</v>
          </cell>
          <cell r="C109" t="str">
            <v>项链</v>
          </cell>
          <cell r="D109">
            <v>45</v>
          </cell>
          <cell r="BJ109">
            <v>237.468931878788</v>
          </cell>
        </row>
        <row r="110">
          <cell r="A110" t="str">
            <v>4540</v>
          </cell>
          <cell r="B110">
            <v>4</v>
          </cell>
          <cell r="C110" t="str">
            <v>武器</v>
          </cell>
          <cell r="D110">
            <v>45</v>
          </cell>
          <cell r="BJ110">
            <v>478.56784448435837</v>
          </cell>
        </row>
        <row r="111">
          <cell r="A111" t="str">
            <v>4541</v>
          </cell>
          <cell r="B111">
            <v>4</v>
          </cell>
          <cell r="C111" t="str">
            <v>衣服</v>
          </cell>
          <cell r="D111">
            <v>45</v>
          </cell>
          <cell r="BJ111">
            <v>390.85943795297578</v>
          </cell>
        </row>
        <row r="112">
          <cell r="A112" t="str">
            <v>4542</v>
          </cell>
          <cell r="B112">
            <v>4</v>
          </cell>
          <cell r="C112" t="str">
            <v>裤子</v>
          </cell>
          <cell r="D112">
            <v>45</v>
          </cell>
          <cell r="BJ112">
            <v>157.7233015205162</v>
          </cell>
        </row>
        <row r="113">
          <cell r="A113" t="str">
            <v>4545</v>
          </cell>
          <cell r="B113">
            <v>4</v>
          </cell>
          <cell r="C113" t="str">
            <v>鞋子</v>
          </cell>
          <cell r="D113">
            <v>45</v>
          </cell>
          <cell r="BJ113">
            <v>197.63238786951518</v>
          </cell>
        </row>
        <row r="114">
          <cell r="A114" t="str">
            <v>4544</v>
          </cell>
          <cell r="B114">
            <v>4</v>
          </cell>
          <cell r="C114" t="str">
            <v>腰带</v>
          </cell>
          <cell r="D114">
            <v>45</v>
          </cell>
          <cell r="BJ114">
            <v>209.09092058068188</v>
          </cell>
        </row>
        <row r="115">
          <cell r="A115" t="str">
            <v>4543</v>
          </cell>
          <cell r="B115">
            <v>4</v>
          </cell>
          <cell r="C115" t="str">
            <v>项链</v>
          </cell>
          <cell r="D115">
            <v>45</v>
          </cell>
          <cell r="BJ115">
            <v>271.88722909090916</v>
          </cell>
        </row>
        <row r="116">
          <cell r="A116" t="str">
            <v>6010</v>
          </cell>
          <cell r="B116">
            <v>1</v>
          </cell>
          <cell r="C116" t="str">
            <v>武器</v>
          </cell>
          <cell r="D116">
            <v>60</v>
          </cell>
          <cell r="BJ116">
            <v>327.2546861096767</v>
          </cell>
        </row>
        <row r="117">
          <cell r="A117" t="str">
            <v>6011</v>
          </cell>
          <cell r="B117">
            <v>1</v>
          </cell>
          <cell r="C117" t="str">
            <v>衣服</v>
          </cell>
          <cell r="D117">
            <v>60</v>
          </cell>
          <cell r="BJ117">
            <v>282.31663092751972</v>
          </cell>
        </row>
        <row r="118">
          <cell r="A118" t="str">
            <v>6012</v>
          </cell>
          <cell r="B118">
            <v>1</v>
          </cell>
          <cell r="C118" t="str">
            <v>裤子</v>
          </cell>
          <cell r="D118">
            <v>60</v>
          </cell>
          <cell r="BJ118">
            <v>104.01725491494935</v>
          </cell>
        </row>
        <row r="119">
          <cell r="A119" t="str">
            <v>6015</v>
          </cell>
          <cell r="B119">
            <v>1</v>
          </cell>
          <cell r="C119" t="str">
            <v>鞋子</v>
          </cell>
          <cell r="D119">
            <v>60</v>
          </cell>
          <cell r="BJ119">
            <v>132.51162931895126</v>
          </cell>
        </row>
        <row r="120">
          <cell r="A120" t="str">
            <v>6014</v>
          </cell>
          <cell r="B120">
            <v>1</v>
          </cell>
          <cell r="C120" t="str">
            <v>腰带</v>
          </cell>
          <cell r="D120">
            <v>60</v>
          </cell>
          <cell r="BJ120">
            <v>106.60150671396066</v>
          </cell>
        </row>
        <row r="121">
          <cell r="A121" t="str">
            <v>6013</v>
          </cell>
          <cell r="B121">
            <v>1</v>
          </cell>
          <cell r="C121" t="str">
            <v>项链</v>
          </cell>
          <cell r="D121">
            <v>60</v>
          </cell>
          <cell r="BJ121">
            <v>198.68704902673798</v>
          </cell>
        </row>
        <row r="122">
          <cell r="A122" t="str">
            <v>6020</v>
          </cell>
          <cell r="B122">
            <v>2</v>
          </cell>
          <cell r="C122" t="str">
            <v>武器</v>
          </cell>
          <cell r="D122">
            <v>60</v>
          </cell>
          <cell r="BJ122">
            <v>470.66869163710521</v>
          </cell>
        </row>
        <row r="123">
          <cell r="A123" t="str">
            <v>6021</v>
          </cell>
          <cell r="B123">
            <v>2</v>
          </cell>
          <cell r="C123" t="str">
            <v>衣服</v>
          </cell>
          <cell r="D123">
            <v>60</v>
          </cell>
          <cell r="BJ123">
            <v>398.88977674640279</v>
          </cell>
        </row>
        <row r="124">
          <cell r="A124" t="str">
            <v>6022</v>
          </cell>
          <cell r="B124">
            <v>2</v>
          </cell>
          <cell r="C124" t="str">
            <v>裤子</v>
          </cell>
          <cell r="D124">
            <v>60</v>
          </cell>
          <cell r="BJ124">
            <v>151.42483698634121</v>
          </cell>
        </row>
        <row r="125">
          <cell r="A125" t="str">
            <v>6025</v>
          </cell>
          <cell r="B125">
            <v>2</v>
          </cell>
          <cell r="C125" t="str">
            <v>鞋子</v>
          </cell>
          <cell r="D125">
            <v>60</v>
          </cell>
          <cell r="BJ125">
            <v>191.83431725361959</v>
          </cell>
        </row>
        <row r="126">
          <cell r="A126" t="str">
            <v>6024</v>
          </cell>
          <cell r="B126">
            <v>2</v>
          </cell>
          <cell r="C126" t="str">
            <v>腰带</v>
          </cell>
          <cell r="D126">
            <v>60</v>
          </cell>
          <cell r="BJ126">
            <v>170.60785195031335</v>
          </cell>
        </row>
        <row r="127">
          <cell r="A127" t="str">
            <v>6023</v>
          </cell>
          <cell r="B127">
            <v>2</v>
          </cell>
          <cell r="C127" t="str">
            <v>项链</v>
          </cell>
          <cell r="D127">
            <v>60</v>
          </cell>
          <cell r="BJ127">
            <v>279.6916188877006</v>
          </cell>
        </row>
        <row r="128">
          <cell r="A128" t="str">
            <v>6030</v>
          </cell>
          <cell r="B128">
            <v>3</v>
          </cell>
          <cell r="C128" t="str">
            <v>武器</v>
          </cell>
          <cell r="D128">
            <v>60</v>
          </cell>
          <cell r="BJ128">
            <v>612.83191462150103</v>
          </cell>
        </row>
        <row r="129">
          <cell r="A129" t="str">
            <v>6031</v>
          </cell>
          <cell r="B129">
            <v>3</v>
          </cell>
          <cell r="C129" t="str">
            <v>衣服</v>
          </cell>
          <cell r="D129">
            <v>60</v>
          </cell>
          <cell r="BJ129">
            <v>509.98543802920847</v>
          </cell>
        </row>
        <row r="130">
          <cell r="A130" t="str">
            <v>6032</v>
          </cell>
          <cell r="B130">
            <v>3</v>
          </cell>
          <cell r="C130" t="str">
            <v>裤子</v>
          </cell>
          <cell r="D130">
            <v>60</v>
          </cell>
          <cell r="BJ130">
            <v>199.55715197962905</v>
          </cell>
        </row>
        <row r="131">
          <cell r="A131" t="str">
            <v>6035</v>
          </cell>
          <cell r="B131">
            <v>3</v>
          </cell>
          <cell r="C131" t="str">
            <v>鞋子</v>
          </cell>
          <cell r="D131">
            <v>60</v>
          </cell>
          <cell r="BJ131">
            <v>251.42077777879794</v>
          </cell>
        </row>
        <row r="132">
          <cell r="A132" t="str">
            <v>6034</v>
          </cell>
          <cell r="B132">
            <v>3</v>
          </cell>
          <cell r="C132" t="str">
            <v>腰带</v>
          </cell>
          <cell r="D132">
            <v>60</v>
          </cell>
          <cell r="BJ132">
            <v>244.8467496838511</v>
          </cell>
        </row>
        <row r="133">
          <cell r="A133" t="str">
            <v>6033</v>
          </cell>
          <cell r="B133">
            <v>3</v>
          </cell>
          <cell r="C133" t="str">
            <v>项链</v>
          </cell>
          <cell r="D133">
            <v>60</v>
          </cell>
          <cell r="BJ133">
            <v>356.20339781818188</v>
          </cell>
        </row>
      </sheetData>
      <sheetData sheetId="8">
        <row r="36">
          <cell r="Q36">
            <v>3.36</v>
          </cell>
          <cell r="R36">
            <v>168</v>
          </cell>
          <cell r="S36">
            <v>168</v>
          </cell>
          <cell r="T36">
            <v>2520</v>
          </cell>
          <cell r="U36">
            <v>1041.5999999999999</v>
          </cell>
        </row>
        <row r="37">
          <cell r="Q37">
            <v>2.44</v>
          </cell>
          <cell r="R37">
            <v>122</v>
          </cell>
          <cell r="S37">
            <v>122</v>
          </cell>
          <cell r="T37">
            <v>1830</v>
          </cell>
          <cell r="U37">
            <v>756.4</v>
          </cell>
        </row>
        <row r="38">
          <cell r="Q38">
            <v>1.34</v>
          </cell>
          <cell r="R38">
            <v>67</v>
          </cell>
          <cell r="S38">
            <v>67</v>
          </cell>
          <cell r="T38">
            <v>1005</v>
          </cell>
          <cell r="U38">
            <v>415.40000000000003</v>
          </cell>
        </row>
        <row r="39">
          <cell r="Q39">
            <v>1.1600000000000001</v>
          </cell>
          <cell r="R39">
            <v>58</v>
          </cell>
          <cell r="S39">
            <v>58</v>
          </cell>
          <cell r="T39">
            <v>870</v>
          </cell>
          <cell r="U39">
            <v>359.6</v>
          </cell>
        </row>
        <row r="40">
          <cell r="Q40">
            <v>0.84</v>
          </cell>
          <cell r="R40">
            <v>42</v>
          </cell>
          <cell r="S40">
            <v>42</v>
          </cell>
          <cell r="T40">
            <v>630</v>
          </cell>
          <cell r="U40">
            <v>260.39999999999998</v>
          </cell>
        </row>
        <row r="41">
          <cell r="Q41">
            <v>2.02</v>
          </cell>
          <cell r="R41">
            <v>101</v>
          </cell>
          <cell r="S41">
            <v>101</v>
          </cell>
          <cell r="T41">
            <v>1515</v>
          </cell>
          <cell r="U41">
            <v>626.20000000000005</v>
          </cell>
        </row>
        <row r="42">
          <cell r="Q42">
            <v>4.54</v>
          </cell>
          <cell r="R42">
            <v>227</v>
          </cell>
          <cell r="S42">
            <v>227</v>
          </cell>
          <cell r="T42">
            <v>3405</v>
          </cell>
          <cell r="U42">
            <v>1407.4</v>
          </cell>
        </row>
        <row r="43">
          <cell r="Q43">
            <v>4.12</v>
          </cell>
          <cell r="R43">
            <v>206</v>
          </cell>
          <cell r="S43">
            <v>206</v>
          </cell>
          <cell r="T43">
            <v>3090</v>
          </cell>
          <cell r="U43">
            <v>1277.2</v>
          </cell>
        </row>
        <row r="44">
          <cell r="Q44">
            <v>1.6800000000000002</v>
          </cell>
          <cell r="R44">
            <v>84</v>
          </cell>
          <cell r="S44">
            <v>84</v>
          </cell>
          <cell r="T44">
            <v>1260</v>
          </cell>
          <cell r="U44">
            <v>520.80000000000007</v>
          </cell>
        </row>
        <row r="45">
          <cell r="Q45">
            <v>1.74</v>
          </cell>
          <cell r="R45">
            <v>87</v>
          </cell>
          <cell r="S45">
            <v>87</v>
          </cell>
          <cell r="T45">
            <v>1305</v>
          </cell>
          <cell r="U45">
            <v>539.4</v>
          </cell>
        </row>
        <row r="46">
          <cell r="Q46">
            <v>1.26</v>
          </cell>
          <cell r="R46">
            <v>63</v>
          </cell>
          <cell r="S46">
            <v>63</v>
          </cell>
          <cell r="T46">
            <v>945</v>
          </cell>
          <cell r="U46">
            <v>390.6</v>
          </cell>
        </row>
        <row r="47">
          <cell r="Q47">
            <v>3.3600000000000003</v>
          </cell>
          <cell r="R47">
            <v>168</v>
          </cell>
          <cell r="S47">
            <v>168</v>
          </cell>
          <cell r="T47">
            <v>2520</v>
          </cell>
          <cell r="U47">
            <v>1041.6000000000001</v>
          </cell>
        </row>
        <row r="48">
          <cell r="Q48">
            <v>7.9</v>
          </cell>
          <cell r="R48">
            <v>395</v>
          </cell>
          <cell r="S48">
            <v>395</v>
          </cell>
          <cell r="T48">
            <v>47400</v>
          </cell>
          <cell r="U48">
            <v>9860.4</v>
          </cell>
        </row>
        <row r="49">
          <cell r="Q49">
            <v>7.24</v>
          </cell>
          <cell r="R49">
            <v>362</v>
          </cell>
          <cell r="S49">
            <v>362</v>
          </cell>
          <cell r="T49">
            <v>43440</v>
          </cell>
          <cell r="U49">
            <v>9024.0000000000018</v>
          </cell>
        </row>
        <row r="50">
          <cell r="Q50">
            <v>3.02</v>
          </cell>
          <cell r="R50">
            <v>151</v>
          </cell>
          <cell r="S50">
            <v>151</v>
          </cell>
          <cell r="T50">
            <v>18120</v>
          </cell>
          <cell r="U50">
            <v>3752.2000000000007</v>
          </cell>
        </row>
        <row r="51">
          <cell r="Q51">
            <v>3.14</v>
          </cell>
          <cell r="R51">
            <v>157</v>
          </cell>
          <cell r="S51">
            <v>157</v>
          </cell>
          <cell r="T51">
            <v>18840</v>
          </cell>
          <cell r="U51">
            <v>3899.2</v>
          </cell>
        </row>
        <row r="52">
          <cell r="Q52">
            <v>2.34</v>
          </cell>
          <cell r="R52">
            <v>117</v>
          </cell>
          <cell r="S52">
            <v>117</v>
          </cell>
          <cell r="T52">
            <v>14040</v>
          </cell>
          <cell r="U52">
            <v>2894.3999999999996</v>
          </cell>
        </row>
        <row r="53">
          <cell r="Q53">
            <v>5.7200000000000006</v>
          </cell>
          <cell r="R53">
            <v>286</v>
          </cell>
          <cell r="S53">
            <v>286</v>
          </cell>
          <cell r="T53">
            <v>34320</v>
          </cell>
          <cell r="U53">
            <v>7162.0000000000018</v>
          </cell>
        </row>
        <row r="54">
          <cell r="Q54">
            <v>11.08</v>
          </cell>
          <cell r="R54">
            <v>554</v>
          </cell>
          <cell r="S54">
            <v>554</v>
          </cell>
          <cell r="T54">
            <v>66480</v>
          </cell>
          <cell r="U54">
            <v>13262.999999999998</v>
          </cell>
        </row>
        <row r="55">
          <cell r="Q55">
            <v>9.120000000000001</v>
          </cell>
          <cell r="R55">
            <v>456</v>
          </cell>
          <cell r="S55">
            <v>456</v>
          </cell>
          <cell r="T55">
            <v>54720</v>
          </cell>
          <cell r="U55">
            <v>11035.600000000002</v>
          </cell>
        </row>
        <row r="56">
          <cell r="Q56">
            <v>3.02</v>
          </cell>
          <cell r="R56">
            <v>151</v>
          </cell>
          <cell r="S56">
            <v>151</v>
          </cell>
          <cell r="T56">
            <v>18120</v>
          </cell>
          <cell r="U56">
            <v>3752.2000000000007</v>
          </cell>
        </row>
        <row r="57">
          <cell r="Q57">
            <v>4.42</v>
          </cell>
          <cell r="R57">
            <v>221</v>
          </cell>
          <cell r="S57">
            <v>221</v>
          </cell>
          <cell r="T57">
            <v>26520</v>
          </cell>
          <cell r="U57">
            <v>5268.7999999999993</v>
          </cell>
        </row>
        <row r="58">
          <cell r="Q58">
            <v>3.12</v>
          </cell>
          <cell r="R58">
            <v>156</v>
          </cell>
          <cell r="S58">
            <v>156</v>
          </cell>
          <cell r="T58">
            <v>18720</v>
          </cell>
          <cell r="U58">
            <v>3729.0000000000005</v>
          </cell>
        </row>
        <row r="59">
          <cell r="Q59">
            <v>6.4</v>
          </cell>
          <cell r="R59">
            <v>320</v>
          </cell>
          <cell r="S59">
            <v>320</v>
          </cell>
          <cell r="T59">
            <v>38400</v>
          </cell>
          <cell r="U59">
            <v>7889.6</v>
          </cell>
        </row>
        <row r="72">
          <cell r="Q72">
            <v>14.44</v>
          </cell>
          <cell r="R72">
            <v>722</v>
          </cell>
          <cell r="S72">
            <v>722</v>
          </cell>
          <cell r="T72">
            <v>335730</v>
          </cell>
          <cell r="U72">
            <v>72775.48</v>
          </cell>
        </row>
        <row r="73">
          <cell r="Q73">
            <v>13.48</v>
          </cell>
          <cell r="R73">
            <v>674</v>
          </cell>
          <cell r="S73">
            <v>674</v>
          </cell>
          <cell r="T73">
            <v>313410</v>
          </cell>
          <cell r="U73">
            <v>67756.360000000015</v>
          </cell>
        </row>
        <row r="74">
          <cell r="Q74">
            <v>4.7</v>
          </cell>
          <cell r="R74">
            <v>235</v>
          </cell>
          <cell r="S74">
            <v>235</v>
          </cell>
          <cell r="T74">
            <v>109275</v>
          </cell>
          <cell r="U74">
            <v>24230.100000000002</v>
          </cell>
        </row>
        <row r="75">
          <cell r="Q75">
            <v>5.9</v>
          </cell>
          <cell r="R75">
            <v>295</v>
          </cell>
          <cell r="S75">
            <v>295</v>
          </cell>
          <cell r="T75">
            <v>137175</v>
          </cell>
          <cell r="U75">
            <v>29605.500000000004</v>
          </cell>
        </row>
        <row r="76">
          <cell r="Q76">
            <v>4.2799999999999994</v>
          </cell>
          <cell r="R76">
            <v>214</v>
          </cell>
          <cell r="S76">
            <v>214</v>
          </cell>
          <cell r="T76">
            <v>99510</v>
          </cell>
          <cell r="U76">
            <v>21542.36</v>
          </cell>
        </row>
        <row r="77">
          <cell r="Q77">
            <v>8.7600000000000016</v>
          </cell>
          <cell r="R77">
            <v>438</v>
          </cell>
          <cell r="S77">
            <v>438</v>
          </cell>
          <cell r="T77">
            <v>203670</v>
          </cell>
          <cell r="U77">
            <v>45329.320000000007</v>
          </cell>
        </row>
        <row r="78">
          <cell r="Q78">
            <v>21.16</v>
          </cell>
          <cell r="R78">
            <v>1058</v>
          </cell>
          <cell r="S78">
            <v>1058</v>
          </cell>
          <cell r="T78">
            <v>491970</v>
          </cell>
          <cell r="U78">
            <v>105457.12</v>
          </cell>
        </row>
        <row r="79">
          <cell r="Q79">
            <v>19.240000000000002</v>
          </cell>
          <cell r="R79">
            <v>962</v>
          </cell>
          <cell r="S79">
            <v>962</v>
          </cell>
          <cell r="T79">
            <v>447330</v>
          </cell>
          <cell r="U79">
            <v>94864.28</v>
          </cell>
        </row>
        <row r="80">
          <cell r="Q80">
            <v>6.3800000000000008</v>
          </cell>
          <cell r="R80">
            <v>319</v>
          </cell>
          <cell r="S80">
            <v>319</v>
          </cell>
          <cell r="T80">
            <v>148335</v>
          </cell>
          <cell r="U80">
            <v>31549.860000000004</v>
          </cell>
        </row>
        <row r="81">
          <cell r="Q81">
            <v>8.84</v>
          </cell>
          <cell r="R81">
            <v>442</v>
          </cell>
          <cell r="S81">
            <v>442</v>
          </cell>
          <cell r="T81">
            <v>205530</v>
          </cell>
          <cell r="U81">
            <v>43784.680000000008</v>
          </cell>
        </row>
        <row r="82">
          <cell r="Q82">
            <v>6.24</v>
          </cell>
          <cell r="R82">
            <v>312</v>
          </cell>
          <cell r="S82">
            <v>312</v>
          </cell>
          <cell r="T82">
            <v>145080</v>
          </cell>
          <cell r="U82">
            <v>30916.680000000004</v>
          </cell>
        </row>
        <row r="83">
          <cell r="Q83">
            <v>12.8</v>
          </cell>
          <cell r="R83">
            <v>640</v>
          </cell>
          <cell r="S83">
            <v>640</v>
          </cell>
          <cell r="T83">
            <v>297600</v>
          </cell>
          <cell r="U83">
            <v>63659.200000000004</v>
          </cell>
        </row>
        <row r="84">
          <cell r="Q84">
            <v>27.88</v>
          </cell>
          <cell r="R84">
            <v>1394</v>
          </cell>
          <cell r="S84">
            <v>1394</v>
          </cell>
          <cell r="T84">
            <v>648210</v>
          </cell>
          <cell r="U84">
            <v>138331.36000000002</v>
          </cell>
        </row>
        <row r="85">
          <cell r="Q85">
            <v>25</v>
          </cell>
          <cell r="R85">
            <v>1250</v>
          </cell>
          <cell r="S85">
            <v>1250</v>
          </cell>
          <cell r="T85">
            <v>581250</v>
          </cell>
          <cell r="U85">
            <v>123042.2</v>
          </cell>
        </row>
        <row r="86">
          <cell r="Q86">
            <v>9.06</v>
          </cell>
          <cell r="R86">
            <v>453</v>
          </cell>
          <cell r="S86">
            <v>453</v>
          </cell>
          <cell r="T86">
            <v>210645</v>
          </cell>
          <cell r="U86">
            <v>44660.42</v>
          </cell>
        </row>
        <row r="87">
          <cell r="Q87">
            <v>11.440000000000001</v>
          </cell>
          <cell r="R87">
            <v>572</v>
          </cell>
          <cell r="S87">
            <v>572</v>
          </cell>
          <cell r="T87">
            <v>265980</v>
          </cell>
          <cell r="U87">
            <v>56525.280000000013</v>
          </cell>
        </row>
        <row r="88">
          <cell r="Q88">
            <v>8.1999999999999993</v>
          </cell>
          <cell r="R88">
            <v>410</v>
          </cell>
          <cell r="S88">
            <v>410</v>
          </cell>
          <cell r="T88">
            <v>190650</v>
          </cell>
          <cell r="U88">
            <v>40526.399999999994</v>
          </cell>
        </row>
        <row r="89">
          <cell r="Q89">
            <v>17.18</v>
          </cell>
          <cell r="R89">
            <v>859</v>
          </cell>
          <cell r="S89">
            <v>859</v>
          </cell>
          <cell r="T89">
            <v>399435</v>
          </cell>
          <cell r="U89">
            <v>84904.260000000009</v>
          </cell>
        </row>
        <row r="90">
          <cell r="Q90">
            <v>33.42</v>
          </cell>
          <cell r="R90">
            <v>1671</v>
          </cell>
          <cell r="S90">
            <v>1671</v>
          </cell>
          <cell r="T90">
            <v>777015</v>
          </cell>
          <cell r="U90">
            <v>164801.74</v>
          </cell>
        </row>
        <row r="91">
          <cell r="Q91">
            <v>28.8</v>
          </cell>
          <cell r="R91">
            <v>1440</v>
          </cell>
          <cell r="S91">
            <v>1440</v>
          </cell>
          <cell r="T91">
            <v>669600</v>
          </cell>
          <cell r="U91">
            <v>142166.80000000002</v>
          </cell>
        </row>
        <row r="92">
          <cell r="Q92">
            <v>10.4</v>
          </cell>
          <cell r="R92">
            <v>520</v>
          </cell>
          <cell r="S92">
            <v>520</v>
          </cell>
          <cell r="T92">
            <v>241800</v>
          </cell>
          <cell r="U92">
            <v>50862.600000000006</v>
          </cell>
        </row>
        <row r="93">
          <cell r="Q93">
            <v>13.420000000000002</v>
          </cell>
          <cell r="R93">
            <v>671</v>
          </cell>
          <cell r="S93">
            <v>671</v>
          </cell>
          <cell r="T93">
            <v>312015</v>
          </cell>
          <cell r="U93">
            <v>65986.740000000005</v>
          </cell>
        </row>
        <row r="94">
          <cell r="Q94">
            <v>9.6999999999999993</v>
          </cell>
          <cell r="R94">
            <v>485</v>
          </cell>
          <cell r="S94">
            <v>485</v>
          </cell>
          <cell r="T94">
            <v>225525</v>
          </cell>
          <cell r="U94">
            <v>47725.299999999996</v>
          </cell>
        </row>
        <row r="95">
          <cell r="Q95">
            <v>20.54</v>
          </cell>
          <cell r="R95">
            <v>1027</v>
          </cell>
          <cell r="S95">
            <v>1027</v>
          </cell>
          <cell r="T95">
            <v>477555</v>
          </cell>
          <cell r="U95">
            <v>101705.18000000001</v>
          </cell>
        </row>
        <row r="96">
          <cell r="Q96">
            <v>30.06</v>
          </cell>
          <cell r="R96">
            <v>1503</v>
          </cell>
          <cell r="S96">
            <v>1503</v>
          </cell>
          <cell r="T96">
            <v>1555605</v>
          </cell>
          <cell r="U96">
            <v>480629.55999999994</v>
          </cell>
        </row>
        <row r="97">
          <cell r="Q97">
            <v>25.92</v>
          </cell>
          <cell r="R97">
            <v>1296</v>
          </cell>
          <cell r="S97">
            <v>1296</v>
          </cell>
          <cell r="T97">
            <v>1341360</v>
          </cell>
          <cell r="U97">
            <v>419438.92000000004</v>
          </cell>
        </row>
        <row r="98">
          <cell r="Q98">
            <v>9.06</v>
          </cell>
          <cell r="R98">
            <v>453</v>
          </cell>
          <cell r="S98">
            <v>453</v>
          </cell>
          <cell r="T98">
            <v>468855</v>
          </cell>
          <cell r="U98">
            <v>147156.18000000002</v>
          </cell>
        </row>
        <row r="99">
          <cell r="Q99">
            <v>12.100000000000001</v>
          </cell>
          <cell r="R99">
            <v>605</v>
          </cell>
          <cell r="S99">
            <v>605</v>
          </cell>
          <cell r="T99">
            <v>626175</v>
          </cell>
          <cell r="U99">
            <v>193778.30000000002</v>
          </cell>
        </row>
        <row r="100">
          <cell r="Q100">
            <v>8.6999999999999993</v>
          </cell>
          <cell r="R100">
            <v>435</v>
          </cell>
          <cell r="S100">
            <v>435</v>
          </cell>
          <cell r="T100">
            <v>450225</v>
          </cell>
          <cell r="U100">
            <v>139583.96000000002</v>
          </cell>
        </row>
        <row r="101">
          <cell r="Q101">
            <v>18.520000000000003</v>
          </cell>
          <cell r="R101">
            <v>926</v>
          </cell>
          <cell r="S101">
            <v>926</v>
          </cell>
          <cell r="T101">
            <v>958410</v>
          </cell>
          <cell r="U101">
            <v>296608.68000000005</v>
          </cell>
        </row>
        <row r="102">
          <cell r="Q102">
            <v>43.32</v>
          </cell>
          <cell r="R102">
            <v>2166</v>
          </cell>
          <cell r="S102">
            <v>2166</v>
          </cell>
          <cell r="T102">
            <v>2241810</v>
          </cell>
          <cell r="U102">
            <v>693222.88</v>
          </cell>
        </row>
        <row r="103">
          <cell r="Q103">
            <v>37.44</v>
          </cell>
          <cell r="R103">
            <v>1872</v>
          </cell>
          <cell r="S103">
            <v>1872</v>
          </cell>
          <cell r="T103">
            <v>1937520</v>
          </cell>
          <cell r="U103">
            <v>602850.19999999995</v>
          </cell>
        </row>
        <row r="104">
          <cell r="Q104">
            <v>13.760000000000002</v>
          </cell>
          <cell r="R104">
            <v>688</v>
          </cell>
          <cell r="S104">
            <v>688</v>
          </cell>
          <cell r="T104">
            <v>712080</v>
          </cell>
          <cell r="U104">
            <v>218245.54000000007</v>
          </cell>
        </row>
        <row r="105">
          <cell r="Q105">
            <v>17.340000000000003</v>
          </cell>
          <cell r="R105">
            <v>867</v>
          </cell>
          <cell r="S105">
            <v>867</v>
          </cell>
          <cell r="T105">
            <v>897345</v>
          </cell>
          <cell r="U105">
            <v>279053.80000000005</v>
          </cell>
        </row>
        <row r="106">
          <cell r="Q106">
            <v>12.48</v>
          </cell>
          <cell r="R106">
            <v>624</v>
          </cell>
          <cell r="S106">
            <v>624</v>
          </cell>
          <cell r="T106">
            <v>645840</v>
          </cell>
          <cell r="U106">
            <v>200245.31999999998</v>
          </cell>
        </row>
        <row r="107">
          <cell r="Q107">
            <v>26.94</v>
          </cell>
          <cell r="R107">
            <v>1347</v>
          </cell>
          <cell r="S107">
            <v>1347</v>
          </cell>
          <cell r="T107">
            <v>1394145</v>
          </cell>
          <cell r="U107">
            <v>429181.12000000005</v>
          </cell>
        </row>
        <row r="108">
          <cell r="Q108">
            <v>56.58</v>
          </cell>
          <cell r="R108">
            <v>2829</v>
          </cell>
          <cell r="S108">
            <v>2829</v>
          </cell>
          <cell r="T108">
            <v>2928015</v>
          </cell>
          <cell r="U108">
            <v>906008.79999999993</v>
          </cell>
        </row>
        <row r="109">
          <cell r="Q109">
            <v>50</v>
          </cell>
          <cell r="R109">
            <v>2500</v>
          </cell>
          <cell r="S109">
            <v>2500</v>
          </cell>
          <cell r="T109">
            <v>2587500</v>
          </cell>
          <cell r="U109">
            <v>801442.2</v>
          </cell>
        </row>
        <row r="110">
          <cell r="Q110">
            <v>18.12</v>
          </cell>
          <cell r="R110">
            <v>906</v>
          </cell>
          <cell r="S110">
            <v>906</v>
          </cell>
          <cell r="T110">
            <v>937710</v>
          </cell>
          <cell r="U110">
            <v>290512.58</v>
          </cell>
        </row>
        <row r="111">
          <cell r="Q111">
            <v>22.58</v>
          </cell>
          <cell r="R111">
            <v>1129</v>
          </cell>
          <cell r="S111">
            <v>1129</v>
          </cell>
          <cell r="T111">
            <v>1168515</v>
          </cell>
          <cell r="U111">
            <v>362890.72</v>
          </cell>
        </row>
        <row r="112">
          <cell r="Q112">
            <v>16.259999999999998</v>
          </cell>
          <cell r="R112">
            <v>813</v>
          </cell>
          <cell r="S112">
            <v>813</v>
          </cell>
          <cell r="T112">
            <v>841455</v>
          </cell>
          <cell r="U112">
            <v>261142.08</v>
          </cell>
        </row>
        <row r="113">
          <cell r="Q113">
            <v>35.019999999999996</v>
          </cell>
          <cell r="R113">
            <v>1751</v>
          </cell>
          <cell r="S113">
            <v>1751</v>
          </cell>
          <cell r="T113">
            <v>1812285</v>
          </cell>
          <cell r="U113">
            <v>560055.62</v>
          </cell>
        </row>
        <row r="114">
          <cell r="Q114">
            <v>66.66</v>
          </cell>
          <cell r="R114">
            <v>3333</v>
          </cell>
          <cell r="S114">
            <v>3333</v>
          </cell>
          <cell r="T114">
            <v>3449655</v>
          </cell>
          <cell r="U114">
            <v>1069244.6200000001</v>
          </cell>
        </row>
        <row r="115">
          <cell r="Q115">
            <v>58.64</v>
          </cell>
          <cell r="R115">
            <v>2932</v>
          </cell>
          <cell r="S115">
            <v>2932</v>
          </cell>
          <cell r="T115">
            <v>3034620</v>
          </cell>
          <cell r="U115">
            <v>937794.32000000007</v>
          </cell>
        </row>
        <row r="116">
          <cell r="Q116">
            <v>21.14</v>
          </cell>
          <cell r="R116">
            <v>1057</v>
          </cell>
          <cell r="S116">
            <v>1057</v>
          </cell>
          <cell r="T116">
            <v>1093995</v>
          </cell>
          <cell r="U116">
            <v>337690.12</v>
          </cell>
        </row>
        <row r="117">
          <cell r="Q117">
            <v>26.840000000000003</v>
          </cell>
          <cell r="R117">
            <v>1342</v>
          </cell>
          <cell r="S117">
            <v>1342</v>
          </cell>
          <cell r="T117">
            <v>1388970</v>
          </cell>
          <cell r="U117">
            <v>430151.86000000004</v>
          </cell>
        </row>
        <row r="118">
          <cell r="Q118">
            <v>19.22</v>
          </cell>
          <cell r="R118">
            <v>961</v>
          </cell>
          <cell r="S118">
            <v>961</v>
          </cell>
          <cell r="T118">
            <v>994635</v>
          </cell>
          <cell r="U118">
            <v>308502.25999999995</v>
          </cell>
        </row>
        <row r="119">
          <cell r="Q119">
            <v>41.42</v>
          </cell>
          <cell r="R119">
            <v>2071</v>
          </cell>
          <cell r="S119">
            <v>2071</v>
          </cell>
          <cell r="T119">
            <v>2143485</v>
          </cell>
          <cell r="U119">
            <v>663691.74</v>
          </cell>
        </row>
        <row r="120">
          <cell r="Q120">
            <v>44.5</v>
          </cell>
          <cell r="R120">
            <v>2225</v>
          </cell>
          <cell r="S120">
            <v>2225</v>
          </cell>
          <cell r="T120">
            <v>4071750</v>
          </cell>
          <cell r="U120">
            <v>1704068.06</v>
          </cell>
        </row>
        <row r="121">
          <cell r="Q121">
            <v>39.400000000000006</v>
          </cell>
          <cell r="R121">
            <v>1970</v>
          </cell>
          <cell r="S121">
            <v>1970</v>
          </cell>
          <cell r="T121">
            <v>3605100</v>
          </cell>
          <cell r="U121">
            <v>1502663.12</v>
          </cell>
        </row>
        <row r="122">
          <cell r="Q122">
            <v>13.760000000000002</v>
          </cell>
          <cell r="R122">
            <v>688</v>
          </cell>
          <cell r="S122">
            <v>688</v>
          </cell>
          <cell r="T122">
            <v>1259040</v>
          </cell>
          <cell r="U122">
            <v>525459.8600000001</v>
          </cell>
        </row>
        <row r="123">
          <cell r="Q123">
            <v>18</v>
          </cell>
          <cell r="R123">
            <v>900</v>
          </cell>
          <cell r="S123">
            <v>900</v>
          </cell>
          <cell r="T123">
            <v>1647000</v>
          </cell>
          <cell r="U123">
            <v>688652.3</v>
          </cell>
        </row>
        <row r="124">
          <cell r="Q124">
            <v>12.98</v>
          </cell>
          <cell r="R124">
            <v>649</v>
          </cell>
          <cell r="S124">
            <v>649</v>
          </cell>
          <cell r="T124">
            <v>1187670</v>
          </cell>
          <cell r="U124">
            <v>496443.10000000003</v>
          </cell>
        </row>
        <row r="125">
          <cell r="Q125">
            <v>27.28</v>
          </cell>
          <cell r="R125">
            <v>1364</v>
          </cell>
          <cell r="S125">
            <v>1364</v>
          </cell>
          <cell r="T125">
            <v>2496120</v>
          </cell>
          <cell r="U125">
            <v>1046617.72</v>
          </cell>
        </row>
        <row r="126">
          <cell r="Q126">
            <v>64.48</v>
          </cell>
          <cell r="R126">
            <v>3224</v>
          </cell>
          <cell r="S126">
            <v>3224</v>
          </cell>
          <cell r="T126">
            <v>5899920</v>
          </cell>
          <cell r="U126">
            <v>2465971.52</v>
          </cell>
        </row>
        <row r="127">
          <cell r="Q127">
            <v>56.68</v>
          </cell>
          <cell r="R127">
            <v>2834</v>
          </cell>
          <cell r="S127">
            <v>2834</v>
          </cell>
          <cell r="T127">
            <v>5186220</v>
          </cell>
          <cell r="U127">
            <v>2161153.4400000004</v>
          </cell>
        </row>
        <row r="128">
          <cell r="Q128">
            <v>19.8</v>
          </cell>
          <cell r="R128">
            <v>990</v>
          </cell>
          <cell r="S128">
            <v>990</v>
          </cell>
          <cell r="T128">
            <v>1811700</v>
          </cell>
          <cell r="U128">
            <v>762606.94000000006</v>
          </cell>
        </row>
        <row r="129">
          <cell r="Q129">
            <v>26.18</v>
          </cell>
          <cell r="R129">
            <v>1309</v>
          </cell>
          <cell r="S129">
            <v>1309</v>
          </cell>
          <cell r="T129">
            <v>2395470</v>
          </cell>
          <cell r="U129">
            <v>998820.53999999992</v>
          </cell>
        </row>
        <row r="130">
          <cell r="Q130">
            <v>18.72</v>
          </cell>
          <cell r="R130">
            <v>936</v>
          </cell>
          <cell r="S130">
            <v>936</v>
          </cell>
          <cell r="T130">
            <v>1712880</v>
          </cell>
          <cell r="U130">
            <v>714914.27999999991</v>
          </cell>
        </row>
        <row r="131">
          <cell r="Q131">
            <v>39.74</v>
          </cell>
          <cell r="R131">
            <v>1987</v>
          </cell>
          <cell r="S131">
            <v>1987</v>
          </cell>
          <cell r="T131">
            <v>3636210</v>
          </cell>
          <cell r="U131">
            <v>1521752.94</v>
          </cell>
        </row>
        <row r="132">
          <cell r="Q132">
            <v>84.46</v>
          </cell>
          <cell r="R132">
            <v>4223</v>
          </cell>
          <cell r="S132">
            <v>4223</v>
          </cell>
          <cell r="T132">
            <v>7728090</v>
          </cell>
          <cell r="U132">
            <v>3228067.5799999996</v>
          </cell>
        </row>
        <row r="133">
          <cell r="Q133">
            <v>73.960000000000008</v>
          </cell>
          <cell r="R133">
            <v>3698</v>
          </cell>
          <cell r="S133">
            <v>3698</v>
          </cell>
          <cell r="T133">
            <v>6767340</v>
          </cell>
          <cell r="U133">
            <v>2834824.4800000004</v>
          </cell>
        </row>
        <row r="134">
          <cell r="Q134">
            <v>27.18</v>
          </cell>
          <cell r="R134">
            <v>1359</v>
          </cell>
          <cell r="S134">
            <v>1359</v>
          </cell>
          <cell r="T134">
            <v>2486970</v>
          </cell>
          <cell r="U134">
            <v>1037772.3199999998</v>
          </cell>
        </row>
        <row r="135">
          <cell r="Q135">
            <v>34.019999999999996</v>
          </cell>
          <cell r="R135">
            <v>1701</v>
          </cell>
          <cell r="S135">
            <v>1701</v>
          </cell>
          <cell r="T135">
            <v>3112830</v>
          </cell>
          <cell r="U135">
            <v>1298202.5799999996</v>
          </cell>
        </row>
        <row r="136">
          <cell r="Q136">
            <v>24.46</v>
          </cell>
          <cell r="R136">
            <v>1223</v>
          </cell>
          <cell r="S136">
            <v>1223</v>
          </cell>
          <cell r="T136">
            <v>2238090</v>
          </cell>
          <cell r="U136">
            <v>933620.86</v>
          </cell>
        </row>
        <row r="137">
          <cell r="Q137">
            <v>52.2</v>
          </cell>
          <cell r="R137">
            <v>2610</v>
          </cell>
          <cell r="S137">
            <v>2610</v>
          </cell>
          <cell r="T137">
            <v>4776300</v>
          </cell>
          <cell r="U137">
            <v>1995190.2200000002</v>
          </cell>
        </row>
        <row r="144">
          <cell r="Q144">
            <v>59.94</v>
          </cell>
        </row>
        <row r="145">
          <cell r="Q145">
            <v>52.88</v>
          </cell>
        </row>
        <row r="146">
          <cell r="Q146">
            <v>18.46</v>
          </cell>
        </row>
        <row r="147">
          <cell r="Q147">
            <v>24.200000000000003</v>
          </cell>
        </row>
        <row r="148">
          <cell r="Q148">
            <v>17.22</v>
          </cell>
        </row>
        <row r="149">
          <cell r="Q149">
            <v>37.040000000000006</v>
          </cell>
        </row>
        <row r="150">
          <cell r="Q150">
            <v>86.64</v>
          </cell>
        </row>
        <row r="151">
          <cell r="Q151">
            <v>75.92</v>
          </cell>
        </row>
        <row r="152">
          <cell r="Q152">
            <v>27.18</v>
          </cell>
        </row>
        <row r="153">
          <cell r="Q153">
            <v>34.680000000000007</v>
          </cell>
        </row>
        <row r="154">
          <cell r="Q154">
            <v>24.96</v>
          </cell>
        </row>
        <row r="155">
          <cell r="Q155">
            <v>53.540000000000006</v>
          </cell>
        </row>
        <row r="168">
          <cell r="Q168">
            <v>74.56</v>
          </cell>
        </row>
        <row r="169">
          <cell r="Q169">
            <v>65.319999999999993</v>
          </cell>
        </row>
        <row r="170">
          <cell r="Q170">
            <v>22.82</v>
          </cell>
        </row>
        <row r="171">
          <cell r="Q171">
            <v>30.1</v>
          </cell>
        </row>
        <row r="172">
          <cell r="Q172">
            <v>21.68</v>
          </cell>
        </row>
        <row r="173">
          <cell r="Q173">
            <v>45.8</v>
          </cell>
        </row>
        <row r="174">
          <cell r="Q174">
            <v>107.8</v>
          </cell>
        </row>
        <row r="175">
          <cell r="Q175">
            <v>95.16</v>
          </cell>
        </row>
        <row r="176">
          <cell r="Q176">
            <v>33.56</v>
          </cell>
        </row>
        <row r="177">
          <cell r="Q177">
            <v>43.52</v>
          </cell>
        </row>
        <row r="178">
          <cell r="Q178">
            <v>31.200000000000003</v>
          </cell>
        </row>
        <row r="179">
          <cell r="Q179">
            <v>66.680000000000007</v>
          </cell>
        </row>
      </sheetData>
      <sheetData sheetId="9">
        <row r="33">
          <cell r="AU33">
            <v>0</v>
          </cell>
          <cell r="AV33">
            <v>0</v>
          </cell>
          <cell r="AW33">
            <v>0</v>
          </cell>
          <cell r="AX33">
            <v>0</v>
          </cell>
        </row>
        <row r="34">
          <cell r="AU34">
            <v>0</v>
          </cell>
          <cell r="AV34">
            <v>0</v>
          </cell>
          <cell r="AW34">
            <v>0</v>
          </cell>
          <cell r="AX34">
            <v>0</v>
          </cell>
        </row>
        <row r="35">
          <cell r="AU35">
            <v>0</v>
          </cell>
          <cell r="AV35">
            <v>0</v>
          </cell>
          <cell r="AW35">
            <v>0</v>
          </cell>
          <cell r="AX35">
            <v>0</v>
          </cell>
        </row>
        <row r="36">
          <cell r="AU36">
            <v>0</v>
          </cell>
          <cell r="AV36">
            <v>0</v>
          </cell>
          <cell r="AW36">
            <v>0</v>
          </cell>
          <cell r="AX36">
            <v>0</v>
          </cell>
        </row>
        <row r="37">
          <cell r="AU37">
            <v>0</v>
          </cell>
          <cell r="AV37">
            <v>0</v>
          </cell>
          <cell r="AW37">
            <v>0</v>
          </cell>
          <cell r="AX37">
            <v>0</v>
          </cell>
        </row>
        <row r="38">
          <cell r="AU38">
            <v>0</v>
          </cell>
          <cell r="AV38">
            <v>0</v>
          </cell>
          <cell r="AW38">
            <v>0</v>
          </cell>
          <cell r="AX38">
            <v>0</v>
          </cell>
        </row>
        <row r="39">
          <cell r="AU39">
            <v>9</v>
          </cell>
          <cell r="AV39">
            <v>450</v>
          </cell>
          <cell r="AW39">
            <v>450</v>
          </cell>
          <cell r="AX39">
            <v>24750</v>
          </cell>
        </row>
        <row r="40">
          <cell r="AU40">
            <v>3.92</v>
          </cell>
          <cell r="AV40">
            <v>196</v>
          </cell>
          <cell r="AW40">
            <v>196</v>
          </cell>
          <cell r="AX40">
            <v>10780</v>
          </cell>
        </row>
        <row r="41">
          <cell r="AU41">
            <v>1.96</v>
          </cell>
          <cell r="AV41">
            <v>98</v>
          </cell>
          <cell r="AW41">
            <v>98</v>
          </cell>
          <cell r="AX41">
            <v>5390</v>
          </cell>
        </row>
        <row r="42">
          <cell r="AU42">
            <v>1.96</v>
          </cell>
          <cell r="AV42">
            <v>98</v>
          </cell>
          <cell r="AW42">
            <v>98</v>
          </cell>
          <cell r="AX42">
            <v>5390</v>
          </cell>
        </row>
        <row r="43">
          <cell r="AU43">
            <v>3.92</v>
          </cell>
          <cell r="AV43">
            <v>196</v>
          </cell>
          <cell r="AW43">
            <v>196</v>
          </cell>
          <cell r="AX43">
            <v>10780</v>
          </cell>
        </row>
        <row r="44">
          <cell r="AU44">
            <v>3</v>
          </cell>
          <cell r="AV44">
            <v>150</v>
          </cell>
          <cell r="AW44">
            <v>150</v>
          </cell>
          <cell r="AX44">
            <v>8250</v>
          </cell>
        </row>
        <row r="45">
          <cell r="AU45">
            <v>18</v>
          </cell>
          <cell r="AV45">
            <v>900</v>
          </cell>
          <cell r="AW45">
            <v>900</v>
          </cell>
          <cell r="AX45">
            <v>49500</v>
          </cell>
        </row>
        <row r="46">
          <cell r="AU46">
            <v>7.84</v>
          </cell>
          <cell r="AV46">
            <v>392</v>
          </cell>
          <cell r="AW46">
            <v>392</v>
          </cell>
          <cell r="AX46">
            <v>21560</v>
          </cell>
        </row>
        <row r="47">
          <cell r="AU47">
            <v>3.92</v>
          </cell>
          <cell r="AV47">
            <v>196</v>
          </cell>
          <cell r="AW47">
            <v>196</v>
          </cell>
          <cell r="AX47">
            <v>10780</v>
          </cell>
        </row>
        <row r="48">
          <cell r="AU48">
            <v>3.92</v>
          </cell>
          <cell r="AV48">
            <v>196</v>
          </cell>
          <cell r="AW48">
            <v>196</v>
          </cell>
          <cell r="AX48">
            <v>10780</v>
          </cell>
        </row>
        <row r="49">
          <cell r="AU49">
            <v>7.84</v>
          </cell>
          <cell r="AV49">
            <v>392</v>
          </cell>
          <cell r="AW49">
            <v>392</v>
          </cell>
          <cell r="AX49">
            <v>21560</v>
          </cell>
        </row>
        <row r="50">
          <cell r="AU50">
            <v>6</v>
          </cell>
          <cell r="AV50">
            <v>300</v>
          </cell>
          <cell r="AW50">
            <v>300</v>
          </cell>
          <cell r="AX50">
            <v>16500</v>
          </cell>
        </row>
        <row r="51">
          <cell r="AU51">
            <v>29</v>
          </cell>
          <cell r="AV51">
            <v>1450</v>
          </cell>
          <cell r="AW51">
            <v>1450</v>
          </cell>
          <cell r="AX51">
            <v>79750</v>
          </cell>
        </row>
        <row r="52">
          <cell r="AU52">
            <v>20.32</v>
          </cell>
          <cell r="AV52">
            <v>1016</v>
          </cell>
          <cell r="AW52">
            <v>1016</v>
          </cell>
          <cell r="AX52">
            <v>55880</v>
          </cell>
        </row>
        <row r="53">
          <cell r="AU53">
            <v>8.68</v>
          </cell>
          <cell r="AV53">
            <v>434</v>
          </cell>
          <cell r="AW53">
            <v>434</v>
          </cell>
          <cell r="AX53">
            <v>23870</v>
          </cell>
        </row>
        <row r="54">
          <cell r="AU54">
            <v>10.440000000000001</v>
          </cell>
          <cell r="AV54">
            <v>522</v>
          </cell>
          <cell r="AW54">
            <v>522</v>
          </cell>
          <cell r="AX54">
            <v>28710</v>
          </cell>
        </row>
        <row r="55">
          <cell r="AU55">
            <v>20.32</v>
          </cell>
          <cell r="AV55">
            <v>1016</v>
          </cell>
          <cell r="AW55">
            <v>1016</v>
          </cell>
          <cell r="AX55">
            <v>55880</v>
          </cell>
        </row>
        <row r="56">
          <cell r="AU56">
            <v>11.38</v>
          </cell>
          <cell r="AV56">
            <v>569</v>
          </cell>
          <cell r="AW56">
            <v>569</v>
          </cell>
          <cell r="AX56">
            <v>31295</v>
          </cell>
        </row>
        <row r="69">
          <cell r="AU69">
            <v>36</v>
          </cell>
          <cell r="AV69">
            <v>1800</v>
          </cell>
          <cell r="AW69">
            <v>1800</v>
          </cell>
          <cell r="AX69">
            <v>99000</v>
          </cell>
        </row>
        <row r="70">
          <cell r="AU70">
            <v>15.68</v>
          </cell>
          <cell r="AV70">
            <v>784</v>
          </cell>
          <cell r="AW70">
            <v>784</v>
          </cell>
          <cell r="AX70">
            <v>43120</v>
          </cell>
        </row>
        <row r="71">
          <cell r="AU71">
            <v>7.84</v>
          </cell>
          <cell r="AV71">
            <v>392</v>
          </cell>
          <cell r="AW71">
            <v>392</v>
          </cell>
          <cell r="AX71">
            <v>21560</v>
          </cell>
        </row>
        <row r="72">
          <cell r="AU72">
            <v>7.84</v>
          </cell>
          <cell r="AV72">
            <v>392</v>
          </cell>
          <cell r="AW72">
            <v>392</v>
          </cell>
          <cell r="AX72">
            <v>21560</v>
          </cell>
        </row>
        <row r="73">
          <cell r="AU73">
            <v>15.68</v>
          </cell>
          <cell r="AV73">
            <v>784</v>
          </cell>
          <cell r="AW73">
            <v>784</v>
          </cell>
          <cell r="AX73">
            <v>43120</v>
          </cell>
        </row>
        <row r="74">
          <cell r="AU74">
            <v>12</v>
          </cell>
          <cell r="AV74">
            <v>600</v>
          </cell>
          <cell r="AW74">
            <v>600</v>
          </cell>
          <cell r="AX74">
            <v>33000</v>
          </cell>
        </row>
        <row r="75">
          <cell r="AU75">
            <v>58</v>
          </cell>
          <cell r="AV75">
            <v>2900</v>
          </cell>
          <cell r="AW75">
            <v>2900</v>
          </cell>
          <cell r="AX75">
            <v>159500</v>
          </cell>
        </row>
        <row r="76">
          <cell r="AU76">
            <v>41.64</v>
          </cell>
          <cell r="AV76">
            <v>2082</v>
          </cell>
          <cell r="AW76">
            <v>2082</v>
          </cell>
          <cell r="AX76">
            <v>114510</v>
          </cell>
        </row>
        <row r="77">
          <cell r="AU77">
            <v>17.32</v>
          </cell>
          <cell r="AV77">
            <v>866</v>
          </cell>
          <cell r="AW77">
            <v>866</v>
          </cell>
          <cell r="AX77">
            <v>47630</v>
          </cell>
        </row>
        <row r="78">
          <cell r="AU78">
            <v>20.5</v>
          </cell>
          <cell r="AV78">
            <v>1025</v>
          </cell>
          <cell r="AW78">
            <v>1025</v>
          </cell>
          <cell r="AX78">
            <v>56375</v>
          </cell>
        </row>
        <row r="79">
          <cell r="AU79">
            <v>39.64</v>
          </cell>
          <cell r="AV79">
            <v>1982</v>
          </cell>
          <cell r="AW79">
            <v>1982</v>
          </cell>
          <cell r="AX79">
            <v>109010</v>
          </cell>
        </row>
        <row r="80">
          <cell r="AU80">
            <v>21.76</v>
          </cell>
          <cell r="AV80">
            <v>1088</v>
          </cell>
          <cell r="AW80">
            <v>1088</v>
          </cell>
          <cell r="AX80">
            <v>59840</v>
          </cell>
        </row>
        <row r="81">
          <cell r="AU81">
            <v>86.2</v>
          </cell>
          <cell r="AV81">
            <v>4310</v>
          </cell>
          <cell r="AW81">
            <v>4310</v>
          </cell>
          <cell r="AX81">
            <v>237050</v>
          </cell>
        </row>
        <row r="82">
          <cell r="AU82">
            <v>59.72</v>
          </cell>
          <cell r="AV82">
            <v>2986</v>
          </cell>
          <cell r="AW82">
            <v>2986</v>
          </cell>
          <cell r="AX82">
            <v>164230</v>
          </cell>
        </row>
        <row r="83">
          <cell r="AU83">
            <v>28.92</v>
          </cell>
          <cell r="AV83">
            <v>1446</v>
          </cell>
          <cell r="AW83">
            <v>1446</v>
          </cell>
          <cell r="AX83">
            <v>79530</v>
          </cell>
        </row>
        <row r="84">
          <cell r="AU84">
            <v>36.900000000000006</v>
          </cell>
          <cell r="AV84">
            <v>1845</v>
          </cell>
          <cell r="AW84">
            <v>1845</v>
          </cell>
          <cell r="AX84">
            <v>101475</v>
          </cell>
        </row>
        <row r="85">
          <cell r="AU85">
            <v>60.6</v>
          </cell>
          <cell r="AV85">
            <v>3030</v>
          </cell>
          <cell r="AW85">
            <v>3030</v>
          </cell>
          <cell r="AX85">
            <v>166650</v>
          </cell>
        </row>
        <row r="86">
          <cell r="AU86">
            <v>39.32</v>
          </cell>
          <cell r="AV86">
            <v>1966</v>
          </cell>
          <cell r="AW86">
            <v>1966</v>
          </cell>
          <cell r="AX86">
            <v>108130</v>
          </cell>
        </row>
        <row r="87">
          <cell r="AU87">
            <v>106.4</v>
          </cell>
          <cell r="AV87">
            <v>5320</v>
          </cell>
          <cell r="AW87">
            <v>5320</v>
          </cell>
          <cell r="AX87">
            <v>292600</v>
          </cell>
        </row>
        <row r="88">
          <cell r="AU88">
            <v>74.760000000000005</v>
          </cell>
          <cell r="AV88">
            <v>3738</v>
          </cell>
          <cell r="AW88">
            <v>3738</v>
          </cell>
          <cell r="AX88">
            <v>205590</v>
          </cell>
        </row>
        <row r="89">
          <cell r="AU89">
            <v>38.36</v>
          </cell>
          <cell r="AV89">
            <v>1918</v>
          </cell>
          <cell r="AW89">
            <v>1918</v>
          </cell>
          <cell r="AX89">
            <v>105490</v>
          </cell>
        </row>
        <row r="90">
          <cell r="AU90">
            <v>45.78</v>
          </cell>
          <cell r="AV90">
            <v>2289</v>
          </cell>
          <cell r="AW90">
            <v>2289</v>
          </cell>
          <cell r="AX90">
            <v>125895</v>
          </cell>
        </row>
        <row r="91">
          <cell r="AU91">
            <v>75.62</v>
          </cell>
          <cell r="AV91">
            <v>3781</v>
          </cell>
          <cell r="AW91">
            <v>3781</v>
          </cell>
          <cell r="AX91">
            <v>207955</v>
          </cell>
        </row>
        <row r="92">
          <cell r="AU92">
            <v>50.54</v>
          </cell>
          <cell r="AV92">
            <v>2527</v>
          </cell>
          <cell r="AW92">
            <v>2527</v>
          </cell>
          <cell r="AX92">
            <v>138985</v>
          </cell>
        </row>
        <row r="93">
          <cell r="AU93">
            <v>72</v>
          </cell>
          <cell r="AV93">
            <v>3600</v>
          </cell>
          <cell r="AW93">
            <v>3600</v>
          </cell>
          <cell r="AX93">
            <v>198000</v>
          </cell>
        </row>
        <row r="94">
          <cell r="AU94">
            <v>31.36</v>
          </cell>
          <cell r="AV94">
            <v>1568</v>
          </cell>
          <cell r="AW94">
            <v>1568</v>
          </cell>
          <cell r="AX94">
            <v>86240</v>
          </cell>
        </row>
        <row r="95">
          <cell r="AU95">
            <v>15.68</v>
          </cell>
          <cell r="AV95">
            <v>784</v>
          </cell>
          <cell r="AW95">
            <v>784</v>
          </cell>
          <cell r="AX95">
            <v>43120</v>
          </cell>
        </row>
        <row r="96">
          <cell r="AU96">
            <v>15.68</v>
          </cell>
          <cell r="AV96">
            <v>784</v>
          </cell>
          <cell r="AW96">
            <v>784</v>
          </cell>
          <cell r="AX96">
            <v>43120</v>
          </cell>
        </row>
        <row r="97">
          <cell r="AU97">
            <v>31.36</v>
          </cell>
          <cell r="AV97">
            <v>1568</v>
          </cell>
          <cell r="AW97">
            <v>1568</v>
          </cell>
          <cell r="AX97">
            <v>86240</v>
          </cell>
        </row>
        <row r="98">
          <cell r="AU98">
            <v>24</v>
          </cell>
          <cell r="AV98">
            <v>1200</v>
          </cell>
          <cell r="AW98">
            <v>1200</v>
          </cell>
          <cell r="AX98">
            <v>66000</v>
          </cell>
        </row>
        <row r="99">
          <cell r="AU99">
            <v>116</v>
          </cell>
          <cell r="AV99">
            <v>5800</v>
          </cell>
          <cell r="AW99">
            <v>5800</v>
          </cell>
          <cell r="AX99">
            <v>319000</v>
          </cell>
        </row>
        <row r="100">
          <cell r="AU100">
            <v>82.28</v>
          </cell>
          <cell r="AV100">
            <v>4114</v>
          </cell>
          <cell r="AW100">
            <v>4114</v>
          </cell>
          <cell r="AX100">
            <v>226270</v>
          </cell>
        </row>
        <row r="101">
          <cell r="AU101">
            <v>34.64</v>
          </cell>
          <cell r="AV101">
            <v>1732</v>
          </cell>
          <cell r="AW101">
            <v>1732</v>
          </cell>
          <cell r="AX101">
            <v>95260</v>
          </cell>
        </row>
        <row r="102">
          <cell r="AU102">
            <v>41</v>
          </cell>
          <cell r="AV102">
            <v>2050</v>
          </cell>
          <cell r="AW102">
            <v>2050</v>
          </cell>
          <cell r="AX102">
            <v>112750</v>
          </cell>
        </row>
        <row r="103">
          <cell r="AU103">
            <v>80.28</v>
          </cell>
          <cell r="AV103">
            <v>4014</v>
          </cell>
          <cell r="AW103">
            <v>4014</v>
          </cell>
          <cell r="AX103">
            <v>220770</v>
          </cell>
        </row>
        <row r="104">
          <cell r="AU104">
            <v>44.18</v>
          </cell>
          <cell r="AV104">
            <v>2209</v>
          </cell>
          <cell r="AW104">
            <v>2209</v>
          </cell>
          <cell r="AX104">
            <v>121495</v>
          </cell>
        </row>
        <row r="105">
          <cell r="AU105">
            <v>171.06</v>
          </cell>
          <cell r="AV105">
            <v>8553</v>
          </cell>
          <cell r="AW105">
            <v>8553</v>
          </cell>
          <cell r="AX105">
            <v>470415</v>
          </cell>
        </row>
        <row r="106">
          <cell r="AU106">
            <v>120.14000000000001</v>
          </cell>
          <cell r="AV106">
            <v>6007</v>
          </cell>
          <cell r="AW106">
            <v>6007</v>
          </cell>
          <cell r="AX106">
            <v>330385</v>
          </cell>
        </row>
        <row r="107">
          <cell r="AU107">
            <v>57.5</v>
          </cell>
          <cell r="AV107">
            <v>2875</v>
          </cell>
          <cell r="AW107">
            <v>2875</v>
          </cell>
          <cell r="AX107">
            <v>158125</v>
          </cell>
        </row>
        <row r="108">
          <cell r="AU108">
            <v>73.800000000000011</v>
          </cell>
          <cell r="AV108">
            <v>3690</v>
          </cell>
          <cell r="AW108">
            <v>3690</v>
          </cell>
          <cell r="AX108">
            <v>202950</v>
          </cell>
        </row>
        <row r="109">
          <cell r="AU109">
            <v>120.24000000000001</v>
          </cell>
          <cell r="AV109">
            <v>6012</v>
          </cell>
          <cell r="AW109">
            <v>6012</v>
          </cell>
          <cell r="AX109">
            <v>330660</v>
          </cell>
        </row>
        <row r="110">
          <cell r="AU110">
            <v>76.960000000000008</v>
          </cell>
          <cell r="AV110">
            <v>3848</v>
          </cell>
          <cell r="AW110">
            <v>3848</v>
          </cell>
          <cell r="AX110">
            <v>211640</v>
          </cell>
        </row>
        <row r="111">
          <cell r="AU111">
            <v>210.28</v>
          </cell>
          <cell r="AV111">
            <v>10514</v>
          </cell>
          <cell r="AW111">
            <v>10514</v>
          </cell>
          <cell r="AX111">
            <v>578270</v>
          </cell>
        </row>
        <row r="112">
          <cell r="AU112">
            <v>148.34</v>
          </cell>
          <cell r="AV112">
            <v>7417</v>
          </cell>
          <cell r="AW112">
            <v>7417</v>
          </cell>
          <cell r="AX112">
            <v>407935</v>
          </cell>
        </row>
        <row r="113">
          <cell r="AU113">
            <v>75.5</v>
          </cell>
          <cell r="AV113">
            <v>3775</v>
          </cell>
          <cell r="AW113">
            <v>3775</v>
          </cell>
          <cell r="AX113">
            <v>207625</v>
          </cell>
        </row>
        <row r="114">
          <cell r="AU114">
            <v>91.02000000000001</v>
          </cell>
          <cell r="AV114">
            <v>4551</v>
          </cell>
          <cell r="AW114">
            <v>4551</v>
          </cell>
          <cell r="AX114">
            <v>250305</v>
          </cell>
        </row>
        <row r="115">
          <cell r="AU115">
            <v>149.06</v>
          </cell>
          <cell r="AV115">
            <v>7453</v>
          </cell>
          <cell r="AW115">
            <v>7453</v>
          </cell>
          <cell r="AX115">
            <v>409915</v>
          </cell>
        </row>
        <row r="116">
          <cell r="AU116">
            <v>99.56</v>
          </cell>
          <cell r="AV116">
            <v>4978</v>
          </cell>
          <cell r="AW116">
            <v>4978</v>
          </cell>
          <cell r="AX116">
            <v>273790</v>
          </cell>
        </row>
        <row r="117">
          <cell r="AU117">
            <v>108</v>
          </cell>
          <cell r="AV117">
            <v>5400</v>
          </cell>
          <cell r="AW117">
            <v>5400</v>
          </cell>
          <cell r="AX117">
            <v>297000</v>
          </cell>
        </row>
        <row r="118">
          <cell r="AU118">
            <v>47.04</v>
          </cell>
          <cell r="AV118">
            <v>2352</v>
          </cell>
          <cell r="AW118">
            <v>2352</v>
          </cell>
          <cell r="AX118">
            <v>129360</v>
          </cell>
        </row>
        <row r="119">
          <cell r="AU119">
            <v>23.52</v>
          </cell>
          <cell r="AV119">
            <v>1176</v>
          </cell>
          <cell r="AW119">
            <v>1176</v>
          </cell>
          <cell r="AX119">
            <v>64680</v>
          </cell>
        </row>
        <row r="120">
          <cell r="AU120">
            <v>23.52</v>
          </cell>
          <cell r="AV120">
            <v>1176</v>
          </cell>
          <cell r="AW120">
            <v>1176</v>
          </cell>
          <cell r="AX120">
            <v>64680</v>
          </cell>
        </row>
        <row r="121">
          <cell r="AU121">
            <v>47.04</v>
          </cell>
          <cell r="AV121">
            <v>2352</v>
          </cell>
          <cell r="AW121">
            <v>2352</v>
          </cell>
          <cell r="AX121">
            <v>129360</v>
          </cell>
        </row>
        <row r="122">
          <cell r="AU122">
            <v>36</v>
          </cell>
          <cell r="AV122">
            <v>1800</v>
          </cell>
          <cell r="AW122">
            <v>1800</v>
          </cell>
          <cell r="AX122">
            <v>99000</v>
          </cell>
        </row>
        <row r="123">
          <cell r="AU123">
            <v>174</v>
          </cell>
          <cell r="AV123">
            <v>8700</v>
          </cell>
          <cell r="AW123">
            <v>8700</v>
          </cell>
          <cell r="AX123">
            <v>478500</v>
          </cell>
        </row>
        <row r="124">
          <cell r="AU124">
            <v>123.96000000000001</v>
          </cell>
          <cell r="AV124">
            <v>6198</v>
          </cell>
          <cell r="AW124">
            <v>6198</v>
          </cell>
          <cell r="AX124">
            <v>340890</v>
          </cell>
        </row>
        <row r="125">
          <cell r="AU125">
            <v>52.96</v>
          </cell>
          <cell r="AV125">
            <v>2648</v>
          </cell>
          <cell r="AW125">
            <v>2648</v>
          </cell>
          <cell r="AX125">
            <v>145640</v>
          </cell>
        </row>
        <row r="126">
          <cell r="AU126">
            <v>61.5</v>
          </cell>
          <cell r="AV126">
            <v>3075</v>
          </cell>
          <cell r="AW126">
            <v>3075</v>
          </cell>
          <cell r="AX126">
            <v>169125</v>
          </cell>
        </row>
        <row r="127">
          <cell r="AU127">
            <v>119.96000000000001</v>
          </cell>
          <cell r="AV127">
            <v>5998</v>
          </cell>
          <cell r="AW127">
            <v>5998</v>
          </cell>
          <cell r="AX127">
            <v>329890</v>
          </cell>
        </row>
        <row r="128">
          <cell r="AU128">
            <v>65.94</v>
          </cell>
          <cell r="AV128">
            <v>3297</v>
          </cell>
          <cell r="AW128">
            <v>3297</v>
          </cell>
          <cell r="AX128">
            <v>181335</v>
          </cell>
        </row>
        <row r="129">
          <cell r="AU129">
            <v>257.26</v>
          </cell>
          <cell r="AV129">
            <v>12863</v>
          </cell>
          <cell r="AW129">
            <v>12863</v>
          </cell>
          <cell r="AX129">
            <v>707465</v>
          </cell>
        </row>
        <row r="130">
          <cell r="AU130">
            <v>179.86</v>
          </cell>
          <cell r="AV130">
            <v>8993</v>
          </cell>
          <cell r="AW130">
            <v>8993</v>
          </cell>
          <cell r="AX130">
            <v>494615</v>
          </cell>
        </row>
        <row r="131">
          <cell r="AU131">
            <v>86.46</v>
          </cell>
          <cell r="AV131">
            <v>4323</v>
          </cell>
          <cell r="AW131">
            <v>4323</v>
          </cell>
          <cell r="AX131">
            <v>237765</v>
          </cell>
        </row>
        <row r="132">
          <cell r="AU132">
            <v>110.74</v>
          </cell>
          <cell r="AV132">
            <v>5537</v>
          </cell>
          <cell r="AW132">
            <v>5537</v>
          </cell>
          <cell r="AX132">
            <v>304535</v>
          </cell>
        </row>
        <row r="133">
          <cell r="AU133">
            <v>180.84</v>
          </cell>
          <cell r="AV133">
            <v>9042</v>
          </cell>
          <cell r="AW133">
            <v>9042</v>
          </cell>
          <cell r="AX133">
            <v>497310</v>
          </cell>
        </row>
        <row r="134">
          <cell r="AU134">
            <v>116.28</v>
          </cell>
          <cell r="AV134">
            <v>5814</v>
          </cell>
          <cell r="AW134">
            <v>5814</v>
          </cell>
          <cell r="AX134">
            <v>319770</v>
          </cell>
        </row>
        <row r="165">
          <cell r="AU165">
            <v>179</v>
          </cell>
        </row>
        <row r="166">
          <cell r="AU166">
            <v>78.400000000000006</v>
          </cell>
        </row>
        <row r="167">
          <cell r="AU167">
            <v>39.200000000000003</v>
          </cell>
        </row>
        <row r="168">
          <cell r="AU168">
            <v>39.200000000000003</v>
          </cell>
        </row>
        <row r="169">
          <cell r="AU169">
            <v>78.400000000000006</v>
          </cell>
        </row>
        <row r="170">
          <cell r="AU170">
            <v>60</v>
          </cell>
        </row>
      </sheetData>
      <sheetData sheetId="10"/>
      <sheetData sheetId="11">
        <row r="4">
          <cell r="F4">
            <v>13</v>
          </cell>
          <cell r="G4">
            <v>0</v>
          </cell>
          <cell r="H4">
            <v>0</v>
          </cell>
        </row>
        <row r="5">
          <cell r="F5">
            <v>10</v>
          </cell>
          <cell r="G5">
            <v>0</v>
          </cell>
          <cell r="H5">
            <v>0</v>
          </cell>
        </row>
        <row r="6">
          <cell r="F6">
            <v>6</v>
          </cell>
          <cell r="G6">
            <v>0</v>
          </cell>
          <cell r="H6">
            <v>0</v>
          </cell>
        </row>
        <row r="7">
          <cell r="F7">
            <v>5</v>
          </cell>
          <cell r="G7">
            <v>0</v>
          </cell>
          <cell r="H7">
            <v>0</v>
          </cell>
        </row>
        <row r="8">
          <cell r="F8">
            <v>4</v>
          </cell>
          <cell r="G8">
            <v>0</v>
          </cell>
          <cell r="H8">
            <v>0</v>
          </cell>
        </row>
        <row r="9">
          <cell r="F9">
            <v>8</v>
          </cell>
          <cell r="G9">
            <v>0</v>
          </cell>
          <cell r="H9">
            <v>0</v>
          </cell>
          <cell r="I9">
            <v>5</v>
          </cell>
          <cell r="J9">
            <v>3459.6000000000004</v>
          </cell>
          <cell r="W9">
            <v>5</v>
          </cell>
          <cell r="X9">
            <v>0</v>
          </cell>
        </row>
        <row r="15">
          <cell r="I15">
            <v>5</v>
          </cell>
          <cell r="J15">
            <v>5177.0000000000009</v>
          </cell>
        </row>
        <row r="16">
          <cell r="F16">
            <v>6</v>
          </cell>
          <cell r="G16">
            <v>30</v>
          </cell>
          <cell r="H16">
            <v>4</v>
          </cell>
          <cell r="T16">
            <v>5</v>
          </cell>
          <cell r="U16">
            <v>13</v>
          </cell>
          <cell r="V16">
            <v>8</v>
          </cell>
        </row>
        <row r="17">
          <cell r="F17">
            <v>6</v>
          </cell>
          <cell r="G17">
            <v>32</v>
          </cell>
          <cell r="H17">
            <v>3</v>
          </cell>
          <cell r="T17">
            <v>6</v>
          </cell>
          <cell r="U17">
            <v>21</v>
          </cell>
          <cell r="V17">
            <v>0</v>
          </cell>
        </row>
        <row r="18">
          <cell r="F18">
            <v>16</v>
          </cell>
          <cell r="G18">
            <v>15</v>
          </cell>
          <cell r="H18">
            <v>0</v>
          </cell>
          <cell r="T18">
            <v>15</v>
          </cell>
          <cell r="U18">
            <v>8</v>
          </cell>
          <cell r="V18">
            <v>0</v>
          </cell>
        </row>
        <row r="19">
          <cell r="F19">
            <v>17</v>
          </cell>
          <cell r="G19">
            <v>16</v>
          </cell>
          <cell r="H19">
            <v>0</v>
          </cell>
          <cell r="T19">
            <v>15</v>
          </cell>
          <cell r="U19">
            <v>8</v>
          </cell>
          <cell r="V19">
            <v>0</v>
          </cell>
        </row>
        <row r="20">
          <cell r="F20">
            <v>22</v>
          </cell>
          <cell r="G20">
            <v>10</v>
          </cell>
          <cell r="H20">
            <v>0</v>
          </cell>
          <cell r="T20">
            <v>6</v>
          </cell>
          <cell r="U20">
            <v>21</v>
          </cell>
          <cell r="V20">
            <v>0</v>
          </cell>
        </row>
        <row r="21">
          <cell r="F21">
            <v>9</v>
          </cell>
          <cell r="G21">
            <v>33</v>
          </cell>
          <cell r="H21">
            <v>0</v>
          </cell>
          <cell r="I21">
            <v>15</v>
          </cell>
          <cell r="J21">
            <v>36592.200000000004</v>
          </cell>
          <cell r="T21">
            <v>9</v>
          </cell>
          <cell r="U21">
            <v>15</v>
          </cell>
          <cell r="V21">
            <v>0</v>
          </cell>
          <cell r="W21">
            <v>15</v>
          </cell>
          <cell r="X21">
            <v>130680</v>
          </cell>
        </row>
        <row r="40">
          <cell r="F40">
            <v>4</v>
          </cell>
          <cell r="G40">
            <v>15</v>
          </cell>
          <cell r="H40">
            <v>65</v>
          </cell>
          <cell r="T40">
            <v>0</v>
          </cell>
          <cell r="U40">
            <v>6</v>
          </cell>
          <cell r="V40">
            <v>19</v>
          </cell>
        </row>
        <row r="41">
          <cell r="F41">
            <v>4</v>
          </cell>
          <cell r="G41">
            <v>19</v>
          </cell>
          <cell r="H41">
            <v>59</v>
          </cell>
          <cell r="T41">
            <v>4</v>
          </cell>
          <cell r="U41">
            <v>16</v>
          </cell>
          <cell r="V41">
            <v>6</v>
          </cell>
        </row>
        <row r="42">
          <cell r="F42">
            <v>12</v>
          </cell>
          <cell r="G42">
            <v>52</v>
          </cell>
          <cell r="H42">
            <v>11</v>
          </cell>
          <cell r="T42">
            <v>6</v>
          </cell>
          <cell r="U42">
            <v>21</v>
          </cell>
          <cell r="V42">
            <v>0</v>
          </cell>
        </row>
        <row r="43">
          <cell r="F43">
            <v>9</v>
          </cell>
          <cell r="G43">
            <v>39</v>
          </cell>
          <cell r="H43">
            <v>20</v>
          </cell>
          <cell r="T43">
            <v>6</v>
          </cell>
          <cell r="U43">
            <v>21</v>
          </cell>
          <cell r="V43">
            <v>0</v>
          </cell>
        </row>
        <row r="44">
          <cell r="F44">
            <v>11</v>
          </cell>
          <cell r="G44">
            <v>57</v>
          </cell>
          <cell r="H44">
            <v>9</v>
          </cell>
          <cell r="T44">
            <v>4</v>
          </cell>
          <cell r="U44">
            <v>16</v>
          </cell>
          <cell r="V44">
            <v>6</v>
          </cell>
        </row>
        <row r="45">
          <cell r="F45">
            <v>7</v>
          </cell>
          <cell r="G45">
            <v>28</v>
          </cell>
          <cell r="H45">
            <v>35</v>
          </cell>
          <cell r="I45">
            <v>30</v>
          </cell>
          <cell r="J45">
            <v>261239.12000000005</v>
          </cell>
          <cell r="T45">
            <v>3</v>
          </cell>
          <cell r="U45">
            <v>21</v>
          </cell>
          <cell r="V45">
            <v>3</v>
          </cell>
          <cell r="W45">
            <v>30</v>
          </cell>
          <cell r="X45">
            <v>261360</v>
          </cell>
        </row>
        <row r="51">
          <cell r="W51">
            <v>30</v>
          </cell>
          <cell r="X51">
            <v>546865</v>
          </cell>
        </row>
        <row r="52">
          <cell r="F52">
            <v>0</v>
          </cell>
          <cell r="G52">
            <v>9</v>
          </cell>
          <cell r="H52">
            <v>128</v>
          </cell>
          <cell r="T52">
            <v>0</v>
          </cell>
          <cell r="U52">
            <v>5</v>
          </cell>
          <cell r="V52">
            <v>47</v>
          </cell>
        </row>
        <row r="53">
          <cell r="F53">
            <v>0</v>
          </cell>
          <cell r="G53">
            <v>13</v>
          </cell>
          <cell r="H53">
            <v>114</v>
          </cell>
          <cell r="T53">
            <v>0</v>
          </cell>
          <cell r="U53">
            <v>3</v>
          </cell>
          <cell r="V53">
            <v>33</v>
          </cell>
        </row>
        <row r="54">
          <cell r="F54">
            <v>7</v>
          </cell>
          <cell r="G54">
            <v>29</v>
          </cell>
          <cell r="H54">
            <v>37</v>
          </cell>
          <cell r="T54">
            <v>0</v>
          </cell>
          <cell r="U54">
            <v>9</v>
          </cell>
          <cell r="V54">
            <v>15</v>
          </cell>
        </row>
        <row r="55">
          <cell r="F55">
            <v>3</v>
          </cell>
          <cell r="G55">
            <v>21</v>
          </cell>
          <cell r="H55">
            <v>50</v>
          </cell>
          <cell r="T55">
            <v>0</v>
          </cell>
          <cell r="U55">
            <v>6</v>
          </cell>
          <cell r="V55">
            <v>20</v>
          </cell>
        </row>
        <row r="56">
          <cell r="F56">
            <v>7</v>
          </cell>
          <cell r="G56">
            <v>31</v>
          </cell>
          <cell r="H56">
            <v>32</v>
          </cell>
          <cell r="T56">
            <v>0</v>
          </cell>
          <cell r="U56">
            <v>4</v>
          </cell>
          <cell r="V56">
            <v>33</v>
          </cell>
        </row>
        <row r="57">
          <cell r="F57">
            <v>5</v>
          </cell>
          <cell r="G57">
            <v>13</v>
          </cell>
          <cell r="H57">
            <v>78</v>
          </cell>
          <cell r="I57">
            <v>30</v>
          </cell>
          <cell r="J57">
            <v>487989.92000000004</v>
          </cell>
          <cell r="T57">
            <v>0</v>
          </cell>
          <cell r="U57">
            <v>6</v>
          </cell>
          <cell r="V57">
            <v>21</v>
          </cell>
          <cell r="W57">
            <v>30</v>
          </cell>
          <cell r="X57">
            <v>857065</v>
          </cell>
        </row>
        <row r="63">
          <cell r="I63">
            <v>30</v>
          </cell>
          <cell r="J63">
            <v>573248.36</v>
          </cell>
          <cell r="W63">
            <v>30</v>
          </cell>
          <cell r="X63">
            <v>1076515</v>
          </cell>
        </row>
        <row r="69">
          <cell r="I69">
            <v>45</v>
          </cell>
          <cell r="J69">
            <v>1677195.6</v>
          </cell>
          <cell r="W69">
            <v>45</v>
          </cell>
          <cell r="X69">
            <v>522720</v>
          </cell>
        </row>
        <row r="70">
          <cell r="F70">
            <v>0</v>
          </cell>
          <cell r="G70">
            <v>7</v>
          </cell>
          <cell r="H70">
            <v>448</v>
          </cell>
          <cell r="T70">
            <v>0</v>
          </cell>
          <cell r="U70">
            <v>0</v>
          </cell>
          <cell r="V70">
            <v>64</v>
          </cell>
        </row>
        <row r="71">
          <cell r="F71">
            <v>0</v>
          </cell>
          <cell r="G71">
            <v>6</v>
          </cell>
          <cell r="H71">
            <v>387</v>
          </cell>
          <cell r="T71">
            <v>0</v>
          </cell>
          <cell r="U71">
            <v>5</v>
          </cell>
          <cell r="V71">
            <v>45</v>
          </cell>
        </row>
        <row r="72">
          <cell r="F72">
            <v>4</v>
          </cell>
          <cell r="G72">
            <v>19</v>
          </cell>
          <cell r="H72">
            <v>139</v>
          </cell>
          <cell r="T72">
            <v>0</v>
          </cell>
          <cell r="U72">
            <v>6</v>
          </cell>
          <cell r="V72">
            <v>19</v>
          </cell>
        </row>
        <row r="73">
          <cell r="F73">
            <v>5</v>
          </cell>
          <cell r="G73">
            <v>13</v>
          </cell>
          <cell r="H73">
            <v>177</v>
          </cell>
          <cell r="T73">
            <v>0</v>
          </cell>
          <cell r="U73">
            <v>7</v>
          </cell>
          <cell r="V73">
            <v>22</v>
          </cell>
        </row>
        <row r="74">
          <cell r="F74">
            <v>4</v>
          </cell>
          <cell r="G74">
            <v>22</v>
          </cell>
          <cell r="H74">
            <v>125</v>
          </cell>
          <cell r="T74">
            <v>0</v>
          </cell>
          <cell r="U74">
            <v>5</v>
          </cell>
          <cell r="V74">
            <v>44</v>
          </cell>
        </row>
        <row r="75">
          <cell r="F75">
            <v>0</v>
          </cell>
          <cell r="G75">
            <v>9</v>
          </cell>
          <cell r="H75">
            <v>278</v>
          </cell>
          <cell r="I75">
            <v>45</v>
          </cell>
          <cell r="J75">
            <v>2422798.8600000003</v>
          </cell>
          <cell r="T75">
            <v>0</v>
          </cell>
          <cell r="U75">
            <v>7</v>
          </cell>
          <cell r="V75">
            <v>23</v>
          </cell>
          <cell r="W75">
            <v>45</v>
          </cell>
          <cell r="X75">
            <v>1095545</v>
          </cell>
        </row>
        <row r="81">
          <cell r="I81">
            <v>45</v>
          </cell>
          <cell r="J81">
            <v>3182052</v>
          </cell>
          <cell r="W81">
            <v>45</v>
          </cell>
          <cell r="X81">
            <v>1704175</v>
          </cell>
        </row>
        <row r="87">
          <cell r="I87">
            <v>45</v>
          </cell>
          <cell r="J87">
            <v>3747074.92</v>
          </cell>
          <cell r="W87">
            <v>45</v>
          </cell>
          <cell r="X87">
            <v>2127840</v>
          </cell>
        </row>
        <row r="88">
          <cell r="F88">
            <v>0</v>
          </cell>
          <cell r="G88">
            <v>7</v>
          </cell>
          <cell r="H88">
            <v>814</v>
          </cell>
          <cell r="T88">
            <v>0</v>
          </cell>
          <cell r="U88">
            <v>0</v>
          </cell>
          <cell r="V88">
            <v>60</v>
          </cell>
        </row>
        <row r="89">
          <cell r="F89">
            <v>0</v>
          </cell>
          <cell r="G89">
            <v>6</v>
          </cell>
          <cell r="H89">
            <v>720</v>
          </cell>
          <cell r="T89">
            <v>0</v>
          </cell>
          <cell r="U89">
            <v>8</v>
          </cell>
          <cell r="V89">
            <v>25</v>
          </cell>
        </row>
        <row r="90">
          <cell r="F90">
            <v>4</v>
          </cell>
          <cell r="G90">
            <v>19</v>
          </cell>
          <cell r="H90">
            <v>248</v>
          </cell>
          <cell r="T90">
            <v>0</v>
          </cell>
          <cell r="U90">
            <v>12</v>
          </cell>
          <cell r="V90">
            <v>11</v>
          </cell>
        </row>
        <row r="91">
          <cell r="F91">
            <v>5</v>
          </cell>
          <cell r="G91">
            <v>13</v>
          </cell>
          <cell r="H91">
            <v>327</v>
          </cell>
          <cell r="T91">
            <v>0</v>
          </cell>
          <cell r="U91">
            <v>12</v>
          </cell>
          <cell r="V91">
            <v>11</v>
          </cell>
        </row>
        <row r="92">
          <cell r="F92">
            <v>4</v>
          </cell>
          <cell r="G92">
            <v>18</v>
          </cell>
          <cell r="H92">
            <v>234</v>
          </cell>
          <cell r="T92">
            <v>0</v>
          </cell>
          <cell r="U92">
            <v>8</v>
          </cell>
          <cell r="V92">
            <v>25</v>
          </cell>
        </row>
        <row r="93">
          <cell r="F93">
            <v>0</v>
          </cell>
          <cell r="G93">
            <v>9</v>
          </cell>
          <cell r="H93">
            <v>498</v>
          </cell>
          <cell r="I93">
            <v>60</v>
          </cell>
          <cell r="J93">
            <v>5963904.1599999992</v>
          </cell>
          <cell r="T93">
            <v>0</v>
          </cell>
          <cell r="U93">
            <v>6</v>
          </cell>
          <cell r="V93">
            <v>19</v>
          </cell>
          <cell r="W93">
            <v>60</v>
          </cell>
          <cell r="X93">
            <v>784080</v>
          </cell>
        </row>
        <row r="99">
          <cell r="I99">
            <v>60</v>
          </cell>
          <cell r="J99">
            <v>8625219.660000002</v>
          </cell>
          <cell r="W99">
            <v>60</v>
          </cell>
          <cell r="X99">
            <v>1645380</v>
          </cell>
        </row>
        <row r="100">
          <cell r="F100">
            <v>0</v>
          </cell>
          <cell r="G100">
            <v>5</v>
          </cell>
          <cell r="H100">
            <v>1545</v>
          </cell>
          <cell r="T100">
            <v>0</v>
          </cell>
          <cell r="U100">
            <v>0</v>
          </cell>
          <cell r="V100">
            <v>142</v>
          </cell>
        </row>
        <row r="101">
          <cell r="F101">
            <v>0</v>
          </cell>
          <cell r="G101">
            <v>4</v>
          </cell>
          <cell r="H101">
            <v>1353</v>
          </cell>
          <cell r="T101">
            <v>0</v>
          </cell>
          <cell r="U101">
            <v>0</v>
          </cell>
          <cell r="V101">
            <v>99</v>
          </cell>
        </row>
        <row r="102">
          <cell r="F102">
            <v>0</v>
          </cell>
          <cell r="G102">
            <v>9</v>
          </cell>
          <cell r="H102">
            <v>496</v>
          </cell>
          <cell r="T102">
            <v>0</v>
          </cell>
          <cell r="U102">
            <v>5</v>
          </cell>
          <cell r="V102">
            <v>47</v>
          </cell>
        </row>
        <row r="103">
          <cell r="F103">
            <v>0</v>
          </cell>
          <cell r="G103">
            <v>6</v>
          </cell>
          <cell r="H103">
            <v>622</v>
          </cell>
          <cell r="T103">
            <v>0</v>
          </cell>
          <cell r="U103">
            <v>0</v>
          </cell>
          <cell r="V103">
            <v>61</v>
          </cell>
        </row>
        <row r="104">
          <cell r="F104">
            <v>0</v>
          </cell>
          <cell r="G104">
            <v>13</v>
          </cell>
          <cell r="H104">
            <v>446</v>
          </cell>
          <cell r="T104">
            <v>0</v>
          </cell>
          <cell r="U104">
            <v>0</v>
          </cell>
          <cell r="V104">
            <v>100</v>
          </cell>
        </row>
        <row r="105">
          <cell r="F105">
            <v>0</v>
          </cell>
          <cell r="G105">
            <v>3</v>
          </cell>
          <cell r="H105">
            <v>955</v>
          </cell>
          <cell r="I105">
            <v>60</v>
          </cell>
          <cell r="J105">
            <v>11327678.040000001</v>
          </cell>
          <cell r="T105">
            <v>0</v>
          </cell>
          <cell r="U105">
            <v>0</v>
          </cell>
          <cell r="V105">
            <v>64</v>
          </cell>
          <cell r="W105">
            <v>60</v>
          </cell>
          <cell r="X105">
            <v>2561460</v>
          </cell>
        </row>
        <row r="109">
          <cell r="K109" t="str">
            <v>6045</v>
          </cell>
          <cell r="L109">
            <v>4</v>
          </cell>
          <cell r="Y109" t="str">
            <v>6045</v>
          </cell>
        </row>
        <row r="110">
          <cell r="K110" t="str">
            <v>6044</v>
          </cell>
          <cell r="L110">
            <v>4</v>
          </cell>
          <cell r="M110">
            <v>60</v>
          </cell>
          <cell r="Y110" t="str">
            <v>6044</v>
          </cell>
          <cell r="Z110">
            <v>4</v>
          </cell>
        </row>
        <row r="111">
          <cell r="J111">
            <v>13372924.08</v>
          </cell>
          <cell r="K111" t="str">
            <v>6043</v>
          </cell>
          <cell r="L111">
            <v>4</v>
          </cell>
          <cell r="M111">
            <v>60</v>
          </cell>
          <cell r="X111">
            <v>3204355</v>
          </cell>
          <cell r="Y111" t="str">
            <v>6043</v>
          </cell>
          <cell r="Z111">
            <v>4</v>
          </cell>
          <cell r="AA111">
            <v>60</v>
          </cell>
        </row>
        <row r="112">
          <cell r="K112" t="str">
            <v>7010</v>
          </cell>
          <cell r="L112">
            <v>1</v>
          </cell>
          <cell r="M112">
            <v>70</v>
          </cell>
          <cell r="Y112" t="str">
            <v>7010</v>
          </cell>
          <cell r="Z112">
            <v>1</v>
          </cell>
          <cell r="AA112">
            <v>70</v>
          </cell>
          <cell r="AD112">
            <v>393250</v>
          </cell>
          <cell r="AE112">
            <v>1320</v>
          </cell>
          <cell r="AF112">
            <v>0.02</v>
          </cell>
          <cell r="AG112">
            <v>0.02</v>
          </cell>
        </row>
        <row r="113">
          <cell r="L113">
            <v>1</v>
          </cell>
          <cell r="Y113" t="str">
            <v>7011</v>
          </cell>
          <cell r="Z113">
            <v>1</v>
          </cell>
          <cell r="AA113">
            <v>70</v>
          </cell>
          <cell r="AD113">
            <v>172480</v>
          </cell>
          <cell r="AE113">
            <v>605</v>
          </cell>
          <cell r="AF113">
            <v>0.02</v>
          </cell>
          <cell r="AG113">
            <v>0.02</v>
          </cell>
        </row>
        <row r="114">
          <cell r="Y114" t="str">
            <v>7012</v>
          </cell>
          <cell r="Z114">
            <v>1</v>
          </cell>
          <cell r="AA114">
            <v>70</v>
          </cell>
          <cell r="AD114">
            <v>86240</v>
          </cell>
          <cell r="AE114">
            <v>330</v>
          </cell>
          <cell r="AF114">
            <v>0.02</v>
          </cell>
          <cell r="AG114">
            <v>0.02</v>
          </cell>
        </row>
        <row r="115">
          <cell r="Y115" t="str">
            <v>7015</v>
          </cell>
          <cell r="Z115">
            <v>1</v>
          </cell>
          <cell r="AA115">
            <v>70</v>
          </cell>
          <cell r="AD115">
            <v>86240</v>
          </cell>
          <cell r="AE115">
            <v>330</v>
          </cell>
          <cell r="AF115">
            <v>0.02</v>
          </cell>
          <cell r="AG115">
            <v>0.02</v>
          </cell>
        </row>
        <row r="116">
          <cell r="Y116" t="str">
            <v>7014</v>
          </cell>
          <cell r="Z116">
            <v>1</v>
          </cell>
          <cell r="AA116">
            <v>70</v>
          </cell>
          <cell r="AD116">
            <v>172480</v>
          </cell>
          <cell r="AE116">
            <v>605</v>
          </cell>
          <cell r="AF116">
            <v>0.02</v>
          </cell>
          <cell r="AG116">
            <v>0.02</v>
          </cell>
        </row>
        <row r="117">
          <cell r="X117">
            <v>1042690</v>
          </cell>
          <cell r="Y117" t="str">
            <v>7013</v>
          </cell>
          <cell r="Z117">
            <v>1</v>
          </cell>
          <cell r="AA117">
            <v>70</v>
          </cell>
          <cell r="AD117">
            <v>132000</v>
          </cell>
          <cell r="AE117">
            <v>440</v>
          </cell>
          <cell r="AF117">
            <v>0.02</v>
          </cell>
          <cell r="AG117">
            <v>0.02</v>
          </cell>
        </row>
        <row r="118">
          <cell r="Y118" t="str">
            <v>7020</v>
          </cell>
          <cell r="Z118">
            <v>2</v>
          </cell>
          <cell r="AA118">
            <v>70</v>
          </cell>
        </row>
        <row r="119">
          <cell r="Y119" t="str">
            <v>7021</v>
          </cell>
          <cell r="Z119">
            <v>2</v>
          </cell>
          <cell r="AA119">
            <v>70</v>
          </cell>
        </row>
        <row r="120">
          <cell r="Y120" t="str">
            <v>7022</v>
          </cell>
          <cell r="Z120">
            <v>2</v>
          </cell>
          <cell r="AA120">
            <v>70</v>
          </cell>
        </row>
        <row r="169">
          <cell r="Y169">
            <v>8916.6666666666679</v>
          </cell>
        </row>
        <row r="170">
          <cell r="O170">
            <v>57670416.24000001</v>
          </cell>
          <cell r="Y170">
            <v>1783.3333333333335</v>
          </cell>
        </row>
        <row r="171">
          <cell r="Y171">
            <v>356.66666666666669</v>
          </cell>
        </row>
        <row r="173">
          <cell r="Y173">
            <v>2365</v>
          </cell>
        </row>
        <row r="174">
          <cell r="Y174">
            <v>1650</v>
          </cell>
        </row>
        <row r="175">
          <cell r="Y175">
            <v>825</v>
          </cell>
        </row>
        <row r="176">
          <cell r="Y176">
            <v>1045</v>
          </cell>
        </row>
        <row r="177">
          <cell r="Y177">
            <v>1705</v>
          </cell>
        </row>
        <row r="178">
          <cell r="Y178">
            <v>1100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月签到"/>
      <sheetName val="D_7天登陆"/>
      <sheetName val="D_等级礼包"/>
      <sheetName val="D_拼战"/>
      <sheetName val="D_升级达人奖励"/>
      <sheetName val="D_最强马仔奖励"/>
      <sheetName val="D_最强霸主奖励"/>
      <sheetName val="D_等级礼包配置"/>
      <sheetName val="D_首充礼包"/>
      <sheetName val="D_累冲活动"/>
      <sheetName val="D_累冲活动 (开服)"/>
      <sheetName val="D_天天有礼"/>
      <sheetName val="D_天天有礼 (开服)"/>
      <sheetName val="D_财神驾到"/>
      <sheetName val="D_财神驾到 (开服)"/>
      <sheetName val="D_单笔充值"/>
      <sheetName val="D_马仔升星日"/>
      <sheetName val="D_马仔升星日奖励数量"/>
    </sheetNames>
    <sheetDataSet>
      <sheetData sheetId="0">
        <row r="1">
          <cell r="A1" t="str">
            <v>签到次数</v>
          </cell>
          <cell r="B1" t="str">
            <v>道具名称</v>
          </cell>
          <cell r="C1" t="str">
            <v>普通玩家奖励</v>
          </cell>
          <cell r="D1" t="str">
            <v>普通玩家数量</v>
          </cell>
          <cell r="E1" t="str">
            <v>金币数量</v>
          </cell>
          <cell r="F1" t="str">
            <v>钻石数量</v>
          </cell>
        </row>
        <row r="2">
          <cell r="A2">
            <v>801</v>
          </cell>
          <cell r="B2">
            <v>0</v>
          </cell>
          <cell r="C2">
            <v>0</v>
          </cell>
          <cell r="D2">
            <v>0</v>
          </cell>
          <cell r="E2">
            <v>5000</v>
          </cell>
          <cell r="F2">
            <v>0</v>
          </cell>
        </row>
        <row r="3">
          <cell r="A3">
            <v>802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20</v>
          </cell>
        </row>
        <row r="4">
          <cell r="A4">
            <v>803</v>
          </cell>
          <cell r="B4" t="str">
            <v>马仔碎片(巴闭)</v>
          </cell>
          <cell r="C4">
            <v>78117</v>
          </cell>
          <cell r="D4">
            <v>4</v>
          </cell>
          <cell r="E4">
            <v>0</v>
          </cell>
          <cell r="F4">
            <v>0</v>
          </cell>
        </row>
        <row r="5">
          <cell r="A5">
            <v>804</v>
          </cell>
          <cell r="B5" t="str">
            <v>马仔经验甘露</v>
          </cell>
          <cell r="C5">
            <v>91300</v>
          </cell>
          <cell r="D5">
            <v>2</v>
          </cell>
          <cell r="E5">
            <v>0</v>
          </cell>
          <cell r="F5">
            <v>0</v>
          </cell>
        </row>
        <row r="6">
          <cell r="A6">
            <v>805</v>
          </cell>
          <cell r="B6" t="str">
            <v>龙魂币</v>
          </cell>
          <cell r="C6">
            <v>83301</v>
          </cell>
          <cell r="D6">
            <v>1000</v>
          </cell>
          <cell r="E6">
            <v>0</v>
          </cell>
          <cell r="F6">
            <v>0</v>
          </cell>
        </row>
        <row r="7">
          <cell r="A7">
            <v>806</v>
          </cell>
          <cell r="B7" t="str">
            <v>命运石</v>
          </cell>
          <cell r="C7">
            <v>83302</v>
          </cell>
          <cell r="D7">
            <v>10000</v>
          </cell>
          <cell r="E7">
            <v>0</v>
          </cell>
          <cell r="F7">
            <v>0</v>
          </cell>
        </row>
        <row r="8">
          <cell r="A8">
            <v>807</v>
          </cell>
          <cell r="B8">
            <v>0</v>
          </cell>
          <cell r="C8">
            <v>0</v>
          </cell>
          <cell r="D8">
            <v>0</v>
          </cell>
          <cell r="E8">
            <v>10000</v>
          </cell>
          <cell r="F8">
            <v>0</v>
          </cell>
        </row>
        <row r="9">
          <cell r="A9">
            <v>808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40</v>
          </cell>
        </row>
        <row r="10">
          <cell r="A10">
            <v>809</v>
          </cell>
          <cell r="B10" t="str">
            <v>马仔碎片(巴闭)</v>
          </cell>
          <cell r="C10">
            <v>78117</v>
          </cell>
          <cell r="D10">
            <v>8</v>
          </cell>
          <cell r="E10">
            <v>0</v>
          </cell>
          <cell r="F10">
            <v>0</v>
          </cell>
        </row>
        <row r="11">
          <cell r="A11">
            <v>810</v>
          </cell>
          <cell r="B11" t="str">
            <v>马仔经验甘露</v>
          </cell>
          <cell r="C11">
            <v>91300</v>
          </cell>
          <cell r="D11">
            <v>4</v>
          </cell>
          <cell r="E11">
            <v>0</v>
          </cell>
          <cell r="F11">
            <v>0</v>
          </cell>
        </row>
        <row r="12">
          <cell r="A12">
            <v>811</v>
          </cell>
          <cell r="B12" t="str">
            <v>龙魂币</v>
          </cell>
          <cell r="C12">
            <v>83301</v>
          </cell>
          <cell r="D12">
            <v>1500</v>
          </cell>
          <cell r="E12">
            <v>0</v>
          </cell>
          <cell r="F12">
            <v>0</v>
          </cell>
        </row>
        <row r="13">
          <cell r="A13">
            <v>812</v>
          </cell>
          <cell r="B13" t="str">
            <v>命运石</v>
          </cell>
          <cell r="C13">
            <v>83302</v>
          </cell>
          <cell r="D13">
            <v>20000</v>
          </cell>
          <cell r="E13">
            <v>0</v>
          </cell>
          <cell r="F13">
            <v>0</v>
          </cell>
        </row>
        <row r="14">
          <cell r="A14">
            <v>813</v>
          </cell>
          <cell r="B14">
            <v>0</v>
          </cell>
          <cell r="C14">
            <v>0</v>
          </cell>
          <cell r="D14">
            <v>0</v>
          </cell>
          <cell r="E14">
            <v>15000</v>
          </cell>
          <cell r="F14">
            <v>0</v>
          </cell>
        </row>
        <row r="15">
          <cell r="A15">
            <v>814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60</v>
          </cell>
        </row>
        <row r="16">
          <cell r="A16">
            <v>815</v>
          </cell>
          <cell r="B16" t="str">
            <v>马仔碎片(巴闭)</v>
          </cell>
          <cell r="C16">
            <v>78117</v>
          </cell>
          <cell r="D16">
            <v>12</v>
          </cell>
          <cell r="E16">
            <v>0</v>
          </cell>
          <cell r="F16">
            <v>0</v>
          </cell>
        </row>
        <row r="17">
          <cell r="A17">
            <v>816</v>
          </cell>
          <cell r="B17" t="str">
            <v>马仔经验甘露</v>
          </cell>
          <cell r="C17">
            <v>91300</v>
          </cell>
          <cell r="D17">
            <v>6</v>
          </cell>
          <cell r="E17">
            <v>0</v>
          </cell>
          <cell r="F17">
            <v>0</v>
          </cell>
        </row>
        <row r="18">
          <cell r="A18">
            <v>817</v>
          </cell>
          <cell r="B18" t="str">
            <v>龙魂币</v>
          </cell>
          <cell r="C18">
            <v>83301</v>
          </cell>
          <cell r="D18">
            <v>2000</v>
          </cell>
          <cell r="E18">
            <v>0</v>
          </cell>
          <cell r="F18">
            <v>0</v>
          </cell>
        </row>
        <row r="19">
          <cell r="A19">
            <v>818</v>
          </cell>
          <cell r="B19" t="str">
            <v>命运石</v>
          </cell>
          <cell r="C19">
            <v>83302</v>
          </cell>
          <cell r="D19">
            <v>30000</v>
          </cell>
          <cell r="E19">
            <v>0</v>
          </cell>
          <cell r="F19">
            <v>0</v>
          </cell>
        </row>
        <row r="20">
          <cell r="A20">
            <v>819</v>
          </cell>
          <cell r="B20">
            <v>0</v>
          </cell>
          <cell r="C20">
            <v>0</v>
          </cell>
          <cell r="D20">
            <v>0</v>
          </cell>
          <cell r="E20">
            <v>20000</v>
          </cell>
          <cell r="F20">
            <v>0</v>
          </cell>
        </row>
        <row r="21">
          <cell r="A21">
            <v>820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80</v>
          </cell>
        </row>
        <row r="22">
          <cell r="A22">
            <v>821</v>
          </cell>
          <cell r="B22" t="str">
            <v>马仔碎片(乌鸦)</v>
          </cell>
          <cell r="C22">
            <v>78110</v>
          </cell>
          <cell r="D22">
            <v>5</v>
          </cell>
          <cell r="E22">
            <v>0</v>
          </cell>
          <cell r="F22">
            <v>0</v>
          </cell>
        </row>
        <row r="23">
          <cell r="A23">
            <v>822</v>
          </cell>
          <cell r="B23" t="str">
            <v>马仔经验甘露</v>
          </cell>
          <cell r="C23">
            <v>91300</v>
          </cell>
          <cell r="D23">
            <v>8</v>
          </cell>
          <cell r="E23">
            <v>0</v>
          </cell>
          <cell r="F23">
            <v>0</v>
          </cell>
        </row>
        <row r="24">
          <cell r="A24">
            <v>823</v>
          </cell>
          <cell r="B24" t="str">
            <v>龙魂币</v>
          </cell>
          <cell r="C24">
            <v>83301</v>
          </cell>
          <cell r="D24">
            <v>2500</v>
          </cell>
          <cell r="E24">
            <v>0</v>
          </cell>
          <cell r="F24">
            <v>0</v>
          </cell>
        </row>
        <row r="25">
          <cell r="A25">
            <v>824</v>
          </cell>
          <cell r="B25" t="str">
            <v>命运石</v>
          </cell>
          <cell r="C25">
            <v>83302</v>
          </cell>
          <cell r="D25">
            <v>40000</v>
          </cell>
          <cell r="E25">
            <v>0</v>
          </cell>
          <cell r="F25">
            <v>0</v>
          </cell>
        </row>
        <row r="26">
          <cell r="A26">
            <v>825</v>
          </cell>
          <cell r="B26">
            <v>0</v>
          </cell>
          <cell r="C26">
            <v>0</v>
          </cell>
          <cell r="D26">
            <v>0</v>
          </cell>
          <cell r="E26">
            <v>25000</v>
          </cell>
          <cell r="F26">
            <v>0</v>
          </cell>
        </row>
        <row r="27">
          <cell r="A27">
            <v>826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100</v>
          </cell>
        </row>
        <row r="28">
          <cell r="A28">
            <v>827</v>
          </cell>
          <cell r="B28" t="str">
            <v>马仔碎片(乌鸦)</v>
          </cell>
          <cell r="C28">
            <v>78110</v>
          </cell>
          <cell r="D28">
            <v>10</v>
          </cell>
          <cell r="E28">
            <v>0</v>
          </cell>
          <cell r="F28">
            <v>0</v>
          </cell>
        </row>
        <row r="29">
          <cell r="A29">
            <v>828</v>
          </cell>
          <cell r="B29" t="str">
            <v>马仔经验甘露</v>
          </cell>
          <cell r="C29">
            <v>91300</v>
          </cell>
          <cell r="D29">
            <v>10</v>
          </cell>
          <cell r="E29">
            <v>0</v>
          </cell>
          <cell r="F29">
            <v>0</v>
          </cell>
        </row>
        <row r="30">
          <cell r="A30">
            <v>901</v>
          </cell>
          <cell r="B30">
            <v>0</v>
          </cell>
          <cell r="C30">
            <v>0</v>
          </cell>
          <cell r="D30">
            <v>0</v>
          </cell>
          <cell r="E30">
            <v>5000</v>
          </cell>
          <cell r="F30">
            <v>0</v>
          </cell>
        </row>
        <row r="31">
          <cell r="A31">
            <v>902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20</v>
          </cell>
        </row>
        <row r="32">
          <cell r="A32">
            <v>903</v>
          </cell>
          <cell r="B32" t="str">
            <v>马仔碎片(靓坤)</v>
          </cell>
          <cell r="C32">
            <v>78106</v>
          </cell>
          <cell r="D32">
            <v>4</v>
          </cell>
          <cell r="E32">
            <v>0</v>
          </cell>
          <cell r="F32">
            <v>0</v>
          </cell>
        </row>
        <row r="33">
          <cell r="A33">
            <v>904</v>
          </cell>
          <cell r="B33" t="str">
            <v>马仔经验甘露</v>
          </cell>
          <cell r="C33">
            <v>91300</v>
          </cell>
          <cell r="D33">
            <v>2</v>
          </cell>
          <cell r="E33">
            <v>0</v>
          </cell>
          <cell r="F33">
            <v>0</v>
          </cell>
        </row>
        <row r="34">
          <cell r="A34">
            <v>905</v>
          </cell>
          <cell r="B34" t="str">
            <v>龙魂币</v>
          </cell>
          <cell r="C34">
            <v>83301</v>
          </cell>
          <cell r="D34">
            <v>1000</v>
          </cell>
          <cell r="E34">
            <v>0</v>
          </cell>
          <cell r="F34">
            <v>0</v>
          </cell>
        </row>
        <row r="35">
          <cell r="A35">
            <v>906</v>
          </cell>
          <cell r="B35" t="str">
            <v>命运石</v>
          </cell>
          <cell r="C35">
            <v>83302</v>
          </cell>
          <cell r="D35">
            <v>10000</v>
          </cell>
          <cell r="E35">
            <v>0</v>
          </cell>
          <cell r="F35">
            <v>0</v>
          </cell>
        </row>
        <row r="36">
          <cell r="A36">
            <v>907</v>
          </cell>
          <cell r="B36">
            <v>0</v>
          </cell>
          <cell r="C36">
            <v>0</v>
          </cell>
          <cell r="D36">
            <v>0</v>
          </cell>
          <cell r="E36">
            <v>10000</v>
          </cell>
          <cell r="F36">
            <v>0</v>
          </cell>
        </row>
        <row r="37">
          <cell r="A37">
            <v>908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40</v>
          </cell>
        </row>
        <row r="38">
          <cell r="A38">
            <v>909</v>
          </cell>
          <cell r="B38" t="str">
            <v>马仔碎片(靓坤)</v>
          </cell>
          <cell r="C38">
            <v>78106</v>
          </cell>
          <cell r="D38">
            <v>8</v>
          </cell>
          <cell r="E38">
            <v>0</v>
          </cell>
          <cell r="F38">
            <v>0</v>
          </cell>
        </row>
        <row r="39">
          <cell r="A39">
            <v>910</v>
          </cell>
          <cell r="B39" t="str">
            <v>马仔经验甘露</v>
          </cell>
          <cell r="C39">
            <v>91300</v>
          </cell>
          <cell r="D39">
            <v>4</v>
          </cell>
          <cell r="E39">
            <v>0</v>
          </cell>
          <cell r="F39">
            <v>0</v>
          </cell>
        </row>
        <row r="40">
          <cell r="A40">
            <v>911</v>
          </cell>
          <cell r="B40" t="str">
            <v>龙魂币</v>
          </cell>
          <cell r="C40">
            <v>83301</v>
          </cell>
          <cell r="D40">
            <v>1500</v>
          </cell>
          <cell r="E40">
            <v>0</v>
          </cell>
          <cell r="F40">
            <v>0</v>
          </cell>
        </row>
        <row r="41">
          <cell r="A41">
            <v>912</v>
          </cell>
          <cell r="B41" t="str">
            <v>命运石</v>
          </cell>
          <cell r="C41">
            <v>83302</v>
          </cell>
          <cell r="D41">
            <v>20000</v>
          </cell>
          <cell r="E41">
            <v>0</v>
          </cell>
          <cell r="F41">
            <v>0</v>
          </cell>
        </row>
        <row r="42">
          <cell r="A42">
            <v>913</v>
          </cell>
          <cell r="B42">
            <v>0</v>
          </cell>
          <cell r="C42">
            <v>0</v>
          </cell>
          <cell r="D42">
            <v>0</v>
          </cell>
          <cell r="E42">
            <v>15000</v>
          </cell>
          <cell r="F42">
            <v>0</v>
          </cell>
        </row>
        <row r="43">
          <cell r="A43">
            <v>914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60</v>
          </cell>
        </row>
        <row r="44">
          <cell r="A44">
            <v>915</v>
          </cell>
          <cell r="B44" t="str">
            <v>马仔碎片(靓坤)</v>
          </cell>
          <cell r="C44">
            <v>78106</v>
          </cell>
          <cell r="D44">
            <v>12</v>
          </cell>
          <cell r="E44">
            <v>0</v>
          </cell>
          <cell r="F44">
            <v>0</v>
          </cell>
        </row>
        <row r="45">
          <cell r="A45">
            <v>916</v>
          </cell>
          <cell r="B45" t="str">
            <v>马仔经验甘露</v>
          </cell>
          <cell r="C45">
            <v>91300</v>
          </cell>
          <cell r="D45">
            <v>6</v>
          </cell>
          <cell r="E45">
            <v>0</v>
          </cell>
          <cell r="F45">
            <v>0</v>
          </cell>
        </row>
        <row r="46">
          <cell r="A46">
            <v>917</v>
          </cell>
          <cell r="B46" t="str">
            <v>龙魂币</v>
          </cell>
          <cell r="C46">
            <v>83301</v>
          </cell>
          <cell r="D46">
            <v>2000</v>
          </cell>
          <cell r="E46">
            <v>0</v>
          </cell>
          <cell r="F46">
            <v>0</v>
          </cell>
        </row>
        <row r="47">
          <cell r="A47">
            <v>918</v>
          </cell>
          <cell r="B47" t="str">
            <v>命运石</v>
          </cell>
          <cell r="C47">
            <v>83302</v>
          </cell>
          <cell r="D47">
            <v>30000</v>
          </cell>
          <cell r="E47">
            <v>0</v>
          </cell>
          <cell r="F47">
            <v>0</v>
          </cell>
        </row>
        <row r="48">
          <cell r="A48">
            <v>919</v>
          </cell>
          <cell r="B48">
            <v>0</v>
          </cell>
          <cell r="C48">
            <v>0</v>
          </cell>
          <cell r="D48">
            <v>0</v>
          </cell>
          <cell r="E48">
            <v>20000</v>
          </cell>
          <cell r="F48">
            <v>0</v>
          </cell>
        </row>
        <row r="49">
          <cell r="A49">
            <v>920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80</v>
          </cell>
        </row>
        <row r="50">
          <cell r="A50">
            <v>921</v>
          </cell>
          <cell r="B50" t="str">
            <v>马仔碎片(赌王)</v>
          </cell>
          <cell r="C50">
            <v>78111</v>
          </cell>
          <cell r="D50">
            <v>5</v>
          </cell>
          <cell r="E50">
            <v>0</v>
          </cell>
          <cell r="F50">
            <v>0</v>
          </cell>
        </row>
        <row r="51">
          <cell r="A51">
            <v>922</v>
          </cell>
          <cell r="B51" t="str">
            <v>马仔经验甘露</v>
          </cell>
          <cell r="C51">
            <v>91300</v>
          </cell>
          <cell r="D51">
            <v>8</v>
          </cell>
          <cell r="E51">
            <v>0</v>
          </cell>
          <cell r="F51">
            <v>0</v>
          </cell>
        </row>
        <row r="52">
          <cell r="A52">
            <v>923</v>
          </cell>
          <cell r="B52" t="str">
            <v>龙魂币</v>
          </cell>
          <cell r="C52">
            <v>83301</v>
          </cell>
          <cell r="D52">
            <v>2500</v>
          </cell>
          <cell r="E52">
            <v>0</v>
          </cell>
          <cell r="F52">
            <v>0</v>
          </cell>
        </row>
        <row r="53">
          <cell r="A53">
            <v>924</v>
          </cell>
          <cell r="B53" t="str">
            <v>命运石</v>
          </cell>
          <cell r="C53">
            <v>83302</v>
          </cell>
          <cell r="D53">
            <v>40000</v>
          </cell>
          <cell r="E53">
            <v>0</v>
          </cell>
          <cell r="F53">
            <v>0</v>
          </cell>
        </row>
        <row r="54">
          <cell r="A54">
            <v>925</v>
          </cell>
          <cell r="B54">
            <v>0</v>
          </cell>
          <cell r="C54">
            <v>0</v>
          </cell>
          <cell r="D54">
            <v>0</v>
          </cell>
          <cell r="E54">
            <v>25000</v>
          </cell>
          <cell r="F54">
            <v>0</v>
          </cell>
        </row>
        <row r="55">
          <cell r="A55">
            <v>926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100</v>
          </cell>
        </row>
        <row r="56">
          <cell r="A56">
            <v>927</v>
          </cell>
          <cell r="B56" t="str">
            <v>马仔碎片(赌王)</v>
          </cell>
          <cell r="C56">
            <v>78111</v>
          </cell>
          <cell r="D56">
            <v>10</v>
          </cell>
          <cell r="E56">
            <v>0</v>
          </cell>
          <cell r="F56">
            <v>0</v>
          </cell>
        </row>
        <row r="57">
          <cell r="A57">
            <v>928</v>
          </cell>
          <cell r="B57" t="str">
            <v>马仔经验甘露</v>
          </cell>
          <cell r="C57">
            <v>91300</v>
          </cell>
          <cell r="D57">
            <v>10</v>
          </cell>
          <cell r="E57">
            <v>0</v>
          </cell>
          <cell r="F57">
            <v>0</v>
          </cell>
        </row>
        <row r="58">
          <cell r="A58">
            <v>1001</v>
          </cell>
          <cell r="B58">
            <v>0</v>
          </cell>
          <cell r="C58">
            <v>0</v>
          </cell>
          <cell r="D58">
            <v>0</v>
          </cell>
          <cell r="E58">
            <v>5000</v>
          </cell>
          <cell r="F58">
            <v>0</v>
          </cell>
        </row>
        <row r="59">
          <cell r="A59">
            <v>1002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20</v>
          </cell>
        </row>
        <row r="60">
          <cell r="A60">
            <v>1003</v>
          </cell>
          <cell r="B60" t="str">
            <v>马仔碎片(雷复轰)</v>
          </cell>
          <cell r="C60">
            <v>78107</v>
          </cell>
          <cell r="D60">
            <v>4</v>
          </cell>
          <cell r="E60">
            <v>0</v>
          </cell>
          <cell r="F60">
            <v>0</v>
          </cell>
        </row>
        <row r="61">
          <cell r="A61">
            <v>1004</v>
          </cell>
          <cell r="B61" t="str">
            <v>马仔经验甘露</v>
          </cell>
          <cell r="C61">
            <v>91300</v>
          </cell>
          <cell r="D61">
            <v>2</v>
          </cell>
          <cell r="E61">
            <v>0</v>
          </cell>
          <cell r="F61">
            <v>0</v>
          </cell>
        </row>
        <row r="62">
          <cell r="A62">
            <v>1005</v>
          </cell>
          <cell r="B62" t="str">
            <v>龙魂币</v>
          </cell>
          <cell r="C62">
            <v>83301</v>
          </cell>
          <cell r="D62">
            <v>1000</v>
          </cell>
          <cell r="E62">
            <v>0</v>
          </cell>
          <cell r="F62">
            <v>0</v>
          </cell>
        </row>
        <row r="63">
          <cell r="A63">
            <v>1006</v>
          </cell>
          <cell r="B63" t="str">
            <v>命运石</v>
          </cell>
          <cell r="C63">
            <v>83302</v>
          </cell>
          <cell r="D63">
            <v>10000</v>
          </cell>
          <cell r="E63">
            <v>0</v>
          </cell>
          <cell r="F63">
            <v>0</v>
          </cell>
        </row>
        <row r="64">
          <cell r="A64">
            <v>1007</v>
          </cell>
          <cell r="B64">
            <v>0</v>
          </cell>
          <cell r="C64">
            <v>0</v>
          </cell>
          <cell r="D64">
            <v>0</v>
          </cell>
          <cell r="E64">
            <v>10000</v>
          </cell>
          <cell r="F64">
            <v>0</v>
          </cell>
        </row>
        <row r="65">
          <cell r="A65">
            <v>1008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40</v>
          </cell>
        </row>
        <row r="66">
          <cell r="A66">
            <v>1009</v>
          </cell>
          <cell r="B66" t="str">
            <v>马仔碎片(雷复轰)</v>
          </cell>
          <cell r="C66">
            <v>78107</v>
          </cell>
          <cell r="D66">
            <v>8</v>
          </cell>
          <cell r="E66">
            <v>0</v>
          </cell>
          <cell r="F66">
            <v>0</v>
          </cell>
        </row>
        <row r="67">
          <cell r="A67">
            <v>1010</v>
          </cell>
          <cell r="B67" t="str">
            <v>马仔经验甘露</v>
          </cell>
          <cell r="C67">
            <v>91300</v>
          </cell>
          <cell r="D67">
            <v>4</v>
          </cell>
          <cell r="E67">
            <v>0</v>
          </cell>
          <cell r="F67">
            <v>0</v>
          </cell>
        </row>
        <row r="68">
          <cell r="A68">
            <v>1011</v>
          </cell>
          <cell r="B68" t="str">
            <v>龙魂币</v>
          </cell>
          <cell r="C68">
            <v>83301</v>
          </cell>
          <cell r="D68">
            <v>1500</v>
          </cell>
          <cell r="E68">
            <v>0</v>
          </cell>
          <cell r="F68">
            <v>0</v>
          </cell>
        </row>
        <row r="69">
          <cell r="A69">
            <v>1012</v>
          </cell>
          <cell r="B69" t="str">
            <v>命运石</v>
          </cell>
          <cell r="C69">
            <v>83302</v>
          </cell>
          <cell r="D69">
            <v>20000</v>
          </cell>
          <cell r="E69">
            <v>0</v>
          </cell>
          <cell r="F69">
            <v>0</v>
          </cell>
        </row>
        <row r="70">
          <cell r="A70">
            <v>1013</v>
          </cell>
          <cell r="B70">
            <v>0</v>
          </cell>
          <cell r="C70">
            <v>0</v>
          </cell>
          <cell r="D70">
            <v>0</v>
          </cell>
          <cell r="E70">
            <v>15000</v>
          </cell>
          <cell r="F70">
            <v>0</v>
          </cell>
        </row>
        <row r="71">
          <cell r="A71">
            <v>1014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60</v>
          </cell>
        </row>
        <row r="72">
          <cell r="A72">
            <v>1015</v>
          </cell>
          <cell r="B72" t="str">
            <v>马仔碎片(雷复轰)</v>
          </cell>
          <cell r="C72">
            <v>78107</v>
          </cell>
          <cell r="D72">
            <v>12</v>
          </cell>
          <cell r="E72">
            <v>0</v>
          </cell>
          <cell r="F72">
            <v>0</v>
          </cell>
        </row>
        <row r="73">
          <cell r="A73">
            <v>1016</v>
          </cell>
          <cell r="B73" t="str">
            <v>马仔经验甘露</v>
          </cell>
          <cell r="C73">
            <v>91300</v>
          </cell>
          <cell r="D73">
            <v>6</v>
          </cell>
          <cell r="E73">
            <v>0</v>
          </cell>
          <cell r="F73">
            <v>0</v>
          </cell>
        </row>
        <row r="74">
          <cell r="A74">
            <v>1017</v>
          </cell>
          <cell r="B74" t="str">
            <v>龙魂币</v>
          </cell>
          <cell r="C74">
            <v>83301</v>
          </cell>
          <cell r="D74">
            <v>2000</v>
          </cell>
          <cell r="E74">
            <v>0</v>
          </cell>
          <cell r="F74">
            <v>0</v>
          </cell>
        </row>
        <row r="75">
          <cell r="A75">
            <v>1018</v>
          </cell>
          <cell r="B75" t="str">
            <v>命运石</v>
          </cell>
          <cell r="C75">
            <v>83302</v>
          </cell>
          <cell r="D75">
            <v>30000</v>
          </cell>
          <cell r="E75">
            <v>0</v>
          </cell>
          <cell r="F75">
            <v>0</v>
          </cell>
        </row>
        <row r="76">
          <cell r="A76">
            <v>1019</v>
          </cell>
          <cell r="B76">
            <v>0</v>
          </cell>
          <cell r="C76">
            <v>0</v>
          </cell>
          <cell r="D76">
            <v>0</v>
          </cell>
          <cell r="E76">
            <v>20000</v>
          </cell>
          <cell r="F76">
            <v>0</v>
          </cell>
        </row>
        <row r="77">
          <cell r="A77">
            <v>1020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80</v>
          </cell>
        </row>
        <row r="78">
          <cell r="A78">
            <v>1021</v>
          </cell>
          <cell r="B78" t="str">
            <v>马仔碎片(山下忠秀)</v>
          </cell>
          <cell r="C78">
            <v>78112</v>
          </cell>
          <cell r="D78">
            <v>5</v>
          </cell>
          <cell r="E78">
            <v>0</v>
          </cell>
          <cell r="F78">
            <v>0</v>
          </cell>
        </row>
        <row r="79">
          <cell r="A79">
            <v>1022</v>
          </cell>
          <cell r="B79" t="str">
            <v>马仔经验甘露</v>
          </cell>
          <cell r="C79">
            <v>91300</v>
          </cell>
          <cell r="D79">
            <v>8</v>
          </cell>
          <cell r="E79">
            <v>0</v>
          </cell>
          <cell r="F79">
            <v>0</v>
          </cell>
        </row>
        <row r="80">
          <cell r="A80">
            <v>1023</v>
          </cell>
          <cell r="B80" t="str">
            <v>龙魂币</v>
          </cell>
          <cell r="C80">
            <v>83301</v>
          </cell>
          <cell r="D80">
            <v>2500</v>
          </cell>
          <cell r="E80">
            <v>0</v>
          </cell>
          <cell r="F80">
            <v>0</v>
          </cell>
        </row>
        <row r="81">
          <cell r="A81">
            <v>1024</v>
          </cell>
          <cell r="B81" t="str">
            <v>命运石</v>
          </cell>
          <cell r="C81">
            <v>83302</v>
          </cell>
          <cell r="D81">
            <v>40000</v>
          </cell>
          <cell r="E81">
            <v>0</v>
          </cell>
          <cell r="F81">
            <v>0</v>
          </cell>
        </row>
        <row r="82">
          <cell r="A82">
            <v>1025</v>
          </cell>
          <cell r="B82">
            <v>0</v>
          </cell>
          <cell r="C82">
            <v>0</v>
          </cell>
          <cell r="D82">
            <v>0</v>
          </cell>
          <cell r="E82">
            <v>25000</v>
          </cell>
          <cell r="F82">
            <v>0</v>
          </cell>
        </row>
        <row r="83">
          <cell r="A83">
            <v>1026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100</v>
          </cell>
        </row>
        <row r="84">
          <cell r="A84">
            <v>1027</v>
          </cell>
          <cell r="B84" t="str">
            <v>马仔碎片(山下忠秀)</v>
          </cell>
          <cell r="C84">
            <v>78112</v>
          </cell>
          <cell r="D84">
            <v>10</v>
          </cell>
          <cell r="E84">
            <v>0</v>
          </cell>
          <cell r="F84">
            <v>0</v>
          </cell>
        </row>
        <row r="85">
          <cell r="A85">
            <v>1028</v>
          </cell>
          <cell r="B85" t="str">
            <v>马仔经验甘露</v>
          </cell>
          <cell r="C85">
            <v>91300</v>
          </cell>
          <cell r="D85">
            <v>10</v>
          </cell>
          <cell r="E85">
            <v>0</v>
          </cell>
          <cell r="F85">
            <v>0</v>
          </cell>
        </row>
        <row r="86">
          <cell r="A86">
            <v>1101</v>
          </cell>
          <cell r="B86">
            <v>0</v>
          </cell>
          <cell r="C86">
            <v>0</v>
          </cell>
          <cell r="D86">
            <v>0</v>
          </cell>
          <cell r="E86">
            <v>5000</v>
          </cell>
          <cell r="F86">
            <v>0</v>
          </cell>
        </row>
        <row r="87">
          <cell r="A87">
            <v>1102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20</v>
          </cell>
        </row>
        <row r="88">
          <cell r="A88">
            <v>1103</v>
          </cell>
          <cell r="B88" t="str">
            <v>马仔碎片(肥仔)</v>
          </cell>
          <cell r="C88">
            <v>78108</v>
          </cell>
          <cell r="D88">
            <v>4</v>
          </cell>
          <cell r="E88">
            <v>0</v>
          </cell>
          <cell r="F88">
            <v>0</v>
          </cell>
        </row>
        <row r="89">
          <cell r="A89">
            <v>1104</v>
          </cell>
          <cell r="B89" t="str">
            <v>马仔经验甘露</v>
          </cell>
          <cell r="C89">
            <v>91300</v>
          </cell>
          <cell r="D89">
            <v>2</v>
          </cell>
          <cell r="E89">
            <v>0</v>
          </cell>
          <cell r="F89">
            <v>0</v>
          </cell>
        </row>
        <row r="90">
          <cell r="A90">
            <v>1105</v>
          </cell>
          <cell r="B90" t="str">
            <v>龙魂币</v>
          </cell>
          <cell r="C90">
            <v>83301</v>
          </cell>
          <cell r="D90">
            <v>1000</v>
          </cell>
          <cell r="E90">
            <v>0</v>
          </cell>
          <cell r="F90">
            <v>0</v>
          </cell>
        </row>
        <row r="91">
          <cell r="A91">
            <v>1106</v>
          </cell>
          <cell r="B91" t="str">
            <v>命运石</v>
          </cell>
          <cell r="C91">
            <v>83302</v>
          </cell>
          <cell r="D91">
            <v>10000</v>
          </cell>
          <cell r="E91">
            <v>0</v>
          </cell>
          <cell r="F91">
            <v>0</v>
          </cell>
        </row>
        <row r="92">
          <cell r="A92">
            <v>1107</v>
          </cell>
          <cell r="B92">
            <v>0</v>
          </cell>
          <cell r="C92">
            <v>0</v>
          </cell>
          <cell r="D92">
            <v>0</v>
          </cell>
          <cell r="E92">
            <v>10000</v>
          </cell>
          <cell r="F92">
            <v>0</v>
          </cell>
        </row>
        <row r="93">
          <cell r="A93">
            <v>1108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40</v>
          </cell>
        </row>
        <row r="94">
          <cell r="A94">
            <v>1109</v>
          </cell>
          <cell r="B94" t="str">
            <v>马仔碎片(肥仔)</v>
          </cell>
          <cell r="C94">
            <v>78108</v>
          </cell>
          <cell r="D94">
            <v>8</v>
          </cell>
          <cell r="E94">
            <v>0</v>
          </cell>
          <cell r="F94">
            <v>0</v>
          </cell>
        </row>
        <row r="95">
          <cell r="A95">
            <v>1110</v>
          </cell>
          <cell r="B95" t="str">
            <v>马仔经验甘露</v>
          </cell>
          <cell r="C95">
            <v>91300</v>
          </cell>
          <cell r="D95">
            <v>4</v>
          </cell>
          <cell r="E95">
            <v>0</v>
          </cell>
          <cell r="F95">
            <v>0</v>
          </cell>
        </row>
        <row r="96">
          <cell r="A96">
            <v>1111</v>
          </cell>
          <cell r="B96" t="str">
            <v>龙魂币</v>
          </cell>
          <cell r="C96">
            <v>83301</v>
          </cell>
          <cell r="D96">
            <v>1500</v>
          </cell>
          <cell r="E96">
            <v>0</v>
          </cell>
          <cell r="F96">
            <v>0</v>
          </cell>
        </row>
        <row r="97">
          <cell r="A97">
            <v>1112</v>
          </cell>
          <cell r="B97" t="str">
            <v>命运石</v>
          </cell>
          <cell r="C97">
            <v>83302</v>
          </cell>
          <cell r="D97">
            <v>20000</v>
          </cell>
          <cell r="E97">
            <v>0</v>
          </cell>
          <cell r="F97">
            <v>0</v>
          </cell>
        </row>
        <row r="98">
          <cell r="A98">
            <v>1113</v>
          </cell>
          <cell r="B98">
            <v>0</v>
          </cell>
          <cell r="C98">
            <v>0</v>
          </cell>
          <cell r="D98">
            <v>0</v>
          </cell>
          <cell r="E98">
            <v>15000</v>
          </cell>
          <cell r="F98">
            <v>0</v>
          </cell>
        </row>
        <row r="99">
          <cell r="A99">
            <v>1114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60</v>
          </cell>
        </row>
        <row r="100">
          <cell r="A100">
            <v>1115</v>
          </cell>
          <cell r="B100" t="str">
            <v>马仔碎片(肥仔)</v>
          </cell>
          <cell r="C100">
            <v>78108</v>
          </cell>
          <cell r="D100">
            <v>12</v>
          </cell>
          <cell r="E100">
            <v>0</v>
          </cell>
          <cell r="F100">
            <v>0</v>
          </cell>
        </row>
        <row r="101">
          <cell r="A101">
            <v>1116</v>
          </cell>
          <cell r="B101" t="str">
            <v>马仔经验甘露</v>
          </cell>
          <cell r="C101">
            <v>91300</v>
          </cell>
          <cell r="D101">
            <v>6</v>
          </cell>
          <cell r="E101">
            <v>0</v>
          </cell>
          <cell r="F101">
            <v>0</v>
          </cell>
        </row>
        <row r="102">
          <cell r="A102">
            <v>1117</v>
          </cell>
          <cell r="B102" t="str">
            <v>龙魂币</v>
          </cell>
          <cell r="C102">
            <v>83301</v>
          </cell>
          <cell r="D102">
            <v>2000</v>
          </cell>
          <cell r="E102">
            <v>0</v>
          </cell>
          <cell r="F102">
            <v>0</v>
          </cell>
        </row>
        <row r="103">
          <cell r="A103">
            <v>1118</v>
          </cell>
          <cell r="B103" t="str">
            <v>命运石</v>
          </cell>
          <cell r="C103">
            <v>83302</v>
          </cell>
          <cell r="D103">
            <v>30000</v>
          </cell>
          <cell r="E103">
            <v>0</v>
          </cell>
          <cell r="F103">
            <v>0</v>
          </cell>
        </row>
        <row r="104">
          <cell r="A104">
            <v>1119</v>
          </cell>
          <cell r="B104">
            <v>0</v>
          </cell>
          <cell r="C104">
            <v>0</v>
          </cell>
          <cell r="D104">
            <v>0</v>
          </cell>
          <cell r="E104">
            <v>20000</v>
          </cell>
          <cell r="F104">
            <v>0</v>
          </cell>
        </row>
        <row r="105">
          <cell r="A105">
            <v>1120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80</v>
          </cell>
        </row>
        <row r="106">
          <cell r="A106">
            <v>1121</v>
          </cell>
          <cell r="B106" t="str">
            <v>马仔碎片(宫本一)</v>
          </cell>
          <cell r="C106">
            <v>78113</v>
          </cell>
          <cell r="D106">
            <v>5</v>
          </cell>
          <cell r="E106">
            <v>0</v>
          </cell>
          <cell r="F106">
            <v>0</v>
          </cell>
        </row>
        <row r="107">
          <cell r="A107">
            <v>1122</v>
          </cell>
          <cell r="B107" t="str">
            <v>马仔经验甘露</v>
          </cell>
          <cell r="C107">
            <v>91300</v>
          </cell>
          <cell r="D107">
            <v>8</v>
          </cell>
          <cell r="E107">
            <v>0</v>
          </cell>
          <cell r="F107">
            <v>0</v>
          </cell>
        </row>
        <row r="108">
          <cell r="A108">
            <v>1123</v>
          </cell>
          <cell r="B108" t="str">
            <v>龙魂币</v>
          </cell>
          <cell r="C108">
            <v>83301</v>
          </cell>
          <cell r="D108">
            <v>2500</v>
          </cell>
          <cell r="E108">
            <v>0</v>
          </cell>
          <cell r="F108">
            <v>0</v>
          </cell>
        </row>
        <row r="109">
          <cell r="A109">
            <v>1124</v>
          </cell>
          <cell r="B109" t="str">
            <v>命运石</v>
          </cell>
          <cell r="C109">
            <v>83302</v>
          </cell>
          <cell r="D109">
            <v>40000</v>
          </cell>
          <cell r="E109">
            <v>0</v>
          </cell>
          <cell r="F109">
            <v>0</v>
          </cell>
        </row>
        <row r="110">
          <cell r="A110">
            <v>1125</v>
          </cell>
          <cell r="B110">
            <v>0</v>
          </cell>
          <cell r="C110">
            <v>0</v>
          </cell>
          <cell r="D110">
            <v>0</v>
          </cell>
          <cell r="E110">
            <v>25000</v>
          </cell>
          <cell r="F110">
            <v>0</v>
          </cell>
        </row>
        <row r="111">
          <cell r="A111">
            <v>1126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100</v>
          </cell>
        </row>
        <row r="112">
          <cell r="A112">
            <v>1127</v>
          </cell>
          <cell r="B112" t="str">
            <v>马仔碎片(宫本一)</v>
          </cell>
          <cell r="C112">
            <v>78113</v>
          </cell>
          <cell r="D112">
            <v>10</v>
          </cell>
          <cell r="E112">
            <v>0</v>
          </cell>
          <cell r="F112">
            <v>0</v>
          </cell>
        </row>
        <row r="113">
          <cell r="A113">
            <v>1128</v>
          </cell>
          <cell r="B113" t="str">
            <v>马仔经验甘露</v>
          </cell>
          <cell r="C113">
            <v>91300</v>
          </cell>
          <cell r="D113">
            <v>10</v>
          </cell>
          <cell r="E113">
            <v>0</v>
          </cell>
          <cell r="F113">
            <v>0</v>
          </cell>
        </row>
        <row r="114">
          <cell r="A114">
            <v>1201</v>
          </cell>
          <cell r="B114">
            <v>0</v>
          </cell>
          <cell r="C114">
            <v>0</v>
          </cell>
          <cell r="D114">
            <v>0</v>
          </cell>
          <cell r="E114">
            <v>5000</v>
          </cell>
          <cell r="F114">
            <v>0</v>
          </cell>
        </row>
        <row r="115">
          <cell r="A115">
            <v>1202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20</v>
          </cell>
        </row>
        <row r="116">
          <cell r="A116">
            <v>1203</v>
          </cell>
          <cell r="B116" t="str">
            <v>马仔碎片(巴闭)</v>
          </cell>
          <cell r="C116">
            <v>78117</v>
          </cell>
          <cell r="D116">
            <v>4</v>
          </cell>
          <cell r="E116">
            <v>0</v>
          </cell>
          <cell r="F116">
            <v>0</v>
          </cell>
        </row>
        <row r="117">
          <cell r="A117">
            <v>1204</v>
          </cell>
          <cell r="B117" t="str">
            <v>马仔经验甘露</v>
          </cell>
          <cell r="C117">
            <v>91300</v>
          </cell>
          <cell r="D117">
            <v>2</v>
          </cell>
          <cell r="E117">
            <v>0</v>
          </cell>
          <cell r="F117">
            <v>0</v>
          </cell>
        </row>
        <row r="118">
          <cell r="A118">
            <v>1205</v>
          </cell>
          <cell r="B118" t="str">
            <v>龙魂币</v>
          </cell>
          <cell r="C118">
            <v>83301</v>
          </cell>
          <cell r="D118">
            <v>1000</v>
          </cell>
          <cell r="E118">
            <v>0</v>
          </cell>
          <cell r="F118">
            <v>0</v>
          </cell>
        </row>
        <row r="119">
          <cell r="A119">
            <v>1206</v>
          </cell>
          <cell r="B119" t="str">
            <v>命运石</v>
          </cell>
          <cell r="C119">
            <v>83302</v>
          </cell>
          <cell r="D119">
            <v>10000</v>
          </cell>
          <cell r="E119">
            <v>0</v>
          </cell>
          <cell r="F119">
            <v>0</v>
          </cell>
        </row>
        <row r="120">
          <cell r="A120">
            <v>1207</v>
          </cell>
          <cell r="B120">
            <v>0</v>
          </cell>
          <cell r="C120">
            <v>0</v>
          </cell>
          <cell r="D120">
            <v>0</v>
          </cell>
          <cell r="E120">
            <v>10000</v>
          </cell>
          <cell r="F120">
            <v>0</v>
          </cell>
        </row>
        <row r="121">
          <cell r="A121">
            <v>1208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40</v>
          </cell>
        </row>
        <row r="122">
          <cell r="A122">
            <v>1209</v>
          </cell>
          <cell r="B122" t="str">
            <v>马仔碎片(巴闭)</v>
          </cell>
          <cell r="C122">
            <v>78117</v>
          </cell>
          <cell r="D122">
            <v>8</v>
          </cell>
          <cell r="E122">
            <v>0</v>
          </cell>
          <cell r="F122">
            <v>0</v>
          </cell>
        </row>
        <row r="123">
          <cell r="A123">
            <v>1210</v>
          </cell>
          <cell r="B123" t="str">
            <v>马仔经验甘露</v>
          </cell>
          <cell r="C123">
            <v>91300</v>
          </cell>
          <cell r="D123">
            <v>4</v>
          </cell>
          <cell r="E123">
            <v>0</v>
          </cell>
          <cell r="F123">
            <v>0</v>
          </cell>
        </row>
        <row r="124">
          <cell r="A124">
            <v>1211</v>
          </cell>
          <cell r="B124" t="str">
            <v>龙魂币</v>
          </cell>
          <cell r="C124">
            <v>83301</v>
          </cell>
          <cell r="D124">
            <v>1500</v>
          </cell>
          <cell r="E124">
            <v>0</v>
          </cell>
          <cell r="F124">
            <v>0</v>
          </cell>
        </row>
        <row r="125">
          <cell r="A125">
            <v>1212</v>
          </cell>
          <cell r="B125" t="str">
            <v>命运石</v>
          </cell>
          <cell r="C125">
            <v>83302</v>
          </cell>
          <cell r="D125">
            <v>20000</v>
          </cell>
          <cell r="E125">
            <v>0</v>
          </cell>
          <cell r="F125">
            <v>0</v>
          </cell>
        </row>
        <row r="126">
          <cell r="A126">
            <v>1213</v>
          </cell>
          <cell r="B126">
            <v>0</v>
          </cell>
          <cell r="C126">
            <v>0</v>
          </cell>
          <cell r="D126">
            <v>0</v>
          </cell>
          <cell r="E126">
            <v>15000</v>
          </cell>
          <cell r="F126">
            <v>0</v>
          </cell>
        </row>
        <row r="127">
          <cell r="A127">
            <v>1214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60</v>
          </cell>
        </row>
        <row r="128">
          <cell r="A128">
            <v>1215</v>
          </cell>
          <cell r="B128" t="str">
            <v>马仔碎片(巴闭)</v>
          </cell>
          <cell r="C128">
            <v>78117</v>
          </cell>
          <cell r="D128">
            <v>12</v>
          </cell>
          <cell r="E128">
            <v>0</v>
          </cell>
          <cell r="F128">
            <v>0</v>
          </cell>
        </row>
        <row r="129">
          <cell r="A129">
            <v>1216</v>
          </cell>
          <cell r="B129" t="str">
            <v>马仔经验甘露</v>
          </cell>
          <cell r="C129">
            <v>91300</v>
          </cell>
          <cell r="D129">
            <v>6</v>
          </cell>
          <cell r="E129">
            <v>0</v>
          </cell>
          <cell r="F129">
            <v>0</v>
          </cell>
        </row>
        <row r="130">
          <cell r="A130">
            <v>1217</v>
          </cell>
          <cell r="B130" t="str">
            <v>龙魂币</v>
          </cell>
          <cell r="C130">
            <v>83301</v>
          </cell>
          <cell r="D130">
            <v>2000</v>
          </cell>
          <cell r="E130">
            <v>0</v>
          </cell>
          <cell r="F130">
            <v>0</v>
          </cell>
        </row>
        <row r="131">
          <cell r="A131">
            <v>1218</v>
          </cell>
          <cell r="B131" t="str">
            <v>命运石</v>
          </cell>
          <cell r="C131">
            <v>83302</v>
          </cell>
          <cell r="D131">
            <v>30000</v>
          </cell>
          <cell r="E131">
            <v>0</v>
          </cell>
          <cell r="F131">
            <v>0</v>
          </cell>
        </row>
        <row r="132">
          <cell r="A132">
            <v>1219</v>
          </cell>
          <cell r="B132">
            <v>0</v>
          </cell>
          <cell r="C132">
            <v>0</v>
          </cell>
          <cell r="D132">
            <v>0</v>
          </cell>
          <cell r="E132">
            <v>20000</v>
          </cell>
          <cell r="F132">
            <v>0</v>
          </cell>
        </row>
        <row r="133">
          <cell r="A133">
            <v>1220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80</v>
          </cell>
        </row>
        <row r="134">
          <cell r="A134">
            <v>1221</v>
          </cell>
          <cell r="B134" t="str">
            <v>马仔碎片(乌鸦)</v>
          </cell>
          <cell r="C134">
            <v>78110</v>
          </cell>
          <cell r="D134">
            <v>5</v>
          </cell>
          <cell r="E134">
            <v>0</v>
          </cell>
          <cell r="F134">
            <v>0</v>
          </cell>
        </row>
        <row r="135">
          <cell r="A135">
            <v>1222</v>
          </cell>
          <cell r="B135" t="str">
            <v>马仔经验甘露</v>
          </cell>
          <cell r="C135">
            <v>91300</v>
          </cell>
          <cell r="D135">
            <v>8</v>
          </cell>
          <cell r="E135">
            <v>0</v>
          </cell>
          <cell r="F135">
            <v>0</v>
          </cell>
        </row>
        <row r="136">
          <cell r="A136">
            <v>1223</v>
          </cell>
          <cell r="B136" t="str">
            <v>龙魂币</v>
          </cell>
          <cell r="C136">
            <v>83301</v>
          </cell>
          <cell r="D136">
            <v>2500</v>
          </cell>
          <cell r="E136">
            <v>0</v>
          </cell>
          <cell r="F136">
            <v>0</v>
          </cell>
        </row>
        <row r="137">
          <cell r="A137">
            <v>1224</v>
          </cell>
          <cell r="B137" t="str">
            <v>命运石</v>
          </cell>
          <cell r="C137">
            <v>83302</v>
          </cell>
          <cell r="D137">
            <v>40000</v>
          </cell>
          <cell r="E137">
            <v>0</v>
          </cell>
          <cell r="F137">
            <v>0</v>
          </cell>
        </row>
        <row r="138">
          <cell r="A138">
            <v>1225</v>
          </cell>
          <cell r="B138">
            <v>0</v>
          </cell>
          <cell r="C138">
            <v>0</v>
          </cell>
          <cell r="D138">
            <v>0</v>
          </cell>
          <cell r="E138">
            <v>25000</v>
          </cell>
          <cell r="F138">
            <v>0</v>
          </cell>
        </row>
        <row r="139">
          <cell r="A139">
            <v>1226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100</v>
          </cell>
        </row>
        <row r="140">
          <cell r="A140">
            <v>1227</v>
          </cell>
          <cell r="B140" t="str">
            <v>马仔碎片(乌鸦)</v>
          </cell>
          <cell r="C140">
            <v>78110</v>
          </cell>
          <cell r="D140">
            <v>10</v>
          </cell>
          <cell r="E140">
            <v>0</v>
          </cell>
          <cell r="F140">
            <v>0</v>
          </cell>
        </row>
        <row r="141">
          <cell r="A141">
            <v>1228</v>
          </cell>
          <cell r="B141" t="str">
            <v>马仔经验甘露</v>
          </cell>
          <cell r="C141">
            <v>91300</v>
          </cell>
          <cell r="D141">
            <v>10</v>
          </cell>
          <cell r="E141">
            <v>0</v>
          </cell>
          <cell r="F141">
            <v>0</v>
          </cell>
        </row>
        <row r="142">
          <cell r="A142">
            <v>101</v>
          </cell>
          <cell r="B142">
            <v>0</v>
          </cell>
          <cell r="C142">
            <v>0</v>
          </cell>
          <cell r="D142">
            <v>0</v>
          </cell>
          <cell r="E142">
            <v>5000</v>
          </cell>
          <cell r="F142">
            <v>0</v>
          </cell>
        </row>
        <row r="143">
          <cell r="A143">
            <v>102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20</v>
          </cell>
        </row>
        <row r="144">
          <cell r="A144">
            <v>103</v>
          </cell>
          <cell r="B144" t="str">
            <v>马仔碎片(靓坤)</v>
          </cell>
          <cell r="C144">
            <v>78106</v>
          </cell>
          <cell r="D144">
            <v>4</v>
          </cell>
          <cell r="E144">
            <v>0</v>
          </cell>
          <cell r="F144">
            <v>0</v>
          </cell>
        </row>
        <row r="145">
          <cell r="A145">
            <v>104</v>
          </cell>
          <cell r="B145" t="str">
            <v>马仔经验甘露</v>
          </cell>
          <cell r="C145">
            <v>91300</v>
          </cell>
          <cell r="D145">
            <v>2</v>
          </cell>
          <cell r="E145">
            <v>0</v>
          </cell>
          <cell r="F145">
            <v>0</v>
          </cell>
        </row>
        <row r="146">
          <cell r="A146">
            <v>105</v>
          </cell>
          <cell r="B146" t="str">
            <v>龙魂币</v>
          </cell>
          <cell r="C146">
            <v>83301</v>
          </cell>
          <cell r="D146">
            <v>1000</v>
          </cell>
          <cell r="E146">
            <v>0</v>
          </cell>
          <cell r="F146">
            <v>0</v>
          </cell>
        </row>
        <row r="147">
          <cell r="A147">
            <v>106</v>
          </cell>
          <cell r="B147" t="str">
            <v>命运石</v>
          </cell>
          <cell r="C147">
            <v>83302</v>
          </cell>
          <cell r="D147">
            <v>10000</v>
          </cell>
          <cell r="E147">
            <v>0</v>
          </cell>
          <cell r="F147">
            <v>0</v>
          </cell>
        </row>
        <row r="148">
          <cell r="A148">
            <v>107</v>
          </cell>
          <cell r="B148">
            <v>0</v>
          </cell>
          <cell r="C148">
            <v>0</v>
          </cell>
          <cell r="D148">
            <v>0</v>
          </cell>
          <cell r="E148">
            <v>10000</v>
          </cell>
          <cell r="F148">
            <v>0</v>
          </cell>
        </row>
        <row r="149">
          <cell r="A149">
            <v>108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40</v>
          </cell>
        </row>
        <row r="150">
          <cell r="A150">
            <v>109</v>
          </cell>
          <cell r="B150" t="str">
            <v>马仔碎片(靓坤)</v>
          </cell>
          <cell r="C150">
            <v>78106</v>
          </cell>
          <cell r="D150">
            <v>8</v>
          </cell>
          <cell r="E150">
            <v>0</v>
          </cell>
          <cell r="F150">
            <v>0</v>
          </cell>
        </row>
        <row r="151">
          <cell r="A151">
            <v>110</v>
          </cell>
          <cell r="B151" t="str">
            <v>马仔经验甘露</v>
          </cell>
          <cell r="C151">
            <v>91300</v>
          </cell>
          <cell r="D151">
            <v>4</v>
          </cell>
          <cell r="E151">
            <v>0</v>
          </cell>
          <cell r="F151">
            <v>0</v>
          </cell>
        </row>
        <row r="152">
          <cell r="A152">
            <v>111</v>
          </cell>
          <cell r="B152" t="str">
            <v>龙魂币</v>
          </cell>
          <cell r="C152">
            <v>83301</v>
          </cell>
          <cell r="D152">
            <v>1500</v>
          </cell>
          <cell r="E152">
            <v>0</v>
          </cell>
          <cell r="F152">
            <v>0</v>
          </cell>
        </row>
        <row r="153">
          <cell r="A153">
            <v>112</v>
          </cell>
          <cell r="B153" t="str">
            <v>命运石</v>
          </cell>
          <cell r="C153">
            <v>83302</v>
          </cell>
          <cell r="D153">
            <v>20000</v>
          </cell>
          <cell r="E153">
            <v>0</v>
          </cell>
          <cell r="F153">
            <v>0</v>
          </cell>
        </row>
        <row r="154">
          <cell r="A154">
            <v>113</v>
          </cell>
          <cell r="B154">
            <v>0</v>
          </cell>
          <cell r="C154">
            <v>0</v>
          </cell>
          <cell r="D154">
            <v>0</v>
          </cell>
          <cell r="E154">
            <v>15000</v>
          </cell>
          <cell r="F154">
            <v>0</v>
          </cell>
        </row>
        <row r="155">
          <cell r="A155">
            <v>114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60</v>
          </cell>
        </row>
        <row r="156">
          <cell r="A156">
            <v>115</v>
          </cell>
          <cell r="B156" t="str">
            <v>马仔碎片(靓坤)</v>
          </cell>
          <cell r="C156">
            <v>78106</v>
          </cell>
          <cell r="D156">
            <v>12</v>
          </cell>
          <cell r="E156">
            <v>0</v>
          </cell>
          <cell r="F156">
            <v>0</v>
          </cell>
        </row>
        <row r="157">
          <cell r="A157">
            <v>116</v>
          </cell>
          <cell r="B157" t="str">
            <v>马仔经验甘露</v>
          </cell>
          <cell r="C157">
            <v>91300</v>
          </cell>
          <cell r="D157">
            <v>6</v>
          </cell>
          <cell r="E157">
            <v>0</v>
          </cell>
          <cell r="F157">
            <v>0</v>
          </cell>
        </row>
        <row r="158">
          <cell r="A158">
            <v>117</v>
          </cell>
          <cell r="B158" t="str">
            <v>龙魂币</v>
          </cell>
          <cell r="C158">
            <v>83301</v>
          </cell>
          <cell r="D158">
            <v>2000</v>
          </cell>
          <cell r="E158">
            <v>0</v>
          </cell>
          <cell r="F158">
            <v>0</v>
          </cell>
        </row>
        <row r="159">
          <cell r="A159">
            <v>118</v>
          </cell>
          <cell r="B159" t="str">
            <v>命运石</v>
          </cell>
          <cell r="C159">
            <v>83302</v>
          </cell>
          <cell r="D159">
            <v>30000</v>
          </cell>
          <cell r="E159">
            <v>0</v>
          </cell>
          <cell r="F159">
            <v>0</v>
          </cell>
        </row>
        <row r="160">
          <cell r="A160">
            <v>119</v>
          </cell>
          <cell r="B160">
            <v>0</v>
          </cell>
          <cell r="C160">
            <v>0</v>
          </cell>
          <cell r="D160">
            <v>0</v>
          </cell>
          <cell r="E160">
            <v>20000</v>
          </cell>
          <cell r="F160">
            <v>0</v>
          </cell>
        </row>
        <row r="161">
          <cell r="A161">
            <v>120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80</v>
          </cell>
        </row>
        <row r="162">
          <cell r="A162">
            <v>121</v>
          </cell>
          <cell r="B162" t="str">
            <v>马仔碎片(赌王)</v>
          </cell>
          <cell r="C162">
            <v>78111</v>
          </cell>
          <cell r="D162">
            <v>5</v>
          </cell>
          <cell r="E162">
            <v>0</v>
          </cell>
          <cell r="F162">
            <v>0</v>
          </cell>
        </row>
        <row r="163">
          <cell r="A163">
            <v>122</v>
          </cell>
          <cell r="B163" t="str">
            <v>马仔经验甘露</v>
          </cell>
          <cell r="C163">
            <v>91300</v>
          </cell>
          <cell r="D163">
            <v>8</v>
          </cell>
          <cell r="E163">
            <v>0</v>
          </cell>
          <cell r="F163">
            <v>0</v>
          </cell>
        </row>
        <row r="164">
          <cell r="A164">
            <v>123</v>
          </cell>
          <cell r="B164" t="str">
            <v>龙魂币</v>
          </cell>
          <cell r="C164">
            <v>83301</v>
          </cell>
          <cell r="D164">
            <v>2500</v>
          </cell>
          <cell r="E164">
            <v>0</v>
          </cell>
          <cell r="F164">
            <v>0</v>
          </cell>
        </row>
        <row r="165">
          <cell r="A165">
            <v>124</v>
          </cell>
          <cell r="B165" t="str">
            <v>命运石</v>
          </cell>
          <cell r="C165">
            <v>83302</v>
          </cell>
          <cell r="D165">
            <v>40000</v>
          </cell>
          <cell r="E165">
            <v>0</v>
          </cell>
          <cell r="F165">
            <v>0</v>
          </cell>
        </row>
        <row r="166">
          <cell r="A166">
            <v>125</v>
          </cell>
          <cell r="B166">
            <v>0</v>
          </cell>
          <cell r="C166">
            <v>0</v>
          </cell>
          <cell r="D166">
            <v>0</v>
          </cell>
          <cell r="E166">
            <v>25000</v>
          </cell>
          <cell r="F166">
            <v>0</v>
          </cell>
        </row>
        <row r="167">
          <cell r="A167">
            <v>126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100</v>
          </cell>
        </row>
        <row r="168">
          <cell r="A168">
            <v>127</v>
          </cell>
          <cell r="B168" t="str">
            <v>马仔碎片(赌王)</v>
          </cell>
          <cell r="C168">
            <v>78111</v>
          </cell>
          <cell r="D168">
            <v>10</v>
          </cell>
          <cell r="E168">
            <v>0</v>
          </cell>
          <cell r="F168">
            <v>0</v>
          </cell>
        </row>
        <row r="169">
          <cell r="A169">
            <v>128</v>
          </cell>
          <cell r="B169" t="str">
            <v>马仔经验甘露</v>
          </cell>
          <cell r="C169">
            <v>91300</v>
          </cell>
          <cell r="D169">
            <v>10</v>
          </cell>
          <cell r="E169">
            <v>0</v>
          </cell>
          <cell r="F169">
            <v>0</v>
          </cell>
        </row>
        <row r="170">
          <cell r="A170">
            <v>201</v>
          </cell>
          <cell r="B170">
            <v>0</v>
          </cell>
          <cell r="C170">
            <v>0</v>
          </cell>
          <cell r="D170">
            <v>0</v>
          </cell>
          <cell r="E170">
            <v>5000</v>
          </cell>
          <cell r="F170">
            <v>0</v>
          </cell>
        </row>
        <row r="171">
          <cell r="A171">
            <v>202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20</v>
          </cell>
        </row>
        <row r="172">
          <cell r="A172">
            <v>203</v>
          </cell>
          <cell r="B172" t="str">
            <v>马仔碎片(雷复轰)</v>
          </cell>
          <cell r="C172">
            <v>78107</v>
          </cell>
          <cell r="D172">
            <v>4</v>
          </cell>
          <cell r="E172">
            <v>0</v>
          </cell>
          <cell r="F172">
            <v>0</v>
          </cell>
        </row>
        <row r="173">
          <cell r="A173">
            <v>204</v>
          </cell>
          <cell r="B173" t="str">
            <v>马仔经验甘露</v>
          </cell>
          <cell r="C173">
            <v>91300</v>
          </cell>
          <cell r="D173">
            <v>2</v>
          </cell>
          <cell r="E173">
            <v>0</v>
          </cell>
          <cell r="F173">
            <v>0</v>
          </cell>
        </row>
        <row r="174">
          <cell r="A174">
            <v>205</v>
          </cell>
          <cell r="B174" t="str">
            <v>龙魂币</v>
          </cell>
          <cell r="C174">
            <v>83301</v>
          </cell>
          <cell r="D174">
            <v>1000</v>
          </cell>
          <cell r="E174">
            <v>0</v>
          </cell>
          <cell r="F174">
            <v>0</v>
          </cell>
        </row>
        <row r="175">
          <cell r="A175">
            <v>206</v>
          </cell>
          <cell r="B175" t="str">
            <v>命运石</v>
          </cell>
          <cell r="C175">
            <v>83302</v>
          </cell>
          <cell r="D175">
            <v>10000</v>
          </cell>
          <cell r="E175">
            <v>0</v>
          </cell>
          <cell r="F175">
            <v>0</v>
          </cell>
        </row>
        <row r="176">
          <cell r="A176">
            <v>207</v>
          </cell>
          <cell r="B176">
            <v>0</v>
          </cell>
          <cell r="C176">
            <v>0</v>
          </cell>
          <cell r="D176">
            <v>0</v>
          </cell>
          <cell r="E176">
            <v>10000</v>
          </cell>
          <cell r="F176">
            <v>0</v>
          </cell>
        </row>
        <row r="177">
          <cell r="A177">
            <v>208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40</v>
          </cell>
        </row>
        <row r="178">
          <cell r="A178">
            <v>209</v>
          </cell>
          <cell r="B178" t="str">
            <v>马仔碎片(雷复轰)</v>
          </cell>
          <cell r="C178">
            <v>78107</v>
          </cell>
          <cell r="D178">
            <v>8</v>
          </cell>
          <cell r="E178">
            <v>0</v>
          </cell>
          <cell r="F178">
            <v>0</v>
          </cell>
        </row>
        <row r="179">
          <cell r="A179">
            <v>210</v>
          </cell>
          <cell r="B179" t="str">
            <v>马仔经验甘露</v>
          </cell>
          <cell r="C179">
            <v>91300</v>
          </cell>
          <cell r="D179">
            <v>4</v>
          </cell>
          <cell r="E179">
            <v>0</v>
          </cell>
          <cell r="F179">
            <v>0</v>
          </cell>
        </row>
        <row r="180">
          <cell r="A180">
            <v>211</v>
          </cell>
          <cell r="B180" t="str">
            <v>龙魂币</v>
          </cell>
          <cell r="C180">
            <v>83301</v>
          </cell>
          <cell r="D180">
            <v>1500</v>
          </cell>
          <cell r="E180">
            <v>0</v>
          </cell>
          <cell r="F180">
            <v>0</v>
          </cell>
        </row>
        <row r="181">
          <cell r="A181">
            <v>212</v>
          </cell>
          <cell r="B181" t="str">
            <v>命运石</v>
          </cell>
          <cell r="C181">
            <v>83302</v>
          </cell>
          <cell r="D181">
            <v>20000</v>
          </cell>
          <cell r="E181">
            <v>0</v>
          </cell>
          <cell r="F181">
            <v>0</v>
          </cell>
        </row>
        <row r="182">
          <cell r="A182">
            <v>213</v>
          </cell>
          <cell r="B182">
            <v>0</v>
          </cell>
          <cell r="C182">
            <v>0</v>
          </cell>
          <cell r="D182">
            <v>0</v>
          </cell>
          <cell r="E182">
            <v>15000</v>
          </cell>
          <cell r="F182">
            <v>0</v>
          </cell>
        </row>
        <row r="183">
          <cell r="A183">
            <v>214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60</v>
          </cell>
        </row>
        <row r="184">
          <cell r="A184">
            <v>215</v>
          </cell>
          <cell r="B184" t="str">
            <v>马仔碎片(雷复轰)</v>
          </cell>
          <cell r="C184">
            <v>78107</v>
          </cell>
          <cell r="D184">
            <v>12</v>
          </cell>
          <cell r="E184">
            <v>0</v>
          </cell>
          <cell r="F184">
            <v>0</v>
          </cell>
        </row>
        <row r="185">
          <cell r="A185">
            <v>216</v>
          </cell>
          <cell r="B185" t="str">
            <v>马仔经验甘露</v>
          </cell>
          <cell r="C185">
            <v>91300</v>
          </cell>
          <cell r="D185">
            <v>6</v>
          </cell>
          <cell r="E185">
            <v>0</v>
          </cell>
          <cell r="F185">
            <v>0</v>
          </cell>
        </row>
        <row r="186">
          <cell r="A186">
            <v>217</v>
          </cell>
          <cell r="B186" t="str">
            <v>龙魂币</v>
          </cell>
          <cell r="C186">
            <v>83301</v>
          </cell>
          <cell r="D186">
            <v>2000</v>
          </cell>
          <cell r="E186">
            <v>0</v>
          </cell>
          <cell r="F186">
            <v>0</v>
          </cell>
        </row>
        <row r="187">
          <cell r="A187">
            <v>218</v>
          </cell>
          <cell r="B187" t="str">
            <v>命运石</v>
          </cell>
          <cell r="C187">
            <v>83302</v>
          </cell>
          <cell r="D187">
            <v>30000</v>
          </cell>
          <cell r="E187">
            <v>0</v>
          </cell>
          <cell r="F187">
            <v>0</v>
          </cell>
        </row>
        <row r="188">
          <cell r="A188">
            <v>219</v>
          </cell>
          <cell r="B188">
            <v>0</v>
          </cell>
          <cell r="C188">
            <v>0</v>
          </cell>
          <cell r="D188">
            <v>0</v>
          </cell>
          <cell r="E188">
            <v>20000</v>
          </cell>
          <cell r="F188">
            <v>0</v>
          </cell>
        </row>
        <row r="189">
          <cell r="A189">
            <v>220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80</v>
          </cell>
        </row>
        <row r="190">
          <cell r="A190">
            <v>221</v>
          </cell>
          <cell r="B190" t="str">
            <v>马仔碎片(山下忠秀)</v>
          </cell>
          <cell r="C190">
            <v>78112</v>
          </cell>
          <cell r="D190">
            <v>5</v>
          </cell>
          <cell r="E190">
            <v>0</v>
          </cell>
          <cell r="F190">
            <v>0</v>
          </cell>
        </row>
        <row r="191">
          <cell r="A191">
            <v>222</v>
          </cell>
          <cell r="B191" t="str">
            <v>马仔经验甘露</v>
          </cell>
          <cell r="C191">
            <v>91300</v>
          </cell>
          <cell r="D191">
            <v>8</v>
          </cell>
          <cell r="E191">
            <v>0</v>
          </cell>
          <cell r="F191">
            <v>0</v>
          </cell>
        </row>
        <row r="192">
          <cell r="A192">
            <v>223</v>
          </cell>
          <cell r="B192" t="str">
            <v>龙魂币</v>
          </cell>
          <cell r="C192">
            <v>83301</v>
          </cell>
          <cell r="D192">
            <v>2500</v>
          </cell>
          <cell r="E192">
            <v>0</v>
          </cell>
          <cell r="F192">
            <v>0</v>
          </cell>
        </row>
        <row r="193">
          <cell r="A193">
            <v>224</v>
          </cell>
          <cell r="B193" t="str">
            <v>命运石</v>
          </cell>
          <cell r="C193">
            <v>83302</v>
          </cell>
          <cell r="D193">
            <v>40000</v>
          </cell>
          <cell r="E193">
            <v>0</v>
          </cell>
          <cell r="F193">
            <v>0</v>
          </cell>
        </row>
        <row r="194">
          <cell r="A194">
            <v>225</v>
          </cell>
          <cell r="B194">
            <v>0</v>
          </cell>
          <cell r="C194">
            <v>0</v>
          </cell>
          <cell r="D194">
            <v>0</v>
          </cell>
          <cell r="E194">
            <v>25000</v>
          </cell>
          <cell r="F194">
            <v>0</v>
          </cell>
        </row>
        <row r="195">
          <cell r="A195">
            <v>226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100</v>
          </cell>
        </row>
        <row r="196">
          <cell r="A196">
            <v>227</v>
          </cell>
          <cell r="B196" t="str">
            <v>马仔碎片(山下忠秀)</v>
          </cell>
          <cell r="C196">
            <v>78112</v>
          </cell>
          <cell r="D196">
            <v>10</v>
          </cell>
          <cell r="E196">
            <v>0</v>
          </cell>
          <cell r="F196">
            <v>0</v>
          </cell>
        </row>
        <row r="197">
          <cell r="A197">
            <v>228</v>
          </cell>
          <cell r="B197" t="str">
            <v>马仔经验甘露</v>
          </cell>
          <cell r="C197">
            <v>91300</v>
          </cell>
          <cell r="D197">
            <v>10</v>
          </cell>
          <cell r="E197">
            <v>0</v>
          </cell>
          <cell r="F197">
            <v>0</v>
          </cell>
        </row>
        <row r="198">
          <cell r="A198">
            <v>301</v>
          </cell>
          <cell r="B198">
            <v>0</v>
          </cell>
          <cell r="C198">
            <v>0</v>
          </cell>
          <cell r="D198">
            <v>0</v>
          </cell>
          <cell r="E198">
            <v>5000</v>
          </cell>
          <cell r="F198">
            <v>0</v>
          </cell>
        </row>
        <row r="199">
          <cell r="A199">
            <v>302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20</v>
          </cell>
        </row>
        <row r="200">
          <cell r="A200">
            <v>303</v>
          </cell>
          <cell r="B200" t="str">
            <v>马仔碎片(肥仔)</v>
          </cell>
          <cell r="C200">
            <v>78108</v>
          </cell>
          <cell r="D200">
            <v>4</v>
          </cell>
          <cell r="E200">
            <v>0</v>
          </cell>
          <cell r="F200">
            <v>0</v>
          </cell>
        </row>
        <row r="201">
          <cell r="A201">
            <v>304</v>
          </cell>
          <cell r="B201" t="str">
            <v>马仔经验甘露</v>
          </cell>
          <cell r="C201">
            <v>91300</v>
          </cell>
          <cell r="D201">
            <v>2</v>
          </cell>
          <cell r="E201">
            <v>0</v>
          </cell>
          <cell r="F201">
            <v>0</v>
          </cell>
        </row>
        <row r="202">
          <cell r="A202">
            <v>305</v>
          </cell>
          <cell r="B202" t="str">
            <v>龙魂币</v>
          </cell>
          <cell r="C202">
            <v>83301</v>
          </cell>
          <cell r="D202">
            <v>1000</v>
          </cell>
          <cell r="E202">
            <v>0</v>
          </cell>
          <cell r="F202">
            <v>0</v>
          </cell>
        </row>
        <row r="203">
          <cell r="A203">
            <v>306</v>
          </cell>
          <cell r="B203" t="str">
            <v>命运石</v>
          </cell>
          <cell r="C203">
            <v>83302</v>
          </cell>
          <cell r="D203">
            <v>10000</v>
          </cell>
          <cell r="E203">
            <v>0</v>
          </cell>
          <cell r="F203">
            <v>0</v>
          </cell>
        </row>
        <row r="204">
          <cell r="A204">
            <v>307</v>
          </cell>
          <cell r="B204">
            <v>0</v>
          </cell>
          <cell r="C204">
            <v>0</v>
          </cell>
          <cell r="D204">
            <v>0</v>
          </cell>
          <cell r="E204">
            <v>10000</v>
          </cell>
          <cell r="F204">
            <v>0</v>
          </cell>
        </row>
        <row r="205">
          <cell r="A205">
            <v>308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40</v>
          </cell>
        </row>
        <row r="206">
          <cell r="A206">
            <v>309</v>
          </cell>
          <cell r="B206" t="str">
            <v>马仔碎片(肥仔)</v>
          </cell>
          <cell r="C206">
            <v>78108</v>
          </cell>
          <cell r="D206">
            <v>8</v>
          </cell>
          <cell r="E206">
            <v>0</v>
          </cell>
          <cell r="F206">
            <v>0</v>
          </cell>
        </row>
        <row r="207">
          <cell r="A207">
            <v>310</v>
          </cell>
          <cell r="B207" t="str">
            <v>马仔经验甘露</v>
          </cell>
          <cell r="C207">
            <v>91300</v>
          </cell>
          <cell r="D207">
            <v>4</v>
          </cell>
          <cell r="E207">
            <v>0</v>
          </cell>
          <cell r="F207">
            <v>0</v>
          </cell>
        </row>
        <row r="208">
          <cell r="A208">
            <v>311</v>
          </cell>
          <cell r="B208" t="str">
            <v>龙魂币</v>
          </cell>
          <cell r="C208">
            <v>83301</v>
          </cell>
          <cell r="D208">
            <v>1500</v>
          </cell>
          <cell r="E208">
            <v>0</v>
          </cell>
          <cell r="F208">
            <v>0</v>
          </cell>
        </row>
        <row r="209">
          <cell r="A209">
            <v>312</v>
          </cell>
          <cell r="B209" t="str">
            <v>命运石</v>
          </cell>
          <cell r="C209">
            <v>83302</v>
          </cell>
          <cell r="D209">
            <v>20000</v>
          </cell>
          <cell r="E209">
            <v>0</v>
          </cell>
          <cell r="F209">
            <v>0</v>
          </cell>
        </row>
        <row r="210">
          <cell r="A210">
            <v>313</v>
          </cell>
          <cell r="B210">
            <v>0</v>
          </cell>
          <cell r="C210">
            <v>0</v>
          </cell>
          <cell r="D210">
            <v>0</v>
          </cell>
          <cell r="E210">
            <v>15000</v>
          </cell>
          <cell r="F210">
            <v>0</v>
          </cell>
        </row>
        <row r="211">
          <cell r="A211">
            <v>314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60</v>
          </cell>
        </row>
        <row r="212">
          <cell r="A212">
            <v>315</v>
          </cell>
          <cell r="B212" t="str">
            <v>马仔碎片(肥仔)</v>
          </cell>
          <cell r="C212">
            <v>78108</v>
          </cell>
          <cell r="D212">
            <v>12</v>
          </cell>
          <cell r="E212">
            <v>0</v>
          </cell>
          <cell r="F212">
            <v>0</v>
          </cell>
        </row>
        <row r="213">
          <cell r="A213">
            <v>316</v>
          </cell>
          <cell r="B213" t="str">
            <v>马仔经验甘露</v>
          </cell>
          <cell r="C213">
            <v>91300</v>
          </cell>
          <cell r="D213">
            <v>6</v>
          </cell>
          <cell r="E213">
            <v>0</v>
          </cell>
          <cell r="F213">
            <v>0</v>
          </cell>
        </row>
        <row r="214">
          <cell r="A214">
            <v>317</v>
          </cell>
          <cell r="B214" t="str">
            <v>龙魂币</v>
          </cell>
          <cell r="C214">
            <v>83301</v>
          </cell>
          <cell r="D214">
            <v>2000</v>
          </cell>
          <cell r="E214">
            <v>0</v>
          </cell>
          <cell r="F214">
            <v>0</v>
          </cell>
        </row>
        <row r="215">
          <cell r="A215">
            <v>318</v>
          </cell>
          <cell r="B215" t="str">
            <v>命运石</v>
          </cell>
          <cell r="C215">
            <v>83302</v>
          </cell>
          <cell r="D215">
            <v>30000</v>
          </cell>
          <cell r="E215">
            <v>0</v>
          </cell>
          <cell r="F215">
            <v>0</v>
          </cell>
        </row>
        <row r="216">
          <cell r="A216">
            <v>319</v>
          </cell>
          <cell r="B216">
            <v>0</v>
          </cell>
          <cell r="C216">
            <v>0</v>
          </cell>
          <cell r="D216">
            <v>0</v>
          </cell>
          <cell r="E216">
            <v>20000</v>
          </cell>
          <cell r="F216">
            <v>0</v>
          </cell>
        </row>
        <row r="217">
          <cell r="A217">
            <v>320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80</v>
          </cell>
        </row>
        <row r="218">
          <cell r="A218">
            <v>321</v>
          </cell>
          <cell r="B218" t="str">
            <v>马仔碎片(宫本一)</v>
          </cell>
          <cell r="C218">
            <v>78113</v>
          </cell>
          <cell r="D218">
            <v>5</v>
          </cell>
          <cell r="E218">
            <v>0</v>
          </cell>
          <cell r="F218">
            <v>0</v>
          </cell>
        </row>
        <row r="219">
          <cell r="A219">
            <v>322</v>
          </cell>
          <cell r="B219" t="str">
            <v>马仔经验甘露</v>
          </cell>
          <cell r="C219">
            <v>91300</v>
          </cell>
          <cell r="D219">
            <v>8</v>
          </cell>
          <cell r="E219">
            <v>0</v>
          </cell>
          <cell r="F219">
            <v>0</v>
          </cell>
        </row>
        <row r="220">
          <cell r="A220">
            <v>323</v>
          </cell>
          <cell r="B220" t="str">
            <v>龙魂币</v>
          </cell>
          <cell r="C220">
            <v>83301</v>
          </cell>
          <cell r="D220">
            <v>2500</v>
          </cell>
          <cell r="E220">
            <v>0</v>
          </cell>
          <cell r="F220">
            <v>0</v>
          </cell>
        </row>
        <row r="221">
          <cell r="A221">
            <v>324</v>
          </cell>
          <cell r="B221" t="str">
            <v>命运石</v>
          </cell>
          <cell r="C221">
            <v>83302</v>
          </cell>
          <cell r="D221">
            <v>40000</v>
          </cell>
          <cell r="E221">
            <v>0</v>
          </cell>
          <cell r="F221">
            <v>0</v>
          </cell>
        </row>
        <row r="222">
          <cell r="A222">
            <v>325</v>
          </cell>
          <cell r="B222">
            <v>0</v>
          </cell>
          <cell r="C222">
            <v>0</v>
          </cell>
          <cell r="D222">
            <v>0</v>
          </cell>
          <cell r="E222">
            <v>25000</v>
          </cell>
          <cell r="F222">
            <v>0</v>
          </cell>
        </row>
        <row r="223">
          <cell r="A223">
            <v>326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100</v>
          </cell>
        </row>
        <row r="224">
          <cell r="A224">
            <v>327</v>
          </cell>
          <cell r="B224" t="str">
            <v>马仔碎片(宫本一)</v>
          </cell>
          <cell r="C224">
            <v>78113</v>
          </cell>
          <cell r="D224">
            <v>10</v>
          </cell>
          <cell r="E224">
            <v>0</v>
          </cell>
          <cell r="F224">
            <v>0</v>
          </cell>
        </row>
        <row r="225">
          <cell r="A225">
            <v>328</v>
          </cell>
          <cell r="B225" t="str">
            <v>马仔经验甘露</v>
          </cell>
          <cell r="C225">
            <v>91300</v>
          </cell>
          <cell r="D225">
            <v>10</v>
          </cell>
          <cell r="E225">
            <v>0</v>
          </cell>
          <cell r="F225">
            <v>0</v>
          </cell>
        </row>
        <row r="226">
          <cell r="A226">
            <v>401</v>
          </cell>
          <cell r="B226">
            <v>0</v>
          </cell>
          <cell r="C226">
            <v>0</v>
          </cell>
          <cell r="D226">
            <v>0</v>
          </cell>
          <cell r="E226">
            <v>5000</v>
          </cell>
          <cell r="F226">
            <v>0</v>
          </cell>
        </row>
        <row r="227">
          <cell r="A227">
            <v>402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20</v>
          </cell>
        </row>
        <row r="228">
          <cell r="A228">
            <v>403</v>
          </cell>
          <cell r="B228" t="str">
            <v>马仔碎片(巴闭)</v>
          </cell>
          <cell r="C228">
            <v>78117</v>
          </cell>
          <cell r="D228">
            <v>4</v>
          </cell>
          <cell r="E228">
            <v>0</v>
          </cell>
          <cell r="F228">
            <v>0</v>
          </cell>
        </row>
        <row r="229">
          <cell r="A229">
            <v>404</v>
          </cell>
          <cell r="B229" t="str">
            <v>马仔经验甘露</v>
          </cell>
          <cell r="C229">
            <v>91300</v>
          </cell>
          <cell r="D229">
            <v>2</v>
          </cell>
          <cell r="E229">
            <v>0</v>
          </cell>
          <cell r="F229">
            <v>0</v>
          </cell>
        </row>
        <row r="230">
          <cell r="A230">
            <v>405</v>
          </cell>
          <cell r="B230" t="str">
            <v>龙魂币</v>
          </cell>
          <cell r="C230">
            <v>83301</v>
          </cell>
          <cell r="D230">
            <v>1000</v>
          </cell>
          <cell r="E230">
            <v>0</v>
          </cell>
          <cell r="F230">
            <v>0</v>
          </cell>
        </row>
        <row r="231">
          <cell r="A231">
            <v>406</v>
          </cell>
          <cell r="B231" t="str">
            <v>命运石</v>
          </cell>
          <cell r="C231">
            <v>83302</v>
          </cell>
          <cell r="D231">
            <v>10000</v>
          </cell>
          <cell r="E231">
            <v>0</v>
          </cell>
          <cell r="F231">
            <v>0</v>
          </cell>
        </row>
        <row r="232">
          <cell r="A232">
            <v>407</v>
          </cell>
          <cell r="B232">
            <v>0</v>
          </cell>
          <cell r="C232">
            <v>0</v>
          </cell>
          <cell r="D232">
            <v>0</v>
          </cell>
          <cell r="E232">
            <v>10000</v>
          </cell>
          <cell r="F232">
            <v>0</v>
          </cell>
        </row>
        <row r="233">
          <cell r="A233">
            <v>408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40</v>
          </cell>
        </row>
        <row r="234">
          <cell r="A234">
            <v>409</v>
          </cell>
          <cell r="B234" t="str">
            <v>马仔碎片(巴闭)</v>
          </cell>
          <cell r="C234">
            <v>78117</v>
          </cell>
          <cell r="D234">
            <v>8</v>
          </cell>
          <cell r="E234">
            <v>0</v>
          </cell>
          <cell r="F234">
            <v>0</v>
          </cell>
        </row>
        <row r="235">
          <cell r="A235">
            <v>410</v>
          </cell>
          <cell r="B235" t="str">
            <v>马仔经验甘露</v>
          </cell>
          <cell r="C235">
            <v>91300</v>
          </cell>
          <cell r="D235">
            <v>4</v>
          </cell>
          <cell r="E235">
            <v>0</v>
          </cell>
          <cell r="F235">
            <v>0</v>
          </cell>
        </row>
        <row r="236">
          <cell r="A236">
            <v>411</v>
          </cell>
          <cell r="B236" t="str">
            <v>龙魂币</v>
          </cell>
          <cell r="C236">
            <v>83301</v>
          </cell>
          <cell r="D236">
            <v>1500</v>
          </cell>
          <cell r="E236">
            <v>0</v>
          </cell>
          <cell r="F236">
            <v>0</v>
          </cell>
        </row>
        <row r="237">
          <cell r="A237">
            <v>412</v>
          </cell>
          <cell r="B237" t="str">
            <v>命运石</v>
          </cell>
          <cell r="C237">
            <v>83302</v>
          </cell>
          <cell r="D237">
            <v>20000</v>
          </cell>
          <cell r="E237">
            <v>0</v>
          </cell>
          <cell r="F237">
            <v>0</v>
          </cell>
        </row>
        <row r="238">
          <cell r="A238">
            <v>413</v>
          </cell>
          <cell r="B238">
            <v>0</v>
          </cell>
          <cell r="C238">
            <v>0</v>
          </cell>
          <cell r="D238">
            <v>0</v>
          </cell>
          <cell r="E238">
            <v>15000</v>
          </cell>
          <cell r="F238">
            <v>0</v>
          </cell>
        </row>
        <row r="239">
          <cell r="A239">
            <v>414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60</v>
          </cell>
        </row>
        <row r="240">
          <cell r="A240">
            <v>415</v>
          </cell>
          <cell r="B240" t="str">
            <v>马仔碎片(巴闭)</v>
          </cell>
          <cell r="C240">
            <v>78117</v>
          </cell>
          <cell r="D240">
            <v>12</v>
          </cell>
          <cell r="E240">
            <v>0</v>
          </cell>
          <cell r="F240">
            <v>0</v>
          </cell>
        </row>
        <row r="241">
          <cell r="A241">
            <v>416</v>
          </cell>
          <cell r="B241" t="str">
            <v>马仔经验甘露</v>
          </cell>
          <cell r="C241">
            <v>91300</v>
          </cell>
          <cell r="D241">
            <v>6</v>
          </cell>
          <cell r="E241">
            <v>0</v>
          </cell>
          <cell r="F241">
            <v>0</v>
          </cell>
        </row>
        <row r="242">
          <cell r="A242">
            <v>417</v>
          </cell>
          <cell r="B242" t="str">
            <v>龙魂币</v>
          </cell>
          <cell r="C242">
            <v>83301</v>
          </cell>
          <cell r="D242">
            <v>2000</v>
          </cell>
          <cell r="E242">
            <v>0</v>
          </cell>
          <cell r="F242">
            <v>0</v>
          </cell>
        </row>
        <row r="243">
          <cell r="A243">
            <v>418</v>
          </cell>
          <cell r="B243" t="str">
            <v>命运石</v>
          </cell>
          <cell r="C243">
            <v>83302</v>
          </cell>
          <cell r="D243">
            <v>30000</v>
          </cell>
          <cell r="E243">
            <v>0</v>
          </cell>
          <cell r="F243">
            <v>0</v>
          </cell>
        </row>
        <row r="244">
          <cell r="A244">
            <v>419</v>
          </cell>
          <cell r="B244">
            <v>0</v>
          </cell>
          <cell r="C244">
            <v>0</v>
          </cell>
          <cell r="D244">
            <v>0</v>
          </cell>
          <cell r="E244">
            <v>20000</v>
          </cell>
          <cell r="F244">
            <v>0</v>
          </cell>
        </row>
        <row r="245">
          <cell r="A245">
            <v>420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80</v>
          </cell>
        </row>
        <row r="246">
          <cell r="A246">
            <v>421</v>
          </cell>
          <cell r="B246" t="str">
            <v>马仔碎片(乌鸦)</v>
          </cell>
          <cell r="C246">
            <v>78110</v>
          </cell>
          <cell r="D246">
            <v>5</v>
          </cell>
          <cell r="E246">
            <v>0</v>
          </cell>
          <cell r="F246">
            <v>0</v>
          </cell>
        </row>
        <row r="247">
          <cell r="A247">
            <v>422</v>
          </cell>
          <cell r="B247" t="str">
            <v>马仔经验甘露</v>
          </cell>
          <cell r="C247">
            <v>91300</v>
          </cell>
          <cell r="D247">
            <v>8</v>
          </cell>
          <cell r="E247">
            <v>0</v>
          </cell>
          <cell r="F247">
            <v>0</v>
          </cell>
        </row>
        <row r="248">
          <cell r="A248">
            <v>423</v>
          </cell>
          <cell r="B248" t="str">
            <v>龙魂币</v>
          </cell>
          <cell r="C248">
            <v>83301</v>
          </cell>
          <cell r="D248">
            <v>2500</v>
          </cell>
          <cell r="E248">
            <v>0</v>
          </cell>
          <cell r="F248">
            <v>0</v>
          </cell>
        </row>
        <row r="249">
          <cell r="A249">
            <v>424</v>
          </cell>
          <cell r="B249" t="str">
            <v>命运石</v>
          </cell>
          <cell r="C249">
            <v>83302</v>
          </cell>
          <cell r="D249">
            <v>40000</v>
          </cell>
          <cell r="E249">
            <v>0</v>
          </cell>
          <cell r="F249">
            <v>0</v>
          </cell>
        </row>
        <row r="250">
          <cell r="A250">
            <v>425</v>
          </cell>
          <cell r="B250">
            <v>0</v>
          </cell>
          <cell r="C250">
            <v>0</v>
          </cell>
          <cell r="D250">
            <v>0</v>
          </cell>
          <cell r="E250">
            <v>25000</v>
          </cell>
          <cell r="F250">
            <v>0</v>
          </cell>
        </row>
        <row r="251">
          <cell r="A251">
            <v>426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100</v>
          </cell>
        </row>
        <row r="252">
          <cell r="A252">
            <v>427</v>
          </cell>
          <cell r="B252" t="str">
            <v>马仔碎片(乌鸦)</v>
          </cell>
          <cell r="C252">
            <v>78110</v>
          </cell>
          <cell r="D252">
            <v>10</v>
          </cell>
          <cell r="E252">
            <v>0</v>
          </cell>
          <cell r="F252">
            <v>0</v>
          </cell>
        </row>
        <row r="253">
          <cell r="A253">
            <v>428</v>
          </cell>
          <cell r="B253" t="str">
            <v>马仔经验甘露</v>
          </cell>
          <cell r="C253">
            <v>91300</v>
          </cell>
          <cell r="D253">
            <v>10</v>
          </cell>
          <cell r="E253">
            <v>0</v>
          </cell>
          <cell r="F253">
            <v>0</v>
          </cell>
        </row>
        <row r="254">
          <cell r="A254">
            <v>501</v>
          </cell>
          <cell r="B254">
            <v>0</v>
          </cell>
          <cell r="C254">
            <v>0</v>
          </cell>
          <cell r="D254">
            <v>0</v>
          </cell>
          <cell r="E254">
            <v>5000</v>
          </cell>
          <cell r="F254">
            <v>0</v>
          </cell>
        </row>
        <row r="255">
          <cell r="A255">
            <v>502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20</v>
          </cell>
        </row>
        <row r="256">
          <cell r="A256">
            <v>503</v>
          </cell>
          <cell r="B256" t="str">
            <v>马仔碎片(靓坤)</v>
          </cell>
          <cell r="C256">
            <v>78106</v>
          </cell>
          <cell r="D256">
            <v>4</v>
          </cell>
          <cell r="E256">
            <v>0</v>
          </cell>
          <cell r="F256">
            <v>0</v>
          </cell>
        </row>
        <row r="257">
          <cell r="A257">
            <v>504</v>
          </cell>
          <cell r="B257" t="str">
            <v>马仔经验甘露</v>
          </cell>
          <cell r="C257">
            <v>91300</v>
          </cell>
          <cell r="D257">
            <v>2</v>
          </cell>
          <cell r="E257">
            <v>0</v>
          </cell>
          <cell r="F257">
            <v>0</v>
          </cell>
        </row>
        <row r="258">
          <cell r="A258">
            <v>505</v>
          </cell>
          <cell r="B258" t="str">
            <v>龙魂币</v>
          </cell>
          <cell r="C258">
            <v>83301</v>
          </cell>
          <cell r="D258">
            <v>1000</v>
          </cell>
          <cell r="E258">
            <v>0</v>
          </cell>
          <cell r="F258">
            <v>0</v>
          </cell>
        </row>
        <row r="259">
          <cell r="A259">
            <v>506</v>
          </cell>
          <cell r="B259" t="str">
            <v>命运石</v>
          </cell>
          <cell r="C259">
            <v>83302</v>
          </cell>
          <cell r="D259">
            <v>10000</v>
          </cell>
          <cell r="E259">
            <v>0</v>
          </cell>
          <cell r="F259">
            <v>0</v>
          </cell>
        </row>
        <row r="260">
          <cell r="A260">
            <v>507</v>
          </cell>
          <cell r="B260">
            <v>0</v>
          </cell>
          <cell r="C260">
            <v>0</v>
          </cell>
          <cell r="D260">
            <v>0</v>
          </cell>
          <cell r="E260">
            <v>10000</v>
          </cell>
          <cell r="F260">
            <v>0</v>
          </cell>
        </row>
        <row r="261">
          <cell r="A261">
            <v>508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40</v>
          </cell>
        </row>
        <row r="262">
          <cell r="A262">
            <v>509</v>
          </cell>
          <cell r="B262" t="str">
            <v>马仔碎片(靓坤)</v>
          </cell>
          <cell r="C262">
            <v>78106</v>
          </cell>
          <cell r="D262">
            <v>8</v>
          </cell>
          <cell r="E262">
            <v>0</v>
          </cell>
          <cell r="F262">
            <v>0</v>
          </cell>
        </row>
        <row r="263">
          <cell r="A263">
            <v>510</v>
          </cell>
          <cell r="B263" t="str">
            <v>马仔经验甘露</v>
          </cell>
          <cell r="C263">
            <v>91300</v>
          </cell>
          <cell r="D263">
            <v>4</v>
          </cell>
          <cell r="E263">
            <v>0</v>
          </cell>
          <cell r="F263">
            <v>0</v>
          </cell>
        </row>
        <row r="264">
          <cell r="A264">
            <v>511</v>
          </cell>
          <cell r="B264" t="str">
            <v>龙魂币</v>
          </cell>
          <cell r="C264">
            <v>83301</v>
          </cell>
          <cell r="D264">
            <v>1500</v>
          </cell>
          <cell r="E264">
            <v>0</v>
          </cell>
          <cell r="F264">
            <v>0</v>
          </cell>
        </row>
        <row r="265">
          <cell r="A265">
            <v>512</v>
          </cell>
          <cell r="B265" t="str">
            <v>命运石</v>
          </cell>
          <cell r="C265">
            <v>83302</v>
          </cell>
          <cell r="D265">
            <v>20000</v>
          </cell>
          <cell r="E265">
            <v>0</v>
          </cell>
          <cell r="F265">
            <v>0</v>
          </cell>
        </row>
        <row r="266">
          <cell r="A266">
            <v>513</v>
          </cell>
          <cell r="B266">
            <v>0</v>
          </cell>
          <cell r="C266">
            <v>0</v>
          </cell>
          <cell r="D266">
            <v>0</v>
          </cell>
          <cell r="E266">
            <v>15000</v>
          </cell>
          <cell r="F266">
            <v>0</v>
          </cell>
        </row>
        <row r="267">
          <cell r="A267">
            <v>514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60</v>
          </cell>
        </row>
        <row r="268">
          <cell r="A268">
            <v>515</v>
          </cell>
          <cell r="B268" t="str">
            <v>马仔碎片(靓坤)</v>
          </cell>
          <cell r="C268">
            <v>78106</v>
          </cell>
          <cell r="D268">
            <v>12</v>
          </cell>
          <cell r="E268">
            <v>0</v>
          </cell>
          <cell r="F268">
            <v>0</v>
          </cell>
        </row>
        <row r="269">
          <cell r="A269">
            <v>516</v>
          </cell>
          <cell r="B269" t="str">
            <v>马仔经验甘露</v>
          </cell>
          <cell r="C269">
            <v>91300</v>
          </cell>
          <cell r="D269">
            <v>6</v>
          </cell>
          <cell r="E269">
            <v>0</v>
          </cell>
          <cell r="F269">
            <v>0</v>
          </cell>
        </row>
        <row r="270">
          <cell r="A270">
            <v>517</v>
          </cell>
          <cell r="B270" t="str">
            <v>龙魂币</v>
          </cell>
          <cell r="C270">
            <v>83301</v>
          </cell>
          <cell r="D270">
            <v>2000</v>
          </cell>
          <cell r="E270">
            <v>0</v>
          </cell>
          <cell r="F270">
            <v>0</v>
          </cell>
        </row>
        <row r="271">
          <cell r="A271">
            <v>518</v>
          </cell>
          <cell r="B271" t="str">
            <v>命运石</v>
          </cell>
          <cell r="C271">
            <v>83302</v>
          </cell>
          <cell r="D271">
            <v>30000</v>
          </cell>
          <cell r="E271">
            <v>0</v>
          </cell>
          <cell r="F271">
            <v>0</v>
          </cell>
        </row>
        <row r="272">
          <cell r="A272">
            <v>519</v>
          </cell>
          <cell r="B272">
            <v>0</v>
          </cell>
          <cell r="C272">
            <v>0</v>
          </cell>
          <cell r="D272">
            <v>0</v>
          </cell>
          <cell r="E272">
            <v>20000</v>
          </cell>
          <cell r="F272">
            <v>0</v>
          </cell>
        </row>
        <row r="273">
          <cell r="A273">
            <v>520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80</v>
          </cell>
        </row>
        <row r="274">
          <cell r="A274">
            <v>521</v>
          </cell>
          <cell r="B274" t="str">
            <v>马仔碎片(赌王)</v>
          </cell>
          <cell r="C274">
            <v>78111</v>
          </cell>
          <cell r="D274">
            <v>5</v>
          </cell>
          <cell r="E274">
            <v>0</v>
          </cell>
          <cell r="F274">
            <v>0</v>
          </cell>
        </row>
        <row r="275">
          <cell r="A275">
            <v>522</v>
          </cell>
          <cell r="B275" t="str">
            <v>马仔经验甘露</v>
          </cell>
          <cell r="C275">
            <v>91300</v>
          </cell>
          <cell r="D275">
            <v>8</v>
          </cell>
          <cell r="E275">
            <v>0</v>
          </cell>
          <cell r="F275">
            <v>0</v>
          </cell>
        </row>
        <row r="276">
          <cell r="A276">
            <v>523</v>
          </cell>
          <cell r="B276" t="str">
            <v>龙魂币</v>
          </cell>
          <cell r="C276">
            <v>83301</v>
          </cell>
          <cell r="D276">
            <v>2500</v>
          </cell>
          <cell r="E276">
            <v>0</v>
          </cell>
          <cell r="F276">
            <v>0</v>
          </cell>
        </row>
        <row r="277">
          <cell r="A277">
            <v>524</v>
          </cell>
          <cell r="B277" t="str">
            <v>命运石</v>
          </cell>
          <cell r="C277">
            <v>83302</v>
          </cell>
          <cell r="D277">
            <v>40000</v>
          </cell>
          <cell r="E277">
            <v>0</v>
          </cell>
          <cell r="F277">
            <v>0</v>
          </cell>
        </row>
        <row r="278">
          <cell r="A278">
            <v>525</v>
          </cell>
          <cell r="B278">
            <v>0</v>
          </cell>
          <cell r="C278">
            <v>0</v>
          </cell>
          <cell r="D278">
            <v>0</v>
          </cell>
          <cell r="E278">
            <v>25000</v>
          </cell>
          <cell r="F278">
            <v>0</v>
          </cell>
        </row>
        <row r="279">
          <cell r="A279">
            <v>526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100</v>
          </cell>
        </row>
        <row r="280">
          <cell r="A280">
            <v>527</v>
          </cell>
          <cell r="B280" t="str">
            <v>马仔碎片(赌王)</v>
          </cell>
          <cell r="C280">
            <v>78111</v>
          </cell>
          <cell r="D280">
            <v>10</v>
          </cell>
          <cell r="E280">
            <v>0</v>
          </cell>
          <cell r="F280">
            <v>0</v>
          </cell>
        </row>
        <row r="281">
          <cell r="A281">
            <v>528</v>
          </cell>
          <cell r="B281" t="str">
            <v>马仔经验甘露</v>
          </cell>
          <cell r="C281">
            <v>91300</v>
          </cell>
          <cell r="D281">
            <v>10</v>
          </cell>
          <cell r="E281">
            <v>0</v>
          </cell>
          <cell r="F281">
            <v>0</v>
          </cell>
        </row>
        <row r="282">
          <cell r="A282">
            <v>601</v>
          </cell>
          <cell r="B282">
            <v>0</v>
          </cell>
          <cell r="C282">
            <v>0</v>
          </cell>
          <cell r="D282">
            <v>0</v>
          </cell>
          <cell r="E282">
            <v>5000</v>
          </cell>
          <cell r="F282">
            <v>0</v>
          </cell>
        </row>
        <row r="283">
          <cell r="A283">
            <v>602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20</v>
          </cell>
        </row>
        <row r="284">
          <cell r="A284">
            <v>603</v>
          </cell>
          <cell r="B284" t="str">
            <v>马仔碎片(雷复轰)</v>
          </cell>
          <cell r="C284">
            <v>78107</v>
          </cell>
          <cell r="D284">
            <v>4</v>
          </cell>
          <cell r="E284">
            <v>0</v>
          </cell>
          <cell r="F284">
            <v>0</v>
          </cell>
        </row>
        <row r="285">
          <cell r="A285">
            <v>604</v>
          </cell>
          <cell r="B285" t="str">
            <v>马仔经验甘露</v>
          </cell>
          <cell r="C285">
            <v>91300</v>
          </cell>
          <cell r="D285">
            <v>2</v>
          </cell>
          <cell r="E285">
            <v>0</v>
          </cell>
          <cell r="F285">
            <v>0</v>
          </cell>
        </row>
        <row r="286">
          <cell r="A286">
            <v>605</v>
          </cell>
          <cell r="B286" t="str">
            <v>龙魂币</v>
          </cell>
          <cell r="C286">
            <v>83301</v>
          </cell>
          <cell r="D286">
            <v>1000</v>
          </cell>
          <cell r="E286">
            <v>0</v>
          </cell>
          <cell r="F286">
            <v>0</v>
          </cell>
        </row>
        <row r="287">
          <cell r="A287">
            <v>606</v>
          </cell>
          <cell r="B287" t="str">
            <v>命运石</v>
          </cell>
          <cell r="C287">
            <v>83302</v>
          </cell>
          <cell r="D287">
            <v>10000</v>
          </cell>
          <cell r="E287">
            <v>0</v>
          </cell>
          <cell r="F287">
            <v>0</v>
          </cell>
        </row>
        <row r="288">
          <cell r="A288">
            <v>607</v>
          </cell>
          <cell r="B288">
            <v>0</v>
          </cell>
          <cell r="C288">
            <v>0</v>
          </cell>
          <cell r="D288">
            <v>0</v>
          </cell>
          <cell r="E288">
            <v>10000</v>
          </cell>
          <cell r="F288">
            <v>0</v>
          </cell>
        </row>
        <row r="289">
          <cell r="A289">
            <v>608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40</v>
          </cell>
        </row>
        <row r="290">
          <cell r="A290">
            <v>609</v>
          </cell>
          <cell r="B290" t="str">
            <v>马仔碎片(雷复轰)</v>
          </cell>
          <cell r="C290">
            <v>78107</v>
          </cell>
          <cell r="D290">
            <v>8</v>
          </cell>
          <cell r="E290">
            <v>0</v>
          </cell>
          <cell r="F290">
            <v>0</v>
          </cell>
        </row>
        <row r="291">
          <cell r="A291">
            <v>610</v>
          </cell>
          <cell r="B291" t="str">
            <v>马仔经验甘露</v>
          </cell>
          <cell r="C291">
            <v>91300</v>
          </cell>
          <cell r="D291">
            <v>4</v>
          </cell>
          <cell r="E291">
            <v>0</v>
          </cell>
          <cell r="F291">
            <v>0</v>
          </cell>
        </row>
        <row r="292">
          <cell r="A292">
            <v>611</v>
          </cell>
          <cell r="B292" t="str">
            <v>龙魂币</v>
          </cell>
          <cell r="C292">
            <v>83301</v>
          </cell>
          <cell r="D292">
            <v>1500</v>
          </cell>
          <cell r="E292">
            <v>0</v>
          </cell>
          <cell r="F292">
            <v>0</v>
          </cell>
        </row>
        <row r="293">
          <cell r="A293">
            <v>612</v>
          </cell>
          <cell r="B293" t="str">
            <v>命运石</v>
          </cell>
          <cell r="C293">
            <v>83302</v>
          </cell>
          <cell r="D293">
            <v>20000</v>
          </cell>
          <cell r="E293">
            <v>0</v>
          </cell>
          <cell r="F293">
            <v>0</v>
          </cell>
        </row>
        <row r="294">
          <cell r="A294">
            <v>613</v>
          </cell>
          <cell r="B294">
            <v>0</v>
          </cell>
          <cell r="C294">
            <v>0</v>
          </cell>
          <cell r="D294">
            <v>0</v>
          </cell>
          <cell r="E294">
            <v>15000</v>
          </cell>
          <cell r="F294">
            <v>0</v>
          </cell>
        </row>
        <row r="295">
          <cell r="A295">
            <v>614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60</v>
          </cell>
        </row>
        <row r="296">
          <cell r="A296">
            <v>615</v>
          </cell>
          <cell r="B296" t="str">
            <v>马仔碎片(雷复轰)</v>
          </cell>
          <cell r="C296">
            <v>78107</v>
          </cell>
          <cell r="D296">
            <v>12</v>
          </cell>
          <cell r="E296">
            <v>0</v>
          </cell>
          <cell r="F296">
            <v>0</v>
          </cell>
        </row>
        <row r="297">
          <cell r="A297">
            <v>616</v>
          </cell>
          <cell r="B297" t="str">
            <v>马仔经验甘露</v>
          </cell>
          <cell r="C297">
            <v>91300</v>
          </cell>
          <cell r="D297">
            <v>6</v>
          </cell>
          <cell r="E297">
            <v>0</v>
          </cell>
          <cell r="F297">
            <v>0</v>
          </cell>
        </row>
        <row r="298">
          <cell r="A298">
            <v>617</v>
          </cell>
          <cell r="B298" t="str">
            <v>龙魂币</v>
          </cell>
          <cell r="C298">
            <v>83301</v>
          </cell>
          <cell r="D298">
            <v>2000</v>
          </cell>
          <cell r="E298">
            <v>0</v>
          </cell>
          <cell r="F298">
            <v>0</v>
          </cell>
        </row>
        <row r="299">
          <cell r="A299">
            <v>618</v>
          </cell>
          <cell r="B299" t="str">
            <v>命运石</v>
          </cell>
          <cell r="C299">
            <v>83302</v>
          </cell>
          <cell r="D299">
            <v>30000</v>
          </cell>
          <cell r="E299">
            <v>0</v>
          </cell>
          <cell r="F299">
            <v>0</v>
          </cell>
        </row>
        <row r="300">
          <cell r="A300">
            <v>619</v>
          </cell>
          <cell r="B300">
            <v>0</v>
          </cell>
          <cell r="C300">
            <v>0</v>
          </cell>
          <cell r="D300">
            <v>0</v>
          </cell>
          <cell r="E300">
            <v>20000</v>
          </cell>
          <cell r="F300">
            <v>0</v>
          </cell>
        </row>
        <row r="301">
          <cell r="A301">
            <v>620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80</v>
          </cell>
        </row>
        <row r="302">
          <cell r="A302">
            <v>621</v>
          </cell>
          <cell r="B302" t="str">
            <v>马仔碎片(山下忠秀)</v>
          </cell>
          <cell r="C302">
            <v>78112</v>
          </cell>
          <cell r="D302">
            <v>5</v>
          </cell>
          <cell r="E302">
            <v>0</v>
          </cell>
          <cell r="F302">
            <v>0</v>
          </cell>
        </row>
        <row r="303">
          <cell r="A303">
            <v>622</v>
          </cell>
          <cell r="B303" t="str">
            <v>马仔经验甘露</v>
          </cell>
          <cell r="C303">
            <v>91300</v>
          </cell>
          <cell r="D303">
            <v>8</v>
          </cell>
          <cell r="E303">
            <v>0</v>
          </cell>
          <cell r="F303">
            <v>0</v>
          </cell>
        </row>
        <row r="304">
          <cell r="A304">
            <v>623</v>
          </cell>
          <cell r="B304" t="str">
            <v>龙魂币</v>
          </cell>
          <cell r="C304">
            <v>83301</v>
          </cell>
          <cell r="D304">
            <v>2500</v>
          </cell>
          <cell r="E304">
            <v>0</v>
          </cell>
          <cell r="F304">
            <v>0</v>
          </cell>
        </row>
        <row r="305">
          <cell r="A305">
            <v>624</v>
          </cell>
          <cell r="B305" t="str">
            <v>命运石</v>
          </cell>
          <cell r="C305">
            <v>83302</v>
          </cell>
          <cell r="D305">
            <v>40000</v>
          </cell>
          <cell r="E305">
            <v>0</v>
          </cell>
          <cell r="F305">
            <v>0</v>
          </cell>
        </row>
        <row r="306">
          <cell r="A306">
            <v>625</v>
          </cell>
          <cell r="B306">
            <v>0</v>
          </cell>
          <cell r="C306">
            <v>0</v>
          </cell>
          <cell r="D306">
            <v>0</v>
          </cell>
          <cell r="E306">
            <v>25000</v>
          </cell>
          <cell r="F306">
            <v>0</v>
          </cell>
        </row>
        <row r="307">
          <cell r="A307">
            <v>626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100</v>
          </cell>
        </row>
        <row r="308">
          <cell r="A308">
            <v>627</v>
          </cell>
          <cell r="B308" t="str">
            <v>马仔碎片(山下忠秀)</v>
          </cell>
          <cell r="C308">
            <v>78112</v>
          </cell>
          <cell r="D308">
            <v>10</v>
          </cell>
          <cell r="E308">
            <v>0</v>
          </cell>
          <cell r="F308">
            <v>0</v>
          </cell>
        </row>
        <row r="309">
          <cell r="A309">
            <v>628</v>
          </cell>
          <cell r="B309" t="str">
            <v>马仔经验甘露</v>
          </cell>
          <cell r="C309">
            <v>91300</v>
          </cell>
          <cell r="D309">
            <v>10</v>
          </cell>
          <cell r="E309">
            <v>0</v>
          </cell>
          <cell r="F309">
            <v>0</v>
          </cell>
        </row>
        <row r="310">
          <cell r="A310">
            <v>701</v>
          </cell>
          <cell r="B310">
            <v>0</v>
          </cell>
          <cell r="C310">
            <v>0</v>
          </cell>
          <cell r="D310">
            <v>0</v>
          </cell>
          <cell r="E310">
            <v>5000</v>
          </cell>
          <cell r="F310">
            <v>0</v>
          </cell>
        </row>
        <row r="311">
          <cell r="A311">
            <v>702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20</v>
          </cell>
        </row>
        <row r="312">
          <cell r="A312">
            <v>703</v>
          </cell>
          <cell r="B312" t="str">
            <v>马仔碎片(肥仔)</v>
          </cell>
          <cell r="C312">
            <v>78108</v>
          </cell>
          <cell r="D312">
            <v>4</v>
          </cell>
          <cell r="E312">
            <v>0</v>
          </cell>
          <cell r="F312">
            <v>0</v>
          </cell>
        </row>
        <row r="313">
          <cell r="A313">
            <v>704</v>
          </cell>
          <cell r="B313" t="str">
            <v>马仔经验甘露</v>
          </cell>
          <cell r="C313">
            <v>91300</v>
          </cell>
          <cell r="D313">
            <v>2</v>
          </cell>
          <cell r="E313">
            <v>0</v>
          </cell>
          <cell r="F313">
            <v>0</v>
          </cell>
        </row>
        <row r="314">
          <cell r="A314">
            <v>705</v>
          </cell>
          <cell r="B314" t="str">
            <v>龙魂币</v>
          </cell>
          <cell r="C314">
            <v>83301</v>
          </cell>
          <cell r="D314">
            <v>1000</v>
          </cell>
          <cell r="E314">
            <v>0</v>
          </cell>
          <cell r="F314">
            <v>0</v>
          </cell>
        </row>
        <row r="315">
          <cell r="A315">
            <v>706</v>
          </cell>
          <cell r="B315" t="str">
            <v>命运石</v>
          </cell>
          <cell r="C315">
            <v>83302</v>
          </cell>
          <cell r="D315">
            <v>10000</v>
          </cell>
          <cell r="E315">
            <v>0</v>
          </cell>
          <cell r="F315">
            <v>0</v>
          </cell>
        </row>
        <row r="316">
          <cell r="A316">
            <v>707</v>
          </cell>
          <cell r="B316">
            <v>0</v>
          </cell>
          <cell r="C316">
            <v>0</v>
          </cell>
          <cell r="D316">
            <v>0</v>
          </cell>
          <cell r="E316">
            <v>10000</v>
          </cell>
          <cell r="F316">
            <v>0</v>
          </cell>
        </row>
        <row r="317">
          <cell r="A317">
            <v>708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40</v>
          </cell>
        </row>
        <row r="318">
          <cell r="A318">
            <v>709</v>
          </cell>
          <cell r="B318" t="str">
            <v>马仔碎片(肥仔)</v>
          </cell>
          <cell r="C318">
            <v>78108</v>
          </cell>
          <cell r="D318">
            <v>8</v>
          </cell>
          <cell r="E318">
            <v>0</v>
          </cell>
          <cell r="F318">
            <v>0</v>
          </cell>
        </row>
        <row r="319">
          <cell r="A319">
            <v>710</v>
          </cell>
          <cell r="B319" t="str">
            <v>马仔经验甘露</v>
          </cell>
          <cell r="C319">
            <v>91300</v>
          </cell>
          <cell r="D319">
            <v>4</v>
          </cell>
          <cell r="E319">
            <v>0</v>
          </cell>
          <cell r="F319">
            <v>0</v>
          </cell>
        </row>
        <row r="320">
          <cell r="A320">
            <v>711</v>
          </cell>
          <cell r="B320" t="str">
            <v>龙魂币</v>
          </cell>
          <cell r="C320">
            <v>83301</v>
          </cell>
          <cell r="D320">
            <v>1500</v>
          </cell>
          <cell r="E320">
            <v>0</v>
          </cell>
          <cell r="F320">
            <v>0</v>
          </cell>
        </row>
        <row r="321">
          <cell r="A321">
            <v>712</v>
          </cell>
          <cell r="B321" t="str">
            <v>命运石</v>
          </cell>
          <cell r="C321">
            <v>83302</v>
          </cell>
          <cell r="D321">
            <v>20000</v>
          </cell>
          <cell r="E321">
            <v>0</v>
          </cell>
          <cell r="F321">
            <v>0</v>
          </cell>
        </row>
        <row r="322">
          <cell r="A322">
            <v>713</v>
          </cell>
          <cell r="B322">
            <v>0</v>
          </cell>
          <cell r="C322">
            <v>0</v>
          </cell>
          <cell r="D322">
            <v>0</v>
          </cell>
          <cell r="E322">
            <v>15000</v>
          </cell>
          <cell r="F322">
            <v>0</v>
          </cell>
        </row>
        <row r="323">
          <cell r="A323">
            <v>714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60</v>
          </cell>
        </row>
        <row r="324">
          <cell r="A324">
            <v>715</v>
          </cell>
          <cell r="B324" t="str">
            <v>马仔碎片(肥仔)</v>
          </cell>
          <cell r="C324">
            <v>78108</v>
          </cell>
          <cell r="D324">
            <v>12</v>
          </cell>
          <cell r="E324">
            <v>0</v>
          </cell>
          <cell r="F324">
            <v>0</v>
          </cell>
        </row>
        <row r="325">
          <cell r="A325">
            <v>716</v>
          </cell>
          <cell r="B325" t="str">
            <v>马仔经验甘露</v>
          </cell>
          <cell r="C325">
            <v>91300</v>
          </cell>
          <cell r="D325">
            <v>6</v>
          </cell>
          <cell r="E325">
            <v>0</v>
          </cell>
          <cell r="F325">
            <v>0</v>
          </cell>
        </row>
        <row r="326">
          <cell r="A326">
            <v>717</v>
          </cell>
          <cell r="B326" t="str">
            <v>龙魂币</v>
          </cell>
          <cell r="C326">
            <v>83301</v>
          </cell>
          <cell r="D326">
            <v>2000</v>
          </cell>
          <cell r="E326">
            <v>0</v>
          </cell>
          <cell r="F326">
            <v>0</v>
          </cell>
        </row>
        <row r="327">
          <cell r="A327">
            <v>718</v>
          </cell>
          <cell r="B327" t="str">
            <v>命运石</v>
          </cell>
          <cell r="C327">
            <v>83302</v>
          </cell>
          <cell r="D327">
            <v>30000</v>
          </cell>
          <cell r="E327">
            <v>0</v>
          </cell>
          <cell r="F327">
            <v>0</v>
          </cell>
        </row>
        <row r="328">
          <cell r="A328">
            <v>719</v>
          </cell>
          <cell r="B328">
            <v>0</v>
          </cell>
          <cell r="C328">
            <v>0</v>
          </cell>
          <cell r="D328">
            <v>0</v>
          </cell>
          <cell r="E328">
            <v>20000</v>
          </cell>
          <cell r="F328">
            <v>0</v>
          </cell>
        </row>
        <row r="329">
          <cell r="A329">
            <v>720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80</v>
          </cell>
        </row>
        <row r="330">
          <cell r="A330">
            <v>721</v>
          </cell>
          <cell r="B330" t="str">
            <v>马仔碎片(宫本一)</v>
          </cell>
          <cell r="C330">
            <v>78113</v>
          </cell>
          <cell r="D330">
            <v>5</v>
          </cell>
          <cell r="E330">
            <v>0</v>
          </cell>
          <cell r="F330">
            <v>0</v>
          </cell>
        </row>
        <row r="331">
          <cell r="A331">
            <v>722</v>
          </cell>
          <cell r="B331" t="str">
            <v>马仔经验甘露</v>
          </cell>
          <cell r="C331">
            <v>91300</v>
          </cell>
          <cell r="D331">
            <v>8</v>
          </cell>
          <cell r="E331">
            <v>0</v>
          </cell>
          <cell r="F331">
            <v>0</v>
          </cell>
        </row>
        <row r="332">
          <cell r="A332">
            <v>723</v>
          </cell>
          <cell r="B332" t="str">
            <v>龙魂币</v>
          </cell>
          <cell r="C332">
            <v>83301</v>
          </cell>
          <cell r="D332">
            <v>2500</v>
          </cell>
          <cell r="E332">
            <v>0</v>
          </cell>
          <cell r="F332">
            <v>0</v>
          </cell>
        </row>
        <row r="333">
          <cell r="A333">
            <v>724</v>
          </cell>
          <cell r="B333" t="str">
            <v>命运石</v>
          </cell>
          <cell r="C333">
            <v>83302</v>
          </cell>
          <cell r="D333">
            <v>40000</v>
          </cell>
          <cell r="E333">
            <v>0</v>
          </cell>
          <cell r="F333">
            <v>0</v>
          </cell>
        </row>
        <row r="334">
          <cell r="A334">
            <v>725</v>
          </cell>
          <cell r="B334">
            <v>0</v>
          </cell>
          <cell r="C334">
            <v>0</v>
          </cell>
          <cell r="D334">
            <v>0</v>
          </cell>
          <cell r="E334">
            <v>25000</v>
          </cell>
          <cell r="F334">
            <v>0</v>
          </cell>
        </row>
        <row r="335">
          <cell r="A335">
            <v>726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100</v>
          </cell>
        </row>
        <row r="336">
          <cell r="A336">
            <v>727</v>
          </cell>
          <cell r="B336" t="str">
            <v>马仔碎片(宫本一)</v>
          </cell>
          <cell r="C336">
            <v>78113</v>
          </cell>
          <cell r="D336">
            <v>10</v>
          </cell>
          <cell r="E336">
            <v>0</v>
          </cell>
          <cell r="F336">
            <v>0</v>
          </cell>
        </row>
        <row r="337">
          <cell r="A337">
            <v>728</v>
          </cell>
          <cell r="B337" t="str">
            <v>马仔经验甘露</v>
          </cell>
          <cell r="C337">
            <v>91300</v>
          </cell>
          <cell r="D337">
            <v>10</v>
          </cell>
          <cell r="E337">
            <v>0</v>
          </cell>
          <cell r="F337">
            <v>0</v>
          </cell>
        </row>
      </sheetData>
      <sheetData sheetId="1">
        <row r="1">
          <cell r="A1" t="str">
            <v>连续登陆次数</v>
          </cell>
          <cell r="B1" t="str">
            <v>金币</v>
          </cell>
          <cell r="C1" t="str">
            <v>钻石</v>
          </cell>
        </row>
        <row r="2">
          <cell r="A2">
            <v>1</v>
          </cell>
          <cell r="C2">
            <v>0</v>
          </cell>
        </row>
        <row r="3">
          <cell r="A3">
            <v>2</v>
          </cell>
          <cell r="C3">
            <v>0</v>
          </cell>
        </row>
        <row r="4">
          <cell r="A4">
            <v>3</v>
          </cell>
          <cell r="C4">
            <v>0</v>
          </cell>
        </row>
        <row r="5">
          <cell r="A5">
            <v>4</v>
          </cell>
          <cell r="C5">
            <v>0</v>
          </cell>
        </row>
        <row r="6">
          <cell r="A6">
            <v>5</v>
          </cell>
          <cell r="C6">
            <v>0</v>
          </cell>
        </row>
        <row r="7">
          <cell r="A7">
            <v>6</v>
          </cell>
          <cell r="C7">
            <v>0</v>
          </cell>
        </row>
        <row r="8">
          <cell r="A8">
            <v>7</v>
          </cell>
          <cell r="C8">
            <v>0</v>
          </cell>
        </row>
      </sheetData>
      <sheetData sheetId="2"/>
      <sheetData sheetId="3">
        <row r="2">
          <cell r="D2">
            <v>20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竞技场商城"/>
      <sheetName val="D_竞技场奖励"/>
      <sheetName val="D_每日排名结算"/>
      <sheetName val="D_历史最高排名奖励"/>
      <sheetName val="D_机器人"/>
      <sheetName val="机器人辅助表"/>
      <sheetName val="D_竞技场压制"/>
    </sheetNames>
    <sheetDataSet>
      <sheetData sheetId="0">
        <row r="31">
          <cell r="S31">
            <v>3.773584905660377</v>
          </cell>
        </row>
      </sheetData>
      <sheetData sheetId="1"/>
      <sheetData sheetId="2">
        <row r="2">
          <cell r="A2">
            <v>1</v>
          </cell>
          <cell r="D2">
            <v>250</v>
          </cell>
        </row>
        <row r="3">
          <cell r="A3">
            <v>2</v>
          </cell>
          <cell r="D3">
            <v>225</v>
          </cell>
        </row>
        <row r="4">
          <cell r="A4">
            <v>3</v>
          </cell>
          <cell r="D4">
            <v>200</v>
          </cell>
        </row>
        <row r="5">
          <cell r="A5">
            <v>10</v>
          </cell>
          <cell r="D5">
            <v>150</v>
          </cell>
        </row>
        <row r="6">
          <cell r="A6">
            <v>50</v>
          </cell>
          <cell r="D6">
            <v>100</v>
          </cell>
        </row>
        <row r="7">
          <cell r="A7">
            <v>100</v>
          </cell>
          <cell r="D7">
            <v>75</v>
          </cell>
        </row>
        <row r="8">
          <cell r="A8">
            <v>500</v>
          </cell>
          <cell r="D8">
            <v>50</v>
          </cell>
        </row>
        <row r="9">
          <cell r="A9">
            <v>1000</v>
          </cell>
          <cell r="D9">
            <v>30</v>
          </cell>
        </row>
        <row r="10">
          <cell r="A10">
            <v>2000</v>
          </cell>
          <cell r="D10">
            <v>25</v>
          </cell>
        </row>
        <row r="11">
          <cell r="A11">
            <v>3000</v>
          </cell>
          <cell r="D11">
            <v>20</v>
          </cell>
        </row>
        <row r="12">
          <cell r="A12">
            <v>4000</v>
          </cell>
          <cell r="D12">
            <v>15</v>
          </cell>
        </row>
        <row r="13">
          <cell r="A13">
            <v>5000</v>
          </cell>
          <cell r="D13">
            <v>10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神秘商店概率"/>
      <sheetName val="D_神秘商店"/>
      <sheetName val="D_金币商场"/>
      <sheetName val="D_VIP商城"/>
      <sheetName val="D_红包积分商城"/>
      <sheetName val="D_金币十连抽"/>
      <sheetName val="D_钻石十连抽"/>
      <sheetName val="D_十连抽"/>
      <sheetName val="D_幸运值配置表"/>
      <sheetName val="D_十连抽幸运马仔"/>
      <sheetName val="商城刷新模拟"/>
      <sheetName val="D_十连抽价格表"/>
      <sheetName val="D_商店刷新"/>
      <sheetName val="D_点金手"/>
      <sheetName val="D_点金手概率表"/>
      <sheetName val="D_点金手计算表"/>
      <sheetName val="D_钻石商场"/>
      <sheetName val="D_装备兑换商店"/>
      <sheetName val="商城备份"/>
    </sheetNames>
    <sheetDataSet>
      <sheetData sheetId="0"/>
      <sheetData sheetId="1">
        <row r="37">
          <cell r="X37">
            <v>1.1518590998043055</v>
          </cell>
        </row>
        <row r="44">
          <cell r="W44">
            <v>1.3972602739726026</v>
          </cell>
          <cell r="X44">
            <v>0.89823874755381605</v>
          </cell>
        </row>
        <row r="79">
          <cell r="X79">
            <v>0.9393346379647749</v>
          </cell>
        </row>
        <row r="80">
          <cell r="X80">
            <v>0.70450097847358117</v>
          </cell>
        </row>
        <row r="86">
          <cell r="X86">
            <v>1.1741682974559686</v>
          </cell>
        </row>
        <row r="87">
          <cell r="X87">
            <v>0.23483365949119372</v>
          </cell>
        </row>
        <row r="89">
          <cell r="W89"/>
          <cell r="X89">
            <v>4.9902152641878663</v>
          </cell>
        </row>
      </sheetData>
      <sheetData sheetId="2">
        <row r="36">
          <cell r="U36">
            <v>1.301056938288442</v>
          </cell>
        </row>
        <row r="43">
          <cell r="U43">
            <v>1.0433003750426184</v>
          </cell>
        </row>
        <row r="70">
          <cell r="U70">
            <v>1.2274122059324923</v>
          </cell>
        </row>
        <row r="71">
          <cell r="U71">
            <v>0.81827480395499497</v>
          </cell>
        </row>
        <row r="77">
          <cell r="U77">
            <v>1.8411183088987384</v>
          </cell>
        </row>
        <row r="82">
          <cell r="U82">
            <v>1.2274122059324923</v>
          </cell>
        </row>
        <row r="83">
          <cell r="U83">
            <v>0.81827480395499497</v>
          </cell>
        </row>
      </sheetData>
      <sheetData sheetId="3">
        <row r="5">
          <cell r="T5">
            <v>2.1707670043415339</v>
          </cell>
        </row>
        <row r="12">
          <cell r="T12">
            <v>3.0390738060781475</v>
          </cell>
        </row>
        <row r="38">
          <cell r="T38">
            <v>2.1707670043415339</v>
          </cell>
        </row>
        <row r="39">
          <cell r="T39">
            <v>1.3024602026049203</v>
          </cell>
        </row>
        <row r="40">
          <cell r="T40">
            <v>2.1707670043415339</v>
          </cell>
        </row>
        <row r="41">
          <cell r="T41">
            <v>1.3024602026049203</v>
          </cell>
        </row>
      </sheetData>
      <sheetData sheetId="4">
        <row r="2">
          <cell r="U2">
            <v>1</v>
          </cell>
        </row>
        <row r="3">
          <cell r="U3">
            <v>1</v>
          </cell>
        </row>
        <row r="4">
          <cell r="U4">
            <v>5</v>
          </cell>
        </row>
        <row r="6">
          <cell r="U6">
            <v>5</v>
          </cell>
        </row>
        <row r="7">
          <cell r="U7">
            <v>10</v>
          </cell>
        </row>
      </sheetData>
      <sheetData sheetId="5">
        <row r="10">
          <cell r="S10">
            <v>0.12893982808022925</v>
          </cell>
        </row>
        <row r="20">
          <cell r="S20">
            <v>0.19102196752626557</v>
          </cell>
        </row>
        <row r="51">
          <cell r="S51">
            <v>2.865329512893983E-2</v>
          </cell>
        </row>
        <row r="52">
          <cell r="S52">
            <v>9.5510983763132766E-3</v>
          </cell>
        </row>
      </sheetData>
      <sheetData sheetId="6">
        <row r="2">
          <cell r="Z2"/>
        </row>
        <row r="15">
          <cell r="Z15"/>
        </row>
        <row r="23">
          <cell r="Z23"/>
        </row>
        <row r="39">
          <cell r="Z39"/>
        </row>
        <row r="53">
          <cell r="Z53"/>
        </row>
        <row r="75">
          <cell r="Z75"/>
        </row>
        <row r="97">
          <cell r="Z97"/>
        </row>
      </sheetData>
      <sheetData sheetId="7">
        <row r="35">
          <cell r="Z35">
            <v>7.5373878364905291</v>
          </cell>
        </row>
        <row r="41">
          <cell r="Z41">
            <v>7.5373878364905282</v>
          </cell>
        </row>
        <row r="44">
          <cell r="Z44">
            <v>3.5</v>
          </cell>
        </row>
      </sheetData>
      <sheetData sheetId="8"/>
      <sheetData sheetId="9"/>
      <sheetData sheetId="10"/>
      <sheetData sheetId="11">
        <row r="5">
          <cell r="C5">
            <v>2592</v>
          </cell>
        </row>
      </sheetData>
      <sheetData sheetId="12">
        <row r="3">
          <cell r="G3">
            <v>21.565557729941283</v>
          </cell>
          <cell r="I3">
            <v>64.609413707679664</v>
          </cell>
          <cell r="J3">
            <v>0</v>
          </cell>
        </row>
      </sheetData>
      <sheetData sheetId="13"/>
      <sheetData sheetId="14"/>
      <sheetData sheetId="15">
        <row r="2">
          <cell r="C2">
            <v>10</v>
          </cell>
        </row>
        <row r="3">
          <cell r="C3">
            <v>10</v>
          </cell>
        </row>
        <row r="4">
          <cell r="C4">
            <v>20</v>
          </cell>
        </row>
        <row r="5">
          <cell r="C5">
            <v>20</v>
          </cell>
        </row>
        <row r="6">
          <cell r="C6">
            <v>20</v>
          </cell>
        </row>
        <row r="7">
          <cell r="C7">
            <v>40</v>
          </cell>
        </row>
        <row r="8">
          <cell r="C8">
            <v>40</v>
          </cell>
        </row>
        <row r="9">
          <cell r="C9">
            <v>40</v>
          </cell>
        </row>
        <row r="10">
          <cell r="C10">
            <v>40</v>
          </cell>
        </row>
        <row r="11">
          <cell r="C11">
            <v>40</v>
          </cell>
        </row>
        <row r="12">
          <cell r="C12">
            <v>60</v>
          </cell>
        </row>
        <row r="13">
          <cell r="C13">
            <v>60</v>
          </cell>
        </row>
        <row r="14">
          <cell r="C14">
            <v>60</v>
          </cell>
        </row>
        <row r="15">
          <cell r="C15">
            <v>60</v>
          </cell>
        </row>
        <row r="16">
          <cell r="C16">
            <v>60</v>
          </cell>
        </row>
        <row r="17">
          <cell r="C17">
            <v>80</v>
          </cell>
        </row>
        <row r="18">
          <cell r="C18">
            <v>80</v>
          </cell>
        </row>
        <row r="19">
          <cell r="C19">
            <v>80</v>
          </cell>
        </row>
        <row r="20">
          <cell r="C20">
            <v>80</v>
          </cell>
        </row>
        <row r="21">
          <cell r="C21">
            <v>80</v>
          </cell>
        </row>
        <row r="22">
          <cell r="C22">
            <v>100</v>
          </cell>
        </row>
        <row r="23">
          <cell r="C23">
            <v>100</v>
          </cell>
        </row>
        <row r="24">
          <cell r="C24">
            <v>100</v>
          </cell>
        </row>
        <row r="25">
          <cell r="C25">
            <v>100</v>
          </cell>
        </row>
        <row r="26">
          <cell r="C26">
            <v>100</v>
          </cell>
        </row>
        <row r="27">
          <cell r="C27">
            <v>120</v>
          </cell>
        </row>
        <row r="28">
          <cell r="C28">
            <v>120</v>
          </cell>
        </row>
        <row r="29">
          <cell r="C29">
            <v>120</v>
          </cell>
        </row>
        <row r="30">
          <cell r="C30">
            <v>120</v>
          </cell>
        </row>
        <row r="31">
          <cell r="C31">
            <v>120</v>
          </cell>
        </row>
        <row r="32">
          <cell r="C32">
            <v>160</v>
          </cell>
        </row>
        <row r="33">
          <cell r="C33">
            <v>160</v>
          </cell>
        </row>
        <row r="34">
          <cell r="C34">
            <v>160</v>
          </cell>
        </row>
        <row r="35">
          <cell r="C35">
            <v>160</v>
          </cell>
        </row>
        <row r="36">
          <cell r="C36">
            <v>160</v>
          </cell>
        </row>
        <row r="37">
          <cell r="C37">
            <v>160</v>
          </cell>
        </row>
        <row r="38">
          <cell r="C38">
            <v>160</v>
          </cell>
        </row>
        <row r="39">
          <cell r="C39">
            <v>160</v>
          </cell>
        </row>
        <row r="40">
          <cell r="C40">
            <v>160</v>
          </cell>
        </row>
        <row r="41">
          <cell r="C41">
            <v>160</v>
          </cell>
        </row>
        <row r="42">
          <cell r="C42">
            <v>200</v>
          </cell>
        </row>
        <row r="43">
          <cell r="C43">
            <v>200</v>
          </cell>
        </row>
        <row r="44">
          <cell r="C44">
            <v>200</v>
          </cell>
        </row>
        <row r="45">
          <cell r="C45">
            <v>200</v>
          </cell>
        </row>
        <row r="46">
          <cell r="C46">
            <v>200</v>
          </cell>
        </row>
        <row r="47">
          <cell r="C47">
            <v>200</v>
          </cell>
        </row>
        <row r="48">
          <cell r="C48">
            <v>200</v>
          </cell>
        </row>
        <row r="49">
          <cell r="C49">
            <v>200</v>
          </cell>
        </row>
        <row r="50">
          <cell r="C50">
            <v>200</v>
          </cell>
        </row>
        <row r="51">
          <cell r="C51">
            <v>200</v>
          </cell>
        </row>
        <row r="52">
          <cell r="C52">
            <v>240</v>
          </cell>
        </row>
        <row r="53">
          <cell r="C53">
            <v>240</v>
          </cell>
        </row>
        <row r="54">
          <cell r="C54">
            <v>240</v>
          </cell>
        </row>
        <row r="55">
          <cell r="C55">
            <v>240</v>
          </cell>
        </row>
        <row r="56">
          <cell r="C56">
            <v>240</v>
          </cell>
        </row>
        <row r="57">
          <cell r="C57">
            <v>240</v>
          </cell>
        </row>
        <row r="58">
          <cell r="C58">
            <v>240</v>
          </cell>
        </row>
        <row r="59">
          <cell r="C59">
            <v>240</v>
          </cell>
        </row>
        <row r="60">
          <cell r="C60">
            <v>240</v>
          </cell>
        </row>
        <row r="61">
          <cell r="C61">
            <v>240</v>
          </cell>
        </row>
        <row r="62">
          <cell r="C62">
            <v>280</v>
          </cell>
        </row>
        <row r="63">
          <cell r="C63">
            <v>280</v>
          </cell>
        </row>
        <row r="64">
          <cell r="C64">
            <v>280</v>
          </cell>
        </row>
        <row r="65">
          <cell r="C65">
            <v>280</v>
          </cell>
        </row>
        <row r="66">
          <cell r="C66">
            <v>280</v>
          </cell>
        </row>
        <row r="67">
          <cell r="C67">
            <v>280</v>
          </cell>
        </row>
        <row r="68">
          <cell r="C68">
            <v>280</v>
          </cell>
        </row>
        <row r="69">
          <cell r="C69">
            <v>280</v>
          </cell>
        </row>
        <row r="70">
          <cell r="C70">
            <v>280</v>
          </cell>
        </row>
        <row r="71">
          <cell r="C71">
            <v>280</v>
          </cell>
        </row>
        <row r="72">
          <cell r="C72">
            <v>320</v>
          </cell>
        </row>
        <row r="73">
          <cell r="C73">
            <v>320</v>
          </cell>
        </row>
        <row r="74">
          <cell r="C74">
            <v>320</v>
          </cell>
        </row>
        <row r="75">
          <cell r="C75">
            <v>320</v>
          </cell>
        </row>
        <row r="76">
          <cell r="C76">
            <v>320</v>
          </cell>
        </row>
        <row r="77">
          <cell r="C77">
            <v>320</v>
          </cell>
        </row>
        <row r="78">
          <cell r="C78">
            <v>320</v>
          </cell>
        </row>
        <row r="79">
          <cell r="C79">
            <v>320</v>
          </cell>
        </row>
        <row r="80">
          <cell r="C80">
            <v>320</v>
          </cell>
        </row>
        <row r="81">
          <cell r="C81">
            <v>320</v>
          </cell>
        </row>
        <row r="82">
          <cell r="C82">
            <v>360</v>
          </cell>
        </row>
        <row r="83">
          <cell r="C83">
            <v>360</v>
          </cell>
        </row>
        <row r="84">
          <cell r="C84">
            <v>360</v>
          </cell>
        </row>
        <row r="85">
          <cell r="C85">
            <v>360</v>
          </cell>
        </row>
        <row r="86">
          <cell r="C86">
            <v>360</v>
          </cell>
        </row>
        <row r="87">
          <cell r="C87">
            <v>360</v>
          </cell>
        </row>
        <row r="88">
          <cell r="C88">
            <v>360</v>
          </cell>
        </row>
        <row r="89">
          <cell r="C89">
            <v>360</v>
          </cell>
        </row>
        <row r="90">
          <cell r="C90">
            <v>360</v>
          </cell>
        </row>
        <row r="91">
          <cell r="C91">
            <v>360</v>
          </cell>
        </row>
        <row r="92">
          <cell r="C92">
            <v>400</v>
          </cell>
        </row>
        <row r="93">
          <cell r="C93">
            <v>400</v>
          </cell>
        </row>
        <row r="94">
          <cell r="C94">
            <v>400</v>
          </cell>
        </row>
        <row r="95">
          <cell r="C95">
            <v>400</v>
          </cell>
        </row>
        <row r="96">
          <cell r="C96">
            <v>400</v>
          </cell>
        </row>
        <row r="97">
          <cell r="C97">
            <v>400</v>
          </cell>
        </row>
        <row r="98">
          <cell r="C98">
            <v>400</v>
          </cell>
        </row>
        <row r="99">
          <cell r="C99">
            <v>400</v>
          </cell>
        </row>
        <row r="100">
          <cell r="C100">
            <v>400</v>
          </cell>
        </row>
        <row r="101">
          <cell r="C101">
            <v>400</v>
          </cell>
        </row>
      </sheetData>
      <sheetData sheetId="16">
        <row r="5">
          <cell r="S5">
            <v>2.289017341040462</v>
          </cell>
        </row>
        <row r="9">
          <cell r="S9">
            <v>1.0900082576383152</v>
          </cell>
        </row>
        <row r="18">
          <cell r="S18">
            <v>4.9545829892650701</v>
          </cell>
        </row>
        <row r="19">
          <cell r="S19">
            <v>2.4772914946325351</v>
          </cell>
        </row>
        <row r="20">
          <cell r="S20">
            <v>0.99091659785301389</v>
          </cell>
        </row>
        <row r="35">
          <cell r="S35">
            <v>8.9182493806771248</v>
          </cell>
        </row>
        <row r="45">
          <cell r="S45">
            <v>1.0900082576383157</v>
          </cell>
        </row>
        <row r="57">
          <cell r="S57">
            <v>0.50536746490503703</v>
          </cell>
        </row>
        <row r="58">
          <cell r="S58">
            <v>0.24772914946325353</v>
          </cell>
        </row>
        <row r="59">
          <cell r="S59">
            <v>9.9091659785301406E-2</v>
          </cell>
        </row>
      </sheetData>
      <sheetData sheetId="17"/>
      <sheetData sheetId="1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经验表"/>
      <sheetName val="D_角色属性"/>
      <sheetName val="D_VIP对应表"/>
      <sheetName val="D_VIP描述表"/>
      <sheetName val="D_VIP重置表"/>
      <sheetName val="D_VIP充值表"/>
      <sheetName val="D_BUFF表"/>
      <sheetName val="D_我要变强"/>
      <sheetName val="D_改名消耗"/>
      <sheetName val="角色辅助表"/>
      <sheetName val="VIP辅助表"/>
      <sheetName val="VIP描述辅助表"/>
      <sheetName val="VIP礼包奖辅助表"/>
    </sheetNames>
    <sheetDataSet>
      <sheetData sheetId="0"/>
      <sheetData sheetId="1"/>
      <sheetData sheetId="2"/>
      <sheetData sheetId="3"/>
      <sheetData sheetId="4">
        <row r="2">
          <cell r="G2">
            <v>50</v>
          </cell>
        </row>
        <row r="3">
          <cell r="G3">
            <v>50</v>
          </cell>
        </row>
        <row r="4">
          <cell r="G4">
            <v>100</v>
          </cell>
        </row>
        <row r="5">
          <cell r="G5">
            <v>100</v>
          </cell>
        </row>
        <row r="6">
          <cell r="G6">
            <v>100</v>
          </cell>
        </row>
        <row r="7">
          <cell r="G7">
            <v>200</v>
          </cell>
        </row>
        <row r="8">
          <cell r="G8">
            <v>200</v>
          </cell>
        </row>
        <row r="9">
          <cell r="G9">
            <v>300</v>
          </cell>
        </row>
        <row r="10">
          <cell r="G10">
            <v>300</v>
          </cell>
        </row>
        <row r="11">
          <cell r="G11">
            <v>300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道具表"/>
      <sheetName val="D_合成表"/>
      <sheetName val="icon"/>
      <sheetName val="道具配置辅助表"/>
      <sheetName val="D_获取途径"/>
      <sheetName val="道具说明"/>
      <sheetName val="道具表价值评估"/>
    </sheetNames>
    <sheetDataSet>
      <sheetData sheetId="0">
        <row r="1">
          <cell r="A1" t="str">
            <v>道具ID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101">
          <cell r="A101">
            <v>80610</v>
          </cell>
        </row>
        <row r="102">
          <cell r="A102">
            <v>87300</v>
          </cell>
        </row>
        <row r="103">
          <cell r="A103">
            <v>83300</v>
          </cell>
        </row>
        <row r="104">
          <cell r="A104">
            <v>83301</v>
          </cell>
        </row>
        <row r="105">
          <cell r="A105">
            <v>83302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  <cell r="C9">
            <v>40.883264194285957</v>
          </cell>
          <cell r="D9">
            <v>1</v>
          </cell>
          <cell r="E9">
            <v>30</v>
          </cell>
          <cell r="F9">
            <v>61324.896291428937</v>
          </cell>
          <cell r="G9">
            <v>122.64979258285787</v>
          </cell>
        </row>
        <row r="10">
          <cell r="A10">
            <v>83004</v>
          </cell>
          <cell r="B10" t="str">
            <v>洪兴打仔</v>
          </cell>
          <cell r="C10">
            <v>65.526357207911119</v>
          </cell>
          <cell r="D10">
            <v>1</v>
          </cell>
          <cell r="E10">
            <v>30</v>
          </cell>
          <cell r="F10">
            <v>98289.535811866677</v>
          </cell>
          <cell r="G10">
            <v>196.57907162373337</v>
          </cell>
        </row>
        <row r="11">
          <cell r="A11">
            <v>83005</v>
          </cell>
          <cell r="B11" t="str">
            <v>扛把子</v>
          </cell>
          <cell r="C11">
            <v>93.895930095509812</v>
          </cell>
          <cell r="D11">
            <v>1</v>
          </cell>
          <cell r="E11">
            <v>30</v>
          </cell>
          <cell r="F11">
            <v>140843.89514326473</v>
          </cell>
          <cell r="G11">
            <v>281.68779028652949</v>
          </cell>
        </row>
        <row r="12">
          <cell r="A12">
            <v>83006</v>
          </cell>
          <cell r="B12" t="str">
            <v>二路元帅</v>
          </cell>
          <cell r="C12">
            <v>136.84714401067484</v>
          </cell>
          <cell r="D12">
            <v>1</v>
          </cell>
          <cell r="E12">
            <v>30</v>
          </cell>
          <cell r="F12">
            <v>205270.71601601224</v>
          </cell>
          <cell r="G12">
            <v>410.54143203202449</v>
          </cell>
        </row>
        <row r="13">
          <cell r="A13">
            <v>83007</v>
          </cell>
          <cell r="B13" t="str">
            <v>战无不胜</v>
          </cell>
          <cell r="C13">
            <v>525.2369515441618</v>
          </cell>
          <cell r="D13">
            <v>1</v>
          </cell>
          <cell r="E13">
            <v>40</v>
          </cell>
          <cell r="F13">
            <v>1050473.9030883235</v>
          </cell>
          <cell r="G13">
            <v>2100.9478061766472</v>
          </cell>
        </row>
        <row r="14">
          <cell r="A14">
            <v>83008</v>
          </cell>
          <cell r="B14" t="str">
            <v>猛龙过江</v>
          </cell>
          <cell r="C14">
            <v>195.7419418851112</v>
          </cell>
          <cell r="D14">
            <v>1</v>
          </cell>
          <cell r="E14">
            <v>30</v>
          </cell>
          <cell r="F14">
            <v>293612.91282766679</v>
          </cell>
          <cell r="G14">
            <v>587.22582565533355</v>
          </cell>
        </row>
        <row r="15">
          <cell r="A15">
            <v>83009</v>
          </cell>
          <cell r="B15" t="str">
            <v>神之手</v>
          </cell>
          <cell r="C15">
            <v>325.83843064355233</v>
          </cell>
          <cell r="D15">
            <v>1</v>
          </cell>
          <cell r="E15">
            <v>35</v>
          </cell>
          <cell r="F15">
            <v>570217.25362621655</v>
          </cell>
          <cell r="G15">
            <v>1140.4345072524331</v>
          </cell>
        </row>
        <row r="16">
          <cell r="A16">
            <v>83010</v>
          </cell>
          <cell r="B16" t="str">
            <v>富甲一方</v>
          </cell>
          <cell r="C16">
            <v>163.11828490425933</v>
          </cell>
          <cell r="D16">
            <v>1</v>
          </cell>
          <cell r="E16">
            <v>25</v>
          </cell>
          <cell r="F16">
            <v>203897.85613032416</v>
          </cell>
          <cell r="G16">
            <v>407.79571226064832</v>
          </cell>
        </row>
        <row r="17">
          <cell r="A17">
            <v>83011</v>
          </cell>
          <cell r="B17" t="str">
            <v>壕气冲天</v>
          </cell>
          <cell r="C17">
            <v>271.53202553629359</v>
          </cell>
          <cell r="D17">
            <v>1</v>
          </cell>
          <cell r="E17">
            <v>30</v>
          </cell>
          <cell r="F17">
            <v>407298.03830444039</v>
          </cell>
          <cell r="G17">
            <v>814.59607660888082</v>
          </cell>
        </row>
        <row r="18">
          <cell r="A18">
            <v>83012</v>
          </cell>
          <cell r="B18" t="str">
            <v>富可敌国</v>
          </cell>
          <cell r="C18">
            <v>437.69745962013485</v>
          </cell>
          <cell r="D18">
            <v>1</v>
          </cell>
          <cell r="E18">
            <v>35</v>
          </cell>
          <cell r="F18">
            <v>765970.55433523597</v>
          </cell>
          <cell r="G18">
            <v>1531.941108670472</v>
          </cell>
        </row>
        <row r="19">
          <cell r="A19">
            <v>83013</v>
          </cell>
          <cell r="B19" t="str">
            <v>壕气冲天</v>
          </cell>
          <cell r="C19">
            <v>95.032738896301993</v>
          </cell>
          <cell r="D19">
            <v>1</v>
          </cell>
          <cell r="E19">
            <v>15</v>
          </cell>
          <cell r="F19">
            <v>71274.554172226504</v>
          </cell>
          <cell r="G19">
            <v>142.549108344453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40.883264194285957</v>
          </cell>
          <cell r="D29">
            <v>1</v>
          </cell>
          <cell r="E29">
            <v>15</v>
          </cell>
          <cell r="F29">
            <v>30662.448145714468</v>
          </cell>
          <cell r="G29">
            <v>61.324896291428935</v>
          </cell>
        </row>
        <row r="30">
          <cell r="A30">
            <v>83104</v>
          </cell>
          <cell r="B30" t="str">
            <v>洪兴打仔(3天)</v>
          </cell>
          <cell r="C30">
            <v>65.526357207911119</v>
          </cell>
          <cell r="D30">
            <v>1</v>
          </cell>
          <cell r="E30">
            <v>15</v>
          </cell>
          <cell r="F30">
            <v>49144.767905933339</v>
          </cell>
          <cell r="G30">
            <v>98.289535811866685</v>
          </cell>
        </row>
        <row r="31">
          <cell r="A31">
            <v>83105</v>
          </cell>
          <cell r="B31" t="str">
            <v>扛把子(3天)</v>
          </cell>
          <cell r="C31">
            <v>93.895930095509812</v>
          </cell>
          <cell r="D31">
            <v>1</v>
          </cell>
          <cell r="E31">
            <v>15</v>
          </cell>
          <cell r="F31">
            <v>70421.947571632365</v>
          </cell>
          <cell r="G31">
            <v>140.84389514326475</v>
          </cell>
        </row>
        <row r="32">
          <cell r="A32">
            <v>83106</v>
          </cell>
          <cell r="B32" t="str">
            <v>二路元帅(3天)</v>
          </cell>
          <cell r="C32">
            <v>136.84714401067484</v>
          </cell>
          <cell r="D32">
            <v>1</v>
          </cell>
          <cell r="E32">
            <v>15</v>
          </cell>
          <cell r="F32">
            <v>102635.35800800612</v>
          </cell>
          <cell r="G32">
            <v>205.27071601601224</v>
          </cell>
        </row>
        <row r="33">
          <cell r="A33">
            <v>83107</v>
          </cell>
          <cell r="B33" t="str">
            <v>战无不胜(3天)</v>
          </cell>
          <cell r="C33">
            <v>525.2369515441618</v>
          </cell>
          <cell r="D33">
            <v>1</v>
          </cell>
          <cell r="E33">
            <v>20</v>
          </cell>
          <cell r="F33">
            <v>525236.95154416177</v>
          </cell>
          <cell r="G33">
            <v>1050.4739030883236</v>
          </cell>
        </row>
        <row r="34">
          <cell r="A34">
            <v>83108</v>
          </cell>
          <cell r="B34" t="str">
            <v>猛龙过江(3天)</v>
          </cell>
          <cell r="C34">
            <v>195.7419418851112</v>
          </cell>
          <cell r="D34">
            <v>1</v>
          </cell>
          <cell r="E34">
            <v>15</v>
          </cell>
          <cell r="F34">
            <v>146806.4564138334</v>
          </cell>
          <cell r="G34">
            <v>293.61291282766678</v>
          </cell>
        </row>
        <row r="35">
          <cell r="A35">
            <v>83109</v>
          </cell>
          <cell r="B35" t="str">
            <v>神之手(3天)</v>
          </cell>
          <cell r="C35">
            <v>325.83843064355233</v>
          </cell>
          <cell r="D35">
            <v>1</v>
          </cell>
          <cell r="E35">
            <v>17.5</v>
          </cell>
          <cell r="F35">
            <v>285108.62681310828</v>
          </cell>
          <cell r="G35">
            <v>570.21725362621657</v>
          </cell>
        </row>
        <row r="36">
          <cell r="A36">
            <v>83110</v>
          </cell>
          <cell r="B36" t="str">
            <v>富甲一方(3天)</v>
          </cell>
          <cell r="C36">
            <v>163.11828490425933</v>
          </cell>
          <cell r="D36">
            <v>1</v>
          </cell>
          <cell r="E36">
            <v>12.5</v>
          </cell>
          <cell r="F36">
            <v>101948.92806516208</v>
          </cell>
          <cell r="G36">
            <v>203.89785613032416</v>
          </cell>
        </row>
        <row r="37">
          <cell r="A37">
            <v>83111</v>
          </cell>
          <cell r="B37" t="str">
            <v>壕气冲天(3天)</v>
          </cell>
          <cell r="C37">
            <v>271.53202553629359</v>
          </cell>
          <cell r="D37">
            <v>1</v>
          </cell>
          <cell r="E37">
            <v>15</v>
          </cell>
          <cell r="F37">
            <v>203649.01915222019</v>
          </cell>
          <cell r="G37">
            <v>407.29803830444041</v>
          </cell>
        </row>
        <row r="38">
          <cell r="A38">
            <v>83112</v>
          </cell>
          <cell r="B38" t="str">
            <v>富可敌国(3天)</v>
          </cell>
          <cell r="C38">
            <v>437.69745962013485</v>
          </cell>
          <cell r="D38">
            <v>1</v>
          </cell>
          <cell r="E38">
            <v>17.5</v>
          </cell>
          <cell r="F38">
            <v>382985.27716761798</v>
          </cell>
          <cell r="G38">
            <v>765.97055433523599</v>
          </cell>
        </row>
        <row r="39">
          <cell r="A39">
            <v>83113</v>
          </cell>
          <cell r="B39" t="str">
            <v>壕气冲天(3天)</v>
          </cell>
          <cell r="C39">
            <v>95.032738896301993</v>
          </cell>
          <cell r="D39">
            <v>1</v>
          </cell>
          <cell r="E39">
            <v>15</v>
          </cell>
          <cell r="F39">
            <v>71274.554172226504</v>
          </cell>
          <cell r="G39">
            <v>142.549108344453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</row>
        <row r="75">
          <cell r="A75">
            <v>70501</v>
          </cell>
          <cell r="B75" t="str">
            <v>5阶升星石（不用）</v>
          </cell>
        </row>
        <row r="76">
          <cell r="A76">
            <v>82100</v>
          </cell>
          <cell r="B76" t="str">
            <v>金币卡(1万)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666.8601232231822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333.4300616115911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166.71503080579555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D98">
            <v>4944.0440536387459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D99">
            <v>2472.022026819373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D100">
            <v>1236.0110134096865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F101">
            <v>500</v>
          </cell>
          <cell r="G101">
            <v>1</v>
          </cell>
        </row>
        <row r="102">
          <cell r="A102">
            <v>83300</v>
          </cell>
          <cell r="B102" t="str">
            <v>金币</v>
          </cell>
          <cell r="F102">
            <v>1</v>
          </cell>
          <cell r="G102">
            <v>2E-3</v>
          </cell>
        </row>
        <row r="103">
          <cell r="A103">
            <v>83301</v>
          </cell>
          <cell r="B103" t="str">
            <v>龙魂币</v>
          </cell>
          <cell r="F103">
            <v>20</v>
          </cell>
          <cell r="G103">
            <v>0.04</v>
          </cell>
        </row>
        <row r="104">
          <cell r="A104">
            <v>83302</v>
          </cell>
          <cell r="B104" t="str">
            <v>命运石</v>
          </cell>
          <cell r="F104">
            <v>0.5</v>
          </cell>
          <cell r="G104">
            <v>1E-3</v>
          </cell>
        </row>
        <row r="105">
          <cell r="A105">
            <v>83303</v>
          </cell>
          <cell r="B105" t="str">
            <v>擂台币</v>
          </cell>
          <cell r="F105">
            <v>50</v>
          </cell>
          <cell r="G105">
            <v>0.1</v>
          </cell>
        </row>
        <row r="106">
          <cell r="A106">
            <v>89101</v>
          </cell>
          <cell r="B106" t="str">
            <v>双倍经验卡（1天）</v>
          </cell>
          <cell r="E106">
            <v>6</v>
          </cell>
        </row>
        <row r="107">
          <cell r="A107">
            <v>89102</v>
          </cell>
          <cell r="B107" t="str">
            <v>双倍经验卡（2天）</v>
          </cell>
          <cell r="E107">
            <v>6</v>
          </cell>
        </row>
        <row r="108">
          <cell r="A108">
            <v>89106</v>
          </cell>
          <cell r="B108" t="str">
            <v>vip经验卡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500</v>
          </cell>
          <cell r="G109">
            <v>1</v>
          </cell>
        </row>
        <row r="110">
          <cell r="A110">
            <v>89108</v>
          </cell>
          <cell r="B110" t="str">
            <v>蓝色装备碎片（无用）</v>
          </cell>
        </row>
        <row r="111">
          <cell r="A111">
            <v>89109</v>
          </cell>
          <cell r="B111" t="str">
            <v>紫色装备碎片（无用）</v>
          </cell>
        </row>
        <row r="112">
          <cell r="A112">
            <v>89110</v>
          </cell>
          <cell r="B112" t="str">
            <v>橙色装备碎片（无用）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30978</v>
          </cell>
          <cell r="E113">
            <v>1</v>
          </cell>
          <cell r="F113">
            <v>500</v>
          </cell>
          <cell r="G113">
            <v>1</v>
          </cell>
        </row>
        <row r="114">
          <cell r="A114">
            <v>83304</v>
          </cell>
          <cell r="B114" t="str">
            <v>寻宝券</v>
          </cell>
          <cell r="F114">
            <v>15000</v>
          </cell>
          <cell r="G114">
            <v>30</v>
          </cell>
        </row>
        <row r="115">
          <cell r="A115">
            <v>85200</v>
          </cell>
          <cell r="B115" t="str">
            <v>高级装备升级石</v>
          </cell>
          <cell r="D115">
            <v>2019.7074124618819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D116">
            <v>2019.7074124618819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D117">
            <v>2019.7074124618819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D118">
            <v>2019.7074124618819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马仔追债宝箱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马仔追债宝箱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马仔追债宝箱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马仔追债宝箱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马仔追债宝箱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马仔宝物礼包</v>
          </cell>
          <cell r="E124">
            <v>3</v>
          </cell>
          <cell r="F124">
            <v>2500</v>
          </cell>
          <cell r="G124">
            <v>5</v>
          </cell>
        </row>
        <row r="125">
          <cell r="A125">
            <v>86120</v>
          </cell>
          <cell r="B125" t="str">
            <v>马仔宝物礼包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马仔宝物礼包</v>
          </cell>
          <cell r="E126">
            <v>9</v>
          </cell>
          <cell r="F126">
            <v>25000</v>
          </cell>
          <cell r="G126">
            <v>50</v>
          </cell>
        </row>
        <row r="127">
          <cell r="A127">
            <v>86140</v>
          </cell>
          <cell r="B127" t="str">
            <v>马仔宝物礼包</v>
          </cell>
          <cell r="E127">
            <v>12</v>
          </cell>
          <cell r="F127">
            <v>75000</v>
          </cell>
          <cell r="G127">
            <v>150</v>
          </cell>
        </row>
        <row r="128">
          <cell r="A128">
            <v>86150</v>
          </cell>
          <cell r="B128" t="str">
            <v>马仔宝物礼包</v>
          </cell>
          <cell r="E128">
            <v>15</v>
          </cell>
          <cell r="F128">
            <v>200000</v>
          </cell>
          <cell r="G128">
            <v>400</v>
          </cell>
        </row>
        <row r="129">
          <cell r="A129">
            <v>83305</v>
          </cell>
          <cell r="B129" t="str">
            <v>金豆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部位材料宝箱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F134">
            <v>99500</v>
          </cell>
          <cell r="G134">
            <v>199</v>
          </cell>
        </row>
        <row r="135">
          <cell r="A135">
            <v>86022</v>
          </cell>
          <cell r="B135" t="str">
            <v>橙色装备礼包</v>
          </cell>
          <cell r="F135">
            <v>500000</v>
          </cell>
          <cell r="G135">
            <v>1000</v>
          </cell>
        </row>
        <row r="136">
          <cell r="A136">
            <v>86023</v>
          </cell>
          <cell r="B136" t="str">
            <v>红色装备礼包</v>
          </cell>
          <cell r="F136">
            <v>2500000</v>
          </cell>
          <cell r="G136">
            <v>5000</v>
          </cell>
        </row>
        <row r="137">
          <cell r="A137">
            <v>78214</v>
          </cell>
          <cell r="B137" t="str">
            <v>限时碎片(陈浩南)</v>
          </cell>
        </row>
        <row r="138">
          <cell r="A138">
            <v>78215</v>
          </cell>
          <cell r="B138" t="str">
            <v>限时碎片(山鸡)</v>
          </cell>
        </row>
        <row r="139">
          <cell r="A139">
            <v>78216</v>
          </cell>
          <cell r="B139" t="str">
            <v>限时碎片(大天二)</v>
          </cell>
        </row>
        <row r="140">
          <cell r="A140">
            <v>83309</v>
          </cell>
          <cell r="B140" t="str">
            <v>堂口贡献</v>
          </cell>
          <cell r="F140">
            <v>16.666666666666668</v>
          </cell>
          <cell r="G140">
            <v>3.3333333333333333E-2</v>
          </cell>
        </row>
        <row r="141">
          <cell r="A141">
            <v>86121</v>
          </cell>
          <cell r="B141" t="str">
            <v>马仔宝物碎片礼包</v>
          </cell>
          <cell r="F141">
            <v>1250</v>
          </cell>
          <cell r="G141">
            <v>2.5</v>
          </cell>
        </row>
        <row r="142">
          <cell r="A142">
            <v>86131</v>
          </cell>
          <cell r="B142" t="str">
            <v>马仔宝物碎片礼包</v>
          </cell>
          <cell r="F142">
            <v>2500</v>
          </cell>
          <cell r="G142">
            <v>5</v>
          </cell>
        </row>
        <row r="143">
          <cell r="A143">
            <v>86141</v>
          </cell>
          <cell r="B143" t="str">
            <v>马仔宝物碎片礼包</v>
          </cell>
          <cell r="F143">
            <v>3750</v>
          </cell>
          <cell r="G143">
            <v>7.5</v>
          </cell>
        </row>
        <row r="144">
          <cell r="A144">
            <v>86151</v>
          </cell>
          <cell r="B144" t="str">
            <v>马仔宝物碎片礼包</v>
          </cell>
          <cell r="F144">
            <v>5000</v>
          </cell>
          <cell r="G144">
            <v>10</v>
          </cell>
        </row>
        <row r="145">
          <cell r="A145">
            <v>86210</v>
          </cell>
          <cell r="B145" t="str">
            <v>命格福袋</v>
          </cell>
          <cell r="F145">
            <v>2500</v>
          </cell>
          <cell r="G145">
            <v>5</v>
          </cell>
        </row>
        <row r="146">
          <cell r="A146">
            <v>86220</v>
          </cell>
          <cell r="B146" t="str">
            <v>命格福袋</v>
          </cell>
          <cell r="F146">
            <v>25000</v>
          </cell>
          <cell r="G146">
            <v>50</v>
          </cell>
        </row>
        <row r="147">
          <cell r="A147">
            <v>86230</v>
          </cell>
          <cell r="B147" t="str">
            <v>命格福袋</v>
          </cell>
          <cell r="F147">
            <v>200000</v>
          </cell>
          <cell r="G147">
            <v>400</v>
          </cell>
        </row>
        <row r="148">
          <cell r="A148">
            <v>86240</v>
          </cell>
          <cell r="B148" t="str">
            <v>命格福袋</v>
          </cell>
          <cell r="F148">
            <v>2000000</v>
          </cell>
          <cell r="G148">
            <v>4000</v>
          </cell>
        </row>
        <row r="149">
          <cell r="A149">
            <v>86250</v>
          </cell>
          <cell r="B149" t="str">
            <v>命格福袋</v>
          </cell>
          <cell r="F149">
            <v>10000000</v>
          </cell>
          <cell r="G149">
            <v>20000</v>
          </cell>
        </row>
        <row r="150">
          <cell r="A150">
            <v>86310</v>
          </cell>
          <cell r="B150" t="str">
            <v>马仔碎片福袋</v>
          </cell>
          <cell r="F150">
            <v>12500</v>
          </cell>
          <cell r="G150">
            <v>25</v>
          </cell>
        </row>
        <row r="151">
          <cell r="A151">
            <v>86320</v>
          </cell>
          <cell r="B151" t="str">
            <v>马仔碎片福袋</v>
          </cell>
          <cell r="F151">
            <v>25000</v>
          </cell>
          <cell r="G151">
            <v>50</v>
          </cell>
        </row>
        <row r="152">
          <cell r="A152">
            <v>86330</v>
          </cell>
          <cell r="B152" t="str">
            <v>马仔碎片福袋</v>
          </cell>
          <cell r="F152">
            <v>50000</v>
          </cell>
          <cell r="G152">
            <v>100</v>
          </cell>
        </row>
        <row r="153">
          <cell r="A153">
            <v>86340</v>
          </cell>
          <cell r="B153" t="str">
            <v>马仔碎片福袋</v>
          </cell>
          <cell r="F153">
            <v>75000</v>
          </cell>
          <cell r="G153">
            <v>150</v>
          </cell>
        </row>
        <row r="154">
          <cell r="A154">
            <v>86350</v>
          </cell>
          <cell r="B154" t="str">
            <v>马仔碎片福袋</v>
          </cell>
          <cell r="F154">
            <v>150000</v>
          </cell>
          <cell r="G154">
            <v>300</v>
          </cell>
        </row>
        <row r="155">
          <cell r="A155">
            <v>86400</v>
          </cell>
          <cell r="B155" t="str">
            <v>装备升星石福袋</v>
          </cell>
          <cell r="F155">
            <v>2800</v>
          </cell>
          <cell r="G155">
            <v>5.6</v>
          </cell>
        </row>
        <row r="156">
          <cell r="A156">
            <v>91400</v>
          </cell>
          <cell r="B156" t="str">
            <v>马仔经验圣水</v>
          </cell>
          <cell r="F156">
            <v>100000</v>
          </cell>
          <cell r="G156">
            <v>200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龙魂表"/>
      <sheetName val="D_龙魂整图属性"/>
      <sheetName val="龙魂辅助表"/>
      <sheetName val="消耗&amp;估值"/>
      <sheetName val="龙魂整图属性辅助表"/>
    </sheetNames>
    <sheetDataSet>
      <sheetData sheetId="0"/>
      <sheetData sheetId="1"/>
      <sheetData sheetId="2">
        <row r="1">
          <cell r="C1">
            <v>1</v>
          </cell>
        </row>
        <row r="2">
          <cell r="C2">
            <v>0.5</v>
          </cell>
        </row>
        <row r="6">
          <cell r="B6">
            <v>1001</v>
          </cell>
          <cell r="C6" t="str">
            <v>赑屃</v>
          </cell>
          <cell r="D6">
            <v>1</v>
          </cell>
          <cell r="E6">
            <v>0</v>
          </cell>
          <cell r="F6">
            <v>1</v>
          </cell>
          <cell r="G6">
            <v>1</v>
          </cell>
          <cell r="V6">
            <v>34.691225182728921</v>
          </cell>
        </row>
        <row r="7">
          <cell r="B7">
            <v>1002</v>
          </cell>
          <cell r="C7" t="str">
            <v>鸱吻</v>
          </cell>
          <cell r="D7">
            <v>1</v>
          </cell>
          <cell r="E7">
            <v>1001</v>
          </cell>
          <cell r="F7">
            <v>2</v>
          </cell>
          <cell r="G7">
            <v>1</v>
          </cell>
          <cell r="V7">
            <v>38.211554801191532</v>
          </cell>
        </row>
        <row r="8">
          <cell r="B8">
            <v>1003</v>
          </cell>
          <cell r="C8" t="str">
            <v>蒲牢</v>
          </cell>
          <cell r="D8">
            <v>1</v>
          </cell>
          <cell r="E8">
            <v>1002</v>
          </cell>
          <cell r="F8">
            <v>3</v>
          </cell>
          <cell r="G8">
            <v>1</v>
          </cell>
          <cell r="V8">
            <v>35.059146245116374</v>
          </cell>
        </row>
        <row r="9">
          <cell r="B9">
            <v>1004</v>
          </cell>
          <cell r="C9" t="str">
            <v>睚眦</v>
          </cell>
          <cell r="D9">
            <v>1</v>
          </cell>
          <cell r="E9">
            <v>1003</v>
          </cell>
          <cell r="F9">
            <v>4</v>
          </cell>
          <cell r="G9">
            <v>1</v>
          </cell>
          <cell r="V9">
            <v>38.960800973763916</v>
          </cell>
        </row>
        <row r="10">
          <cell r="B10">
            <v>1005</v>
          </cell>
          <cell r="C10" t="str">
            <v>饕餮</v>
          </cell>
          <cell r="D10">
            <v>1</v>
          </cell>
          <cell r="E10">
            <v>1004</v>
          </cell>
          <cell r="F10">
            <v>5</v>
          </cell>
          <cell r="G10">
            <v>1</v>
          </cell>
          <cell r="V10">
            <v>34.340791473479662</v>
          </cell>
        </row>
        <row r="11">
          <cell r="B11">
            <v>1006</v>
          </cell>
          <cell r="C11" t="str">
            <v>蚣蝮</v>
          </cell>
          <cell r="D11">
            <v>1</v>
          </cell>
          <cell r="E11">
            <v>1005</v>
          </cell>
          <cell r="F11">
            <v>6</v>
          </cell>
          <cell r="G11">
            <v>1</v>
          </cell>
          <cell r="V11">
            <v>31.69243215673859</v>
          </cell>
        </row>
        <row r="12">
          <cell r="B12">
            <v>2001</v>
          </cell>
          <cell r="C12" t="str">
            <v>狴犴</v>
          </cell>
          <cell r="D12">
            <v>1</v>
          </cell>
          <cell r="E12">
            <v>1006</v>
          </cell>
          <cell r="F12">
            <v>1</v>
          </cell>
          <cell r="G12">
            <v>2</v>
          </cell>
          <cell r="V12">
            <v>55.128135067603871</v>
          </cell>
        </row>
        <row r="13">
          <cell r="B13">
            <v>2002</v>
          </cell>
          <cell r="C13" t="str">
            <v>狻猊</v>
          </cell>
          <cell r="D13">
            <v>1</v>
          </cell>
          <cell r="E13">
            <v>2001</v>
          </cell>
          <cell r="F13">
            <v>2</v>
          </cell>
          <cell r="G13">
            <v>2</v>
          </cell>
          <cell r="V13">
            <v>60.688939978363017</v>
          </cell>
        </row>
        <row r="14">
          <cell r="B14">
            <v>2003</v>
          </cell>
          <cell r="C14" t="str">
            <v>椒图</v>
          </cell>
          <cell r="D14">
            <v>1</v>
          </cell>
          <cell r="E14">
            <v>2002</v>
          </cell>
          <cell r="F14">
            <v>3</v>
          </cell>
          <cell r="G14">
            <v>2</v>
          </cell>
          <cell r="V14">
            <v>55.652139913364344</v>
          </cell>
        </row>
        <row r="15">
          <cell r="B15">
            <v>1007</v>
          </cell>
          <cell r="C15" t="str">
            <v>貔貅</v>
          </cell>
          <cell r="D15">
            <v>1</v>
          </cell>
          <cell r="E15">
            <v>1006</v>
          </cell>
          <cell r="F15">
            <v>7</v>
          </cell>
          <cell r="G15">
            <v>1</v>
          </cell>
          <cell r="V15">
            <v>24.963122659707253</v>
          </cell>
        </row>
        <row r="16">
          <cell r="B16">
            <v>1008</v>
          </cell>
          <cell r="C16" t="str">
            <v>赑屃</v>
          </cell>
          <cell r="D16">
            <v>2</v>
          </cell>
          <cell r="E16">
            <v>1007</v>
          </cell>
          <cell r="F16">
            <v>8</v>
          </cell>
          <cell r="G16">
            <v>1</v>
          </cell>
          <cell r="V16">
            <v>62.234975290929377</v>
          </cell>
        </row>
        <row r="17">
          <cell r="B17">
            <v>1009</v>
          </cell>
          <cell r="C17" t="str">
            <v>鸱吻</v>
          </cell>
          <cell r="D17">
            <v>2</v>
          </cell>
          <cell r="E17">
            <v>1008</v>
          </cell>
          <cell r="F17">
            <v>9</v>
          </cell>
          <cell r="G17">
            <v>1</v>
          </cell>
          <cell r="V17">
            <v>85.182414310067045</v>
          </cell>
        </row>
        <row r="18">
          <cell r="B18">
            <v>1010</v>
          </cell>
          <cell r="C18" t="str">
            <v>蒲牢</v>
          </cell>
          <cell r="D18">
            <v>2</v>
          </cell>
          <cell r="E18">
            <v>1009</v>
          </cell>
          <cell r="F18">
            <v>10</v>
          </cell>
          <cell r="G18">
            <v>1</v>
          </cell>
          <cell r="V18">
            <v>94.405017744120229</v>
          </cell>
        </row>
        <row r="19">
          <cell r="B19">
            <v>1011</v>
          </cell>
          <cell r="C19" t="str">
            <v>睚眦</v>
          </cell>
          <cell r="D19">
            <v>2</v>
          </cell>
          <cell r="E19">
            <v>1010</v>
          </cell>
          <cell r="F19">
            <v>11</v>
          </cell>
          <cell r="G19">
            <v>1</v>
          </cell>
          <cell r="V19">
            <v>83.726120163912327</v>
          </cell>
        </row>
        <row r="20">
          <cell r="B20">
            <v>2004</v>
          </cell>
          <cell r="C20" t="str">
            <v>饕餮</v>
          </cell>
          <cell r="D20">
            <v>2</v>
          </cell>
          <cell r="E20">
            <v>1011</v>
          </cell>
          <cell r="F20">
            <v>4</v>
          </cell>
          <cell r="G20">
            <v>2</v>
          </cell>
          <cell r="V20">
            <v>133.95621605212159</v>
          </cell>
        </row>
        <row r="21">
          <cell r="B21">
            <v>2005</v>
          </cell>
          <cell r="C21" t="str">
            <v>蚣蝮</v>
          </cell>
          <cell r="D21">
            <v>2</v>
          </cell>
          <cell r="E21">
            <v>2004</v>
          </cell>
          <cell r="F21">
            <v>5</v>
          </cell>
          <cell r="G21">
            <v>2</v>
          </cell>
          <cell r="V21">
            <v>148.35074216933182</v>
          </cell>
        </row>
        <row r="22">
          <cell r="B22">
            <v>1012</v>
          </cell>
          <cell r="C22" t="str">
            <v>狴犴</v>
          </cell>
          <cell r="D22">
            <v>2</v>
          </cell>
          <cell r="E22">
            <v>1011</v>
          </cell>
          <cell r="F22">
            <v>12</v>
          </cell>
          <cell r="G22">
            <v>1</v>
          </cell>
          <cell r="V22">
            <v>91.22185624942901</v>
          </cell>
        </row>
        <row r="23">
          <cell r="B23">
            <v>1013</v>
          </cell>
          <cell r="C23" t="str">
            <v>狻猊</v>
          </cell>
          <cell r="D23">
            <v>2</v>
          </cell>
          <cell r="E23">
            <v>1012</v>
          </cell>
          <cell r="F23">
            <v>13</v>
          </cell>
          <cell r="G23">
            <v>1</v>
          </cell>
          <cell r="V23">
            <v>81.323976855027311</v>
          </cell>
        </row>
        <row r="24">
          <cell r="B24">
            <v>1014</v>
          </cell>
          <cell r="C24" t="str">
            <v>椒图</v>
          </cell>
          <cell r="D24">
            <v>2</v>
          </cell>
          <cell r="E24">
            <v>1013</v>
          </cell>
          <cell r="F24">
            <v>14</v>
          </cell>
          <cell r="G24">
            <v>1</v>
          </cell>
          <cell r="V24">
            <v>103.39597181498883</v>
          </cell>
        </row>
        <row r="25">
          <cell r="B25">
            <v>1015</v>
          </cell>
          <cell r="C25" t="str">
            <v>貔貅</v>
          </cell>
          <cell r="D25">
            <v>2</v>
          </cell>
          <cell r="E25">
            <v>1014</v>
          </cell>
          <cell r="F25">
            <v>15</v>
          </cell>
          <cell r="G25">
            <v>1</v>
          </cell>
          <cell r="V25">
            <v>96.17369357588214</v>
          </cell>
        </row>
        <row r="26">
          <cell r="B26">
            <v>2006</v>
          </cell>
          <cell r="C26" t="str">
            <v>犼</v>
          </cell>
          <cell r="D26">
            <v>2</v>
          </cell>
          <cell r="E26">
            <v>1015</v>
          </cell>
          <cell r="F26">
            <v>6</v>
          </cell>
          <cell r="G26">
            <v>2</v>
          </cell>
          <cell r="V26">
            <v>139.32549683526034</v>
          </cell>
        </row>
        <row r="27">
          <cell r="B27">
            <v>2007</v>
          </cell>
          <cell r="C27" t="str">
            <v>螭</v>
          </cell>
          <cell r="D27">
            <v>2</v>
          </cell>
          <cell r="E27">
            <v>1015</v>
          </cell>
          <cell r="F27">
            <v>7</v>
          </cell>
          <cell r="G27">
            <v>2</v>
          </cell>
          <cell r="V27">
            <v>161.83717327563471</v>
          </cell>
        </row>
        <row r="28">
          <cell r="B28">
            <v>2008</v>
          </cell>
          <cell r="C28" t="str">
            <v>麒麟</v>
          </cell>
          <cell r="D28">
            <v>2</v>
          </cell>
          <cell r="E28">
            <v>2007</v>
          </cell>
          <cell r="F28">
            <v>8</v>
          </cell>
          <cell r="G28">
            <v>2</v>
          </cell>
          <cell r="V28">
            <v>130.95552155331606</v>
          </cell>
        </row>
        <row r="29">
          <cell r="B29">
            <v>1016</v>
          </cell>
          <cell r="C29" t="str">
            <v>鱼龙</v>
          </cell>
          <cell r="D29">
            <v>2</v>
          </cell>
          <cell r="E29">
            <v>1015</v>
          </cell>
          <cell r="F29">
            <v>16</v>
          </cell>
          <cell r="G29">
            <v>1</v>
          </cell>
          <cell r="V29">
            <v>75.498166746373357</v>
          </cell>
        </row>
        <row r="30">
          <cell r="B30">
            <v>1017</v>
          </cell>
          <cell r="C30" t="str">
            <v>赑屃</v>
          </cell>
          <cell r="D30">
            <v>3</v>
          </cell>
          <cell r="E30">
            <v>1016</v>
          </cell>
          <cell r="F30">
            <v>17</v>
          </cell>
          <cell r="G30">
            <v>1</v>
          </cell>
          <cell r="V30">
            <v>179.81908141737193</v>
          </cell>
        </row>
        <row r="31">
          <cell r="B31">
            <v>1018</v>
          </cell>
          <cell r="C31" t="str">
            <v>鸱吻</v>
          </cell>
          <cell r="D31">
            <v>3</v>
          </cell>
          <cell r="E31">
            <v>1017</v>
          </cell>
          <cell r="F31">
            <v>18</v>
          </cell>
          <cell r="G31">
            <v>1</v>
          </cell>
          <cell r="V31">
            <v>159.43938898401274</v>
          </cell>
        </row>
        <row r="32">
          <cell r="B32">
            <v>2009</v>
          </cell>
          <cell r="C32" t="str">
            <v>蒲牢</v>
          </cell>
          <cell r="D32">
            <v>3</v>
          </cell>
          <cell r="E32">
            <v>1018</v>
          </cell>
          <cell r="F32">
            <v>9</v>
          </cell>
          <cell r="G32">
            <v>2</v>
          </cell>
          <cell r="V32">
            <v>278.15764156749708</v>
          </cell>
        </row>
        <row r="33">
          <cell r="B33">
            <v>1019</v>
          </cell>
          <cell r="C33" t="str">
            <v>睚眦</v>
          </cell>
          <cell r="D33">
            <v>3</v>
          </cell>
          <cell r="E33">
            <v>1018</v>
          </cell>
          <cell r="F33">
            <v>19</v>
          </cell>
          <cell r="G33">
            <v>1</v>
          </cell>
          <cell r="V33">
            <v>172.5974322210028</v>
          </cell>
        </row>
        <row r="34">
          <cell r="B34">
            <v>2010</v>
          </cell>
          <cell r="C34" t="str">
            <v>饕餮</v>
          </cell>
          <cell r="D34">
            <v>3</v>
          </cell>
          <cell r="E34">
            <v>1019</v>
          </cell>
          <cell r="F34">
            <v>10</v>
          </cell>
          <cell r="G34">
            <v>2</v>
          </cell>
          <cell r="V34">
            <v>173.60717122432769</v>
          </cell>
        </row>
        <row r="35">
          <cell r="B35">
            <v>2011</v>
          </cell>
          <cell r="C35" t="str">
            <v>蚣蝮</v>
          </cell>
          <cell r="D35">
            <v>3</v>
          </cell>
          <cell r="E35">
            <v>2010</v>
          </cell>
          <cell r="F35">
            <v>11</v>
          </cell>
          <cell r="G35">
            <v>2</v>
          </cell>
          <cell r="V35">
            <v>266.62439156528046</v>
          </cell>
        </row>
        <row r="36">
          <cell r="B36">
            <v>2012</v>
          </cell>
          <cell r="C36" t="str">
            <v>狴犴</v>
          </cell>
          <cell r="D36">
            <v>3</v>
          </cell>
          <cell r="E36">
            <v>2011</v>
          </cell>
          <cell r="F36">
            <v>12</v>
          </cell>
          <cell r="G36">
            <v>2</v>
          </cell>
          <cell r="V36">
            <v>268.04929774785575</v>
          </cell>
        </row>
        <row r="37">
          <cell r="B37">
            <v>1020</v>
          </cell>
          <cell r="C37" t="str">
            <v>狻猊</v>
          </cell>
          <cell r="D37">
            <v>3</v>
          </cell>
          <cell r="E37">
            <v>1019</v>
          </cell>
          <cell r="F37">
            <v>20</v>
          </cell>
          <cell r="G37">
            <v>1</v>
          </cell>
          <cell r="V37">
            <v>199.48679344739688</v>
          </cell>
        </row>
        <row r="38">
          <cell r="B38">
            <v>1021</v>
          </cell>
          <cell r="C38" t="str">
            <v>椒图</v>
          </cell>
          <cell r="D38">
            <v>3</v>
          </cell>
          <cell r="E38">
            <v>1020</v>
          </cell>
          <cell r="F38">
            <v>21</v>
          </cell>
          <cell r="G38">
            <v>1</v>
          </cell>
          <cell r="V38">
            <v>183.80523274138682</v>
          </cell>
        </row>
        <row r="39">
          <cell r="B39">
            <v>2013</v>
          </cell>
          <cell r="C39" t="str">
            <v>貔貅</v>
          </cell>
          <cell r="D39">
            <v>3</v>
          </cell>
          <cell r="E39">
            <v>1021</v>
          </cell>
          <cell r="F39">
            <v>13</v>
          </cell>
          <cell r="G39">
            <v>2</v>
          </cell>
          <cell r="V39">
            <v>245.54160291246757</v>
          </cell>
        </row>
        <row r="40">
          <cell r="B40">
            <v>2014</v>
          </cell>
          <cell r="C40" t="str">
            <v>犼</v>
          </cell>
          <cell r="D40">
            <v>3</v>
          </cell>
          <cell r="E40">
            <v>2013</v>
          </cell>
          <cell r="F40">
            <v>14</v>
          </cell>
          <cell r="G40">
            <v>2</v>
          </cell>
          <cell r="V40">
            <v>212.33859397417507</v>
          </cell>
        </row>
        <row r="41">
          <cell r="B41">
            <v>2015</v>
          </cell>
          <cell r="C41" t="str">
            <v>螭</v>
          </cell>
          <cell r="D41">
            <v>3</v>
          </cell>
          <cell r="E41">
            <v>2014</v>
          </cell>
          <cell r="F41">
            <v>15</v>
          </cell>
          <cell r="G41">
            <v>2</v>
          </cell>
          <cell r="V41">
            <v>316.08822905397403</v>
          </cell>
        </row>
        <row r="42">
          <cell r="B42">
            <v>1022</v>
          </cell>
          <cell r="C42" t="str">
            <v>麒麟</v>
          </cell>
          <cell r="D42">
            <v>3</v>
          </cell>
          <cell r="E42">
            <v>1021</v>
          </cell>
          <cell r="F42">
            <v>22</v>
          </cell>
          <cell r="G42">
            <v>1</v>
          </cell>
          <cell r="V42">
            <v>171.20330392340904</v>
          </cell>
        </row>
        <row r="43">
          <cell r="B43">
            <v>1023</v>
          </cell>
          <cell r="C43" t="str">
            <v>鱼龙</v>
          </cell>
          <cell r="D43">
            <v>3</v>
          </cell>
          <cell r="E43">
            <v>1022</v>
          </cell>
          <cell r="F43">
            <v>23</v>
          </cell>
          <cell r="G43">
            <v>1</v>
          </cell>
          <cell r="V43">
            <v>216.34483233027558</v>
          </cell>
        </row>
        <row r="44">
          <cell r="B44">
            <v>1024</v>
          </cell>
          <cell r="C44" t="str">
            <v>蟠螭</v>
          </cell>
          <cell r="D44">
            <v>3</v>
          </cell>
          <cell r="E44">
            <v>1023</v>
          </cell>
          <cell r="F44">
            <v>24</v>
          </cell>
          <cell r="G44">
            <v>1</v>
          </cell>
          <cell r="V44">
            <v>200.93432407818236</v>
          </cell>
        </row>
        <row r="45">
          <cell r="B45">
            <v>1025</v>
          </cell>
          <cell r="C45" t="str">
            <v>赑屃</v>
          </cell>
          <cell r="D45">
            <v>4</v>
          </cell>
          <cell r="E45">
            <v>1024</v>
          </cell>
          <cell r="F45">
            <v>25</v>
          </cell>
          <cell r="G45">
            <v>1</v>
          </cell>
          <cell r="V45">
            <v>274.7263317878373</v>
          </cell>
        </row>
        <row r="46">
          <cell r="B46">
            <v>1026</v>
          </cell>
          <cell r="C46" t="str">
            <v>鸱吻</v>
          </cell>
          <cell r="D46">
            <v>4</v>
          </cell>
          <cell r="E46">
            <v>1025</v>
          </cell>
          <cell r="F46">
            <v>26</v>
          </cell>
          <cell r="G46">
            <v>1</v>
          </cell>
          <cell r="V46">
            <v>319.17886951583506</v>
          </cell>
        </row>
        <row r="47">
          <cell r="B47">
            <v>2016</v>
          </cell>
          <cell r="C47" t="str">
            <v>蒲牢</v>
          </cell>
          <cell r="D47">
            <v>4</v>
          </cell>
          <cell r="E47">
            <v>1026</v>
          </cell>
          <cell r="F47">
            <v>16</v>
          </cell>
          <cell r="G47">
            <v>2</v>
          </cell>
          <cell r="V47">
            <v>294.11097242709633</v>
          </cell>
        </row>
        <row r="48">
          <cell r="B48">
            <v>2017</v>
          </cell>
          <cell r="C48" t="str">
            <v>睚眦</v>
          </cell>
          <cell r="D48">
            <v>4</v>
          </cell>
          <cell r="E48">
            <v>2016</v>
          </cell>
          <cell r="F48">
            <v>17</v>
          </cell>
          <cell r="G48">
            <v>2</v>
          </cell>
          <cell r="V48">
            <v>451.32940485253266</v>
          </cell>
        </row>
        <row r="49">
          <cell r="B49">
            <v>2018</v>
          </cell>
          <cell r="C49" t="str">
            <v>饕餮</v>
          </cell>
          <cell r="D49">
            <v>4</v>
          </cell>
          <cell r="E49">
            <v>2017</v>
          </cell>
          <cell r="F49">
            <v>18</v>
          </cell>
          <cell r="G49">
            <v>2</v>
          </cell>
          <cell r="V49">
            <v>435.63746897785626</v>
          </cell>
        </row>
        <row r="50">
          <cell r="B50">
            <v>2019</v>
          </cell>
          <cell r="C50" t="str">
            <v>蚣蝮</v>
          </cell>
          <cell r="D50">
            <v>4</v>
          </cell>
          <cell r="E50">
            <v>2018</v>
          </cell>
          <cell r="F50">
            <v>19</v>
          </cell>
          <cell r="G50">
            <v>2</v>
          </cell>
          <cell r="V50">
            <v>505.74116648635851</v>
          </cell>
        </row>
        <row r="51">
          <cell r="B51">
            <v>1027</v>
          </cell>
          <cell r="C51" t="str">
            <v>狴犴</v>
          </cell>
          <cell r="D51">
            <v>4</v>
          </cell>
          <cell r="E51">
            <v>1026</v>
          </cell>
          <cell r="F51">
            <v>27</v>
          </cell>
          <cell r="G51">
            <v>1</v>
          </cell>
          <cell r="V51">
            <v>313.25145907573045</v>
          </cell>
        </row>
        <row r="52">
          <cell r="B52">
            <v>1028</v>
          </cell>
          <cell r="C52" t="str">
            <v>狻猊</v>
          </cell>
          <cell r="D52">
            <v>4</v>
          </cell>
          <cell r="E52">
            <v>1027</v>
          </cell>
          <cell r="F52">
            <v>28</v>
          </cell>
          <cell r="G52">
            <v>1</v>
          </cell>
          <cell r="V52">
            <v>314.51117602415076</v>
          </cell>
        </row>
        <row r="53">
          <cell r="B53">
            <v>2020</v>
          </cell>
          <cell r="C53" t="str">
            <v>椒图</v>
          </cell>
          <cell r="D53">
            <v>4</v>
          </cell>
          <cell r="E53">
            <v>1028</v>
          </cell>
          <cell r="F53">
            <v>20</v>
          </cell>
          <cell r="G53">
            <v>2</v>
          </cell>
          <cell r="V53">
            <v>419.77523347227338</v>
          </cell>
        </row>
        <row r="54">
          <cell r="B54">
            <v>2021</v>
          </cell>
          <cell r="C54" t="str">
            <v>貔貅</v>
          </cell>
          <cell r="D54">
            <v>4</v>
          </cell>
          <cell r="E54">
            <v>2020</v>
          </cell>
          <cell r="F54">
            <v>21</v>
          </cell>
          <cell r="G54">
            <v>2</v>
          </cell>
          <cell r="V54">
            <v>488.42497237465869</v>
          </cell>
        </row>
        <row r="55">
          <cell r="B55">
            <v>2022</v>
          </cell>
          <cell r="C55" t="str">
            <v>犼</v>
          </cell>
          <cell r="D55">
            <v>4</v>
          </cell>
          <cell r="E55">
            <v>2021</v>
          </cell>
          <cell r="F55">
            <v>22</v>
          </cell>
          <cell r="G55">
            <v>2</v>
          </cell>
          <cell r="V55">
            <v>539.45724425211563</v>
          </cell>
        </row>
        <row r="56">
          <cell r="B56">
            <v>2023</v>
          </cell>
          <cell r="C56" t="str">
            <v>螭</v>
          </cell>
          <cell r="D56">
            <v>4</v>
          </cell>
          <cell r="E56">
            <v>2022</v>
          </cell>
          <cell r="F56">
            <v>23</v>
          </cell>
          <cell r="G56">
            <v>2</v>
          </cell>
          <cell r="V56">
            <v>496.27412840174435</v>
          </cell>
        </row>
        <row r="57">
          <cell r="B57">
            <v>1029</v>
          </cell>
          <cell r="C57" t="str">
            <v>麒麟</v>
          </cell>
          <cell r="D57">
            <v>4</v>
          </cell>
          <cell r="E57">
            <v>1028</v>
          </cell>
          <cell r="F57">
            <v>29</v>
          </cell>
          <cell r="G57">
            <v>1</v>
          </cell>
          <cell r="V57">
            <v>368.62911690561242</v>
          </cell>
        </row>
        <row r="58">
          <cell r="B58">
            <v>1030</v>
          </cell>
          <cell r="C58" t="str">
            <v>鱼龙</v>
          </cell>
          <cell r="D58">
            <v>4</v>
          </cell>
          <cell r="E58">
            <v>1029</v>
          </cell>
          <cell r="F58">
            <v>30</v>
          </cell>
          <cell r="G58">
            <v>1</v>
          </cell>
          <cell r="V58">
            <v>226.02972880971296</v>
          </cell>
        </row>
        <row r="59">
          <cell r="B59">
            <v>1031</v>
          </cell>
          <cell r="C59" t="str">
            <v>蟠螭</v>
          </cell>
          <cell r="D59">
            <v>4</v>
          </cell>
          <cell r="E59">
            <v>1030</v>
          </cell>
          <cell r="F59">
            <v>31</v>
          </cell>
          <cell r="G59">
            <v>1</v>
          </cell>
          <cell r="V59">
            <v>301.37709069804242</v>
          </cell>
        </row>
        <row r="60">
          <cell r="B60">
            <v>1032</v>
          </cell>
          <cell r="C60" t="str">
            <v>蛟龙</v>
          </cell>
          <cell r="D60">
            <v>4</v>
          </cell>
          <cell r="E60">
            <v>1031</v>
          </cell>
          <cell r="F60">
            <v>32</v>
          </cell>
          <cell r="G60">
            <v>1</v>
          </cell>
          <cell r="V60">
            <v>382.11554801191522</v>
          </cell>
        </row>
        <row r="61">
          <cell r="B61">
            <v>1033</v>
          </cell>
          <cell r="C61" t="str">
            <v>角龙</v>
          </cell>
          <cell r="D61">
            <v>4</v>
          </cell>
          <cell r="E61">
            <v>1032</v>
          </cell>
          <cell r="F61">
            <v>33</v>
          </cell>
          <cell r="G61">
            <v>1</v>
          </cell>
          <cell r="V61">
            <v>263.22333811573412</v>
          </cell>
        </row>
        <row r="62">
          <cell r="B62">
            <v>1034</v>
          </cell>
          <cell r="C62" t="str">
            <v>应龙</v>
          </cell>
          <cell r="D62">
            <v>5</v>
          </cell>
          <cell r="E62">
            <v>1033</v>
          </cell>
          <cell r="F62">
            <v>34</v>
          </cell>
          <cell r="G62">
            <v>1</v>
          </cell>
          <cell r="V62">
            <v>480.86846787941079</v>
          </cell>
        </row>
        <row r="63">
          <cell r="B63">
            <v>1035</v>
          </cell>
          <cell r="C63" t="str">
            <v>赑屃</v>
          </cell>
          <cell r="D63">
            <v>5</v>
          </cell>
          <cell r="E63">
            <v>1034</v>
          </cell>
          <cell r="F63">
            <v>35</v>
          </cell>
          <cell r="G63">
            <v>1</v>
          </cell>
          <cell r="V63">
            <v>531.02822481067631</v>
          </cell>
        </row>
        <row r="64">
          <cell r="B64">
            <v>1036</v>
          </cell>
          <cell r="C64" t="str">
            <v>鸱吻</v>
          </cell>
          <cell r="D64">
            <v>5</v>
          </cell>
          <cell r="E64">
            <v>1035</v>
          </cell>
          <cell r="F64">
            <v>36</v>
          </cell>
          <cell r="G64">
            <v>1</v>
          </cell>
          <cell r="V64">
            <v>488.44538700720392</v>
          </cell>
        </row>
        <row r="65">
          <cell r="B65">
            <v>2024</v>
          </cell>
          <cell r="C65" t="str">
            <v>蒲牢</v>
          </cell>
          <cell r="D65">
            <v>5</v>
          </cell>
          <cell r="E65">
            <v>1036</v>
          </cell>
          <cell r="F65">
            <v>24</v>
          </cell>
          <cell r="G65">
            <v>2</v>
          </cell>
          <cell r="V65">
            <v>555.71496891439506</v>
          </cell>
        </row>
        <row r="66">
          <cell r="B66">
            <v>2025</v>
          </cell>
          <cell r="C66" t="str">
            <v>睚眦</v>
          </cell>
          <cell r="D66">
            <v>5</v>
          </cell>
          <cell r="E66">
            <v>2024</v>
          </cell>
          <cell r="F66">
            <v>25</v>
          </cell>
          <cell r="G66">
            <v>2</v>
          </cell>
          <cell r="V66">
            <v>757.3678369100719</v>
          </cell>
        </row>
        <row r="67">
          <cell r="B67">
            <v>2026</v>
          </cell>
          <cell r="C67" t="str">
            <v>饕餮</v>
          </cell>
          <cell r="D67">
            <v>5</v>
          </cell>
          <cell r="E67">
            <v>1036</v>
          </cell>
          <cell r="F67">
            <v>26</v>
          </cell>
          <cell r="G67">
            <v>2</v>
          </cell>
          <cell r="V67">
            <v>729.74181881144295</v>
          </cell>
        </row>
        <row r="68">
          <cell r="B68">
            <v>2027</v>
          </cell>
          <cell r="C68" t="str">
            <v>蚣蝮</v>
          </cell>
          <cell r="D68">
            <v>5</v>
          </cell>
          <cell r="E68">
            <v>2026</v>
          </cell>
          <cell r="F68">
            <v>27</v>
          </cell>
          <cell r="G68">
            <v>2</v>
          </cell>
          <cell r="V68">
            <v>845.71161729107712</v>
          </cell>
        </row>
        <row r="69">
          <cell r="B69">
            <v>2028</v>
          </cell>
          <cell r="C69" t="str">
            <v>狴犴</v>
          </cell>
          <cell r="D69">
            <v>5</v>
          </cell>
          <cell r="E69">
            <v>2027</v>
          </cell>
          <cell r="F69">
            <v>28</v>
          </cell>
          <cell r="G69">
            <v>2</v>
          </cell>
          <cell r="V69">
            <v>685.93955321944816</v>
          </cell>
        </row>
        <row r="70">
          <cell r="B70">
            <v>1037</v>
          </cell>
          <cell r="C70" t="str">
            <v>狻猊</v>
          </cell>
          <cell r="D70">
            <v>5</v>
          </cell>
          <cell r="E70">
            <v>1036</v>
          </cell>
          <cell r="F70">
            <v>37</v>
          </cell>
          <cell r="G70">
            <v>1</v>
          </cell>
          <cell r="V70">
            <v>576.91955288073484</v>
          </cell>
        </row>
        <row r="71">
          <cell r="B71">
            <v>1038</v>
          </cell>
          <cell r="C71" t="str">
            <v>椒图</v>
          </cell>
          <cell r="D71">
            <v>5</v>
          </cell>
          <cell r="E71">
            <v>1037</v>
          </cell>
          <cell r="F71">
            <v>38</v>
          </cell>
          <cell r="G71">
            <v>1</v>
          </cell>
          <cell r="V71">
            <v>534.96617051584451</v>
          </cell>
        </row>
        <row r="72">
          <cell r="B72">
            <v>1039</v>
          </cell>
          <cell r="C72" t="str">
            <v>貔貅</v>
          </cell>
          <cell r="D72">
            <v>5</v>
          </cell>
          <cell r="E72">
            <v>1038</v>
          </cell>
          <cell r="F72">
            <v>39</v>
          </cell>
          <cell r="G72">
            <v>1</v>
          </cell>
          <cell r="V72">
            <v>515.11187210219498</v>
          </cell>
        </row>
        <row r="73">
          <cell r="B73">
            <v>2029</v>
          </cell>
          <cell r="C73" t="str">
            <v>犼</v>
          </cell>
          <cell r="D73">
            <v>5</v>
          </cell>
          <cell r="E73">
            <v>1039</v>
          </cell>
          <cell r="F73">
            <v>29</v>
          </cell>
          <cell r="G73">
            <v>2</v>
          </cell>
          <cell r="V73">
            <v>820.48182331924465</v>
          </cell>
        </row>
        <row r="74">
          <cell r="B74">
            <v>2030</v>
          </cell>
          <cell r="C74" t="str">
            <v>螭</v>
          </cell>
          <cell r="D74">
            <v>5</v>
          </cell>
          <cell r="E74">
            <v>2029</v>
          </cell>
          <cell r="F74">
            <v>30</v>
          </cell>
          <cell r="G74">
            <v>2</v>
          </cell>
          <cell r="V74">
            <v>904.71475338115238</v>
          </cell>
        </row>
        <row r="75">
          <cell r="B75">
            <v>2031</v>
          </cell>
          <cell r="C75" t="str">
            <v>麒麟</v>
          </cell>
          <cell r="D75">
            <v>5</v>
          </cell>
          <cell r="E75">
            <v>2030</v>
          </cell>
          <cell r="F75">
            <v>31</v>
          </cell>
          <cell r="G75">
            <v>2</v>
          </cell>
          <cell r="V75">
            <v>830.95282301835277</v>
          </cell>
        </row>
        <row r="76">
          <cell r="B76">
            <v>2032</v>
          </cell>
          <cell r="C76" t="str">
            <v>鱼龙</v>
          </cell>
          <cell r="D76">
            <v>5</v>
          </cell>
          <cell r="E76">
            <v>2031</v>
          </cell>
          <cell r="F76">
            <v>32</v>
          </cell>
          <cell r="G76">
            <v>2</v>
          </cell>
          <cell r="V76">
            <v>737.74600327124961</v>
          </cell>
        </row>
        <row r="77">
          <cell r="B77">
            <v>1040</v>
          </cell>
          <cell r="C77" t="str">
            <v>蟠螭</v>
          </cell>
          <cell r="D77">
            <v>5</v>
          </cell>
          <cell r="E77">
            <v>1039</v>
          </cell>
          <cell r="F77">
            <v>40</v>
          </cell>
          <cell r="G77">
            <v>1</v>
          </cell>
          <cell r="V77">
            <v>622.81088095079326</v>
          </cell>
        </row>
        <row r="78">
          <cell r="B78">
            <v>1041</v>
          </cell>
          <cell r="C78" t="str">
            <v>蛟龙</v>
          </cell>
          <cell r="D78">
            <v>5</v>
          </cell>
          <cell r="E78">
            <v>1040</v>
          </cell>
          <cell r="F78">
            <v>41</v>
          </cell>
          <cell r="G78">
            <v>1</v>
          </cell>
          <cell r="V78">
            <v>502.29515116340406</v>
          </cell>
        </row>
        <row r="79">
          <cell r="B79">
            <v>1042</v>
          </cell>
          <cell r="C79" t="str">
            <v>赑屃</v>
          </cell>
          <cell r="D79">
            <v>6</v>
          </cell>
          <cell r="E79">
            <v>1041</v>
          </cell>
          <cell r="F79">
            <v>42</v>
          </cell>
          <cell r="G79">
            <v>1</v>
          </cell>
          <cell r="V79">
            <v>476.56870532168386</v>
          </cell>
        </row>
        <row r="80">
          <cell r="B80">
            <v>1043</v>
          </cell>
          <cell r="C80" t="str">
            <v>鸱吻</v>
          </cell>
          <cell r="D80">
            <v>6</v>
          </cell>
          <cell r="E80">
            <v>1042</v>
          </cell>
          <cell r="F80">
            <v>43</v>
          </cell>
          <cell r="G80">
            <v>1</v>
          </cell>
          <cell r="V80">
            <v>795.69943527187058</v>
          </cell>
        </row>
        <row r="81">
          <cell r="B81">
            <v>1044</v>
          </cell>
          <cell r="C81" t="str">
            <v>蒲牢</v>
          </cell>
          <cell r="D81">
            <v>6</v>
          </cell>
          <cell r="E81">
            <v>1043</v>
          </cell>
          <cell r="F81">
            <v>44</v>
          </cell>
          <cell r="G81">
            <v>1</v>
          </cell>
          <cell r="V81">
            <v>737.78962071783872</v>
          </cell>
        </row>
        <row r="82">
          <cell r="B82">
            <v>2033</v>
          </cell>
          <cell r="C82" t="str">
            <v>睚眦</v>
          </cell>
          <cell r="D82">
            <v>6</v>
          </cell>
          <cell r="E82">
            <v>1044</v>
          </cell>
          <cell r="F82">
            <v>33</v>
          </cell>
          <cell r="G82">
            <v>2</v>
          </cell>
          <cell r="V82">
            <v>830.98995695839324</v>
          </cell>
        </row>
        <row r="83">
          <cell r="B83">
            <v>2034</v>
          </cell>
          <cell r="C83" t="str">
            <v>饕餮</v>
          </cell>
          <cell r="D83">
            <v>6</v>
          </cell>
          <cell r="E83">
            <v>2033</v>
          </cell>
          <cell r="F83">
            <v>34</v>
          </cell>
          <cell r="G83">
            <v>2</v>
          </cell>
          <cell r="V83">
            <v>1234.0084462267146</v>
          </cell>
        </row>
        <row r="84">
          <cell r="B84">
            <v>2035</v>
          </cell>
          <cell r="C84" t="str">
            <v>蚣蝮</v>
          </cell>
          <cell r="D84">
            <v>6</v>
          </cell>
          <cell r="E84">
            <v>2034</v>
          </cell>
          <cell r="F84">
            <v>35</v>
          </cell>
          <cell r="G84">
            <v>2</v>
          </cell>
          <cell r="V84">
            <v>1089.0936724446408</v>
          </cell>
        </row>
        <row r="85">
          <cell r="B85">
            <v>1045</v>
          </cell>
          <cell r="C85" t="str">
            <v>狴犴</v>
          </cell>
          <cell r="D85">
            <v>6</v>
          </cell>
          <cell r="E85">
            <v>1044</v>
          </cell>
          <cell r="F85">
            <v>45</v>
          </cell>
          <cell r="G85">
            <v>1</v>
          </cell>
          <cell r="V85">
            <v>840.65420562621364</v>
          </cell>
        </row>
        <row r="86">
          <cell r="B86">
            <v>2036</v>
          </cell>
          <cell r="C86" t="str">
            <v>狻猊</v>
          </cell>
          <cell r="D86">
            <v>6</v>
          </cell>
          <cell r="E86">
            <v>1045</v>
          </cell>
          <cell r="F86">
            <v>36</v>
          </cell>
          <cell r="G86">
            <v>2</v>
          </cell>
          <cell r="V86">
            <v>1168.5103769469681</v>
          </cell>
        </row>
        <row r="87">
          <cell r="B87">
            <v>2037</v>
          </cell>
          <cell r="C87" t="str">
            <v>椒图</v>
          </cell>
          <cell r="D87">
            <v>6</v>
          </cell>
          <cell r="E87">
            <v>1045</v>
          </cell>
          <cell r="F87">
            <v>37</v>
          </cell>
          <cell r="G87">
            <v>2</v>
          </cell>
          <cell r="V87">
            <v>1170.226648453496</v>
          </cell>
        </row>
        <row r="88">
          <cell r="B88">
            <v>2038</v>
          </cell>
          <cell r="C88" t="str">
            <v>貔貅</v>
          </cell>
          <cell r="D88">
            <v>6</v>
          </cell>
          <cell r="E88">
            <v>2037</v>
          </cell>
          <cell r="F88">
            <v>38</v>
          </cell>
          <cell r="G88">
            <v>2</v>
          </cell>
          <cell r="V88">
            <v>1301.4406017582291</v>
          </cell>
        </row>
        <row r="89">
          <cell r="B89">
            <v>2039</v>
          </cell>
          <cell r="C89" t="str">
            <v>犼</v>
          </cell>
          <cell r="D89">
            <v>6</v>
          </cell>
          <cell r="E89">
            <v>2038</v>
          </cell>
          <cell r="F89">
            <v>39</v>
          </cell>
          <cell r="G89">
            <v>2</v>
          </cell>
          <cell r="V89">
            <v>1205.6059444690939</v>
          </cell>
        </row>
        <row r="90">
          <cell r="B90">
            <v>2040</v>
          </cell>
          <cell r="C90" t="str">
            <v>螭</v>
          </cell>
          <cell r="D90">
            <v>6</v>
          </cell>
          <cell r="E90">
            <v>2039</v>
          </cell>
          <cell r="F90">
            <v>40</v>
          </cell>
          <cell r="G90">
            <v>2</v>
          </cell>
          <cell r="V90">
            <v>804.72029955747189</v>
          </cell>
        </row>
        <row r="91">
          <cell r="B91">
            <v>2041</v>
          </cell>
          <cell r="C91" t="str">
            <v>麒麟</v>
          </cell>
          <cell r="D91">
            <v>6</v>
          </cell>
          <cell r="E91">
            <v>2040</v>
          </cell>
          <cell r="F91">
            <v>41</v>
          </cell>
          <cell r="G91">
            <v>2</v>
          </cell>
          <cell r="V91">
            <v>1070.9650187305438</v>
          </cell>
        </row>
        <row r="92">
          <cell r="B92">
            <v>1046</v>
          </cell>
          <cell r="C92" t="str">
            <v>鱼龙</v>
          </cell>
          <cell r="D92">
            <v>6</v>
          </cell>
          <cell r="E92">
            <v>1045</v>
          </cell>
          <cell r="F92">
            <v>46</v>
          </cell>
          <cell r="G92">
            <v>1</v>
          </cell>
          <cell r="V92">
            <v>788.85703841936129</v>
          </cell>
        </row>
        <row r="93">
          <cell r="B93">
            <v>1047</v>
          </cell>
          <cell r="C93" t="str">
            <v>蟠螭</v>
          </cell>
          <cell r="D93">
            <v>6</v>
          </cell>
          <cell r="E93">
            <v>1046</v>
          </cell>
          <cell r="F93">
            <v>47</v>
          </cell>
          <cell r="G93">
            <v>1</v>
          </cell>
          <cell r="V93">
            <v>728.32796918693589</v>
          </cell>
        </row>
        <row r="94">
          <cell r="B94">
            <v>1048</v>
          </cell>
          <cell r="C94" t="str">
            <v>蛟龙</v>
          </cell>
          <cell r="D94">
            <v>6</v>
          </cell>
          <cell r="E94">
            <v>1047</v>
          </cell>
          <cell r="F94">
            <v>48</v>
          </cell>
          <cell r="G94">
            <v>1</v>
          </cell>
          <cell r="V94">
            <v>844.95459355953597</v>
          </cell>
        </row>
        <row r="95">
          <cell r="B95">
            <v>1049</v>
          </cell>
          <cell r="C95" t="str">
            <v>角龙</v>
          </cell>
          <cell r="D95">
            <v>6</v>
          </cell>
          <cell r="E95">
            <v>1048</v>
          </cell>
          <cell r="F95">
            <v>49</v>
          </cell>
          <cell r="G95">
            <v>1</v>
          </cell>
          <cell r="V95">
            <v>845.50407061037936</v>
          </cell>
        </row>
        <row r="96">
          <cell r="B96">
            <v>1050</v>
          </cell>
          <cell r="C96" t="str">
            <v>应龙</v>
          </cell>
          <cell r="D96">
            <v>6</v>
          </cell>
          <cell r="E96">
            <v>1049</v>
          </cell>
          <cell r="F96">
            <v>50</v>
          </cell>
          <cell r="G96">
            <v>1</v>
          </cell>
          <cell r="V96">
            <v>939.55470040576813</v>
          </cell>
        </row>
      </sheetData>
      <sheetData sheetId="3">
        <row r="3">
          <cell r="J3">
            <v>242326.1139587537</v>
          </cell>
        </row>
        <row r="4">
          <cell r="J4">
            <v>44763.774408578116</v>
          </cell>
        </row>
        <row r="8">
          <cell r="I8" t="str">
            <v>张数</v>
          </cell>
          <cell r="J8" t="str">
            <v>属性价值</v>
          </cell>
          <cell r="K8" t="str">
            <v>龙魂需求量</v>
          </cell>
          <cell r="L8" t="str">
            <v>龙魂/属性</v>
          </cell>
        </row>
        <row r="9">
          <cell r="I9">
            <v>1</v>
          </cell>
          <cell r="J9">
            <v>655.46828845205755</v>
          </cell>
          <cell r="K9">
            <v>2028.6666666666665</v>
          </cell>
          <cell r="L9">
            <v>3.0949882738912211</v>
          </cell>
        </row>
        <row r="10">
          <cell r="I10">
            <v>2</v>
          </cell>
          <cell r="J10">
            <v>1904.1873426363941</v>
          </cell>
          <cell r="K10">
            <v>6498.0793650793657</v>
          </cell>
          <cell r="L10">
            <v>3.4125210369703516</v>
          </cell>
        </row>
        <row r="11">
          <cell r="I11">
            <v>3</v>
          </cell>
          <cell r="J11">
            <v>3844.2373171886156</v>
          </cell>
          <cell r="K11">
            <v>13668.988636363638</v>
          </cell>
          <cell r="L11">
            <v>3.5557088463935163</v>
          </cell>
        </row>
        <row r="12">
          <cell r="I12">
            <v>4</v>
          </cell>
          <cell r="J12">
            <v>7281.5532501892067</v>
          </cell>
          <cell r="K12">
            <v>33245.196581196586</v>
          </cell>
          <cell r="L12">
            <v>4.5656737565343946</v>
          </cell>
        </row>
        <row r="13">
          <cell r="I13">
            <v>5</v>
          </cell>
          <cell r="J13">
            <v>12321.256905446699</v>
          </cell>
          <cell r="K13">
            <v>68837.166666666672</v>
          </cell>
          <cell r="L13">
            <v>5.5868623789701779</v>
          </cell>
        </row>
        <row r="14">
          <cell r="I14">
            <v>6</v>
          </cell>
          <cell r="J14">
            <v>18757.071304665136</v>
          </cell>
          <cell r="K14">
            <v>118048.01604278077</v>
          </cell>
          <cell r="L14">
            <v>6.2935206741694607</v>
          </cell>
        </row>
        <row r="16">
          <cell r="J16">
            <v>75611.083152958163</v>
          </cell>
        </row>
        <row r="17">
          <cell r="J17">
            <v>166715.03080579554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/>
      <sheetData sheetId="1"/>
      <sheetData sheetId="2"/>
      <sheetData sheetId="3">
        <row r="75">
          <cell r="A75">
            <v>501201</v>
          </cell>
          <cell r="B75" t="str">
            <v>精英巴闭</v>
          </cell>
          <cell r="D75">
            <v>10</v>
          </cell>
        </row>
        <row r="76">
          <cell r="A76">
            <v>501202</v>
          </cell>
          <cell r="B76" t="str">
            <v>精英大傻保镖</v>
          </cell>
          <cell r="D76">
            <v>10</v>
          </cell>
        </row>
        <row r="77">
          <cell r="A77">
            <v>501203</v>
          </cell>
          <cell r="B77" t="str">
            <v>精英偷车贼</v>
          </cell>
          <cell r="D77">
            <v>10</v>
          </cell>
        </row>
        <row r="78">
          <cell r="A78">
            <v>501204</v>
          </cell>
          <cell r="B78" t="str">
            <v>精英丧彪手下</v>
          </cell>
          <cell r="D78">
            <v>10</v>
          </cell>
        </row>
        <row r="79">
          <cell r="A79">
            <v>501205</v>
          </cell>
          <cell r="B79" t="str">
            <v>精英丧彪</v>
          </cell>
          <cell r="D79">
            <v>10</v>
          </cell>
        </row>
        <row r="80">
          <cell r="A80">
            <v>501206</v>
          </cell>
          <cell r="B80" t="str">
            <v>精英拦截者</v>
          </cell>
          <cell r="D80">
            <v>10</v>
          </cell>
        </row>
        <row r="81">
          <cell r="A81">
            <v>501207</v>
          </cell>
          <cell r="B81" t="str">
            <v>精英靓坤手下</v>
          </cell>
          <cell r="D81">
            <v>10</v>
          </cell>
        </row>
        <row r="82">
          <cell r="A82">
            <v>501208</v>
          </cell>
          <cell r="B82" t="str">
            <v>精英阿强</v>
          </cell>
          <cell r="D82">
            <v>10</v>
          </cell>
        </row>
        <row r="83">
          <cell r="A83">
            <v>501209</v>
          </cell>
          <cell r="B83" t="str">
            <v>精英靓坤</v>
          </cell>
          <cell r="D83">
            <v>10</v>
          </cell>
        </row>
        <row r="84">
          <cell r="A84">
            <v>502201</v>
          </cell>
          <cell r="B84" t="str">
            <v>精英议员保镖</v>
          </cell>
          <cell r="D84">
            <v>10</v>
          </cell>
        </row>
        <row r="85">
          <cell r="A85">
            <v>502202</v>
          </cell>
          <cell r="B85" t="str">
            <v>精英张议员</v>
          </cell>
          <cell r="D85">
            <v>10</v>
          </cell>
        </row>
        <row r="86">
          <cell r="A86">
            <v>502203</v>
          </cell>
          <cell r="B86" t="str">
            <v>精英枪手</v>
          </cell>
          <cell r="D86">
            <v>10</v>
          </cell>
        </row>
        <row r="87">
          <cell r="A87">
            <v>502204</v>
          </cell>
          <cell r="B87" t="str">
            <v>精英大飞手下</v>
          </cell>
          <cell r="D87">
            <v>10</v>
          </cell>
        </row>
        <row r="88">
          <cell r="A88">
            <v>502205</v>
          </cell>
          <cell r="B88" t="str">
            <v>精英大飞弟子</v>
          </cell>
          <cell r="D88">
            <v>10</v>
          </cell>
        </row>
        <row r="89">
          <cell r="A89">
            <v>502206</v>
          </cell>
          <cell r="B89" t="str">
            <v>精英追踪者</v>
          </cell>
          <cell r="D89">
            <v>10</v>
          </cell>
        </row>
        <row r="90">
          <cell r="A90">
            <v>502207</v>
          </cell>
          <cell r="B90" t="str">
            <v>精英雷公保镖</v>
          </cell>
          <cell r="D90">
            <v>10</v>
          </cell>
        </row>
        <row r="91">
          <cell r="A91">
            <v>502208</v>
          </cell>
          <cell r="B91" t="str">
            <v>精英赌场警卫</v>
          </cell>
          <cell r="D91">
            <v>10</v>
          </cell>
        </row>
        <row r="92">
          <cell r="A92">
            <v>502209</v>
          </cell>
          <cell r="B92" t="str">
            <v>精英丁瑶护卫</v>
          </cell>
          <cell r="D92">
            <v>10</v>
          </cell>
        </row>
        <row r="93">
          <cell r="A93">
            <v>503201</v>
          </cell>
          <cell r="B93" t="str">
            <v>精英乌鸦手下</v>
          </cell>
          <cell r="D93">
            <v>10</v>
          </cell>
        </row>
        <row r="94">
          <cell r="A94">
            <v>503202</v>
          </cell>
          <cell r="B94" t="str">
            <v>精英笑面虎</v>
          </cell>
          <cell r="D94">
            <v>10</v>
          </cell>
        </row>
        <row r="95">
          <cell r="A95">
            <v>503203</v>
          </cell>
          <cell r="B95" t="str">
            <v>精英东星杀手</v>
          </cell>
          <cell r="D95">
            <v>10</v>
          </cell>
        </row>
        <row r="96">
          <cell r="A96">
            <v>503204</v>
          </cell>
          <cell r="B96" t="str">
            <v>精英赏金猎手</v>
          </cell>
          <cell r="D96">
            <v>10</v>
          </cell>
        </row>
        <row r="97">
          <cell r="A97">
            <v>503205</v>
          </cell>
          <cell r="B97" t="str">
            <v>精英追杀者</v>
          </cell>
          <cell r="D97">
            <v>10</v>
          </cell>
        </row>
        <row r="98">
          <cell r="A98">
            <v>503206</v>
          </cell>
          <cell r="B98" t="str">
            <v>精英弹药守卫</v>
          </cell>
          <cell r="D98">
            <v>10</v>
          </cell>
        </row>
        <row r="99">
          <cell r="A99">
            <v>503207</v>
          </cell>
          <cell r="B99" t="str">
            <v>精英人质看守</v>
          </cell>
          <cell r="D99">
            <v>10</v>
          </cell>
        </row>
        <row r="100">
          <cell r="A100">
            <v>503208</v>
          </cell>
          <cell r="B100" t="str">
            <v>精英乌鸦心腹</v>
          </cell>
          <cell r="D100">
            <v>10</v>
          </cell>
        </row>
        <row r="101">
          <cell r="A101">
            <v>503209</v>
          </cell>
          <cell r="B101" t="str">
            <v>精英乌鸦</v>
          </cell>
          <cell r="D101">
            <v>10</v>
          </cell>
        </row>
        <row r="102">
          <cell r="A102">
            <v>504201</v>
          </cell>
          <cell r="B102" t="str">
            <v>精英袭击者</v>
          </cell>
          <cell r="D102">
            <v>12</v>
          </cell>
        </row>
        <row r="103">
          <cell r="A103">
            <v>504202</v>
          </cell>
          <cell r="B103" t="str">
            <v>精英生番手下</v>
          </cell>
          <cell r="D103">
            <v>12</v>
          </cell>
        </row>
        <row r="104">
          <cell r="A104">
            <v>504203</v>
          </cell>
          <cell r="B104" t="str">
            <v>精英混混头目</v>
          </cell>
          <cell r="D104">
            <v>12</v>
          </cell>
        </row>
        <row r="105">
          <cell r="A105">
            <v>504204</v>
          </cell>
          <cell r="B105" t="str">
            <v>精英黑星</v>
          </cell>
          <cell r="D105">
            <v>12</v>
          </cell>
        </row>
        <row r="106">
          <cell r="A106">
            <v>504205</v>
          </cell>
          <cell r="B106" t="str">
            <v>精英生番</v>
          </cell>
          <cell r="D106">
            <v>12</v>
          </cell>
        </row>
        <row r="107">
          <cell r="A107">
            <v>504206</v>
          </cell>
          <cell r="B107" t="str">
            <v>精英毒贩头目</v>
          </cell>
          <cell r="D107">
            <v>12</v>
          </cell>
        </row>
        <row r="108">
          <cell r="A108">
            <v>504207</v>
          </cell>
          <cell r="B108" t="str">
            <v>精英耀阳手下</v>
          </cell>
          <cell r="D108">
            <v>12</v>
          </cell>
        </row>
        <row r="109">
          <cell r="A109">
            <v>504208</v>
          </cell>
          <cell r="B109" t="str">
            <v>精英东星拳师</v>
          </cell>
          <cell r="D109">
            <v>12</v>
          </cell>
        </row>
        <row r="110">
          <cell r="A110">
            <v>504209</v>
          </cell>
          <cell r="B110" t="str">
            <v>精英耀阳</v>
          </cell>
          <cell r="D110">
            <v>12</v>
          </cell>
        </row>
        <row r="111">
          <cell r="A111">
            <v>505201</v>
          </cell>
          <cell r="B111" t="str">
            <v>精英司徒手下</v>
          </cell>
          <cell r="D111">
            <v>12</v>
          </cell>
        </row>
        <row r="112">
          <cell r="A112">
            <v>505202</v>
          </cell>
          <cell r="B112" t="str">
            <v>精英破坏分子</v>
          </cell>
          <cell r="D112">
            <v>12</v>
          </cell>
        </row>
        <row r="113">
          <cell r="A113">
            <v>505203</v>
          </cell>
          <cell r="B113" t="str">
            <v>精英地痞头目</v>
          </cell>
          <cell r="D113">
            <v>12</v>
          </cell>
        </row>
        <row r="114">
          <cell r="A114">
            <v>505204</v>
          </cell>
          <cell r="B114" t="str">
            <v>精英外籍打手</v>
          </cell>
          <cell r="D114">
            <v>12</v>
          </cell>
        </row>
        <row r="115">
          <cell r="A115">
            <v>505205</v>
          </cell>
          <cell r="B115" t="str">
            <v>精英长毛</v>
          </cell>
          <cell r="D115">
            <v>12</v>
          </cell>
        </row>
        <row r="116">
          <cell r="A116">
            <v>505206</v>
          </cell>
          <cell r="B116" t="str">
            <v>精英大头仔</v>
          </cell>
          <cell r="D116">
            <v>12</v>
          </cell>
        </row>
        <row r="117">
          <cell r="A117">
            <v>505207</v>
          </cell>
          <cell r="B117" t="str">
            <v>精英阿勇</v>
          </cell>
          <cell r="D117">
            <v>12</v>
          </cell>
        </row>
        <row r="118">
          <cell r="A118">
            <v>505208</v>
          </cell>
          <cell r="B118" t="str">
            <v>精英非法裁判</v>
          </cell>
          <cell r="D118">
            <v>12</v>
          </cell>
        </row>
        <row r="119">
          <cell r="A119">
            <v>505209</v>
          </cell>
          <cell r="B119" t="str">
            <v>精英司徒浩南</v>
          </cell>
          <cell r="D119">
            <v>12</v>
          </cell>
        </row>
        <row r="120">
          <cell r="A120">
            <v>506201</v>
          </cell>
          <cell r="B120" t="str">
            <v>精英鬼冢</v>
          </cell>
          <cell r="D120">
            <v>14</v>
          </cell>
        </row>
        <row r="121">
          <cell r="A121">
            <v>506202</v>
          </cell>
          <cell r="B121" t="str">
            <v>精英暗魔</v>
          </cell>
          <cell r="D121">
            <v>14</v>
          </cell>
        </row>
        <row r="122">
          <cell r="A122">
            <v>506203</v>
          </cell>
          <cell r="B122" t="str">
            <v>精英血狂</v>
          </cell>
          <cell r="D122">
            <v>14</v>
          </cell>
        </row>
        <row r="123">
          <cell r="A123">
            <v>506204</v>
          </cell>
          <cell r="B123" t="str">
            <v>精英獠牙</v>
          </cell>
          <cell r="D123">
            <v>14</v>
          </cell>
        </row>
        <row r="124">
          <cell r="A124">
            <v>506205</v>
          </cell>
          <cell r="B124" t="str">
            <v>精英陈浩南</v>
          </cell>
          <cell r="D124">
            <v>14</v>
          </cell>
        </row>
        <row r="125">
          <cell r="A125">
            <v>506206</v>
          </cell>
          <cell r="B125" t="str">
            <v>精英毒牙</v>
          </cell>
          <cell r="D125">
            <v>14</v>
          </cell>
        </row>
        <row r="126">
          <cell r="A126">
            <v>506207</v>
          </cell>
          <cell r="B126" t="str">
            <v>精英织田</v>
          </cell>
          <cell r="D126">
            <v>14</v>
          </cell>
        </row>
        <row r="127">
          <cell r="A127">
            <v>506208</v>
          </cell>
          <cell r="B127" t="str">
            <v>精英太乙部下</v>
          </cell>
          <cell r="D127">
            <v>14</v>
          </cell>
        </row>
        <row r="128">
          <cell r="A128">
            <v>506209</v>
          </cell>
          <cell r="B128" t="str">
            <v>精英太乙</v>
          </cell>
          <cell r="D128">
            <v>14</v>
          </cell>
        </row>
        <row r="129">
          <cell r="A129">
            <v>507201</v>
          </cell>
          <cell r="B129" t="str">
            <v>精英白虎堂</v>
          </cell>
          <cell r="D129">
            <v>14</v>
          </cell>
        </row>
        <row r="130">
          <cell r="A130">
            <v>507202</v>
          </cell>
          <cell r="B130" t="str">
            <v>精英玄武堂</v>
          </cell>
          <cell r="D130">
            <v>14</v>
          </cell>
        </row>
        <row r="131">
          <cell r="A131">
            <v>507203</v>
          </cell>
          <cell r="B131" t="str">
            <v>精英朱雀堂</v>
          </cell>
          <cell r="D131">
            <v>14</v>
          </cell>
        </row>
        <row r="132">
          <cell r="A132">
            <v>507204</v>
          </cell>
          <cell r="B132" t="str">
            <v>精英青龙堂</v>
          </cell>
          <cell r="D132">
            <v>14</v>
          </cell>
        </row>
        <row r="133">
          <cell r="A133">
            <v>507205</v>
          </cell>
          <cell r="B133" t="str">
            <v>精英佐维</v>
          </cell>
          <cell r="D133">
            <v>14</v>
          </cell>
        </row>
        <row r="134">
          <cell r="A134">
            <v>507206</v>
          </cell>
          <cell r="B134" t="str">
            <v>精英傲虎</v>
          </cell>
          <cell r="D134">
            <v>14</v>
          </cell>
        </row>
        <row r="135">
          <cell r="A135">
            <v>507207</v>
          </cell>
          <cell r="B135" t="str">
            <v>精英狂龙</v>
          </cell>
          <cell r="D135">
            <v>14</v>
          </cell>
        </row>
        <row r="136">
          <cell r="A136">
            <v>507208</v>
          </cell>
          <cell r="B136" t="str">
            <v>精英山崎</v>
          </cell>
          <cell r="D136">
            <v>14</v>
          </cell>
        </row>
        <row r="137">
          <cell r="A137">
            <v>507209</v>
          </cell>
          <cell r="B137" t="str">
            <v>精英杀手首领</v>
          </cell>
          <cell r="D137">
            <v>14</v>
          </cell>
        </row>
        <row r="138">
          <cell r="A138">
            <v>508201</v>
          </cell>
          <cell r="B138" t="str">
            <v>精英复仇靓坤</v>
          </cell>
          <cell r="D138">
            <v>14</v>
          </cell>
        </row>
        <row r="139">
          <cell r="A139">
            <v>508202</v>
          </cell>
          <cell r="B139" t="str">
            <v>精英复仇乌鸦</v>
          </cell>
          <cell r="D139">
            <v>14</v>
          </cell>
        </row>
        <row r="140">
          <cell r="A140">
            <v>508203</v>
          </cell>
          <cell r="B140" t="str">
            <v>精英复仇司徒</v>
          </cell>
          <cell r="D140">
            <v>14</v>
          </cell>
        </row>
        <row r="141">
          <cell r="A141">
            <v>508204</v>
          </cell>
          <cell r="B141" t="str">
            <v>精英生番</v>
          </cell>
          <cell r="D141">
            <v>14</v>
          </cell>
        </row>
        <row r="142">
          <cell r="A142">
            <v>508205</v>
          </cell>
          <cell r="B142" t="str">
            <v>精英耀阳</v>
          </cell>
          <cell r="D142">
            <v>14</v>
          </cell>
        </row>
        <row r="143">
          <cell r="A143">
            <v>508206</v>
          </cell>
          <cell r="B143" t="str">
            <v>精英赌王</v>
          </cell>
          <cell r="D143">
            <v>14</v>
          </cell>
        </row>
        <row r="144">
          <cell r="A144">
            <v>508207</v>
          </cell>
          <cell r="B144" t="str">
            <v>精英地中海</v>
          </cell>
          <cell r="D144">
            <v>14</v>
          </cell>
        </row>
        <row r="145">
          <cell r="A145">
            <v>508208</v>
          </cell>
          <cell r="B145" t="str">
            <v>精英山鸡</v>
          </cell>
          <cell r="D145">
            <v>14</v>
          </cell>
        </row>
        <row r="146">
          <cell r="A146">
            <v>508209</v>
          </cell>
          <cell r="B146" t="str">
            <v>精英雷复轰</v>
          </cell>
          <cell r="D146">
            <v>14</v>
          </cell>
        </row>
      </sheetData>
      <sheetData sheetId="4"/>
      <sheetData sheetId="5">
        <row r="1">
          <cell r="A1" t="str">
            <v>ID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猎命表"/>
      <sheetName val="D_猎命产出表"/>
      <sheetName val="D_命格表"/>
      <sheetName val="D_命格装备表"/>
      <sheetName val="猎命辅助表"/>
      <sheetName val="命格辅助表"/>
      <sheetName val="数值对比"/>
      <sheetName val="定义数据"/>
      <sheetName val="命格"/>
    </sheetNames>
    <definedNames>
      <definedName name="命格属性表" refersTo="='命格辅助表'!$A$93:$AB$152"/>
    </definedNames>
    <sheetDataSet>
      <sheetData sheetId="0"/>
      <sheetData sheetId="1"/>
      <sheetData sheetId="2"/>
      <sheetData sheetId="3"/>
      <sheetData sheetId="4">
        <row r="1">
          <cell r="I1" t="str">
            <v>每天命格副本次数</v>
          </cell>
          <cell r="J1">
            <v>2</v>
          </cell>
        </row>
        <row r="2">
          <cell r="I2" t="str">
            <v>每天经验获取</v>
          </cell>
          <cell r="J2">
            <v>1000</v>
          </cell>
          <cell r="M2">
            <v>3495.9139784946237</v>
          </cell>
        </row>
        <row r="3">
          <cell r="I3" t="str">
            <v>炉渣出售价格</v>
          </cell>
          <cell r="J3">
            <v>1200</v>
          </cell>
        </row>
        <row r="4">
          <cell r="I4" t="str">
            <v>获得炉渣比例</v>
          </cell>
          <cell r="J4">
            <v>0.31452124286620164</v>
          </cell>
        </row>
        <row r="5">
          <cell r="I5" t="str">
            <v>平均花费</v>
          </cell>
          <cell r="J5">
            <v>2438.5542168674697</v>
          </cell>
        </row>
        <row r="6">
          <cell r="I6" t="str">
            <v>平均经验获得</v>
          </cell>
          <cell r="J6">
            <v>16.622143310082432</v>
          </cell>
        </row>
        <row r="7">
          <cell r="I7" t="str">
            <v>每天猎命次数</v>
          </cell>
          <cell r="J7">
            <v>60</v>
          </cell>
          <cell r="K7">
            <v>60.160713413740915</v>
          </cell>
        </row>
        <row r="8">
          <cell r="I8" t="str">
            <v>每天总花费</v>
          </cell>
          <cell r="J8">
            <v>140000</v>
          </cell>
          <cell r="K8">
            <v>146705.16138483325</v>
          </cell>
        </row>
        <row r="89">
          <cell r="H89">
            <v>997.40022356590271</v>
          </cell>
        </row>
      </sheetData>
      <sheetData sheetId="5">
        <row r="28">
          <cell r="O28">
            <v>25600</v>
          </cell>
        </row>
        <row r="93">
          <cell r="A93">
            <v>8001</v>
          </cell>
          <cell r="B93" t="str">
            <v>灰色物质</v>
          </cell>
          <cell r="C93" t="str">
            <v>灰色</v>
          </cell>
          <cell r="D93">
            <v>-2</v>
          </cell>
          <cell r="E93"/>
          <cell r="F93"/>
          <cell r="G93"/>
          <cell r="H93"/>
          <cell r="I93"/>
          <cell r="J93"/>
          <cell r="K93">
            <v>0</v>
          </cell>
          <cell r="L93">
            <v>0</v>
          </cell>
          <cell r="M93">
            <v>0</v>
          </cell>
          <cell r="N93"/>
          <cell r="O93"/>
          <cell r="P93"/>
          <cell r="Q93"/>
          <cell r="R93">
            <v>0</v>
          </cell>
          <cell r="S93"/>
          <cell r="T93"/>
          <cell r="U93"/>
          <cell r="V93"/>
          <cell r="W93"/>
          <cell r="X93"/>
          <cell r="Y93"/>
          <cell r="Z93"/>
          <cell r="AA93">
            <v>0</v>
          </cell>
        </row>
        <row r="94">
          <cell r="A94">
            <v>8110</v>
          </cell>
          <cell r="B94" t="str">
            <v>兽腾</v>
          </cell>
          <cell r="C94" t="str">
            <v>绿色</v>
          </cell>
          <cell r="D94">
            <v>1</v>
          </cell>
          <cell r="E94" t="str">
            <v>生命</v>
          </cell>
          <cell r="F94">
            <v>0.4</v>
          </cell>
          <cell r="G94"/>
          <cell r="H94"/>
          <cell r="I94"/>
          <cell r="J94"/>
          <cell r="K94">
            <v>1</v>
          </cell>
          <cell r="L94">
            <v>1</v>
          </cell>
          <cell r="M94">
            <v>1905</v>
          </cell>
          <cell r="N94">
            <v>0</v>
          </cell>
          <cell r="O94" t="str">
            <v/>
          </cell>
          <cell r="P94">
            <v>0</v>
          </cell>
          <cell r="Q94" t="str">
            <v/>
          </cell>
          <cell r="R94">
            <v>76.2</v>
          </cell>
          <cell r="S94">
            <v>1</v>
          </cell>
          <cell r="T94">
            <v>1905</v>
          </cell>
          <cell r="U94">
            <v>0</v>
          </cell>
          <cell r="V94" t="str">
            <v/>
          </cell>
          <cell r="W94">
            <v>0</v>
          </cell>
          <cell r="X94" t="str">
            <v/>
          </cell>
          <cell r="Y94">
            <v>8110</v>
          </cell>
          <cell r="Z94">
            <v>1</v>
          </cell>
          <cell r="AA94">
            <v>1.7311407745674894</v>
          </cell>
          <cell r="AB94">
            <v>5</v>
          </cell>
        </row>
        <row r="95">
          <cell r="A95">
            <v>8210</v>
          </cell>
          <cell r="B95" t="str">
            <v>战狂</v>
          </cell>
          <cell r="C95" t="str">
            <v>绿色</v>
          </cell>
          <cell r="D95">
            <v>1</v>
          </cell>
          <cell r="E95" t="str">
            <v>攻击</v>
          </cell>
          <cell r="F95">
            <v>0.4</v>
          </cell>
          <cell r="G95"/>
          <cell r="H95"/>
          <cell r="I95"/>
          <cell r="J95"/>
          <cell r="K95">
            <v>1</v>
          </cell>
          <cell r="L95">
            <v>2</v>
          </cell>
          <cell r="M95">
            <v>76</v>
          </cell>
          <cell r="N95">
            <v>0</v>
          </cell>
          <cell r="O95" t="str">
            <v/>
          </cell>
          <cell r="P95">
            <v>0</v>
          </cell>
          <cell r="Q95" t="str">
            <v/>
          </cell>
          <cell r="R95">
            <v>76</v>
          </cell>
          <cell r="S95">
            <v>2</v>
          </cell>
          <cell r="T95">
            <v>76</v>
          </cell>
          <cell r="U95">
            <v>0</v>
          </cell>
          <cell r="V95" t="str">
            <v/>
          </cell>
          <cell r="W95">
            <v>0</v>
          </cell>
          <cell r="X95" t="str">
            <v/>
          </cell>
          <cell r="Y95">
            <v>8210</v>
          </cell>
          <cell r="Z95">
            <v>2</v>
          </cell>
          <cell r="AA95">
            <v>1.7311407745674894</v>
          </cell>
          <cell r="AB95">
            <v>5</v>
          </cell>
        </row>
        <row r="96">
          <cell r="A96">
            <v>8310</v>
          </cell>
          <cell r="B96" t="str">
            <v>贪狼</v>
          </cell>
          <cell r="C96" t="str">
            <v>绿色</v>
          </cell>
          <cell r="D96">
            <v>1</v>
          </cell>
          <cell r="E96" t="str">
            <v>防御</v>
          </cell>
          <cell r="F96">
            <v>1</v>
          </cell>
          <cell r="G96"/>
          <cell r="H96"/>
          <cell r="I96"/>
          <cell r="J96"/>
          <cell r="K96">
            <v>1</v>
          </cell>
          <cell r="L96">
            <v>3</v>
          </cell>
          <cell r="M96">
            <v>76</v>
          </cell>
          <cell r="N96">
            <v>0</v>
          </cell>
          <cell r="O96" t="str">
            <v/>
          </cell>
          <cell r="P96">
            <v>0</v>
          </cell>
          <cell r="Q96" t="str">
            <v/>
          </cell>
          <cell r="R96">
            <v>76</v>
          </cell>
          <cell r="S96">
            <v>3</v>
          </cell>
          <cell r="T96">
            <v>76</v>
          </cell>
          <cell r="U96">
            <v>0</v>
          </cell>
          <cell r="V96" t="str">
            <v/>
          </cell>
          <cell r="W96">
            <v>0</v>
          </cell>
          <cell r="X96" t="str">
            <v/>
          </cell>
          <cell r="Y96">
            <v>8310</v>
          </cell>
          <cell r="Z96">
            <v>3</v>
          </cell>
          <cell r="AA96">
            <v>1.7311407745674894</v>
          </cell>
          <cell r="AB96">
            <v>5</v>
          </cell>
        </row>
        <row r="97">
          <cell r="A97">
            <v>8120</v>
          </cell>
          <cell r="B97" t="str">
            <v>辉煌</v>
          </cell>
          <cell r="C97" t="str">
            <v>蓝色</v>
          </cell>
          <cell r="D97">
            <v>2</v>
          </cell>
          <cell r="E97" t="str">
            <v>生命</v>
          </cell>
          <cell r="F97">
            <v>0.4</v>
          </cell>
          <cell r="G97"/>
          <cell r="H97"/>
          <cell r="I97"/>
          <cell r="J97"/>
          <cell r="K97">
            <v>1</v>
          </cell>
          <cell r="L97">
            <v>1</v>
          </cell>
          <cell r="M97">
            <v>3429</v>
          </cell>
          <cell r="N97">
            <v>0</v>
          </cell>
          <cell r="O97" t="str">
            <v/>
          </cell>
          <cell r="P97">
            <v>0</v>
          </cell>
          <cell r="Q97" t="str">
            <v/>
          </cell>
          <cell r="R97">
            <v>137.16</v>
          </cell>
          <cell r="S97">
            <v>1</v>
          </cell>
          <cell r="T97">
            <v>3429</v>
          </cell>
          <cell r="U97">
            <v>0</v>
          </cell>
          <cell r="V97" t="str">
            <v/>
          </cell>
          <cell r="W97">
            <v>0</v>
          </cell>
          <cell r="X97" t="str">
            <v/>
          </cell>
          <cell r="Y97">
            <v>8120</v>
          </cell>
          <cell r="Z97">
            <v>1</v>
          </cell>
          <cell r="AA97">
            <v>10.701682953311618</v>
          </cell>
          <cell r="AB97">
            <v>25</v>
          </cell>
        </row>
        <row r="98">
          <cell r="A98">
            <v>8220</v>
          </cell>
          <cell r="B98" t="str">
            <v>破军</v>
          </cell>
          <cell r="C98" t="str">
            <v>蓝色</v>
          </cell>
          <cell r="D98">
            <v>2</v>
          </cell>
          <cell r="E98" t="str">
            <v>攻击</v>
          </cell>
          <cell r="F98">
            <v>0.4</v>
          </cell>
          <cell r="G98"/>
          <cell r="H98"/>
          <cell r="I98"/>
          <cell r="J98"/>
          <cell r="K98">
            <v>1</v>
          </cell>
          <cell r="L98">
            <v>2</v>
          </cell>
          <cell r="M98">
            <v>137</v>
          </cell>
          <cell r="N98">
            <v>0</v>
          </cell>
          <cell r="O98" t="str">
            <v/>
          </cell>
          <cell r="P98">
            <v>0</v>
          </cell>
          <cell r="Q98" t="str">
            <v/>
          </cell>
          <cell r="R98">
            <v>137</v>
          </cell>
          <cell r="S98">
            <v>2</v>
          </cell>
          <cell r="T98">
            <v>137</v>
          </cell>
          <cell r="U98">
            <v>0</v>
          </cell>
          <cell r="V98" t="str">
            <v/>
          </cell>
          <cell r="W98">
            <v>0</v>
          </cell>
          <cell r="X98" t="str">
            <v/>
          </cell>
          <cell r="Y98">
            <v>8220</v>
          </cell>
          <cell r="Z98">
            <v>2</v>
          </cell>
          <cell r="AA98">
            <v>10.701682953311618</v>
          </cell>
          <cell r="AB98">
            <v>25</v>
          </cell>
        </row>
        <row r="99">
          <cell r="A99">
            <v>8320</v>
          </cell>
          <cell r="B99" t="str">
            <v>真刚</v>
          </cell>
          <cell r="C99" t="str">
            <v>蓝色</v>
          </cell>
          <cell r="D99">
            <v>2</v>
          </cell>
          <cell r="E99" t="str">
            <v>防御</v>
          </cell>
          <cell r="F99">
            <v>1</v>
          </cell>
          <cell r="G99"/>
          <cell r="H99"/>
          <cell r="I99"/>
          <cell r="J99"/>
          <cell r="K99">
            <v>1</v>
          </cell>
          <cell r="L99">
            <v>3</v>
          </cell>
          <cell r="M99">
            <v>137</v>
          </cell>
          <cell r="N99">
            <v>0</v>
          </cell>
          <cell r="O99" t="str">
            <v/>
          </cell>
          <cell r="P99">
            <v>0</v>
          </cell>
          <cell r="Q99" t="str">
            <v/>
          </cell>
          <cell r="R99">
            <v>137</v>
          </cell>
          <cell r="S99">
            <v>3</v>
          </cell>
          <cell r="T99">
            <v>137</v>
          </cell>
          <cell r="U99">
            <v>0</v>
          </cell>
          <cell r="V99" t="str">
            <v/>
          </cell>
          <cell r="W99">
            <v>0</v>
          </cell>
          <cell r="X99" t="str">
            <v/>
          </cell>
          <cell r="Y99">
            <v>8320</v>
          </cell>
          <cell r="Z99">
            <v>3</v>
          </cell>
          <cell r="AA99">
            <v>10.701682953311618</v>
          </cell>
          <cell r="AB99">
            <v>25</v>
          </cell>
        </row>
        <row r="100">
          <cell r="A100">
            <v>8420</v>
          </cell>
          <cell r="B100" t="str">
            <v>飞仙</v>
          </cell>
          <cell r="C100" t="str">
            <v>蓝色</v>
          </cell>
          <cell r="D100">
            <v>2</v>
          </cell>
          <cell r="E100" t="str">
            <v>命中值</v>
          </cell>
          <cell r="F100">
            <v>1</v>
          </cell>
          <cell r="G100"/>
          <cell r="H100"/>
          <cell r="I100"/>
          <cell r="J100"/>
          <cell r="K100">
            <v>1</v>
          </cell>
          <cell r="L100">
            <v>6</v>
          </cell>
          <cell r="M100">
            <v>403</v>
          </cell>
          <cell r="N100">
            <v>0</v>
          </cell>
          <cell r="O100" t="str">
            <v/>
          </cell>
          <cell r="P100">
            <v>0</v>
          </cell>
          <cell r="Q100" t="str">
            <v/>
          </cell>
          <cell r="R100">
            <v>137.02000000000001</v>
          </cell>
          <cell r="S100">
            <v>6</v>
          </cell>
          <cell r="T100">
            <v>403</v>
          </cell>
          <cell r="U100">
            <v>0</v>
          </cell>
          <cell r="V100" t="str">
            <v/>
          </cell>
          <cell r="W100">
            <v>0</v>
          </cell>
          <cell r="X100" t="str">
            <v/>
          </cell>
          <cell r="Y100">
            <v>8420</v>
          </cell>
          <cell r="Z100">
            <v>4</v>
          </cell>
          <cell r="AA100">
            <v>10.701682953311618</v>
          </cell>
          <cell r="AB100">
            <v>25</v>
          </cell>
        </row>
        <row r="101">
          <cell r="A101">
            <v>8520</v>
          </cell>
          <cell r="B101" t="str">
            <v>虚空</v>
          </cell>
          <cell r="C101" t="str">
            <v>蓝色</v>
          </cell>
          <cell r="D101">
            <v>2</v>
          </cell>
          <cell r="E101" t="str">
            <v>闪避值</v>
          </cell>
          <cell r="F101">
            <v>1</v>
          </cell>
          <cell r="G101"/>
          <cell r="H101"/>
          <cell r="I101"/>
          <cell r="J101"/>
          <cell r="K101">
            <v>1</v>
          </cell>
          <cell r="L101">
            <v>7</v>
          </cell>
          <cell r="M101">
            <v>403</v>
          </cell>
          <cell r="N101">
            <v>0</v>
          </cell>
          <cell r="O101" t="str">
            <v/>
          </cell>
          <cell r="P101">
            <v>0</v>
          </cell>
          <cell r="Q101" t="str">
            <v/>
          </cell>
          <cell r="R101">
            <v>137.02000000000001</v>
          </cell>
          <cell r="S101">
            <v>7</v>
          </cell>
          <cell r="T101">
            <v>403</v>
          </cell>
          <cell r="U101">
            <v>0</v>
          </cell>
          <cell r="V101" t="str">
            <v/>
          </cell>
          <cell r="W101">
            <v>0</v>
          </cell>
          <cell r="X101" t="str">
            <v/>
          </cell>
          <cell r="Y101">
            <v>8120</v>
          </cell>
          <cell r="Z101">
            <v>5</v>
          </cell>
          <cell r="AA101">
            <v>10.701682953311618</v>
          </cell>
          <cell r="AB101">
            <v>25</v>
          </cell>
        </row>
        <row r="102">
          <cell r="A102">
            <v>8620</v>
          </cell>
          <cell r="B102" t="str">
            <v>无惧</v>
          </cell>
          <cell r="C102" t="str">
            <v>蓝色</v>
          </cell>
          <cell r="D102">
            <v>2</v>
          </cell>
          <cell r="E102" t="str">
            <v>韧性值</v>
          </cell>
          <cell r="F102">
            <v>1</v>
          </cell>
          <cell r="G102"/>
          <cell r="H102"/>
          <cell r="I102"/>
          <cell r="J102"/>
          <cell r="K102">
            <v>1</v>
          </cell>
          <cell r="L102">
            <v>9</v>
          </cell>
          <cell r="M102">
            <v>762</v>
          </cell>
          <cell r="N102">
            <v>0</v>
          </cell>
          <cell r="O102" t="str">
            <v/>
          </cell>
          <cell r="P102">
            <v>0</v>
          </cell>
          <cell r="Q102" t="str">
            <v/>
          </cell>
          <cell r="R102">
            <v>137.16</v>
          </cell>
          <cell r="S102">
            <v>9</v>
          </cell>
          <cell r="T102">
            <v>762</v>
          </cell>
          <cell r="U102">
            <v>0</v>
          </cell>
          <cell r="V102" t="str">
            <v/>
          </cell>
          <cell r="W102">
            <v>0</v>
          </cell>
          <cell r="X102" t="str">
            <v/>
          </cell>
          <cell r="Y102">
            <v>8220</v>
          </cell>
          <cell r="Z102">
            <v>6</v>
          </cell>
          <cell r="AA102">
            <v>10.701682953311618</v>
          </cell>
          <cell r="AB102">
            <v>25</v>
          </cell>
        </row>
        <row r="103">
          <cell r="A103">
            <v>8720</v>
          </cell>
          <cell r="B103" t="str">
            <v>天杀</v>
          </cell>
          <cell r="C103" t="str">
            <v>蓝色</v>
          </cell>
          <cell r="D103">
            <v>2</v>
          </cell>
          <cell r="E103" t="str">
            <v>暴击值</v>
          </cell>
          <cell r="F103">
            <v>1</v>
          </cell>
          <cell r="G103"/>
          <cell r="H103"/>
          <cell r="I103"/>
          <cell r="J103"/>
          <cell r="K103">
            <v>1</v>
          </cell>
          <cell r="L103">
            <v>8</v>
          </cell>
          <cell r="M103">
            <v>762</v>
          </cell>
          <cell r="N103">
            <v>0</v>
          </cell>
          <cell r="O103" t="str">
            <v/>
          </cell>
          <cell r="P103">
            <v>0</v>
          </cell>
          <cell r="Q103" t="str">
            <v/>
          </cell>
          <cell r="R103">
            <v>137.16</v>
          </cell>
          <cell r="S103">
            <v>8</v>
          </cell>
          <cell r="T103">
            <v>762</v>
          </cell>
          <cell r="U103">
            <v>0</v>
          </cell>
          <cell r="V103" t="str">
            <v/>
          </cell>
          <cell r="W103">
            <v>0</v>
          </cell>
          <cell r="X103" t="str">
            <v/>
          </cell>
          <cell r="Y103">
            <v>8320</v>
          </cell>
          <cell r="Z103">
            <v>7</v>
          </cell>
          <cell r="AA103">
            <v>10.701682953311618</v>
          </cell>
          <cell r="AB103">
            <v>25</v>
          </cell>
        </row>
        <row r="104">
          <cell r="A104">
            <v>8820</v>
          </cell>
          <cell r="B104" t="str">
            <v>诛魔</v>
          </cell>
          <cell r="C104" t="str">
            <v>蓝色</v>
          </cell>
          <cell r="D104">
            <v>2</v>
          </cell>
          <cell r="E104" t="str">
            <v>暴击倍数</v>
          </cell>
          <cell r="F104">
            <v>1</v>
          </cell>
          <cell r="G104" t="str">
            <v>攻击</v>
          </cell>
          <cell r="H104">
            <v>0.2</v>
          </cell>
          <cell r="I104"/>
          <cell r="J104"/>
          <cell r="K104">
            <v>2</v>
          </cell>
          <cell r="L104">
            <v>10</v>
          </cell>
          <cell r="M104">
            <v>514</v>
          </cell>
          <cell r="N104">
            <v>2</v>
          </cell>
          <cell r="O104">
            <v>68</v>
          </cell>
          <cell r="P104">
            <v>0</v>
          </cell>
          <cell r="Q104" t="str">
            <v/>
          </cell>
          <cell r="R104">
            <v>129.68</v>
          </cell>
          <cell r="S104">
            <v>10</v>
          </cell>
          <cell r="T104">
            <v>514</v>
          </cell>
          <cell r="U104">
            <v>2</v>
          </cell>
          <cell r="V104">
            <v>68</v>
          </cell>
          <cell r="W104">
            <v>0</v>
          </cell>
          <cell r="X104" t="str">
            <v/>
          </cell>
          <cell r="Y104">
            <v>8420</v>
          </cell>
          <cell r="Z104">
            <v>8</v>
          </cell>
          <cell r="AA104">
            <v>10.701682953311618</v>
          </cell>
          <cell r="AB104">
            <v>25</v>
          </cell>
        </row>
        <row r="105">
          <cell r="A105">
            <v>8130</v>
          </cell>
          <cell r="B105" t="str">
            <v>霸主</v>
          </cell>
          <cell r="C105" t="str">
            <v>紫色</v>
          </cell>
          <cell r="D105">
            <v>3</v>
          </cell>
          <cell r="E105" t="str">
            <v>生命</v>
          </cell>
          <cell r="F105">
            <v>0.4</v>
          </cell>
          <cell r="G105"/>
          <cell r="H105"/>
          <cell r="I105"/>
          <cell r="J105"/>
          <cell r="K105">
            <v>1</v>
          </cell>
          <cell r="L105">
            <v>1</v>
          </cell>
          <cell r="M105">
            <v>6173</v>
          </cell>
          <cell r="N105">
            <v>0</v>
          </cell>
          <cell r="O105" t="str">
            <v/>
          </cell>
          <cell r="P105">
            <v>0</v>
          </cell>
          <cell r="Q105" t="str">
            <v/>
          </cell>
          <cell r="R105">
            <v>246.92000000000002</v>
          </cell>
          <cell r="S105">
            <v>1</v>
          </cell>
          <cell r="T105">
            <v>6173</v>
          </cell>
          <cell r="U105">
            <v>0</v>
          </cell>
          <cell r="V105" t="str">
            <v/>
          </cell>
          <cell r="W105">
            <v>0</v>
          </cell>
          <cell r="X105" t="str">
            <v/>
          </cell>
          <cell r="Y105">
            <v>8130</v>
          </cell>
          <cell r="Z105">
            <v>1</v>
          </cell>
          <cell r="AA105">
            <v>79.79154017405385</v>
          </cell>
          <cell r="AB105">
            <v>200</v>
          </cell>
        </row>
        <row r="106">
          <cell r="A106">
            <v>8230</v>
          </cell>
          <cell r="B106" t="str">
            <v>虎啸</v>
          </cell>
          <cell r="C106" t="str">
            <v>紫色</v>
          </cell>
          <cell r="D106">
            <v>3</v>
          </cell>
          <cell r="E106" t="str">
            <v>攻击</v>
          </cell>
          <cell r="F106">
            <v>0.4</v>
          </cell>
          <cell r="G106"/>
          <cell r="H106"/>
          <cell r="I106"/>
          <cell r="J106"/>
          <cell r="K106">
            <v>1</v>
          </cell>
          <cell r="L106">
            <v>2</v>
          </cell>
          <cell r="M106">
            <v>247</v>
          </cell>
          <cell r="N106">
            <v>0</v>
          </cell>
          <cell r="O106" t="str">
            <v/>
          </cell>
          <cell r="P106">
            <v>0</v>
          </cell>
          <cell r="Q106" t="str">
            <v/>
          </cell>
          <cell r="R106">
            <v>247</v>
          </cell>
          <cell r="S106">
            <v>2</v>
          </cell>
          <cell r="T106">
            <v>247</v>
          </cell>
          <cell r="U106">
            <v>0</v>
          </cell>
          <cell r="V106" t="str">
            <v/>
          </cell>
          <cell r="W106">
            <v>0</v>
          </cell>
          <cell r="X106" t="str">
            <v/>
          </cell>
          <cell r="Y106">
            <v>8230</v>
          </cell>
          <cell r="Z106">
            <v>2</v>
          </cell>
          <cell r="AA106">
            <v>79.79154017405385</v>
          </cell>
          <cell r="AB106">
            <v>200</v>
          </cell>
        </row>
        <row r="107">
          <cell r="A107">
            <v>8330</v>
          </cell>
          <cell r="B107" t="str">
            <v>豪魄</v>
          </cell>
          <cell r="C107" t="str">
            <v>紫色</v>
          </cell>
          <cell r="D107">
            <v>3</v>
          </cell>
          <cell r="E107" t="str">
            <v>防御</v>
          </cell>
          <cell r="F107">
            <v>1</v>
          </cell>
          <cell r="G107"/>
          <cell r="H107"/>
          <cell r="I107"/>
          <cell r="J107"/>
          <cell r="K107">
            <v>1</v>
          </cell>
          <cell r="L107">
            <v>3</v>
          </cell>
          <cell r="M107">
            <v>247</v>
          </cell>
          <cell r="N107">
            <v>0</v>
          </cell>
          <cell r="O107" t="str">
            <v/>
          </cell>
          <cell r="P107">
            <v>0</v>
          </cell>
          <cell r="Q107" t="str">
            <v/>
          </cell>
          <cell r="R107">
            <v>247</v>
          </cell>
          <cell r="S107">
            <v>3</v>
          </cell>
          <cell r="T107">
            <v>247</v>
          </cell>
          <cell r="U107">
            <v>0</v>
          </cell>
          <cell r="V107" t="str">
            <v/>
          </cell>
          <cell r="W107">
            <v>0</v>
          </cell>
          <cell r="X107" t="str">
            <v/>
          </cell>
          <cell r="Y107">
            <v>8330</v>
          </cell>
          <cell r="Z107">
            <v>3</v>
          </cell>
          <cell r="AA107">
            <v>79.79154017405385</v>
          </cell>
          <cell r="AB107">
            <v>200</v>
          </cell>
        </row>
        <row r="108">
          <cell r="A108">
            <v>8430</v>
          </cell>
          <cell r="B108" t="str">
            <v>捉影</v>
          </cell>
          <cell r="C108" t="str">
            <v>紫色</v>
          </cell>
          <cell r="D108">
            <v>3</v>
          </cell>
          <cell r="E108" t="str">
            <v>命中值</v>
          </cell>
          <cell r="F108">
            <v>1</v>
          </cell>
          <cell r="G108"/>
          <cell r="H108"/>
          <cell r="I108"/>
          <cell r="J108"/>
          <cell r="K108">
            <v>1</v>
          </cell>
          <cell r="L108">
            <v>6</v>
          </cell>
          <cell r="M108">
            <v>726</v>
          </cell>
          <cell r="N108">
            <v>0</v>
          </cell>
          <cell r="O108" t="str">
            <v/>
          </cell>
          <cell r="P108">
            <v>0</v>
          </cell>
          <cell r="Q108" t="str">
            <v/>
          </cell>
          <cell r="R108">
            <v>246.84000000000003</v>
          </cell>
          <cell r="S108">
            <v>6</v>
          </cell>
          <cell r="T108">
            <v>726</v>
          </cell>
          <cell r="U108">
            <v>0</v>
          </cell>
          <cell r="V108" t="str">
            <v/>
          </cell>
          <cell r="W108">
            <v>0</v>
          </cell>
          <cell r="X108" t="str">
            <v/>
          </cell>
          <cell r="Y108">
            <v>8430</v>
          </cell>
          <cell r="Z108">
            <v>4</v>
          </cell>
          <cell r="AA108">
            <v>79.79154017405385</v>
          </cell>
          <cell r="AB108">
            <v>200</v>
          </cell>
        </row>
        <row r="109">
          <cell r="A109">
            <v>8530</v>
          </cell>
          <cell r="B109" t="str">
            <v>游刃</v>
          </cell>
          <cell r="C109" t="str">
            <v>紫色</v>
          </cell>
          <cell r="D109">
            <v>3</v>
          </cell>
          <cell r="E109" t="str">
            <v>闪避值</v>
          </cell>
          <cell r="F109">
            <v>1</v>
          </cell>
          <cell r="G109"/>
          <cell r="H109"/>
          <cell r="I109"/>
          <cell r="J109"/>
          <cell r="K109">
            <v>1</v>
          </cell>
          <cell r="L109">
            <v>7</v>
          </cell>
          <cell r="M109">
            <v>726</v>
          </cell>
          <cell r="N109">
            <v>0</v>
          </cell>
          <cell r="O109" t="str">
            <v/>
          </cell>
          <cell r="P109">
            <v>0</v>
          </cell>
          <cell r="Q109" t="str">
            <v/>
          </cell>
          <cell r="R109">
            <v>246.84000000000003</v>
          </cell>
          <cell r="S109">
            <v>7</v>
          </cell>
          <cell r="T109">
            <v>726</v>
          </cell>
          <cell r="U109">
            <v>0</v>
          </cell>
          <cell r="V109" t="str">
            <v/>
          </cell>
          <cell r="W109">
            <v>0</v>
          </cell>
          <cell r="X109" t="str">
            <v/>
          </cell>
          <cell r="Y109">
            <v>8130</v>
          </cell>
          <cell r="Z109">
            <v>5</v>
          </cell>
          <cell r="AA109">
            <v>79.79154017405385</v>
          </cell>
          <cell r="AB109">
            <v>200</v>
          </cell>
        </row>
        <row r="110">
          <cell r="A110">
            <v>8630</v>
          </cell>
          <cell r="B110" t="str">
            <v>傲骨</v>
          </cell>
          <cell r="C110" t="str">
            <v>紫色</v>
          </cell>
          <cell r="D110">
            <v>3</v>
          </cell>
          <cell r="E110" t="str">
            <v>韧性值</v>
          </cell>
          <cell r="F110">
            <v>1</v>
          </cell>
          <cell r="G110"/>
          <cell r="H110"/>
          <cell r="I110"/>
          <cell r="J110"/>
          <cell r="K110">
            <v>1</v>
          </cell>
          <cell r="L110">
            <v>9</v>
          </cell>
          <cell r="M110">
            <v>1372</v>
          </cell>
          <cell r="N110">
            <v>0</v>
          </cell>
          <cell r="O110" t="str">
            <v/>
          </cell>
          <cell r="P110">
            <v>0</v>
          </cell>
          <cell r="Q110" t="str">
            <v/>
          </cell>
          <cell r="R110">
            <v>246.95999999999998</v>
          </cell>
          <cell r="S110">
            <v>9</v>
          </cell>
          <cell r="T110">
            <v>1372</v>
          </cell>
          <cell r="U110">
            <v>0</v>
          </cell>
          <cell r="V110" t="str">
            <v/>
          </cell>
          <cell r="W110">
            <v>0</v>
          </cell>
          <cell r="X110" t="str">
            <v/>
          </cell>
          <cell r="Y110">
            <v>8230</v>
          </cell>
          <cell r="Z110">
            <v>6</v>
          </cell>
          <cell r="AA110">
            <v>79.79154017405385</v>
          </cell>
          <cell r="AB110">
            <v>200</v>
          </cell>
        </row>
        <row r="111">
          <cell r="A111">
            <v>8730</v>
          </cell>
          <cell r="B111" t="str">
            <v>心眼</v>
          </cell>
          <cell r="C111" t="str">
            <v>紫色</v>
          </cell>
          <cell r="D111">
            <v>3</v>
          </cell>
          <cell r="E111" t="str">
            <v>暴击值</v>
          </cell>
          <cell r="F111">
            <v>1</v>
          </cell>
          <cell r="G111"/>
          <cell r="H111"/>
          <cell r="I111"/>
          <cell r="J111"/>
          <cell r="K111">
            <v>1</v>
          </cell>
          <cell r="L111">
            <v>8</v>
          </cell>
          <cell r="M111">
            <v>1372</v>
          </cell>
          <cell r="N111">
            <v>0</v>
          </cell>
          <cell r="O111" t="str">
            <v/>
          </cell>
          <cell r="P111">
            <v>0</v>
          </cell>
          <cell r="Q111" t="str">
            <v/>
          </cell>
          <cell r="R111">
            <v>246.95999999999998</v>
          </cell>
          <cell r="S111">
            <v>8</v>
          </cell>
          <cell r="T111">
            <v>1372</v>
          </cell>
          <cell r="U111">
            <v>0</v>
          </cell>
          <cell r="V111" t="str">
            <v/>
          </cell>
          <cell r="W111">
            <v>0</v>
          </cell>
          <cell r="X111" t="str">
            <v/>
          </cell>
          <cell r="Y111">
            <v>8330</v>
          </cell>
          <cell r="Z111">
            <v>7</v>
          </cell>
          <cell r="AA111">
            <v>79.79154017405385</v>
          </cell>
          <cell r="AB111">
            <v>200</v>
          </cell>
        </row>
        <row r="112">
          <cell r="A112">
            <v>8830</v>
          </cell>
          <cell r="B112" t="str">
            <v>噬生</v>
          </cell>
          <cell r="C112" t="str">
            <v>紫色</v>
          </cell>
          <cell r="D112">
            <v>3</v>
          </cell>
          <cell r="E112" t="str">
            <v>暴击倍数</v>
          </cell>
          <cell r="F112">
            <v>1</v>
          </cell>
          <cell r="G112" t="str">
            <v>攻击</v>
          </cell>
          <cell r="H112">
            <v>0.2</v>
          </cell>
          <cell r="I112"/>
          <cell r="J112"/>
          <cell r="K112">
            <v>2</v>
          </cell>
          <cell r="L112">
            <v>10</v>
          </cell>
          <cell r="M112">
            <v>926</v>
          </cell>
          <cell r="N112">
            <v>2</v>
          </cell>
          <cell r="O112">
            <v>123</v>
          </cell>
          <cell r="P112">
            <v>0</v>
          </cell>
          <cell r="Q112" t="str">
            <v/>
          </cell>
          <cell r="R112">
            <v>234.12</v>
          </cell>
          <cell r="S112">
            <v>10</v>
          </cell>
          <cell r="T112">
            <v>926</v>
          </cell>
          <cell r="U112">
            <v>2</v>
          </cell>
          <cell r="V112">
            <v>123</v>
          </cell>
          <cell r="W112">
            <v>0</v>
          </cell>
          <cell r="X112" t="str">
            <v/>
          </cell>
          <cell r="Y112">
            <v>8430</v>
          </cell>
          <cell r="Z112">
            <v>8</v>
          </cell>
          <cell r="AA112">
            <v>79.79154017405385</v>
          </cell>
          <cell r="AB112">
            <v>200</v>
          </cell>
        </row>
        <row r="113">
          <cell r="A113">
            <v>8930</v>
          </cell>
          <cell r="B113" t="str">
            <v>痛击</v>
          </cell>
          <cell r="C113" t="str">
            <v>紫色</v>
          </cell>
          <cell r="D113">
            <v>3</v>
          </cell>
          <cell r="E113" t="str">
            <v>攻击加成</v>
          </cell>
          <cell r="F113">
            <v>1</v>
          </cell>
          <cell r="G113" t="str">
            <v>生命</v>
          </cell>
          <cell r="H113">
            <v>0.2</v>
          </cell>
          <cell r="I113"/>
          <cell r="J113"/>
          <cell r="K113">
            <v>2</v>
          </cell>
          <cell r="L113">
            <v>22</v>
          </cell>
          <cell r="M113">
            <v>309</v>
          </cell>
          <cell r="N113">
            <v>1</v>
          </cell>
          <cell r="O113">
            <v>3086</v>
          </cell>
          <cell r="P113">
            <v>0</v>
          </cell>
          <cell r="Q113" t="str">
            <v/>
          </cell>
          <cell r="R113">
            <v>234.68</v>
          </cell>
          <cell r="S113">
            <v>22</v>
          </cell>
          <cell r="T113">
            <v>309</v>
          </cell>
          <cell r="U113">
            <v>1</v>
          </cell>
          <cell r="V113">
            <v>3086</v>
          </cell>
          <cell r="W113">
            <v>0</v>
          </cell>
          <cell r="X113" t="str">
            <v/>
          </cell>
          <cell r="Y113">
            <v>8130</v>
          </cell>
          <cell r="Z113">
            <v>9</v>
          </cell>
          <cell r="AA113">
            <v>79.79154017405385</v>
          </cell>
          <cell r="AB113">
            <v>200</v>
          </cell>
        </row>
        <row r="114">
          <cell r="A114">
            <v>9030</v>
          </cell>
          <cell r="B114" t="str">
            <v>不坏</v>
          </cell>
          <cell r="C114" t="str">
            <v>紫色</v>
          </cell>
          <cell r="D114">
            <v>3</v>
          </cell>
          <cell r="E114" t="str">
            <v>防御加成</v>
          </cell>
          <cell r="F114">
            <v>1</v>
          </cell>
          <cell r="G114" t="str">
            <v>攻击</v>
          </cell>
          <cell r="H114">
            <v>0.2</v>
          </cell>
          <cell r="I114"/>
          <cell r="J114"/>
          <cell r="K114">
            <v>2</v>
          </cell>
          <cell r="L114">
            <v>23</v>
          </cell>
          <cell r="M114">
            <v>463</v>
          </cell>
          <cell r="N114">
            <v>2</v>
          </cell>
          <cell r="O114">
            <v>123</v>
          </cell>
          <cell r="P114">
            <v>0</v>
          </cell>
          <cell r="Q114" t="str">
            <v/>
          </cell>
          <cell r="R114">
            <v>234.12</v>
          </cell>
          <cell r="S114">
            <v>23</v>
          </cell>
          <cell r="T114">
            <v>463</v>
          </cell>
          <cell r="U114">
            <v>2</v>
          </cell>
          <cell r="V114">
            <v>123</v>
          </cell>
          <cell r="W114">
            <v>0</v>
          </cell>
          <cell r="X114" t="str">
            <v/>
          </cell>
          <cell r="Y114">
            <v>8230</v>
          </cell>
          <cell r="Z114">
            <v>10</v>
          </cell>
          <cell r="AA114">
            <v>79.79154017405385</v>
          </cell>
          <cell r="AB114">
            <v>200</v>
          </cell>
        </row>
        <row r="115">
          <cell r="A115">
            <v>9130</v>
          </cell>
          <cell r="B115" t="str">
            <v>寂灭</v>
          </cell>
          <cell r="C115" t="str">
            <v>紫色</v>
          </cell>
          <cell r="D115">
            <v>3</v>
          </cell>
          <cell r="E115" t="str">
            <v>伤害加深</v>
          </cell>
          <cell r="F115">
            <v>1</v>
          </cell>
          <cell r="G115" t="str">
            <v>生命</v>
          </cell>
          <cell r="H115">
            <v>0.2</v>
          </cell>
          <cell r="I115"/>
          <cell r="J115"/>
          <cell r="K115">
            <v>2</v>
          </cell>
          <cell r="L115">
            <v>24</v>
          </cell>
          <cell r="M115">
            <v>370</v>
          </cell>
          <cell r="N115">
            <v>1</v>
          </cell>
          <cell r="O115">
            <v>3086</v>
          </cell>
          <cell r="P115">
            <v>0</v>
          </cell>
          <cell r="Q115" t="str">
            <v/>
          </cell>
          <cell r="R115">
            <v>234.44</v>
          </cell>
          <cell r="S115">
            <v>24</v>
          </cell>
          <cell r="T115">
            <v>370</v>
          </cell>
          <cell r="U115">
            <v>1</v>
          </cell>
          <cell r="V115">
            <v>3086</v>
          </cell>
          <cell r="W115">
            <v>0</v>
          </cell>
          <cell r="X115" t="str">
            <v/>
          </cell>
          <cell r="Y115">
            <v>8330</v>
          </cell>
          <cell r="Z115">
            <v>11</v>
          </cell>
          <cell r="AA115">
            <v>79.79154017405385</v>
          </cell>
          <cell r="AB115">
            <v>200</v>
          </cell>
        </row>
        <row r="116">
          <cell r="A116">
            <v>9230</v>
          </cell>
          <cell r="B116" t="str">
            <v>盘蛇</v>
          </cell>
          <cell r="C116" t="str">
            <v>紫色</v>
          </cell>
          <cell r="D116">
            <v>3</v>
          </cell>
          <cell r="E116" t="str">
            <v>伤害减免</v>
          </cell>
          <cell r="F116">
            <v>1</v>
          </cell>
          <cell r="G116" t="str">
            <v>攻击</v>
          </cell>
          <cell r="H116">
            <v>0.2</v>
          </cell>
          <cell r="I116"/>
          <cell r="J116"/>
          <cell r="K116">
            <v>2</v>
          </cell>
          <cell r="L116">
            <v>25</v>
          </cell>
          <cell r="M116">
            <v>370</v>
          </cell>
          <cell r="N116">
            <v>2</v>
          </cell>
          <cell r="O116">
            <v>123</v>
          </cell>
          <cell r="P116">
            <v>0</v>
          </cell>
          <cell r="Q116" t="str">
            <v/>
          </cell>
          <cell r="R116">
            <v>234</v>
          </cell>
          <cell r="S116">
            <v>25</v>
          </cell>
          <cell r="T116">
            <v>370</v>
          </cell>
          <cell r="U116">
            <v>2</v>
          </cell>
          <cell r="V116">
            <v>123</v>
          </cell>
          <cell r="W116">
            <v>0</v>
          </cell>
          <cell r="X116" t="str">
            <v/>
          </cell>
          <cell r="Y116">
            <v>8430</v>
          </cell>
          <cell r="Z116">
            <v>12</v>
          </cell>
          <cell r="AA116">
            <v>79.79154017405385</v>
          </cell>
          <cell r="AB116">
            <v>200</v>
          </cell>
        </row>
        <row r="117">
          <cell r="A117">
            <v>8140</v>
          </cell>
          <cell r="B117" t="str">
            <v>天命</v>
          </cell>
          <cell r="C117" t="str">
            <v>橙色</v>
          </cell>
          <cell r="D117">
            <v>4</v>
          </cell>
          <cell r="E117" t="str">
            <v>生命</v>
          </cell>
          <cell r="F117">
            <v>0.4</v>
          </cell>
          <cell r="G117"/>
          <cell r="H117"/>
          <cell r="I117"/>
          <cell r="J117"/>
          <cell r="K117">
            <v>1</v>
          </cell>
          <cell r="L117">
            <v>1</v>
          </cell>
          <cell r="M117">
            <v>11111</v>
          </cell>
          <cell r="N117">
            <v>0</v>
          </cell>
          <cell r="O117" t="str">
            <v/>
          </cell>
          <cell r="P117">
            <v>0</v>
          </cell>
          <cell r="Q117" t="str">
            <v/>
          </cell>
          <cell r="R117">
            <v>444.44</v>
          </cell>
          <cell r="S117">
            <v>1</v>
          </cell>
          <cell r="T117">
            <v>11111</v>
          </cell>
          <cell r="U117">
            <v>0</v>
          </cell>
          <cell r="V117" t="str">
            <v/>
          </cell>
          <cell r="W117">
            <v>0</v>
          </cell>
          <cell r="X117" t="str">
            <v/>
          </cell>
          <cell r="Y117">
            <v>8140</v>
          </cell>
          <cell r="Z117">
            <v>1</v>
          </cell>
          <cell r="AA117">
            <v>608.41049382716051</v>
          </cell>
          <cell r="AB117">
            <v>1250</v>
          </cell>
        </row>
        <row r="118">
          <cell r="A118">
            <v>8240</v>
          </cell>
          <cell r="B118" t="str">
            <v>龙吟</v>
          </cell>
          <cell r="C118" t="str">
            <v>橙色</v>
          </cell>
          <cell r="D118">
            <v>4</v>
          </cell>
          <cell r="E118" t="str">
            <v>攻击</v>
          </cell>
          <cell r="F118">
            <v>0.4</v>
          </cell>
          <cell r="G118"/>
          <cell r="H118"/>
          <cell r="I118"/>
          <cell r="J118"/>
          <cell r="K118">
            <v>1</v>
          </cell>
          <cell r="L118">
            <v>2</v>
          </cell>
          <cell r="M118">
            <v>444</v>
          </cell>
          <cell r="N118">
            <v>0</v>
          </cell>
          <cell r="O118" t="str">
            <v/>
          </cell>
          <cell r="P118">
            <v>0</v>
          </cell>
          <cell r="Q118" t="str">
            <v/>
          </cell>
          <cell r="R118">
            <v>444</v>
          </cell>
          <cell r="S118">
            <v>2</v>
          </cell>
          <cell r="T118">
            <v>444</v>
          </cell>
          <cell r="U118">
            <v>0</v>
          </cell>
          <cell r="V118" t="str">
            <v/>
          </cell>
          <cell r="W118">
            <v>0</v>
          </cell>
          <cell r="X118" t="str">
            <v/>
          </cell>
          <cell r="Y118">
            <v>8240</v>
          </cell>
          <cell r="Z118">
            <v>2</v>
          </cell>
          <cell r="AA118">
            <v>608.41049382716051</v>
          </cell>
          <cell r="AB118">
            <v>1250</v>
          </cell>
        </row>
        <row r="119">
          <cell r="A119">
            <v>8340</v>
          </cell>
          <cell r="B119" t="str">
            <v>守御</v>
          </cell>
          <cell r="C119" t="str">
            <v>橙色</v>
          </cell>
          <cell r="D119">
            <v>4</v>
          </cell>
          <cell r="E119" t="str">
            <v>防御</v>
          </cell>
          <cell r="F119">
            <v>1</v>
          </cell>
          <cell r="G119"/>
          <cell r="H119"/>
          <cell r="I119"/>
          <cell r="J119"/>
          <cell r="K119">
            <v>1</v>
          </cell>
          <cell r="L119">
            <v>3</v>
          </cell>
          <cell r="M119">
            <v>444</v>
          </cell>
          <cell r="N119">
            <v>0</v>
          </cell>
          <cell r="O119" t="str">
            <v/>
          </cell>
          <cell r="P119">
            <v>0</v>
          </cell>
          <cell r="Q119" t="str">
            <v/>
          </cell>
          <cell r="R119">
            <v>444</v>
          </cell>
          <cell r="S119">
            <v>3</v>
          </cell>
          <cell r="T119">
            <v>444</v>
          </cell>
          <cell r="U119">
            <v>0</v>
          </cell>
          <cell r="V119" t="str">
            <v/>
          </cell>
          <cell r="W119">
            <v>0</v>
          </cell>
          <cell r="X119" t="str">
            <v/>
          </cell>
          <cell r="Y119">
            <v>8340</v>
          </cell>
          <cell r="Z119">
            <v>3</v>
          </cell>
          <cell r="AA119">
            <v>608.41049382716051</v>
          </cell>
          <cell r="AB119">
            <v>1250</v>
          </cell>
        </row>
        <row r="120">
          <cell r="A120">
            <v>8440</v>
          </cell>
          <cell r="B120" t="str">
            <v>千眼</v>
          </cell>
          <cell r="C120" t="str">
            <v>橙色</v>
          </cell>
          <cell r="D120">
            <v>4</v>
          </cell>
          <cell r="E120" t="str">
            <v>命中值</v>
          </cell>
          <cell r="F120">
            <v>1</v>
          </cell>
          <cell r="G120"/>
          <cell r="H120"/>
          <cell r="I120"/>
          <cell r="J120"/>
          <cell r="K120">
            <v>1</v>
          </cell>
          <cell r="L120">
            <v>6</v>
          </cell>
          <cell r="M120">
            <v>1307</v>
          </cell>
          <cell r="N120">
            <v>0</v>
          </cell>
          <cell r="O120" t="str">
            <v/>
          </cell>
          <cell r="P120">
            <v>0</v>
          </cell>
          <cell r="Q120" t="str">
            <v/>
          </cell>
          <cell r="R120">
            <v>444.38000000000005</v>
          </cell>
          <cell r="S120">
            <v>6</v>
          </cell>
          <cell r="T120">
            <v>1307</v>
          </cell>
          <cell r="U120">
            <v>0</v>
          </cell>
          <cell r="V120" t="str">
            <v/>
          </cell>
          <cell r="W120">
            <v>0</v>
          </cell>
          <cell r="X120" t="str">
            <v/>
          </cell>
          <cell r="Y120">
            <v>8440</v>
          </cell>
          <cell r="Z120">
            <v>4</v>
          </cell>
          <cell r="AA120">
            <v>608.41049382716051</v>
          </cell>
          <cell r="AB120">
            <v>1250</v>
          </cell>
        </row>
        <row r="121">
          <cell r="A121">
            <v>8540</v>
          </cell>
          <cell r="B121" t="str">
            <v>逍遥</v>
          </cell>
          <cell r="C121" t="str">
            <v>橙色</v>
          </cell>
          <cell r="D121">
            <v>4</v>
          </cell>
          <cell r="E121" t="str">
            <v>闪避值</v>
          </cell>
          <cell r="F121">
            <v>1</v>
          </cell>
          <cell r="G121"/>
          <cell r="H121"/>
          <cell r="I121"/>
          <cell r="J121"/>
          <cell r="K121">
            <v>1</v>
          </cell>
          <cell r="L121">
            <v>7</v>
          </cell>
          <cell r="M121">
            <v>1307</v>
          </cell>
          <cell r="N121">
            <v>0</v>
          </cell>
          <cell r="O121" t="str">
            <v/>
          </cell>
          <cell r="P121">
            <v>0</v>
          </cell>
          <cell r="Q121" t="str">
            <v/>
          </cell>
          <cell r="R121">
            <v>444.38000000000005</v>
          </cell>
          <cell r="S121">
            <v>7</v>
          </cell>
          <cell r="T121">
            <v>1307</v>
          </cell>
          <cell r="U121">
            <v>0</v>
          </cell>
          <cell r="V121" t="str">
            <v/>
          </cell>
          <cell r="W121">
            <v>0</v>
          </cell>
          <cell r="X121" t="str">
            <v/>
          </cell>
          <cell r="Y121">
            <v>8140</v>
          </cell>
          <cell r="Z121">
            <v>5</v>
          </cell>
          <cell r="AA121">
            <v>608.41049382716051</v>
          </cell>
          <cell r="AB121">
            <v>1250</v>
          </cell>
        </row>
        <row r="122">
          <cell r="A122">
            <v>8640</v>
          </cell>
          <cell r="B122" t="str">
            <v>流离</v>
          </cell>
          <cell r="C122" t="str">
            <v>橙色</v>
          </cell>
          <cell r="D122">
            <v>4</v>
          </cell>
          <cell r="E122" t="str">
            <v>韧性值</v>
          </cell>
          <cell r="F122">
            <v>1</v>
          </cell>
          <cell r="G122"/>
          <cell r="H122"/>
          <cell r="I122"/>
          <cell r="J122"/>
          <cell r="K122">
            <v>1</v>
          </cell>
          <cell r="L122">
            <v>9</v>
          </cell>
          <cell r="M122">
            <v>2469</v>
          </cell>
          <cell r="N122">
            <v>0</v>
          </cell>
          <cell r="O122" t="str">
            <v/>
          </cell>
          <cell r="P122">
            <v>0</v>
          </cell>
          <cell r="Q122" t="str">
            <v/>
          </cell>
          <cell r="R122">
            <v>444.41999999999996</v>
          </cell>
          <cell r="S122">
            <v>9</v>
          </cell>
          <cell r="T122">
            <v>2469</v>
          </cell>
          <cell r="U122">
            <v>0</v>
          </cell>
          <cell r="V122" t="str">
            <v/>
          </cell>
          <cell r="W122">
            <v>0</v>
          </cell>
          <cell r="X122" t="str">
            <v/>
          </cell>
          <cell r="Y122">
            <v>8240</v>
          </cell>
          <cell r="Z122">
            <v>6</v>
          </cell>
          <cell r="AA122">
            <v>608.41049382716051</v>
          </cell>
          <cell r="AB122">
            <v>1250</v>
          </cell>
        </row>
        <row r="123">
          <cell r="A123">
            <v>8740</v>
          </cell>
          <cell r="B123" t="str">
            <v>夺魄</v>
          </cell>
          <cell r="C123" t="str">
            <v>橙色</v>
          </cell>
          <cell r="D123">
            <v>4</v>
          </cell>
          <cell r="E123" t="str">
            <v>暴击值</v>
          </cell>
          <cell r="F123">
            <v>1</v>
          </cell>
          <cell r="G123"/>
          <cell r="H123"/>
          <cell r="I123"/>
          <cell r="J123"/>
          <cell r="K123">
            <v>1</v>
          </cell>
          <cell r="L123">
            <v>8</v>
          </cell>
          <cell r="M123">
            <v>2469</v>
          </cell>
          <cell r="N123">
            <v>0</v>
          </cell>
          <cell r="O123" t="str">
            <v/>
          </cell>
          <cell r="P123">
            <v>0</v>
          </cell>
          <cell r="Q123" t="str">
            <v/>
          </cell>
          <cell r="R123">
            <v>444.41999999999996</v>
          </cell>
          <cell r="S123">
            <v>8</v>
          </cell>
          <cell r="T123">
            <v>2469</v>
          </cell>
          <cell r="U123">
            <v>0</v>
          </cell>
          <cell r="V123" t="str">
            <v/>
          </cell>
          <cell r="W123">
            <v>0</v>
          </cell>
          <cell r="X123" t="str">
            <v/>
          </cell>
          <cell r="Y123">
            <v>8340</v>
          </cell>
          <cell r="Z123">
            <v>7</v>
          </cell>
          <cell r="AA123">
            <v>608.41049382716051</v>
          </cell>
          <cell r="AB123">
            <v>1250</v>
          </cell>
        </row>
        <row r="124">
          <cell r="A124">
            <v>8840</v>
          </cell>
          <cell r="B124" t="str">
            <v>审判</v>
          </cell>
          <cell r="C124" t="str">
            <v>橙色</v>
          </cell>
          <cell r="D124">
            <v>4</v>
          </cell>
          <cell r="E124" t="str">
            <v>暴击倍数</v>
          </cell>
          <cell r="F124">
            <v>1</v>
          </cell>
          <cell r="G124" t="str">
            <v>攻击</v>
          </cell>
          <cell r="H124">
            <v>0.2</v>
          </cell>
          <cell r="I124"/>
          <cell r="J124"/>
          <cell r="K124">
            <v>2</v>
          </cell>
          <cell r="L124">
            <v>10</v>
          </cell>
          <cell r="M124">
            <v>1667</v>
          </cell>
          <cell r="N124">
            <v>2</v>
          </cell>
          <cell r="O124">
            <v>222</v>
          </cell>
          <cell r="P124">
            <v>0</v>
          </cell>
          <cell r="Q124" t="str">
            <v/>
          </cell>
          <cell r="R124">
            <v>422.03999999999996</v>
          </cell>
          <cell r="S124">
            <v>10</v>
          </cell>
          <cell r="T124">
            <v>1667</v>
          </cell>
          <cell r="U124">
            <v>2</v>
          </cell>
          <cell r="V124">
            <v>222</v>
          </cell>
          <cell r="W124">
            <v>0</v>
          </cell>
          <cell r="X124" t="str">
            <v/>
          </cell>
          <cell r="Y124">
            <v>8440</v>
          </cell>
          <cell r="Z124">
            <v>8</v>
          </cell>
          <cell r="AA124">
            <v>608.41049382716051</v>
          </cell>
          <cell r="AB124">
            <v>1250</v>
          </cell>
        </row>
        <row r="125">
          <cell r="A125">
            <v>8940</v>
          </cell>
          <cell r="B125" t="str">
            <v>破天</v>
          </cell>
          <cell r="C125" t="str">
            <v>橙色</v>
          </cell>
          <cell r="D125">
            <v>4</v>
          </cell>
          <cell r="E125" t="str">
            <v>攻击加成</v>
          </cell>
          <cell r="F125">
            <v>1.2</v>
          </cell>
          <cell r="G125" t="str">
            <v>生命</v>
          </cell>
          <cell r="H125">
            <v>0.2</v>
          </cell>
          <cell r="I125"/>
          <cell r="J125"/>
          <cell r="K125">
            <v>2</v>
          </cell>
          <cell r="L125">
            <v>22</v>
          </cell>
          <cell r="M125">
            <v>667</v>
          </cell>
          <cell r="N125">
            <v>1</v>
          </cell>
          <cell r="O125">
            <v>5555</v>
          </cell>
          <cell r="P125">
            <v>0</v>
          </cell>
          <cell r="Q125" t="str">
            <v/>
          </cell>
          <cell r="R125">
            <v>462.32000000000005</v>
          </cell>
          <cell r="S125">
            <v>22</v>
          </cell>
          <cell r="T125">
            <v>556</v>
          </cell>
          <cell r="U125">
            <v>1</v>
          </cell>
          <cell r="V125">
            <v>5555</v>
          </cell>
          <cell r="W125">
            <v>0</v>
          </cell>
          <cell r="X125" t="str">
            <v/>
          </cell>
          <cell r="Y125">
            <v>8140</v>
          </cell>
          <cell r="Z125">
            <v>9</v>
          </cell>
          <cell r="AA125">
            <v>608.41049382716051</v>
          </cell>
          <cell r="AB125">
            <v>1250</v>
          </cell>
        </row>
        <row r="126">
          <cell r="A126">
            <v>9040</v>
          </cell>
          <cell r="B126" t="str">
            <v>天狱</v>
          </cell>
          <cell r="C126" t="str">
            <v>橙色</v>
          </cell>
          <cell r="D126">
            <v>4</v>
          </cell>
          <cell r="E126" t="str">
            <v>防御加成</v>
          </cell>
          <cell r="F126">
            <v>1</v>
          </cell>
          <cell r="G126" t="str">
            <v>攻击</v>
          </cell>
          <cell r="H126">
            <v>0.2</v>
          </cell>
          <cell r="I126"/>
          <cell r="J126"/>
          <cell r="K126">
            <v>2</v>
          </cell>
          <cell r="L126">
            <v>23</v>
          </cell>
          <cell r="M126">
            <v>833</v>
          </cell>
          <cell r="N126">
            <v>2</v>
          </cell>
          <cell r="O126">
            <v>222</v>
          </cell>
          <cell r="P126">
            <v>0</v>
          </cell>
          <cell r="Q126" t="str">
            <v/>
          </cell>
          <cell r="R126">
            <v>421.91999999999996</v>
          </cell>
          <cell r="S126">
            <v>23</v>
          </cell>
          <cell r="T126">
            <v>833</v>
          </cell>
          <cell r="U126">
            <v>2</v>
          </cell>
          <cell r="V126">
            <v>222</v>
          </cell>
          <cell r="W126">
            <v>0</v>
          </cell>
          <cell r="X126" t="str">
            <v/>
          </cell>
          <cell r="Y126">
            <v>8240</v>
          </cell>
          <cell r="Z126">
            <v>10</v>
          </cell>
          <cell r="AA126">
            <v>608.41049382716051</v>
          </cell>
          <cell r="AB126">
            <v>1250</v>
          </cell>
        </row>
        <row r="127">
          <cell r="A127">
            <v>9140</v>
          </cell>
          <cell r="B127" t="str">
            <v>幽灵</v>
          </cell>
          <cell r="C127" t="str">
            <v>橙色</v>
          </cell>
          <cell r="D127">
            <v>4</v>
          </cell>
          <cell r="E127" t="str">
            <v>伤害加深</v>
          </cell>
          <cell r="F127">
            <v>1</v>
          </cell>
          <cell r="G127" t="str">
            <v>生命</v>
          </cell>
          <cell r="H127">
            <v>0.2</v>
          </cell>
          <cell r="I127"/>
          <cell r="J127"/>
          <cell r="K127">
            <v>2</v>
          </cell>
          <cell r="L127">
            <v>24</v>
          </cell>
          <cell r="M127">
            <v>667</v>
          </cell>
          <cell r="N127">
            <v>1</v>
          </cell>
          <cell r="O127">
            <v>5555</v>
          </cell>
          <cell r="P127">
            <v>0</v>
          </cell>
          <cell r="Q127" t="str">
            <v/>
          </cell>
          <cell r="R127">
            <v>422.3</v>
          </cell>
          <cell r="S127">
            <v>24</v>
          </cell>
          <cell r="T127">
            <v>667</v>
          </cell>
          <cell r="U127">
            <v>1</v>
          </cell>
          <cell r="V127">
            <v>5555</v>
          </cell>
          <cell r="W127">
            <v>0</v>
          </cell>
          <cell r="X127" t="str">
            <v/>
          </cell>
          <cell r="Y127">
            <v>8340</v>
          </cell>
          <cell r="Z127">
            <v>11</v>
          </cell>
          <cell r="AA127">
            <v>608.41049382716051</v>
          </cell>
          <cell r="AB127">
            <v>1250</v>
          </cell>
        </row>
        <row r="128">
          <cell r="A128">
            <v>9240</v>
          </cell>
          <cell r="B128" t="str">
            <v>困魔</v>
          </cell>
          <cell r="C128" t="str">
            <v>橙色</v>
          </cell>
          <cell r="D128">
            <v>4</v>
          </cell>
          <cell r="E128" t="str">
            <v>伤害减免</v>
          </cell>
          <cell r="F128">
            <v>1</v>
          </cell>
          <cell r="G128" t="str">
            <v>攻击</v>
          </cell>
          <cell r="H128">
            <v>0.2</v>
          </cell>
          <cell r="I128"/>
          <cell r="J128"/>
          <cell r="K128">
            <v>2</v>
          </cell>
          <cell r="L128">
            <v>25</v>
          </cell>
          <cell r="M128">
            <v>667</v>
          </cell>
          <cell r="N128">
            <v>2</v>
          </cell>
          <cell r="O128">
            <v>222</v>
          </cell>
          <cell r="P128">
            <v>0</v>
          </cell>
          <cell r="Q128" t="str">
            <v/>
          </cell>
          <cell r="R128">
            <v>422.1</v>
          </cell>
          <cell r="S128">
            <v>25</v>
          </cell>
          <cell r="T128">
            <v>667</v>
          </cell>
          <cell r="U128">
            <v>2</v>
          </cell>
          <cell r="V128">
            <v>222</v>
          </cell>
          <cell r="W128">
            <v>0</v>
          </cell>
          <cell r="X128" t="str">
            <v/>
          </cell>
          <cell r="Y128">
            <v>8440</v>
          </cell>
          <cell r="Z128">
            <v>12</v>
          </cell>
          <cell r="AA128">
            <v>608.41049382716051</v>
          </cell>
          <cell r="AB128">
            <v>1250</v>
          </cell>
        </row>
        <row r="129">
          <cell r="A129">
            <v>9340</v>
          </cell>
          <cell r="B129" t="str">
            <v>无尽</v>
          </cell>
          <cell r="C129" t="str">
            <v>橙色</v>
          </cell>
          <cell r="D129">
            <v>4</v>
          </cell>
          <cell r="E129" t="str">
            <v>生命</v>
          </cell>
          <cell r="F129">
            <v>0.2</v>
          </cell>
          <cell r="G129" t="str">
            <v>攻击</v>
          </cell>
          <cell r="H129">
            <v>0.2</v>
          </cell>
          <cell r="I129"/>
          <cell r="J129"/>
          <cell r="K129">
            <v>2</v>
          </cell>
          <cell r="L129">
            <v>1</v>
          </cell>
          <cell r="M129">
            <v>5556</v>
          </cell>
          <cell r="N129">
            <v>2</v>
          </cell>
          <cell r="O129">
            <v>222</v>
          </cell>
          <cell r="P129">
            <v>0</v>
          </cell>
          <cell r="Q129" t="str">
            <v/>
          </cell>
          <cell r="R129">
            <v>444.24</v>
          </cell>
          <cell r="S129">
            <v>1</v>
          </cell>
          <cell r="T129">
            <v>5556</v>
          </cell>
          <cell r="U129">
            <v>2</v>
          </cell>
          <cell r="V129">
            <v>222</v>
          </cell>
          <cell r="W129">
            <v>0</v>
          </cell>
          <cell r="X129" t="str">
            <v/>
          </cell>
          <cell r="Y129">
            <v>8140</v>
          </cell>
          <cell r="Z129">
            <v>13</v>
          </cell>
          <cell r="AA129">
            <v>608.41049382716051</v>
          </cell>
          <cell r="AB129">
            <v>1250</v>
          </cell>
        </row>
        <row r="130">
          <cell r="A130">
            <v>9440</v>
          </cell>
          <cell r="B130" t="str">
            <v>元初</v>
          </cell>
          <cell r="C130" t="str">
            <v>橙色</v>
          </cell>
          <cell r="D130">
            <v>4</v>
          </cell>
          <cell r="E130" t="str">
            <v>攻击</v>
          </cell>
          <cell r="F130">
            <v>0.2</v>
          </cell>
          <cell r="G130"/>
          <cell r="H130"/>
          <cell r="I130"/>
          <cell r="J130"/>
          <cell r="K130">
            <v>1</v>
          </cell>
          <cell r="L130">
            <v>2</v>
          </cell>
          <cell r="M130">
            <v>222</v>
          </cell>
          <cell r="N130">
            <v>0</v>
          </cell>
          <cell r="O130" t="str">
            <v/>
          </cell>
          <cell r="P130">
            <v>0</v>
          </cell>
          <cell r="Q130" t="str">
            <v/>
          </cell>
          <cell r="R130">
            <v>222</v>
          </cell>
          <cell r="S130">
            <v>2</v>
          </cell>
          <cell r="T130">
            <v>222</v>
          </cell>
          <cell r="U130">
            <v>0</v>
          </cell>
          <cell r="V130" t="str">
            <v/>
          </cell>
          <cell r="W130">
            <v>0</v>
          </cell>
          <cell r="X130" t="str">
            <v/>
          </cell>
          <cell r="Y130">
            <v>8240</v>
          </cell>
          <cell r="Z130">
            <v>14</v>
          </cell>
          <cell r="AA130">
            <v>608.41049382716051</v>
          </cell>
          <cell r="AB130">
            <v>1250</v>
          </cell>
        </row>
        <row r="131">
          <cell r="A131">
            <v>9540</v>
          </cell>
          <cell r="B131" t="str">
            <v>八卦</v>
          </cell>
          <cell r="C131" t="str">
            <v>橙色</v>
          </cell>
          <cell r="D131">
            <v>4</v>
          </cell>
          <cell r="E131" t="str">
            <v>生命</v>
          </cell>
          <cell r="F131">
            <v>0.1</v>
          </cell>
          <cell r="G131" t="str">
            <v>攻击</v>
          </cell>
          <cell r="H131">
            <v>0</v>
          </cell>
          <cell r="I131"/>
          <cell r="J131"/>
          <cell r="K131">
            <v>1</v>
          </cell>
          <cell r="L131">
            <v>1</v>
          </cell>
          <cell r="M131">
            <v>2778</v>
          </cell>
          <cell r="N131">
            <v>2</v>
          </cell>
          <cell r="O131">
            <v>0</v>
          </cell>
          <cell r="P131">
            <v>0</v>
          </cell>
          <cell r="Q131" t="str">
            <v/>
          </cell>
          <cell r="R131">
            <v>111.12</v>
          </cell>
          <cell r="S131">
            <v>1</v>
          </cell>
          <cell r="T131">
            <v>2778</v>
          </cell>
          <cell r="U131">
            <v>2</v>
          </cell>
          <cell r="V131">
            <v>0</v>
          </cell>
          <cell r="W131">
            <v>0</v>
          </cell>
          <cell r="X131" t="str">
            <v/>
          </cell>
          <cell r="Y131">
            <v>8340</v>
          </cell>
          <cell r="Z131">
            <v>15</v>
          </cell>
          <cell r="AA131">
            <v>608.41049382716051</v>
          </cell>
          <cell r="AB131">
            <v>1250</v>
          </cell>
        </row>
        <row r="132">
          <cell r="A132">
            <v>9640</v>
          </cell>
          <cell r="B132" t="str">
            <v>剎那</v>
          </cell>
          <cell r="C132" t="str">
            <v>橙色</v>
          </cell>
          <cell r="D132">
            <v>4</v>
          </cell>
          <cell r="E132" t="str">
            <v>生命</v>
          </cell>
          <cell r="F132">
            <v>0.4</v>
          </cell>
          <cell r="G132" t="str">
            <v>防御</v>
          </cell>
          <cell r="H132">
            <v>0.2</v>
          </cell>
          <cell r="I132"/>
          <cell r="J132"/>
          <cell r="K132">
            <v>2</v>
          </cell>
          <cell r="L132">
            <v>1</v>
          </cell>
          <cell r="M132">
            <v>11111</v>
          </cell>
          <cell r="N132">
            <v>3</v>
          </cell>
          <cell r="O132">
            <v>88</v>
          </cell>
          <cell r="P132">
            <v>0</v>
          </cell>
          <cell r="Q132" t="str">
            <v/>
          </cell>
          <cell r="R132">
            <v>532.44000000000005</v>
          </cell>
          <cell r="S132">
            <v>1</v>
          </cell>
          <cell r="T132">
            <v>11111</v>
          </cell>
          <cell r="U132">
            <v>3</v>
          </cell>
          <cell r="V132">
            <v>88</v>
          </cell>
          <cell r="W132">
            <v>0</v>
          </cell>
          <cell r="X132" t="str">
            <v/>
          </cell>
          <cell r="Y132">
            <v>8440</v>
          </cell>
          <cell r="Z132">
            <v>16</v>
          </cell>
          <cell r="AA132">
            <v>608.41049382716051</v>
          </cell>
          <cell r="AB132">
            <v>1250</v>
          </cell>
        </row>
        <row r="133">
          <cell r="A133">
            <v>9740</v>
          </cell>
          <cell r="B133" t="str">
            <v>咆哮</v>
          </cell>
          <cell r="C133" t="str">
            <v>橙色</v>
          </cell>
          <cell r="D133">
            <v>4</v>
          </cell>
          <cell r="E133" t="str">
            <v>攻击</v>
          </cell>
          <cell r="F133">
            <v>0.4</v>
          </cell>
          <cell r="G133" t="str">
            <v>防御</v>
          </cell>
          <cell r="H133">
            <v>0.2</v>
          </cell>
          <cell r="I133"/>
          <cell r="J133"/>
          <cell r="K133">
            <v>2</v>
          </cell>
          <cell r="L133">
            <v>2</v>
          </cell>
          <cell r="M133">
            <v>444</v>
          </cell>
          <cell r="N133">
            <v>3</v>
          </cell>
          <cell r="O133">
            <v>88</v>
          </cell>
          <cell r="P133">
            <v>0</v>
          </cell>
          <cell r="Q133" t="str">
            <v/>
          </cell>
          <cell r="R133">
            <v>532</v>
          </cell>
          <cell r="S133">
            <v>2</v>
          </cell>
          <cell r="T133">
            <v>444</v>
          </cell>
          <cell r="U133">
            <v>3</v>
          </cell>
          <cell r="V133">
            <v>88</v>
          </cell>
          <cell r="W133">
            <v>0</v>
          </cell>
          <cell r="X133" t="str">
            <v/>
          </cell>
          <cell r="Y133">
            <v>8140</v>
          </cell>
          <cell r="Z133">
            <v>17</v>
          </cell>
          <cell r="AA133">
            <v>608.41049382716051</v>
          </cell>
          <cell r="AB133">
            <v>1250</v>
          </cell>
        </row>
        <row r="134">
          <cell r="A134">
            <v>9840</v>
          </cell>
          <cell r="B134" t="str">
            <v>断罪</v>
          </cell>
          <cell r="C134" t="str">
            <v>橙色</v>
          </cell>
          <cell r="D134">
            <v>4</v>
          </cell>
          <cell r="E134" t="str">
            <v>暴击值</v>
          </cell>
          <cell r="F134">
            <v>0.5</v>
          </cell>
          <cell r="G134" t="str">
            <v>暴击伤害</v>
          </cell>
          <cell r="H134">
            <v>0.5</v>
          </cell>
          <cell r="I134"/>
          <cell r="J134"/>
          <cell r="K134">
            <v>2</v>
          </cell>
          <cell r="L134">
            <v>8</v>
          </cell>
          <cell r="M134">
            <v>1235</v>
          </cell>
          <cell r="N134">
            <v>0</v>
          </cell>
          <cell r="O134">
            <v>0</v>
          </cell>
          <cell r="P134">
            <v>0</v>
          </cell>
          <cell r="Q134" t="str">
            <v/>
          </cell>
          <cell r="R134">
            <v>222.29999999999998</v>
          </cell>
          <cell r="S134">
            <v>8</v>
          </cell>
          <cell r="T134">
            <v>1235</v>
          </cell>
          <cell r="U134">
            <v>0</v>
          </cell>
          <cell r="V134">
            <v>0</v>
          </cell>
          <cell r="W134">
            <v>0</v>
          </cell>
          <cell r="X134" t="str">
            <v/>
          </cell>
          <cell r="Y134">
            <v>8240</v>
          </cell>
          <cell r="Z134">
            <v>18</v>
          </cell>
          <cell r="AA134">
            <v>608.41049382716051</v>
          </cell>
          <cell r="AB134">
            <v>1250</v>
          </cell>
        </row>
        <row r="135">
          <cell r="A135">
            <v>8150</v>
          </cell>
          <cell r="B135" t="str">
            <v>一元复始</v>
          </cell>
          <cell r="C135" t="str">
            <v>红色</v>
          </cell>
          <cell r="D135">
            <v>5</v>
          </cell>
          <cell r="E135" t="str">
            <v>生命</v>
          </cell>
          <cell r="F135">
            <v>0.4</v>
          </cell>
          <cell r="G135"/>
          <cell r="H135"/>
          <cell r="I135"/>
          <cell r="J135"/>
          <cell r="K135">
            <v>1</v>
          </cell>
          <cell r="L135">
            <v>1</v>
          </cell>
          <cell r="M135">
            <v>20000</v>
          </cell>
          <cell r="N135">
            <v>0</v>
          </cell>
          <cell r="O135" t="str">
            <v/>
          </cell>
          <cell r="P135">
            <v>0</v>
          </cell>
          <cell r="Q135" t="str">
            <v/>
          </cell>
          <cell r="R135">
            <v>800</v>
          </cell>
          <cell r="S135">
            <v>1</v>
          </cell>
          <cell r="T135">
            <v>20000</v>
          </cell>
          <cell r="U135">
            <v>0</v>
          </cell>
          <cell r="V135" t="str">
            <v/>
          </cell>
          <cell r="W135">
            <v>0</v>
          </cell>
          <cell r="X135" t="str">
            <v/>
          </cell>
          <cell r="Y135">
            <v>8150</v>
          </cell>
          <cell r="Z135">
            <v>1</v>
          </cell>
          <cell r="AA135">
            <v>4867.2839506172841</v>
          </cell>
          <cell r="AB135">
            <v>5000</v>
          </cell>
        </row>
        <row r="136">
          <cell r="A136">
            <v>8250</v>
          </cell>
          <cell r="B136" t="str">
            <v>大破坏神</v>
          </cell>
          <cell r="C136" t="str">
            <v>红色</v>
          </cell>
          <cell r="D136">
            <v>5</v>
          </cell>
          <cell r="E136" t="str">
            <v>攻击</v>
          </cell>
          <cell r="F136">
            <v>0.4</v>
          </cell>
          <cell r="G136"/>
          <cell r="H136"/>
          <cell r="I136"/>
          <cell r="J136"/>
          <cell r="K136">
            <v>1</v>
          </cell>
          <cell r="L136">
            <v>2</v>
          </cell>
          <cell r="M136">
            <v>800</v>
          </cell>
          <cell r="N136">
            <v>0</v>
          </cell>
          <cell r="O136" t="str">
            <v/>
          </cell>
          <cell r="P136">
            <v>0</v>
          </cell>
          <cell r="Q136" t="str">
            <v/>
          </cell>
          <cell r="R136">
            <v>800</v>
          </cell>
          <cell r="S136">
            <v>2</v>
          </cell>
          <cell r="T136">
            <v>800</v>
          </cell>
          <cell r="U136">
            <v>0</v>
          </cell>
          <cell r="V136" t="str">
            <v/>
          </cell>
          <cell r="W136">
            <v>0</v>
          </cell>
          <cell r="X136" t="str">
            <v/>
          </cell>
          <cell r="Y136">
            <v>8250</v>
          </cell>
          <cell r="Z136">
            <v>2</v>
          </cell>
          <cell r="AA136">
            <v>4867.2839506172841</v>
          </cell>
          <cell r="AB136">
            <v>5000</v>
          </cell>
        </row>
        <row r="137">
          <cell r="A137">
            <v>8350</v>
          </cell>
          <cell r="B137" t="str">
            <v>天地无用</v>
          </cell>
          <cell r="C137" t="str">
            <v>红色</v>
          </cell>
          <cell r="D137">
            <v>5</v>
          </cell>
          <cell r="E137" t="str">
            <v>防御</v>
          </cell>
          <cell r="F137">
            <v>1</v>
          </cell>
          <cell r="G137"/>
          <cell r="H137"/>
          <cell r="I137"/>
          <cell r="J137"/>
          <cell r="K137">
            <v>1</v>
          </cell>
          <cell r="L137">
            <v>3</v>
          </cell>
          <cell r="M137">
            <v>800</v>
          </cell>
          <cell r="N137">
            <v>0</v>
          </cell>
          <cell r="O137" t="str">
            <v/>
          </cell>
          <cell r="P137">
            <v>0</v>
          </cell>
          <cell r="Q137" t="str">
            <v/>
          </cell>
          <cell r="R137">
            <v>800</v>
          </cell>
          <cell r="S137">
            <v>3</v>
          </cell>
          <cell r="T137">
            <v>800</v>
          </cell>
          <cell r="U137">
            <v>0</v>
          </cell>
          <cell r="V137" t="str">
            <v/>
          </cell>
          <cell r="W137">
            <v>0</v>
          </cell>
          <cell r="X137" t="str">
            <v/>
          </cell>
          <cell r="Y137">
            <v>8350</v>
          </cell>
          <cell r="Z137">
            <v>3</v>
          </cell>
          <cell r="AA137">
            <v>4867.2839506172841</v>
          </cell>
          <cell r="AB137">
            <v>5000</v>
          </cell>
        </row>
        <row r="138">
          <cell r="A138">
            <v>8450</v>
          </cell>
          <cell r="B138" t="str">
            <v>百步穿杨</v>
          </cell>
          <cell r="C138" t="str">
            <v>红色</v>
          </cell>
          <cell r="D138">
            <v>5</v>
          </cell>
          <cell r="E138" t="str">
            <v>命中值</v>
          </cell>
          <cell r="F138">
            <v>1</v>
          </cell>
          <cell r="G138"/>
          <cell r="H138"/>
          <cell r="I138"/>
          <cell r="J138"/>
          <cell r="K138">
            <v>1</v>
          </cell>
          <cell r="L138">
            <v>6</v>
          </cell>
          <cell r="M138">
            <v>2353</v>
          </cell>
          <cell r="N138">
            <v>0</v>
          </cell>
          <cell r="O138" t="str">
            <v/>
          </cell>
          <cell r="P138">
            <v>0</v>
          </cell>
          <cell r="Q138" t="str">
            <v/>
          </cell>
          <cell r="R138">
            <v>800.0200000000001</v>
          </cell>
          <cell r="S138">
            <v>6</v>
          </cell>
          <cell r="T138">
            <v>2353</v>
          </cell>
          <cell r="U138">
            <v>0</v>
          </cell>
          <cell r="V138" t="str">
            <v/>
          </cell>
          <cell r="W138">
            <v>0</v>
          </cell>
          <cell r="X138" t="str">
            <v/>
          </cell>
          <cell r="Y138">
            <v>8450</v>
          </cell>
          <cell r="Z138">
            <v>4</v>
          </cell>
          <cell r="AA138">
            <v>4867.2839506172841</v>
          </cell>
          <cell r="AB138">
            <v>5000</v>
          </cell>
        </row>
        <row r="139">
          <cell r="A139">
            <v>8550</v>
          </cell>
          <cell r="B139" t="str">
            <v>破碎虚空</v>
          </cell>
          <cell r="C139" t="str">
            <v>红色</v>
          </cell>
          <cell r="D139">
            <v>5</v>
          </cell>
          <cell r="E139" t="str">
            <v>闪避值</v>
          </cell>
          <cell r="F139">
            <v>1</v>
          </cell>
          <cell r="G139"/>
          <cell r="H139"/>
          <cell r="I139"/>
          <cell r="J139"/>
          <cell r="K139">
            <v>1</v>
          </cell>
          <cell r="L139">
            <v>7</v>
          </cell>
          <cell r="M139">
            <v>2353</v>
          </cell>
          <cell r="N139">
            <v>0</v>
          </cell>
          <cell r="O139" t="str">
            <v/>
          </cell>
          <cell r="P139">
            <v>0</v>
          </cell>
          <cell r="Q139" t="str">
            <v/>
          </cell>
          <cell r="R139">
            <v>800.0200000000001</v>
          </cell>
          <cell r="S139">
            <v>7</v>
          </cell>
          <cell r="T139">
            <v>2353</v>
          </cell>
          <cell r="U139">
            <v>0</v>
          </cell>
          <cell r="V139" t="str">
            <v/>
          </cell>
          <cell r="W139">
            <v>0</v>
          </cell>
          <cell r="X139" t="str">
            <v/>
          </cell>
          <cell r="Y139">
            <v>8150</v>
          </cell>
          <cell r="Z139">
            <v>5</v>
          </cell>
          <cell r="AA139">
            <v>4867.2839506172841</v>
          </cell>
          <cell r="AB139">
            <v>5000</v>
          </cell>
        </row>
        <row r="140">
          <cell r="A140">
            <v>8650</v>
          </cell>
          <cell r="B140" t="str">
            <v>冰魄寒光</v>
          </cell>
          <cell r="C140" t="str">
            <v>红色</v>
          </cell>
          <cell r="D140">
            <v>5</v>
          </cell>
          <cell r="E140" t="str">
            <v>韧性值</v>
          </cell>
          <cell r="F140">
            <v>1</v>
          </cell>
          <cell r="G140"/>
          <cell r="H140"/>
          <cell r="I140"/>
          <cell r="J140"/>
          <cell r="K140">
            <v>1</v>
          </cell>
          <cell r="L140">
            <v>9</v>
          </cell>
          <cell r="M140">
            <v>4444</v>
          </cell>
          <cell r="N140">
            <v>0</v>
          </cell>
          <cell r="O140" t="str">
            <v/>
          </cell>
          <cell r="P140">
            <v>0</v>
          </cell>
          <cell r="Q140" t="str">
            <v/>
          </cell>
          <cell r="R140">
            <v>799.92</v>
          </cell>
          <cell r="S140">
            <v>9</v>
          </cell>
          <cell r="T140">
            <v>4444</v>
          </cell>
          <cell r="U140">
            <v>0</v>
          </cell>
          <cell r="V140" t="str">
            <v/>
          </cell>
          <cell r="W140">
            <v>0</v>
          </cell>
          <cell r="X140" t="str">
            <v/>
          </cell>
          <cell r="Y140">
            <v>8250</v>
          </cell>
          <cell r="Z140">
            <v>6</v>
          </cell>
          <cell r="AA140">
            <v>4867.2839506172841</v>
          </cell>
          <cell r="AB140">
            <v>5000</v>
          </cell>
        </row>
        <row r="141">
          <cell r="A141">
            <v>8750</v>
          </cell>
          <cell r="B141" t="str">
            <v>震破苍穹</v>
          </cell>
          <cell r="C141" t="str">
            <v>红色</v>
          </cell>
          <cell r="D141">
            <v>5</v>
          </cell>
          <cell r="E141" t="str">
            <v>暴击值</v>
          </cell>
          <cell r="F141">
            <v>1</v>
          </cell>
          <cell r="G141"/>
          <cell r="H141"/>
          <cell r="I141"/>
          <cell r="J141"/>
          <cell r="K141">
            <v>1</v>
          </cell>
          <cell r="L141">
            <v>8</v>
          </cell>
          <cell r="M141">
            <v>4444</v>
          </cell>
          <cell r="N141">
            <v>0</v>
          </cell>
          <cell r="O141" t="str">
            <v/>
          </cell>
          <cell r="P141">
            <v>0</v>
          </cell>
          <cell r="Q141" t="str">
            <v/>
          </cell>
          <cell r="R141">
            <v>799.92</v>
          </cell>
          <cell r="S141">
            <v>8</v>
          </cell>
          <cell r="T141">
            <v>4444</v>
          </cell>
          <cell r="U141">
            <v>0</v>
          </cell>
          <cell r="V141" t="str">
            <v/>
          </cell>
          <cell r="W141">
            <v>0</v>
          </cell>
          <cell r="X141" t="str">
            <v/>
          </cell>
          <cell r="Y141">
            <v>8350</v>
          </cell>
          <cell r="Z141">
            <v>7</v>
          </cell>
          <cell r="AA141">
            <v>4867.2839506172841</v>
          </cell>
          <cell r="AB141">
            <v>5000</v>
          </cell>
        </row>
        <row r="142">
          <cell r="A142">
            <v>8850</v>
          </cell>
          <cell r="B142" t="str">
            <v>雷霆万钧</v>
          </cell>
          <cell r="C142" t="str">
            <v>红色</v>
          </cell>
          <cell r="D142">
            <v>5</v>
          </cell>
          <cell r="E142" t="str">
            <v>暴击倍数</v>
          </cell>
          <cell r="F142">
            <v>1</v>
          </cell>
          <cell r="G142" t="str">
            <v>攻击</v>
          </cell>
          <cell r="H142">
            <v>0.2</v>
          </cell>
          <cell r="I142"/>
          <cell r="J142"/>
          <cell r="K142">
            <v>2</v>
          </cell>
          <cell r="L142">
            <v>10</v>
          </cell>
          <cell r="M142">
            <v>3000</v>
          </cell>
          <cell r="N142">
            <v>2</v>
          </cell>
          <cell r="O142">
            <v>400</v>
          </cell>
          <cell r="P142">
            <v>0</v>
          </cell>
          <cell r="Q142" t="str">
            <v/>
          </cell>
          <cell r="R142">
            <v>760</v>
          </cell>
          <cell r="S142">
            <v>10</v>
          </cell>
          <cell r="T142">
            <v>3000</v>
          </cell>
          <cell r="U142">
            <v>2</v>
          </cell>
          <cell r="V142">
            <v>400</v>
          </cell>
          <cell r="W142">
            <v>0</v>
          </cell>
          <cell r="X142" t="str">
            <v/>
          </cell>
          <cell r="Y142">
            <v>8450</v>
          </cell>
          <cell r="Z142">
            <v>8</v>
          </cell>
          <cell r="AA142">
            <v>4867.2839506172841</v>
          </cell>
          <cell r="AB142">
            <v>5000</v>
          </cell>
        </row>
        <row r="143">
          <cell r="A143">
            <v>8950</v>
          </cell>
          <cell r="B143" t="str">
            <v>快刀乱麻</v>
          </cell>
          <cell r="C143" t="str">
            <v>红色</v>
          </cell>
          <cell r="D143">
            <v>5</v>
          </cell>
          <cell r="E143" t="str">
            <v>攻击加成</v>
          </cell>
          <cell r="F143">
            <v>1</v>
          </cell>
          <cell r="G143" t="str">
            <v>生命</v>
          </cell>
          <cell r="H143">
            <v>0.2</v>
          </cell>
          <cell r="I143"/>
          <cell r="J143"/>
          <cell r="K143">
            <v>2</v>
          </cell>
          <cell r="L143">
            <v>22</v>
          </cell>
          <cell r="M143">
            <v>1000</v>
          </cell>
          <cell r="N143">
            <v>1</v>
          </cell>
          <cell r="O143">
            <v>10000</v>
          </cell>
          <cell r="P143">
            <v>0</v>
          </cell>
          <cell r="Q143" t="str">
            <v/>
          </cell>
          <cell r="R143">
            <v>760</v>
          </cell>
          <cell r="S143">
            <v>22</v>
          </cell>
          <cell r="T143">
            <v>1000</v>
          </cell>
          <cell r="U143">
            <v>1</v>
          </cell>
          <cell r="V143">
            <v>10000</v>
          </cell>
          <cell r="W143">
            <v>0</v>
          </cell>
          <cell r="X143" t="str">
            <v/>
          </cell>
          <cell r="Y143">
            <v>8150</v>
          </cell>
          <cell r="Z143">
            <v>9</v>
          </cell>
          <cell r="AA143">
            <v>4867.2839506172841</v>
          </cell>
          <cell r="AB143">
            <v>5000</v>
          </cell>
        </row>
        <row r="144">
          <cell r="A144">
            <v>9050</v>
          </cell>
          <cell r="B144" t="str">
            <v>明镜止水</v>
          </cell>
          <cell r="C144" t="str">
            <v>红色</v>
          </cell>
          <cell r="D144">
            <v>5</v>
          </cell>
          <cell r="E144" t="str">
            <v>防御加成</v>
          </cell>
          <cell r="F144">
            <v>1</v>
          </cell>
          <cell r="G144" t="str">
            <v>攻击</v>
          </cell>
          <cell r="H144">
            <v>0.2</v>
          </cell>
          <cell r="I144"/>
          <cell r="J144"/>
          <cell r="K144">
            <v>2</v>
          </cell>
          <cell r="L144">
            <v>23</v>
          </cell>
          <cell r="M144">
            <v>1500</v>
          </cell>
          <cell r="N144">
            <v>2</v>
          </cell>
          <cell r="O144">
            <v>400</v>
          </cell>
          <cell r="P144">
            <v>0</v>
          </cell>
          <cell r="Q144" t="str">
            <v/>
          </cell>
          <cell r="R144">
            <v>760</v>
          </cell>
          <cell r="S144">
            <v>23</v>
          </cell>
          <cell r="T144">
            <v>1500</v>
          </cell>
          <cell r="U144">
            <v>2</v>
          </cell>
          <cell r="V144">
            <v>400</v>
          </cell>
          <cell r="W144">
            <v>0</v>
          </cell>
          <cell r="X144" t="str">
            <v/>
          </cell>
          <cell r="Y144">
            <v>8250</v>
          </cell>
          <cell r="Z144">
            <v>10</v>
          </cell>
          <cell r="AA144">
            <v>4867.2839506172841</v>
          </cell>
          <cell r="AB144">
            <v>5000</v>
          </cell>
        </row>
        <row r="145">
          <cell r="A145">
            <v>9150</v>
          </cell>
          <cell r="B145" t="str">
            <v>背水一战</v>
          </cell>
          <cell r="C145" t="str">
            <v>红色</v>
          </cell>
          <cell r="D145">
            <v>5</v>
          </cell>
          <cell r="E145" t="str">
            <v>伤害加深</v>
          </cell>
          <cell r="F145">
            <v>1</v>
          </cell>
          <cell r="G145" t="str">
            <v>生命</v>
          </cell>
          <cell r="H145">
            <v>0.2</v>
          </cell>
          <cell r="I145"/>
          <cell r="J145"/>
          <cell r="K145">
            <v>2</v>
          </cell>
          <cell r="L145">
            <v>24</v>
          </cell>
          <cell r="M145">
            <v>1200</v>
          </cell>
          <cell r="N145">
            <v>1</v>
          </cell>
          <cell r="O145">
            <v>10000</v>
          </cell>
          <cell r="P145">
            <v>0</v>
          </cell>
          <cell r="Q145" t="str">
            <v/>
          </cell>
          <cell r="R145">
            <v>760</v>
          </cell>
          <cell r="S145">
            <v>24</v>
          </cell>
          <cell r="T145">
            <v>1200</v>
          </cell>
          <cell r="U145">
            <v>1</v>
          </cell>
          <cell r="V145">
            <v>10000</v>
          </cell>
          <cell r="W145">
            <v>0</v>
          </cell>
          <cell r="X145" t="str">
            <v/>
          </cell>
          <cell r="Y145">
            <v>8350</v>
          </cell>
          <cell r="Z145">
            <v>11</v>
          </cell>
          <cell r="AA145">
            <v>4867.2839506172841</v>
          </cell>
          <cell r="AB145">
            <v>5000</v>
          </cell>
        </row>
        <row r="146">
          <cell r="A146">
            <v>9250</v>
          </cell>
          <cell r="B146" t="str">
            <v>金钟护体</v>
          </cell>
          <cell r="C146" t="str">
            <v>红色</v>
          </cell>
          <cell r="D146">
            <v>5</v>
          </cell>
          <cell r="E146" t="str">
            <v>伤害减免</v>
          </cell>
          <cell r="F146">
            <v>1</v>
          </cell>
          <cell r="G146" t="str">
            <v>攻击</v>
          </cell>
          <cell r="H146">
            <v>0.2</v>
          </cell>
          <cell r="I146"/>
          <cell r="J146"/>
          <cell r="K146">
            <v>2</v>
          </cell>
          <cell r="L146">
            <v>25</v>
          </cell>
          <cell r="M146">
            <v>1200</v>
          </cell>
          <cell r="N146">
            <v>2</v>
          </cell>
          <cell r="O146">
            <v>400</v>
          </cell>
          <cell r="P146">
            <v>0</v>
          </cell>
          <cell r="Q146" t="str">
            <v/>
          </cell>
          <cell r="R146">
            <v>760</v>
          </cell>
          <cell r="S146">
            <v>25</v>
          </cell>
          <cell r="T146">
            <v>1200</v>
          </cell>
          <cell r="U146">
            <v>2</v>
          </cell>
          <cell r="V146">
            <v>400</v>
          </cell>
          <cell r="W146">
            <v>0</v>
          </cell>
          <cell r="X146" t="str">
            <v/>
          </cell>
          <cell r="Y146">
            <v>8450</v>
          </cell>
          <cell r="Z146">
            <v>12</v>
          </cell>
          <cell r="AA146">
            <v>4867.2839506172841</v>
          </cell>
          <cell r="AB146">
            <v>5000</v>
          </cell>
        </row>
        <row r="147">
          <cell r="A147">
            <v>9350</v>
          </cell>
          <cell r="B147" t="str">
            <v>轩辕剑体</v>
          </cell>
          <cell r="C147" t="str">
            <v>红色</v>
          </cell>
          <cell r="D147">
            <v>5</v>
          </cell>
          <cell r="E147" t="str">
            <v>生命</v>
          </cell>
          <cell r="F147">
            <v>0.2</v>
          </cell>
          <cell r="G147" t="str">
            <v>攻击</v>
          </cell>
          <cell r="H147">
            <v>0.2</v>
          </cell>
          <cell r="I147"/>
          <cell r="J147"/>
          <cell r="K147">
            <v>2</v>
          </cell>
          <cell r="L147">
            <v>1</v>
          </cell>
          <cell r="M147">
            <v>10000</v>
          </cell>
          <cell r="N147">
            <v>2</v>
          </cell>
          <cell r="O147">
            <v>400</v>
          </cell>
          <cell r="P147">
            <v>0</v>
          </cell>
          <cell r="Q147" t="str">
            <v/>
          </cell>
          <cell r="R147">
            <v>800</v>
          </cell>
          <cell r="S147">
            <v>1</v>
          </cell>
          <cell r="T147">
            <v>10000</v>
          </cell>
          <cell r="U147">
            <v>2</v>
          </cell>
          <cell r="V147">
            <v>400</v>
          </cell>
          <cell r="W147">
            <v>0</v>
          </cell>
          <cell r="X147" t="str">
            <v/>
          </cell>
          <cell r="Y147">
            <v>8150</v>
          </cell>
          <cell r="Z147">
            <v>13</v>
          </cell>
          <cell r="AA147">
            <v>4867.2839506172841</v>
          </cell>
          <cell r="AB147">
            <v>5000</v>
          </cell>
        </row>
        <row r="148">
          <cell r="A148">
            <v>9450</v>
          </cell>
          <cell r="B148" t="str">
            <v>气势如虹</v>
          </cell>
          <cell r="C148" t="str">
            <v>红色</v>
          </cell>
          <cell r="D148">
            <v>5</v>
          </cell>
          <cell r="E148" t="str">
            <v>攻击</v>
          </cell>
          <cell r="F148">
            <v>0.2</v>
          </cell>
          <cell r="G148"/>
          <cell r="H148"/>
          <cell r="I148"/>
          <cell r="J148"/>
          <cell r="K148">
            <v>1</v>
          </cell>
          <cell r="L148">
            <v>2</v>
          </cell>
          <cell r="M148">
            <v>400</v>
          </cell>
          <cell r="N148">
            <v>0</v>
          </cell>
          <cell r="O148" t="str">
            <v/>
          </cell>
          <cell r="P148">
            <v>0</v>
          </cell>
          <cell r="Q148" t="str">
            <v/>
          </cell>
          <cell r="R148">
            <v>400</v>
          </cell>
          <cell r="S148">
            <v>2</v>
          </cell>
          <cell r="T148">
            <v>400</v>
          </cell>
          <cell r="U148">
            <v>0</v>
          </cell>
          <cell r="V148" t="str">
            <v/>
          </cell>
          <cell r="W148">
            <v>0</v>
          </cell>
          <cell r="X148" t="str">
            <v/>
          </cell>
          <cell r="Y148">
            <v>8250</v>
          </cell>
          <cell r="Z148">
            <v>14</v>
          </cell>
          <cell r="AA148">
            <v>4867.2839506172841</v>
          </cell>
          <cell r="AB148">
            <v>5000</v>
          </cell>
        </row>
        <row r="149">
          <cell r="A149">
            <v>9550</v>
          </cell>
          <cell r="B149" t="str">
            <v>包罗万象</v>
          </cell>
          <cell r="C149" t="str">
            <v>红色</v>
          </cell>
          <cell r="D149">
            <v>5</v>
          </cell>
          <cell r="E149" t="str">
            <v>生命</v>
          </cell>
          <cell r="F149">
            <v>0.1</v>
          </cell>
          <cell r="G149" t="str">
            <v>攻击</v>
          </cell>
          <cell r="H149">
            <v>0</v>
          </cell>
          <cell r="I149"/>
          <cell r="J149"/>
          <cell r="K149">
            <v>1</v>
          </cell>
          <cell r="L149">
            <v>1</v>
          </cell>
          <cell r="M149">
            <v>5000</v>
          </cell>
          <cell r="N149">
            <v>2</v>
          </cell>
          <cell r="O149">
            <v>0</v>
          </cell>
          <cell r="P149">
            <v>0</v>
          </cell>
          <cell r="Q149" t="str">
            <v/>
          </cell>
          <cell r="R149">
            <v>200</v>
          </cell>
          <cell r="S149">
            <v>1</v>
          </cell>
          <cell r="T149">
            <v>5000</v>
          </cell>
          <cell r="U149">
            <v>2</v>
          </cell>
          <cell r="V149">
            <v>0</v>
          </cell>
          <cell r="W149">
            <v>0</v>
          </cell>
          <cell r="X149" t="str">
            <v/>
          </cell>
          <cell r="Y149">
            <v>8350</v>
          </cell>
          <cell r="Z149">
            <v>15</v>
          </cell>
          <cell r="AA149">
            <v>4867.2839506172841</v>
          </cell>
          <cell r="AB149">
            <v>5000</v>
          </cell>
        </row>
        <row r="150">
          <cell r="A150">
            <v>9650</v>
          </cell>
          <cell r="B150" t="str">
            <v>心无杂念</v>
          </cell>
          <cell r="C150" t="str">
            <v>红色</v>
          </cell>
          <cell r="D150">
            <v>5</v>
          </cell>
          <cell r="E150" t="str">
            <v>生命</v>
          </cell>
          <cell r="F150">
            <v>0.4</v>
          </cell>
          <cell r="G150" t="str">
            <v>防御</v>
          </cell>
          <cell r="H150">
            <v>0.2</v>
          </cell>
          <cell r="I150"/>
          <cell r="J150"/>
          <cell r="K150">
            <v>2</v>
          </cell>
          <cell r="L150">
            <v>1</v>
          </cell>
          <cell r="M150">
            <v>20000</v>
          </cell>
          <cell r="N150">
            <v>3</v>
          </cell>
          <cell r="O150">
            <v>160</v>
          </cell>
          <cell r="P150">
            <v>0</v>
          </cell>
          <cell r="Q150" t="str">
            <v/>
          </cell>
          <cell r="R150">
            <v>960</v>
          </cell>
          <cell r="S150">
            <v>1</v>
          </cell>
          <cell r="T150">
            <v>20000</v>
          </cell>
          <cell r="U150">
            <v>3</v>
          </cell>
          <cell r="V150">
            <v>160</v>
          </cell>
          <cell r="W150">
            <v>0</v>
          </cell>
          <cell r="X150" t="str">
            <v/>
          </cell>
          <cell r="Y150">
            <v>8450</v>
          </cell>
          <cell r="Z150">
            <v>16</v>
          </cell>
          <cell r="AA150">
            <v>4867.2839506172841</v>
          </cell>
          <cell r="AB150">
            <v>5000</v>
          </cell>
        </row>
        <row r="151">
          <cell r="A151">
            <v>9750</v>
          </cell>
          <cell r="B151" t="str">
            <v>披荆斩棘</v>
          </cell>
          <cell r="C151" t="str">
            <v>红色</v>
          </cell>
          <cell r="D151">
            <v>5</v>
          </cell>
          <cell r="E151" t="str">
            <v>攻击</v>
          </cell>
          <cell r="F151">
            <v>0.4</v>
          </cell>
          <cell r="G151" t="str">
            <v>防御</v>
          </cell>
          <cell r="H151">
            <v>0.2</v>
          </cell>
          <cell r="I151"/>
          <cell r="J151"/>
          <cell r="K151">
            <v>2</v>
          </cell>
          <cell r="L151">
            <v>2</v>
          </cell>
          <cell r="M151">
            <v>800</v>
          </cell>
          <cell r="N151">
            <v>3</v>
          </cell>
          <cell r="O151">
            <v>160</v>
          </cell>
          <cell r="P151">
            <v>0</v>
          </cell>
          <cell r="Q151" t="str">
            <v/>
          </cell>
          <cell r="R151">
            <v>960</v>
          </cell>
          <cell r="S151">
            <v>2</v>
          </cell>
          <cell r="T151">
            <v>800</v>
          </cell>
          <cell r="U151">
            <v>3</v>
          </cell>
          <cell r="V151">
            <v>160</v>
          </cell>
          <cell r="W151">
            <v>0</v>
          </cell>
          <cell r="X151" t="str">
            <v/>
          </cell>
          <cell r="Y151">
            <v>8150</v>
          </cell>
          <cell r="Z151">
            <v>17</v>
          </cell>
          <cell r="AA151">
            <v>4867.2839506172841</v>
          </cell>
          <cell r="AB151">
            <v>5000</v>
          </cell>
        </row>
        <row r="152">
          <cell r="A152">
            <v>9850</v>
          </cell>
          <cell r="B152" t="str">
            <v>斗转星移</v>
          </cell>
          <cell r="C152" t="str">
            <v>红色</v>
          </cell>
          <cell r="D152">
            <v>5</v>
          </cell>
          <cell r="E152" t="str">
            <v>暴击值</v>
          </cell>
          <cell r="F152">
            <v>0.5</v>
          </cell>
          <cell r="G152" t="str">
            <v>暴击伤害</v>
          </cell>
          <cell r="H152">
            <v>0.5</v>
          </cell>
          <cell r="I152"/>
          <cell r="J152"/>
          <cell r="K152">
            <v>2</v>
          </cell>
          <cell r="L152">
            <v>8</v>
          </cell>
          <cell r="M152">
            <v>2222</v>
          </cell>
          <cell r="N152">
            <v>0</v>
          </cell>
          <cell r="O152">
            <v>0</v>
          </cell>
          <cell r="P152">
            <v>0</v>
          </cell>
          <cell r="Q152" t="str">
            <v/>
          </cell>
          <cell r="R152">
            <v>399.96</v>
          </cell>
          <cell r="S152">
            <v>8</v>
          </cell>
          <cell r="T152">
            <v>2222</v>
          </cell>
          <cell r="U152">
            <v>0</v>
          </cell>
          <cell r="V152">
            <v>0</v>
          </cell>
          <cell r="W152">
            <v>0</v>
          </cell>
          <cell r="X152" t="str">
            <v/>
          </cell>
          <cell r="Y152">
            <v>8250</v>
          </cell>
          <cell r="Z152">
            <v>18</v>
          </cell>
          <cell r="AA152">
            <v>4867.2839506172841</v>
          </cell>
          <cell r="AB152">
            <v>5000</v>
          </cell>
        </row>
      </sheetData>
      <sheetData sheetId="6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马仔表"/>
      <sheetName val="D_马仔经验"/>
      <sheetName val="马仔辅助经验表"/>
      <sheetName val="马仔等级性价比"/>
      <sheetName val="D_马仔升级属性"/>
      <sheetName val="D_马仔升星灵魂石"/>
      <sheetName val="D_马仔升星属性"/>
      <sheetName val="D_马仔培养进阶属性"/>
      <sheetName val="D_马仔培养宝物"/>
      <sheetName val="D_马仔宝物"/>
      <sheetName val="价值评估"/>
      <sheetName val="D_马仔技能"/>
      <sheetName val="技能辅助表"/>
      <sheetName val="D_马仔BUF表"/>
      <sheetName val="D__马仔援护位开放"/>
      <sheetName val="D_马仔追债任务表"/>
      <sheetName val="马仔追债辅助表"/>
      <sheetName val="D_追债劫掠购买表"/>
      <sheetName val="马仔辅助表"/>
      <sheetName val="马仔培养辅助表"/>
      <sheetName val="马仔"/>
    </sheetNames>
    <sheetDataSet>
      <sheetData sheetId="0">
        <row r="2">
          <cell r="E2">
            <v>1</v>
          </cell>
        </row>
        <row r="3">
          <cell r="E3">
            <v>1</v>
          </cell>
        </row>
        <row r="4">
          <cell r="E4">
            <v>1</v>
          </cell>
        </row>
        <row r="5">
          <cell r="E5">
            <v>1</v>
          </cell>
        </row>
        <row r="6">
          <cell r="E6">
            <v>1</v>
          </cell>
        </row>
        <row r="7">
          <cell r="E7">
            <v>1</v>
          </cell>
        </row>
        <row r="8">
          <cell r="E8">
            <v>1</v>
          </cell>
        </row>
        <row r="9">
          <cell r="E9">
            <v>1</v>
          </cell>
        </row>
        <row r="10">
          <cell r="E10">
            <v>1</v>
          </cell>
        </row>
        <row r="11">
          <cell r="E11">
            <v>1</v>
          </cell>
        </row>
        <row r="12">
          <cell r="E12">
            <v>1</v>
          </cell>
        </row>
        <row r="13">
          <cell r="E13">
            <v>1</v>
          </cell>
        </row>
        <row r="14">
          <cell r="E14">
            <v>1</v>
          </cell>
        </row>
        <row r="15">
          <cell r="E15">
            <v>1</v>
          </cell>
        </row>
        <row r="16">
          <cell r="E16">
            <v>1</v>
          </cell>
        </row>
        <row r="17">
          <cell r="E17">
            <v>1</v>
          </cell>
        </row>
        <row r="18">
          <cell r="E18">
            <v>1</v>
          </cell>
        </row>
        <row r="19">
          <cell r="E19">
            <v>1</v>
          </cell>
        </row>
        <row r="20">
          <cell r="E20">
            <v>1</v>
          </cell>
        </row>
      </sheetData>
      <sheetData sheetId="1">
        <row r="1">
          <cell r="A1" t="str">
            <v>等级</v>
          </cell>
          <cell r="B1" t="str">
            <v>quality1</v>
          </cell>
          <cell r="C1" t="str">
            <v>quality2</v>
          </cell>
          <cell r="D1" t="str">
            <v>quality3</v>
          </cell>
          <cell r="E1" t="str">
            <v>quality4</v>
          </cell>
          <cell r="F1" t="str">
            <v>总经验1</v>
          </cell>
          <cell r="G1" t="str">
            <v>总经验2</v>
          </cell>
          <cell r="H1" t="str">
            <v>总经验3</v>
          </cell>
          <cell r="I1" t="str">
            <v>总经验4</v>
          </cell>
        </row>
        <row r="2">
          <cell r="A2">
            <v>1</v>
          </cell>
          <cell r="B2">
            <v>99</v>
          </cell>
          <cell r="C2">
            <v>99</v>
          </cell>
          <cell r="D2">
            <v>99</v>
          </cell>
          <cell r="E2">
            <v>99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</row>
        <row r="3">
          <cell r="A3">
            <v>2</v>
          </cell>
          <cell r="B3">
            <v>101</v>
          </cell>
          <cell r="C3">
            <v>101</v>
          </cell>
          <cell r="D3">
            <v>101</v>
          </cell>
          <cell r="E3">
            <v>101</v>
          </cell>
          <cell r="F3">
            <v>99</v>
          </cell>
          <cell r="G3">
            <v>99</v>
          </cell>
          <cell r="H3">
            <v>99</v>
          </cell>
          <cell r="I3">
            <v>99</v>
          </cell>
        </row>
        <row r="4">
          <cell r="A4">
            <v>3</v>
          </cell>
          <cell r="B4">
            <v>103</v>
          </cell>
          <cell r="C4">
            <v>103</v>
          </cell>
          <cell r="D4">
            <v>103</v>
          </cell>
          <cell r="E4">
            <v>103</v>
          </cell>
          <cell r="F4">
            <v>200</v>
          </cell>
          <cell r="G4">
            <v>200</v>
          </cell>
          <cell r="H4">
            <v>200</v>
          </cell>
          <cell r="I4">
            <v>200</v>
          </cell>
        </row>
        <row r="5">
          <cell r="A5">
            <v>4</v>
          </cell>
          <cell r="B5">
            <v>107</v>
          </cell>
          <cell r="C5">
            <v>107</v>
          </cell>
          <cell r="D5">
            <v>107</v>
          </cell>
          <cell r="E5">
            <v>107</v>
          </cell>
          <cell r="F5">
            <v>303</v>
          </cell>
          <cell r="G5">
            <v>303</v>
          </cell>
          <cell r="H5">
            <v>303</v>
          </cell>
          <cell r="I5">
            <v>303</v>
          </cell>
        </row>
        <row r="6">
          <cell r="A6">
            <v>5</v>
          </cell>
          <cell r="B6">
            <v>113</v>
          </cell>
          <cell r="C6">
            <v>113</v>
          </cell>
          <cell r="D6">
            <v>113</v>
          </cell>
          <cell r="E6">
            <v>113</v>
          </cell>
          <cell r="F6">
            <v>410</v>
          </cell>
          <cell r="G6">
            <v>410</v>
          </cell>
          <cell r="H6">
            <v>410</v>
          </cell>
          <cell r="I6">
            <v>410</v>
          </cell>
        </row>
        <row r="7">
          <cell r="A7">
            <v>6</v>
          </cell>
          <cell r="B7">
            <v>122</v>
          </cell>
          <cell r="C7">
            <v>122</v>
          </cell>
          <cell r="D7">
            <v>122</v>
          </cell>
          <cell r="E7">
            <v>122</v>
          </cell>
          <cell r="F7">
            <v>523</v>
          </cell>
          <cell r="G7">
            <v>523</v>
          </cell>
          <cell r="H7">
            <v>523</v>
          </cell>
          <cell r="I7">
            <v>523</v>
          </cell>
        </row>
        <row r="8">
          <cell r="A8">
            <v>7</v>
          </cell>
          <cell r="B8">
            <v>136</v>
          </cell>
          <cell r="C8">
            <v>136</v>
          </cell>
          <cell r="D8">
            <v>136</v>
          </cell>
          <cell r="E8">
            <v>136</v>
          </cell>
          <cell r="F8">
            <v>645</v>
          </cell>
          <cell r="G8">
            <v>645</v>
          </cell>
          <cell r="H8">
            <v>645</v>
          </cell>
          <cell r="I8">
            <v>645</v>
          </cell>
        </row>
        <row r="9">
          <cell r="A9">
            <v>8</v>
          </cell>
          <cell r="B9">
            <v>155</v>
          </cell>
          <cell r="C9">
            <v>155</v>
          </cell>
          <cell r="D9">
            <v>155</v>
          </cell>
          <cell r="E9">
            <v>155</v>
          </cell>
          <cell r="F9">
            <v>781</v>
          </cell>
          <cell r="G9">
            <v>781</v>
          </cell>
          <cell r="H9">
            <v>781</v>
          </cell>
          <cell r="I9">
            <v>781</v>
          </cell>
        </row>
        <row r="10">
          <cell r="A10">
            <v>9</v>
          </cell>
          <cell r="B10">
            <v>180</v>
          </cell>
          <cell r="C10">
            <v>180</v>
          </cell>
          <cell r="D10">
            <v>180</v>
          </cell>
          <cell r="E10">
            <v>180</v>
          </cell>
          <cell r="F10">
            <v>936</v>
          </cell>
          <cell r="G10">
            <v>936</v>
          </cell>
          <cell r="H10">
            <v>936</v>
          </cell>
          <cell r="I10">
            <v>936</v>
          </cell>
        </row>
        <row r="11">
          <cell r="A11">
            <v>10</v>
          </cell>
          <cell r="B11">
            <v>213</v>
          </cell>
          <cell r="C11">
            <v>213</v>
          </cell>
          <cell r="D11">
            <v>213</v>
          </cell>
          <cell r="E11">
            <v>213</v>
          </cell>
          <cell r="F11">
            <v>1116</v>
          </cell>
          <cell r="G11">
            <v>1116</v>
          </cell>
          <cell r="H11">
            <v>1116</v>
          </cell>
          <cell r="I11">
            <v>1116</v>
          </cell>
        </row>
        <row r="12">
          <cell r="A12">
            <v>11</v>
          </cell>
          <cell r="B12">
            <v>253</v>
          </cell>
          <cell r="C12">
            <v>253</v>
          </cell>
          <cell r="D12">
            <v>253</v>
          </cell>
          <cell r="E12">
            <v>253</v>
          </cell>
          <cell r="F12">
            <v>1329</v>
          </cell>
          <cell r="G12">
            <v>1329</v>
          </cell>
          <cell r="H12">
            <v>1329</v>
          </cell>
          <cell r="I12">
            <v>1329</v>
          </cell>
        </row>
        <row r="13">
          <cell r="A13">
            <v>12</v>
          </cell>
          <cell r="B13">
            <v>303</v>
          </cell>
          <cell r="C13">
            <v>303</v>
          </cell>
          <cell r="D13">
            <v>303</v>
          </cell>
          <cell r="E13">
            <v>303</v>
          </cell>
          <cell r="F13">
            <v>1582</v>
          </cell>
          <cell r="G13">
            <v>1582</v>
          </cell>
          <cell r="H13">
            <v>1582</v>
          </cell>
          <cell r="I13">
            <v>1582</v>
          </cell>
        </row>
        <row r="14">
          <cell r="A14">
            <v>13</v>
          </cell>
          <cell r="B14">
            <v>363</v>
          </cell>
          <cell r="C14">
            <v>363</v>
          </cell>
          <cell r="D14">
            <v>363</v>
          </cell>
          <cell r="E14">
            <v>363</v>
          </cell>
          <cell r="F14">
            <v>1885</v>
          </cell>
          <cell r="G14">
            <v>1885</v>
          </cell>
          <cell r="H14">
            <v>1885</v>
          </cell>
          <cell r="I14">
            <v>1885</v>
          </cell>
        </row>
        <row r="15">
          <cell r="A15">
            <v>14</v>
          </cell>
          <cell r="B15">
            <v>435</v>
          </cell>
          <cell r="C15">
            <v>435</v>
          </cell>
          <cell r="D15">
            <v>435</v>
          </cell>
          <cell r="E15">
            <v>435</v>
          </cell>
          <cell r="F15">
            <v>2248</v>
          </cell>
          <cell r="G15">
            <v>2248</v>
          </cell>
          <cell r="H15">
            <v>2248</v>
          </cell>
          <cell r="I15">
            <v>2248</v>
          </cell>
        </row>
        <row r="16">
          <cell r="A16">
            <v>15</v>
          </cell>
          <cell r="B16">
            <v>520</v>
          </cell>
          <cell r="C16">
            <v>520</v>
          </cell>
          <cell r="D16">
            <v>520</v>
          </cell>
          <cell r="E16">
            <v>520</v>
          </cell>
          <cell r="F16">
            <v>2683</v>
          </cell>
          <cell r="G16">
            <v>2683</v>
          </cell>
          <cell r="H16">
            <v>2683</v>
          </cell>
          <cell r="I16">
            <v>2683</v>
          </cell>
        </row>
        <row r="17">
          <cell r="A17">
            <v>16</v>
          </cell>
          <cell r="B17">
            <v>620</v>
          </cell>
          <cell r="C17">
            <v>620</v>
          </cell>
          <cell r="D17">
            <v>620</v>
          </cell>
          <cell r="E17">
            <v>620</v>
          </cell>
          <cell r="F17">
            <v>3203</v>
          </cell>
          <cell r="G17">
            <v>3203</v>
          </cell>
          <cell r="H17">
            <v>3203</v>
          </cell>
          <cell r="I17">
            <v>3203</v>
          </cell>
        </row>
        <row r="18">
          <cell r="A18">
            <v>17</v>
          </cell>
          <cell r="B18">
            <v>735</v>
          </cell>
          <cell r="C18">
            <v>735</v>
          </cell>
          <cell r="D18">
            <v>735</v>
          </cell>
          <cell r="E18">
            <v>735</v>
          </cell>
          <cell r="F18">
            <v>3823</v>
          </cell>
          <cell r="G18">
            <v>3823</v>
          </cell>
          <cell r="H18">
            <v>3823</v>
          </cell>
          <cell r="I18">
            <v>3823</v>
          </cell>
        </row>
        <row r="19">
          <cell r="A19">
            <v>18</v>
          </cell>
          <cell r="B19">
            <v>868</v>
          </cell>
          <cell r="C19">
            <v>868</v>
          </cell>
          <cell r="D19">
            <v>868</v>
          </cell>
          <cell r="E19">
            <v>868</v>
          </cell>
          <cell r="F19">
            <v>4558</v>
          </cell>
          <cell r="G19">
            <v>4558</v>
          </cell>
          <cell r="H19">
            <v>4558</v>
          </cell>
          <cell r="I19">
            <v>4558</v>
          </cell>
        </row>
        <row r="20">
          <cell r="A20">
            <v>19</v>
          </cell>
          <cell r="B20">
            <v>1019</v>
          </cell>
          <cell r="C20">
            <v>1019</v>
          </cell>
          <cell r="D20">
            <v>1019</v>
          </cell>
          <cell r="E20">
            <v>1019</v>
          </cell>
          <cell r="F20">
            <v>5426</v>
          </cell>
          <cell r="G20">
            <v>5426</v>
          </cell>
          <cell r="H20">
            <v>5426</v>
          </cell>
          <cell r="I20">
            <v>5426</v>
          </cell>
        </row>
        <row r="21">
          <cell r="A21">
            <v>20</v>
          </cell>
          <cell r="B21">
            <v>1192</v>
          </cell>
          <cell r="C21">
            <v>1192</v>
          </cell>
          <cell r="D21">
            <v>1192</v>
          </cell>
          <cell r="E21">
            <v>1192</v>
          </cell>
          <cell r="F21">
            <v>6445</v>
          </cell>
          <cell r="G21">
            <v>6445</v>
          </cell>
          <cell r="H21">
            <v>6445</v>
          </cell>
          <cell r="I21">
            <v>6445</v>
          </cell>
        </row>
        <row r="22">
          <cell r="A22">
            <v>21</v>
          </cell>
          <cell r="B22">
            <v>1386</v>
          </cell>
          <cell r="C22">
            <v>1386</v>
          </cell>
          <cell r="D22">
            <v>1386</v>
          </cell>
          <cell r="E22">
            <v>1386</v>
          </cell>
          <cell r="F22">
            <v>7637</v>
          </cell>
          <cell r="G22">
            <v>7637</v>
          </cell>
          <cell r="H22">
            <v>7637</v>
          </cell>
          <cell r="I22">
            <v>7637</v>
          </cell>
        </row>
        <row r="23">
          <cell r="A23">
            <v>22</v>
          </cell>
          <cell r="B23">
            <v>1604</v>
          </cell>
          <cell r="C23">
            <v>1604</v>
          </cell>
          <cell r="D23">
            <v>1604</v>
          </cell>
          <cell r="E23">
            <v>1604</v>
          </cell>
          <cell r="F23">
            <v>9023</v>
          </cell>
          <cell r="G23">
            <v>9023</v>
          </cell>
          <cell r="H23">
            <v>9023</v>
          </cell>
          <cell r="I23">
            <v>9023</v>
          </cell>
        </row>
        <row r="24">
          <cell r="A24">
            <v>23</v>
          </cell>
          <cell r="B24">
            <v>1848</v>
          </cell>
          <cell r="C24">
            <v>1848</v>
          </cell>
          <cell r="D24">
            <v>1848</v>
          </cell>
          <cell r="E24">
            <v>1848</v>
          </cell>
          <cell r="F24">
            <v>10627</v>
          </cell>
          <cell r="G24">
            <v>10627</v>
          </cell>
          <cell r="H24">
            <v>10627</v>
          </cell>
          <cell r="I24">
            <v>10627</v>
          </cell>
        </row>
        <row r="25">
          <cell r="A25">
            <v>24</v>
          </cell>
          <cell r="B25">
            <v>2119</v>
          </cell>
          <cell r="C25">
            <v>2119</v>
          </cell>
          <cell r="D25">
            <v>2119</v>
          </cell>
          <cell r="E25">
            <v>2119</v>
          </cell>
          <cell r="F25">
            <v>12475</v>
          </cell>
          <cell r="G25">
            <v>12475</v>
          </cell>
          <cell r="H25">
            <v>12475</v>
          </cell>
          <cell r="I25">
            <v>12475</v>
          </cell>
        </row>
        <row r="26">
          <cell r="A26">
            <v>25</v>
          </cell>
          <cell r="B26">
            <v>2419</v>
          </cell>
          <cell r="C26">
            <v>2419</v>
          </cell>
          <cell r="D26">
            <v>2419</v>
          </cell>
          <cell r="E26">
            <v>2419</v>
          </cell>
          <cell r="F26">
            <v>14594</v>
          </cell>
          <cell r="G26">
            <v>14594</v>
          </cell>
          <cell r="H26">
            <v>14594</v>
          </cell>
          <cell r="I26">
            <v>14594</v>
          </cell>
        </row>
        <row r="27">
          <cell r="A27">
            <v>26</v>
          </cell>
          <cell r="B27">
            <v>2751</v>
          </cell>
          <cell r="C27">
            <v>2751</v>
          </cell>
          <cell r="D27">
            <v>2751</v>
          </cell>
          <cell r="E27">
            <v>2751</v>
          </cell>
          <cell r="F27">
            <v>17013</v>
          </cell>
          <cell r="G27">
            <v>17013</v>
          </cell>
          <cell r="H27">
            <v>17013</v>
          </cell>
          <cell r="I27">
            <v>17013</v>
          </cell>
        </row>
        <row r="28">
          <cell r="A28">
            <v>27</v>
          </cell>
          <cell r="B28">
            <v>3116</v>
          </cell>
          <cell r="C28">
            <v>3116</v>
          </cell>
          <cell r="D28">
            <v>3116</v>
          </cell>
          <cell r="E28">
            <v>3116</v>
          </cell>
          <cell r="F28">
            <v>19764</v>
          </cell>
          <cell r="G28">
            <v>19764</v>
          </cell>
          <cell r="H28">
            <v>19764</v>
          </cell>
          <cell r="I28">
            <v>19764</v>
          </cell>
        </row>
        <row r="29">
          <cell r="A29">
            <v>28</v>
          </cell>
          <cell r="B29">
            <v>3517</v>
          </cell>
          <cell r="C29">
            <v>3517</v>
          </cell>
          <cell r="D29">
            <v>3517</v>
          </cell>
          <cell r="E29">
            <v>3517</v>
          </cell>
          <cell r="F29">
            <v>22880</v>
          </cell>
          <cell r="G29">
            <v>22880</v>
          </cell>
          <cell r="H29">
            <v>22880</v>
          </cell>
          <cell r="I29">
            <v>22880</v>
          </cell>
        </row>
        <row r="30">
          <cell r="A30">
            <v>29</v>
          </cell>
          <cell r="B30">
            <v>3955</v>
          </cell>
          <cell r="C30">
            <v>3955</v>
          </cell>
          <cell r="D30">
            <v>3955</v>
          </cell>
          <cell r="E30">
            <v>3955</v>
          </cell>
          <cell r="F30">
            <v>26397</v>
          </cell>
          <cell r="G30">
            <v>26397</v>
          </cell>
          <cell r="H30">
            <v>26397</v>
          </cell>
          <cell r="I30">
            <v>26397</v>
          </cell>
        </row>
        <row r="31">
          <cell r="A31">
            <v>30</v>
          </cell>
          <cell r="B31">
            <v>4432</v>
          </cell>
          <cell r="C31">
            <v>4432</v>
          </cell>
          <cell r="D31">
            <v>4432</v>
          </cell>
          <cell r="E31">
            <v>4432</v>
          </cell>
          <cell r="F31">
            <v>30352</v>
          </cell>
          <cell r="G31">
            <v>30352</v>
          </cell>
          <cell r="H31">
            <v>30352</v>
          </cell>
          <cell r="I31">
            <v>30352</v>
          </cell>
        </row>
        <row r="32">
          <cell r="A32">
            <v>31</v>
          </cell>
          <cell r="B32">
            <v>4951</v>
          </cell>
          <cell r="C32">
            <v>4951</v>
          </cell>
          <cell r="D32">
            <v>4951</v>
          </cell>
          <cell r="E32">
            <v>4951</v>
          </cell>
          <cell r="F32">
            <v>34784</v>
          </cell>
          <cell r="G32">
            <v>34784</v>
          </cell>
          <cell r="H32">
            <v>34784</v>
          </cell>
          <cell r="I32">
            <v>34784</v>
          </cell>
        </row>
        <row r="33">
          <cell r="A33">
            <v>32</v>
          </cell>
          <cell r="B33">
            <v>5515</v>
          </cell>
          <cell r="C33">
            <v>5515</v>
          </cell>
          <cell r="D33">
            <v>5515</v>
          </cell>
          <cell r="E33">
            <v>5515</v>
          </cell>
          <cell r="F33">
            <v>39735</v>
          </cell>
          <cell r="G33">
            <v>39735</v>
          </cell>
          <cell r="H33">
            <v>39735</v>
          </cell>
          <cell r="I33">
            <v>39735</v>
          </cell>
        </row>
        <row r="34">
          <cell r="A34">
            <v>33</v>
          </cell>
          <cell r="B34">
            <v>6125</v>
          </cell>
          <cell r="C34">
            <v>6125</v>
          </cell>
          <cell r="D34">
            <v>6125</v>
          </cell>
          <cell r="E34">
            <v>6125</v>
          </cell>
          <cell r="F34">
            <v>45250</v>
          </cell>
          <cell r="G34">
            <v>45250</v>
          </cell>
          <cell r="H34">
            <v>45250</v>
          </cell>
          <cell r="I34">
            <v>45250</v>
          </cell>
        </row>
        <row r="35">
          <cell r="A35">
            <v>34</v>
          </cell>
          <cell r="B35">
            <v>6784</v>
          </cell>
          <cell r="C35">
            <v>6784</v>
          </cell>
          <cell r="D35">
            <v>6784</v>
          </cell>
          <cell r="E35">
            <v>6784</v>
          </cell>
          <cell r="F35">
            <v>51375</v>
          </cell>
          <cell r="G35">
            <v>51375</v>
          </cell>
          <cell r="H35">
            <v>51375</v>
          </cell>
          <cell r="I35">
            <v>51375</v>
          </cell>
        </row>
        <row r="36">
          <cell r="A36">
            <v>35</v>
          </cell>
          <cell r="B36">
            <v>7494</v>
          </cell>
          <cell r="C36">
            <v>7494</v>
          </cell>
          <cell r="D36">
            <v>7494</v>
          </cell>
          <cell r="E36">
            <v>7494</v>
          </cell>
          <cell r="F36">
            <v>58159</v>
          </cell>
          <cell r="G36">
            <v>58159</v>
          </cell>
          <cell r="H36">
            <v>58159</v>
          </cell>
          <cell r="I36">
            <v>58159</v>
          </cell>
        </row>
        <row r="37">
          <cell r="A37">
            <v>36</v>
          </cell>
          <cell r="B37">
            <v>8258</v>
          </cell>
          <cell r="C37">
            <v>8258</v>
          </cell>
          <cell r="D37">
            <v>8258</v>
          </cell>
          <cell r="E37">
            <v>8258</v>
          </cell>
          <cell r="F37">
            <v>65653</v>
          </cell>
          <cell r="G37">
            <v>65653</v>
          </cell>
          <cell r="H37">
            <v>65653</v>
          </cell>
          <cell r="I37">
            <v>65653</v>
          </cell>
        </row>
        <row r="38">
          <cell r="A38">
            <v>37</v>
          </cell>
          <cell r="B38">
            <v>9079</v>
          </cell>
          <cell r="C38">
            <v>9079</v>
          </cell>
          <cell r="D38">
            <v>9079</v>
          </cell>
          <cell r="E38">
            <v>9079</v>
          </cell>
          <cell r="F38">
            <v>73911</v>
          </cell>
          <cell r="G38">
            <v>73911</v>
          </cell>
          <cell r="H38">
            <v>73911</v>
          </cell>
          <cell r="I38">
            <v>73911</v>
          </cell>
        </row>
        <row r="39">
          <cell r="A39">
            <v>38</v>
          </cell>
          <cell r="B39">
            <v>9959</v>
          </cell>
          <cell r="C39">
            <v>9959</v>
          </cell>
          <cell r="D39">
            <v>9959</v>
          </cell>
          <cell r="E39">
            <v>9959</v>
          </cell>
          <cell r="F39">
            <v>82990</v>
          </cell>
          <cell r="G39">
            <v>82990</v>
          </cell>
          <cell r="H39">
            <v>82990</v>
          </cell>
          <cell r="I39">
            <v>82990</v>
          </cell>
        </row>
        <row r="40">
          <cell r="A40">
            <v>39</v>
          </cell>
          <cell r="B40">
            <v>10900</v>
          </cell>
          <cell r="C40">
            <v>10900</v>
          </cell>
          <cell r="D40">
            <v>10900</v>
          </cell>
          <cell r="E40">
            <v>10900</v>
          </cell>
          <cell r="F40">
            <v>92949</v>
          </cell>
          <cell r="G40">
            <v>92949</v>
          </cell>
          <cell r="H40">
            <v>92949</v>
          </cell>
          <cell r="I40">
            <v>92949</v>
          </cell>
        </row>
        <row r="41">
          <cell r="A41">
            <v>40</v>
          </cell>
          <cell r="B41">
            <v>11906</v>
          </cell>
          <cell r="C41">
            <v>11906</v>
          </cell>
          <cell r="D41">
            <v>11906</v>
          </cell>
          <cell r="E41">
            <v>11906</v>
          </cell>
          <cell r="F41">
            <v>103849</v>
          </cell>
          <cell r="G41">
            <v>103849</v>
          </cell>
          <cell r="H41">
            <v>103849</v>
          </cell>
          <cell r="I41">
            <v>103849</v>
          </cell>
        </row>
        <row r="42">
          <cell r="A42">
            <v>41</v>
          </cell>
          <cell r="B42">
            <v>12980</v>
          </cell>
          <cell r="C42">
            <v>12980</v>
          </cell>
          <cell r="D42">
            <v>12980</v>
          </cell>
          <cell r="E42">
            <v>12980</v>
          </cell>
          <cell r="F42">
            <v>115755</v>
          </cell>
          <cell r="G42">
            <v>115755</v>
          </cell>
          <cell r="H42">
            <v>115755</v>
          </cell>
          <cell r="I42">
            <v>115755</v>
          </cell>
        </row>
        <row r="43">
          <cell r="A43">
            <v>42</v>
          </cell>
          <cell r="B43">
            <v>14123</v>
          </cell>
          <cell r="C43">
            <v>14123</v>
          </cell>
          <cell r="D43">
            <v>14123</v>
          </cell>
          <cell r="E43">
            <v>14123</v>
          </cell>
          <cell r="F43">
            <v>128735</v>
          </cell>
          <cell r="G43">
            <v>128735</v>
          </cell>
          <cell r="H43">
            <v>128735</v>
          </cell>
          <cell r="I43">
            <v>128735</v>
          </cell>
        </row>
        <row r="44">
          <cell r="A44">
            <v>43</v>
          </cell>
          <cell r="B44">
            <v>15340</v>
          </cell>
          <cell r="C44">
            <v>15340</v>
          </cell>
          <cell r="D44">
            <v>15340</v>
          </cell>
          <cell r="E44">
            <v>15340</v>
          </cell>
          <cell r="F44">
            <v>142858</v>
          </cell>
          <cell r="G44">
            <v>142858</v>
          </cell>
          <cell r="H44">
            <v>142858</v>
          </cell>
          <cell r="I44">
            <v>142858</v>
          </cell>
        </row>
        <row r="45">
          <cell r="A45">
            <v>44</v>
          </cell>
          <cell r="B45">
            <v>16633</v>
          </cell>
          <cell r="C45">
            <v>16633</v>
          </cell>
          <cell r="D45">
            <v>16633</v>
          </cell>
          <cell r="E45">
            <v>16633</v>
          </cell>
          <cell r="F45">
            <v>158198</v>
          </cell>
          <cell r="G45">
            <v>158198</v>
          </cell>
          <cell r="H45">
            <v>158198</v>
          </cell>
          <cell r="I45">
            <v>158198</v>
          </cell>
        </row>
        <row r="46">
          <cell r="A46">
            <v>45</v>
          </cell>
          <cell r="B46">
            <v>18005</v>
          </cell>
          <cell r="C46">
            <v>18005</v>
          </cell>
          <cell r="D46">
            <v>18005</v>
          </cell>
          <cell r="E46">
            <v>18005</v>
          </cell>
          <cell r="F46">
            <v>174831</v>
          </cell>
          <cell r="G46">
            <v>174831</v>
          </cell>
          <cell r="H46">
            <v>174831</v>
          </cell>
          <cell r="I46">
            <v>174831</v>
          </cell>
        </row>
        <row r="47">
          <cell r="A47">
            <v>46</v>
          </cell>
          <cell r="B47">
            <v>19459</v>
          </cell>
          <cell r="C47">
            <v>19459</v>
          </cell>
          <cell r="D47">
            <v>19459</v>
          </cell>
          <cell r="E47">
            <v>19459</v>
          </cell>
          <cell r="F47">
            <v>192836</v>
          </cell>
          <cell r="G47">
            <v>192836</v>
          </cell>
          <cell r="H47">
            <v>192836</v>
          </cell>
          <cell r="I47">
            <v>192836</v>
          </cell>
        </row>
        <row r="48">
          <cell r="A48">
            <v>47</v>
          </cell>
          <cell r="B48">
            <v>20999</v>
          </cell>
          <cell r="C48">
            <v>20999</v>
          </cell>
          <cell r="D48">
            <v>20999</v>
          </cell>
          <cell r="E48">
            <v>20999</v>
          </cell>
          <cell r="F48">
            <v>212295</v>
          </cell>
          <cell r="G48">
            <v>212295</v>
          </cell>
          <cell r="H48">
            <v>212295</v>
          </cell>
          <cell r="I48">
            <v>212295</v>
          </cell>
        </row>
        <row r="49">
          <cell r="A49">
            <v>48</v>
          </cell>
          <cell r="B49">
            <v>22627</v>
          </cell>
          <cell r="C49">
            <v>22627</v>
          </cell>
          <cell r="D49">
            <v>22627</v>
          </cell>
          <cell r="E49">
            <v>22627</v>
          </cell>
          <cell r="F49">
            <v>233294</v>
          </cell>
          <cell r="G49">
            <v>233294</v>
          </cell>
          <cell r="H49">
            <v>233294</v>
          </cell>
          <cell r="I49">
            <v>233294</v>
          </cell>
        </row>
        <row r="50">
          <cell r="A50">
            <v>49</v>
          </cell>
          <cell r="B50">
            <v>24348</v>
          </cell>
          <cell r="C50">
            <v>24348</v>
          </cell>
          <cell r="D50">
            <v>24348</v>
          </cell>
          <cell r="E50">
            <v>24348</v>
          </cell>
          <cell r="F50">
            <v>255921</v>
          </cell>
          <cell r="G50">
            <v>255921</v>
          </cell>
          <cell r="H50">
            <v>255921</v>
          </cell>
          <cell r="I50">
            <v>255921</v>
          </cell>
        </row>
        <row r="51">
          <cell r="A51">
            <v>50</v>
          </cell>
          <cell r="B51">
            <v>26163</v>
          </cell>
          <cell r="C51">
            <v>26163</v>
          </cell>
          <cell r="D51">
            <v>26163</v>
          </cell>
          <cell r="E51">
            <v>26163</v>
          </cell>
          <cell r="F51">
            <v>280269</v>
          </cell>
          <cell r="G51">
            <v>280269</v>
          </cell>
          <cell r="H51">
            <v>280269</v>
          </cell>
          <cell r="I51">
            <v>280269</v>
          </cell>
        </row>
        <row r="52">
          <cell r="A52">
            <v>51</v>
          </cell>
          <cell r="B52">
            <v>28077</v>
          </cell>
          <cell r="C52">
            <v>28077</v>
          </cell>
          <cell r="D52">
            <v>28077</v>
          </cell>
          <cell r="E52">
            <v>28077</v>
          </cell>
          <cell r="F52">
            <v>306432</v>
          </cell>
          <cell r="G52">
            <v>306432</v>
          </cell>
          <cell r="H52">
            <v>306432</v>
          </cell>
          <cell r="I52">
            <v>306432</v>
          </cell>
        </row>
        <row r="53">
          <cell r="A53">
            <v>52</v>
          </cell>
          <cell r="B53">
            <v>30093</v>
          </cell>
          <cell r="C53">
            <v>30093</v>
          </cell>
          <cell r="D53">
            <v>30093</v>
          </cell>
          <cell r="E53">
            <v>30093</v>
          </cell>
          <cell r="F53">
            <v>334509</v>
          </cell>
          <cell r="G53">
            <v>334509</v>
          </cell>
          <cell r="H53">
            <v>334509</v>
          </cell>
          <cell r="I53">
            <v>334509</v>
          </cell>
        </row>
        <row r="54">
          <cell r="A54">
            <v>53</v>
          </cell>
          <cell r="B54">
            <v>32215</v>
          </cell>
          <cell r="C54">
            <v>32215</v>
          </cell>
          <cell r="D54">
            <v>32215</v>
          </cell>
          <cell r="E54">
            <v>32215</v>
          </cell>
          <cell r="F54">
            <v>364602</v>
          </cell>
          <cell r="G54">
            <v>364602</v>
          </cell>
          <cell r="H54">
            <v>364602</v>
          </cell>
          <cell r="I54">
            <v>364602</v>
          </cell>
        </row>
        <row r="55">
          <cell r="A55">
            <v>54</v>
          </cell>
          <cell r="B55">
            <v>34446</v>
          </cell>
          <cell r="C55">
            <v>34446</v>
          </cell>
          <cell r="D55">
            <v>34446</v>
          </cell>
          <cell r="E55">
            <v>34446</v>
          </cell>
          <cell r="F55">
            <v>396817</v>
          </cell>
          <cell r="G55">
            <v>396817</v>
          </cell>
          <cell r="H55">
            <v>396817</v>
          </cell>
          <cell r="I55">
            <v>396817</v>
          </cell>
        </row>
        <row r="56">
          <cell r="A56">
            <v>55</v>
          </cell>
          <cell r="B56">
            <v>36789</v>
          </cell>
          <cell r="C56">
            <v>36789</v>
          </cell>
          <cell r="D56">
            <v>36789</v>
          </cell>
          <cell r="E56">
            <v>36789</v>
          </cell>
          <cell r="F56">
            <v>431263</v>
          </cell>
          <cell r="G56">
            <v>431263</v>
          </cell>
          <cell r="H56">
            <v>431263</v>
          </cell>
          <cell r="I56">
            <v>431263</v>
          </cell>
        </row>
        <row r="57">
          <cell r="A57">
            <v>56</v>
          </cell>
          <cell r="B57">
            <v>39249</v>
          </cell>
          <cell r="C57">
            <v>39249</v>
          </cell>
          <cell r="D57">
            <v>39249</v>
          </cell>
          <cell r="E57">
            <v>39249</v>
          </cell>
          <cell r="F57">
            <v>468052</v>
          </cell>
          <cell r="G57">
            <v>468052</v>
          </cell>
          <cell r="H57">
            <v>468052</v>
          </cell>
          <cell r="I57">
            <v>468052</v>
          </cell>
        </row>
        <row r="58">
          <cell r="A58">
            <v>57</v>
          </cell>
          <cell r="B58">
            <v>41829</v>
          </cell>
          <cell r="C58">
            <v>41829</v>
          </cell>
          <cell r="D58">
            <v>41829</v>
          </cell>
          <cell r="E58">
            <v>41829</v>
          </cell>
          <cell r="F58">
            <v>507301</v>
          </cell>
          <cell r="G58">
            <v>507301</v>
          </cell>
          <cell r="H58">
            <v>507301</v>
          </cell>
          <cell r="I58">
            <v>507301</v>
          </cell>
        </row>
        <row r="59">
          <cell r="A59">
            <v>58</v>
          </cell>
          <cell r="B59">
            <v>44533</v>
          </cell>
          <cell r="C59">
            <v>44533</v>
          </cell>
          <cell r="D59">
            <v>44533</v>
          </cell>
          <cell r="E59">
            <v>44533</v>
          </cell>
          <cell r="F59">
            <v>549130</v>
          </cell>
          <cell r="G59">
            <v>549130</v>
          </cell>
          <cell r="H59">
            <v>549130</v>
          </cell>
          <cell r="I59">
            <v>549130</v>
          </cell>
        </row>
        <row r="60">
          <cell r="A60">
            <v>59</v>
          </cell>
          <cell r="B60">
            <v>47365</v>
          </cell>
          <cell r="C60">
            <v>47365</v>
          </cell>
          <cell r="D60">
            <v>47365</v>
          </cell>
          <cell r="E60">
            <v>47365</v>
          </cell>
          <cell r="F60">
            <v>593663</v>
          </cell>
          <cell r="G60">
            <v>593663</v>
          </cell>
          <cell r="H60">
            <v>593663</v>
          </cell>
          <cell r="I60">
            <v>593663</v>
          </cell>
        </row>
        <row r="61">
          <cell r="A61">
            <v>60</v>
          </cell>
          <cell r="B61">
            <v>50328</v>
          </cell>
          <cell r="C61">
            <v>50328</v>
          </cell>
          <cell r="D61">
            <v>50328</v>
          </cell>
          <cell r="E61">
            <v>50328</v>
          </cell>
          <cell r="F61">
            <v>641028</v>
          </cell>
          <cell r="G61">
            <v>641028</v>
          </cell>
          <cell r="H61">
            <v>641028</v>
          </cell>
          <cell r="I61">
            <v>641028</v>
          </cell>
        </row>
        <row r="62">
          <cell r="A62">
            <v>61</v>
          </cell>
          <cell r="B62">
            <v>53427</v>
          </cell>
          <cell r="C62">
            <v>53427</v>
          </cell>
          <cell r="D62">
            <v>53427</v>
          </cell>
          <cell r="E62">
            <v>53427</v>
          </cell>
          <cell r="F62">
            <v>691356</v>
          </cell>
          <cell r="G62">
            <v>691356</v>
          </cell>
          <cell r="H62">
            <v>691356</v>
          </cell>
          <cell r="I62">
            <v>691356</v>
          </cell>
        </row>
        <row r="63">
          <cell r="A63">
            <v>62</v>
          </cell>
          <cell r="B63">
            <v>56666</v>
          </cell>
          <cell r="C63">
            <v>56666</v>
          </cell>
          <cell r="D63">
            <v>56666</v>
          </cell>
          <cell r="E63">
            <v>56666</v>
          </cell>
          <cell r="F63">
            <v>744783</v>
          </cell>
          <cell r="G63">
            <v>744783</v>
          </cell>
          <cell r="H63">
            <v>744783</v>
          </cell>
          <cell r="I63">
            <v>744783</v>
          </cell>
        </row>
        <row r="64">
          <cell r="A64">
            <v>63</v>
          </cell>
          <cell r="B64">
            <v>60048</v>
          </cell>
          <cell r="C64">
            <v>60048</v>
          </cell>
          <cell r="D64">
            <v>60048</v>
          </cell>
          <cell r="E64">
            <v>60048</v>
          </cell>
          <cell r="F64">
            <v>801449</v>
          </cell>
          <cell r="G64">
            <v>801449</v>
          </cell>
          <cell r="H64">
            <v>801449</v>
          </cell>
          <cell r="I64">
            <v>801449</v>
          </cell>
        </row>
        <row r="65">
          <cell r="A65">
            <v>64</v>
          </cell>
          <cell r="B65">
            <v>63578</v>
          </cell>
          <cell r="C65">
            <v>63578</v>
          </cell>
          <cell r="D65">
            <v>63578</v>
          </cell>
          <cell r="E65">
            <v>63578</v>
          </cell>
          <cell r="F65">
            <v>861497</v>
          </cell>
          <cell r="G65">
            <v>861497</v>
          </cell>
          <cell r="H65">
            <v>861497</v>
          </cell>
          <cell r="I65">
            <v>861497</v>
          </cell>
        </row>
        <row r="66">
          <cell r="A66">
            <v>65</v>
          </cell>
          <cell r="B66">
            <v>67260</v>
          </cell>
          <cell r="C66">
            <v>67260</v>
          </cell>
          <cell r="D66">
            <v>67260</v>
          </cell>
          <cell r="E66">
            <v>67260</v>
          </cell>
          <cell r="F66">
            <v>925075</v>
          </cell>
          <cell r="G66">
            <v>925075</v>
          </cell>
          <cell r="H66">
            <v>925075</v>
          </cell>
          <cell r="I66">
            <v>925075</v>
          </cell>
        </row>
        <row r="67">
          <cell r="A67">
            <v>66</v>
          </cell>
          <cell r="B67">
            <v>71099</v>
          </cell>
          <cell r="C67">
            <v>71099</v>
          </cell>
          <cell r="D67">
            <v>71099</v>
          </cell>
          <cell r="E67">
            <v>71099</v>
          </cell>
          <cell r="F67">
            <v>992335</v>
          </cell>
          <cell r="G67">
            <v>992335</v>
          </cell>
          <cell r="H67">
            <v>992335</v>
          </cell>
          <cell r="I67">
            <v>992335</v>
          </cell>
        </row>
        <row r="68">
          <cell r="A68">
            <v>67</v>
          </cell>
          <cell r="B68">
            <v>75098</v>
          </cell>
          <cell r="C68">
            <v>75098</v>
          </cell>
          <cell r="D68">
            <v>75098</v>
          </cell>
          <cell r="E68">
            <v>75098</v>
          </cell>
          <cell r="F68">
            <v>1063434</v>
          </cell>
          <cell r="G68">
            <v>1063434</v>
          </cell>
          <cell r="H68">
            <v>1063434</v>
          </cell>
          <cell r="I68">
            <v>1063434</v>
          </cell>
        </row>
        <row r="69">
          <cell r="A69">
            <v>68</v>
          </cell>
          <cell r="B69">
            <v>79262</v>
          </cell>
          <cell r="C69">
            <v>79262</v>
          </cell>
          <cell r="D69">
            <v>79262</v>
          </cell>
          <cell r="E69">
            <v>79262</v>
          </cell>
          <cell r="F69">
            <v>1138532</v>
          </cell>
          <cell r="G69">
            <v>1138532</v>
          </cell>
          <cell r="H69">
            <v>1138532</v>
          </cell>
          <cell r="I69">
            <v>1138532</v>
          </cell>
        </row>
        <row r="70">
          <cell r="A70">
            <v>69</v>
          </cell>
          <cell r="B70">
            <v>83596</v>
          </cell>
          <cell r="C70">
            <v>83596</v>
          </cell>
          <cell r="D70">
            <v>83596</v>
          </cell>
          <cell r="E70">
            <v>83596</v>
          </cell>
          <cell r="F70">
            <v>1217794</v>
          </cell>
          <cell r="G70">
            <v>1217794</v>
          </cell>
          <cell r="H70">
            <v>1217794</v>
          </cell>
          <cell r="I70">
            <v>1217794</v>
          </cell>
        </row>
        <row r="71">
          <cell r="A71">
            <v>70</v>
          </cell>
          <cell r="B71">
            <v>88103</v>
          </cell>
          <cell r="C71">
            <v>88103</v>
          </cell>
          <cell r="D71">
            <v>88103</v>
          </cell>
          <cell r="E71">
            <v>88103</v>
          </cell>
          <cell r="F71">
            <v>1301390</v>
          </cell>
          <cell r="G71">
            <v>1301390</v>
          </cell>
          <cell r="H71">
            <v>1301390</v>
          </cell>
          <cell r="I71">
            <v>1301390</v>
          </cell>
        </row>
        <row r="72">
          <cell r="A72">
            <v>71</v>
          </cell>
          <cell r="B72">
            <v>92789</v>
          </cell>
          <cell r="C72">
            <v>92789</v>
          </cell>
          <cell r="D72">
            <v>92789</v>
          </cell>
          <cell r="E72">
            <v>92789</v>
          </cell>
          <cell r="F72">
            <v>1389493</v>
          </cell>
          <cell r="G72">
            <v>1389493</v>
          </cell>
          <cell r="H72">
            <v>1389493</v>
          </cell>
          <cell r="I72">
            <v>1389493</v>
          </cell>
        </row>
        <row r="73">
          <cell r="A73">
            <v>72</v>
          </cell>
          <cell r="B73">
            <v>97658</v>
          </cell>
          <cell r="C73">
            <v>97658</v>
          </cell>
          <cell r="D73">
            <v>97658</v>
          </cell>
          <cell r="E73">
            <v>97658</v>
          </cell>
          <cell r="F73">
            <v>1482282</v>
          </cell>
          <cell r="G73">
            <v>1482282</v>
          </cell>
          <cell r="H73">
            <v>1482282</v>
          </cell>
          <cell r="I73">
            <v>1482282</v>
          </cell>
        </row>
        <row r="74">
          <cell r="A74">
            <v>73</v>
          </cell>
          <cell r="B74">
            <v>102714</v>
          </cell>
          <cell r="C74">
            <v>102714</v>
          </cell>
          <cell r="D74">
            <v>102714</v>
          </cell>
          <cell r="E74">
            <v>102714</v>
          </cell>
          <cell r="F74">
            <v>1579940</v>
          </cell>
          <cell r="G74">
            <v>1579940</v>
          </cell>
          <cell r="H74">
            <v>1579940</v>
          </cell>
          <cell r="I74">
            <v>1579940</v>
          </cell>
        </row>
        <row r="75">
          <cell r="A75">
            <v>74</v>
          </cell>
          <cell r="B75">
            <v>107963</v>
          </cell>
          <cell r="C75">
            <v>107963</v>
          </cell>
          <cell r="D75">
            <v>107963</v>
          </cell>
          <cell r="E75">
            <v>107963</v>
          </cell>
          <cell r="F75">
            <v>1682654</v>
          </cell>
          <cell r="G75">
            <v>1682654</v>
          </cell>
          <cell r="H75">
            <v>1682654</v>
          </cell>
          <cell r="I75">
            <v>1682654</v>
          </cell>
        </row>
        <row r="76">
          <cell r="A76">
            <v>75</v>
          </cell>
          <cell r="B76">
            <v>113409</v>
          </cell>
          <cell r="C76">
            <v>113409</v>
          </cell>
          <cell r="D76">
            <v>113409</v>
          </cell>
          <cell r="E76">
            <v>113409</v>
          </cell>
          <cell r="F76">
            <v>1790617</v>
          </cell>
          <cell r="G76">
            <v>1790617</v>
          </cell>
          <cell r="H76">
            <v>1790617</v>
          </cell>
          <cell r="I76">
            <v>1790617</v>
          </cell>
        </row>
        <row r="77">
          <cell r="A77">
            <v>76</v>
          </cell>
          <cell r="B77">
            <v>119057</v>
          </cell>
          <cell r="C77">
            <v>119057</v>
          </cell>
          <cell r="D77">
            <v>119057</v>
          </cell>
          <cell r="E77">
            <v>119057</v>
          </cell>
          <cell r="F77">
            <v>1904026</v>
          </cell>
          <cell r="G77">
            <v>1904026</v>
          </cell>
          <cell r="H77">
            <v>1904026</v>
          </cell>
          <cell r="I77">
            <v>1904026</v>
          </cell>
        </row>
        <row r="78">
          <cell r="A78">
            <v>77</v>
          </cell>
          <cell r="B78">
            <v>124912</v>
          </cell>
          <cell r="C78">
            <v>124912</v>
          </cell>
          <cell r="D78">
            <v>124912</v>
          </cell>
          <cell r="E78">
            <v>124912</v>
          </cell>
          <cell r="F78">
            <v>2023083</v>
          </cell>
          <cell r="G78">
            <v>2023083</v>
          </cell>
          <cell r="H78">
            <v>2023083</v>
          </cell>
          <cell r="I78">
            <v>2023083</v>
          </cell>
        </row>
        <row r="79">
          <cell r="A79">
            <v>78</v>
          </cell>
          <cell r="B79">
            <v>130979</v>
          </cell>
          <cell r="C79">
            <v>130979</v>
          </cell>
          <cell r="D79">
            <v>130979</v>
          </cell>
          <cell r="E79">
            <v>130979</v>
          </cell>
          <cell r="F79">
            <v>2147995</v>
          </cell>
          <cell r="G79">
            <v>2147995</v>
          </cell>
          <cell r="H79">
            <v>2147995</v>
          </cell>
          <cell r="I79">
            <v>2147995</v>
          </cell>
        </row>
        <row r="80">
          <cell r="A80">
            <v>79</v>
          </cell>
          <cell r="B80">
            <v>137262</v>
          </cell>
          <cell r="C80">
            <v>137262</v>
          </cell>
          <cell r="D80">
            <v>137262</v>
          </cell>
          <cell r="E80">
            <v>137262</v>
          </cell>
          <cell r="F80">
            <v>2278974</v>
          </cell>
          <cell r="G80">
            <v>2278974</v>
          </cell>
          <cell r="H80">
            <v>2278974</v>
          </cell>
          <cell r="I80">
            <v>2278974</v>
          </cell>
        </row>
        <row r="81">
          <cell r="A81">
            <v>80</v>
          </cell>
          <cell r="B81">
            <v>143768</v>
          </cell>
          <cell r="C81">
            <v>143768</v>
          </cell>
          <cell r="D81">
            <v>143768</v>
          </cell>
          <cell r="E81">
            <v>143768</v>
          </cell>
          <cell r="F81">
            <v>2416236</v>
          </cell>
          <cell r="G81">
            <v>2416236</v>
          </cell>
          <cell r="H81">
            <v>2416236</v>
          </cell>
          <cell r="I81">
            <v>2416236</v>
          </cell>
        </row>
      </sheetData>
      <sheetData sheetId="2"/>
      <sheetData sheetId="3"/>
      <sheetData sheetId="4"/>
      <sheetData sheetId="5">
        <row r="2">
          <cell r="E2">
            <v>10</v>
          </cell>
        </row>
        <row r="3">
          <cell r="E3">
            <v>20</v>
          </cell>
        </row>
        <row r="4">
          <cell r="E4">
            <v>30</v>
          </cell>
        </row>
        <row r="5">
          <cell r="E5">
            <v>40</v>
          </cell>
        </row>
        <row r="6">
          <cell r="E6">
            <v>60</v>
          </cell>
        </row>
        <row r="7">
          <cell r="E7">
            <v>90</v>
          </cell>
        </row>
        <row r="8">
          <cell r="E8">
            <v>120</v>
          </cell>
        </row>
        <row r="9">
          <cell r="E9">
            <v>160</v>
          </cell>
        </row>
        <row r="10">
          <cell r="E10">
            <v>200</v>
          </cell>
        </row>
        <row r="11">
          <cell r="E11">
            <v>250</v>
          </cell>
        </row>
      </sheetData>
      <sheetData sheetId="6"/>
      <sheetData sheetId="7"/>
      <sheetData sheetId="8"/>
      <sheetData sheetId="9"/>
      <sheetData sheetId="10">
        <row r="3">
          <cell r="E3">
            <v>6.09656012947488E-4</v>
          </cell>
        </row>
        <row r="4">
          <cell r="E4">
            <v>12081297.5</v>
          </cell>
          <cell r="F4">
            <v>40000</v>
          </cell>
        </row>
        <row r="5">
          <cell r="P5" t="str">
            <v>ID</v>
          </cell>
          <cell r="Q5" t="str">
            <v>名称</v>
          </cell>
          <cell r="R5" t="str">
            <v>属性估值</v>
          </cell>
          <cell r="S5" t="str">
            <v>需求量</v>
          </cell>
        </row>
        <row r="6">
          <cell r="P6">
            <v>92131</v>
          </cell>
          <cell r="Q6" t="str">
            <v>幸运戒指</v>
          </cell>
          <cell r="R6">
            <v>16.48</v>
          </cell>
          <cell r="S6">
            <v>250</v>
          </cell>
          <cell r="Z6">
            <v>3213</v>
          </cell>
          <cell r="AA6">
            <v>1</v>
          </cell>
        </row>
        <row r="7">
          <cell r="P7">
            <v>92011</v>
          </cell>
          <cell r="Q7" t="str">
            <v>亚诺</v>
          </cell>
          <cell r="R7">
            <v>20</v>
          </cell>
          <cell r="S7">
            <v>126</v>
          </cell>
          <cell r="Z7">
            <v>3840</v>
          </cell>
          <cell r="AA7">
            <v>1</v>
          </cell>
        </row>
        <row r="8">
          <cell r="P8">
            <v>92228</v>
          </cell>
          <cell r="Q8" t="str">
            <v>银色手环</v>
          </cell>
          <cell r="R8">
            <v>8</v>
          </cell>
          <cell r="S8">
            <v>253</v>
          </cell>
          <cell r="Y8">
            <v>2241</v>
          </cell>
          <cell r="Z8">
            <v>12030</v>
          </cell>
          <cell r="AA8">
            <v>5.3681392235609104</v>
          </cell>
        </row>
        <row r="9">
          <cell r="P9">
            <v>92232</v>
          </cell>
          <cell r="Q9" t="str">
            <v>鎏金手环</v>
          </cell>
          <cell r="R9">
            <v>16.48</v>
          </cell>
          <cell r="S9">
            <v>718</v>
          </cell>
          <cell r="Y9">
            <v>1616</v>
          </cell>
          <cell r="Z9">
            <v>20285</v>
          </cell>
          <cell r="AA9">
            <v>12.552599009900991</v>
          </cell>
        </row>
        <row r="10">
          <cell r="P10">
            <v>92121</v>
          </cell>
          <cell r="Q10" t="str">
            <v>镀金耳钉</v>
          </cell>
          <cell r="R10">
            <v>20</v>
          </cell>
          <cell r="S10">
            <v>259</v>
          </cell>
          <cell r="Y10">
            <v>932</v>
          </cell>
          <cell r="Z10">
            <v>30040</v>
          </cell>
          <cell r="AA10">
            <v>32.231759656652358</v>
          </cell>
        </row>
        <row r="11">
          <cell r="P11">
            <v>92243</v>
          </cell>
          <cell r="Q11" t="str">
            <v>诅咒项链</v>
          </cell>
          <cell r="R11">
            <v>8</v>
          </cell>
          <cell r="S11">
            <v>333</v>
          </cell>
        </row>
        <row r="12">
          <cell r="P12">
            <v>92244</v>
          </cell>
          <cell r="Q12" t="str">
            <v>金饰项链</v>
          </cell>
          <cell r="R12">
            <v>16.48</v>
          </cell>
          <cell r="S12">
            <v>653</v>
          </cell>
        </row>
        <row r="13">
          <cell r="P13">
            <v>92263</v>
          </cell>
          <cell r="Q13" t="str">
            <v>银针手表</v>
          </cell>
          <cell r="R13">
            <v>20</v>
          </cell>
          <cell r="S13">
            <v>117</v>
          </cell>
        </row>
        <row r="14">
          <cell r="I14">
            <v>101101</v>
          </cell>
          <cell r="M14">
            <v>25.55355230742893</v>
          </cell>
          <cell r="P14">
            <v>92277</v>
          </cell>
          <cell r="Q14" t="str">
            <v>冬利</v>
          </cell>
          <cell r="R14">
            <v>8</v>
          </cell>
          <cell r="S14">
            <v>122</v>
          </cell>
        </row>
        <row r="15">
          <cell r="I15">
            <v>101102</v>
          </cell>
          <cell r="J15" t="str">
            <v>蟹仔</v>
          </cell>
          <cell r="M15">
            <v>25.55355230742893</v>
          </cell>
          <cell r="P15">
            <v>92233</v>
          </cell>
          <cell r="Q15" t="str">
            <v>白金手环</v>
          </cell>
          <cell r="R15">
            <v>50</v>
          </cell>
          <cell r="S15">
            <v>382</v>
          </cell>
        </row>
        <row r="16">
          <cell r="I16">
            <v>101103</v>
          </cell>
          <cell r="J16" t="str">
            <v>比利</v>
          </cell>
          <cell r="M16">
            <v>25.55355230742893</v>
          </cell>
          <cell r="P16">
            <v>92122</v>
          </cell>
          <cell r="Q16" t="str">
            <v>银饰耳钉</v>
          </cell>
          <cell r="R16">
            <v>50</v>
          </cell>
          <cell r="S16">
            <v>362</v>
          </cell>
        </row>
        <row r="17">
          <cell r="I17">
            <v>101104</v>
          </cell>
          <cell r="J17" t="str">
            <v>黎九</v>
          </cell>
          <cell r="M17">
            <v>25.55355230742893</v>
          </cell>
          <cell r="P17">
            <v>92141</v>
          </cell>
          <cell r="Q17" t="str">
            <v>白银戒指</v>
          </cell>
          <cell r="R17">
            <v>50</v>
          </cell>
          <cell r="S17">
            <v>381</v>
          </cell>
        </row>
        <row r="18">
          <cell r="I18">
            <v>101105</v>
          </cell>
          <cell r="J18" t="str">
            <v>黑古</v>
          </cell>
          <cell r="M18">
            <v>25.55355230742893</v>
          </cell>
          <cell r="P18">
            <v>92245</v>
          </cell>
          <cell r="Q18" t="str">
            <v>水晶项链</v>
          </cell>
          <cell r="R18">
            <v>50</v>
          </cell>
          <cell r="S18">
            <v>276</v>
          </cell>
        </row>
        <row r="19">
          <cell r="I19">
            <v>101106</v>
          </cell>
          <cell r="M19">
            <v>51.10710461485786</v>
          </cell>
          <cell r="P19">
            <v>92251</v>
          </cell>
          <cell r="Q19" t="str">
            <v>红石项链</v>
          </cell>
          <cell r="R19">
            <v>50</v>
          </cell>
          <cell r="S19">
            <v>469</v>
          </cell>
        </row>
        <row r="20">
          <cell r="I20">
            <v>101107</v>
          </cell>
          <cell r="M20">
            <v>51.10710461485786</v>
          </cell>
          <cell r="P20">
            <v>92264</v>
          </cell>
          <cell r="Q20" t="str">
            <v>越野手表</v>
          </cell>
          <cell r="R20">
            <v>50</v>
          </cell>
          <cell r="S20">
            <v>204</v>
          </cell>
        </row>
        <row r="21">
          <cell r="I21">
            <v>101108</v>
          </cell>
          <cell r="J21" t="str">
            <v>肥仔</v>
          </cell>
          <cell r="M21">
            <v>51.10710461485786</v>
          </cell>
          <cell r="P21">
            <v>92271</v>
          </cell>
          <cell r="Q21" t="str">
            <v>精准手表</v>
          </cell>
          <cell r="R21">
            <v>50</v>
          </cell>
          <cell r="S21">
            <v>108</v>
          </cell>
        </row>
        <row r="22">
          <cell r="I22">
            <v>101109</v>
          </cell>
          <cell r="J22" t="str">
            <v>司徒浩南</v>
          </cell>
          <cell r="M22">
            <v>102.21420922971572</v>
          </cell>
          <cell r="P22">
            <v>92278</v>
          </cell>
          <cell r="Q22" t="str">
            <v>宝驼</v>
          </cell>
          <cell r="R22">
            <v>50</v>
          </cell>
          <cell r="S22">
            <v>224</v>
          </cell>
        </row>
        <row r="23">
          <cell r="I23">
            <v>101110</v>
          </cell>
          <cell r="M23">
            <v>102.21420922971572</v>
          </cell>
          <cell r="P23">
            <v>92283</v>
          </cell>
          <cell r="Q23" t="str">
            <v>小迭钞票</v>
          </cell>
          <cell r="R23">
            <v>50</v>
          </cell>
          <cell r="S23">
            <v>713</v>
          </cell>
        </row>
        <row r="24">
          <cell r="I24">
            <v>101111</v>
          </cell>
          <cell r="J24" t="str">
            <v>赌王</v>
          </cell>
          <cell r="M24">
            <v>102.21420922971572</v>
          </cell>
          <cell r="P24">
            <v>92287</v>
          </cell>
          <cell r="Q24" t="str">
            <v>金块</v>
          </cell>
          <cell r="R24">
            <v>50</v>
          </cell>
          <cell r="S24">
            <v>655</v>
          </cell>
        </row>
        <row r="25">
          <cell r="I25">
            <v>101112</v>
          </cell>
          <cell r="J25" t="str">
            <v>山下忠秀</v>
          </cell>
          <cell r="M25">
            <v>102.21420922971572</v>
          </cell>
          <cell r="P25">
            <v>92142</v>
          </cell>
          <cell r="Q25" t="str">
            <v>黄金戒指</v>
          </cell>
          <cell r="R25">
            <v>119.73766952966369</v>
          </cell>
          <cell r="S25">
            <v>221</v>
          </cell>
        </row>
        <row r="26">
          <cell r="I26">
            <v>101113</v>
          </cell>
          <cell r="M26">
            <v>102.21420922971572</v>
          </cell>
          <cell r="P26">
            <v>92235</v>
          </cell>
          <cell r="Q26" t="str">
            <v>宝石手环</v>
          </cell>
          <cell r="R26">
            <v>118.67766952966369</v>
          </cell>
          <cell r="S26">
            <v>227</v>
          </cell>
        </row>
        <row r="27">
          <cell r="I27">
            <v>101114</v>
          </cell>
          <cell r="M27">
            <v>153.32131384457352</v>
          </cell>
          <cell r="P27">
            <v>92012</v>
          </cell>
          <cell r="Q27" t="str">
            <v>摩拉</v>
          </cell>
          <cell r="R27">
            <v>120.17766952966369</v>
          </cell>
          <cell r="S27">
            <v>105</v>
          </cell>
        </row>
        <row r="28">
          <cell r="I28">
            <v>101115</v>
          </cell>
          <cell r="M28">
            <v>153.32131384457352</v>
          </cell>
          <cell r="P28">
            <v>92252</v>
          </cell>
          <cell r="Q28" t="str">
            <v>青玉项链</v>
          </cell>
          <cell r="R28">
            <v>118.67766952966369</v>
          </cell>
          <cell r="S28">
            <v>308</v>
          </cell>
        </row>
        <row r="29">
          <cell r="I29">
            <v>101116</v>
          </cell>
          <cell r="J29" t="str">
            <v>大天二</v>
          </cell>
          <cell r="M29">
            <v>153.32131384457352</v>
          </cell>
          <cell r="P29">
            <v>92124</v>
          </cell>
          <cell r="Q29" t="str">
            <v>水晶耳钉</v>
          </cell>
          <cell r="R29">
            <v>120.17766952966369</v>
          </cell>
          <cell r="S29">
            <v>234</v>
          </cell>
        </row>
        <row r="30">
          <cell r="I30">
            <v>101117</v>
          </cell>
          <cell r="J30" t="str">
            <v>巴闭</v>
          </cell>
          <cell r="M30">
            <v>51.10710461485786</v>
          </cell>
          <cell r="P30">
            <v>92272</v>
          </cell>
          <cell r="Q30" t="str">
            <v>金针手表</v>
          </cell>
          <cell r="R30">
            <v>120.17766952966369</v>
          </cell>
          <cell r="S30">
            <v>93</v>
          </cell>
        </row>
        <row r="31">
          <cell r="I31">
            <v>101118</v>
          </cell>
          <cell r="J31" t="str">
            <v>耀阳</v>
          </cell>
          <cell r="M31">
            <v>102.21420922971572</v>
          </cell>
          <cell r="P31">
            <v>92273</v>
          </cell>
          <cell r="Q31" t="str">
            <v>智能手表</v>
          </cell>
          <cell r="R31">
            <v>135.35533905932738</v>
          </cell>
          <cell r="S31">
            <v>86</v>
          </cell>
        </row>
        <row r="32">
          <cell r="I32">
            <v>101119</v>
          </cell>
          <cell r="J32" t="str">
            <v>笑面虎</v>
          </cell>
          <cell r="M32">
            <v>102.21420922971572</v>
          </cell>
          <cell r="P32">
            <v>92279</v>
          </cell>
          <cell r="Q32" t="str">
            <v>宾倪</v>
          </cell>
          <cell r="R32">
            <v>118.67766952966369</v>
          </cell>
          <cell r="S32">
            <v>99</v>
          </cell>
        </row>
        <row r="33">
          <cell r="P33">
            <v>92284</v>
          </cell>
          <cell r="Q33" t="str">
            <v>大迭钞票</v>
          </cell>
          <cell r="R33">
            <v>119.73766952966369</v>
          </cell>
          <cell r="S33">
            <v>687</v>
          </cell>
        </row>
        <row r="34">
          <cell r="P34">
            <v>92288</v>
          </cell>
          <cell r="Q34" t="str">
            <v>大金块</v>
          </cell>
          <cell r="R34">
            <v>119.73766952966369</v>
          </cell>
          <cell r="S34">
            <v>629</v>
          </cell>
        </row>
        <row r="35">
          <cell r="P35">
            <v>92125</v>
          </cell>
          <cell r="Q35" t="str">
            <v>红石耳钉</v>
          </cell>
          <cell r="R35">
            <v>348.73922253581054</v>
          </cell>
          <cell r="S35">
            <v>104</v>
          </cell>
        </row>
        <row r="36">
          <cell r="P36">
            <v>92134</v>
          </cell>
          <cell r="Q36" t="str">
            <v>毒蝎耳钉</v>
          </cell>
          <cell r="R36">
            <v>348.73922253581054</v>
          </cell>
          <cell r="S36">
            <v>108</v>
          </cell>
        </row>
        <row r="37">
          <cell r="P37">
            <v>92223</v>
          </cell>
          <cell r="Q37" t="str">
            <v>赤金戒指</v>
          </cell>
          <cell r="R37">
            <v>348.58365904394952</v>
          </cell>
          <cell r="S37">
            <v>130</v>
          </cell>
        </row>
        <row r="38">
          <cell r="P38">
            <v>92227</v>
          </cell>
          <cell r="Q38" t="str">
            <v>王者手环</v>
          </cell>
          <cell r="R38">
            <v>348.20889244992065</v>
          </cell>
          <cell r="S38">
            <v>141</v>
          </cell>
        </row>
        <row r="39">
          <cell r="P39">
            <v>92236</v>
          </cell>
          <cell r="Q39" t="str">
            <v>符文手环</v>
          </cell>
          <cell r="R39">
            <v>384.29255149387018</v>
          </cell>
          <cell r="S39">
            <v>67</v>
          </cell>
        </row>
        <row r="40">
          <cell r="P40">
            <v>92013</v>
          </cell>
          <cell r="Q40" t="str">
            <v>月立</v>
          </cell>
          <cell r="R40">
            <v>384.82288157976006</v>
          </cell>
          <cell r="S40">
            <v>85</v>
          </cell>
        </row>
        <row r="41">
          <cell r="P41">
            <v>92253</v>
          </cell>
          <cell r="Q41" t="str">
            <v>猫妖项链</v>
          </cell>
          <cell r="R41">
            <v>348.20889244992065</v>
          </cell>
          <cell r="S41">
            <v>148</v>
          </cell>
        </row>
        <row r="42">
          <cell r="P42">
            <v>92254</v>
          </cell>
          <cell r="Q42" t="str">
            <v>苍蓝项链</v>
          </cell>
          <cell r="R42">
            <v>348.20889244992065</v>
          </cell>
          <cell r="S42">
            <v>140</v>
          </cell>
        </row>
        <row r="43">
          <cell r="P43">
            <v>92274</v>
          </cell>
          <cell r="Q43" t="str">
            <v>汉密手表</v>
          </cell>
          <cell r="R43">
            <v>390.34456159513792</v>
          </cell>
          <cell r="S43">
            <v>70</v>
          </cell>
        </row>
        <row r="44">
          <cell r="P44">
            <v>92280</v>
          </cell>
          <cell r="Q44" t="str">
            <v>法拉捷</v>
          </cell>
          <cell r="R44">
            <v>384.29255149387018</v>
          </cell>
          <cell r="S44">
            <v>75</v>
          </cell>
        </row>
        <row r="45">
          <cell r="P45">
            <v>92285</v>
          </cell>
          <cell r="Q45" t="str">
            <v>大堆钞票</v>
          </cell>
          <cell r="R45">
            <v>384.66731808789905</v>
          </cell>
          <cell r="S45">
            <v>286</v>
          </cell>
        </row>
        <row r="46">
          <cell r="P46">
            <v>92289</v>
          </cell>
          <cell r="Q46" t="str">
            <v>小堆金块</v>
          </cell>
          <cell r="R46">
            <v>384.66731808789905</v>
          </cell>
          <cell r="S46">
            <v>262</v>
          </cell>
        </row>
        <row r="47">
          <cell r="P47">
            <v>92014</v>
          </cell>
          <cell r="Q47" t="str">
            <v>菠萝</v>
          </cell>
          <cell r="R47">
            <v>1072.0558691207962</v>
          </cell>
          <cell r="S47">
            <v>64</v>
          </cell>
        </row>
        <row r="48">
          <cell r="P48">
            <v>92296</v>
          </cell>
          <cell r="Q48" t="str">
            <v>星光红石</v>
          </cell>
          <cell r="R48">
            <v>1046.5958691207961</v>
          </cell>
          <cell r="S48">
            <v>87</v>
          </cell>
        </row>
        <row r="49">
          <cell r="P49">
            <v>92240</v>
          </cell>
          <cell r="Q49" t="str">
            <v>苍蓝戒指</v>
          </cell>
          <cell r="R49">
            <v>1059.110869120796</v>
          </cell>
          <cell r="S49">
            <v>50</v>
          </cell>
        </row>
        <row r="50">
          <cell r="P50">
            <v>92292</v>
          </cell>
          <cell r="Q50" t="str">
            <v>金饰宝盒</v>
          </cell>
          <cell r="R50">
            <v>1046.3533691207961</v>
          </cell>
          <cell r="S50">
            <v>64</v>
          </cell>
        </row>
        <row r="51">
          <cell r="P51">
            <v>92256</v>
          </cell>
          <cell r="Q51" t="str">
            <v>圣徒项链</v>
          </cell>
          <cell r="R51">
            <v>1046.2208691207961</v>
          </cell>
          <cell r="S51">
            <v>66</v>
          </cell>
        </row>
        <row r="52">
          <cell r="P52">
            <v>92261</v>
          </cell>
          <cell r="Q52" t="str">
            <v>贵族项链</v>
          </cell>
          <cell r="R52">
            <v>1046.2208691207961</v>
          </cell>
          <cell r="S52">
            <v>60</v>
          </cell>
        </row>
        <row r="53">
          <cell r="P53">
            <v>92275</v>
          </cell>
          <cell r="Q53" t="str">
            <v>千国手表</v>
          </cell>
          <cell r="R53">
            <v>1061.1180778120042</v>
          </cell>
          <cell r="S53">
            <v>54</v>
          </cell>
        </row>
        <row r="54">
          <cell r="P54">
            <v>92281</v>
          </cell>
          <cell r="Q54" t="str">
            <v>红博机利</v>
          </cell>
          <cell r="R54">
            <v>1071.8683691207962</v>
          </cell>
          <cell r="S54">
            <v>58</v>
          </cell>
        </row>
        <row r="55">
          <cell r="P55">
            <v>92286</v>
          </cell>
          <cell r="Q55" t="str">
            <v>巨额钞票</v>
          </cell>
          <cell r="R55">
            <v>1072.0008691207961</v>
          </cell>
          <cell r="S55">
            <v>100</v>
          </cell>
        </row>
        <row r="56">
          <cell r="P56">
            <v>92290</v>
          </cell>
          <cell r="Q56" t="str">
            <v>大堆金块</v>
          </cell>
          <cell r="R56">
            <v>1072.0008691207961</v>
          </cell>
          <cell r="S56">
            <v>91</v>
          </cell>
        </row>
        <row r="57">
          <cell r="P57">
            <v>92026</v>
          </cell>
          <cell r="Q57" t="str">
            <v>深蓝</v>
          </cell>
          <cell r="R57">
            <v>2316.0770588593405</v>
          </cell>
          <cell r="S57">
            <v>25</v>
          </cell>
        </row>
        <row r="58">
          <cell r="P58">
            <v>92255</v>
          </cell>
          <cell r="Q58" t="str">
            <v>黑耀项链</v>
          </cell>
          <cell r="R58">
            <v>2279.5797423483964</v>
          </cell>
          <cell r="S58">
            <v>26</v>
          </cell>
        </row>
        <row r="59">
          <cell r="P59">
            <v>92297</v>
          </cell>
          <cell r="Q59" t="str">
            <v>翠绿之心</v>
          </cell>
          <cell r="R59">
            <v>2288.9595138008362</v>
          </cell>
          <cell r="S59">
            <v>11</v>
          </cell>
        </row>
        <row r="60">
          <cell r="P60">
            <v>92293</v>
          </cell>
          <cell r="Q60" t="str">
            <v>珍珠宝盒</v>
          </cell>
          <cell r="R60">
            <v>2290.3788246776458</v>
          </cell>
          <cell r="S60">
            <v>20</v>
          </cell>
        </row>
        <row r="61">
          <cell r="P61">
            <v>92294</v>
          </cell>
          <cell r="Q61" t="str">
            <v>古董宝盒</v>
          </cell>
          <cell r="R61">
            <v>2297.8089551673856</v>
          </cell>
          <cell r="S61">
            <v>25</v>
          </cell>
        </row>
        <row r="62">
          <cell r="P62">
            <v>92295</v>
          </cell>
          <cell r="Q62" t="str">
            <v>水晶宝盒</v>
          </cell>
          <cell r="R62">
            <v>2279.9385990398487</v>
          </cell>
          <cell r="S62">
            <v>19</v>
          </cell>
        </row>
        <row r="63">
          <cell r="P63">
            <v>92262</v>
          </cell>
          <cell r="Q63" t="str">
            <v>皇家项链</v>
          </cell>
          <cell r="R63">
            <v>2279.5797423483964</v>
          </cell>
          <cell r="S63">
            <v>14</v>
          </cell>
        </row>
        <row r="64">
          <cell r="P64">
            <v>92298</v>
          </cell>
          <cell r="Q64" t="str">
            <v>海洋之泪</v>
          </cell>
          <cell r="R64">
            <v>2288.9595138008362</v>
          </cell>
          <cell r="S64">
            <v>17</v>
          </cell>
        </row>
        <row r="65">
          <cell r="P65">
            <v>92276</v>
          </cell>
          <cell r="Q65" t="str">
            <v>壕利手表</v>
          </cell>
          <cell r="R65">
            <v>2308.3817633266553</v>
          </cell>
          <cell r="S65">
            <v>16</v>
          </cell>
        </row>
        <row r="66">
          <cell r="P66">
            <v>92282</v>
          </cell>
          <cell r="Q66" t="str">
            <v>劳莱斯特</v>
          </cell>
          <cell r="R66">
            <v>2315.9444763378679</v>
          </cell>
          <cell r="S66">
            <v>14</v>
          </cell>
        </row>
        <row r="67">
          <cell r="P67">
            <v>92299</v>
          </cell>
          <cell r="Q67" t="str">
            <v>房产证</v>
          </cell>
          <cell r="R67">
            <v>2316.0381679863749</v>
          </cell>
          <cell r="S67">
            <v>25</v>
          </cell>
        </row>
        <row r="68">
          <cell r="P68">
            <v>92291</v>
          </cell>
          <cell r="Q68" t="str">
            <v>巨量金块</v>
          </cell>
          <cell r="R68">
            <v>2316.0381679863749</v>
          </cell>
          <cell r="S68">
            <v>26</v>
          </cell>
        </row>
        <row r="69">
          <cell r="P69">
            <v>93233</v>
          </cell>
          <cell r="Q69" t="str">
            <v>白金手环碎片</v>
          </cell>
          <cell r="R69">
            <v>10</v>
          </cell>
          <cell r="S69">
            <v>1910</v>
          </cell>
        </row>
        <row r="70">
          <cell r="P70">
            <v>93122</v>
          </cell>
          <cell r="Q70" t="str">
            <v>银饰耳钉碎片</v>
          </cell>
          <cell r="R70">
            <v>10</v>
          </cell>
          <cell r="S70">
            <v>1810</v>
          </cell>
        </row>
        <row r="71">
          <cell r="P71">
            <v>93141</v>
          </cell>
          <cell r="Q71" t="str">
            <v>白银戒指碎片</v>
          </cell>
          <cell r="R71">
            <v>10</v>
          </cell>
          <cell r="S71">
            <v>1905</v>
          </cell>
        </row>
        <row r="72">
          <cell r="P72">
            <v>93245</v>
          </cell>
          <cell r="Q72" t="str">
            <v>水晶项链碎片</v>
          </cell>
          <cell r="R72">
            <v>10</v>
          </cell>
          <cell r="S72">
            <v>1380</v>
          </cell>
        </row>
        <row r="73">
          <cell r="P73">
            <v>93251</v>
          </cell>
          <cell r="Q73" t="str">
            <v>红石项链碎片</v>
          </cell>
          <cell r="R73">
            <v>10</v>
          </cell>
          <cell r="S73">
            <v>2345</v>
          </cell>
        </row>
        <row r="74">
          <cell r="P74">
            <v>93264</v>
          </cell>
          <cell r="Q74" t="str">
            <v>越野手表碎片</v>
          </cell>
          <cell r="R74">
            <v>10</v>
          </cell>
          <cell r="S74">
            <v>1020</v>
          </cell>
        </row>
        <row r="75">
          <cell r="P75">
            <v>93271</v>
          </cell>
          <cell r="Q75" t="str">
            <v>精准手表碎片</v>
          </cell>
          <cell r="R75">
            <v>10</v>
          </cell>
          <cell r="S75">
            <v>540</v>
          </cell>
        </row>
        <row r="76">
          <cell r="P76">
            <v>93278</v>
          </cell>
          <cell r="Q76" t="str">
            <v>宝驼碎片</v>
          </cell>
          <cell r="R76">
            <v>10</v>
          </cell>
          <cell r="S76">
            <v>1120</v>
          </cell>
        </row>
        <row r="77">
          <cell r="P77">
            <v>93283</v>
          </cell>
          <cell r="Q77" t="str">
            <v>小迭钞票碎片</v>
          </cell>
          <cell r="R77">
            <v>10</v>
          </cell>
          <cell r="S77">
            <v>3565</v>
          </cell>
        </row>
        <row r="78">
          <cell r="P78">
            <v>93287</v>
          </cell>
          <cell r="Q78" t="str">
            <v>金块碎片</v>
          </cell>
          <cell r="R78">
            <v>10</v>
          </cell>
          <cell r="S78">
            <v>3275</v>
          </cell>
        </row>
        <row r="79">
          <cell r="P79">
            <v>93142</v>
          </cell>
          <cell r="Q79" t="str">
            <v>黄金戒指碎片</v>
          </cell>
          <cell r="R79">
            <v>20</v>
          </cell>
          <cell r="S79">
            <v>1105</v>
          </cell>
        </row>
        <row r="80">
          <cell r="P80">
            <v>93235</v>
          </cell>
          <cell r="Q80" t="str">
            <v>宝石手环碎片</v>
          </cell>
          <cell r="R80">
            <v>20</v>
          </cell>
          <cell r="S80">
            <v>1135</v>
          </cell>
        </row>
        <row r="81">
          <cell r="P81">
            <v>93012</v>
          </cell>
          <cell r="Q81" t="str">
            <v>摩拉碎片</v>
          </cell>
          <cell r="R81">
            <v>20</v>
          </cell>
          <cell r="S81">
            <v>525</v>
          </cell>
        </row>
        <row r="82">
          <cell r="P82">
            <v>93252</v>
          </cell>
          <cell r="Q82" t="str">
            <v>青玉项链碎片</v>
          </cell>
          <cell r="R82">
            <v>20</v>
          </cell>
          <cell r="S82">
            <v>1540</v>
          </cell>
        </row>
        <row r="83">
          <cell r="P83">
            <v>93124</v>
          </cell>
          <cell r="Q83" t="str">
            <v>水晶耳钉碎片</v>
          </cell>
          <cell r="R83">
            <v>20</v>
          </cell>
          <cell r="S83">
            <v>1170</v>
          </cell>
        </row>
        <row r="84">
          <cell r="P84">
            <v>93272</v>
          </cell>
          <cell r="Q84" t="str">
            <v>金针手表碎片</v>
          </cell>
          <cell r="R84">
            <v>20</v>
          </cell>
          <cell r="S84">
            <v>465</v>
          </cell>
        </row>
        <row r="85">
          <cell r="P85">
            <v>93273</v>
          </cell>
          <cell r="Q85" t="str">
            <v>智能手表碎片</v>
          </cell>
          <cell r="R85">
            <v>20</v>
          </cell>
          <cell r="S85">
            <v>430</v>
          </cell>
        </row>
        <row r="86">
          <cell r="P86">
            <v>93279</v>
          </cell>
          <cell r="Q86" t="str">
            <v>宾倪碎片</v>
          </cell>
          <cell r="R86">
            <v>20</v>
          </cell>
          <cell r="S86">
            <v>495</v>
          </cell>
        </row>
        <row r="87">
          <cell r="P87">
            <v>93284</v>
          </cell>
          <cell r="Q87" t="str">
            <v>大迭钞票碎片</v>
          </cell>
          <cell r="R87">
            <v>20</v>
          </cell>
          <cell r="S87">
            <v>3435</v>
          </cell>
        </row>
        <row r="88">
          <cell r="P88">
            <v>93288</v>
          </cell>
          <cell r="Q88" t="str">
            <v>大金块碎片</v>
          </cell>
          <cell r="R88">
            <v>20</v>
          </cell>
          <cell r="S88">
            <v>3145</v>
          </cell>
        </row>
        <row r="89">
          <cell r="P89">
            <v>93125</v>
          </cell>
          <cell r="Q89" t="str">
            <v>红石耳钉碎片</v>
          </cell>
          <cell r="R89">
            <v>30</v>
          </cell>
          <cell r="S89">
            <v>1040</v>
          </cell>
        </row>
        <row r="90">
          <cell r="P90">
            <v>93134</v>
          </cell>
          <cell r="Q90" t="str">
            <v>毒蝎耳钉碎片</v>
          </cell>
          <cell r="R90">
            <v>30</v>
          </cell>
          <cell r="S90">
            <v>1080</v>
          </cell>
        </row>
        <row r="91">
          <cell r="P91">
            <v>93223</v>
          </cell>
          <cell r="Q91" t="str">
            <v>赤金戒指碎片</v>
          </cell>
          <cell r="R91">
            <v>30</v>
          </cell>
          <cell r="S91">
            <v>1300</v>
          </cell>
        </row>
        <row r="92">
          <cell r="P92">
            <v>93227</v>
          </cell>
          <cell r="Q92" t="str">
            <v>王者手环碎片</v>
          </cell>
          <cell r="R92">
            <v>30</v>
          </cell>
          <cell r="S92">
            <v>1410</v>
          </cell>
        </row>
        <row r="93">
          <cell r="P93">
            <v>93236</v>
          </cell>
          <cell r="Q93" t="str">
            <v>符文手环碎片</v>
          </cell>
          <cell r="R93">
            <v>30</v>
          </cell>
          <cell r="S93">
            <v>670</v>
          </cell>
        </row>
        <row r="94">
          <cell r="P94">
            <v>93013</v>
          </cell>
          <cell r="Q94" t="str">
            <v>月立碎片</v>
          </cell>
          <cell r="R94">
            <v>30</v>
          </cell>
          <cell r="S94">
            <v>850</v>
          </cell>
        </row>
        <row r="95">
          <cell r="P95">
            <v>93253</v>
          </cell>
          <cell r="Q95" t="str">
            <v>猫妖项链碎片</v>
          </cell>
          <cell r="R95">
            <v>30</v>
          </cell>
          <cell r="S95">
            <v>1480</v>
          </cell>
        </row>
        <row r="96">
          <cell r="P96">
            <v>93254</v>
          </cell>
          <cell r="Q96" t="str">
            <v>苍蓝项链碎片</v>
          </cell>
          <cell r="R96">
            <v>30</v>
          </cell>
          <cell r="S96">
            <v>1400</v>
          </cell>
        </row>
        <row r="97">
          <cell r="P97">
            <v>93274</v>
          </cell>
          <cell r="Q97" t="str">
            <v>汉密手表碎片</v>
          </cell>
          <cell r="R97">
            <v>30</v>
          </cell>
          <cell r="S97">
            <v>700</v>
          </cell>
        </row>
        <row r="98">
          <cell r="P98">
            <v>93280</v>
          </cell>
          <cell r="Q98" t="str">
            <v>法拉捷碎片</v>
          </cell>
          <cell r="R98">
            <v>30</v>
          </cell>
          <cell r="S98">
            <v>750</v>
          </cell>
        </row>
        <row r="99">
          <cell r="P99">
            <v>93285</v>
          </cell>
          <cell r="Q99" t="str">
            <v>大堆钞票碎片</v>
          </cell>
          <cell r="R99">
            <v>30</v>
          </cell>
          <cell r="S99">
            <v>2860</v>
          </cell>
        </row>
        <row r="100">
          <cell r="P100">
            <v>93289</v>
          </cell>
          <cell r="Q100" t="str">
            <v>小堆金块碎片</v>
          </cell>
          <cell r="R100">
            <v>30</v>
          </cell>
          <cell r="S100">
            <v>2620</v>
          </cell>
        </row>
        <row r="101">
          <cell r="P101">
            <v>93014</v>
          </cell>
          <cell r="Q101" t="str">
            <v>菠萝碎片</v>
          </cell>
          <cell r="R101">
            <v>40</v>
          </cell>
          <cell r="S101">
            <v>1280</v>
          </cell>
        </row>
        <row r="102">
          <cell r="P102">
            <v>93296</v>
          </cell>
          <cell r="Q102" t="str">
            <v>星光红石碎片</v>
          </cell>
          <cell r="R102">
            <v>40</v>
          </cell>
          <cell r="S102">
            <v>1740</v>
          </cell>
        </row>
        <row r="103">
          <cell r="P103">
            <v>93240</v>
          </cell>
          <cell r="Q103" t="str">
            <v>苍蓝戒指碎片</v>
          </cell>
          <cell r="R103">
            <v>40</v>
          </cell>
          <cell r="S103">
            <v>1000</v>
          </cell>
        </row>
        <row r="104">
          <cell r="P104">
            <v>93292</v>
          </cell>
          <cell r="Q104" t="str">
            <v>金饰宝盒碎片</v>
          </cell>
          <cell r="R104">
            <v>40</v>
          </cell>
          <cell r="S104">
            <v>1280</v>
          </cell>
        </row>
        <row r="105">
          <cell r="P105">
            <v>93256</v>
          </cell>
          <cell r="Q105" t="str">
            <v>圣徒项链碎片</v>
          </cell>
          <cell r="R105">
            <v>40</v>
          </cell>
          <cell r="S105">
            <v>1320</v>
          </cell>
        </row>
        <row r="106">
          <cell r="P106">
            <v>93261</v>
          </cell>
          <cell r="Q106" t="str">
            <v>贵族项链碎片</v>
          </cell>
          <cell r="R106">
            <v>40</v>
          </cell>
          <cell r="S106">
            <v>1200</v>
          </cell>
        </row>
        <row r="107">
          <cell r="P107">
            <v>93275</v>
          </cell>
          <cell r="Q107" t="str">
            <v>千国手表碎片</v>
          </cell>
          <cell r="R107">
            <v>40</v>
          </cell>
          <cell r="S107">
            <v>1080</v>
          </cell>
        </row>
        <row r="108">
          <cell r="P108">
            <v>93281</v>
          </cell>
          <cell r="Q108" t="str">
            <v>红博机利碎片</v>
          </cell>
          <cell r="R108">
            <v>40</v>
          </cell>
          <cell r="S108">
            <v>1160</v>
          </cell>
        </row>
        <row r="109">
          <cell r="P109">
            <v>93286</v>
          </cell>
          <cell r="Q109" t="str">
            <v>巨额钞票碎片</v>
          </cell>
          <cell r="R109">
            <v>40</v>
          </cell>
          <cell r="S109">
            <v>2000</v>
          </cell>
        </row>
        <row r="110">
          <cell r="P110">
            <v>93290</v>
          </cell>
          <cell r="Q110" t="str">
            <v>大堆金块碎片</v>
          </cell>
          <cell r="R110">
            <v>40</v>
          </cell>
          <cell r="S110">
            <v>1820</v>
          </cell>
        </row>
        <row r="111">
          <cell r="P111">
            <v>93026</v>
          </cell>
          <cell r="Q111" t="str">
            <v>深蓝碎片</v>
          </cell>
          <cell r="R111">
            <v>40</v>
          </cell>
          <cell r="S111">
            <v>500</v>
          </cell>
        </row>
        <row r="112">
          <cell r="P112">
            <v>93255</v>
          </cell>
          <cell r="Q112" t="str">
            <v>黑耀项链碎片</v>
          </cell>
          <cell r="R112">
            <v>40</v>
          </cell>
          <cell r="S112">
            <v>520</v>
          </cell>
        </row>
        <row r="113">
          <cell r="P113">
            <v>93297</v>
          </cell>
          <cell r="Q113" t="str">
            <v>翠绿之心碎片</v>
          </cell>
          <cell r="R113">
            <v>40</v>
          </cell>
          <cell r="S113">
            <v>220</v>
          </cell>
        </row>
        <row r="114">
          <cell r="P114">
            <v>93293</v>
          </cell>
          <cell r="Q114" t="str">
            <v>珍珠宝盒碎片</v>
          </cell>
          <cell r="R114">
            <v>40</v>
          </cell>
          <cell r="S114">
            <v>400</v>
          </cell>
        </row>
        <row r="115">
          <cell r="P115">
            <v>93294</v>
          </cell>
          <cell r="Q115" t="str">
            <v>古董宝盒碎片</v>
          </cell>
          <cell r="R115">
            <v>40</v>
          </cell>
          <cell r="S115">
            <v>500</v>
          </cell>
        </row>
        <row r="116">
          <cell r="P116">
            <v>93295</v>
          </cell>
          <cell r="Q116" t="str">
            <v>水晶宝盒碎片</v>
          </cell>
          <cell r="R116">
            <v>40</v>
          </cell>
          <cell r="S116">
            <v>380</v>
          </cell>
        </row>
        <row r="117">
          <cell r="P117">
            <v>93262</v>
          </cell>
          <cell r="Q117" t="str">
            <v>皇家项链碎片</v>
          </cell>
          <cell r="R117">
            <v>40</v>
          </cell>
          <cell r="S117">
            <v>280</v>
          </cell>
        </row>
        <row r="118">
          <cell r="P118">
            <v>93298</v>
          </cell>
          <cell r="Q118" t="str">
            <v>海洋之泪碎片</v>
          </cell>
          <cell r="R118">
            <v>40</v>
          </cell>
          <cell r="S118">
            <v>340</v>
          </cell>
        </row>
        <row r="119">
          <cell r="P119">
            <v>93276</v>
          </cell>
          <cell r="Q119" t="str">
            <v>壕利手表碎片</v>
          </cell>
          <cell r="R119">
            <v>40</v>
          </cell>
          <cell r="S119">
            <v>320</v>
          </cell>
        </row>
        <row r="120">
          <cell r="P120">
            <v>93282</v>
          </cell>
          <cell r="Q120" t="str">
            <v>劳莱斯特碎片</v>
          </cell>
          <cell r="R120">
            <v>40</v>
          </cell>
          <cell r="S120">
            <v>280</v>
          </cell>
        </row>
        <row r="121">
          <cell r="P121">
            <v>93299</v>
          </cell>
          <cell r="Q121" t="str">
            <v>房产证碎片</v>
          </cell>
          <cell r="R121">
            <v>40</v>
          </cell>
          <cell r="S121">
            <v>500</v>
          </cell>
        </row>
        <row r="122">
          <cell r="P122">
            <v>93291</v>
          </cell>
          <cell r="Q122" t="str">
            <v>巨量金块碎片</v>
          </cell>
          <cell r="R122">
            <v>40</v>
          </cell>
          <cell r="S122">
            <v>520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106"/>
  <sheetViews>
    <sheetView workbookViewId="0">
      <selection activeCell="D34" sqref="D34"/>
    </sheetView>
  </sheetViews>
  <sheetFormatPr defaultRowHeight="13.5"/>
  <cols>
    <col min="2" max="3" width="18.375" bestFit="1" customWidth="1"/>
    <col min="4" max="4" width="18.375" customWidth="1"/>
    <col min="5" max="5" width="12.75" bestFit="1" customWidth="1"/>
    <col min="6" max="6" width="16.625" customWidth="1"/>
    <col min="7" max="7" width="12.75" customWidth="1"/>
    <col min="8" max="8" width="16.5" style="8" customWidth="1"/>
    <col min="9" max="9" width="20.375" customWidth="1"/>
    <col min="10" max="10" width="12.75" bestFit="1" customWidth="1"/>
    <col min="11" max="11" width="13.875" bestFit="1" customWidth="1"/>
    <col min="12" max="12" width="11.625" customWidth="1"/>
    <col min="13" max="13" width="16.125" bestFit="1" customWidth="1"/>
    <col min="14" max="14" width="17.25" bestFit="1" customWidth="1"/>
    <col min="15" max="15" width="20.5" bestFit="1" customWidth="1"/>
    <col min="16" max="16" width="13.875" bestFit="1" customWidth="1"/>
    <col min="17" max="17" width="12.75" bestFit="1" customWidth="1"/>
    <col min="18" max="18" width="13.875" bestFit="1" customWidth="1"/>
  </cols>
  <sheetData>
    <row r="1" spans="2:12">
      <c r="B1" t="s">
        <v>10</v>
      </c>
      <c r="C1">
        <f>24*60*60</f>
        <v>86400</v>
      </c>
      <c r="H1"/>
    </row>
    <row r="2" spans="2:12">
      <c r="F2" t="s">
        <v>1278</v>
      </c>
      <c r="H2"/>
      <c r="K2" s="166" t="s">
        <v>1282</v>
      </c>
      <c r="L2" s="167"/>
    </row>
    <row r="3" spans="2:12">
      <c r="B3" s="2" t="s">
        <v>68</v>
      </c>
      <c r="C3" s="3">
        <v>6</v>
      </c>
      <c r="E3" s="2" t="s">
        <v>3</v>
      </c>
      <c r="F3" s="3">
        <v>0.8</v>
      </c>
      <c r="H3" s="2" t="s">
        <v>8</v>
      </c>
      <c r="I3" s="3">
        <f>1/(6*60)</f>
        <v>2.7777777777777779E-3</v>
      </c>
      <c r="K3" s="2" t="s">
        <v>1279</v>
      </c>
      <c r="L3" s="3">
        <v>40000</v>
      </c>
    </row>
    <row r="4" spans="2:12">
      <c r="B4" s="2" t="s">
        <v>1</v>
      </c>
      <c r="C4" s="3">
        <v>3</v>
      </c>
      <c r="E4" s="2" t="s">
        <v>4</v>
      </c>
      <c r="F4" s="3">
        <v>1</v>
      </c>
      <c r="H4" s="4" t="s">
        <v>9</v>
      </c>
      <c r="I4" s="2">
        <f>I3*C1</f>
        <v>240</v>
      </c>
      <c r="K4" s="2" t="s">
        <v>1280</v>
      </c>
      <c r="L4" s="3">
        <v>50</v>
      </c>
    </row>
    <row r="5" spans="2:12">
      <c r="B5" s="2" t="s">
        <v>2</v>
      </c>
      <c r="C5" s="9">
        <f>C3*60*60*C4*31</f>
        <v>2008800</v>
      </c>
      <c r="E5" s="2" t="s">
        <v>5</v>
      </c>
      <c r="F5" s="3">
        <v>1.2</v>
      </c>
      <c r="H5" s="4" t="s">
        <v>11</v>
      </c>
      <c r="I5" s="2">
        <f>60*2</f>
        <v>120</v>
      </c>
      <c r="K5" s="2" t="s">
        <v>1281</v>
      </c>
      <c r="L5" s="3">
        <v>20000</v>
      </c>
    </row>
    <row r="6" spans="2:12">
      <c r="B6" s="4" t="s">
        <v>14</v>
      </c>
      <c r="C6" s="9">
        <f>'1、经济推算'!G82-C5</f>
        <v>118513.99284933368</v>
      </c>
      <c r="E6" s="2" t="s">
        <v>6</v>
      </c>
      <c r="F6" s="3">
        <v>1.4</v>
      </c>
      <c r="H6" s="4" t="s">
        <v>12</v>
      </c>
      <c r="I6" s="2">
        <f>I4+I5</f>
        <v>360</v>
      </c>
    </row>
    <row r="7" spans="2:12">
      <c r="B7" s="4" t="s">
        <v>15</v>
      </c>
      <c r="C7" s="2">
        <f>'1、经济推算'!G102*2</f>
        <v>29032087.357017901</v>
      </c>
      <c r="E7" s="2" t="s">
        <v>7</v>
      </c>
      <c r="F7" s="3">
        <v>1.8</v>
      </c>
      <c r="H7"/>
    </row>
    <row r="8" spans="2:12">
      <c r="H8"/>
    </row>
    <row r="9" spans="2:12">
      <c r="H9"/>
    </row>
    <row r="10" spans="2:12">
      <c r="H10"/>
    </row>
    <row r="11" spans="2:12">
      <c r="B11" s="2"/>
      <c r="C11" s="2" t="s">
        <v>257</v>
      </c>
      <c r="D11" s="3" t="s">
        <v>258</v>
      </c>
      <c r="E11" s="2" t="s">
        <v>259</v>
      </c>
      <c r="F11" s="2" t="s">
        <v>260</v>
      </c>
      <c r="G11" s="2" t="s">
        <v>261</v>
      </c>
    </row>
    <row r="12" spans="2:12">
      <c r="B12" s="2" t="s">
        <v>262</v>
      </c>
      <c r="C12" s="2">
        <v>1</v>
      </c>
      <c r="D12" s="3">
        <v>1.4</v>
      </c>
      <c r="E12" s="2">
        <v>1.6</v>
      </c>
      <c r="F12" s="2">
        <v>1.9</v>
      </c>
      <c r="G12" s="2">
        <v>2.2000000000000002</v>
      </c>
    </row>
    <row r="13" spans="2:12">
      <c r="B13" s="2" t="s">
        <v>263</v>
      </c>
      <c r="C13" s="53">
        <f>C12/$G$12*$G$13</f>
        <v>0.36363636363636365</v>
      </c>
      <c r="D13" s="53">
        <f>D12/$G$12*$G$13</f>
        <v>0.50909090909090904</v>
      </c>
      <c r="E13" s="53">
        <f>E12/$G$12*$G$13</f>
        <v>0.5818181818181819</v>
      </c>
      <c r="F13" s="53">
        <f>F12/$G$12*$G$13</f>
        <v>0.69090909090909092</v>
      </c>
      <c r="G13" s="53">
        <v>0.8</v>
      </c>
    </row>
    <row r="17" spans="2:8">
      <c r="B17" s="108" t="s">
        <v>1161</v>
      </c>
    </row>
    <row r="18" spans="2:8">
      <c r="B18" s="147" t="s">
        <v>399</v>
      </c>
      <c r="C18" s="148">
        <v>50</v>
      </c>
      <c r="D18" s="110" t="s">
        <v>875</v>
      </c>
      <c r="E18" s="109">
        <f>C18*E19</f>
        <v>0.1</v>
      </c>
    </row>
    <row r="19" spans="2:8">
      <c r="B19" s="109" t="s">
        <v>400</v>
      </c>
      <c r="C19" s="109">
        <f>1/E19</f>
        <v>500</v>
      </c>
      <c r="D19" s="109" t="s">
        <v>401</v>
      </c>
      <c r="E19" s="109">
        <v>2E-3</v>
      </c>
      <c r="H19"/>
    </row>
    <row r="20" spans="2:8" s="8" customFormat="1">
      <c r="B20" s="110" t="s">
        <v>402</v>
      </c>
      <c r="C20" s="110">
        <f>C18/C19</f>
        <v>0.1</v>
      </c>
      <c r="D20" s="109" t="s">
        <v>400</v>
      </c>
      <c r="E20" s="110">
        <f>1/E19</f>
        <v>500</v>
      </c>
    </row>
    <row r="21" spans="2:8" s="8" customFormat="1">
      <c r="B21" s="110" t="s">
        <v>1160</v>
      </c>
      <c r="C21" s="110">
        <v>20</v>
      </c>
      <c r="D21" s="110" t="s">
        <v>1162</v>
      </c>
      <c r="E21" s="110">
        <f>1/C21</f>
        <v>0.05</v>
      </c>
    </row>
    <row r="22" spans="2:8" s="8" customFormat="1">
      <c r="B22" s="110" t="s">
        <v>1174</v>
      </c>
      <c r="C22" s="110">
        <f>1/E22</f>
        <v>0.04</v>
      </c>
      <c r="D22" s="110" t="s">
        <v>1163</v>
      </c>
      <c r="E22" s="110">
        <v>25</v>
      </c>
    </row>
    <row r="23" spans="2:8" s="8" customFormat="1">
      <c r="B23" s="110"/>
      <c r="C23" s="110"/>
      <c r="D23" s="110" t="s">
        <v>1175</v>
      </c>
      <c r="E23" s="110">
        <f>[1]D_公会商店!$I$2</f>
        <v>30</v>
      </c>
    </row>
    <row r="24" spans="2:8" s="8" customFormat="1">
      <c r="B24" s="110" t="s">
        <v>1337</v>
      </c>
      <c r="C24" s="110">
        <f>体力消耗运算!AC5</f>
        <v>20</v>
      </c>
      <c r="D24" s="110" t="s">
        <v>1182</v>
      </c>
      <c r="E24" s="110">
        <v>10</v>
      </c>
    </row>
    <row r="25" spans="2:8" s="8" customFormat="1">
      <c r="B25" s="110" t="s">
        <v>1339</v>
      </c>
      <c r="C25" s="110">
        <v>50</v>
      </c>
      <c r="D25" s="110" t="s">
        <v>1336</v>
      </c>
      <c r="E25" s="110">
        <v>1</v>
      </c>
    </row>
    <row r="26" spans="2:8" s="8" customFormat="1"/>
    <row r="27" spans="2:8" s="8" customFormat="1"/>
    <row r="28" spans="2:8">
      <c r="H28"/>
    </row>
    <row r="29" spans="2:8">
      <c r="H29"/>
    </row>
    <row r="30" spans="2:8">
      <c r="H30"/>
    </row>
    <row r="31" spans="2:8">
      <c r="B31" s="8" t="s">
        <v>1027</v>
      </c>
      <c r="C31" s="8">
        <f>6*31</f>
        <v>186</v>
      </c>
      <c r="H31"/>
    </row>
    <row r="32" spans="2:8">
      <c r="B32" s="8" t="s">
        <v>1025</v>
      </c>
      <c r="C32" s="8">
        <v>150</v>
      </c>
      <c r="H32"/>
    </row>
    <row r="33" spans="2:8">
      <c r="B33" s="8" t="s">
        <v>1026</v>
      </c>
      <c r="C33" s="8">
        <v>14</v>
      </c>
      <c r="H33"/>
    </row>
    <row r="34" spans="2:8">
      <c r="B34" s="8" t="s">
        <v>1028</v>
      </c>
      <c r="C34" s="8">
        <v>168</v>
      </c>
      <c r="H34"/>
    </row>
    <row r="35" spans="2:8" s="6" customFormat="1"/>
    <row r="36" spans="2:8">
      <c r="H36"/>
    </row>
    <row r="37" spans="2:8">
      <c r="H37"/>
    </row>
    <row r="38" spans="2:8">
      <c r="H38"/>
    </row>
    <row r="39" spans="2:8">
      <c r="H39"/>
    </row>
    <row r="40" spans="2:8">
      <c r="H40"/>
    </row>
    <row r="41" spans="2:8">
      <c r="H41"/>
    </row>
    <row r="42" spans="2:8">
      <c r="H42"/>
    </row>
    <row r="43" spans="2:8">
      <c r="H43"/>
    </row>
    <row r="44" spans="2:8">
      <c r="H44"/>
    </row>
    <row r="45" spans="2:8" s="6" customFormat="1"/>
    <row r="46" spans="2:8">
      <c r="H46"/>
    </row>
    <row r="47" spans="2:8">
      <c r="H47"/>
    </row>
    <row r="48" spans="2:8">
      <c r="H48"/>
    </row>
    <row r="49" spans="8:8">
      <c r="H49"/>
    </row>
    <row r="50" spans="8:8">
      <c r="H50"/>
    </row>
    <row r="51" spans="8:8">
      <c r="H51"/>
    </row>
    <row r="52" spans="8:8">
      <c r="H52"/>
    </row>
    <row r="53" spans="8:8">
      <c r="H53"/>
    </row>
    <row r="54" spans="8:8">
      <c r="H54"/>
    </row>
    <row r="55" spans="8:8">
      <c r="H55"/>
    </row>
    <row r="56" spans="8:8">
      <c r="H56"/>
    </row>
    <row r="57" spans="8:8">
      <c r="H57"/>
    </row>
    <row r="58" spans="8:8">
      <c r="H58"/>
    </row>
    <row r="59" spans="8:8">
      <c r="H59"/>
    </row>
    <row r="60" spans="8:8">
      <c r="H60"/>
    </row>
    <row r="61" spans="8:8">
      <c r="H61"/>
    </row>
    <row r="62" spans="8:8">
      <c r="H62"/>
    </row>
    <row r="63" spans="8:8">
      <c r="H63"/>
    </row>
    <row r="64" spans="8:8">
      <c r="H64"/>
    </row>
    <row r="65" spans="8:8">
      <c r="H65"/>
    </row>
    <row r="66" spans="8:8">
      <c r="H66"/>
    </row>
    <row r="67" spans="8:8">
      <c r="H67"/>
    </row>
    <row r="68" spans="8:8">
      <c r="H68"/>
    </row>
    <row r="69" spans="8:8">
      <c r="H69"/>
    </row>
    <row r="70" spans="8:8" s="7" customFormat="1"/>
    <row r="71" spans="8:8">
      <c r="H71"/>
    </row>
    <row r="72" spans="8:8">
      <c r="H72"/>
    </row>
    <row r="73" spans="8:8">
      <c r="H73"/>
    </row>
    <row r="74" spans="8:8">
      <c r="H74"/>
    </row>
    <row r="75" spans="8:8">
      <c r="H75"/>
    </row>
    <row r="76" spans="8:8">
      <c r="H76"/>
    </row>
    <row r="77" spans="8:8">
      <c r="H77"/>
    </row>
    <row r="78" spans="8:8">
      <c r="H78"/>
    </row>
    <row r="79" spans="8:8">
      <c r="H79"/>
    </row>
    <row r="80" spans="8:8">
      <c r="H80"/>
    </row>
    <row r="81" spans="8:8">
      <c r="H81"/>
    </row>
    <row r="82" spans="8:8">
      <c r="H82"/>
    </row>
    <row r="83" spans="8:8">
      <c r="H83"/>
    </row>
    <row r="84" spans="8:8">
      <c r="H84"/>
    </row>
    <row r="85" spans="8:8" s="5" customFormat="1"/>
    <row r="86" spans="8:8">
      <c r="H86"/>
    </row>
    <row r="87" spans="8:8">
      <c r="H87"/>
    </row>
    <row r="88" spans="8:8">
      <c r="H88"/>
    </row>
    <row r="89" spans="8:8">
      <c r="H89"/>
    </row>
    <row r="90" spans="8:8">
      <c r="H90"/>
    </row>
    <row r="91" spans="8:8">
      <c r="H91"/>
    </row>
    <row r="92" spans="8:8">
      <c r="H92"/>
    </row>
    <row r="93" spans="8:8">
      <c r="H93"/>
    </row>
    <row r="94" spans="8:8">
      <c r="H94"/>
    </row>
    <row r="95" spans="8:8">
      <c r="H95"/>
    </row>
    <row r="96" spans="8:8">
      <c r="H96"/>
    </row>
    <row r="97" spans="8:8">
      <c r="H97"/>
    </row>
    <row r="98" spans="8:8">
      <c r="H98"/>
    </row>
    <row r="99" spans="8:8">
      <c r="H99"/>
    </row>
    <row r="100" spans="8:8">
      <c r="H100"/>
    </row>
    <row r="101" spans="8:8">
      <c r="H101"/>
    </row>
    <row r="102" spans="8:8">
      <c r="H102"/>
    </row>
    <row r="103" spans="8:8">
      <c r="H103"/>
    </row>
    <row r="104" spans="8:8">
      <c r="H104"/>
    </row>
    <row r="105" spans="8:8">
      <c r="H105"/>
    </row>
    <row r="106" spans="8:8">
      <c r="H106"/>
    </row>
  </sheetData>
  <mergeCells count="1">
    <mergeCell ref="K2:L2"/>
  </mergeCells>
  <phoneticPr fontId="1" type="noConversion"/>
  <conditionalFormatting sqref="C6">
    <cfRule type="cellIs" dxfId="65" priority="7" operator="greaterThan">
      <formula>0</formula>
    </cfRule>
    <cfRule type="cellIs" dxfId="64" priority="8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Y102"/>
  <sheetViews>
    <sheetView topLeftCell="J1" workbookViewId="0">
      <selection activeCell="Q30" sqref="Q30"/>
    </sheetView>
  </sheetViews>
  <sheetFormatPr defaultRowHeight="13.5"/>
  <cols>
    <col min="2" max="2" width="12.5" customWidth="1"/>
    <col min="4" max="4" width="18.5" customWidth="1"/>
    <col min="5" max="6" width="15.375" customWidth="1"/>
    <col min="7" max="7" width="15" bestFit="1" customWidth="1"/>
    <col min="8" max="8" width="12.75" bestFit="1" customWidth="1"/>
    <col min="9" max="9" width="14.625" customWidth="1"/>
    <col min="10" max="10" width="11.375" customWidth="1"/>
    <col min="11" max="11" width="13.875" bestFit="1" customWidth="1"/>
    <col min="13" max="15" width="12.75" customWidth="1"/>
    <col min="16" max="16" width="15" bestFit="1" customWidth="1"/>
    <col min="17" max="17" width="15" customWidth="1"/>
    <col min="18" max="18" width="7.5" style="93" bestFit="1" customWidth="1"/>
    <col min="19" max="19" width="9.75" style="8" customWidth="1"/>
    <col min="20" max="22" width="9" style="8"/>
    <col min="23" max="23" width="11" style="8" bestFit="1" customWidth="1"/>
    <col min="24" max="24" width="11" bestFit="1" customWidth="1"/>
    <col min="25" max="25" width="11.375" customWidth="1"/>
  </cols>
  <sheetData>
    <row r="2" spans="2:25" ht="16.149999999999999" customHeight="1">
      <c r="B2" s="1"/>
      <c r="C2" s="2" t="s">
        <v>0</v>
      </c>
      <c r="D2" s="2" t="s">
        <v>16</v>
      </c>
      <c r="E2" s="2" t="s">
        <v>13</v>
      </c>
      <c r="F2" s="2" t="s">
        <v>69</v>
      </c>
      <c r="G2" s="2" t="s">
        <v>67</v>
      </c>
      <c r="H2" s="2" t="s">
        <v>70</v>
      </c>
      <c r="I2" s="4" t="s">
        <v>84</v>
      </c>
      <c r="J2" s="54" t="s">
        <v>586</v>
      </c>
      <c r="S2" s="137" t="s">
        <v>1274</v>
      </c>
      <c r="T2" s="137" t="s">
        <v>1275</v>
      </c>
      <c r="U2" s="137" t="s">
        <v>1276</v>
      </c>
      <c r="V2" s="137" t="s">
        <v>1277</v>
      </c>
    </row>
    <row r="3" spans="2:25">
      <c r="C3" s="2">
        <v>1</v>
      </c>
      <c r="D3" s="2">
        <f>'[2]4、人物躶体&amp;总属性表'!F5</f>
        <v>191.42640000000003</v>
      </c>
      <c r="E3" s="9">
        <f>Q3</f>
        <v>99.068315759458088</v>
      </c>
      <c r="F3" s="9">
        <f>E3*2</f>
        <v>198.13663151891618</v>
      </c>
      <c r="G3" s="9">
        <f>E3</f>
        <v>99.068315759458088</v>
      </c>
      <c r="H3" s="9">
        <f>G3*2</f>
        <v>198.13663151891618</v>
      </c>
      <c r="I3" s="2">
        <f>E3/60/60/1.5</f>
        <v>1.8345984399899647E-2</v>
      </c>
      <c r="J3">
        <f>I3</f>
        <v>1.8345984399899647E-2</v>
      </c>
      <c r="P3">
        <f>$R$3*C3^1.5</f>
        <v>100</v>
      </c>
      <c r="Q3">
        <f>90*EXP(C3*0.096)</f>
        <v>99.068315759458088</v>
      </c>
      <c r="R3" s="93">
        <v>100</v>
      </c>
      <c r="S3" s="8">
        <f t="shared" ref="S3:S28" si="0">$Y$8*($Y$7+$Y$3*C3^1+$Y$4*C3^2+$Y$5*C3^3+$Y$6*C3^4)</f>
        <v>2.0018004583053545E-2</v>
      </c>
      <c r="T3" s="8">
        <f>SUM($S$3:S3)</f>
        <v>2.0018004583053545E-2</v>
      </c>
      <c r="U3" s="8">
        <v>200</v>
      </c>
      <c r="V3" s="8">
        <f>U3</f>
        <v>200</v>
      </c>
      <c r="W3" s="8">
        <v>1</v>
      </c>
      <c r="X3" s="4" t="s">
        <v>1268</v>
      </c>
      <c r="Y3" s="136"/>
    </row>
    <row r="4" spans="2:25">
      <c r="B4">
        <f>U4/(D4-D3)</f>
        <v>13.012820512820541</v>
      </c>
      <c r="C4" s="2">
        <v>2</v>
      </c>
      <c r="D4" s="2">
        <f>'[2]4、人物躶体&amp;总属性表'!F6</f>
        <v>207.0264</v>
      </c>
      <c r="E4" s="9">
        <f t="shared" ref="E4:E67" si="1">Q4</f>
        <v>109.05034652684104</v>
      </c>
      <c r="F4" s="9">
        <f t="shared" ref="F4:F67" si="2">E4*2</f>
        <v>218.10069305368208</v>
      </c>
      <c r="G4" s="9">
        <f>SUM($E$3:E4)</f>
        <v>208.11866228629913</v>
      </c>
      <c r="H4" s="9">
        <f t="shared" ref="H4:H67" si="3">G4*2</f>
        <v>416.23732457259825</v>
      </c>
      <c r="I4" s="2">
        <f t="shared" ref="I4:I67" si="4">E4/60/60/1.5</f>
        <v>2.0194508616081675E-2</v>
      </c>
      <c r="J4">
        <f>J3+I4</f>
        <v>3.8540493015981322E-2</v>
      </c>
      <c r="P4">
        <f t="shared" ref="P4:P67" si="5">$R$3*C4^1.5</f>
        <v>282.84271247461896</v>
      </c>
      <c r="Q4">
        <f t="shared" ref="Q4:Q67" si="6">90*EXP(C4*0.096)</f>
        <v>109.05034652684104</v>
      </c>
      <c r="S4" s="8">
        <f t="shared" si="0"/>
        <v>2.0147851361693975E-2</v>
      </c>
      <c r="T4" s="8">
        <f>SUM($S$3:S4)</f>
        <v>4.0165855944747517E-2</v>
      </c>
      <c r="U4" s="8">
        <f t="shared" ref="U4:U67" si="7">INT(S4*60*60*2.8)</f>
        <v>203</v>
      </c>
      <c r="V4" s="8">
        <f>V3+U4</f>
        <v>403</v>
      </c>
      <c r="W4" s="8">
        <v>2</v>
      </c>
      <c r="X4" s="4" t="s">
        <v>1269</v>
      </c>
      <c r="Y4" s="136">
        <v>0</v>
      </c>
    </row>
    <row r="5" spans="2:25">
      <c r="B5">
        <f t="shared" ref="B5:B68" si="8">U5/(D5-D4)</f>
        <v>13.205128205128187</v>
      </c>
      <c r="C5" s="2">
        <v>3</v>
      </c>
      <c r="D5" s="2">
        <f>'[2]4、人物躶体&amp;总属性表'!F7</f>
        <v>222.62640000000002</v>
      </c>
      <c r="E5" s="9">
        <f t="shared" si="1"/>
        <v>120.0381573711046</v>
      </c>
      <c r="F5" s="9">
        <f t="shared" si="2"/>
        <v>240.07631474220921</v>
      </c>
      <c r="G5" s="9">
        <f>SUM($E$3:E5)</f>
        <v>328.15681965740373</v>
      </c>
      <c r="H5" s="9">
        <f t="shared" si="3"/>
        <v>656.31363931480746</v>
      </c>
      <c r="I5" s="2">
        <f t="shared" si="4"/>
        <v>2.2229288402056412E-2</v>
      </c>
      <c r="J5">
        <f t="shared" ref="J5:J68" si="9">J4+I5</f>
        <v>6.0769781418037738E-2</v>
      </c>
      <c r="P5">
        <f>$R$3*C5^1.5</f>
        <v>519.6152422706632</v>
      </c>
      <c r="Q5">
        <f t="shared" si="6"/>
        <v>120.0381573711046</v>
      </c>
      <c r="S5" s="8">
        <f t="shared" si="0"/>
        <v>2.0511872948988649E-2</v>
      </c>
      <c r="T5" s="8">
        <f>SUM($S$3:S5)</f>
        <v>6.0677728893736169E-2</v>
      </c>
      <c r="U5" s="8">
        <f t="shared" si="7"/>
        <v>206</v>
      </c>
      <c r="V5" s="8">
        <f t="shared" ref="V5:V68" si="10">V4+U5</f>
        <v>609</v>
      </c>
      <c r="W5" s="8">
        <v>3</v>
      </c>
      <c r="X5" s="4" t="s">
        <v>1270</v>
      </c>
      <c r="Y5" s="136">
        <f>2^-15.8</f>
        <v>1.7527745895340508E-5</v>
      </c>
    </row>
    <row r="6" spans="2:25">
      <c r="B6">
        <f t="shared" si="8"/>
        <v>13.717948717948723</v>
      </c>
      <c r="C6" s="2">
        <v>4</v>
      </c>
      <c r="D6" s="2">
        <f>'[2]4、人物躶体&amp;总属性表'!F8</f>
        <v>238.22640000000001</v>
      </c>
      <c r="E6" s="9">
        <f t="shared" si="1"/>
        <v>132.13308975137906</v>
      </c>
      <c r="F6" s="9">
        <f t="shared" si="2"/>
        <v>264.26617950275812</v>
      </c>
      <c r="G6" s="9">
        <f>SUM($E$3:E6)</f>
        <v>460.28990940878282</v>
      </c>
      <c r="H6" s="9">
        <f t="shared" si="3"/>
        <v>920.57981881756564</v>
      </c>
      <c r="I6" s="2">
        <f t="shared" si="4"/>
        <v>2.4469090694699824E-2</v>
      </c>
      <c r="J6">
        <f t="shared" si="9"/>
        <v>8.5238872112737563E-2</v>
      </c>
      <c r="P6">
        <f t="shared" si="5"/>
        <v>799.99999999999977</v>
      </c>
      <c r="Q6">
        <f t="shared" si="6"/>
        <v>132.13308975137906</v>
      </c>
      <c r="S6" s="8">
        <f t="shared" si="0"/>
        <v>2.1243846049801791E-2</v>
      </c>
      <c r="T6" s="8">
        <f>SUM($S$3:S6)</f>
        <v>8.1921574943537967E-2</v>
      </c>
      <c r="U6" s="8">
        <f t="shared" si="7"/>
        <v>214</v>
      </c>
      <c r="V6" s="8">
        <f t="shared" si="10"/>
        <v>823</v>
      </c>
      <c r="W6" s="8">
        <v>4</v>
      </c>
      <c r="X6" s="4" t="s">
        <v>1273</v>
      </c>
      <c r="Y6" s="136">
        <f>2^-21</f>
        <v>4.76837158203125E-7</v>
      </c>
    </row>
    <row r="7" spans="2:25">
      <c r="B7">
        <f t="shared" si="8"/>
        <v>14.487179487179493</v>
      </c>
      <c r="C7" s="2">
        <v>5</v>
      </c>
      <c r="D7" s="2">
        <f>'[2]4、人物躶体&amp;总属性表'!F9</f>
        <v>253.82640000000001</v>
      </c>
      <c r="E7" s="9">
        <f t="shared" si="1"/>
        <v>145.44669619736041</v>
      </c>
      <c r="F7" s="9">
        <f t="shared" si="2"/>
        <v>290.89339239472082</v>
      </c>
      <c r="G7" s="9">
        <f>SUM($E$3:E7)</f>
        <v>605.73660560614326</v>
      </c>
      <c r="H7" s="9">
        <f t="shared" si="3"/>
        <v>1211.4732112122865</v>
      </c>
      <c r="I7" s="2">
        <f t="shared" si="4"/>
        <v>2.6934573369881559E-2</v>
      </c>
      <c r="J7">
        <f t="shared" si="9"/>
        <v>0.11217344548261912</v>
      </c>
      <c r="P7">
        <f t="shared" si="5"/>
        <v>1118.0339887498944</v>
      </c>
      <c r="Q7">
        <f t="shared" si="6"/>
        <v>145.44669619736041</v>
      </c>
      <c r="S7" s="8">
        <f t="shared" si="0"/>
        <v>2.2488991460794517E-2</v>
      </c>
      <c r="T7" s="8">
        <f>SUM($S$3:S7)</f>
        <v>0.10441056640433248</v>
      </c>
      <c r="U7" s="8">
        <f t="shared" si="7"/>
        <v>226</v>
      </c>
      <c r="V7" s="8">
        <f t="shared" si="10"/>
        <v>1049</v>
      </c>
      <c r="W7" s="8">
        <v>5</v>
      </c>
      <c r="X7" s="4" t="s">
        <v>1271</v>
      </c>
      <c r="Y7" s="136">
        <v>0.02</v>
      </c>
    </row>
    <row r="8" spans="2:25">
      <c r="B8">
        <f t="shared" si="8"/>
        <v>15.705128205128212</v>
      </c>
      <c r="C8" s="2">
        <v>6</v>
      </c>
      <c r="D8" s="2">
        <f>'[2]4、人物躶体&amp;总属性表'!F10</f>
        <v>269.4264</v>
      </c>
      <c r="E8" s="9">
        <f t="shared" si="1"/>
        <v>160.10176916722307</v>
      </c>
      <c r="F8" s="9">
        <f t="shared" si="2"/>
        <v>320.20353833444614</v>
      </c>
      <c r="G8" s="9">
        <f>SUM($E$3:E8)</f>
        <v>765.83837477336635</v>
      </c>
      <c r="H8" s="9">
        <f t="shared" si="3"/>
        <v>1531.6767495467327</v>
      </c>
      <c r="I8" s="2">
        <f t="shared" si="4"/>
        <v>2.9648475771707979E-2</v>
      </c>
      <c r="J8">
        <f t="shared" si="9"/>
        <v>0.1418219212543271</v>
      </c>
      <c r="P8">
        <f t="shared" si="5"/>
        <v>1469.693845669907</v>
      </c>
      <c r="Q8">
        <f t="shared" si="6"/>
        <v>160.10176916722307</v>
      </c>
      <c r="S8" s="8">
        <f t="shared" si="0"/>
        <v>2.44039740704248E-2</v>
      </c>
      <c r="T8" s="8">
        <f>SUM($S$3:S8)</f>
        <v>0.12881454047475727</v>
      </c>
      <c r="U8" s="8">
        <f t="shared" si="7"/>
        <v>245</v>
      </c>
      <c r="V8" s="8">
        <f t="shared" si="10"/>
        <v>1294</v>
      </c>
      <c r="W8" s="8">
        <v>6</v>
      </c>
      <c r="X8" s="4" t="s">
        <v>1272</v>
      </c>
      <c r="Y8" s="136">
        <v>1</v>
      </c>
    </row>
    <row r="9" spans="2:25">
      <c r="B9">
        <f t="shared" si="8"/>
        <v>17.499999999999975</v>
      </c>
      <c r="C9" s="2">
        <v>7</v>
      </c>
      <c r="D9" s="2">
        <f>'[2]4、人物躶体&amp;总属性表'!F11</f>
        <v>285.02640000000002</v>
      </c>
      <c r="E9" s="9">
        <f t="shared" si="1"/>
        <v>176.23347357229252</v>
      </c>
      <c r="F9" s="9">
        <f t="shared" si="2"/>
        <v>352.46694714458505</v>
      </c>
      <c r="G9" s="9">
        <f>SUM($E$3:E9)</f>
        <v>942.07184834565885</v>
      </c>
      <c r="H9" s="9">
        <f t="shared" si="3"/>
        <v>1884.1436966913177</v>
      </c>
      <c r="I9" s="2">
        <f t="shared" si="4"/>
        <v>3.2635828439313432E-2</v>
      </c>
      <c r="J9">
        <f t="shared" si="9"/>
        <v>0.17445774969364053</v>
      </c>
      <c r="P9">
        <f t="shared" si="5"/>
        <v>1852.0259177452128</v>
      </c>
      <c r="Q9">
        <f t="shared" si="6"/>
        <v>176.23347357229252</v>
      </c>
      <c r="S9" s="8">
        <f t="shared" si="0"/>
        <v>2.7156902858947497E-2</v>
      </c>
      <c r="T9" s="8">
        <f>SUM($S$3:S9)</f>
        <v>0.15597144333370477</v>
      </c>
      <c r="U9" s="8">
        <f t="shared" si="7"/>
        <v>273</v>
      </c>
      <c r="V9" s="8">
        <f t="shared" si="10"/>
        <v>1567</v>
      </c>
      <c r="W9" s="8">
        <v>7</v>
      </c>
    </row>
    <row r="10" spans="2:25">
      <c r="B10">
        <f t="shared" si="8"/>
        <v>19.935897435897481</v>
      </c>
      <c r="C10" s="2">
        <v>8</v>
      </c>
      <c r="D10" s="2">
        <f>'[2]4、人物躶体&amp;总属性表'!F12</f>
        <v>300.62639999999999</v>
      </c>
      <c r="E10" s="9">
        <f t="shared" si="1"/>
        <v>193.99059341384435</v>
      </c>
      <c r="F10" s="9">
        <f t="shared" si="2"/>
        <v>387.9811868276887</v>
      </c>
      <c r="G10" s="9">
        <f>SUM($E$3:E10)</f>
        <v>1136.0624417595031</v>
      </c>
      <c r="H10" s="9">
        <f t="shared" si="3"/>
        <v>2272.1248835190063</v>
      </c>
      <c r="I10" s="2">
        <f t="shared" si="4"/>
        <v>3.5924183965526733E-2</v>
      </c>
      <c r="J10">
        <f t="shared" si="9"/>
        <v>0.21038193365916727</v>
      </c>
      <c r="P10">
        <f t="shared" si="5"/>
        <v>2262.7416997969508</v>
      </c>
      <c r="Q10">
        <f t="shared" si="6"/>
        <v>193.99059341384435</v>
      </c>
      <c r="S10" s="8">
        <f t="shared" si="0"/>
        <v>3.0927330898414339E-2</v>
      </c>
      <c r="T10" s="8">
        <f>SUM($S$3:S10)</f>
        <v>0.18689877423211912</v>
      </c>
      <c r="U10" s="8">
        <f t="shared" si="7"/>
        <v>311</v>
      </c>
      <c r="V10" s="8">
        <f t="shared" si="10"/>
        <v>1878</v>
      </c>
      <c r="W10" s="8">
        <v>8</v>
      </c>
    </row>
    <row r="11" spans="2:25">
      <c r="B11">
        <f t="shared" si="8"/>
        <v>23.141025641025607</v>
      </c>
      <c r="C11" s="2">
        <v>9</v>
      </c>
      <c r="D11" s="2">
        <f>'[2]4、人物躶体&amp;总属性表'!F13</f>
        <v>316.22640000000001</v>
      </c>
      <c r="E11" s="9">
        <f t="shared" si="1"/>
        <v>213.53690402985981</v>
      </c>
      <c r="F11" s="9">
        <f t="shared" si="2"/>
        <v>427.07380805971962</v>
      </c>
      <c r="G11" s="9">
        <f>SUM($E$3:E11)</f>
        <v>1349.599345789363</v>
      </c>
      <c r="H11" s="9">
        <f t="shared" si="3"/>
        <v>2699.1986915787261</v>
      </c>
      <c r="I11" s="2">
        <f t="shared" si="4"/>
        <v>3.9543871116640705E-2</v>
      </c>
      <c r="J11">
        <f t="shared" si="9"/>
        <v>0.24992580477580797</v>
      </c>
      <c r="P11">
        <f t="shared" si="5"/>
        <v>2700</v>
      </c>
      <c r="Q11">
        <f t="shared" si="6"/>
        <v>213.53690402985981</v>
      </c>
      <c r="S11" s="8">
        <f t="shared" si="0"/>
        <v>3.590625535267393E-2</v>
      </c>
      <c r="T11" s="8">
        <f>SUM($S$3:S11)</f>
        <v>0.22280502958479304</v>
      </c>
      <c r="U11" s="8">
        <f t="shared" si="7"/>
        <v>361</v>
      </c>
      <c r="V11" s="8">
        <f t="shared" si="10"/>
        <v>2239</v>
      </c>
      <c r="W11" s="8">
        <v>9</v>
      </c>
    </row>
    <row r="12" spans="2:25">
      <c r="B12">
        <f t="shared" si="8"/>
        <v>27.307692307692268</v>
      </c>
      <c r="C12" s="2">
        <v>10</v>
      </c>
      <c r="D12" s="2">
        <f>'[2]4、人物躶体&amp;总属性表'!F14</f>
        <v>331.82640000000004</v>
      </c>
      <c r="E12" s="9">
        <f t="shared" si="1"/>
        <v>235.0526826080806</v>
      </c>
      <c r="F12" s="9">
        <f t="shared" si="2"/>
        <v>470.1053652161612</v>
      </c>
      <c r="G12" s="9">
        <f>SUM($E$3:E12)</f>
        <v>1584.6520283974437</v>
      </c>
      <c r="H12" s="9">
        <f t="shared" si="3"/>
        <v>3169.3040567948874</v>
      </c>
      <c r="I12" s="2">
        <f t="shared" si="4"/>
        <v>4.3528274557051966E-2</v>
      </c>
      <c r="J12">
        <f t="shared" si="9"/>
        <v>0.29345407933285994</v>
      </c>
      <c r="P12">
        <f t="shared" si="5"/>
        <v>3162.2776601683804</v>
      </c>
      <c r="Q12">
        <f t="shared" si="6"/>
        <v>235.0526826080806</v>
      </c>
      <c r="S12" s="8">
        <f t="shared" si="0"/>
        <v>4.2296117477371761E-2</v>
      </c>
      <c r="T12" s="8">
        <f>SUM($S$3:S12)</f>
        <v>0.26510114706216481</v>
      </c>
      <c r="U12" s="8">
        <f t="shared" si="7"/>
        <v>426</v>
      </c>
      <c r="V12" s="8">
        <f t="shared" si="10"/>
        <v>2665</v>
      </c>
      <c r="W12" s="8">
        <v>10</v>
      </c>
    </row>
    <row r="13" spans="2:25">
      <c r="B13">
        <f t="shared" si="8"/>
        <v>32.500000000000192</v>
      </c>
      <c r="C13" s="2">
        <v>11</v>
      </c>
      <c r="D13" s="2">
        <f>'[2]4、人物躶体&amp;总属性表'!F15</f>
        <v>347.42639999999994</v>
      </c>
      <c r="E13" s="9">
        <f t="shared" si="1"/>
        <v>258.73637089694461</v>
      </c>
      <c r="F13" s="9">
        <f t="shared" si="2"/>
        <v>517.47274179388921</v>
      </c>
      <c r="G13" s="9">
        <f>SUM($E$3:E13)</f>
        <v>1843.3883992943884</v>
      </c>
      <c r="H13" s="9">
        <f t="shared" si="3"/>
        <v>3686.7767985887767</v>
      </c>
      <c r="I13" s="2">
        <f t="shared" si="4"/>
        <v>4.7914142758693441E-2</v>
      </c>
      <c r="J13">
        <f t="shared" si="9"/>
        <v>0.34136822209155337</v>
      </c>
      <c r="P13">
        <f t="shared" si="5"/>
        <v>3648.2872693909408</v>
      </c>
      <c r="Q13">
        <f t="shared" si="6"/>
        <v>258.73637089694461</v>
      </c>
      <c r="S13" s="8">
        <f t="shared" si="0"/>
        <v>5.0310802619950169E-2</v>
      </c>
      <c r="T13" s="8">
        <f>SUM($S$3:S13)</f>
        <v>0.315411949682115</v>
      </c>
      <c r="U13" s="8">
        <f t="shared" si="7"/>
        <v>507</v>
      </c>
      <c r="V13" s="8">
        <f t="shared" si="10"/>
        <v>3172</v>
      </c>
      <c r="W13" s="8">
        <v>11</v>
      </c>
    </row>
    <row r="14" spans="2:25">
      <c r="B14">
        <f t="shared" si="8"/>
        <v>38.846153846153648</v>
      </c>
      <c r="C14" s="2">
        <v>12</v>
      </c>
      <c r="D14" s="2">
        <f>'[2]4、人物躶体&amp;总属性表'!F16</f>
        <v>363.02640000000002</v>
      </c>
      <c r="E14" s="9">
        <f t="shared" si="1"/>
        <v>284.80640544971976</v>
      </c>
      <c r="F14" s="9">
        <f t="shared" si="2"/>
        <v>569.61281089943952</v>
      </c>
      <c r="G14" s="9">
        <f>SUM($E$3:E14)</f>
        <v>2128.1948047441083</v>
      </c>
      <c r="H14" s="9">
        <f t="shared" si="3"/>
        <v>4256.3896094882166</v>
      </c>
      <c r="I14" s="2">
        <f t="shared" si="4"/>
        <v>5.2741926935133292E-2</v>
      </c>
      <c r="J14">
        <f t="shared" si="9"/>
        <v>0.39411014902668667</v>
      </c>
      <c r="P14">
        <f t="shared" si="5"/>
        <v>4156.9219381653074</v>
      </c>
      <c r="Q14">
        <f t="shared" si="6"/>
        <v>284.80640544971976</v>
      </c>
      <c r="S14" s="8">
        <f t="shared" si="0"/>
        <v>6.0175640219648399E-2</v>
      </c>
      <c r="T14" s="8">
        <f>SUM($S$3:S14)</f>
        <v>0.37558758990176339</v>
      </c>
      <c r="U14" s="8">
        <f t="shared" si="7"/>
        <v>606</v>
      </c>
      <c r="V14" s="8">
        <f t="shared" si="10"/>
        <v>3778</v>
      </c>
      <c r="W14" s="8">
        <v>12</v>
      </c>
    </row>
    <row r="15" spans="2:25">
      <c r="B15">
        <f t="shared" si="8"/>
        <v>46.602564102564202</v>
      </c>
      <c r="C15" s="2">
        <v>13</v>
      </c>
      <c r="D15" s="2">
        <f>'[2]4、人物躶体&amp;总属性表'!F17</f>
        <v>378.62639999999999</v>
      </c>
      <c r="E15" s="9">
        <f t="shared" si="1"/>
        <v>313.5032322823231</v>
      </c>
      <c r="F15" s="9">
        <f t="shared" si="2"/>
        <v>627.00646456464619</v>
      </c>
      <c r="G15" s="9">
        <f>SUM($E$3:E15)</f>
        <v>2441.6980370264314</v>
      </c>
      <c r="H15" s="9">
        <f t="shared" si="3"/>
        <v>4883.3960740528628</v>
      </c>
      <c r="I15" s="2">
        <f t="shared" si="4"/>
        <v>5.8056154126356126E-2</v>
      </c>
      <c r="J15">
        <f t="shared" si="9"/>
        <v>0.45216630315304279</v>
      </c>
      <c r="P15">
        <f t="shared" si="5"/>
        <v>4687.216658103187</v>
      </c>
      <c r="Q15">
        <f t="shared" si="6"/>
        <v>313.5032322823231</v>
      </c>
      <c r="S15" s="8">
        <f t="shared" si="0"/>
        <v>7.2127403807502544E-2</v>
      </c>
      <c r="T15" s="8">
        <f>SUM($S$3:S15)</f>
        <v>0.44771499370926593</v>
      </c>
      <c r="U15" s="8">
        <f t="shared" si="7"/>
        <v>727</v>
      </c>
      <c r="V15" s="8">
        <f t="shared" si="10"/>
        <v>4505</v>
      </c>
      <c r="W15" s="8">
        <v>13</v>
      </c>
    </row>
    <row r="16" spans="2:25">
      <c r="B16">
        <f t="shared" si="8"/>
        <v>55.83333333333325</v>
      </c>
      <c r="C16" s="2">
        <v>14</v>
      </c>
      <c r="D16" s="2">
        <f>'[2]4、人物躶体&amp;总属性表'!F18</f>
        <v>394.22640000000001</v>
      </c>
      <c r="E16" s="9">
        <f t="shared" si="1"/>
        <v>345.09152452617695</v>
      </c>
      <c r="F16" s="9">
        <f t="shared" si="2"/>
        <v>690.18304905235391</v>
      </c>
      <c r="G16" s="9">
        <f>SUM($E$3:E16)</f>
        <v>2786.7895615526086</v>
      </c>
      <c r="H16" s="9">
        <f t="shared" si="3"/>
        <v>5573.5791231052171</v>
      </c>
      <c r="I16" s="2">
        <f t="shared" si="4"/>
        <v>6.3905837875217947E-2</v>
      </c>
      <c r="J16">
        <f t="shared" si="9"/>
        <v>0.51607214102826071</v>
      </c>
      <c r="P16">
        <f t="shared" si="5"/>
        <v>5238.3203414835152</v>
      </c>
      <c r="Q16">
        <f t="shared" si="6"/>
        <v>345.09152452617695</v>
      </c>
      <c r="S16" s="8">
        <f t="shared" si="0"/>
        <v>8.6414311006345598E-2</v>
      </c>
      <c r="T16" s="8">
        <f>SUM($S$3:S16)</f>
        <v>0.53412930471561149</v>
      </c>
      <c r="U16" s="8">
        <f t="shared" si="7"/>
        <v>871</v>
      </c>
      <c r="V16" s="8">
        <f t="shared" si="10"/>
        <v>5376</v>
      </c>
      <c r="W16" s="8">
        <v>14</v>
      </c>
    </row>
    <row r="17" spans="2:25">
      <c r="B17">
        <f t="shared" si="8"/>
        <v>66.730769230769383</v>
      </c>
      <c r="C17" s="2">
        <v>15</v>
      </c>
      <c r="D17" s="2">
        <f>'[2]4、人物躶体&amp;总属性表'!F19</f>
        <v>409.82639999999998</v>
      </c>
      <c r="E17" s="9">
        <f t="shared" si="1"/>
        <v>379.8626235296897</v>
      </c>
      <c r="F17" s="9">
        <f t="shared" si="2"/>
        <v>759.7252470593794</v>
      </c>
      <c r="G17" s="9">
        <f>SUM($E$3:E17)</f>
        <v>3166.6521850822983</v>
      </c>
      <c r="H17" s="9">
        <f t="shared" si="3"/>
        <v>6333.3043701645965</v>
      </c>
      <c r="I17" s="2">
        <f t="shared" si="4"/>
        <v>7.0344930283275861E-2</v>
      </c>
      <c r="J17">
        <f t="shared" si="9"/>
        <v>0.58641707131153653</v>
      </c>
      <c r="P17">
        <f t="shared" si="5"/>
        <v>5809.475019311124</v>
      </c>
      <c r="Q17">
        <f t="shared" si="6"/>
        <v>379.8626235296897</v>
      </c>
      <c r="S17" s="8">
        <f t="shared" si="0"/>
        <v>0.10329602353080741</v>
      </c>
      <c r="T17" s="8">
        <f>SUM($S$3:S17)</f>
        <v>0.63742532824641884</v>
      </c>
      <c r="U17" s="8">
        <f t="shared" si="7"/>
        <v>1041</v>
      </c>
      <c r="V17" s="8">
        <f t="shared" si="10"/>
        <v>6417</v>
      </c>
      <c r="W17" s="8">
        <v>15</v>
      </c>
    </row>
    <row r="18" spans="2:25">
      <c r="B18">
        <f t="shared" si="8"/>
        <v>79.487179487179375</v>
      </c>
      <c r="C18" s="2">
        <v>16</v>
      </c>
      <c r="D18" s="2">
        <f>'[2]4、人物躶体&amp;总属性表'!F20</f>
        <v>425.4264</v>
      </c>
      <c r="E18" s="9">
        <f t="shared" si="1"/>
        <v>418.13722592283847</v>
      </c>
      <c r="F18" s="9">
        <f t="shared" si="2"/>
        <v>836.27445184567694</v>
      </c>
      <c r="G18" s="9">
        <f>SUM($E$3:E18)</f>
        <v>3584.7894110051366</v>
      </c>
      <c r="H18" s="9">
        <f t="shared" si="3"/>
        <v>7169.5788220102731</v>
      </c>
      <c r="I18" s="2">
        <f t="shared" si="4"/>
        <v>7.7432819615340459E-2</v>
      </c>
      <c r="J18">
        <f t="shared" si="9"/>
        <v>0.66384989092687696</v>
      </c>
      <c r="P18">
        <f t="shared" si="5"/>
        <v>6399.9999999999982</v>
      </c>
      <c r="Q18">
        <f t="shared" si="6"/>
        <v>418.13722592283847</v>
      </c>
      <c r="S18" s="8">
        <f t="shared" si="0"/>
        <v>0.12304364718731473</v>
      </c>
      <c r="T18" s="8">
        <f>SUM($S$3:S18)</f>
        <v>0.7604689754337336</v>
      </c>
      <c r="U18" s="8">
        <f t="shared" si="7"/>
        <v>1240</v>
      </c>
      <c r="V18" s="8">
        <f t="shared" si="10"/>
        <v>7657</v>
      </c>
      <c r="W18" s="8">
        <v>16</v>
      </c>
    </row>
    <row r="19" spans="2:25">
      <c r="B19">
        <f t="shared" si="8"/>
        <v>94.294871794871653</v>
      </c>
      <c r="C19" s="2">
        <v>17</v>
      </c>
      <c r="D19" s="2">
        <f>'[2]4、人物躶体&amp;总属性表'!F21</f>
        <v>441.02640000000002</v>
      </c>
      <c r="E19" s="9">
        <f t="shared" si="1"/>
        <v>460.26834142786265</v>
      </c>
      <c r="F19" s="9">
        <f t="shared" si="2"/>
        <v>920.5366828557253</v>
      </c>
      <c r="G19" s="9">
        <f>SUM($E$3:E19)</f>
        <v>4045.0577524329992</v>
      </c>
      <c r="H19" s="9">
        <f t="shared" si="3"/>
        <v>8090.1155048659984</v>
      </c>
      <c r="I19" s="2">
        <f t="shared" si="4"/>
        <v>8.5234878042196774E-2</v>
      </c>
      <c r="J19">
        <f t="shared" si="9"/>
        <v>0.74908476896907372</v>
      </c>
      <c r="P19">
        <f t="shared" si="5"/>
        <v>7009.279563550027</v>
      </c>
      <c r="Q19">
        <f t="shared" si="6"/>
        <v>460.26834142786265</v>
      </c>
      <c r="S19" s="8">
        <f t="shared" si="0"/>
        <v>0.14593973187409112</v>
      </c>
      <c r="T19" s="8">
        <f>SUM($S$3:S19)</f>
        <v>0.90640870730782475</v>
      </c>
      <c r="U19" s="8">
        <f t="shared" si="7"/>
        <v>1471</v>
      </c>
      <c r="V19" s="8">
        <f t="shared" si="10"/>
        <v>9128</v>
      </c>
      <c r="W19" s="8">
        <v>17</v>
      </c>
    </row>
    <row r="20" spans="2:25">
      <c r="B20">
        <f t="shared" si="8"/>
        <v>111.28205128205072</v>
      </c>
      <c r="C20" s="2">
        <v>18</v>
      </c>
      <c r="D20" s="2">
        <f>'[2]4、人物躶体&amp;总属性表'!F22</f>
        <v>456.6264000000001</v>
      </c>
      <c r="E20" s="9">
        <f t="shared" si="1"/>
        <v>506.64454869619516</v>
      </c>
      <c r="F20" s="9">
        <f t="shared" si="2"/>
        <v>1013.2890973923903</v>
      </c>
      <c r="G20" s="9">
        <f>SUM($E$3:E20)</f>
        <v>4551.702301129194</v>
      </c>
      <c r="H20" s="9">
        <f t="shared" si="3"/>
        <v>9103.404602258388</v>
      </c>
      <c r="I20" s="2">
        <f t="shared" si="4"/>
        <v>9.3823064573369475E-2</v>
      </c>
      <c r="J20">
        <f t="shared" si="9"/>
        <v>0.84290783354244314</v>
      </c>
      <c r="P20">
        <f t="shared" si="5"/>
        <v>7636.7532368147085</v>
      </c>
      <c r="Q20">
        <f t="shared" si="6"/>
        <v>506.64454869619516</v>
      </c>
      <c r="S20" s="8">
        <f t="shared" si="0"/>
        <v>0.17227827158115711</v>
      </c>
      <c r="T20" s="8">
        <f>SUM($S$3:S20)</f>
        <v>1.0786869788889819</v>
      </c>
      <c r="U20" s="8">
        <f t="shared" si="7"/>
        <v>1736</v>
      </c>
      <c r="V20" s="8">
        <f t="shared" si="10"/>
        <v>10864</v>
      </c>
      <c r="W20" s="8">
        <v>18</v>
      </c>
    </row>
    <row r="21" spans="2:25">
      <c r="B21">
        <f t="shared" si="8"/>
        <v>130.70512820512801</v>
      </c>
      <c r="C21" s="2">
        <v>19</v>
      </c>
      <c r="D21" s="2">
        <f>'[2]4、人物躶体&amp;总属性表'!F23</f>
        <v>472.22640000000013</v>
      </c>
      <c r="E21" s="9">
        <f t="shared" si="1"/>
        <v>557.69357920047571</v>
      </c>
      <c r="F21" s="9">
        <f t="shared" si="2"/>
        <v>1115.3871584009514</v>
      </c>
      <c r="G21" s="9">
        <f>SUM($E$3:E21)</f>
        <v>5109.39588032967</v>
      </c>
      <c r="H21" s="9">
        <f t="shared" si="3"/>
        <v>10218.79176065934</v>
      </c>
      <c r="I21" s="2">
        <f t="shared" si="4"/>
        <v>0.10327658874082885</v>
      </c>
      <c r="J21">
        <f t="shared" si="9"/>
        <v>0.94618442228327204</v>
      </c>
      <c r="P21">
        <f t="shared" si="5"/>
        <v>8281.907992727276</v>
      </c>
      <c r="Q21">
        <f t="shared" si="6"/>
        <v>557.69357920047571</v>
      </c>
      <c r="S21" s="8">
        <f t="shared" si="0"/>
        <v>0.20236470439033</v>
      </c>
      <c r="T21" s="8">
        <f>SUM($S$3:S21)</f>
        <v>1.281051683279312</v>
      </c>
      <c r="U21" s="8">
        <f t="shared" si="7"/>
        <v>2039</v>
      </c>
      <c r="V21" s="8">
        <f t="shared" si="10"/>
        <v>12903</v>
      </c>
      <c r="W21" s="8">
        <v>19</v>
      </c>
    </row>
    <row r="22" spans="2:25">
      <c r="B22">
        <f t="shared" si="8"/>
        <v>152.8205128205137</v>
      </c>
      <c r="C22" s="2">
        <v>20</v>
      </c>
      <c r="D22" s="2">
        <f>'[2]4、人物躶体&amp;总属性表'!F24</f>
        <v>487.82640000000004</v>
      </c>
      <c r="E22" s="9">
        <f t="shared" si="1"/>
        <v>613.88626223616745</v>
      </c>
      <c r="F22" s="9">
        <f t="shared" si="2"/>
        <v>1227.7725244723349</v>
      </c>
      <c r="G22" s="9">
        <f>SUM($E$3:E22)</f>
        <v>5723.2821425658376</v>
      </c>
      <c r="H22" s="9">
        <f t="shared" si="3"/>
        <v>11446.564285131675</v>
      </c>
      <c r="I22" s="2">
        <f t="shared" si="4"/>
        <v>0.11368264115484583</v>
      </c>
      <c r="J22">
        <f t="shared" si="9"/>
        <v>1.059867063438118</v>
      </c>
      <c r="P22">
        <f t="shared" si="5"/>
        <v>8944.2719099991591</v>
      </c>
      <c r="Q22">
        <f t="shared" si="6"/>
        <v>613.88626223616745</v>
      </c>
      <c r="S22" s="8">
        <f t="shared" si="0"/>
        <v>0.23651591247522405</v>
      </c>
      <c r="T22" s="8">
        <f>SUM($S$3:S22)</f>
        <v>1.517567595754536</v>
      </c>
      <c r="U22" s="8">
        <f t="shared" si="7"/>
        <v>2384</v>
      </c>
      <c r="V22" s="8">
        <f t="shared" si="10"/>
        <v>15287</v>
      </c>
      <c r="W22" s="8">
        <v>20</v>
      </c>
    </row>
    <row r="23" spans="2:25">
      <c r="B23">
        <f t="shared" si="8"/>
        <v>177.69230769230742</v>
      </c>
      <c r="C23" s="2">
        <v>21</v>
      </c>
      <c r="D23" s="2">
        <f>'[2]4、人物躶体&amp;总属性表'!F25</f>
        <v>503.42640000000006</v>
      </c>
      <c r="E23" s="9">
        <f t="shared" si="1"/>
        <v>675.74086741784595</v>
      </c>
      <c r="F23" s="9">
        <f t="shared" si="2"/>
        <v>1351.4817348356919</v>
      </c>
      <c r="G23" s="9">
        <f>SUM($E$3:E23)</f>
        <v>6399.0230099836836</v>
      </c>
      <c r="H23" s="9">
        <f t="shared" si="3"/>
        <v>12798.046019967367</v>
      </c>
      <c r="I23" s="2">
        <f t="shared" si="4"/>
        <v>0.12513719766997147</v>
      </c>
      <c r="J23">
        <f t="shared" si="9"/>
        <v>1.1850042611080895</v>
      </c>
      <c r="P23">
        <f t="shared" si="5"/>
        <v>9623.4089594072666</v>
      </c>
      <c r="Q23">
        <f t="shared" si="6"/>
        <v>675.74086741784595</v>
      </c>
      <c r="S23" s="8">
        <f t="shared" si="0"/>
        <v>0.27506022210125036</v>
      </c>
      <c r="T23" s="8">
        <f>SUM($S$3:S23)</f>
        <v>1.7926278178557864</v>
      </c>
      <c r="U23" s="8">
        <f t="shared" si="7"/>
        <v>2772</v>
      </c>
      <c r="V23" s="8">
        <f t="shared" si="10"/>
        <v>18059</v>
      </c>
      <c r="W23" s="8">
        <v>21</v>
      </c>
    </row>
    <row r="24" spans="2:25">
      <c r="B24">
        <f t="shared" si="8"/>
        <v>205.64102564102535</v>
      </c>
      <c r="C24" s="2">
        <v>22</v>
      </c>
      <c r="D24" s="2">
        <f>'[2]4、人物躶体&amp;总属性表'!F26</f>
        <v>519.02640000000008</v>
      </c>
      <c r="E24" s="9">
        <f t="shared" si="1"/>
        <v>743.82788472134769</v>
      </c>
      <c r="F24" s="9">
        <f t="shared" si="2"/>
        <v>1487.6557694426954</v>
      </c>
      <c r="G24" s="9">
        <f>SUM($E$3:E24)</f>
        <v>7142.8508947050314</v>
      </c>
      <c r="H24" s="9">
        <f t="shared" si="3"/>
        <v>14285.701789410063</v>
      </c>
      <c r="I24" s="2">
        <f t="shared" si="4"/>
        <v>0.13774590457802735</v>
      </c>
      <c r="J24">
        <f t="shared" si="9"/>
        <v>1.3227501656861169</v>
      </c>
      <c r="P24">
        <f t="shared" si="5"/>
        <v>10318.914671611548</v>
      </c>
      <c r="Q24">
        <f t="shared" si="6"/>
        <v>743.82788472134769</v>
      </c>
      <c r="S24" s="8">
        <f t="shared" si="0"/>
        <v>0.31833740362561697</v>
      </c>
      <c r="T24" s="8">
        <f>SUM($S$3:S24)</f>
        <v>2.1109652214814032</v>
      </c>
      <c r="U24" s="8">
        <f t="shared" si="7"/>
        <v>3208</v>
      </c>
      <c r="V24" s="8">
        <f t="shared" si="10"/>
        <v>21267</v>
      </c>
      <c r="W24" s="8">
        <v>22</v>
      </c>
    </row>
    <row r="25" spans="2:25">
      <c r="B25">
        <f t="shared" si="8"/>
        <v>236.92307692307486</v>
      </c>
      <c r="C25" s="2">
        <v>23</v>
      </c>
      <c r="D25" s="2">
        <f>'[2]4、人物躶体&amp;总属性表'!F27</f>
        <v>534.62640000000022</v>
      </c>
      <c r="E25" s="9">
        <f t="shared" si="1"/>
        <v>818.77528615849201</v>
      </c>
      <c r="F25" s="9">
        <f t="shared" si="2"/>
        <v>1637.550572316984</v>
      </c>
      <c r="G25" s="9">
        <f>SUM($E$3:E25)</f>
        <v>7961.6261808635236</v>
      </c>
      <c r="H25" s="9">
        <f t="shared" si="3"/>
        <v>15923.252361727047</v>
      </c>
      <c r="I25" s="2">
        <f t="shared" si="4"/>
        <v>0.15162505299231335</v>
      </c>
      <c r="J25">
        <f t="shared" si="9"/>
        <v>1.4743752186784302</v>
      </c>
      <c r="P25">
        <f t="shared" si="5"/>
        <v>11030.412503619254</v>
      </c>
      <c r="Q25">
        <f t="shared" si="6"/>
        <v>818.77528615849201</v>
      </c>
      <c r="S25" s="8">
        <f t="shared" si="0"/>
        <v>0.36669867149732865</v>
      </c>
      <c r="T25" s="8">
        <f>SUM($S$3:S25)</f>
        <v>2.477663892978732</v>
      </c>
      <c r="U25" s="8">
        <f t="shared" si="7"/>
        <v>3696</v>
      </c>
      <c r="V25" s="8">
        <f t="shared" si="10"/>
        <v>24963</v>
      </c>
      <c r="W25" s="8">
        <v>23</v>
      </c>
    </row>
    <row r="26" spans="2:25">
      <c r="B26">
        <f t="shared" si="8"/>
        <v>271.66666666666828</v>
      </c>
      <c r="C26" s="2">
        <v>24</v>
      </c>
      <c r="D26" s="2">
        <f>'[2]4、人物躶体&amp;总属性表'!F28</f>
        <v>550.22640000000013</v>
      </c>
      <c r="E26" s="9">
        <f t="shared" si="1"/>
        <v>901.27431761322396</v>
      </c>
      <c r="F26" s="9">
        <f t="shared" si="2"/>
        <v>1802.5486352264479</v>
      </c>
      <c r="G26" s="9">
        <f>SUM($E$3:E26)</f>
        <v>8862.9004984767471</v>
      </c>
      <c r="H26" s="9">
        <f t="shared" si="3"/>
        <v>17725.800996953494</v>
      </c>
      <c r="I26" s="2">
        <f t="shared" si="4"/>
        <v>0.16690265140985627</v>
      </c>
      <c r="J26">
        <f t="shared" si="9"/>
        <v>1.6412778700882864</v>
      </c>
      <c r="P26">
        <f t="shared" si="5"/>
        <v>11757.550765359259</v>
      </c>
      <c r="Q26">
        <f t="shared" si="6"/>
        <v>901.27431761322396</v>
      </c>
      <c r="S26" s="8">
        <f t="shared" si="0"/>
        <v>0.42050668425718718</v>
      </c>
      <c r="T26" s="8">
        <f>SUM($S$3:S26)</f>
        <v>2.898170577235919</v>
      </c>
      <c r="U26" s="8">
        <f t="shared" si="7"/>
        <v>4238</v>
      </c>
      <c r="V26" s="8">
        <f t="shared" si="10"/>
        <v>29201</v>
      </c>
      <c r="W26" s="8">
        <v>24</v>
      </c>
    </row>
    <row r="27" spans="2:25">
      <c r="B27">
        <f t="shared" si="8"/>
        <v>310.19230769230722</v>
      </c>
      <c r="C27" s="2">
        <v>25</v>
      </c>
      <c r="D27" s="2">
        <f>'[2]4、人物躶体&amp;总属性表'!F29</f>
        <v>565.82640000000015</v>
      </c>
      <c r="E27" s="9">
        <f t="shared" si="1"/>
        <v>992.08587425774408</v>
      </c>
      <c r="F27" s="9">
        <f t="shared" si="2"/>
        <v>1984.1717485154882</v>
      </c>
      <c r="G27" s="9">
        <f>SUM($E$3:E27)</f>
        <v>9854.9863727344909</v>
      </c>
      <c r="H27" s="9">
        <f t="shared" si="3"/>
        <v>19709.972745468982</v>
      </c>
      <c r="I27" s="2">
        <f t="shared" si="4"/>
        <v>0.1837196063440267</v>
      </c>
      <c r="J27">
        <f t="shared" si="9"/>
        <v>1.8249974764323131</v>
      </c>
      <c r="P27">
        <f t="shared" si="5"/>
        <v>12499.999999999995</v>
      </c>
      <c r="Q27">
        <f t="shared" si="6"/>
        <v>992.08587425774408</v>
      </c>
      <c r="S27" s="8">
        <f t="shared" si="0"/>
        <v>0.48013554453779117</v>
      </c>
      <c r="T27" s="8">
        <f>SUM($S$3:S27)</f>
        <v>3.37830612177371</v>
      </c>
      <c r="U27" s="8">
        <f t="shared" si="7"/>
        <v>4839</v>
      </c>
      <c r="V27" s="8">
        <f t="shared" si="10"/>
        <v>34040</v>
      </c>
      <c r="W27" s="8">
        <v>25</v>
      </c>
    </row>
    <row r="28" spans="2:25">
      <c r="B28">
        <f t="shared" si="8"/>
        <v>352.75641025640977</v>
      </c>
      <c r="C28" s="2">
        <v>26</v>
      </c>
      <c r="D28" s="2">
        <f>'[2]4、人物躶体&amp;总属性表'!F30</f>
        <v>581.42640000000017</v>
      </c>
      <c r="E28" s="9">
        <f t="shared" si="1"/>
        <v>1092.0475183496026</v>
      </c>
      <c r="F28" s="9">
        <f t="shared" si="2"/>
        <v>2184.0950366992051</v>
      </c>
      <c r="G28" s="9">
        <f>SUM($E$3:E28)</f>
        <v>10947.033891084093</v>
      </c>
      <c r="H28" s="9">
        <f t="shared" si="3"/>
        <v>21894.067782168186</v>
      </c>
      <c r="I28" s="2">
        <f t="shared" si="4"/>
        <v>0.20223102191659306</v>
      </c>
      <c r="J28">
        <f t="shared" si="9"/>
        <v>2.0272284983489062</v>
      </c>
      <c r="P28">
        <f t="shared" si="5"/>
        <v>13257.450735341246</v>
      </c>
      <c r="Q28">
        <f t="shared" si="6"/>
        <v>1092.0475183496026</v>
      </c>
      <c r="S28" s="8">
        <f t="shared" si="0"/>
        <v>0.54597079906353607</v>
      </c>
      <c r="T28" s="8">
        <f>SUM($S$3:S28)</f>
        <v>3.9242769208372463</v>
      </c>
      <c r="U28" s="8">
        <f t="shared" si="7"/>
        <v>5503</v>
      </c>
      <c r="V28" s="8">
        <f t="shared" si="10"/>
        <v>39543</v>
      </c>
      <c r="W28" s="8">
        <v>26</v>
      </c>
    </row>
    <row r="29" spans="2:25">
      <c r="B29">
        <f t="shared" si="8"/>
        <v>399.55128205128437</v>
      </c>
      <c r="C29" s="2">
        <v>27</v>
      </c>
      <c r="D29" s="2">
        <f>'[2]4、人物躶体&amp;总属性表'!F31</f>
        <v>597.02640000000008</v>
      </c>
      <c r="E29" s="9">
        <f t="shared" si="1"/>
        <v>1202.0812041354563</v>
      </c>
      <c r="F29" s="9">
        <f t="shared" si="2"/>
        <v>2404.1624082709127</v>
      </c>
      <c r="G29" s="9">
        <f>SUM($E$3:E29)</f>
        <v>12149.115095219549</v>
      </c>
      <c r="H29" s="9">
        <f t="shared" si="3"/>
        <v>24298.230190439099</v>
      </c>
      <c r="I29" s="2">
        <f t="shared" si="4"/>
        <v>0.22260763039545486</v>
      </c>
      <c r="J29">
        <f t="shared" si="9"/>
        <v>2.2498361287443611</v>
      </c>
      <c r="P29">
        <f t="shared" si="5"/>
        <v>14029.611541307906</v>
      </c>
      <c r="Q29">
        <f t="shared" si="6"/>
        <v>1202.0812041354563</v>
      </c>
      <c r="S29" s="8">
        <f t="shared" ref="S29:S92" si="11">$Y$8*($Y$7+$Y$3*C29^1+$Y$4*C29^2+$Y$5*C29^3+$Y$6*C29^4)</f>
        <v>0.61840943865061426</v>
      </c>
      <c r="T29" s="8">
        <f>SUM($S$3:S29)</f>
        <v>4.5426863594878606</v>
      </c>
      <c r="U29" s="8">
        <f t="shared" si="7"/>
        <v>6233</v>
      </c>
      <c r="V29" s="8">
        <f t="shared" si="10"/>
        <v>45776</v>
      </c>
      <c r="W29" s="8">
        <v>27</v>
      </c>
    </row>
    <row r="30" spans="2:25">
      <c r="B30">
        <f t="shared" si="8"/>
        <v>450.89743589743193</v>
      </c>
      <c r="C30" s="2">
        <v>28</v>
      </c>
      <c r="D30" s="2">
        <f>'[2]4、人物躶体&amp;总属性表'!F32</f>
        <v>612.62640000000022</v>
      </c>
      <c r="E30" s="9">
        <f t="shared" si="1"/>
        <v>1323.2017811088999</v>
      </c>
      <c r="F30" s="9">
        <f t="shared" si="2"/>
        <v>2646.4035622177998</v>
      </c>
      <c r="G30" s="9">
        <f>SUM($E$3:E30)</f>
        <v>13472.316876328448</v>
      </c>
      <c r="H30" s="9">
        <f t="shared" si="3"/>
        <v>26944.633752656897</v>
      </c>
      <c r="I30" s="2">
        <f t="shared" si="4"/>
        <v>0.24503736687201849</v>
      </c>
      <c r="J30">
        <f t="shared" si="9"/>
        <v>2.4948734956163796</v>
      </c>
      <c r="P30">
        <f t="shared" si="5"/>
        <v>14816.207341961701</v>
      </c>
      <c r="Q30">
        <f t="shared" si="6"/>
        <v>1323.2017811088999</v>
      </c>
      <c r="S30" s="8">
        <f t="shared" si="11"/>
        <v>0.69785989820701477</v>
      </c>
      <c r="T30" s="8">
        <f>SUM($S$3:S30)</f>
        <v>5.2405462576948754</v>
      </c>
      <c r="U30" s="8">
        <f t="shared" si="7"/>
        <v>7034</v>
      </c>
      <c r="V30" s="8">
        <f t="shared" si="10"/>
        <v>52810</v>
      </c>
      <c r="W30" s="8">
        <v>28</v>
      </c>
    </row>
    <row r="31" spans="2:25">
      <c r="B31">
        <f t="shared" si="8"/>
        <v>507.051282051285</v>
      </c>
      <c r="C31" s="2">
        <v>29</v>
      </c>
      <c r="D31" s="2">
        <f>'[2]4、人物躶体&amp;总属性表'!F33</f>
        <v>628.22640000000013</v>
      </c>
      <c r="E31" s="9">
        <f t="shared" si="1"/>
        <v>1456.5263540485987</v>
      </c>
      <c r="F31" s="9">
        <f t="shared" si="2"/>
        <v>2913.0527080971974</v>
      </c>
      <c r="G31" s="9">
        <f>SUM($E$3:E31)</f>
        <v>14928.843230377048</v>
      </c>
      <c r="H31" s="9">
        <f t="shared" si="3"/>
        <v>29857.686460754096</v>
      </c>
      <c r="I31" s="2">
        <f t="shared" si="4"/>
        <v>0.26972710260159238</v>
      </c>
      <c r="J31">
        <f t="shared" si="9"/>
        <v>2.7646005982179718</v>
      </c>
      <c r="P31">
        <f t="shared" si="5"/>
        <v>15616.97794069006</v>
      </c>
      <c r="Q31">
        <f t="shared" si="6"/>
        <v>1456.5263540485987</v>
      </c>
      <c r="S31" s="8">
        <f t="shared" si="11"/>
        <v>0.78474205673252406</v>
      </c>
      <c r="T31" s="8">
        <f>SUM($S$3:S31)</f>
        <v>6.0252883144273994</v>
      </c>
      <c r="U31" s="8">
        <f t="shared" si="7"/>
        <v>7910</v>
      </c>
      <c r="V31" s="8">
        <f t="shared" si="10"/>
        <v>60720</v>
      </c>
      <c r="W31" s="8">
        <v>29</v>
      </c>
    </row>
    <row r="32" spans="2:25">
      <c r="B32">
        <f t="shared" si="8"/>
        <v>378.84615384615239</v>
      </c>
      <c r="C32" s="2">
        <v>30</v>
      </c>
      <c r="D32" s="2">
        <f>'[2]4、人物躶体&amp;总属性表'!F34</f>
        <v>651.62640000000022</v>
      </c>
      <c r="E32" s="9">
        <f t="shared" si="1"/>
        <v>1603.2845861650978</v>
      </c>
      <c r="F32" s="9">
        <f t="shared" si="2"/>
        <v>3206.5691723301957</v>
      </c>
      <c r="G32" s="9">
        <f>SUM($E$3:E32)</f>
        <v>16532.127816542146</v>
      </c>
      <c r="H32" s="9">
        <f t="shared" si="3"/>
        <v>33064.255633084293</v>
      </c>
      <c r="I32" s="2">
        <f t="shared" si="4"/>
        <v>0.29690455299353663</v>
      </c>
      <c r="J32">
        <f t="shared" si="9"/>
        <v>3.0615051512115086</v>
      </c>
      <c r="P32">
        <f t="shared" si="5"/>
        <v>16431.676725154979</v>
      </c>
      <c r="Q32">
        <f t="shared" si="6"/>
        <v>1603.2845861650978</v>
      </c>
      <c r="S32" s="8">
        <f t="shared" si="11"/>
        <v>0.87948723731872502</v>
      </c>
      <c r="T32" s="8">
        <f>SUM($S$3:S32)</f>
        <v>6.9047755517461242</v>
      </c>
      <c r="U32" s="8">
        <f t="shared" si="7"/>
        <v>8865</v>
      </c>
      <c r="V32" s="8">
        <f t="shared" si="10"/>
        <v>69585</v>
      </c>
      <c r="W32" s="8">
        <v>1</v>
      </c>
      <c r="X32" s="4" t="s">
        <v>1268</v>
      </c>
      <c r="Y32" s="136">
        <f>2^-5</f>
        <v>3.125E-2</v>
      </c>
    </row>
    <row r="33" spans="2:25">
      <c r="B33">
        <f t="shared" si="8"/>
        <v>423.20512820513068</v>
      </c>
      <c r="C33" s="2">
        <v>31</v>
      </c>
      <c r="D33" s="2">
        <f>'[2]4、人物躶体&amp;总属性表'!F35</f>
        <v>675.02640000000008</v>
      </c>
      <c r="E33" s="9">
        <f t="shared" si="1"/>
        <v>1764.8300403830667</v>
      </c>
      <c r="F33" s="9">
        <f t="shared" si="2"/>
        <v>3529.6600807661334</v>
      </c>
      <c r="G33" s="9">
        <f>SUM($E$3:E33)</f>
        <v>18296.957856925212</v>
      </c>
      <c r="H33" s="9">
        <f t="shared" si="3"/>
        <v>36593.915713850423</v>
      </c>
      <c r="I33" s="2">
        <f t="shared" si="4"/>
        <v>0.32682037784871604</v>
      </c>
      <c r="J33">
        <f t="shared" si="9"/>
        <v>3.3883255290602246</v>
      </c>
      <c r="P33">
        <f t="shared" si="5"/>
        <v>17260.069524773076</v>
      </c>
      <c r="Q33">
        <f t="shared" si="6"/>
        <v>1764.8300403830667</v>
      </c>
      <c r="R33" s="135"/>
      <c r="S33" s="8">
        <f t="shared" si="11"/>
        <v>0.98253820714899731</v>
      </c>
      <c r="T33" s="8">
        <f>SUM($S$3:S33)</f>
        <v>7.8873137588951217</v>
      </c>
      <c r="U33" s="8">
        <f t="shared" si="7"/>
        <v>9903</v>
      </c>
      <c r="V33" s="8">
        <f t="shared" si="10"/>
        <v>79488</v>
      </c>
      <c r="W33" s="61">
        <v>2</v>
      </c>
      <c r="X33" s="4" t="s">
        <v>1269</v>
      </c>
      <c r="Y33" s="136">
        <f>2^-8</f>
        <v>3.90625E-3</v>
      </c>
    </row>
    <row r="34" spans="2:25">
      <c r="B34">
        <f t="shared" si="8"/>
        <v>471.41025641025232</v>
      </c>
      <c r="C34" s="2">
        <v>32</v>
      </c>
      <c r="D34" s="2">
        <f>'[2]4、人物躶体&amp;总属性表'!F36</f>
        <v>698.42640000000029</v>
      </c>
      <c r="E34" s="9">
        <f t="shared" si="1"/>
        <v>1942.652663360521</v>
      </c>
      <c r="F34" s="9">
        <f t="shared" si="2"/>
        <v>3885.3053267210421</v>
      </c>
      <c r="G34" s="9">
        <f>SUM($E$3:E34)</f>
        <v>20239.610520285732</v>
      </c>
      <c r="H34" s="9">
        <f t="shared" si="3"/>
        <v>40479.221040571465</v>
      </c>
      <c r="I34" s="2">
        <f t="shared" si="4"/>
        <v>0.35975049321491137</v>
      </c>
      <c r="J34">
        <f t="shared" si="9"/>
        <v>3.7480760222751357</v>
      </c>
      <c r="P34">
        <f t="shared" si="5"/>
        <v>18101.933598375614</v>
      </c>
      <c r="Q34">
        <f t="shared" si="6"/>
        <v>1942.652663360521</v>
      </c>
      <c r="R34" s="135"/>
      <c r="S34" s="8">
        <f t="shared" si="11"/>
        <v>1.0943491774985179</v>
      </c>
      <c r="T34" s="8">
        <f>SUM($S$3:S34)</f>
        <v>8.98166293639364</v>
      </c>
      <c r="U34" s="8">
        <f t="shared" si="7"/>
        <v>11031</v>
      </c>
      <c r="V34" s="8">
        <f t="shared" si="10"/>
        <v>90519</v>
      </c>
      <c r="W34" s="8">
        <v>3</v>
      </c>
      <c r="X34" s="4" t="s">
        <v>1270</v>
      </c>
      <c r="Y34" s="136">
        <v>0</v>
      </c>
    </row>
    <row r="35" spans="2:25">
      <c r="B35">
        <f t="shared" si="8"/>
        <v>523.547008547009</v>
      </c>
      <c r="C35" s="2">
        <v>33</v>
      </c>
      <c r="D35" s="2">
        <f>'[2]4、人物躶体&amp;总属性表'!F37</f>
        <v>721.82640000000026</v>
      </c>
      <c r="E35" s="9">
        <f t="shared" si="1"/>
        <v>2138.3925273861373</v>
      </c>
      <c r="F35" s="9">
        <f t="shared" si="2"/>
        <v>4276.7850547722746</v>
      </c>
      <c r="G35" s="9">
        <f>SUM($E$3:E35)</f>
        <v>22378.003047671871</v>
      </c>
      <c r="H35" s="9">
        <f t="shared" si="3"/>
        <v>44756.006095343742</v>
      </c>
      <c r="I35" s="2">
        <f t="shared" si="4"/>
        <v>0.39599861618261806</v>
      </c>
      <c r="J35">
        <f t="shared" si="9"/>
        <v>4.144074638457754</v>
      </c>
      <c r="P35">
        <f t="shared" si="5"/>
        <v>18957.0567335755</v>
      </c>
      <c r="Q35">
        <f t="shared" si="6"/>
        <v>2138.3925273861373</v>
      </c>
      <c r="R35" s="135"/>
      <c r="S35" s="8">
        <f t="shared" si="11"/>
        <v>1.21538580373426</v>
      </c>
      <c r="T35" s="8">
        <f>SUM($S$3:S35)</f>
        <v>10.197048740127901</v>
      </c>
      <c r="U35" s="8">
        <f t="shared" si="7"/>
        <v>12251</v>
      </c>
      <c r="V35" s="8">
        <f t="shared" si="10"/>
        <v>102770</v>
      </c>
      <c r="W35" s="61">
        <v>4</v>
      </c>
      <c r="X35" s="4" t="s">
        <v>1273</v>
      </c>
      <c r="Y35" s="136">
        <v>0</v>
      </c>
    </row>
    <row r="36" spans="2:25">
      <c r="B36">
        <f t="shared" si="8"/>
        <v>579.82905982906323</v>
      </c>
      <c r="C36" s="2">
        <v>34</v>
      </c>
      <c r="D36" s="2">
        <f>'[2]4、人物躶体&amp;总属性表'!F38</f>
        <v>745.22640000000013</v>
      </c>
      <c r="E36" s="9">
        <f t="shared" si="1"/>
        <v>2353.854956897284</v>
      </c>
      <c r="F36" s="9">
        <f t="shared" si="2"/>
        <v>4707.7099137945679</v>
      </c>
      <c r="G36" s="9">
        <f>SUM($E$3:E36)</f>
        <v>24731.858004569156</v>
      </c>
      <c r="H36" s="9">
        <f t="shared" si="3"/>
        <v>49463.716009138312</v>
      </c>
      <c r="I36" s="2">
        <f t="shared" si="4"/>
        <v>0.43589906609208962</v>
      </c>
      <c r="J36">
        <f t="shared" si="9"/>
        <v>4.5799737045498432</v>
      </c>
      <c r="P36">
        <f t="shared" si="5"/>
        <v>19825.236442474019</v>
      </c>
      <c r="Q36">
        <f t="shared" si="6"/>
        <v>2353.854956897284</v>
      </c>
      <c r="R36" s="135"/>
      <c r="S36" s="8">
        <f t="shared" si="11"/>
        <v>1.3461251853149947</v>
      </c>
      <c r="T36" s="8">
        <f>SUM($S$3:S36)</f>
        <v>11.543173925442895</v>
      </c>
      <c r="U36" s="8">
        <f t="shared" si="7"/>
        <v>13568</v>
      </c>
      <c r="V36" s="8">
        <f t="shared" si="10"/>
        <v>116338</v>
      </c>
      <c r="W36" s="8">
        <v>5</v>
      </c>
      <c r="X36" s="4" t="s">
        <v>1271</v>
      </c>
      <c r="Y36" s="136">
        <v>0.01</v>
      </c>
    </row>
    <row r="37" spans="2:25">
      <c r="B37">
        <f t="shared" si="8"/>
        <v>640.55555555554997</v>
      </c>
      <c r="C37" s="2">
        <v>35</v>
      </c>
      <c r="D37" s="2">
        <f>'[2]4、人物躶体&amp;总属性表'!F39</f>
        <v>768.62640000000033</v>
      </c>
      <c r="E37" s="9">
        <f t="shared" si="1"/>
        <v>2591.0271791318405</v>
      </c>
      <c r="F37" s="9">
        <f t="shared" si="2"/>
        <v>5182.054358263681</v>
      </c>
      <c r="G37" s="9">
        <f>SUM($E$3:E37)</f>
        <v>27322.885183700997</v>
      </c>
      <c r="H37" s="9">
        <f t="shared" si="3"/>
        <v>54645.770367401994</v>
      </c>
      <c r="I37" s="2">
        <f t="shared" si="4"/>
        <v>0.47981984798737787</v>
      </c>
      <c r="J37">
        <f t="shared" si="9"/>
        <v>5.0597935525372213</v>
      </c>
      <c r="P37">
        <f t="shared" si="5"/>
        <v>20706.279240848657</v>
      </c>
      <c r="Q37">
        <f t="shared" si="6"/>
        <v>2591.0271791318405</v>
      </c>
      <c r="R37" s="135"/>
      <c r="S37" s="8">
        <f t="shared" si="11"/>
        <v>1.4870558657912887</v>
      </c>
      <c r="T37" s="8">
        <f>SUM($S$3:S37)</f>
        <v>13.030229791234184</v>
      </c>
      <c r="U37" s="8">
        <f t="shared" si="7"/>
        <v>14989</v>
      </c>
      <c r="V37" s="8">
        <f t="shared" si="10"/>
        <v>131327</v>
      </c>
      <c r="W37" s="61">
        <v>6</v>
      </c>
      <c r="X37" s="4" t="s">
        <v>1272</v>
      </c>
      <c r="Y37" s="136">
        <v>1</v>
      </c>
    </row>
    <row r="38" spans="2:25">
      <c r="B38">
        <f t="shared" si="8"/>
        <v>705.85470085470843</v>
      </c>
      <c r="C38" s="2">
        <v>36</v>
      </c>
      <c r="D38" s="2">
        <f>'[2]4、人物躶体&amp;总属性表'!F40</f>
        <v>792.02640000000008</v>
      </c>
      <c r="E38" s="9">
        <f t="shared" si="1"/>
        <v>2852.0966524841247</v>
      </c>
      <c r="F38" s="9">
        <f t="shared" si="2"/>
        <v>5704.1933049682493</v>
      </c>
      <c r="G38" s="9">
        <f>SUM($E$3:E38)</f>
        <v>30174.981836185121</v>
      </c>
      <c r="H38" s="9">
        <f t="shared" si="3"/>
        <v>60349.963672370242</v>
      </c>
      <c r="I38" s="2">
        <f t="shared" si="4"/>
        <v>0.5281660467563194</v>
      </c>
      <c r="J38">
        <f t="shared" si="9"/>
        <v>5.5879595992935407</v>
      </c>
      <c r="P38">
        <f t="shared" si="5"/>
        <v>21600.000000000007</v>
      </c>
      <c r="Q38">
        <f t="shared" si="6"/>
        <v>2852.0966524841247</v>
      </c>
      <c r="R38" s="135"/>
      <c r="S38" s="8">
        <f t="shared" si="11"/>
        <v>1.6386778328055067</v>
      </c>
      <c r="T38" s="8">
        <f>SUM($S$3:S38)</f>
        <v>14.66890762403969</v>
      </c>
      <c r="U38" s="8">
        <f t="shared" si="7"/>
        <v>16517</v>
      </c>
      <c r="V38" s="8">
        <f t="shared" si="10"/>
        <v>147844</v>
      </c>
      <c r="W38" s="8">
        <v>7</v>
      </c>
    </row>
    <row r="39" spans="2:25">
      <c r="B39">
        <f t="shared" si="8"/>
        <v>776.02564102563429</v>
      </c>
      <c r="C39" s="2">
        <v>37</v>
      </c>
      <c r="D39" s="2">
        <f>'[2]4、人物躶体&amp;总属性表'!F41</f>
        <v>815.42640000000029</v>
      </c>
      <c r="E39" s="9">
        <f t="shared" si="1"/>
        <v>3139.4712416087859</v>
      </c>
      <c r="F39" s="9">
        <f t="shared" si="2"/>
        <v>6278.9424832175719</v>
      </c>
      <c r="G39" s="9">
        <f>SUM($E$3:E39)</f>
        <v>33314.453077793907</v>
      </c>
      <c r="H39" s="9">
        <f t="shared" si="3"/>
        <v>66628.906155587814</v>
      </c>
      <c r="I39" s="2">
        <f t="shared" si="4"/>
        <v>0.58138356326088625</v>
      </c>
      <c r="J39">
        <f t="shared" si="9"/>
        <v>6.1693431625544273</v>
      </c>
      <c r="P39">
        <f t="shared" si="5"/>
        <v>22506.221362103413</v>
      </c>
      <c r="Q39">
        <f t="shared" si="6"/>
        <v>3139.4712416087859</v>
      </c>
      <c r="R39" s="135"/>
      <c r="S39" s="8">
        <f t="shared" si="11"/>
        <v>1.8015025180918096</v>
      </c>
      <c r="T39" s="8">
        <f>SUM($S$3:S39)</f>
        <v>16.470410142131499</v>
      </c>
      <c r="U39" s="8">
        <f t="shared" si="7"/>
        <v>18159</v>
      </c>
      <c r="V39" s="8">
        <f t="shared" si="10"/>
        <v>166003</v>
      </c>
      <c r="W39" s="61">
        <v>8</v>
      </c>
    </row>
    <row r="40" spans="2:25">
      <c r="B40">
        <f t="shared" si="8"/>
        <v>851.19658119658618</v>
      </c>
      <c r="C40" s="2">
        <v>38</v>
      </c>
      <c r="D40" s="2">
        <f>'[2]4、人物躶体&amp;总属性表'!F42</f>
        <v>838.82640000000015</v>
      </c>
      <c r="E40" s="9">
        <f t="shared" si="1"/>
        <v>3455.801425349302</v>
      </c>
      <c r="F40" s="9">
        <f t="shared" si="2"/>
        <v>6911.602850698604</v>
      </c>
      <c r="G40" s="9">
        <f>SUM($E$3:E40)</f>
        <v>36770.254503143209</v>
      </c>
      <c r="H40" s="9">
        <f t="shared" si="3"/>
        <v>73540.509006286418</v>
      </c>
      <c r="I40" s="2">
        <f t="shared" si="4"/>
        <v>0.6399632269165374</v>
      </c>
      <c r="J40">
        <f t="shared" si="9"/>
        <v>6.8093063894709651</v>
      </c>
      <c r="P40">
        <f t="shared" si="5"/>
        <v>23424.773211282107</v>
      </c>
      <c r="Q40">
        <f t="shared" si="6"/>
        <v>3455.801425349302</v>
      </c>
      <c r="R40" s="135"/>
      <c r="S40" s="8">
        <f t="shared" si="11"/>
        <v>1.9760527974761555</v>
      </c>
      <c r="T40" s="8">
        <f>SUM($S$3:S40)</f>
        <v>18.446462939607656</v>
      </c>
      <c r="U40" s="8">
        <f t="shared" si="7"/>
        <v>19918</v>
      </c>
      <c r="V40" s="8">
        <f t="shared" si="10"/>
        <v>185921</v>
      </c>
      <c r="W40" s="8">
        <v>9</v>
      </c>
    </row>
    <row r="41" spans="2:25">
      <c r="B41">
        <f t="shared" si="8"/>
        <v>931.66666666666754</v>
      </c>
      <c r="C41" s="2">
        <v>39</v>
      </c>
      <c r="D41" s="2">
        <f>'[2]4、人物躶体&amp;总属性表'!F43</f>
        <v>862.22640000000013</v>
      </c>
      <c r="E41" s="9">
        <f t="shared" si="1"/>
        <v>3804.0047423165565</v>
      </c>
      <c r="F41" s="9">
        <f t="shared" si="2"/>
        <v>7608.0094846331131</v>
      </c>
      <c r="G41" s="9">
        <f>SUM($E$3:E41)</f>
        <v>40574.259245459769</v>
      </c>
      <c r="H41" s="9">
        <f t="shared" si="3"/>
        <v>81148.518490919538</v>
      </c>
      <c r="I41" s="2">
        <f t="shared" si="4"/>
        <v>0.70444532265121429</v>
      </c>
      <c r="J41">
        <f t="shared" si="9"/>
        <v>7.5137517121221791</v>
      </c>
      <c r="P41">
        <f t="shared" si="5"/>
        <v>24355.49219375374</v>
      </c>
      <c r="Q41">
        <f t="shared" si="6"/>
        <v>3804.0047423165565</v>
      </c>
      <c r="R41" s="135"/>
      <c r="S41" s="8">
        <f t="shared" si="11"/>
        <v>2.1628629908762993</v>
      </c>
      <c r="T41" s="8">
        <f>SUM($S$3:S41)</f>
        <v>20.609325930483955</v>
      </c>
      <c r="U41" s="8">
        <f t="shared" si="7"/>
        <v>21801</v>
      </c>
      <c r="V41" s="8">
        <f t="shared" si="10"/>
        <v>207722</v>
      </c>
      <c r="W41" s="61">
        <v>10</v>
      </c>
    </row>
    <row r="42" spans="2:25">
      <c r="B42">
        <f t="shared" si="8"/>
        <v>763.23717948717558</v>
      </c>
      <c r="C42" s="2">
        <v>40</v>
      </c>
      <c r="D42" s="2">
        <f>'[2]4、人物躶体&amp;总属性表'!F44</f>
        <v>893.42640000000029</v>
      </c>
      <c r="E42" s="9">
        <f t="shared" si="1"/>
        <v>4187.2926995810276</v>
      </c>
      <c r="F42" s="9">
        <f t="shared" si="2"/>
        <v>8374.5853991620552</v>
      </c>
      <c r="G42" s="9">
        <f>SUM($E$3:E42)</f>
        <v>44761.551945040796</v>
      </c>
      <c r="H42" s="9">
        <f t="shared" si="3"/>
        <v>89523.103890081591</v>
      </c>
      <c r="I42" s="2">
        <f t="shared" si="4"/>
        <v>0.77542457399648657</v>
      </c>
      <c r="J42">
        <f t="shared" si="9"/>
        <v>8.289176286118666</v>
      </c>
      <c r="P42">
        <f t="shared" si="5"/>
        <v>25298.22128134704</v>
      </c>
      <c r="Q42">
        <f t="shared" si="6"/>
        <v>4187.2926995810276</v>
      </c>
      <c r="R42" s="135"/>
      <c r="S42" s="8">
        <f t="shared" si="11"/>
        <v>2.3624788623017925</v>
      </c>
      <c r="T42" s="8">
        <f>SUM($S$3:S42)</f>
        <v>22.971804792785747</v>
      </c>
      <c r="U42" s="8">
        <f t="shared" si="7"/>
        <v>23813</v>
      </c>
      <c r="V42" s="8">
        <f t="shared" si="10"/>
        <v>231535</v>
      </c>
      <c r="W42" s="8">
        <v>11</v>
      </c>
    </row>
    <row r="43" spans="2:25">
      <c r="B43">
        <f t="shared" si="8"/>
        <v>832.05128205128085</v>
      </c>
      <c r="C43" s="2">
        <v>41</v>
      </c>
      <c r="D43" s="2">
        <f>'[2]4、人物躶体&amp;总属性表'!F45</f>
        <v>924.62640000000033</v>
      </c>
      <c r="E43" s="9">
        <f t="shared" si="1"/>
        <v>4609.2003926596335</v>
      </c>
      <c r="F43" s="9">
        <f t="shared" si="2"/>
        <v>9218.400785319267</v>
      </c>
      <c r="G43" s="9">
        <f>SUM($E$3:E43)</f>
        <v>49370.752337700425</v>
      </c>
      <c r="H43" s="9">
        <f t="shared" si="3"/>
        <v>98741.504675400851</v>
      </c>
      <c r="I43" s="2">
        <f t="shared" si="4"/>
        <v>0.85355562827030251</v>
      </c>
      <c r="J43">
        <f t="shared" si="9"/>
        <v>9.1427319143889676</v>
      </c>
      <c r="P43">
        <f t="shared" si="5"/>
        <v>26252.809373474673</v>
      </c>
      <c r="Q43">
        <f t="shared" si="6"/>
        <v>4609.2003926596335</v>
      </c>
      <c r="R43" s="135"/>
      <c r="S43" s="8">
        <f t="shared" si="11"/>
        <v>2.5754576198539838</v>
      </c>
      <c r="T43" s="8">
        <f>SUM($S$3:S43)</f>
        <v>25.547262412639732</v>
      </c>
      <c r="U43" s="8">
        <f t="shared" si="7"/>
        <v>25960</v>
      </c>
      <c r="V43" s="8">
        <f t="shared" si="10"/>
        <v>257495</v>
      </c>
      <c r="W43" s="61">
        <v>12</v>
      </c>
    </row>
    <row r="44" spans="2:25">
      <c r="B44">
        <f t="shared" si="8"/>
        <v>905.35256410255954</v>
      </c>
      <c r="C44" s="2">
        <v>42</v>
      </c>
      <c r="D44" s="2">
        <f>'[2]4、人物躶体&amp;总属性表'!F46</f>
        <v>955.82640000000049</v>
      </c>
      <c r="E44" s="9">
        <f t="shared" si="1"/>
        <v>5073.6191099846992</v>
      </c>
      <c r="F44" s="9">
        <f t="shared" si="2"/>
        <v>10147.238219969398</v>
      </c>
      <c r="G44" s="9">
        <f>SUM($E$3:E44)</f>
        <v>54444.371447685124</v>
      </c>
      <c r="H44" s="9">
        <f t="shared" si="3"/>
        <v>108888.74289537025</v>
      </c>
      <c r="I44" s="2">
        <f t="shared" si="4"/>
        <v>0.9395590944416109</v>
      </c>
      <c r="J44">
        <f t="shared" si="9"/>
        <v>10.082291008830579</v>
      </c>
      <c r="P44">
        <f t="shared" si="5"/>
        <v>27219.110933313023</v>
      </c>
      <c r="Q44">
        <f t="shared" si="6"/>
        <v>5073.6191099846992</v>
      </c>
      <c r="R44" s="135"/>
      <c r="S44" s="8">
        <f t="shared" si="11"/>
        <v>2.8023679157260188</v>
      </c>
      <c r="T44" s="8">
        <f>SUM($S$3:S44)</f>
        <v>28.349630328365752</v>
      </c>
      <c r="U44" s="8">
        <f t="shared" si="7"/>
        <v>28247</v>
      </c>
      <c r="V44" s="8">
        <f t="shared" si="10"/>
        <v>285742</v>
      </c>
      <c r="W44" s="8">
        <v>13</v>
      </c>
    </row>
    <row r="45" spans="2:25">
      <c r="B45">
        <f t="shared" si="8"/>
        <v>983.36538461539033</v>
      </c>
      <c r="C45" s="2">
        <v>43</v>
      </c>
      <c r="D45" s="2">
        <f>'[2]4、人物躶体&amp;总属性表'!F47</f>
        <v>987.02640000000031</v>
      </c>
      <c r="E45" s="9">
        <f t="shared" si="1"/>
        <v>5584.8322225687225</v>
      </c>
      <c r="F45" s="9">
        <f t="shared" si="2"/>
        <v>11169.664445137445</v>
      </c>
      <c r="G45" s="9">
        <f>SUM($E$3:E45)</f>
        <v>60029.203670253846</v>
      </c>
      <c r="H45" s="9">
        <f t="shared" si="3"/>
        <v>120058.40734050769</v>
      </c>
      <c r="I45" s="2">
        <f t="shared" si="4"/>
        <v>1.0342281893645782</v>
      </c>
      <c r="J45">
        <f t="shared" si="9"/>
        <v>11.116519198195157</v>
      </c>
      <c r="P45">
        <f t="shared" si="5"/>
        <v>28196.985654498611</v>
      </c>
      <c r="Q45">
        <f t="shared" si="6"/>
        <v>5584.8322225687225</v>
      </c>
      <c r="R45" s="135"/>
      <c r="S45" s="8">
        <f t="shared" si="11"/>
        <v>3.0437898462028397</v>
      </c>
      <c r="T45" s="8">
        <f>SUM($S$3:S45)</f>
        <v>31.39342017456859</v>
      </c>
      <c r="U45" s="8">
        <f t="shared" si="7"/>
        <v>30681</v>
      </c>
      <c r="V45" s="8">
        <f t="shared" si="10"/>
        <v>316423</v>
      </c>
      <c r="W45" s="61">
        <v>14</v>
      </c>
    </row>
    <row r="46" spans="2:25">
      <c r="B46">
        <f t="shared" si="8"/>
        <v>1066.2500000000023</v>
      </c>
      <c r="C46" s="2">
        <v>44</v>
      </c>
      <c r="D46" s="2">
        <f>'[2]4、人物躶体&amp;总属性表'!F48</f>
        <v>1018.2264000000002</v>
      </c>
      <c r="E46" s="9">
        <f t="shared" si="1"/>
        <v>6147.5546898781613</v>
      </c>
      <c r="F46" s="9">
        <f t="shared" si="2"/>
        <v>12295.109379756323</v>
      </c>
      <c r="G46" s="9">
        <f>SUM($E$3:E46)</f>
        <v>66176.758360132008</v>
      </c>
      <c r="H46" s="9">
        <f t="shared" si="3"/>
        <v>132353.51672026402</v>
      </c>
      <c r="I46" s="2">
        <f t="shared" si="4"/>
        <v>1.1384360536811409</v>
      </c>
      <c r="J46">
        <f t="shared" si="9"/>
        <v>12.254955251876297</v>
      </c>
      <c r="P46">
        <f t="shared" si="5"/>
        <v>29186.298155127508</v>
      </c>
      <c r="Q46">
        <f t="shared" si="6"/>
        <v>6147.5546898781613</v>
      </c>
      <c r="R46" s="135"/>
      <c r="S46" s="8">
        <f t="shared" si="11"/>
        <v>3.3003149516611856</v>
      </c>
      <c r="T46" s="8">
        <f>SUM($S$3:S46)</f>
        <v>34.693735126229775</v>
      </c>
      <c r="U46" s="8">
        <f t="shared" si="7"/>
        <v>33267</v>
      </c>
      <c r="V46" s="8">
        <f t="shared" si="10"/>
        <v>349690</v>
      </c>
      <c r="W46" s="8">
        <v>15</v>
      </c>
    </row>
    <row r="47" spans="2:25">
      <c r="B47">
        <f t="shared" si="8"/>
        <v>1154.1987179487162</v>
      </c>
      <c r="C47" s="2">
        <v>45</v>
      </c>
      <c r="D47" s="2">
        <f>'[2]4、人物躶体&amp;总属性表'!F49</f>
        <v>1049.4264000000003</v>
      </c>
      <c r="E47" s="9">
        <f t="shared" si="1"/>
        <v>6766.9765462820797</v>
      </c>
      <c r="F47" s="9">
        <f t="shared" si="2"/>
        <v>13533.953092564159</v>
      </c>
      <c r="G47" s="9">
        <f>SUM($E$3:E47)</f>
        <v>72943.734906414087</v>
      </c>
      <c r="H47" s="9">
        <f t="shared" si="3"/>
        <v>145887.46981282817</v>
      </c>
      <c r="I47" s="2">
        <f t="shared" si="4"/>
        <v>1.2531438048670518</v>
      </c>
      <c r="J47">
        <f t="shared" si="9"/>
        <v>13.508099056743347</v>
      </c>
      <c r="P47">
        <f t="shared" si="5"/>
        <v>30186.917696247154</v>
      </c>
      <c r="Q47">
        <f t="shared" si="6"/>
        <v>6766.9765462820797</v>
      </c>
      <c r="R47" s="135"/>
      <c r="S47" s="8">
        <f t="shared" si="11"/>
        <v>3.5725462165695934</v>
      </c>
      <c r="T47" s="8">
        <f>SUM($S$3:S47)</f>
        <v>38.266281342799367</v>
      </c>
      <c r="U47" s="8">
        <f t="shared" si="7"/>
        <v>36011</v>
      </c>
      <c r="V47" s="8">
        <f t="shared" si="10"/>
        <v>385701</v>
      </c>
      <c r="W47" s="61">
        <v>16</v>
      </c>
    </row>
    <row r="48" spans="2:25">
      <c r="B48">
        <f t="shared" si="8"/>
        <v>1247.4038461538353</v>
      </c>
      <c r="C48" s="2">
        <v>46</v>
      </c>
      <c r="D48" s="2">
        <f>'[2]4、人物躶体&amp;总属性表'!F50</f>
        <v>1080.6264000000006</v>
      </c>
      <c r="E48" s="9">
        <f t="shared" si="1"/>
        <v>7448.8107691546702</v>
      </c>
      <c r="F48" s="9">
        <f t="shared" si="2"/>
        <v>14897.62153830934</v>
      </c>
      <c r="G48" s="9">
        <f>SUM($E$3:E48)</f>
        <v>80392.545675568763</v>
      </c>
      <c r="H48" s="9">
        <f t="shared" si="3"/>
        <v>160785.09135113753</v>
      </c>
      <c r="I48" s="2">
        <f t="shared" si="4"/>
        <v>1.3794094016953091</v>
      </c>
      <c r="J48">
        <f t="shared" si="9"/>
        <v>14.887508458438656</v>
      </c>
      <c r="P48">
        <f t="shared" si="5"/>
        <v>31198.71792237624</v>
      </c>
      <c r="Q48">
        <f t="shared" si="6"/>
        <v>7448.8107691546702</v>
      </c>
      <c r="R48" s="135"/>
      <c r="S48" s="8">
        <f t="shared" si="11"/>
        <v>3.8610980694883947</v>
      </c>
      <c r="T48" s="8">
        <f>SUM($S$3:S48)</f>
        <v>42.127379412287759</v>
      </c>
      <c r="U48" s="8">
        <f t="shared" si="7"/>
        <v>38919</v>
      </c>
      <c r="V48" s="8">
        <f t="shared" si="10"/>
        <v>424620</v>
      </c>
      <c r="W48" s="8">
        <v>17</v>
      </c>
    </row>
    <row r="49" spans="2:25">
      <c r="B49">
        <f t="shared" si="8"/>
        <v>1346.1217948718026</v>
      </c>
      <c r="C49" s="2">
        <v>47</v>
      </c>
      <c r="D49" s="2">
        <f>'[2]4、人物躶体&amp;总属性表'!F51</f>
        <v>1111.8264000000004</v>
      </c>
      <c r="E49" s="9">
        <f t="shared" si="1"/>
        <v>8199.3459701229658</v>
      </c>
      <c r="F49" s="9">
        <f t="shared" si="2"/>
        <v>16398.691940245932</v>
      </c>
      <c r="G49" s="9">
        <f>SUM($E$3:E49)</f>
        <v>88591.891645691736</v>
      </c>
      <c r="H49" s="9">
        <f t="shared" si="3"/>
        <v>177183.78329138347</v>
      </c>
      <c r="I49" s="2">
        <f t="shared" si="4"/>
        <v>1.5183974018746234</v>
      </c>
      <c r="J49">
        <f t="shared" si="9"/>
        <v>16.405905860313279</v>
      </c>
      <c r="K49" t="s">
        <v>85</v>
      </c>
      <c r="P49">
        <f t="shared" si="5"/>
        <v>32221.576621884884</v>
      </c>
      <c r="Q49">
        <f t="shared" si="6"/>
        <v>8199.3459701229658</v>
      </c>
      <c r="R49" s="135"/>
      <c r="S49" s="8">
        <f t="shared" si="11"/>
        <v>4.166596383069721</v>
      </c>
      <c r="T49" s="8">
        <f>SUM($S$3:S49)</f>
        <v>46.293975795357483</v>
      </c>
      <c r="U49" s="8">
        <f t="shared" si="7"/>
        <v>41999</v>
      </c>
      <c r="V49" s="8">
        <f t="shared" si="10"/>
        <v>466619</v>
      </c>
      <c r="W49" s="61">
        <v>18</v>
      </c>
    </row>
    <row r="50" spans="2:25">
      <c r="B50">
        <f t="shared" si="8"/>
        <v>1450.4807692307566</v>
      </c>
      <c r="C50" s="2">
        <v>48</v>
      </c>
      <c r="D50" s="2">
        <f>'[2]4、人物躶体&amp;总属性表'!F52</f>
        <v>1143.0264000000006</v>
      </c>
      <c r="E50" s="9">
        <f t="shared" si="1"/>
        <v>9025.5043954353605</v>
      </c>
      <c r="F50" s="9">
        <f t="shared" si="2"/>
        <v>18051.008790870721</v>
      </c>
      <c r="G50" s="9">
        <f>SUM($E$3:E50)</f>
        <v>97617.396041127096</v>
      </c>
      <c r="H50" s="9">
        <f t="shared" si="3"/>
        <v>195234.79208225419</v>
      </c>
      <c r="I50" s="2">
        <f t="shared" si="4"/>
        <v>1.6713897028584002</v>
      </c>
      <c r="J50">
        <f t="shared" si="9"/>
        <v>18.077295563171678</v>
      </c>
      <c r="P50">
        <f t="shared" si="5"/>
        <v>33255.37550532246</v>
      </c>
      <c r="Q50">
        <f t="shared" si="6"/>
        <v>9025.5043954353605</v>
      </c>
      <c r="R50" s="135"/>
      <c r="S50" s="8">
        <f t="shared" si="11"/>
        <v>4.4896784740574978</v>
      </c>
      <c r="T50" s="8">
        <f>SUM($S$3:S50)</f>
        <v>50.783654269414981</v>
      </c>
      <c r="U50" s="8">
        <f t="shared" si="7"/>
        <v>45255</v>
      </c>
      <c r="V50" s="8">
        <f t="shared" si="10"/>
        <v>511874</v>
      </c>
      <c r="W50" s="8">
        <v>19</v>
      </c>
    </row>
    <row r="51" spans="2:25">
      <c r="B51">
        <f t="shared" si="8"/>
        <v>1560.7692307692284</v>
      </c>
      <c r="C51" s="2">
        <v>49</v>
      </c>
      <c r="D51" s="2">
        <f>'[2]4、人物躶体&amp;总属性表'!F53</f>
        <v>1174.2264000000007</v>
      </c>
      <c r="E51" s="9">
        <f t="shared" si="1"/>
        <v>9934.9057703929611</v>
      </c>
      <c r="F51" s="9">
        <f t="shared" si="2"/>
        <v>19869.811540785922</v>
      </c>
      <c r="G51" s="9">
        <f>SUM($E$3:E51)</f>
        <v>107552.30181152005</v>
      </c>
      <c r="H51" s="9">
        <f t="shared" si="3"/>
        <v>215104.60362304011</v>
      </c>
      <c r="I51" s="2">
        <f t="shared" si="4"/>
        <v>1.8397973648875856</v>
      </c>
      <c r="J51">
        <f t="shared" si="9"/>
        <v>19.917092928059262</v>
      </c>
      <c r="P51">
        <f t="shared" si="5"/>
        <v>34299.999999999985</v>
      </c>
      <c r="Q51">
        <f t="shared" si="6"/>
        <v>9934.9057703929611</v>
      </c>
      <c r="R51" s="135"/>
      <c r="S51" s="8">
        <f t="shared" si="11"/>
        <v>4.8309931032874491</v>
      </c>
      <c r="T51" s="8">
        <f>SUM($S$3:S51)</f>
        <v>55.614647372702429</v>
      </c>
      <c r="U51" s="8">
        <f t="shared" si="7"/>
        <v>48696</v>
      </c>
      <c r="V51" s="8">
        <f t="shared" si="10"/>
        <v>560570</v>
      </c>
      <c r="W51" s="61">
        <v>20</v>
      </c>
    </row>
    <row r="52" spans="2:25">
      <c r="B52">
        <f t="shared" si="8"/>
        <v>1341.7179487179565</v>
      </c>
      <c r="C52" s="2">
        <v>50</v>
      </c>
      <c r="D52" s="2">
        <f>'[2]4、人物躶体&amp;总属性表'!F54</f>
        <v>1213.2264000000005</v>
      </c>
      <c r="E52" s="9">
        <f t="shared" si="1"/>
        <v>10935.937576686138</v>
      </c>
      <c r="F52" s="9">
        <f t="shared" si="2"/>
        <v>21871.875153372275</v>
      </c>
      <c r="G52" s="9">
        <f>SUM($E$3:E52)</f>
        <v>118488.23938820619</v>
      </c>
      <c r="H52" s="9">
        <f t="shared" si="3"/>
        <v>236976.47877641238</v>
      </c>
      <c r="I52" s="2">
        <f t="shared" si="4"/>
        <v>2.0251736253122479</v>
      </c>
      <c r="J52">
        <f t="shared" si="9"/>
        <v>21.94226655337151</v>
      </c>
      <c r="P52">
        <f t="shared" si="5"/>
        <v>35355.339059327358</v>
      </c>
      <c r="Q52">
        <f t="shared" si="6"/>
        <v>10935.937576686138</v>
      </c>
      <c r="R52" s="135"/>
      <c r="S52" s="8">
        <f t="shared" si="11"/>
        <v>5.1912004756870953</v>
      </c>
      <c r="T52" s="8">
        <f>SUM($S$3:S52)</f>
        <v>60.805847848389526</v>
      </c>
      <c r="U52" s="8">
        <f t="shared" si="7"/>
        <v>52327</v>
      </c>
      <c r="V52" s="8">
        <f t="shared" si="10"/>
        <v>612897</v>
      </c>
      <c r="W52" s="8">
        <v>21</v>
      </c>
    </row>
    <row r="53" spans="2:25">
      <c r="B53">
        <f t="shared" si="8"/>
        <v>1439.8717948717949</v>
      </c>
      <c r="C53" s="2">
        <v>51</v>
      </c>
      <c r="D53" s="2">
        <f>'[2]4、人物躶体&amp;总属性表'!F55</f>
        <v>1252.2264000000005</v>
      </c>
      <c r="E53" s="9">
        <f t="shared" si="1"/>
        <v>12037.832410809617</v>
      </c>
      <c r="F53" s="9">
        <f t="shared" si="2"/>
        <v>24075.664821619233</v>
      </c>
      <c r="G53" s="9">
        <f>SUM($E$3:E53)</f>
        <v>130526.0717990158</v>
      </c>
      <c r="H53" s="9">
        <f t="shared" si="3"/>
        <v>261052.1435980316</v>
      </c>
      <c r="I53" s="2">
        <f t="shared" si="4"/>
        <v>2.2292282242240029</v>
      </c>
      <c r="J53">
        <f t="shared" si="9"/>
        <v>24.171494777595512</v>
      </c>
      <c r="P53">
        <f t="shared" si="5"/>
        <v>36421.284985568527</v>
      </c>
      <c r="Q53">
        <f t="shared" si="6"/>
        <v>12037.832410809617</v>
      </c>
      <c r="R53" s="135"/>
      <c r="S53" s="8">
        <f t="shared" si="11"/>
        <v>5.5709722402757533</v>
      </c>
      <c r="T53" s="8">
        <f>SUM($S$3:S53)</f>
        <v>66.376820088665283</v>
      </c>
      <c r="U53" s="8">
        <f t="shared" si="7"/>
        <v>56155</v>
      </c>
      <c r="V53" s="8">
        <f t="shared" si="10"/>
        <v>669052</v>
      </c>
      <c r="W53" s="61">
        <v>22</v>
      </c>
    </row>
    <row r="54" spans="2:25">
      <c r="B54">
        <f t="shared" si="8"/>
        <v>1543.2564102564193</v>
      </c>
      <c r="C54" s="2">
        <v>52</v>
      </c>
      <c r="D54" s="2">
        <f>'[2]4、人物躶体&amp;总属性表'!F56</f>
        <v>1291.2264000000002</v>
      </c>
      <c r="E54" s="9">
        <f t="shared" si="1"/>
        <v>13250.753137039175</v>
      </c>
      <c r="F54" s="9">
        <f t="shared" si="2"/>
        <v>26501.506274078351</v>
      </c>
      <c r="G54" s="9">
        <f>SUM($E$3:E54)</f>
        <v>143776.82493605497</v>
      </c>
      <c r="H54" s="9">
        <f t="shared" si="3"/>
        <v>287553.64987210993</v>
      </c>
      <c r="I54" s="2">
        <f t="shared" si="4"/>
        <v>2.4538431735257733</v>
      </c>
      <c r="J54">
        <f t="shared" si="9"/>
        <v>26.625337951121285</v>
      </c>
      <c r="P54">
        <f t="shared" si="5"/>
        <v>37497.733264825511</v>
      </c>
      <c r="Q54">
        <f t="shared" si="6"/>
        <v>13250.753137039175</v>
      </c>
      <c r="R54" s="135"/>
      <c r="S54" s="8">
        <f t="shared" si="11"/>
        <v>5.970991490164538</v>
      </c>
      <c r="T54" s="8">
        <f>SUM($S$3:S54)</f>
        <v>72.34781157882982</v>
      </c>
      <c r="U54" s="8">
        <f t="shared" si="7"/>
        <v>60187</v>
      </c>
      <c r="V54" s="8">
        <f t="shared" si="10"/>
        <v>729239</v>
      </c>
      <c r="W54" s="8">
        <v>23</v>
      </c>
    </row>
    <row r="55" spans="2:25">
      <c r="B55">
        <f t="shared" si="8"/>
        <v>1652.0512820512724</v>
      </c>
      <c r="C55" s="2">
        <v>53</v>
      </c>
      <c r="D55" s="2">
        <f>'[2]4、人物躶体&amp;总属性表'!F57</f>
        <v>1330.2264000000005</v>
      </c>
      <c r="E55" s="9">
        <f t="shared" si="1"/>
        <v>14585.886620342524</v>
      </c>
      <c r="F55" s="9">
        <f t="shared" si="2"/>
        <v>29171.773240685048</v>
      </c>
      <c r="G55" s="9">
        <f>SUM($E$3:E55)</f>
        <v>158362.71155639749</v>
      </c>
      <c r="H55" s="9">
        <f t="shared" si="3"/>
        <v>316725.42311279499</v>
      </c>
      <c r="I55" s="2">
        <f t="shared" si="4"/>
        <v>2.7010901148782449</v>
      </c>
      <c r="J55">
        <f t="shared" si="9"/>
        <v>29.326428065999529</v>
      </c>
      <c r="P55">
        <f t="shared" si="5"/>
        <v>38584.582413186748</v>
      </c>
      <c r="Q55">
        <f t="shared" si="6"/>
        <v>14585.886620342524</v>
      </c>
      <c r="R55" s="135"/>
      <c r="S55" s="8">
        <f t="shared" si="11"/>
        <v>6.391952762556361</v>
      </c>
      <c r="T55" s="8">
        <f>SUM($S$3:S55)</f>
        <v>78.739764341386177</v>
      </c>
      <c r="U55" s="8">
        <f t="shared" si="7"/>
        <v>64430</v>
      </c>
      <c r="V55" s="8">
        <f t="shared" si="10"/>
        <v>793669</v>
      </c>
      <c r="W55" s="61">
        <v>24</v>
      </c>
    </row>
    <row r="56" spans="2:25">
      <c r="B56">
        <f t="shared" si="8"/>
        <v>1766.4615384615386</v>
      </c>
      <c r="C56" s="2">
        <v>54</v>
      </c>
      <c r="D56" s="2">
        <f>'[2]4、人物躶体&amp;总属性表'!F58</f>
        <v>1369.2264000000005</v>
      </c>
      <c r="E56" s="9">
        <f t="shared" si="1"/>
        <v>16055.546903730537</v>
      </c>
      <c r="F56" s="9">
        <f t="shared" si="2"/>
        <v>32111.093807461075</v>
      </c>
      <c r="G56" s="9">
        <f>SUM($E$3:E56)</f>
        <v>174418.25846012804</v>
      </c>
      <c r="H56" s="9">
        <f t="shared" si="3"/>
        <v>348836.51692025608</v>
      </c>
      <c r="I56" s="2">
        <f t="shared" si="4"/>
        <v>2.9732494266167659</v>
      </c>
      <c r="J56">
        <f t="shared" si="9"/>
        <v>32.299677492616297</v>
      </c>
      <c r="P56">
        <f t="shared" si="5"/>
        <v>39681.733833087492</v>
      </c>
      <c r="Q56">
        <f t="shared" si="6"/>
        <v>16055.546903730537</v>
      </c>
      <c r="R56" s="135"/>
      <c r="S56" s="8">
        <f t="shared" si="11"/>
        <v>6.8345620387459292</v>
      </c>
      <c r="T56" s="8">
        <f>SUM($S$3:S56)</f>
        <v>85.574326380132106</v>
      </c>
      <c r="U56" s="8">
        <f t="shared" si="7"/>
        <v>68892</v>
      </c>
      <c r="V56" s="8">
        <f t="shared" si="10"/>
        <v>862561</v>
      </c>
      <c r="W56" s="8">
        <v>25</v>
      </c>
    </row>
    <row r="57" spans="2:25">
      <c r="B57">
        <f t="shared" si="8"/>
        <v>1886.6410256410365</v>
      </c>
      <c r="C57" s="2">
        <v>55</v>
      </c>
      <c r="D57" s="2">
        <f>'[2]4、人物躶体&amp;总属性表'!F59</f>
        <v>1408.2264000000002</v>
      </c>
      <c r="E57" s="9">
        <f t="shared" si="1"/>
        <v>17673.288781661857</v>
      </c>
      <c r="F57" s="9">
        <f t="shared" si="2"/>
        <v>35346.577563323714</v>
      </c>
      <c r="G57" s="9">
        <f>SUM($E$3:E57)</f>
        <v>192091.5472417899</v>
      </c>
      <c r="H57" s="9">
        <f t="shared" si="3"/>
        <v>384183.0944835798</v>
      </c>
      <c r="I57" s="2">
        <f t="shared" si="4"/>
        <v>3.272831255863307</v>
      </c>
      <c r="J57">
        <f t="shared" si="9"/>
        <v>35.572508748479606</v>
      </c>
      <c r="P57">
        <f t="shared" si="5"/>
        <v>40789.09167902614</v>
      </c>
      <c r="Q57">
        <f t="shared" si="6"/>
        <v>17673.288781661857</v>
      </c>
      <c r="R57" s="135"/>
      <c r="S57" s="8">
        <f t="shared" si="11"/>
        <v>7.2995367441197478</v>
      </c>
      <c r="T57" s="8">
        <f>SUM($S$3:S57)</f>
        <v>92.873863124251855</v>
      </c>
      <c r="U57" s="8">
        <f t="shared" si="7"/>
        <v>73579</v>
      </c>
      <c r="V57" s="8">
        <f t="shared" si="10"/>
        <v>936140</v>
      </c>
      <c r="W57" s="61">
        <v>26</v>
      </c>
    </row>
    <row r="58" spans="2:25">
      <c r="B58">
        <f t="shared" si="8"/>
        <v>2012.79487179486</v>
      </c>
      <c r="C58" s="2">
        <v>56</v>
      </c>
      <c r="D58" s="2">
        <f>'[2]4、人物躶体&amp;总属性表'!F60</f>
        <v>1447.2264000000005</v>
      </c>
      <c r="E58" s="9">
        <f t="shared" si="1"/>
        <v>19454.032816997395</v>
      </c>
      <c r="F58" s="9">
        <f t="shared" si="2"/>
        <v>38908.065633994789</v>
      </c>
      <c r="G58" s="9">
        <f>SUM($E$3:E58)</f>
        <v>211545.58005878731</v>
      </c>
      <c r="H58" s="9">
        <f t="shared" si="3"/>
        <v>423091.16011757462</v>
      </c>
      <c r="I58" s="2">
        <f t="shared" si="4"/>
        <v>3.6025986698143324</v>
      </c>
      <c r="J58">
        <f t="shared" si="9"/>
        <v>39.17510741829394</v>
      </c>
      <c r="P58">
        <f t="shared" si="5"/>
        <v>41906.562731868173</v>
      </c>
      <c r="Q58">
        <f t="shared" si="6"/>
        <v>19454.032816997395</v>
      </c>
      <c r="R58" s="135"/>
      <c r="S58" s="8">
        <f t="shared" si="11"/>
        <v>7.7876057481561185</v>
      </c>
      <c r="T58" s="8">
        <f>SUM($S$3:S58)</f>
        <v>100.66146887240798</v>
      </c>
      <c r="U58" s="8">
        <f t="shared" si="7"/>
        <v>78499</v>
      </c>
      <c r="V58" s="8">
        <f t="shared" si="10"/>
        <v>1014639</v>
      </c>
      <c r="W58" s="8">
        <v>27</v>
      </c>
    </row>
    <row r="59" spans="2:25">
      <c r="B59">
        <f t="shared" si="8"/>
        <v>2145.1025641025767</v>
      </c>
      <c r="C59" s="2">
        <v>57</v>
      </c>
      <c r="D59" s="2">
        <f>'[2]4、人物躶体&amp;总属性表'!F61</f>
        <v>1486.2264000000002</v>
      </c>
      <c r="E59" s="9">
        <f t="shared" si="1"/>
        <v>21414.202954546203</v>
      </c>
      <c r="F59" s="9">
        <f t="shared" si="2"/>
        <v>42828.405909092406</v>
      </c>
      <c r="G59" s="9">
        <f>SUM($E$3:E59)</f>
        <v>232959.78301333351</v>
      </c>
      <c r="H59" s="9">
        <f t="shared" si="3"/>
        <v>465919.56602666702</v>
      </c>
      <c r="I59" s="2">
        <f t="shared" si="4"/>
        <v>3.9655931397307782</v>
      </c>
      <c r="J59">
        <f t="shared" si="9"/>
        <v>43.140700558024719</v>
      </c>
      <c r="P59">
        <f t="shared" si="5"/>
        <v>43034.056281043297</v>
      </c>
      <c r="Q59">
        <f t="shared" si="6"/>
        <v>21414.202954546203</v>
      </c>
      <c r="R59" s="135"/>
      <c r="S59" s="8">
        <f t="shared" si="11"/>
        <v>8.2995093644251412</v>
      </c>
      <c r="T59" s="8">
        <f>SUM($S$3:S59)</f>
        <v>108.96097823683311</v>
      </c>
      <c r="U59" s="8">
        <f t="shared" si="7"/>
        <v>83659</v>
      </c>
      <c r="V59" s="8">
        <f t="shared" si="10"/>
        <v>1098298</v>
      </c>
      <c r="W59" s="61">
        <v>28</v>
      </c>
    </row>
    <row r="60" spans="2:25">
      <c r="B60">
        <f t="shared" si="8"/>
        <v>2283.7435897435766</v>
      </c>
      <c r="C60" s="2">
        <v>58</v>
      </c>
      <c r="D60" s="2">
        <f>'[2]4、人物躶体&amp;总属性表'!F62</f>
        <v>1525.2264000000005</v>
      </c>
      <c r="E60" s="9">
        <f t="shared" si="1"/>
        <v>23571.878000423374</v>
      </c>
      <c r="F60" s="9">
        <f t="shared" si="2"/>
        <v>47143.756000846748</v>
      </c>
      <c r="G60" s="9">
        <f>SUM($E$3:E60)</f>
        <v>256531.66101375688</v>
      </c>
      <c r="H60" s="9">
        <f t="shared" si="3"/>
        <v>513063.32202751376</v>
      </c>
      <c r="I60" s="2">
        <f t="shared" si="4"/>
        <v>4.3651625926709956</v>
      </c>
      <c r="J60">
        <f t="shared" si="9"/>
        <v>47.505863150695717</v>
      </c>
      <c r="P60">
        <f t="shared" si="5"/>
        <v>44171.484014010675</v>
      </c>
      <c r="Q60">
        <f t="shared" si="6"/>
        <v>23571.878000423374</v>
      </c>
      <c r="R60" s="135"/>
      <c r="S60" s="8">
        <f t="shared" si="11"/>
        <v>8.8359993505887076</v>
      </c>
      <c r="T60" s="8">
        <f>SUM($S$3:S60)</f>
        <v>117.79697758742182</v>
      </c>
      <c r="U60" s="8">
        <f t="shared" si="7"/>
        <v>89066</v>
      </c>
      <c r="V60" s="8">
        <f t="shared" si="10"/>
        <v>1187364</v>
      </c>
      <c r="W60" s="8">
        <v>29</v>
      </c>
    </row>
    <row r="61" spans="2:25">
      <c r="B61">
        <f t="shared" si="8"/>
        <v>2428.974358974373</v>
      </c>
      <c r="C61" s="2">
        <v>59</v>
      </c>
      <c r="D61" s="2">
        <f>'[2]4、人物躶体&amp;总属性表'!F63</f>
        <v>1564.2264000000002</v>
      </c>
      <c r="E61" s="9">
        <f t="shared" si="1"/>
        <v>25946.958364326281</v>
      </c>
      <c r="F61" s="9">
        <f t="shared" si="2"/>
        <v>51893.916728652563</v>
      </c>
      <c r="G61" s="9">
        <f>SUM($E$3:E61)</f>
        <v>282478.61937808315</v>
      </c>
      <c r="H61" s="9">
        <f t="shared" si="3"/>
        <v>564957.23875616631</v>
      </c>
      <c r="I61" s="2">
        <f t="shared" si="4"/>
        <v>4.8049922896900519</v>
      </c>
      <c r="J61">
        <f t="shared" si="9"/>
        <v>52.310855440385765</v>
      </c>
      <c r="P61">
        <f t="shared" si="5"/>
        <v>45318.75991242483</v>
      </c>
      <c r="Q61">
        <f t="shared" si="6"/>
        <v>25946.958364326281</v>
      </c>
      <c r="R61" s="135"/>
      <c r="S61" s="8">
        <f t="shared" si="11"/>
        <v>9.3978389084005158</v>
      </c>
      <c r="T61" s="8">
        <f>SUM($S$3:S61)</f>
        <v>127.19481649582234</v>
      </c>
      <c r="U61" s="8">
        <f t="shared" si="7"/>
        <v>94730</v>
      </c>
      <c r="V61" s="8">
        <f t="shared" si="10"/>
        <v>1282094</v>
      </c>
      <c r="W61" s="61">
        <v>30</v>
      </c>
    </row>
    <row r="62" spans="2:25">
      <c r="B62">
        <f t="shared" si="8"/>
        <v>2150.7692307692223</v>
      </c>
      <c r="C62" s="2">
        <v>60</v>
      </c>
      <c r="D62" s="2">
        <f>'[2]4、人物躶体&amp;总属性表'!F64</f>
        <v>1611.0264000000004</v>
      </c>
      <c r="E62" s="9">
        <f t="shared" si="1"/>
        <v>28561.34960260654</v>
      </c>
      <c r="F62" s="9">
        <f t="shared" si="2"/>
        <v>57122.699205213081</v>
      </c>
      <c r="G62" s="9">
        <f>SUM($E$3:E62)</f>
        <v>311039.96898068971</v>
      </c>
      <c r="H62" s="9">
        <f t="shared" si="3"/>
        <v>622079.93796137942</v>
      </c>
      <c r="I62" s="2">
        <f t="shared" si="4"/>
        <v>5.2891388152975081</v>
      </c>
      <c r="J62">
        <f t="shared" si="9"/>
        <v>57.599994255683271</v>
      </c>
      <c r="K62" s="2" t="s">
        <v>71</v>
      </c>
      <c r="P62">
        <f t="shared" si="5"/>
        <v>46475.800154488963</v>
      </c>
      <c r="Q62">
        <f t="shared" si="6"/>
        <v>28561.34960260654</v>
      </c>
      <c r="S62" s="8">
        <f t="shared" si="11"/>
        <v>9.9858026837060496</v>
      </c>
      <c r="T62" s="8">
        <f>SUM($S$3:S62)</f>
        <v>137.18061917952838</v>
      </c>
      <c r="U62" s="8">
        <f t="shared" si="7"/>
        <v>100656</v>
      </c>
      <c r="V62" s="8">
        <f t="shared" si="10"/>
        <v>1382750</v>
      </c>
      <c r="W62" s="61">
        <v>1</v>
      </c>
      <c r="X62" s="4" t="s">
        <v>1268</v>
      </c>
      <c r="Y62" s="136"/>
    </row>
    <row r="63" spans="2:25">
      <c r="B63">
        <f t="shared" si="8"/>
        <v>2283.2051282051193</v>
      </c>
      <c r="C63" s="2">
        <v>61</v>
      </c>
      <c r="D63" s="2">
        <f>'[2]4、人物躶体&amp;总属性表'!F65</f>
        <v>1657.8264000000006</v>
      </c>
      <c r="E63" s="9">
        <f t="shared" si="1"/>
        <v>31439.164454969981</v>
      </c>
      <c r="F63" s="9">
        <f t="shared" si="2"/>
        <v>62878.328909939963</v>
      </c>
      <c r="G63" s="9">
        <f>SUM($E$3:E63)</f>
        <v>342479.13343565969</v>
      </c>
      <c r="H63" s="9">
        <f t="shared" si="3"/>
        <v>684958.26687131939</v>
      </c>
      <c r="I63" s="2">
        <f t="shared" si="4"/>
        <v>5.8220674916611079</v>
      </c>
      <c r="J63">
        <f t="shared" si="9"/>
        <v>63.42206174734438</v>
      </c>
      <c r="P63">
        <f t="shared" si="5"/>
        <v>47642.523023030626</v>
      </c>
      <c r="Q63">
        <f t="shared" si="6"/>
        <v>31439.164454969981</v>
      </c>
      <c r="R63" s="135"/>
      <c r="S63" s="8">
        <f t="shared" si="11"/>
        <v>10.600676766442598</v>
      </c>
      <c r="T63" s="8">
        <f>SUM($S$3:S63)</f>
        <v>147.78129594597098</v>
      </c>
      <c r="U63" s="8">
        <f t="shared" si="7"/>
        <v>106854</v>
      </c>
      <c r="V63" s="8">
        <f t="shared" si="10"/>
        <v>1489604</v>
      </c>
      <c r="W63" s="61">
        <v>2</v>
      </c>
      <c r="X63" s="4" t="s">
        <v>1269</v>
      </c>
      <c r="Y63" s="136">
        <v>0</v>
      </c>
    </row>
    <row r="64" spans="2:25">
      <c r="B64">
        <f t="shared" si="8"/>
        <v>2421.6239316239339</v>
      </c>
      <c r="C64" s="2">
        <v>62</v>
      </c>
      <c r="D64" s="2">
        <f>'[2]4、人物躶体&amp;总属性表'!F66</f>
        <v>1704.6264000000006</v>
      </c>
      <c r="E64" s="9">
        <f t="shared" si="1"/>
        <v>34606.945238205524</v>
      </c>
      <c r="F64" s="9">
        <f t="shared" si="2"/>
        <v>69213.890476411048</v>
      </c>
      <c r="G64" s="9">
        <f>SUM($E$3:E64)</f>
        <v>377086.07867386524</v>
      </c>
      <c r="H64" s="9">
        <f t="shared" si="3"/>
        <v>754172.15734773048</v>
      </c>
      <c r="I64" s="2">
        <f t="shared" si="4"/>
        <v>6.4086935626306527</v>
      </c>
      <c r="J64">
        <f t="shared" si="9"/>
        <v>69.830755309975032</v>
      </c>
      <c r="P64">
        <f t="shared" si="5"/>
        <v>48818.848818873215</v>
      </c>
      <c r="Q64">
        <f t="shared" si="6"/>
        <v>34606.945238205524</v>
      </c>
      <c r="R64" s="135"/>
      <c r="S64" s="8">
        <f t="shared" si="11"/>
        <v>11.243258690639244</v>
      </c>
      <c r="T64" s="8">
        <f>SUM($S$3:S64)</f>
        <v>159.02455463661022</v>
      </c>
      <c r="U64" s="8">
        <f t="shared" si="7"/>
        <v>113332</v>
      </c>
      <c r="V64" s="8">
        <f t="shared" si="10"/>
        <v>1602936</v>
      </c>
      <c r="W64" s="61">
        <v>3</v>
      </c>
      <c r="X64" s="4" t="s">
        <v>1270</v>
      </c>
      <c r="Y64" s="136">
        <v>0</v>
      </c>
    </row>
    <row r="65" spans="2:25">
      <c r="B65">
        <f t="shared" si="8"/>
        <v>2566.1538461538362</v>
      </c>
      <c r="C65" s="2">
        <v>63</v>
      </c>
      <c r="D65" s="2">
        <f>'[2]4、人物躶体&amp;总属性表'!F67</f>
        <v>1751.4264000000007</v>
      </c>
      <c r="E65" s="9">
        <f t="shared" si="1"/>
        <v>38093.908648098004</v>
      </c>
      <c r="F65" s="9">
        <f t="shared" si="2"/>
        <v>76187.817296196008</v>
      </c>
      <c r="G65" s="9">
        <f>SUM($E$3:E65)</f>
        <v>415179.98732196324</v>
      </c>
      <c r="H65" s="9">
        <f t="shared" si="3"/>
        <v>830359.97464392649</v>
      </c>
      <c r="I65" s="2">
        <f t="shared" si="4"/>
        <v>7.0544275274255561</v>
      </c>
      <c r="J65">
        <f t="shared" si="9"/>
        <v>76.885182837400592</v>
      </c>
      <c r="P65">
        <f t="shared" si="5"/>
        <v>50004.699779120732</v>
      </c>
      <c r="Q65">
        <f t="shared" si="6"/>
        <v>38093.908648098004</v>
      </c>
      <c r="R65" s="135"/>
      <c r="S65" s="8">
        <f t="shared" si="11"/>
        <v>11.914357434416866</v>
      </c>
      <c r="T65" s="8">
        <f>SUM($S$3:S65)</f>
        <v>170.93891207102709</v>
      </c>
      <c r="U65" s="8">
        <f t="shared" si="7"/>
        <v>120096</v>
      </c>
      <c r="V65" s="8">
        <f t="shared" si="10"/>
        <v>1723032</v>
      </c>
      <c r="W65" s="61">
        <v>4</v>
      </c>
      <c r="X65" s="4" t="s">
        <v>1273</v>
      </c>
      <c r="Y65" s="136">
        <v>0</v>
      </c>
    </row>
    <row r="66" spans="2:25">
      <c r="B66">
        <f t="shared" si="8"/>
        <v>2717.0299145299041</v>
      </c>
      <c r="C66" s="2">
        <v>64</v>
      </c>
      <c r="D66" s="2">
        <f>'[2]4、人物躶体&amp;总属性表'!F68</f>
        <v>1798.2264000000009</v>
      </c>
      <c r="E66" s="9">
        <f t="shared" si="1"/>
        <v>41932.215227352506</v>
      </c>
      <c r="F66" s="9">
        <f t="shared" si="2"/>
        <v>83864.430454705012</v>
      </c>
      <c r="G66" s="9">
        <f>SUM($E$3:E66)</f>
        <v>457112.20254931576</v>
      </c>
      <c r="H66" s="9">
        <f t="shared" si="3"/>
        <v>914224.40509863151</v>
      </c>
      <c r="I66" s="2">
        <f t="shared" si="4"/>
        <v>7.7652250421023155</v>
      </c>
      <c r="J66">
        <f t="shared" si="9"/>
        <v>84.650407879502907</v>
      </c>
      <c r="P66">
        <f t="shared" si="5"/>
        <v>51199.999999999949</v>
      </c>
      <c r="Q66">
        <f t="shared" si="6"/>
        <v>41932.215227352506</v>
      </c>
      <c r="R66" s="135"/>
      <c r="S66" s="8">
        <f t="shared" si="11"/>
        <v>12.614793419988143</v>
      </c>
      <c r="T66" s="8">
        <f>SUM($S$3:S66)</f>
        <v>183.55370549101522</v>
      </c>
      <c r="U66" s="8">
        <f t="shared" si="7"/>
        <v>127157</v>
      </c>
      <c r="V66" s="8">
        <f t="shared" si="10"/>
        <v>1850189</v>
      </c>
      <c r="W66" s="61">
        <v>5</v>
      </c>
      <c r="X66" s="4" t="s">
        <v>1271</v>
      </c>
      <c r="Y66" s="136">
        <v>0.02</v>
      </c>
    </row>
    <row r="67" spans="2:25">
      <c r="B67">
        <f t="shared" si="8"/>
        <v>2874.3803418803586</v>
      </c>
      <c r="C67" s="2">
        <v>65</v>
      </c>
      <c r="D67" s="2">
        <f>'[2]4、人物躶体&amp;总属性表'!F69</f>
        <v>1845.0264000000006</v>
      </c>
      <c r="E67" s="9">
        <f t="shared" si="1"/>
        <v>46157.265984854617</v>
      </c>
      <c r="F67" s="9">
        <f t="shared" si="2"/>
        <v>92314.531969709235</v>
      </c>
      <c r="G67" s="9">
        <f>SUM($E$3:E67)</f>
        <v>503269.46853417036</v>
      </c>
      <c r="H67" s="9">
        <f t="shared" si="3"/>
        <v>1006538.9370683407</v>
      </c>
      <c r="I67" s="2">
        <f t="shared" si="4"/>
        <v>8.5476418490471513</v>
      </c>
      <c r="J67">
        <f t="shared" si="9"/>
        <v>93.19804972855006</v>
      </c>
      <c r="P67">
        <f t="shared" si="5"/>
        <v>52404.675363940565</v>
      </c>
      <c r="Q67">
        <f t="shared" si="6"/>
        <v>46157.265984854617</v>
      </c>
      <c r="R67" s="135"/>
      <c r="S67" s="8">
        <f t="shared" si="11"/>
        <v>13.345398513657546</v>
      </c>
      <c r="T67" s="8">
        <f>SUM($S$3:S67)</f>
        <v>196.89910400467278</v>
      </c>
      <c r="U67" s="8">
        <f t="shared" si="7"/>
        <v>134521</v>
      </c>
      <c r="V67" s="8">
        <f t="shared" si="10"/>
        <v>1984710</v>
      </c>
      <c r="W67" s="61">
        <v>6</v>
      </c>
      <c r="X67" s="4" t="s">
        <v>1272</v>
      </c>
      <c r="Y67" s="136">
        <v>1</v>
      </c>
    </row>
    <row r="68" spans="2:25">
      <c r="B68">
        <f t="shared" si="8"/>
        <v>3038.4188034187623</v>
      </c>
      <c r="C68" s="2">
        <v>66</v>
      </c>
      <c r="D68" s="2">
        <f>'[2]4、人物躶体&amp;总属性表'!F70</f>
        <v>1891.8264000000013</v>
      </c>
      <c r="E68" s="9">
        <f t="shared" ref="E68:E102" si="12">Q68</f>
        <v>50808.02890200969</v>
      </c>
      <c r="F68" s="9">
        <f t="shared" ref="F68:F102" si="13">E68*2</f>
        <v>101616.05780401938</v>
      </c>
      <c r="G68" s="9">
        <f>SUM($E$3:E68)</f>
        <v>554077.49743618001</v>
      </c>
      <c r="H68" s="9">
        <f t="shared" ref="H68:H102" si="14">G68*2</f>
        <v>1108154.99487236</v>
      </c>
      <c r="I68" s="2">
        <f t="shared" ref="I68:I102" si="15">E68/60/60/1.5</f>
        <v>9.4088942411129057</v>
      </c>
      <c r="J68">
        <f t="shared" si="9"/>
        <v>102.60694396966296</v>
      </c>
      <c r="P68">
        <f t="shared" ref="P68:P102" si="16">$R$3*C68^1.5</f>
        <v>53618.653470597317</v>
      </c>
      <c r="Q68">
        <f t="shared" ref="Q68:Q102" si="17">90*EXP(C68*0.096)</f>
        <v>50808.02890200969</v>
      </c>
      <c r="R68" s="135"/>
      <c r="S68" s="8">
        <f t="shared" si="11"/>
        <v>14.107016025821345</v>
      </c>
      <c r="T68" s="8">
        <f>SUM($S$3:S68)</f>
        <v>211.00612003049412</v>
      </c>
      <c r="U68" s="8">
        <f t="shared" ref="U68:U102" si="18">INT(S68*60*60*2.8)</f>
        <v>142198</v>
      </c>
      <c r="V68" s="8">
        <f t="shared" si="10"/>
        <v>2126908</v>
      </c>
      <c r="W68" s="61">
        <v>7</v>
      </c>
    </row>
    <row r="69" spans="2:25">
      <c r="B69">
        <f t="shared" ref="B69:B102" si="19">U69/(D69-D68)</f>
        <v>3209.3376068375942</v>
      </c>
      <c r="C69" s="2">
        <v>67</v>
      </c>
      <c r="D69" s="2">
        <f>'[2]4、人物躶体&amp;总属性表'!F71</f>
        <v>1938.6264000000015</v>
      </c>
      <c r="E69" s="9">
        <f t="shared" si="12"/>
        <v>55927.39833755522</v>
      </c>
      <c r="F69" s="9">
        <f t="shared" si="13"/>
        <v>111854.79667511044</v>
      </c>
      <c r="G69" s="9">
        <f>SUM($E$3:E69)</f>
        <v>610004.89577373525</v>
      </c>
      <c r="H69" s="9">
        <f t="shared" si="14"/>
        <v>1220009.7915474705</v>
      </c>
      <c r="I69" s="2">
        <f t="shared" si="15"/>
        <v>10.356925618065782</v>
      </c>
      <c r="J69">
        <f t="shared" ref="J69:J102" si="20">J68+I69</f>
        <v>112.96386958772875</v>
      </c>
      <c r="P69">
        <f t="shared" si="16"/>
        <v>54841.863571545415</v>
      </c>
      <c r="Q69">
        <f t="shared" si="17"/>
        <v>55927.39833755522</v>
      </c>
      <c r="R69" s="135"/>
      <c r="S69" s="8">
        <f t="shared" si="11"/>
        <v>14.900500710967611</v>
      </c>
      <c r="T69" s="8">
        <f>SUM($S$3:S69)</f>
        <v>225.90662074146172</v>
      </c>
      <c r="U69" s="8">
        <f t="shared" si="18"/>
        <v>150197</v>
      </c>
      <c r="V69" s="8">
        <f t="shared" ref="V69:V102" si="21">V68+U69</f>
        <v>2277105</v>
      </c>
      <c r="W69" s="61">
        <v>8</v>
      </c>
    </row>
    <row r="70" spans="2:25">
      <c r="B70">
        <f t="shared" si="19"/>
        <v>3387.2863247863279</v>
      </c>
      <c r="C70" s="2">
        <v>68</v>
      </c>
      <c r="D70" s="2">
        <f>'[2]4、人物躶体&amp;总属性表'!F72</f>
        <v>1985.4264000000014</v>
      </c>
      <c r="E70" s="9">
        <f t="shared" si="12"/>
        <v>61562.59064566571</v>
      </c>
      <c r="F70" s="9">
        <f t="shared" si="13"/>
        <v>123125.18129133142</v>
      </c>
      <c r="G70" s="9">
        <f>SUM($E$3:E70)</f>
        <v>671567.4864194009</v>
      </c>
      <c r="H70" s="9">
        <f t="shared" si="14"/>
        <v>1343134.9728388018</v>
      </c>
      <c r="I70" s="2">
        <f t="shared" si="15"/>
        <v>11.400479749197352</v>
      </c>
      <c r="J70">
        <f t="shared" si="20"/>
        <v>124.3643493369261</v>
      </c>
      <c r="P70">
        <f t="shared" si="16"/>
        <v>56074.236508400238</v>
      </c>
      <c r="Q70">
        <f t="shared" si="17"/>
        <v>61562.59064566571</v>
      </c>
      <c r="R70" s="135"/>
      <c r="S70" s="8">
        <f t="shared" si="11"/>
        <v>15.726718767676207</v>
      </c>
      <c r="T70" s="8">
        <f>SUM($S$3:S70)</f>
        <v>241.63333950913793</v>
      </c>
      <c r="U70" s="8">
        <f t="shared" si="18"/>
        <v>158525</v>
      </c>
      <c r="V70" s="8">
        <f t="shared" si="21"/>
        <v>2435630</v>
      </c>
      <c r="W70" s="61">
        <v>9</v>
      </c>
    </row>
    <row r="71" spans="2:25">
      <c r="B71">
        <f t="shared" si="19"/>
        <v>3572.478632478636</v>
      </c>
      <c r="C71" s="2">
        <v>69</v>
      </c>
      <c r="D71" s="2">
        <f>'[2]4、人物躶体&amp;总属性表'!F73</f>
        <v>2032.2264000000014</v>
      </c>
      <c r="E71" s="9">
        <f t="shared" si="12"/>
        <v>67765.579656167465</v>
      </c>
      <c r="F71" s="9">
        <f t="shared" si="13"/>
        <v>135531.15931233493</v>
      </c>
      <c r="G71" s="9">
        <f>SUM($E$3:E71)</f>
        <v>739333.06607556832</v>
      </c>
      <c r="H71" s="9">
        <f t="shared" si="14"/>
        <v>1478666.1321511366</v>
      </c>
      <c r="I71" s="2">
        <f t="shared" si="15"/>
        <v>12.549181417808791</v>
      </c>
      <c r="J71">
        <f t="shared" si="20"/>
        <v>136.91353075473489</v>
      </c>
      <c r="P71">
        <f t="shared" si="16"/>
        <v>57315.704654134723</v>
      </c>
      <c r="Q71">
        <f t="shared" si="17"/>
        <v>67765.579656167465</v>
      </c>
      <c r="R71" s="135"/>
      <c r="S71" s="8">
        <f t="shared" si="11"/>
        <v>16.586547838618792</v>
      </c>
      <c r="T71" s="8">
        <f>SUM($S$3:S71)</f>
        <v>258.2198873477567</v>
      </c>
      <c r="U71" s="8">
        <f t="shared" si="18"/>
        <v>167192</v>
      </c>
      <c r="V71" s="8">
        <f t="shared" si="21"/>
        <v>2602822</v>
      </c>
      <c r="W71" s="61">
        <v>10</v>
      </c>
    </row>
    <row r="72" spans="2:25">
      <c r="B72">
        <f t="shared" si="19"/>
        <v>3227.2344322344106</v>
      </c>
      <c r="C72" s="2">
        <v>70</v>
      </c>
      <c r="D72" s="2">
        <f>'[2]4、人物躶体&amp;总属性表'!F74</f>
        <v>2086.8264000000017</v>
      </c>
      <c r="E72" s="9">
        <f t="shared" si="12"/>
        <v>74593.576033332254</v>
      </c>
      <c r="F72" s="9">
        <f t="shared" si="13"/>
        <v>149187.15206666451</v>
      </c>
      <c r="G72" s="9">
        <f>SUM($E$3:E72)</f>
        <v>813926.64210890059</v>
      </c>
      <c r="H72" s="9">
        <f t="shared" si="14"/>
        <v>1627853.2842178012</v>
      </c>
      <c r="I72" s="2">
        <f t="shared" si="15"/>
        <v>13.813625191357827</v>
      </c>
      <c r="J72">
        <f t="shared" si="20"/>
        <v>150.72715594609272</v>
      </c>
      <c r="P72">
        <f t="shared" si="16"/>
        <v>58566.201857385349</v>
      </c>
      <c r="Q72">
        <f t="shared" si="17"/>
        <v>74593.576033332254</v>
      </c>
      <c r="R72" s="135"/>
      <c r="S72" s="8">
        <f t="shared" si="11"/>
        <v>17.480877010558824</v>
      </c>
      <c r="T72" s="8">
        <f>SUM($S$3:S72)</f>
        <v>275.7007643583155</v>
      </c>
      <c r="U72" s="8">
        <f t="shared" si="18"/>
        <v>176207</v>
      </c>
      <c r="V72" s="8">
        <f t="shared" si="21"/>
        <v>2779029</v>
      </c>
      <c r="W72" s="61">
        <v>11</v>
      </c>
    </row>
    <row r="73" spans="2:25">
      <c r="B73">
        <f t="shared" si="19"/>
        <v>3398.8644688645027</v>
      </c>
      <c r="C73" s="2">
        <v>71</v>
      </c>
      <c r="D73" s="2">
        <f>'[2]4、人物躶体&amp;总属性表'!F75</f>
        <v>2141.4264000000012</v>
      </c>
      <c r="E73" s="9">
        <f t="shared" si="12"/>
        <v>82109.554934414526</v>
      </c>
      <c r="F73" s="9">
        <f t="shared" si="13"/>
        <v>164219.10986882905</v>
      </c>
      <c r="G73" s="9">
        <f>SUM($E$3:E73)</f>
        <v>896036.19704331516</v>
      </c>
      <c r="H73" s="9">
        <f t="shared" si="14"/>
        <v>1792072.3940866303</v>
      </c>
      <c r="I73" s="2">
        <f t="shared" si="15"/>
        <v>15.20547313600269</v>
      </c>
      <c r="J73">
        <f t="shared" si="20"/>
        <v>165.93262908209542</v>
      </c>
      <c r="P73">
        <f t="shared" si="16"/>
        <v>59825.663389552174</v>
      </c>
      <c r="Q73">
        <f t="shared" si="17"/>
        <v>82109.554934414526</v>
      </c>
      <c r="R73" s="135"/>
      <c r="S73" s="8">
        <f t="shared" si="11"/>
        <v>18.41060681435156</v>
      </c>
      <c r="T73" s="8">
        <f>SUM($S$3:S73)</f>
        <v>294.11137117266708</v>
      </c>
      <c r="U73" s="8">
        <f t="shared" si="18"/>
        <v>185578</v>
      </c>
      <c r="V73" s="8">
        <f t="shared" si="21"/>
        <v>2964607</v>
      </c>
      <c r="W73" s="61">
        <v>12</v>
      </c>
    </row>
    <row r="74" spans="2:25">
      <c r="B74">
        <f t="shared" si="19"/>
        <v>3577.2161172160936</v>
      </c>
      <c r="C74" s="2">
        <v>72</v>
      </c>
      <c r="D74" s="2">
        <f>'[2]4、人物躶体&amp;总属性表'!F76</f>
        <v>2196.0264000000016</v>
      </c>
      <c r="E74" s="9">
        <f t="shared" si="12"/>
        <v>90382.836834568341</v>
      </c>
      <c r="F74" s="9">
        <f t="shared" si="13"/>
        <v>180765.67366913668</v>
      </c>
      <c r="G74" s="9">
        <f>SUM($E$3:E74)</f>
        <v>986419.03387788346</v>
      </c>
      <c r="H74" s="9">
        <f t="shared" si="14"/>
        <v>1972838.0677557669</v>
      </c>
      <c r="I74" s="2">
        <f t="shared" si="15"/>
        <v>16.737562376771915</v>
      </c>
      <c r="J74">
        <f t="shared" si="20"/>
        <v>182.67019145886732</v>
      </c>
      <c r="P74">
        <f t="shared" si="16"/>
        <v>61094.025894517676</v>
      </c>
      <c r="Q74">
        <f t="shared" si="17"/>
        <v>90382.836834568341</v>
      </c>
      <c r="R74" s="135"/>
      <c r="S74" s="8">
        <f t="shared" si="11"/>
        <v>19.376649224944053</v>
      </c>
      <c r="T74" s="8">
        <f>SUM($S$3:S74)</f>
        <v>313.48802039761114</v>
      </c>
      <c r="U74" s="8">
        <f t="shared" si="18"/>
        <v>195316</v>
      </c>
      <c r="V74" s="8">
        <f t="shared" si="21"/>
        <v>3159923</v>
      </c>
      <c r="W74" s="61">
        <v>13</v>
      </c>
    </row>
    <row r="75" spans="2:25">
      <c r="B75">
        <f t="shared" si="19"/>
        <v>3762.4358974359352</v>
      </c>
      <c r="C75" s="2">
        <v>73</v>
      </c>
      <c r="D75" s="2">
        <f>'[2]4、人物躶体&amp;总属性表'!F77</f>
        <v>2250.626400000001</v>
      </c>
      <c r="E75" s="9">
        <f t="shared" si="12"/>
        <v>99489.726875139968</v>
      </c>
      <c r="F75" s="9">
        <f t="shared" si="13"/>
        <v>198979.45375027994</v>
      </c>
      <c r="G75" s="9">
        <f>SUM($E$3:E75)</f>
        <v>1085908.7607530234</v>
      </c>
      <c r="H75" s="9">
        <f t="shared" si="14"/>
        <v>2171817.5215060469</v>
      </c>
      <c r="I75" s="2">
        <f t="shared" si="15"/>
        <v>18.424023495396291</v>
      </c>
      <c r="J75">
        <f t="shared" si="20"/>
        <v>201.09421495426361</v>
      </c>
      <c r="P75">
        <f t="shared" si="16"/>
        <v>62371.227340817961</v>
      </c>
      <c r="Q75">
        <f t="shared" si="17"/>
        <v>99489.726875139968</v>
      </c>
      <c r="R75" s="135"/>
      <c r="S75" s="8">
        <f t="shared" si="11"/>
        <v>20.379927661375149</v>
      </c>
      <c r="T75" s="8">
        <f>SUM($S$3:S75)</f>
        <v>333.86794805898626</v>
      </c>
      <c r="U75" s="8">
        <f t="shared" si="18"/>
        <v>205429</v>
      </c>
      <c r="V75" s="8">
        <f t="shared" si="21"/>
        <v>3365352</v>
      </c>
      <c r="W75" s="61">
        <v>14</v>
      </c>
    </row>
    <row r="76" spans="2:25">
      <c r="B76">
        <f t="shared" si="19"/>
        <v>3954.7069597069335</v>
      </c>
      <c r="C76" s="2">
        <v>74</v>
      </c>
      <c r="D76" s="2">
        <f>'[2]4、人物躶体&amp;总属性表'!F78</f>
        <v>2305.2264000000014</v>
      </c>
      <c r="E76" s="9">
        <f t="shared" si="12"/>
        <v>109514.21863209568</v>
      </c>
      <c r="F76" s="9">
        <f t="shared" si="13"/>
        <v>219028.43726419137</v>
      </c>
      <c r="G76" s="9">
        <f>SUM($E$3:E76)</f>
        <v>1195422.9793851192</v>
      </c>
      <c r="H76" s="9">
        <f t="shared" si="14"/>
        <v>2390845.9587702383</v>
      </c>
      <c r="I76" s="2">
        <f t="shared" si="15"/>
        <v>20.280410857795498</v>
      </c>
      <c r="J76">
        <f t="shared" si="20"/>
        <v>221.37462581205909</v>
      </c>
      <c r="P76">
        <f t="shared" si="16"/>
        <v>63657.2069761155</v>
      </c>
      <c r="Q76">
        <f t="shared" si="17"/>
        <v>109514.21863209568</v>
      </c>
      <c r="R76" s="135"/>
      <c r="S76" s="8">
        <f t="shared" si="11"/>
        <v>21.421376986775492</v>
      </c>
      <c r="T76" s="8">
        <f>SUM($S$3:S76)</f>
        <v>355.28932504576176</v>
      </c>
      <c r="U76" s="8">
        <f t="shared" si="18"/>
        <v>215927</v>
      </c>
      <c r="V76" s="8">
        <f t="shared" si="21"/>
        <v>3581279</v>
      </c>
      <c r="W76" s="61">
        <v>15</v>
      </c>
    </row>
    <row r="77" spans="2:25">
      <c r="B77">
        <f t="shared" si="19"/>
        <v>4154.1941391941118</v>
      </c>
      <c r="C77" s="2">
        <v>75</v>
      </c>
      <c r="D77" s="2">
        <f>'[2]4、人物躶体&amp;总属性表'!F79</f>
        <v>2359.8264000000017</v>
      </c>
      <c r="E77" s="9">
        <f t="shared" si="12"/>
        <v>120548.76879549763</v>
      </c>
      <c r="F77" s="9">
        <f t="shared" si="13"/>
        <v>241097.53759099526</v>
      </c>
      <c r="G77" s="9">
        <f>SUM($E$3:E77)</f>
        <v>1315971.7481806169</v>
      </c>
      <c r="H77" s="9">
        <f t="shared" si="14"/>
        <v>2631943.4963612338</v>
      </c>
      <c r="I77" s="2">
        <f t="shared" si="15"/>
        <v>22.323846073240301</v>
      </c>
      <c r="J77">
        <f t="shared" si="20"/>
        <v>243.6984718852994</v>
      </c>
      <c r="P77">
        <f t="shared" si="16"/>
        <v>64951.905283832864</v>
      </c>
      <c r="Q77">
        <f t="shared" si="17"/>
        <v>120548.76879549763</v>
      </c>
      <c r="R77" s="135"/>
      <c r="S77" s="8">
        <f t="shared" si="11"/>
        <v>22.501943508367528</v>
      </c>
      <c r="T77" s="8">
        <f>SUM($S$3:S77)</f>
        <v>377.79126855412926</v>
      </c>
      <c r="U77" s="8">
        <f t="shared" si="18"/>
        <v>226819</v>
      </c>
      <c r="V77" s="8">
        <f t="shared" si="21"/>
        <v>3808098</v>
      </c>
      <c r="W77" s="61">
        <v>16</v>
      </c>
    </row>
    <row r="78" spans="2:25">
      <c r="B78">
        <f t="shared" si="19"/>
        <v>4361.0805860806295</v>
      </c>
      <c r="C78" s="2">
        <v>76</v>
      </c>
      <c r="D78" s="2">
        <f>'[2]4、人物躶体&amp;总属性表'!F80</f>
        <v>2414.4264000000012</v>
      </c>
      <c r="E78" s="9">
        <f t="shared" si="12"/>
        <v>132695.14990495855</v>
      </c>
      <c r="F78" s="9">
        <f t="shared" si="13"/>
        <v>265390.29980991711</v>
      </c>
      <c r="G78" s="9">
        <f>SUM($E$3:E78)</f>
        <v>1448666.8980855756</v>
      </c>
      <c r="H78" s="9">
        <f t="shared" si="14"/>
        <v>2897333.7961711511</v>
      </c>
      <c r="I78" s="2">
        <f t="shared" si="15"/>
        <v>24.573175908325663</v>
      </c>
      <c r="J78">
        <f t="shared" si="20"/>
        <v>268.27164779362505</v>
      </c>
      <c r="P78">
        <f t="shared" si="16"/>
        <v>66255.263941818237</v>
      </c>
      <c r="Q78">
        <f t="shared" si="17"/>
        <v>132695.14990495855</v>
      </c>
      <c r="R78" s="135"/>
      <c r="S78" s="8">
        <f t="shared" si="11"/>
        <v>23.622584977465493</v>
      </c>
      <c r="T78" s="8">
        <f>SUM($S$3:S78)</f>
        <v>401.41385353159478</v>
      </c>
      <c r="U78" s="8">
        <f t="shared" si="18"/>
        <v>238115</v>
      </c>
      <c r="V78" s="8">
        <f t="shared" si="21"/>
        <v>4046213</v>
      </c>
      <c r="W78" s="61">
        <v>17</v>
      </c>
    </row>
    <row r="79" spans="2:25">
      <c r="B79">
        <f t="shared" si="19"/>
        <v>4575.549450549458</v>
      </c>
      <c r="C79" s="2">
        <v>77</v>
      </c>
      <c r="D79" s="2">
        <f>'[2]4、人物躶体&amp;总属性表'!F81</f>
        <v>2469.0264000000011</v>
      </c>
      <c r="E79" s="9">
        <f t="shared" si="12"/>
        <v>146065.38900592292</v>
      </c>
      <c r="F79" s="9">
        <f t="shared" si="13"/>
        <v>292130.77801184583</v>
      </c>
      <c r="G79" s="9">
        <f>SUM($E$3:E79)</f>
        <v>1594732.2870914985</v>
      </c>
      <c r="H79" s="9">
        <f t="shared" si="14"/>
        <v>3189464.574182997</v>
      </c>
      <c r="I79" s="2">
        <f t="shared" si="15"/>
        <v>27.049146112207946</v>
      </c>
      <c r="J79">
        <f t="shared" si="20"/>
        <v>295.320793905833</v>
      </c>
      <c r="P79">
        <f t="shared" si="16"/>
        <v>67567.22578291937</v>
      </c>
      <c r="Q79">
        <f t="shared" si="17"/>
        <v>146065.38900592292</v>
      </c>
      <c r="R79" s="135"/>
      <c r="S79" s="8">
        <f t="shared" si="11"/>
        <v>24.784270589475426</v>
      </c>
      <c r="T79" s="8">
        <f>SUM($S$3:S79)</f>
        <v>426.19812412107024</v>
      </c>
      <c r="U79" s="8">
        <f t="shared" si="18"/>
        <v>249825</v>
      </c>
      <c r="V79" s="8">
        <f t="shared" si="21"/>
        <v>4296038</v>
      </c>
      <c r="W79" s="61">
        <v>18</v>
      </c>
    </row>
    <row r="80" spans="2:25">
      <c r="B80">
        <f t="shared" si="19"/>
        <v>4797.7655677655757</v>
      </c>
      <c r="C80" s="2">
        <v>78</v>
      </c>
      <c r="D80" s="2">
        <f>'[2]4、人物躶体&amp;总属性表'!F82</f>
        <v>2523.626400000001</v>
      </c>
      <c r="E80" s="9">
        <f t="shared" si="12"/>
        <v>160782.80088407613</v>
      </c>
      <c r="F80" s="9">
        <f t="shared" si="13"/>
        <v>321565.60176815226</v>
      </c>
      <c r="G80" s="9">
        <f>SUM($E$3:E80)</f>
        <v>1755515.0879755747</v>
      </c>
      <c r="H80" s="9">
        <f t="shared" si="14"/>
        <v>3511030.1759511493</v>
      </c>
      <c r="I80" s="2">
        <f t="shared" si="15"/>
        <v>29.774592756310394</v>
      </c>
      <c r="J80">
        <f t="shared" si="20"/>
        <v>325.09538666214337</v>
      </c>
      <c r="P80">
        <f t="shared" si="16"/>
        <v>68887.734757357233</v>
      </c>
      <c r="Q80">
        <f t="shared" si="17"/>
        <v>160782.80088407613</v>
      </c>
      <c r="R80" s="135"/>
      <c r="S80" s="8">
        <f t="shared" si="11"/>
        <v>25.987980983895159</v>
      </c>
      <c r="T80" s="8">
        <f>SUM($S$3:S80)</f>
        <v>452.18610510496541</v>
      </c>
      <c r="U80" s="8">
        <f t="shared" si="18"/>
        <v>261958</v>
      </c>
      <c r="V80" s="8">
        <f t="shared" si="21"/>
        <v>4557996</v>
      </c>
      <c r="W80" s="61">
        <v>19</v>
      </c>
    </row>
    <row r="81" spans="2:23">
      <c r="B81">
        <f t="shared" si="19"/>
        <v>5027.9304029304112</v>
      </c>
      <c r="C81" s="2">
        <v>79</v>
      </c>
      <c r="D81" s="2">
        <f>'[2]4、人物躶体&amp;总属性表'!F83</f>
        <v>2578.2264000000009</v>
      </c>
      <c r="E81" s="9">
        <f t="shared" si="12"/>
        <v>176983.12540748593</v>
      </c>
      <c r="F81" s="9">
        <f t="shared" si="13"/>
        <v>353966.25081497186</v>
      </c>
      <c r="G81" s="9">
        <f>SUM($E$3:E81)</f>
        <v>1932498.2133830606</v>
      </c>
      <c r="H81" s="9">
        <f t="shared" si="14"/>
        <v>3864996.4267661213</v>
      </c>
      <c r="I81" s="2">
        <f t="shared" si="15"/>
        <v>32.77465285323813</v>
      </c>
      <c r="J81">
        <f t="shared" si="20"/>
        <v>357.87003951538151</v>
      </c>
      <c r="O81" s="15">
        <f>SUM(Q3:Q82)</f>
        <v>2127313.9928493337</v>
      </c>
      <c r="P81">
        <f t="shared" si="16"/>
        <v>70216.735896793121</v>
      </c>
      <c r="Q81">
        <f t="shared" si="17"/>
        <v>176983.12540748593</v>
      </c>
      <c r="R81" s="135"/>
      <c r="S81" s="8">
        <f t="shared" si="11"/>
        <v>27.234708244314319</v>
      </c>
      <c r="T81" s="8">
        <f>SUM($S$3:S81)</f>
        <v>479.42081334927974</v>
      </c>
      <c r="U81" s="8">
        <f t="shared" si="18"/>
        <v>274525</v>
      </c>
      <c r="V81" s="8">
        <f t="shared" si="21"/>
        <v>4832521</v>
      </c>
      <c r="W81" s="61">
        <v>20</v>
      </c>
    </row>
    <row r="82" spans="2:23">
      <c r="B82">
        <f t="shared" si="19"/>
        <v>4607.9487179487451</v>
      </c>
      <c r="C82" s="2">
        <v>80</v>
      </c>
      <c r="D82" s="2">
        <f>'[2]4、人物躶体&amp;总属性表'!F84</f>
        <v>2640.6264000000006</v>
      </c>
      <c r="E82" s="9">
        <f t="shared" si="12"/>
        <v>194815.77946627303</v>
      </c>
      <c r="F82" s="9">
        <f t="shared" si="13"/>
        <v>389631.55893254606</v>
      </c>
      <c r="G82" s="9">
        <f>SUM($E$3:E82)</f>
        <v>2127313.9928493337</v>
      </c>
      <c r="H82" s="9">
        <f t="shared" si="14"/>
        <v>4254627.9856986674</v>
      </c>
      <c r="I82" s="2">
        <f t="shared" si="15"/>
        <v>36.076996197457966</v>
      </c>
      <c r="J82">
        <f t="shared" si="20"/>
        <v>393.94703571283947</v>
      </c>
      <c r="K82" s="2" t="s">
        <v>512</v>
      </c>
      <c r="N82">
        <f>'0、经济设定'!C5</f>
        <v>2008800</v>
      </c>
      <c r="O82" s="34">
        <f>SUM(P3:P82)</f>
        <v>2325619.9515512553</v>
      </c>
      <c r="P82">
        <f t="shared" si="16"/>
        <v>71554.175279993229</v>
      </c>
      <c r="Q82">
        <f t="shared" si="17"/>
        <v>194815.77946627303</v>
      </c>
      <c r="R82" s="93">
        <v>250000</v>
      </c>
      <c r="S82" s="8">
        <f t="shared" si="11"/>
        <v>28.525455898414339</v>
      </c>
      <c r="T82" s="8">
        <f>SUM($S$3:S82)</f>
        <v>507.94626924769409</v>
      </c>
      <c r="U82" s="8">
        <f t="shared" si="18"/>
        <v>287536</v>
      </c>
      <c r="V82" s="8">
        <f t="shared" si="21"/>
        <v>5120057</v>
      </c>
      <c r="W82" s="61">
        <v>21</v>
      </c>
    </row>
    <row r="83" spans="2:23">
      <c r="B83">
        <f t="shared" si="19"/>
        <v>4823.7339743589673</v>
      </c>
      <c r="C83" s="2">
        <v>81</v>
      </c>
      <c r="D83" s="2">
        <f>'[2]4、人物躶体&amp;总属性表'!F85</f>
        <v>2703.0264000000006</v>
      </c>
      <c r="E83" s="9">
        <f t="shared" si="12"/>
        <v>214445.23505655216</v>
      </c>
      <c r="F83" s="9">
        <f t="shared" si="13"/>
        <v>428890.47011310433</v>
      </c>
      <c r="G83" s="9">
        <f>SUM($E$3:E83)</f>
        <v>2341759.2279058858</v>
      </c>
      <c r="H83" s="9">
        <f t="shared" si="14"/>
        <v>4683518.4558117716</v>
      </c>
      <c r="I83" s="2">
        <f t="shared" si="15"/>
        <v>39.712080566028185</v>
      </c>
      <c r="J83">
        <f t="shared" si="20"/>
        <v>433.65911627886766</v>
      </c>
      <c r="P83">
        <f t="shared" si="16"/>
        <v>72900.000000000015</v>
      </c>
      <c r="Q83">
        <f t="shared" si="17"/>
        <v>214445.23505655216</v>
      </c>
      <c r="S83" s="8">
        <f t="shared" si="11"/>
        <v>29.861238917968436</v>
      </c>
      <c r="T83" s="8">
        <f>SUM($S$3:S83)</f>
        <v>537.80750816566251</v>
      </c>
      <c r="U83" s="8">
        <f t="shared" si="18"/>
        <v>301001</v>
      </c>
      <c r="V83" s="8">
        <f t="shared" si="21"/>
        <v>5421058</v>
      </c>
      <c r="W83" s="61">
        <v>22</v>
      </c>
    </row>
    <row r="84" spans="2:23">
      <c r="B84">
        <f t="shared" si="19"/>
        <v>5046.955128205158</v>
      </c>
      <c r="C84" s="2">
        <v>82</v>
      </c>
      <c r="D84" s="2">
        <f>'[2]4、人物躶体&amp;总属性表'!F86</f>
        <v>2765.4264000000003</v>
      </c>
      <c r="E84" s="9">
        <f t="shared" si="12"/>
        <v>236052.53621881915</v>
      </c>
      <c r="F84" s="9">
        <f t="shared" si="13"/>
        <v>472105.0724376383</v>
      </c>
      <c r="G84" s="9">
        <f>SUM($E$3:E84)</f>
        <v>2577811.764124705</v>
      </c>
      <c r="H84" s="9">
        <f t="shared" si="14"/>
        <v>5155623.52824941</v>
      </c>
      <c r="I84" s="2">
        <f t="shared" si="15"/>
        <v>43.713432633114657</v>
      </c>
      <c r="J84">
        <f t="shared" si="20"/>
        <v>477.37254891198234</v>
      </c>
      <c r="P84">
        <f t="shared" si="16"/>
        <v>74254.15813272688</v>
      </c>
      <c r="Q84">
        <f t="shared" si="17"/>
        <v>236052.53621881915</v>
      </c>
      <c r="S84" s="8">
        <f t="shared" si="11"/>
        <v>31.243083718841635</v>
      </c>
      <c r="T84" s="8">
        <f>SUM($S$3:S84)</f>
        <v>569.05059188450412</v>
      </c>
      <c r="U84" s="8">
        <f t="shared" si="18"/>
        <v>314930</v>
      </c>
      <c r="V84" s="8">
        <f t="shared" si="21"/>
        <v>5735988</v>
      </c>
      <c r="W84" s="61">
        <v>23</v>
      </c>
    </row>
    <row r="85" spans="2:23">
      <c r="B85">
        <f t="shared" si="19"/>
        <v>5277.7884615384155</v>
      </c>
      <c r="C85" s="2">
        <v>83</v>
      </c>
      <c r="D85" s="2">
        <f>'[2]4、人物躶体&amp;总属性表'!F87</f>
        <v>2827.8264000000008</v>
      </c>
      <c r="E85" s="9">
        <f t="shared" si="12"/>
        <v>259836.96882163221</v>
      </c>
      <c r="F85" s="9">
        <f t="shared" si="13"/>
        <v>519673.93764326442</v>
      </c>
      <c r="G85" s="9">
        <f>SUM($E$3:E85)</f>
        <v>2837648.7329463372</v>
      </c>
      <c r="H85" s="9">
        <f t="shared" si="14"/>
        <v>5675297.4658926744</v>
      </c>
      <c r="I85" s="2">
        <f t="shared" si="15"/>
        <v>48.117957189191152</v>
      </c>
      <c r="J85">
        <f t="shared" si="20"/>
        <v>525.49050610117354</v>
      </c>
      <c r="P85">
        <f t="shared" si="16"/>
        <v>75616.598706897712</v>
      </c>
      <c r="Q85">
        <f t="shared" si="17"/>
        <v>259836.96882163221</v>
      </c>
      <c r="S85" s="8">
        <f t="shared" si="11"/>
        <v>32.672028160990749</v>
      </c>
      <c r="T85" s="8">
        <f>SUM($S$3:S85)</f>
        <v>601.72262004549486</v>
      </c>
      <c r="U85" s="8">
        <f t="shared" si="18"/>
        <v>329334</v>
      </c>
      <c r="V85" s="8">
        <f t="shared" si="21"/>
        <v>6065322</v>
      </c>
      <c r="W85" s="61">
        <v>24</v>
      </c>
    </row>
    <row r="86" spans="2:23">
      <c r="B86">
        <f t="shared" si="19"/>
        <v>5516.3942307692632</v>
      </c>
      <c r="C86" s="2">
        <v>84</v>
      </c>
      <c r="D86" s="2">
        <f>'[2]4、人物躶体&amp;总属性表'!F88</f>
        <v>2890.2264000000005</v>
      </c>
      <c r="E86" s="9">
        <f t="shared" si="12"/>
        <v>286017.8985911326</v>
      </c>
      <c r="F86" s="9">
        <f t="shared" si="13"/>
        <v>572035.7971822652</v>
      </c>
      <c r="G86" s="9">
        <f>SUM($E$3:E86)</f>
        <v>3123666.63153747</v>
      </c>
      <c r="H86" s="9">
        <f t="shared" si="14"/>
        <v>6247333.2630749401</v>
      </c>
      <c r="I86" s="2">
        <f t="shared" si="15"/>
        <v>52.96627751687641</v>
      </c>
      <c r="J86">
        <f t="shared" si="20"/>
        <v>578.45678361804994</v>
      </c>
      <c r="P86">
        <f t="shared" si="16"/>
        <v>76987.271675258075</v>
      </c>
      <c r="Q86">
        <f t="shared" si="17"/>
        <v>286017.8985911326</v>
      </c>
      <c r="S86" s="8">
        <f t="shared" si="11"/>
        <v>34.1491215484644</v>
      </c>
      <c r="T86" s="8">
        <f>SUM($S$3:S86)</f>
        <v>635.87174159395931</v>
      </c>
      <c r="U86" s="8">
        <f t="shared" si="18"/>
        <v>344223</v>
      </c>
      <c r="V86" s="8">
        <f t="shared" si="21"/>
        <v>6409545</v>
      </c>
      <c r="W86" s="61">
        <v>25</v>
      </c>
    </row>
    <row r="87" spans="2:23">
      <c r="B87">
        <f t="shared" si="19"/>
        <v>5762.9487179487096</v>
      </c>
      <c r="C87" s="2">
        <v>85</v>
      </c>
      <c r="D87" s="2">
        <f>'[2]4、人物躶体&amp;总属性表'!F89</f>
        <v>2952.6264000000006</v>
      </c>
      <c r="E87" s="9">
        <f t="shared" si="12"/>
        <v>314836.7943386999</v>
      </c>
      <c r="F87" s="9">
        <f t="shared" si="13"/>
        <v>629673.58867739979</v>
      </c>
      <c r="G87" s="9">
        <f>SUM($E$3:E87)</f>
        <v>3438503.4258761699</v>
      </c>
      <c r="H87" s="9">
        <f t="shared" si="14"/>
        <v>6877006.8517523399</v>
      </c>
      <c r="I87" s="2">
        <f t="shared" si="15"/>
        <v>58.303110062722205</v>
      </c>
      <c r="J87">
        <f t="shared" si="20"/>
        <v>636.75989368077217</v>
      </c>
      <c r="P87">
        <f t="shared" si="16"/>
        <v>78366.127886989561</v>
      </c>
      <c r="Q87">
        <f t="shared" si="17"/>
        <v>314836.7943386999</v>
      </c>
      <c r="S87" s="8">
        <f t="shared" si="11"/>
        <v>35.67542462940299</v>
      </c>
      <c r="T87" s="8">
        <f>SUM($S$3:S87)</f>
        <v>671.5471662233623</v>
      </c>
      <c r="U87" s="8">
        <f t="shared" si="18"/>
        <v>359608</v>
      </c>
      <c r="V87" s="8">
        <f t="shared" si="21"/>
        <v>6769153</v>
      </c>
      <c r="W87" s="61">
        <v>26</v>
      </c>
    </row>
    <row r="88" spans="2:23">
      <c r="B88">
        <f t="shared" si="19"/>
        <v>6017.628205128196</v>
      </c>
      <c r="C88" s="2">
        <v>86</v>
      </c>
      <c r="D88" s="2">
        <f>'[2]4、人物躶体&amp;总属性表'!F90</f>
        <v>3015.0264000000006</v>
      </c>
      <c r="E88" s="9">
        <f t="shared" si="12"/>
        <v>346559.45504713221</v>
      </c>
      <c r="F88" s="9">
        <f t="shared" si="13"/>
        <v>693118.91009426443</v>
      </c>
      <c r="G88" s="9">
        <f>SUM($E$3:E88)</f>
        <v>3785062.8809233019</v>
      </c>
      <c r="H88" s="9">
        <f t="shared" si="14"/>
        <v>7570125.7618466038</v>
      </c>
      <c r="I88" s="2">
        <f t="shared" si="15"/>
        <v>64.177676860580036</v>
      </c>
      <c r="J88">
        <f t="shared" si="20"/>
        <v>700.93757054135222</v>
      </c>
      <c r="P88">
        <f t="shared" si="16"/>
        <v>79753.119061263016</v>
      </c>
      <c r="Q88">
        <f t="shared" si="17"/>
        <v>346559.45504713221</v>
      </c>
      <c r="S88" s="8">
        <f t="shared" si="11"/>
        <v>37.252009596038732</v>
      </c>
      <c r="T88" s="8">
        <f>SUM($S$3:S88)</f>
        <v>708.79917581940106</v>
      </c>
      <c r="U88" s="8">
        <f t="shared" si="18"/>
        <v>375500</v>
      </c>
      <c r="V88" s="8">
        <f t="shared" si="21"/>
        <v>7144653</v>
      </c>
      <c r="W88" s="61">
        <v>27</v>
      </c>
    </row>
    <row r="89" spans="2:23">
      <c r="B89">
        <f t="shared" si="19"/>
        <v>6280.5929487180765</v>
      </c>
      <c r="C89" s="2">
        <v>87</v>
      </c>
      <c r="D89" s="2">
        <f>'[2]4、人物躶体&amp;总属性表'!F91</f>
        <v>3077.4263999999994</v>
      </c>
      <c r="E89" s="9">
        <f t="shared" si="12"/>
        <v>381478.46135594469</v>
      </c>
      <c r="F89" s="9">
        <f t="shared" si="13"/>
        <v>762956.92271188938</v>
      </c>
      <c r="G89" s="9">
        <f>SUM($E$3:E89)</f>
        <v>4166541.3422792465</v>
      </c>
      <c r="H89" s="9">
        <f t="shared" si="14"/>
        <v>8333082.6845584931</v>
      </c>
      <c r="I89" s="2">
        <f t="shared" si="15"/>
        <v>70.644159510360126</v>
      </c>
      <c r="J89">
        <f t="shared" si="20"/>
        <v>771.58173005171238</v>
      </c>
      <c r="P89">
        <f t="shared" si="16"/>
        <v>81148.197761872696</v>
      </c>
      <c r="Q89">
        <f t="shared" si="17"/>
        <v>381478.46135594469</v>
      </c>
      <c r="S89" s="8">
        <f t="shared" si="11"/>
        <v>38.879960084695632</v>
      </c>
      <c r="T89" s="8">
        <f>SUM($S$3:S89)</f>
        <v>747.67913590409671</v>
      </c>
      <c r="U89" s="8">
        <f t="shared" si="18"/>
        <v>391909</v>
      </c>
      <c r="V89" s="8">
        <f t="shared" si="21"/>
        <v>7536562</v>
      </c>
      <c r="W89" s="61">
        <v>28</v>
      </c>
    </row>
    <row r="90" spans="2:23">
      <c r="B90">
        <f t="shared" si="19"/>
        <v>6552.0512820513204</v>
      </c>
      <c r="C90" s="2">
        <v>88</v>
      </c>
      <c r="D90" s="2">
        <f>'[2]4、人物躶体&amp;总属性表'!F92</f>
        <v>3139.826399999999</v>
      </c>
      <c r="E90" s="9">
        <f t="shared" si="12"/>
        <v>419915.87405603298</v>
      </c>
      <c r="F90" s="9">
        <f t="shared" si="13"/>
        <v>839831.74811206595</v>
      </c>
      <c r="G90" s="9">
        <f>SUM($E$3:E90)</f>
        <v>4586457.2163352799</v>
      </c>
      <c r="H90" s="9">
        <f t="shared" si="14"/>
        <v>9172914.4326705597</v>
      </c>
      <c r="I90" s="2">
        <f t="shared" si="15"/>
        <v>77.762198899265357</v>
      </c>
      <c r="J90">
        <f t="shared" si="20"/>
        <v>849.34392895097778</v>
      </c>
      <c r="P90">
        <f t="shared" si="16"/>
        <v>82551.317372892416</v>
      </c>
      <c r="Q90">
        <f t="shared" si="17"/>
        <v>419915.87405603298</v>
      </c>
      <c r="S90" s="8">
        <f t="shared" si="11"/>
        <v>40.560371175789484</v>
      </c>
      <c r="T90" s="8">
        <f>SUM($S$3:S90)</f>
        <v>788.23950707988615</v>
      </c>
      <c r="U90" s="8">
        <f t="shared" si="18"/>
        <v>408848</v>
      </c>
      <c r="V90" s="8">
        <f t="shared" si="21"/>
        <v>7945410</v>
      </c>
      <c r="W90" s="61">
        <v>29</v>
      </c>
    </row>
    <row r="91" spans="2:23">
      <c r="B91">
        <f t="shared" si="19"/>
        <v>6832.1634615384019</v>
      </c>
      <c r="C91" s="2">
        <v>89</v>
      </c>
      <c r="D91" s="2">
        <f>'[2]4、人物躶体&amp;总属性表'!F93</f>
        <v>3202.2263999999996</v>
      </c>
      <c r="E91" s="9">
        <f t="shared" si="12"/>
        <v>462226.20448213239</v>
      </c>
      <c r="F91" s="9">
        <f t="shared" si="13"/>
        <v>924452.40896426479</v>
      </c>
      <c r="G91" s="9">
        <f>SUM($E$3:E91)</f>
        <v>5048683.4208174124</v>
      </c>
      <c r="H91" s="9">
        <f t="shared" si="14"/>
        <v>10097366.841634825</v>
      </c>
      <c r="I91" s="2">
        <f t="shared" si="15"/>
        <v>85.597445274468953</v>
      </c>
      <c r="J91">
        <f t="shared" si="20"/>
        <v>934.94137422544668</v>
      </c>
      <c r="P91">
        <f t="shared" si="16"/>
        <v>83962.432075303746</v>
      </c>
      <c r="Q91">
        <f t="shared" si="17"/>
        <v>462226.20448213239</v>
      </c>
      <c r="S91" s="8">
        <f t="shared" si="11"/>
        <v>42.2943493938279</v>
      </c>
      <c r="T91" s="8">
        <f>SUM($S$3:S91)</f>
        <v>830.53385647371408</v>
      </c>
      <c r="U91" s="8">
        <f t="shared" si="18"/>
        <v>426327</v>
      </c>
      <c r="V91" s="8">
        <f t="shared" si="21"/>
        <v>8371737</v>
      </c>
      <c r="W91" s="61">
        <v>30</v>
      </c>
    </row>
    <row r="92" spans="2:23">
      <c r="B92">
        <f t="shared" si="19"/>
        <v>7121.0897435898369</v>
      </c>
      <c r="C92" s="2">
        <v>90</v>
      </c>
      <c r="D92" s="2">
        <f>'[2]4、人物躶体&amp;总属性表'!F94</f>
        <v>3264.6263999999987</v>
      </c>
      <c r="E92" s="9">
        <f t="shared" si="12"/>
        <v>508799.68419924157</v>
      </c>
      <c r="F92" s="9">
        <f t="shared" si="13"/>
        <v>1017599.3683984831</v>
      </c>
      <c r="G92" s="9">
        <f>SUM($E$3:E92)</f>
        <v>5557483.1050166544</v>
      </c>
      <c r="H92" s="9">
        <f t="shared" si="14"/>
        <v>11114966.210033309</v>
      </c>
      <c r="I92" s="2">
        <f t="shared" si="15"/>
        <v>94.222163740600294</v>
      </c>
      <c r="J92">
        <f t="shared" si="20"/>
        <v>1029.163537966047</v>
      </c>
      <c r="P92">
        <f t="shared" si="16"/>
        <v>85381.496824546237</v>
      </c>
      <c r="Q92">
        <f t="shared" si="17"/>
        <v>508799.68419924157</v>
      </c>
      <c r="S92" s="8">
        <f t="shared" si="11"/>
        <v>44.083012707410262</v>
      </c>
      <c r="T92" s="8">
        <f>SUM($S$3:S92)</f>
        <v>874.61686918112434</v>
      </c>
      <c r="U92" s="8">
        <f t="shared" si="18"/>
        <v>444356</v>
      </c>
      <c r="V92" s="8">
        <f t="shared" si="21"/>
        <v>8816093</v>
      </c>
      <c r="W92" s="61">
        <v>31</v>
      </c>
    </row>
    <row r="93" spans="2:23">
      <c r="B93">
        <f t="shared" si="19"/>
        <v>7419.05448717953</v>
      </c>
      <c r="C93" s="2">
        <v>91</v>
      </c>
      <c r="D93" s="2">
        <f>'[2]4、人物躶体&amp;总属性表'!F95</f>
        <v>3327.0263999999984</v>
      </c>
      <c r="E93" s="9">
        <f t="shared" si="12"/>
        <v>560065.86413958936</v>
      </c>
      <c r="F93" s="9">
        <f t="shared" si="13"/>
        <v>1120131.7282791787</v>
      </c>
      <c r="G93" s="9">
        <f>SUM($E$3:E93)</f>
        <v>6117548.9691562438</v>
      </c>
      <c r="H93" s="9">
        <f t="shared" si="14"/>
        <v>12235097.938312488</v>
      </c>
      <c r="I93" s="2">
        <f t="shared" si="15"/>
        <v>103.71590076659061</v>
      </c>
      <c r="J93">
        <f t="shared" si="20"/>
        <v>1132.8794387326375</v>
      </c>
      <c r="P93">
        <f t="shared" si="16"/>
        <v>86808.467328942017</v>
      </c>
      <c r="Q93">
        <f t="shared" si="17"/>
        <v>560065.86413958936</v>
      </c>
      <c r="S93" s="8">
        <f t="shared" ref="S93:S102" si="22">$Y$8*($Y$7+$Y$3*C93^1+$Y$4*C93^2+$Y$5*C93^3+$Y$6*C93^4)</f>
        <v>45.927490529227768</v>
      </c>
      <c r="T93" s="8">
        <f>SUM($S$3:S93)</f>
        <v>920.54435971035207</v>
      </c>
      <c r="U93" s="8">
        <f t="shared" si="18"/>
        <v>462949</v>
      </c>
      <c r="V93" s="8">
        <f t="shared" si="21"/>
        <v>9279042</v>
      </c>
      <c r="W93" s="61">
        <v>32</v>
      </c>
    </row>
    <row r="94" spans="2:23">
      <c r="B94">
        <f t="shared" si="19"/>
        <v>7726.201923076912</v>
      </c>
      <c r="C94" s="2">
        <v>92</v>
      </c>
      <c r="D94" s="2">
        <f>'[2]4、人物躶体&amp;总属性表'!F96</f>
        <v>3389.4263999999985</v>
      </c>
      <c r="E94" s="9">
        <f t="shared" si="12"/>
        <v>616497.57638527337</v>
      </c>
      <c r="F94" s="9">
        <f t="shared" si="13"/>
        <v>1232995.1527705467</v>
      </c>
      <c r="G94" s="9">
        <f>SUM($E$3:E94)</f>
        <v>6734046.5455415174</v>
      </c>
      <c r="H94" s="9">
        <f t="shared" si="14"/>
        <v>13468093.091083035</v>
      </c>
      <c r="I94" s="2">
        <f t="shared" si="15"/>
        <v>114.16621784912469</v>
      </c>
      <c r="J94">
        <f t="shared" si="20"/>
        <v>1247.0456565817622</v>
      </c>
      <c r="P94">
        <f t="shared" si="16"/>
        <v>88243.300028954065</v>
      </c>
      <c r="Q94">
        <f t="shared" si="17"/>
        <v>616497.57638527337</v>
      </c>
      <c r="S94" s="8">
        <f t="shared" si="22"/>
        <v>47.828923716063407</v>
      </c>
      <c r="T94" s="8">
        <f>SUM($S$3:S94)</f>
        <v>968.37328342641547</v>
      </c>
      <c r="U94" s="8">
        <f t="shared" si="18"/>
        <v>482115</v>
      </c>
      <c r="V94" s="8">
        <f t="shared" si="21"/>
        <v>9761157</v>
      </c>
      <c r="W94" s="61">
        <v>33</v>
      </c>
    </row>
    <row r="95" spans="2:23">
      <c r="B95">
        <f t="shared" si="19"/>
        <v>8042.7403846153729</v>
      </c>
      <c r="C95" s="2">
        <v>93</v>
      </c>
      <c r="D95" s="2">
        <f>'[2]4、人物躶体&amp;总属性表'!F97</f>
        <v>3451.8263999999986</v>
      </c>
      <c r="E95" s="9">
        <f t="shared" si="12"/>
        <v>678615.29513641004</v>
      </c>
      <c r="F95" s="9">
        <f t="shared" si="13"/>
        <v>1357230.5902728201</v>
      </c>
      <c r="G95" s="9">
        <f>SUM($E$3:E95)</f>
        <v>7412661.8406779272</v>
      </c>
      <c r="H95" s="9">
        <f t="shared" si="14"/>
        <v>14825323.681355854</v>
      </c>
      <c r="I95" s="2">
        <f t="shared" si="15"/>
        <v>125.6694990993352</v>
      </c>
      <c r="J95">
        <f t="shared" si="20"/>
        <v>1372.7151556810973</v>
      </c>
      <c r="P95">
        <f t="shared" si="16"/>
        <v>89685.952077234528</v>
      </c>
      <c r="Q95">
        <f t="shared" si="17"/>
        <v>678615.29513641004</v>
      </c>
      <c r="S95" s="8">
        <f t="shared" si="22"/>
        <v>49.788464568791966</v>
      </c>
      <c r="T95" s="8">
        <f>SUM($S$3:S95)</f>
        <v>1018.1617479952074</v>
      </c>
      <c r="U95" s="8">
        <f t="shared" si="18"/>
        <v>501867</v>
      </c>
      <c r="V95" s="8">
        <f t="shared" si="21"/>
        <v>10263024</v>
      </c>
      <c r="W95" s="61">
        <v>34</v>
      </c>
    </row>
    <row r="96" spans="2:23">
      <c r="B96">
        <f t="shared" si="19"/>
        <v>8368.8621794871669</v>
      </c>
      <c r="C96" s="2">
        <v>94</v>
      </c>
      <c r="D96" s="2">
        <f>'[2]4、人物躶体&amp;总属性表'!F98</f>
        <v>3514.2263999999986</v>
      </c>
      <c r="E96" s="9">
        <f t="shared" si="12"/>
        <v>746991.9370863525</v>
      </c>
      <c r="F96" s="9">
        <f t="shared" si="13"/>
        <v>1493983.874172705</v>
      </c>
      <c r="G96" s="9">
        <f>SUM($E$3:E96)</f>
        <v>8159653.7777642794</v>
      </c>
      <c r="H96" s="9">
        <f t="shared" si="14"/>
        <v>16319307.555528559</v>
      </c>
      <c r="I96" s="2">
        <f t="shared" si="15"/>
        <v>138.33184020117639</v>
      </c>
      <c r="J96">
        <f t="shared" si="20"/>
        <v>1511.0469958822737</v>
      </c>
      <c r="P96">
        <f t="shared" si="16"/>
        <v>91136.381319427019</v>
      </c>
      <c r="Q96">
        <f t="shared" si="17"/>
        <v>746991.9370863525</v>
      </c>
      <c r="S96" s="8">
        <f t="shared" si="22"/>
        <v>51.807276832380033</v>
      </c>
      <c r="T96" s="8">
        <f>SUM($S$3:S96)</f>
        <v>1069.9690248275874</v>
      </c>
      <c r="U96" s="8">
        <f t="shared" si="18"/>
        <v>522217</v>
      </c>
      <c r="V96" s="8">
        <f t="shared" si="21"/>
        <v>10785241</v>
      </c>
      <c r="W96" s="61">
        <v>35</v>
      </c>
    </row>
    <row r="97" spans="2:23">
      <c r="B97">
        <f t="shared" si="19"/>
        <v>8704.7435897436408</v>
      </c>
      <c r="C97" s="2">
        <v>95</v>
      </c>
      <c r="D97" s="2">
        <f>'[2]4、人物躶体&amp;总属性表'!F99</f>
        <v>3576.6263999999983</v>
      </c>
      <c r="E97" s="9">
        <f t="shared" si="12"/>
        <v>822258.14547822264</v>
      </c>
      <c r="F97" s="9">
        <f t="shared" si="13"/>
        <v>1644516.2909564453</v>
      </c>
      <c r="G97" s="9">
        <f>SUM($E$3:E97)</f>
        <v>8981911.9232425019</v>
      </c>
      <c r="H97" s="9">
        <f t="shared" si="14"/>
        <v>17963823.846485004</v>
      </c>
      <c r="I97" s="2">
        <f t="shared" si="15"/>
        <v>152.27002694041161</v>
      </c>
      <c r="J97">
        <f t="shared" si="20"/>
        <v>1663.3170228226852</v>
      </c>
      <c r="P97">
        <f t="shared" si="16"/>
        <v>92594.546275685105</v>
      </c>
      <c r="Q97">
        <f t="shared" si="17"/>
        <v>822258.14547822264</v>
      </c>
      <c r="S97" s="8">
        <f t="shared" si="22"/>
        <v>53.886535695885975</v>
      </c>
      <c r="T97" s="8">
        <f>SUM($S$3:S97)</f>
        <v>1123.8555605234733</v>
      </c>
      <c r="U97" s="8">
        <f t="shared" si="18"/>
        <v>543176</v>
      </c>
      <c r="V97" s="8">
        <f t="shared" si="21"/>
        <v>11328417</v>
      </c>
      <c r="W97" s="61">
        <v>36</v>
      </c>
    </row>
    <row r="98" spans="2:23">
      <c r="B98">
        <f t="shared" si="19"/>
        <v>9050.5769230769765</v>
      </c>
      <c r="C98" s="2">
        <v>96</v>
      </c>
      <c r="D98" s="2">
        <f>'[2]4、人物躶体&amp;总属性表'!F100</f>
        <v>3639.0263999999979</v>
      </c>
      <c r="E98" s="9">
        <f t="shared" si="12"/>
        <v>905108.10657803342</v>
      </c>
      <c r="F98" s="9">
        <f t="shared" si="13"/>
        <v>1810216.2131560668</v>
      </c>
      <c r="G98" s="9">
        <f>SUM($E$3:E98)</f>
        <v>9887020.0298205353</v>
      </c>
      <c r="H98" s="9">
        <f t="shared" si="14"/>
        <v>19774040.059641071</v>
      </c>
      <c r="I98" s="2">
        <f t="shared" si="15"/>
        <v>167.61261232926543</v>
      </c>
      <c r="J98">
        <f t="shared" si="20"/>
        <v>1830.9296351519506</v>
      </c>
      <c r="P98">
        <f t="shared" si="16"/>
        <v>94060.406122874017</v>
      </c>
      <c r="Q98">
        <f t="shared" si="17"/>
        <v>905108.10657803342</v>
      </c>
      <c r="S98" s="8">
        <f t="shared" si="22"/>
        <v>56.027427792459982</v>
      </c>
      <c r="T98" s="8">
        <f>SUM($S$3:S98)</f>
        <v>1179.8829883159333</v>
      </c>
      <c r="U98" s="8">
        <f t="shared" si="18"/>
        <v>564756</v>
      </c>
      <c r="V98" s="8">
        <f t="shared" si="21"/>
        <v>11893173</v>
      </c>
      <c r="W98" s="61">
        <v>37</v>
      </c>
    </row>
    <row r="99" spans="2:23">
      <c r="B99">
        <f t="shared" si="19"/>
        <v>9406.5705128205682</v>
      </c>
      <c r="C99" s="2">
        <v>97</v>
      </c>
      <c r="D99" s="2">
        <f>'[2]4、人物躶体&amp;总属性表'!F101</f>
        <v>3701.4263999999976</v>
      </c>
      <c r="E99" s="9">
        <f t="shared" si="12"/>
        <v>996305.95221019688</v>
      </c>
      <c r="F99" s="9">
        <f t="shared" si="13"/>
        <v>1992611.9044203938</v>
      </c>
      <c r="G99" s="9">
        <f>SUM($E$3:E99)</f>
        <v>10883325.982030733</v>
      </c>
      <c r="H99" s="9">
        <f t="shared" si="14"/>
        <v>21766651.964061465</v>
      </c>
      <c r="I99" s="2">
        <f t="shared" si="15"/>
        <v>184.50110226114757</v>
      </c>
      <c r="J99">
        <f t="shared" si="20"/>
        <v>2015.4307374130981</v>
      </c>
      <c r="P99">
        <f t="shared" si="16"/>
        <v>95533.920677422211</v>
      </c>
      <c r="Q99">
        <f t="shared" si="17"/>
        <v>996305.95221019688</v>
      </c>
      <c r="S99" s="8">
        <f t="shared" si="22"/>
        <v>58.231151199344012</v>
      </c>
      <c r="T99" s="8">
        <f>SUM($S$3:S99)</f>
        <v>1238.1141395152772</v>
      </c>
      <c r="U99" s="8">
        <f t="shared" si="18"/>
        <v>586970</v>
      </c>
      <c r="V99" s="8">
        <f t="shared" si="21"/>
        <v>12480143</v>
      </c>
      <c r="W99" s="61">
        <v>38</v>
      </c>
    </row>
    <row r="100" spans="2:23">
      <c r="B100">
        <f t="shared" si="19"/>
        <v>9772.9006410257698</v>
      </c>
      <c r="C100" s="2">
        <v>98</v>
      </c>
      <c r="D100" s="2">
        <f>'[2]4、人物躶体&amp;总属性表'!F102</f>
        <v>3763.8263999999967</v>
      </c>
      <c r="E100" s="9">
        <f t="shared" si="12"/>
        <v>1096692.8074065263</v>
      </c>
      <c r="F100" s="9">
        <f t="shared" si="13"/>
        <v>2193385.6148130526</v>
      </c>
      <c r="G100" s="9">
        <f>SUM($E$3:E100)</f>
        <v>11980018.789437259</v>
      </c>
      <c r="H100" s="9">
        <f t="shared" si="14"/>
        <v>23960037.578874517</v>
      </c>
      <c r="I100" s="2">
        <f t="shared" si="15"/>
        <v>203.09126063083818</v>
      </c>
      <c r="J100">
        <f t="shared" si="20"/>
        <v>2218.521998043936</v>
      </c>
      <c r="P100">
        <f t="shared" si="16"/>
        <v>97015.050378794374</v>
      </c>
      <c r="Q100">
        <f t="shared" si="17"/>
        <v>1096692.8074065263</v>
      </c>
      <c r="S100" s="8">
        <f t="shared" si="22"/>
        <v>60.498915437871858</v>
      </c>
      <c r="T100" s="8">
        <f>SUM($S$3:S100)</f>
        <v>1298.613054953149</v>
      </c>
      <c r="U100" s="8">
        <f t="shared" si="18"/>
        <v>609829</v>
      </c>
      <c r="V100" s="8">
        <f t="shared" si="21"/>
        <v>13089972</v>
      </c>
      <c r="W100" s="61">
        <v>39</v>
      </c>
    </row>
    <row r="101" spans="2:23">
      <c r="B101">
        <f t="shared" si="19"/>
        <v>10149.759615384601</v>
      </c>
      <c r="C101" s="2">
        <v>99</v>
      </c>
      <c r="D101" s="2">
        <f>'[2]4、人物躶体&amp;总属性表'!F103</f>
        <v>3826.2263999999968</v>
      </c>
      <c r="E101" s="9">
        <f t="shared" si="12"/>
        <v>1207194.548169737</v>
      </c>
      <c r="F101" s="9">
        <f t="shared" si="13"/>
        <v>2414389.096339474</v>
      </c>
      <c r="G101" s="9">
        <f>SUM($E$3:E101)</f>
        <v>13187213.337606996</v>
      </c>
      <c r="H101" s="9">
        <f t="shared" si="14"/>
        <v>26374426.675213993</v>
      </c>
      <c r="I101" s="2">
        <f t="shared" si="15"/>
        <v>223.55454595735867</v>
      </c>
      <c r="J101">
        <f t="shared" si="20"/>
        <v>2442.0765440012947</v>
      </c>
      <c r="P101">
        <f t="shared" si="16"/>
        <v>98503.756273555307</v>
      </c>
      <c r="Q101">
        <f t="shared" si="17"/>
        <v>1207194.548169737</v>
      </c>
      <c r="S101" s="8">
        <f t="shared" si="22"/>
        <v>62.831941473469065</v>
      </c>
      <c r="T101" s="8">
        <f>SUM($S$3:S101)</f>
        <v>1361.444996426618</v>
      </c>
      <c r="U101" s="8">
        <f t="shared" si="18"/>
        <v>633345</v>
      </c>
      <c r="V101" s="8">
        <f t="shared" si="21"/>
        <v>13723317</v>
      </c>
      <c r="W101" s="61">
        <v>40</v>
      </c>
    </row>
    <row r="102" spans="2:23">
      <c r="B102">
        <f t="shared" si="19"/>
        <v>10537.387820512728</v>
      </c>
      <c r="C102" s="2">
        <v>100</v>
      </c>
      <c r="D102" s="2">
        <f>'[2]4、人物躶体&amp;总属性表'!F104</f>
        <v>3888.6263999999974</v>
      </c>
      <c r="E102" s="9">
        <f t="shared" si="12"/>
        <v>1328830.3409019541</v>
      </c>
      <c r="F102" s="9">
        <f t="shared" si="13"/>
        <v>2657660.6818039082</v>
      </c>
      <c r="G102" s="9">
        <f>SUM($E$3:E102)</f>
        <v>14516043.67850895</v>
      </c>
      <c r="H102" s="9">
        <f t="shared" si="14"/>
        <v>29032087.357017901</v>
      </c>
      <c r="I102" s="2">
        <f t="shared" si="15"/>
        <v>246.07969275962111</v>
      </c>
      <c r="J102">
        <f t="shared" si="20"/>
        <v>2688.1562367609158</v>
      </c>
      <c r="P102">
        <f t="shared" si="16"/>
        <v>100000.00000000007</v>
      </c>
      <c r="Q102">
        <f t="shared" si="17"/>
        <v>1328830.3409019541</v>
      </c>
      <c r="S102" s="8">
        <f t="shared" si="22"/>
        <v>65.231461715653012</v>
      </c>
      <c r="T102" s="8">
        <f>SUM($S$3:S102)</f>
        <v>1426.676458142271</v>
      </c>
      <c r="U102" s="8">
        <f t="shared" si="18"/>
        <v>657533</v>
      </c>
      <c r="V102" s="8">
        <f t="shared" si="21"/>
        <v>14380850</v>
      </c>
      <c r="W102" s="61">
        <v>41</v>
      </c>
    </row>
  </sheetData>
  <phoneticPr fontId="1" type="noConversion"/>
  <conditionalFormatting sqref="M3:O32 M58:N61 M63:O102 C3:D102 K33:N36 K31:O32 R32:R33 R82:R102 R63 K58:K102 F3:J102 S3:T102">
    <cfRule type="expression" dxfId="63" priority="7">
      <formula>MOD($C3,10)=0</formula>
    </cfRule>
  </conditionalFormatting>
  <conditionalFormatting sqref="I1">
    <cfRule type="expression" dxfId="62" priority="19">
      <formula>MOD($C3,10)=0</formula>
    </cfRule>
  </conditionalFormatting>
  <conditionalFormatting sqref="R62">
    <cfRule type="expression" dxfId="61" priority="21">
      <formula>MOD($C32,10)=0</formula>
    </cfRule>
  </conditionalFormatting>
  <conditionalFormatting sqref="K3:K36">
    <cfRule type="expression" dxfId="60" priority="6">
      <formula>MOD($C3,10)=0</formula>
    </cfRule>
  </conditionalFormatting>
  <conditionalFormatting sqref="M62:N62">
    <cfRule type="expression" dxfId="59" priority="23">
      <formula>MOD($C32,10)=0</formula>
    </cfRule>
  </conditionalFormatting>
  <conditionalFormatting sqref="K46:O48 O49:O62 K37:N45 O33:O45 K49:N57">
    <cfRule type="expression" dxfId="58" priority="3">
      <formula>MOD($C33,10)=0</formula>
    </cfRule>
  </conditionalFormatting>
  <conditionalFormatting sqref="U3:U102">
    <cfRule type="expression" dxfId="57" priority="2">
      <formula>MOD($C3,10)=0</formula>
    </cfRule>
  </conditionalFormatting>
  <conditionalFormatting sqref="E3:E102">
    <cfRule type="expression" dxfId="56" priority="1">
      <formula>MOD($C3,10)=0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4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4" sqref="K4"/>
    </sheetView>
  </sheetViews>
  <sheetFormatPr defaultRowHeight="13.5"/>
  <cols>
    <col min="1" max="1" width="5" customWidth="1"/>
    <col min="2" max="2" width="9.5" style="119" bestFit="1" customWidth="1"/>
    <col min="3" max="3" width="10.5" style="119" bestFit="1" customWidth="1"/>
    <col min="4" max="4" width="9.5" style="117" customWidth="1"/>
    <col min="5" max="5" width="10.5" style="117" customWidth="1"/>
    <col min="6" max="6" width="5.75" customWidth="1"/>
    <col min="7" max="7" width="6.25" customWidth="1"/>
    <col min="8" max="8" width="7.25" customWidth="1"/>
    <col min="9" max="9" width="7.625" customWidth="1"/>
    <col min="11" max="11" width="7.125" style="134" customWidth="1"/>
    <col min="12" max="12" width="9" style="134" bestFit="1" customWidth="1"/>
    <col min="13" max="13" width="8.125" customWidth="1"/>
    <col min="14" max="20" width="8.125" bestFit="1" customWidth="1"/>
  </cols>
  <sheetData>
    <row r="1" spans="1:20" s="115" customFormat="1" ht="27">
      <c r="A1" s="115" t="s">
        <v>0</v>
      </c>
      <c r="B1" s="118" t="s">
        <v>1184</v>
      </c>
      <c r="C1" s="118" t="s">
        <v>1185</v>
      </c>
      <c r="D1" s="116" t="s">
        <v>1203</v>
      </c>
      <c r="E1" s="116" t="s">
        <v>1204</v>
      </c>
      <c r="G1" s="115" t="s">
        <v>1187</v>
      </c>
      <c r="H1" s="115" t="s">
        <v>1186</v>
      </c>
      <c r="I1" s="115" t="s">
        <v>1191</v>
      </c>
      <c r="J1" s="115" t="s">
        <v>1192</v>
      </c>
      <c r="K1" s="131" t="s">
        <v>1201</v>
      </c>
      <c r="L1" s="131" t="s">
        <v>1202</v>
      </c>
      <c r="M1" s="123" t="s">
        <v>1193</v>
      </c>
      <c r="N1" s="123" t="s">
        <v>1194</v>
      </c>
      <c r="O1" s="124" t="s">
        <v>1195</v>
      </c>
      <c r="P1" s="124" t="s">
        <v>1196</v>
      </c>
      <c r="Q1" s="125" t="s">
        <v>1197</v>
      </c>
      <c r="R1" s="125" t="s">
        <v>1198</v>
      </c>
      <c r="S1" s="126" t="s">
        <v>1199</v>
      </c>
      <c r="T1" s="126" t="s">
        <v>1200</v>
      </c>
    </row>
    <row r="2" spans="1:20" s="115" customFormat="1">
      <c r="B2" s="118"/>
      <c r="C2" s="118"/>
      <c r="D2" s="116"/>
      <c r="E2" s="116"/>
      <c r="H2" s="115">
        <f>体力消耗运算!AB20</f>
        <v>460</v>
      </c>
      <c r="I2" s="120">
        <f>[3]日常任务辅助表!$P$8</f>
        <v>6812.0299596774194</v>
      </c>
      <c r="K2" s="132">
        <v>240</v>
      </c>
      <c r="L2" s="132">
        <f>K2*K3</f>
        <v>4800</v>
      </c>
      <c r="M2" s="115">
        <v>120</v>
      </c>
      <c r="N2" s="115">
        <f>M2*M3</f>
        <v>2400</v>
      </c>
      <c r="O2" s="115">
        <v>360</v>
      </c>
      <c r="P2" s="115">
        <f>O2*O3</f>
        <v>7200</v>
      </c>
      <c r="Q2" s="115">
        <v>720</v>
      </c>
      <c r="R2" s="115">
        <f>Q2*Q3</f>
        <v>14400</v>
      </c>
      <c r="S2" s="115">
        <v>1320</v>
      </c>
      <c r="T2" s="115">
        <f>S2*S3</f>
        <v>26400</v>
      </c>
    </row>
    <row r="3" spans="1:20" s="115" customFormat="1">
      <c r="B3" s="118"/>
      <c r="C3" s="118"/>
      <c r="D3" s="116"/>
      <c r="E3" s="116"/>
      <c r="H3" s="142">
        <f>体力消耗运算!AC5</f>
        <v>20</v>
      </c>
      <c r="I3" s="115">
        <f>INT([3]日常任务辅助表!$H$18+[3]日常任务辅助表!$H$6)</f>
        <v>1238</v>
      </c>
      <c r="K3" s="132">
        <f>H3</f>
        <v>20</v>
      </c>
      <c r="L3" s="132"/>
      <c r="M3" s="115">
        <f>H3</f>
        <v>20</v>
      </c>
      <c r="O3" s="115">
        <f>H3</f>
        <v>20</v>
      </c>
      <c r="Q3" s="115">
        <f>H3</f>
        <v>20</v>
      </c>
      <c r="S3" s="115">
        <f>H3</f>
        <v>20</v>
      </c>
    </row>
    <row r="4" spans="1:20">
      <c r="A4">
        <v>1</v>
      </c>
      <c r="B4" s="119">
        <f>'1、经济推算'!U3</f>
        <v>200</v>
      </c>
      <c r="C4" s="119">
        <f>B4</f>
        <v>200</v>
      </c>
      <c r="D4" s="117">
        <f>'1、经济推算'!S3</f>
        <v>2.0018004583053545E-2</v>
      </c>
      <c r="E4" s="117">
        <f>D4</f>
        <v>2.0018004583053545E-2</v>
      </c>
      <c r="G4">
        <f>SUMIF($B$211:$B$394,A4,$C$211:$C$394)</f>
        <v>248</v>
      </c>
      <c r="H4">
        <f>$H$2*$H$3+体力消耗运算!V4*$H$3</f>
        <v>9300</v>
      </c>
      <c r="I4" s="121">
        <f>$I$2-$I$3</f>
        <v>5574.0299596774194</v>
      </c>
      <c r="J4" s="121">
        <f>H4+I4+$K$2*$H$3</f>
        <v>19674.02995967742</v>
      </c>
      <c r="K4" s="133">
        <f>IF(SUM($G$4:G4)&gt;C4,0,($B4-$G4)/($J4+体力消耗运算!$V4*$K$3))</f>
        <v>0</v>
      </c>
      <c r="L4" s="133">
        <f>SUM(K$4:K4)</f>
        <v>0</v>
      </c>
      <c r="M4" s="122">
        <f>IF(SUM($G$4:$G4)&gt;$C4,0,($B4-$G4)/($H4+$I4+(M$2+体力消耗运算!$V4)*M$3))</f>
        <v>0</v>
      </c>
      <c r="N4" s="122">
        <f>SUM(M$4:M4)</f>
        <v>0</v>
      </c>
      <c r="O4" s="122">
        <f>IF(SUM($G$4:$G4)&gt;$C4,0,($B4-$G4)/($H4+$I4+(O$2+体力消耗运算!$V4)*O$3))</f>
        <v>0</v>
      </c>
      <c r="P4" s="122">
        <f>SUM(O$4:O4)</f>
        <v>0</v>
      </c>
      <c r="Q4" s="122">
        <f>IF(SUM($G$4:$G4)&gt;$C4,0,($B4-$G4)/($H4+$I4+(Q$2+体力消耗运算!$V4)*Q$3))</f>
        <v>0</v>
      </c>
      <c r="R4" s="122">
        <f>SUM(Q$4:Q4)</f>
        <v>0</v>
      </c>
      <c r="S4" s="122">
        <f>IF(SUM($G$4:$G4)&gt;$C4,0,($B4-$G4)/($H4+$I4+(S$2+体力消耗运算!$V4)*S$3))</f>
        <v>0</v>
      </c>
      <c r="T4" s="122">
        <f>SUM(S$4:S4)</f>
        <v>0</v>
      </c>
    </row>
    <row r="5" spans="1:20">
      <c r="A5">
        <v>2</v>
      </c>
      <c r="B5" s="119">
        <f>'1、经济推算'!U4</f>
        <v>203</v>
      </c>
      <c r="C5" s="119">
        <f>C4+B5</f>
        <v>403</v>
      </c>
      <c r="D5" s="117">
        <f>'1、经济推算'!S4</f>
        <v>2.0147851361693975E-2</v>
      </c>
      <c r="E5" s="117">
        <f>E4+D5</f>
        <v>4.0165855944747517E-2</v>
      </c>
      <c r="G5">
        <f t="shared" ref="G5:G35" si="0">SUMIF($B$211:$B$394,A5,$C$211:$C$394)</f>
        <v>124</v>
      </c>
      <c r="H5">
        <f>$H$2*$H$3+体力消耗运算!V5*$H$3</f>
        <v>9300</v>
      </c>
      <c r="I5" s="121">
        <f t="shared" ref="I5:I37" si="1">$I$2-$I$3</f>
        <v>5574.0299596774194</v>
      </c>
      <c r="J5" s="121">
        <f t="shared" ref="J5:J68" si="2">H5+I5+$K$2*$H$3</f>
        <v>19674.02995967742</v>
      </c>
      <c r="K5" s="133">
        <f>IF(SUM($G$4:G5)&gt;C5,0,($B5-$G5)/($J5+体力消耗运算!$V5*$K$3))</f>
        <v>3.995139087029519E-3</v>
      </c>
      <c r="L5" s="133">
        <f>SUM(K$4:K5)</f>
        <v>3.995139087029519E-3</v>
      </c>
      <c r="M5" s="122">
        <f>IF(SUM($G$4:$G5)&gt;$C5,0,($B5-$G5)/($H5+$I5+(M$2+体力消耗运算!$V5)*M$3))</f>
        <v>4.5470164483051674E-3</v>
      </c>
      <c r="N5" s="122">
        <f>SUM(M$4:M5)</f>
        <v>4.5470164483051674E-3</v>
      </c>
      <c r="O5" s="122">
        <f>IF(SUM($G$4:$G5)&gt;$C5,0,($B5-$G5)/($H5+$I5+(O$2+体力消耗运算!$V5)*O$3))</f>
        <v>3.562726312883058E-3</v>
      </c>
      <c r="P5" s="122">
        <f>SUM(O$4:O5)</f>
        <v>3.562726312883058E-3</v>
      </c>
      <c r="Q5" s="122">
        <f>IF(SUM($G$4:$G5)&gt;$C5,0,($B5-$G5)/($H5+$I5+(Q$2+体力消耗运算!$V5)*Q$3))</f>
        <v>2.6894505149087674E-3</v>
      </c>
      <c r="R5" s="122">
        <f>SUM(Q$4:Q5)</f>
        <v>2.6894505149087674E-3</v>
      </c>
      <c r="S5" s="122">
        <f>IF(SUM($G$4:$G5)&gt;$C5,0,($B5-$G5)/($H5+$I5+(S$2+体力消耗运算!$V5)*S$3))</f>
        <v>1.9094103251965629E-3</v>
      </c>
      <c r="T5" s="122">
        <f>SUM(S$4:S5)</f>
        <v>1.9094103251965629E-3</v>
      </c>
    </row>
    <row r="6" spans="1:20">
      <c r="A6">
        <v>3</v>
      </c>
      <c r="B6" s="119">
        <f>'1、经济推算'!U5</f>
        <v>206</v>
      </c>
      <c r="C6" s="119">
        <f t="shared" ref="C6:C69" si="3">C5+B6</f>
        <v>609</v>
      </c>
      <c r="D6" s="117">
        <f>'1、经济推算'!S5</f>
        <v>2.0511872948988649E-2</v>
      </c>
      <c r="E6" s="117">
        <f t="shared" ref="E6:E69" si="4">E5+D6</f>
        <v>6.0677728893736169E-2</v>
      </c>
      <c r="G6">
        <f t="shared" si="0"/>
        <v>411</v>
      </c>
      <c r="H6">
        <f>$H$2*$H$3+体力消耗运算!V6*$H$3</f>
        <v>9300</v>
      </c>
      <c r="I6" s="121">
        <f t="shared" si="1"/>
        <v>5574.0299596774194</v>
      </c>
      <c r="J6" s="121">
        <f t="shared" si="2"/>
        <v>19674.02995967742</v>
      </c>
      <c r="K6" s="133">
        <f>IF(SUM($G$4:G6)&gt;C6,0,($B6-$G6)/($J6+体力消耗运算!$V6*$K$3))</f>
        <v>0</v>
      </c>
      <c r="L6" s="133">
        <f>SUM(K$4:K6)</f>
        <v>3.995139087029519E-3</v>
      </c>
      <c r="M6" s="122">
        <f>IF(SUM($G$4:$G6)&gt;$C6,0,($B6-$G6)/($H6+$I6+(M$2+体力消耗运算!$V6)*M$3))</f>
        <v>0</v>
      </c>
      <c r="N6" s="122">
        <f>SUM(M$4:M6)</f>
        <v>4.5470164483051674E-3</v>
      </c>
      <c r="O6" s="122">
        <f>IF(SUM($G$4:$G6)&gt;$C6,0,($B6-$G6)/($H6+$I6+(O$2+体力消耗运算!$V6)*O$3))</f>
        <v>0</v>
      </c>
      <c r="P6" s="122">
        <f>SUM(O$4:O6)</f>
        <v>3.562726312883058E-3</v>
      </c>
      <c r="Q6" s="122">
        <f>IF(SUM($G$4:$G6)&gt;$C6,0,($B6-$G6)/($H6+$I6+(Q$2+体力消耗运算!$V6)*Q$3))</f>
        <v>0</v>
      </c>
      <c r="R6" s="122">
        <f>SUM(Q$4:Q6)</f>
        <v>2.6894505149087674E-3</v>
      </c>
      <c r="S6" s="122">
        <f>IF(SUM($G$4:$G6)&gt;$C6,0,($B6-$G6)/($H6+$I6+(S$2+体力消耗运算!$V6)*S$3))</f>
        <v>0</v>
      </c>
      <c r="T6" s="122">
        <f>SUM(S$4:S6)</f>
        <v>1.9094103251965629E-3</v>
      </c>
    </row>
    <row r="7" spans="1:20">
      <c r="A7">
        <v>4</v>
      </c>
      <c r="B7" s="119">
        <f>'1、经济推算'!U6</f>
        <v>214</v>
      </c>
      <c r="C7" s="119">
        <f t="shared" si="3"/>
        <v>823</v>
      </c>
      <c r="D7" s="117">
        <f>'1、经济推算'!S6</f>
        <v>2.1243846049801791E-2</v>
      </c>
      <c r="E7" s="117">
        <f t="shared" si="4"/>
        <v>8.1921574943537967E-2</v>
      </c>
      <c r="G7">
        <f>SUMIF($B$211:$B$394,A7,$C$211:$C$394)</f>
        <v>142</v>
      </c>
      <c r="H7">
        <f>$H$2*$H$3+体力消耗运算!V7*$H$3</f>
        <v>9300</v>
      </c>
      <c r="I7" s="121">
        <f t="shared" si="1"/>
        <v>5574.0299596774194</v>
      </c>
      <c r="J7" s="121">
        <f t="shared" si="2"/>
        <v>19674.02995967742</v>
      </c>
      <c r="K7" s="133">
        <f>IF(SUM($G$4:G7)&gt;C7,0,($B7-$G7)/($J7+体力消耗运算!$V7*$K$3))</f>
        <v>0</v>
      </c>
      <c r="L7" s="133">
        <f>SUM(K$4:K7)</f>
        <v>3.995139087029519E-3</v>
      </c>
      <c r="M7" s="122">
        <f>IF(SUM($G$4:$G7)&gt;$C7,0,($B7-$G7)/($H7+$I7+(M$2+体力消耗运算!$V7)*M$3))</f>
        <v>0</v>
      </c>
      <c r="N7" s="122">
        <f>SUM(M$4:M7)</f>
        <v>4.5470164483051674E-3</v>
      </c>
      <c r="O7" s="122">
        <f>IF(SUM($G$4:$G7)&gt;$C7,0,($B7-$G7)/($H7+$I7+(O$2+体力消耗运算!$V7)*O$3))</f>
        <v>0</v>
      </c>
      <c r="P7" s="122">
        <f>SUM(O$4:O7)</f>
        <v>3.562726312883058E-3</v>
      </c>
      <c r="Q7" s="122">
        <f>IF(SUM($G$4:$G7)&gt;$C7,0,($B7-$G7)/($H7+$I7+(Q$2+体力消耗运算!$V7)*Q$3))</f>
        <v>0</v>
      </c>
      <c r="R7" s="122">
        <f>SUM(Q$4:Q7)</f>
        <v>2.6894505149087674E-3</v>
      </c>
      <c r="S7" s="122">
        <f>IF(SUM($G$4:$G7)&gt;$C7,0,($B7-$G7)/($H7+$I7+(S$2+体力消耗运算!$V7)*S$3))</f>
        <v>0</v>
      </c>
      <c r="T7" s="122">
        <f>SUM(S$4:S7)</f>
        <v>1.9094103251965629E-3</v>
      </c>
    </row>
    <row r="8" spans="1:20">
      <c r="A8">
        <v>5</v>
      </c>
      <c r="B8" s="119">
        <f>'1、经济推算'!U7</f>
        <v>226</v>
      </c>
      <c r="C8" s="119">
        <f t="shared" si="3"/>
        <v>1049</v>
      </c>
      <c r="D8" s="117">
        <f>'1、经济推算'!S7</f>
        <v>2.2488991460794517E-2</v>
      </c>
      <c r="E8" s="117">
        <f t="shared" si="4"/>
        <v>0.10441056640433248</v>
      </c>
      <c r="G8">
        <f t="shared" si="0"/>
        <v>0</v>
      </c>
      <c r="H8">
        <f>$H$2*$H$3+体力消耗运算!V8*$H$3</f>
        <v>9300</v>
      </c>
      <c r="I8" s="121">
        <f t="shared" si="1"/>
        <v>5574.0299596774194</v>
      </c>
      <c r="J8" s="121">
        <f t="shared" si="2"/>
        <v>19674.02995967742</v>
      </c>
      <c r="K8" s="133">
        <f>IF(SUM($G$4:G8)&gt;C8,0,($B8-$G8)/($J8+体力消耗运算!$V8*$K$3))</f>
        <v>1.1429132071755332E-2</v>
      </c>
      <c r="L8" s="133">
        <f>SUM(K$4:K8)</f>
        <v>1.5424271158784851E-2</v>
      </c>
      <c r="M8" s="122">
        <f>IF(SUM($G$4:$G8)&gt;$C8,0,($B8-$G8)/($H8+$I8+(M$2+体力消耗运算!$V8)*M$3))</f>
        <v>1.3007920472366683E-2</v>
      </c>
      <c r="N8" s="122">
        <f>SUM(M$4:M8)</f>
        <v>1.7554936920671851E-2</v>
      </c>
      <c r="O8" s="122">
        <f>IF(SUM($G$4:$G8)&gt;$C8,0,($B8-$G8)/($H8+$I8+(O$2+体力消耗运算!$V8)*O$3))</f>
        <v>1.0192103122931281E-2</v>
      </c>
      <c r="P8" s="122">
        <f>SUM(O$4:O8)</f>
        <v>1.3754829435814339E-2</v>
      </c>
      <c r="Q8" s="122">
        <f>IF(SUM($G$4:$G8)&gt;$C8,0,($B8-$G8)/($H8+$I8+(Q$2+体力消耗运算!$V8)*Q$3))</f>
        <v>7.6938710932833096E-3</v>
      </c>
      <c r="R8" s="122">
        <f>SUM(Q$4:Q8)</f>
        <v>1.0383321608192077E-2</v>
      </c>
      <c r="S8" s="122">
        <f>IF(SUM($G$4:$G8)&gt;$C8,0,($B8-$G8)/($H8+$I8+(S$2+体力消耗运算!$V8)*S$3))</f>
        <v>5.4623637151192811E-3</v>
      </c>
      <c r="T8" s="122">
        <f>SUM(S$4:S8)</f>
        <v>7.3717740403158438E-3</v>
      </c>
    </row>
    <row r="9" spans="1:20">
      <c r="A9">
        <v>6</v>
      </c>
      <c r="B9" s="119">
        <f>'1、经济推算'!U8</f>
        <v>245</v>
      </c>
      <c r="C9" s="119">
        <f t="shared" si="3"/>
        <v>1294</v>
      </c>
      <c r="D9" s="117">
        <f>'1、经济推算'!S8</f>
        <v>2.44039740704248E-2</v>
      </c>
      <c r="E9" s="117">
        <f t="shared" si="4"/>
        <v>0.12881454047475727</v>
      </c>
      <c r="G9">
        <f t="shared" si="0"/>
        <v>376</v>
      </c>
      <c r="H9">
        <f>$H$2*$H$3+体力消耗运算!V9*$H$3</f>
        <v>9300</v>
      </c>
      <c r="I9" s="121">
        <f t="shared" si="1"/>
        <v>5574.0299596774194</v>
      </c>
      <c r="J9" s="121">
        <f t="shared" si="2"/>
        <v>19674.02995967742</v>
      </c>
      <c r="K9" s="133">
        <f>IF(SUM($G$4:G9)&gt;C9,0,($B9-$G9)/($J9+体力消耗运算!$V9*$K$3))</f>
        <v>0</v>
      </c>
      <c r="L9" s="133">
        <f>SUM(K$4:K9)</f>
        <v>1.5424271158784851E-2</v>
      </c>
      <c r="M9" s="122">
        <f>IF(SUM($G$4:$G9)&gt;$C9,0,($B9-$G9)/($H9+$I9+(M$2+体力消耗运算!$V9)*M$3))</f>
        <v>0</v>
      </c>
      <c r="N9" s="122">
        <f>SUM(M$4:M9)</f>
        <v>1.7554936920671851E-2</v>
      </c>
      <c r="O9" s="122">
        <f>IF(SUM($G$4:$G9)&gt;$C9,0,($B9-$G9)/($H9+$I9+(O$2+体力消耗运算!$V9)*O$3))</f>
        <v>0</v>
      </c>
      <c r="P9" s="122">
        <f>SUM(O$4:O9)</f>
        <v>1.3754829435814339E-2</v>
      </c>
      <c r="Q9" s="122">
        <f>IF(SUM($G$4:$G9)&gt;$C9,0,($B9-$G9)/($H9+$I9+(Q$2+体力消耗运算!$V9)*Q$3))</f>
        <v>0</v>
      </c>
      <c r="R9" s="122">
        <f>SUM(Q$4:Q9)</f>
        <v>1.0383321608192077E-2</v>
      </c>
      <c r="S9" s="122">
        <f>IF(SUM($G$4:$G9)&gt;$C9,0,($B9-$G9)/($H9+$I9+(S$2+体力消耗运算!$V9)*S$3))</f>
        <v>0</v>
      </c>
      <c r="T9" s="122">
        <f>SUM(S$4:S9)</f>
        <v>7.3717740403158438E-3</v>
      </c>
    </row>
    <row r="10" spans="1:20">
      <c r="A10">
        <v>7</v>
      </c>
      <c r="B10" s="119">
        <f>'1、经济推算'!U9</f>
        <v>273</v>
      </c>
      <c r="C10" s="119">
        <f t="shared" si="3"/>
        <v>1567</v>
      </c>
      <c r="D10" s="117">
        <f>'1、经济推算'!S9</f>
        <v>2.7156902858947497E-2</v>
      </c>
      <c r="E10" s="117">
        <f t="shared" si="4"/>
        <v>0.15597144333370477</v>
      </c>
      <c r="G10">
        <f t="shared" si="0"/>
        <v>0</v>
      </c>
      <c r="H10">
        <f>$H$2*$H$3+体力消耗运算!V10*$H$3</f>
        <v>9300</v>
      </c>
      <c r="I10" s="121">
        <f t="shared" si="1"/>
        <v>5574.0299596774194</v>
      </c>
      <c r="J10" s="121">
        <f t="shared" si="2"/>
        <v>19674.02995967742</v>
      </c>
      <c r="K10" s="133">
        <f>IF(SUM($G$4:G10)&gt;C10,0,($B10-$G10)/($J10+体力消耗运算!$V10*$K$3))</f>
        <v>1.3805986971633653E-2</v>
      </c>
      <c r="L10" s="133">
        <f>SUM(K$4:K10)</f>
        <v>2.9230258130418504E-2</v>
      </c>
      <c r="M10" s="122">
        <f>IF(SUM($G$4:$G10)&gt;$C10,0,($B10-$G10)/($H10+$I10+(M$2+体力消耗运算!$V10)*M$3))</f>
        <v>1.5713107473257097E-2</v>
      </c>
      <c r="N10" s="122">
        <f>SUM(M$4:M10)</f>
        <v>3.3268044393928949E-2</v>
      </c>
      <c r="O10" s="122">
        <f>IF(SUM($G$4:$G10)&gt;$C10,0,($B10-$G10)/($H10+$I10+(O$2+体力消耗运算!$V10)*O$3))</f>
        <v>1.2311699790089555E-2</v>
      </c>
      <c r="P10" s="122">
        <f>SUM(O$4:O10)</f>
        <v>2.6066529225903894E-2</v>
      </c>
      <c r="Q10" s="122">
        <f>IF(SUM($G$4:$G10)&gt;$C10,0,($B10-$G10)/($H10+$I10+(Q$2+体力消耗运算!$V10)*Q$3))</f>
        <v>9.293923931267007E-3</v>
      </c>
      <c r="R10" s="122">
        <f>SUM(Q$4:Q10)</f>
        <v>1.9677245539459085E-2</v>
      </c>
      <c r="S10" s="122">
        <f>IF(SUM($G$4:$G10)&gt;$C10,0,($B10-$G10)/($H10+$I10+(S$2+体力消耗运算!$V10)*S$3))</f>
        <v>6.5983420098564768E-3</v>
      </c>
      <c r="T10" s="122">
        <f>SUM(S$4:S10)</f>
        <v>1.3970116050172321E-2</v>
      </c>
    </row>
    <row r="11" spans="1:20">
      <c r="A11">
        <v>8</v>
      </c>
      <c r="B11" s="119">
        <f>'1、经济推算'!U10</f>
        <v>311</v>
      </c>
      <c r="C11" s="119">
        <f t="shared" si="3"/>
        <v>1878</v>
      </c>
      <c r="D11" s="117">
        <f>'1、经济推算'!S10</f>
        <v>3.0927330898414339E-2</v>
      </c>
      <c r="E11" s="117">
        <f t="shared" si="4"/>
        <v>0.18689877423211912</v>
      </c>
      <c r="G11">
        <f t="shared" si="0"/>
        <v>239</v>
      </c>
      <c r="H11">
        <f>$H$2*$H$3+体力消耗运算!V11*$H$3</f>
        <v>9300</v>
      </c>
      <c r="I11" s="121">
        <f t="shared" si="1"/>
        <v>5574.0299596774194</v>
      </c>
      <c r="J11" s="121">
        <f t="shared" si="2"/>
        <v>19674.02995967742</v>
      </c>
      <c r="K11" s="133">
        <f>IF(SUM($G$4:G11)&gt;C11,0,($B11-$G11)/($J11+体力消耗运算!$V11*$K$3))</f>
        <v>3.6411394210901942E-3</v>
      </c>
      <c r="L11" s="133">
        <f>SUM(K$4:K11)</f>
        <v>3.2871397551508696E-2</v>
      </c>
      <c r="M11" s="122">
        <f>IF(SUM($G$4:$G11)&gt;$C11,0,($B11-$G11)/($H11+$I11+(M$2+体力消耗运算!$V11)*M$3))</f>
        <v>4.144116256683191E-3</v>
      </c>
      <c r="N11" s="122">
        <f>SUM(M$4:M11)</f>
        <v>3.741216065061214E-2</v>
      </c>
      <c r="O11" s="122">
        <f>IF(SUM($G$4:$G11)&gt;$C11,0,($B11-$G11)/($H11+$I11+(O$2+体力消耗运算!$V11)*O$3))</f>
        <v>3.2470417028807618E-3</v>
      </c>
      <c r="P11" s="122">
        <f>SUM(O$4:O11)</f>
        <v>2.9313570928784657E-2</v>
      </c>
      <c r="Q11" s="122">
        <f>IF(SUM($G$4:$G11)&gt;$C11,0,($B11-$G11)/($H11+$I11+(Q$2+体力消耗运算!$V11)*Q$3))</f>
        <v>2.4511447730814085E-3</v>
      </c>
      <c r="R11" s="122">
        <f>SUM(Q$4:Q11)</f>
        <v>2.2128390312540491E-2</v>
      </c>
      <c r="S11" s="122">
        <f>IF(SUM($G$4:$G11)&gt;$C11,0,($B11-$G11)/($H11+$I11+(S$2+体力消耗运算!$V11)*S$3))</f>
        <v>1.7402220685335764E-3</v>
      </c>
      <c r="T11" s="122">
        <f>SUM(S$4:S11)</f>
        <v>1.5710338118705897E-2</v>
      </c>
    </row>
    <row r="12" spans="1:20">
      <c r="A12">
        <v>9</v>
      </c>
      <c r="B12" s="119">
        <f>'1、经济推算'!U11</f>
        <v>361</v>
      </c>
      <c r="C12" s="119">
        <f t="shared" si="3"/>
        <v>2239</v>
      </c>
      <c r="D12" s="117">
        <f>'1、经济推算'!S11</f>
        <v>3.590625535267393E-2</v>
      </c>
      <c r="E12" s="117">
        <f t="shared" si="4"/>
        <v>0.22280502958479304</v>
      </c>
      <c r="G12">
        <f t="shared" si="0"/>
        <v>0</v>
      </c>
      <c r="H12">
        <f>$H$2*$H$3+体力消耗运算!V12*$H$3</f>
        <v>9300</v>
      </c>
      <c r="I12" s="121">
        <f t="shared" si="1"/>
        <v>5574.0299596774194</v>
      </c>
      <c r="J12" s="121">
        <f t="shared" si="2"/>
        <v>19674.02995967742</v>
      </c>
      <c r="K12" s="133">
        <f>IF(SUM($G$4:G12)&gt;C12,0,($B12-$G12)/($J12+体力消耗运算!$V12*$K$3))</f>
        <v>1.8256268486299448E-2</v>
      </c>
      <c r="L12" s="133">
        <f>SUM(K$4:K12)</f>
        <v>5.1127666037808148E-2</v>
      </c>
      <c r="M12" s="122">
        <f>IF(SUM($G$4:$G12)&gt;$C12,0,($B12-$G12)/($H12+$I12+(M$2+体力消耗运算!$V12)*M$3))</f>
        <v>2.0778138453647666E-2</v>
      </c>
      <c r="N12" s="122">
        <f>SUM(M$4:M12)</f>
        <v>5.819029910425981E-2</v>
      </c>
      <c r="O12" s="122">
        <f>IF(SUM($G$4:$G12)&gt;$C12,0,($B12-$G12)/($H12+$I12+(O$2+体力消耗运算!$V12)*O$3))</f>
        <v>1.6280306315832709E-2</v>
      </c>
      <c r="P12" s="122">
        <f>SUM(O$4:O12)</f>
        <v>4.5593877244617366E-2</v>
      </c>
      <c r="Q12" s="122">
        <f>IF(SUM($G$4:$G12)&gt;$C12,0,($B12-$G12)/($H12+$I12+(Q$2+体力消耗运算!$V12)*Q$3))</f>
        <v>1.2289767542810951E-2</v>
      </c>
      <c r="R12" s="122">
        <f>SUM(Q$4:Q12)</f>
        <v>3.441815785535144E-2</v>
      </c>
      <c r="S12" s="122">
        <f>IF(SUM($G$4:$G12)&gt;$C12,0,($B12-$G12)/($H12+$I12+(S$2+体力消耗运算!$V12)*S$3))</f>
        <v>8.7252800936197372E-3</v>
      </c>
      <c r="T12" s="122">
        <f>SUM(S$4:S12)</f>
        <v>2.4435618212325635E-2</v>
      </c>
    </row>
    <row r="13" spans="1:20">
      <c r="A13">
        <v>10</v>
      </c>
      <c r="B13" s="119">
        <f>'1、经济推算'!U12</f>
        <v>426</v>
      </c>
      <c r="C13" s="119">
        <f t="shared" si="3"/>
        <v>2665</v>
      </c>
      <c r="D13" s="117">
        <f>'1、经济推算'!S12</f>
        <v>4.2296117477371761E-2</v>
      </c>
      <c r="E13" s="117">
        <f t="shared" si="4"/>
        <v>0.26510114706216481</v>
      </c>
      <c r="G13">
        <f t="shared" si="0"/>
        <v>623</v>
      </c>
      <c r="H13">
        <f>$H$2*$H$3+体力消耗运算!V13*$H$3</f>
        <v>9320</v>
      </c>
      <c r="I13" s="121">
        <f t="shared" si="1"/>
        <v>5574.0299596774194</v>
      </c>
      <c r="J13" s="121">
        <f t="shared" si="2"/>
        <v>19694.02995967742</v>
      </c>
      <c r="K13" s="133">
        <f>IF(SUM($G$4:G13)&gt;C13,0,($B13-$G13)/($J13+体力消耗运算!$V13*$K$3))</f>
        <v>-9.942449890350688E-3</v>
      </c>
      <c r="L13" s="133">
        <f>SUM(K$4:K13)</f>
        <v>4.118521614745746E-2</v>
      </c>
      <c r="M13" s="122">
        <f>IF(SUM($G$4:$G13)&gt;$C13,0,($B13-$G13)/($H13+$I13+(M$2+体力消耗运算!$V13)*M$3))</f>
        <v>-1.1312717415564229E-2</v>
      </c>
      <c r="N13" s="122">
        <f>SUM(M$4:M13)</f>
        <v>4.6877581688695581E-2</v>
      </c>
      <c r="O13" s="122">
        <f>IF(SUM($G$4:$G13)&gt;$C13,0,($B13-$G13)/($H13+$I13+(O$2+体力消耗运算!$V13)*O$3))</f>
        <v>-8.8682693035703787E-3</v>
      </c>
      <c r="P13" s="122">
        <f>SUM(O$4:O13)</f>
        <v>3.6725607941046984E-2</v>
      </c>
      <c r="Q13" s="122">
        <f>IF(SUM($G$4:$G13)&gt;$C13,0,($B13-$G13)/($H13+$I13+(Q$2+体力消耗运算!$V13)*Q$3))</f>
        <v>-6.6974841689513417E-3</v>
      </c>
      <c r="R13" s="122">
        <f>SUM(Q$4:Q13)</f>
        <v>2.7720673686400098E-2</v>
      </c>
      <c r="S13" s="122">
        <f>IF(SUM($G$4:$G13)&gt;$C13,0,($B13-$G13)/($H13+$I13+(S$2+体力消耗运算!$V13)*S$3))</f>
        <v>-4.7568420699895218E-3</v>
      </c>
      <c r="T13" s="122">
        <f>SUM(S$4:S13)</f>
        <v>1.9678776142336114E-2</v>
      </c>
    </row>
    <row r="14" spans="1:20">
      <c r="A14">
        <v>11</v>
      </c>
      <c r="B14" s="119">
        <f>'1、经济推算'!U13</f>
        <v>507</v>
      </c>
      <c r="C14" s="119">
        <f t="shared" si="3"/>
        <v>3172</v>
      </c>
      <c r="D14" s="117">
        <f>'1、经济推算'!S13</f>
        <v>5.0310802619950169E-2</v>
      </c>
      <c r="E14" s="117">
        <f t="shared" si="4"/>
        <v>0.315411949682115</v>
      </c>
      <c r="G14">
        <f t="shared" si="0"/>
        <v>407</v>
      </c>
      <c r="H14">
        <f>$H$2*$H$3+体力消耗运算!V14*$H$3</f>
        <v>9320</v>
      </c>
      <c r="I14" s="121">
        <f t="shared" si="1"/>
        <v>5574.0299596774194</v>
      </c>
      <c r="J14" s="121">
        <f t="shared" si="2"/>
        <v>19694.02995967742</v>
      </c>
      <c r="K14" s="133">
        <f>IF(SUM($G$4:G14)&gt;C14,0,($B14-$G14)/($J14+体力消耗运算!$V14*$K$3))</f>
        <v>5.0469288783506023E-3</v>
      </c>
      <c r="L14" s="133">
        <f>SUM(K$4:K14)</f>
        <v>4.6232145025808059E-2</v>
      </c>
      <c r="M14" s="122">
        <f>IF(SUM($G$4:$G14)&gt;$C14,0,($B14-$G14)/($H14+$I14+(M$2+体力消耗运算!$V14)*M$3))</f>
        <v>5.7424961500326032E-3</v>
      </c>
      <c r="N14" s="122">
        <f>SUM(M$4:M14)</f>
        <v>5.2620077838728185E-2</v>
      </c>
      <c r="O14" s="122">
        <f>IF(SUM($G$4:$G14)&gt;$C14,0,($B14-$G14)/($H14+$I14+(O$2+体力消耗运算!$V14)*O$3))</f>
        <v>4.5016595449595834E-3</v>
      </c>
      <c r="P14" s="122">
        <f>SUM(O$4:O14)</f>
        <v>4.1227267486006566E-2</v>
      </c>
      <c r="Q14" s="122">
        <f>IF(SUM($G$4:$G14)&gt;$C14,0,($B14-$G14)/($H14+$I14+(Q$2+体力消耗运算!$V14)*Q$3))</f>
        <v>3.3997381568280924E-3</v>
      </c>
      <c r="R14" s="122">
        <f>SUM(Q$4:Q14)</f>
        <v>3.1120411843228189E-2</v>
      </c>
      <c r="S14" s="122">
        <f>IF(SUM($G$4:$G14)&gt;$C14,0,($B14-$G14)/($H14+$I14+(S$2+体力消耗运算!$V14)*S$3))</f>
        <v>2.4146406446647318E-3</v>
      </c>
      <c r="T14" s="122">
        <f>SUM(S$4:S14)</f>
        <v>2.2093416787000844E-2</v>
      </c>
    </row>
    <row r="15" spans="1:20">
      <c r="A15">
        <v>12</v>
      </c>
      <c r="B15" s="119">
        <f>'1、经济推算'!U14</f>
        <v>606</v>
      </c>
      <c r="C15" s="119">
        <f t="shared" si="3"/>
        <v>3778</v>
      </c>
      <c r="D15" s="117">
        <f>'1、经济推算'!S14</f>
        <v>6.0175640219648399E-2</v>
      </c>
      <c r="E15" s="117">
        <f t="shared" si="4"/>
        <v>0.37558758990176339</v>
      </c>
      <c r="G15">
        <f t="shared" si="0"/>
        <v>1071</v>
      </c>
      <c r="H15">
        <f>$H$2*$H$3+体力消耗运算!V15*$H$3</f>
        <v>9320</v>
      </c>
      <c r="I15" s="121">
        <f t="shared" si="1"/>
        <v>5574.0299596774194</v>
      </c>
      <c r="J15" s="121">
        <f t="shared" si="2"/>
        <v>19694.02995967742</v>
      </c>
      <c r="K15" s="133">
        <f>IF(SUM($G$4:G15)&gt;C15,0,($B15-$G15)/($J15+体力消耗运算!$V15*$K$3))</f>
        <v>-2.3468219284330301E-2</v>
      </c>
      <c r="L15" s="133">
        <f>SUM(K$4:K15)</f>
        <v>2.2763925741477758E-2</v>
      </c>
      <c r="M15" s="122">
        <f>IF(SUM($G$4:$G15)&gt;$C15,0,($B15-$G15)/($H15+$I15+(M$2+体力消耗运算!$V15)*M$3))</f>
        <v>-2.6702607097651605E-2</v>
      </c>
      <c r="N15" s="122">
        <f>SUM(M$4:M15)</f>
        <v>2.591747074107658E-2</v>
      </c>
      <c r="O15" s="122">
        <f>IF(SUM($G$4:$G15)&gt;$C15,0,($B15-$G15)/($H15+$I15+(O$2+体力消耗运算!$V15)*O$3))</f>
        <v>-2.093271688406206E-2</v>
      </c>
      <c r="P15" s="122">
        <f>SUM(O$4:O15)</f>
        <v>2.0294550601944506E-2</v>
      </c>
      <c r="Q15" s="122">
        <f>IF(SUM($G$4:$G15)&gt;$C15,0,($B15-$G15)/($H15+$I15+(Q$2+体力消耗运算!$V15)*Q$3))</f>
        <v>-1.5808782429250628E-2</v>
      </c>
      <c r="R15" s="122">
        <f>SUM(Q$4:Q15)</f>
        <v>1.5311629413977561E-2</v>
      </c>
      <c r="S15" s="122">
        <f>IF(SUM($G$4:$G15)&gt;$C15,0,($B15-$G15)/($H15+$I15+(S$2+体力消耗运算!$V15)*S$3))</f>
        <v>-1.1228078997691002E-2</v>
      </c>
      <c r="T15" s="122">
        <f>SUM(S$4:S15)</f>
        <v>1.0865337789309842E-2</v>
      </c>
    </row>
    <row r="16" spans="1:20">
      <c r="A16">
        <v>13</v>
      </c>
      <c r="B16" s="119">
        <f>'1、经济推算'!U15</f>
        <v>727</v>
      </c>
      <c r="C16" s="119">
        <f t="shared" si="3"/>
        <v>4505</v>
      </c>
      <c r="D16" s="117">
        <f>'1、经济推算'!S15</f>
        <v>7.2127403807502544E-2</v>
      </c>
      <c r="E16" s="117">
        <f t="shared" si="4"/>
        <v>0.44771499370926593</v>
      </c>
      <c r="G16">
        <f t="shared" si="0"/>
        <v>4490</v>
      </c>
      <c r="H16">
        <f>$H$2*$H$3+体力消耗运算!V16*$H$3</f>
        <v>9320</v>
      </c>
      <c r="I16" s="121">
        <f t="shared" si="1"/>
        <v>5574.0299596774194</v>
      </c>
      <c r="J16" s="121">
        <f t="shared" si="2"/>
        <v>19694.02995967742</v>
      </c>
      <c r="K16" s="133">
        <f>IF(SUM($G$4:G16)&gt;C16,0,($B16-$G16)/($J16+体力消耗运算!$V16*$K$3))</f>
        <v>0</v>
      </c>
      <c r="L16" s="133">
        <f>SUM(K$4:K16)</f>
        <v>2.2763925741477758E-2</v>
      </c>
      <c r="M16" s="122">
        <f>IF(SUM($G$4:$G16)&gt;$C16,0,($B16-$G16)/($H16+$I16+(M$2+体力消耗运算!$V16)*M$3))</f>
        <v>0</v>
      </c>
      <c r="N16" s="122">
        <f>SUM(M$4:M16)</f>
        <v>2.591747074107658E-2</v>
      </c>
      <c r="O16" s="122">
        <f>IF(SUM($G$4:$G16)&gt;$C16,0,($B16-$G16)/($H16+$I16+(O$2+体力消耗运算!$V16)*O$3))</f>
        <v>0</v>
      </c>
      <c r="P16" s="122">
        <f>SUM(O$4:O16)</f>
        <v>2.0294550601944506E-2</v>
      </c>
      <c r="Q16" s="122">
        <f>IF(SUM($G$4:$G16)&gt;$C16,0,($B16-$G16)/($H16+$I16+(Q$2+体力消耗运算!$V16)*Q$3))</f>
        <v>0</v>
      </c>
      <c r="R16" s="122">
        <f>SUM(Q$4:Q16)</f>
        <v>1.5311629413977561E-2</v>
      </c>
      <c r="S16" s="122">
        <f>IF(SUM($G$4:$G16)&gt;$C16,0,($B16-$G16)/($H16+$I16+(S$2+体力消耗运算!$V16)*S$3))</f>
        <v>0</v>
      </c>
      <c r="T16" s="122">
        <f>SUM(S$4:S16)</f>
        <v>1.0865337789309842E-2</v>
      </c>
    </row>
    <row r="17" spans="1:20">
      <c r="A17">
        <v>14</v>
      </c>
      <c r="B17" s="119">
        <f>'1、经济推算'!U16</f>
        <v>871</v>
      </c>
      <c r="C17" s="119">
        <f t="shared" si="3"/>
        <v>5376</v>
      </c>
      <c r="D17" s="117">
        <f>'1、经济推算'!S16</f>
        <v>8.6414311006345598E-2</v>
      </c>
      <c r="E17" s="117">
        <f t="shared" si="4"/>
        <v>0.53412930471561149</v>
      </c>
      <c r="G17">
        <f t="shared" si="0"/>
        <v>1100</v>
      </c>
      <c r="H17">
        <f>$H$2*$H$3+体力消耗运算!V17*$H$3</f>
        <v>9320</v>
      </c>
      <c r="I17" s="121">
        <f t="shared" si="1"/>
        <v>5574.0299596774194</v>
      </c>
      <c r="J17" s="121">
        <f t="shared" si="2"/>
        <v>19694.02995967742</v>
      </c>
      <c r="K17" s="133">
        <f>IF(SUM($G$4:G17)&gt;C17,0,($B17-$G17)/($J17+体力消耗运算!$V17*$K$3))</f>
        <v>0</v>
      </c>
      <c r="L17" s="133">
        <f>SUM(K$4:K17)</f>
        <v>2.2763925741477758E-2</v>
      </c>
      <c r="M17" s="122">
        <f>IF(SUM($G$4:$G17)&gt;$C17,0,($B17-$G17)/($H17+$I17+(M$2+体力消耗运算!$V17)*M$3))</f>
        <v>0</v>
      </c>
      <c r="N17" s="122">
        <f>SUM(M$4:M17)</f>
        <v>2.591747074107658E-2</v>
      </c>
      <c r="O17" s="122">
        <f>IF(SUM($G$4:$G17)&gt;$C17,0,($B17-$G17)/($H17+$I17+(O$2+体力消耗运算!$V17)*O$3))</f>
        <v>0</v>
      </c>
      <c r="P17" s="122">
        <f>SUM(O$4:O17)</f>
        <v>2.0294550601944506E-2</v>
      </c>
      <c r="Q17" s="122">
        <f>IF(SUM($G$4:$G17)&gt;$C17,0,($B17-$G17)/($H17+$I17+(Q$2+体力消耗运算!$V17)*Q$3))</f>
        <v>0</v>
      </c>
      <c r="R17" s="122">
        <f>SUM(Q$4:Q17)</f>
        <v>1.5311629413977561E-2</v>
      </c>
      <c r="S17" s="122">
        <f>IF(SUM($G$4:$G17)&gt;$C17,0,($B17-$G17)/($H17+$I17+(S$2+体力消耗运算!$V17)*S$3))</f>
        <v>0</v>
      </c>
      <c r="T17" s="122">
        <f>SUM(S$4:S17)</f>
        <v>1.0865337789309842E-2</v>
      </c>
    </row>
    <row r="18" spans="1:20">
      <c r="A18">
        <v>15</v>
      </c>
      <c r="B18" s="119">
        <f>'1、经济推算'!U17</f>
        <v>1041</v>
      </c>
      <c r="C18" s="119">
        <f t="shared" si="3"/>
        <v>6417</v>
      </c>
      <c r="D18" s="117">
        <f>'1、经济推算'!S17</f>
        <v>0.10329602353080741</v>
      </c>
      <c r="E18" s="117">
        <f t="shared" si="4"/>
        <v>0.63742532824641884</v>
      </c>
      <c r="G18">
        <f t="shared" si="0"/>
        <v>3200</v>
      </c>
      <c r="H18">
        <f>$H$2*$H$3+体力消耗运算!V18*$H$3</f>
        <v>9320</v>
      </c>
      <c r="I18" s="121">
        <f t="shared" si="1"/>
        <v>5574.0299596774194</v>
      </c>
      <c r="J18" s="121">
        <f t="shared" si="2"/>
        <v>19694.02995967742</v>
      </c>
      <c r="K18" s="133">
        <f>IF(SUM($G$4:G18)&gt;C18,0,($B18-$G18)/($J18+体力消耗运算!$V18*$K$3))</f>
        <v>0</v>
      </c>
      <c r="L18" s="133">
        <f>SUM(K$4:K18)</f>
        <v>2.2763925741477758E-2</v>
      </c>
      <c r="M18" s="122">
        <f>IF(SUM($G$4:$G18)&gt;$C18,0,($B18-$G18)/($H18+$I18+(M$2+体力消耗运算!$V18)*M$3))</f>
        <v>0</v>
      </c>
      <c r="N18" s="122">
        <f>SUM(M$4:M18)</f>
        <v>2.591747074107658E-2</v>
      </c>
      <c r="O18" s="122">
        <f>IF(SUM($G$4:$G18)&gt;$C18,0,($B18-$G18)/($H18+$I18+(O$2+体力消耗运算!$V18)*O$3))</f>
        <v>0</v>
      </c>
      <c r="P18" s="122">
        <f>SUM(O$4:O18)</f>
        <v>2.0294550601944506E-2</v>
      </c>
      <c r="Q18" s="122">
        <f>IF(SUM($G$4:$G18)&gt;$C18,0,($B18-$G18)/($H18+$I18+(Q$2+体力消耗运算!$V18)*Q$3))</f>
        <v>0</v>
      </c>
      <c r="R18" s="122">
        <f>SUM(Q$4:Q18)</f>
        <v>1.5311629413977561E-2</v>
      </c>
      <c r="S18" s="122">
        <f>IF(SUM($G$4:$G18)&gt;$C18,0,($B18-$G18)/($H18+$I18+(S$2+体力消耗运算!$V18)*S$3))</f>
        <v>0</v>
      </c>
      <c r="T18" s="122">
        <f>SUM(S$4:S18)</f>
        <v>1.0865337789309842E-2</v>
      </c>
    </row>
    <row r="19" spans="1:20">
      <c r="A19">
        <v>16</v>
      </c>
      <c r="B19" s="119">
        <f>'1、经济推算'!U18</f>
        <v>1240</v>
      </c>
      <c r="C19" s="119">
        <f t="shared" si="3"/>
        <v>7657</v>
      </c>
      <c r="D19" s="117">
        <f>'1、经济推算'!S18</f>
        <v>0.12304364718731473</v>
      </c>
      <c r="E19" s="117">
        <f t="shared" si="4"/>
        <v>0.7604689754337336</v>
      </c>
      <c r="G19">
        <f t="shared" si="0"/>
        <v>1300</v>
      </c>
      <c r="H19">
        <f>$H$2*$H$3+体力消耗运算!V19*$H$3</f>
        <v>9320</v>
      </c>
      <c r="I19" s="121">
        <f t="shared" si="1"/>
        <v>5574.0299596774194</v>
      </c>
      <c r="J19" s="121">
        <f t="shared" si="2"/>
        <v>19694.02995967742</v>
      </c>
      <c r="K19" s="133">
        <f>IF(SUM($G$4:G19)&gt;C19,0,($B19-$G19)/($J19+体力消耗运算!$V19*$K$3))</f>
        <v>0</v>
      </c>
      <c r="L19" s="133">
        <f>SUM(K$4:K19)</f>
        <v>2.2763925741477758E-2</v>
      </c>
      <c r="M19" s="122">
        <f>IF(SUM($G$4:$G19)&gt;$C19,0,($B19-$G19)/($H19+$I19+(M$2+体力消耗运算!$V19)*M$3))</f>
        <v>0</v>
      </c>
      <c r="N19" s="122">
        <f>SUM(M$4:M19)</f>
        <v>2.591747074107658E-2</v>
      </c>
      <c r="O19" s="122">
        <f>IF(SUM($G$4:$G19)&gt;$C19,0,($B19-$G19)/($H19+$I19+(O$2+体力消耗运算!$V19)*O$3))</f>
        <v>0</v>
      </c>
      <c r="P19" s="122">
        <f>SUM(O$4:O19)</f>
        <v>2.0294550601944506E-2</v>
      </c>
      <c r="Q19" s="122">
        <f>IF(SUM($G$4:$G19)&gt;$C19,0,($B19-$G19)/($H19+$I19+(Q$2+体力消耗运算!$V19)*Q$3))</f>
        <v>0</v>
      </c>
      <c r="R19" s="122">
        <f>SUM(Q$4:Q19)</f>
        <v>1.5311629413977561E-2</v>
      </c>
      <c r="S19" s="122">
        <f>IF(SUM($G$4:$G19)&gt;$C19,0,($B19-$G19)/($H19+$I19+(S$2+体力消耗运算!$V19)*S$3))</f>
        <v>0</v>
      </c>
      <c r="T19" s="122">
        <f>SUM(S$4:S19)</f>
        <v>1.0865337789309842E-2</v>
      </c>
    </row>
    <row r="20" spans="1:20">
      <c r="A20">
        <v>17</v>
      </c>
      <c r="B20" s="119">
        <f>'1、经济推算'!U19</f>
        <v>1471</v>
      </c>
      <c r="C20" s="119">
        <f t="shared" si="3"/>
        <v>9128</v>
      </c>
      <c r="D20" s="117">
        <f>'1、经济推算'!S19</f>
        <v>0.14593973187409112</v>
      </c>
      <c r="E20" s="117">
        <f t="shared" si="4"/>
        <v>0.90640870730782475</v>
      </c>
      <c r="G20">
        <f t="shared" si="0"/>
        <v>2400</v>
      </c>
      <c r="H20">
        <f>$H$2*$H$3+体力消耗运算!V20*$H$3</f>
        <v>9320</v>
      </c>
      <c r="I20" s="121">
        <f t="shared" si="1"/>
        <v>5574.0299596774194</v>
      </c>
      <c r="J20" s="121">
        <f t="shared" si="2"/>
        <v>19694.02995967742</v>
      </c>
      <c r="K20" s="133">
        <f>IF(SUM($G$4:G20)&gt;C20,0,($B20-$G20)/($J20+体力消耗运算!$V20*$K$3))</f>
        <v>0</v>
      </c>
      <c r="L20" s="133">
        <f>SUM(K$4:K20)</f>
        <v>2.2763925741477758E-2</v>
      </c>
      <c r="M20" s="122">
        <f>IF(SUM($G$4:$G20)&gt;$C20,0,($B20-$G20)/($H20+$I20+(M$2+体力消耗运算!$V20)*M$3))</f>
        <v>0</v>
      </c>
      <c r="N20" s="122">
        <f>SUM(M$4:M20)</f>
        <v>2.591747074107658E-2</v>
      </c>
      <c r="O20" s="122">
        <f>IF(SUM($G$4:$G20)&gt;$C20,0,($B20-$G20)/($H20+$I20+(O$2+体力消耗运算!$V20)*O$3))</f>
        <v>0</v>
      </c>
      <c r="P20" s="122">
        <f>SUM(O$4:O20)</f>
        <v>2.0294550601944506E-2</v>
      </c>
      <c r="Q20" s="122">
        <f>IF(SUM($G$4:$G20)&gt;$C20,0,($B20-$G20)/($H20+$I20+(Q$2+体力消耗运算!$V20)*Q$3))</f>
        <v>0</v>
      </c>
      <c r="R20" s="122">
        <f>SUM(Q$4:Q20)</f>
        <v>1.5311629413977561E-2</v>
      </c>
      <c r="S20" s="122">
        <f>IF(SUM($G$4:$G20)&gt;$C20,0,($B20-$G20)/($H20+$I20+(S$2+体力消耗运算!$V20)*S$3))</f>
        <v>0</v>
      </c>
      <c r="T20" s="122">
        <f>SUM(S$4:S20)</f>
        <v>1.0865337789309842E-2</v>
      </c>
    </row>
    <row r="21" spans="1:20">
      <c r="A21">
        <v>18</v>
      </c>
      <c r="B21" s="119">
        <f>'1、经济推算'!U20</f>
        <v>1736</v>
      </c>
      <c r="C21" s="119">
        <f t="shared" si="3"/>
        <v>10864</v>
      </c>
      <c r="D21" s="117">
        <f>'1、经济推算'!S20</f>
        <v>0.17227827158115711</v>
      </c>
      <c r="E21" s="117">
        <f t="shared" si="4"/>
        <v>1.0786869788889819</v>
      </c>
      <c r="G21">
        <f t="shared" si="0"/>
        <v>1500</v>
      </c>
      <c r="H21">
        <f>$H$2*$H$3+体力消耗运算!V21*$H$3</f>
        <v>9320</v>
      </c>
      <c r="I21" s="121">
        <f t="shared" si="1"/>
        <v>5574.0299596774194</v>
      </c>
      <c r="J21" s="121">
        <f t="shared" si="2"/>
        <v>19694.02995967742</v>
      </c>
      <c r="K21" s="133">
        <f>IF(SUM($G$4:G21)&gt;C21,0,($B21-$G21)/($J21+体力消耗运算!$V21*$K$3))</f>
        <v>0</v>
      </c>
      <c r="L21" s="133">
        <f>SUM(K$4:K21)</f>
        <v>2.2763925741477758E-2</v>
      </c>
      <c r="M21" s="122">
        <f>IF(SUM($G$4:$G21)&gt;$C21,0,($B21-$G21)/($H21+$I21+(M$2+体力消耗运算!$V21)*M$3))</f>
        <v>0</v>
      </c>
      <c r="N21" s="122">
        <f>SUM(M$4:M21)</f>
        <v>2.591747074107658E-2</v>
      </c>
      <c r="O21" s="122">
        <f>IF(SUM($G$4:$G21)&gt;$C21,0,($B21-$G21)/($H21+$I21+(O$2+体力消耗运算!$V21)*O$3))</f>
        <v>0</v>
      </c>
      <c r="P21" s="122">
        <f>SUM(O$4:O21)</f>
        <v>2.0294550601944506E-2</v>
      </c>
      <c r="Q21" s="122">
        <f>IF(SUM($G$4:$G21)&gt;$C21,0,($B21-$G21)/($H21+$I21+(Q$2+体力消耗运算!$V21)*Q$3))</f>
        <v>0</v>
      </c>
      <c r="R21" s="122">
        <f>SUM(Q$4:Q21)</f>
        <v>1.5311629413977561E-2</v>
      </c>
      <c r="S21" s="122">
        <f>IF(SUM($G$4:$G21)&gt;$C21,0,($B21-$G21)/($H21+$I21+(S$2+体力消耗运算!$V21)*S$3))</f>
        <v>0</v>
      </c>
      <c r="T21" s="122">
        <f>SUM(S$4:S21)</f>
        <v>1.0865337789309842E-2</v>
      </c>
    </row>
    <row r="22" spans="1:20" s="137" customFormat="1">
      <c r="A22" s="137">
        <v>19</v>
      </c>
      <c r="B22" s="138">
        <f>'1、经济推算'!U21</f>
        <v>2039</v>
      </c>
      <c r="C22" s="119">
        <f t="shared" si="3"/>
        <v>12903</v>
      </c>
      <c r="D22" s="139">
        <f>'1、经济推算'!S21</f>
        <v>0.20236470439033</v>
      </c>
      <c r="E22" s="139">
        <f t="shared" si="4"/>
        <v>1.281051683279312</v>
      </c>
      <c r="G22" s="137">
        <f t="shared" si="0"/>
        <v>4600</v>
      </c>
      <c r="H22">
        <f>$H$2*$H$3+体力消耗运算!V22*$H$3</f>
        <v>9320</v>
      </c>
      <c r="I22" s="140">
        <f t="shared" si="1"/>
        <v>5574.0299596774194</v>
      </c>
      <c r="J22" s="140">
        <f t="shared" si="2"/>
        <v>19694.02995967742</v>
      </c>
      <c r="K22" s="133">
        <f>IF(SUM($G$4:G22)&gt;C22,0,($B22-$G22)/($J22+体力消耗运算!$V22*$K$3))</f>
        <v>0</v>
      </c>
      <c r="L22" s="141">
        <f>SUM(K$4:K22)</f>
        <v>2.2763925741477758E-2</v>
      </c>
      <c r="M22" s="122">
        <f>IF(SUM($G$4:$G22)&gt;$C22,0,($B22-$G22)/($H22+$I22+(M$2+体力消耗运算!$V22)*M$3))</f>
        <v>0</v>
      </c>
      <c r="N22" s="141">
        <f>SUM(M$4:M22)</f>
        <v>2.591747074107658E-2</v>
      </c>
      <c r="O22" s="122">
        <f>IF(SUM($G$4:$G22)&gt;$C22,0,($B22-$G22)/($H22+$I22+(O$2+体力消耗运算!$V22)*O$3))</f>
        <v>0</v>
      </c>
      <c r="P22" s="141">
        <f>SUM(O$4:O22)</f>
        <v>2.0294550601944506E-2</v>
      </c>
      <c r="Q22" s="122">
        <f>IF(SUM($G$4:$G22)&gt;$C22,0,($B22-$G22)/($H22+$I22+(Q$2+体力消耗运算!$V22)*Q$3))</f>
        <v>0</v>
      </c>
      <c r="R22" s="141">
        <f>SUM(Q$4:Q22)</f>
        <v>1.5311629413977561E-2</v>
      </c>
      <c r="S22" s="122">
        <f>IF(SUM($G$4:$G22)&gt;$C22,0,($B22-$G22)/($H22+$I22+(S$2+体力消耗运算!$V22)*S$3))</f>
        <v>0</v>
      </c>
      <c r="T22" s="141">
        <f>SUM(S$4:S22)</f>
        <v>1.0865337789309842E-2</v>
      </c>
    </row>
    <row r="23" spans="1:20">
      <c r="A23">
        <v>20</v>
      </c>
      <c r="B23" s="119">
        <f>'1、经济推算'!U22</f>
        <v>2384</v>
      </c>
      <c r="C23" s="119">
        <f t="shared" si="3"/>
        <v>15287</v>
      </c>
      <c r="D23" s="117">
        <f>'1、经济推算'!S22</f>
        <v>0.23651591247522405</v>
      </c>
      <c r="E23" s="117">
        <f t="shared" si="4"/>
        <v>1.517567595754536</v>
      </c>
      <c r="G23">
        <f t="shared" si="0"/>
        <v>3700</v>
      </c>
      <c r="H23">
        <f>$H$2*$H$3+体力消耗运算!V23*$H$3</f>
        <v>9340</v>
      </c>
      <c r="I23" s="121">
        <f t="shared" si="1"/>
        <v>5574.0299596774194</v>
      </c>
      <c r="J23" s="121">
        <f t="shared" si="2"/>
        <v>19714.02995967742</v>
      </c>
      <c r="K23" s="133">
        <f>IF(SUM($G$4:G23)&gt;C23,0,($B23-$G23)/($J23+体力消耗运算!$V23*$K$3))</f>
        <v>0</v>
      </c>
      <c r="L23" s="133">
        <f>SUM(K$4:K23)</f>
        <v>2.2763925741477758E-2</v>
      </c>
      <c r="M23" s="122">
        <f>IF(SUM($G$4:$G23)&gt;$C23,0,($B23-$G23)/($H23+$I23+(M$2+体力消耗运算!$V23)*M$3))</f>
        <v>0</v>
      </c>
      <c r="N23" s="122">
        <f>SUM(M$4:M23)</f>
        <v>2.591747074107658E-2</v>
      </c>
      <c r="O23" s="122">
        <f>IF(SUM($G$4:$G23)&gt;$C23,0,($B23-$G23)/($H23+$I23+(O$2+体力消耗运算!$V23)*O$3))</f>
        <v>0</v>
      </c>
      <c r="P23" s="122">
        <f>SUM(O$4:O23)</f>
        <v>2.0294550601944506E-2</v>
      </c>
      <c r="Q23" s="122">
        <f>IF(SUM($G$4:$G23)&gt;$C23,0,($B23-$G23)/($H23+$I23+(Q$2+体力消耗运算!$V23)*Q$3))</f>
        <v>0</v>
      </c>
      <c r="R23" s="122">
        <f>SUM(Q$4:Q23)</f>
        <v>1.5311629413977561E-2</v>
      </c>
      <c r="S23" s="122">
        <f>IF(SUM($G$4:$G23)&gt;$C23,0,($B23-$G23)/($H23+$I23+(S$2+体力消耗运算!$V23)*S$3))</f>
        <v>0</v>
      </c>
      <c r="T23" s="122">
        <f>SUM(S$4:S23)</f>
        <v>1.0865337789309842E-2</v>
      </c>
    </row>
    <row r="24" spans="1:20">
      <c r="A24">
        <v>21</v>
      </c>
      <c r="B24" s="119">
        <f>'1、经济推算'!U23</f>
        <v>2772</v>
      </c>
      <c r="C24" s="119">
        <f t="shared" si="3"/>
        <v>18059</v>
      </c>
      <c r="D24" s="117">
        <f>'1、经济推算'!S23</f>
        <v>0.27506022210125036</v>
      </c>
      <c r="E24" s="117">
        <f t="shared" si="4"/>
        <v>1.7926278178557864</v>
      </c>
      <c r="G24">
        <f t="shared" si="0"/>
        <v>3800</v>
      </c>
      <c r="H24">
        <f>$H$2*$H$3+体力消耗运算!V24*$H$3</f>
        <v>9340</v>
      </c>
      <c r="I24" s="121">
        <f t="shared" si="1"/>
        <v>5574.0299596774194</v>
      </c>
      <c r="J24" s="121">
        <f t="shared" si="2"/>
        <v>19714.02995967742</v>
      </c>
      <c r="K24" s="133">
        <f>IF(SUM($G$4:G24)&gt;C24,0,($B24-$G24)/($J24+体力消耗运算!$V24*$K$3))</f>
        <v>0</v>
      </c>
      <c r="L24" s="133">
        <f>SUM(K$4:K24)</f>
        <v>2.2763925741477758E-2</v>
      </c>
      <c r="M24" s="122">
        <f>IF(SUM($G$4:$G24)&gt;$C24,0,($B24-$G24)/($H24+$I24+(M$2+体力消耗运算!$V24)*M$3))</f>
        <v>0</v>
      </c>
      <c r="N24" s="122">
        <f>SUM(M$4:M24)</f>
        <v>2.591747074107658E-2</v>
      </c>
      <c r="O24" s="122">
        <f>IF(SUM($G$4:$G24)&gt;$C24,0,($B24-$G24)/($H24+$I24+(O$2+体力消耗运算!$V24)*O$3))</f>
        <v>0</v>
      </c>
      <c r="P24" s="122">
        <f>SUM(O$4:O24)</f>
        <v>2.0294550601944506E-2</v>
      </c>
      <c r="Q24" s="122">
        <f>IF(SUM($G$4:$G24)&gt;$C24,0,($B24-$G24)/($H24+$I24+(Q$2+体力消耗运算!$V24)*Q$3))</f>
        <v>0</v>
      </c>
      <c r="R24" s="122">
        <f>SUM(Q$4:Q24)</f>
        <v>1.5311629413977561E-2</v>
      </c>
      <c r="S24" s="122">
        <f>IF(SUM($G$4:$G24)&gt;$C24,0,($B24-$G24)/($H24+$I24+(S$2+体力消耗运算!$V24)*S$3))</f>
        <v>0</v>
      </c>
      <c r="T24" s="122">
        <f>SUM(S$4:S24)</f>
        <v>1.0865337789309842E-2</v>
      </c>
    </row>
    <row r="25" spans="1:20">
      <c r="A25">
        <v>22</v>
      </c>
      <c r="B25" s="119">
        <f>'1、经济推算'!U24</f>
        <v>3208</v>
      </c>
      <c r="C25" s="119">
        <f t="shared" si="3"/>
        <v>21267</v>
      </c>
      <c r="D25" s="117">
        <f>'1、经济推算'!S24</f>
        <v>0.31833740362561697</v>
      </c>
      <c r="E25" s="117">
        <f t="shared" si="4"/>
        <v>2.1109652214814032</v>
      </c>
      <c r="G25">
        <f t="shared" si="0"/>
        <v>3850</v>
      </c>
      <c r="H25">
        <f>$H$2*$H$3+体力消耗运算!V25*$H$3</f>
        <v>9340</v>
      </c>
      <c r="I25" s="121">
        <f t="shared" si="1"/>
        <v>5574.0299596774194</v>
      </c>
      <c r="J25" s="121">
        <f t="shared" si="2"/>
        <v>19714.02995967742</v>
      </c>
      <c r="K25" s="133">
        <f>IF(SUM($G$4:G25)&gt;C25,0,($B25-$G25)/($J25+体力消耗运算!$V25*$K$3))</f>
        <v>0</v>
      </c>
      <c r="L25" s="133">
        <f>SUM(K$4:K25)</f>
        <v>2.2763925741477758E-2</v>
      </c>
      <c r="M25" s="122">
        <f>IF(SUM($G$4:$G25)&gt;$C25,0,($B25-$G25)/($H25+$I25+(M$2+体力消耗运算!$V25)*M$3))</f>
        <v>0</v>
      </c>
      <c r="N25" s="122">
        <f>SUM(M$4:M25)</f>
        <v>2.591747074107658E-2</v>
      </c>
      <c r="O25" s="122">
        <f>IF(SUM($G$4:$G25)&gt;$C25,0,($B25-$G25)/($H25+$I25+(O$2+体力消耗运算!$V25)*O$3))</f>
        <v>0</v>
      </c>
      <c r="P25" s="122">
        <f>SUM(O$4:O25)</f>
        <v>2.0294550601944506E-2</v>
      </c>
      <c r="Q25" s="122">
        <f>IF(SUM($G$4:$G25)&gt;$C25,0,($B25-$G25)/($H25+$I25+(Q$2+体力消耗运算!$V25)*Q$3))</f>
        <v>0</v>
      </c>
      <c r="R25" s="122">
        <f>SUM(Q$4:Q25)</f>
        <v>1.5311629413977561E-2</v>
      </c>
      <c r="S25" s="122">
        <f>IF(SUM($G$4:$G25)&gt;$C25,0,($B25-$G25)/($H25+$I25+(S$2+体力消耗运算!$V25)*S$3))</f>
        <v>0</v>
      </c>
      <c r="T25" s="122">
        <f>SUM(S$4:S25)</f>
        <v>1.0865337789309842E-2</v>
      </c>
    </row>
    <row r="26" spans="1:20">
      <c r="A26">
        <v>23</v>
      </c>
      <c r="B26" s="119">
        <f>'1、经济推算'!U25</f>
        <v>3696</v>
      </c>
      <c r="C26" s="119">
        <f t="shared" si="3"/>
        <v>24963</v>
      </c>
      <c r="D26" s="117">
        <f>'1、经济推算'!S25</f>
        <v>0.36669867149732865</v>
      </c>
      <c r="E26" s="117">
        <f t="shared" si="4"/>
        <v>2.477663892978732</v>
      </c>
      <c r="G26">
        <f t="shared" si="0"/>
        <v>1800</v>
      </c>
      <c r="H26">
        <f>$H$2*$H$3+体力消耗运算!V26*$H$3</f>
        <v>9340</v>
      </c>
      <c r="I26" s="121">
        <f t="shared" si="1"/>
        <v>5574.0299596774194</v>
      </c>
      <c r="J26" s="121">
        <f t="shared" si="2"/>
        <v>19714.02995967742</v>
      </c>
      <c r="K26" s="133">
        <f>IF(SUM($G$4:G26)&gt;C26,0,($B26-$G26)/($J26+体力消耗运算!$V26*$K$3))</f>
        <v>0</v>
      </c>
      <c r="L26" s="133">
        <f>SUM(K$4:K26)</f>
        <v>2.2763925741477758E-2</v>
      </c>
      <c r="M26" s="122">
        <f>IF(SUM($G$4:$G26)&gt;$C26,0,($B26-$G26)/($H26+$I26+(M$2+体力消耗运算!$V26)*M$3))</f>
        <v>0</v>
      </c>
      <c r="N26" s="122">
        <f>SUM(M$4:M26)</f>
        <v>2.591747074107658E-2</v>
      </c>
      <c r="O26" s="122">
        <f>IF(SUM($G$4:$G26)&gt;$C26,0,($B26-$G26)/($H26+$I26+(O$2+体力消耗运算!$V26)*O$3))</f>
        <v>0</v>
      </c>
      <c r="P26" s="122">
        <f>SUM(O$4:O26)</f>
        <v>2.0294550601944506E-2</v>
      </c>
      <c r="Q26" s="122">
        <f>IF(SUM($G$4:$G26)&gt;$C26,0,($B26-$G26)/($H26+$I26+(Q$2+体力消耗运算!$V26)*Q$3))</f>
        <v>0</v>
      </c>
      <c r="R26" s="122">
        <f>SUM(Q$4:Q26)</f>
        <v>1.5311629413977561E-2</v>
      </c>
      <c r="S26" s="122">
        <f>IF(SUM($G$4:$G26)&gt;$C26,0,($B26-$G26)/($H26+$I26+(S$2+体力消耗运算!$V26)*S$3))</f>
        <v>0</v>
      </c>
      <c r="T26" s="122">
        <f>SUM(S$4:S26)</f>
        <v>1.0865337789309842E-2</v>
      </c>
    </row>
    <row r="27" spans="1:20">
      <c r="A27">
        <v>24</v>
      </c>
      <c r="B27" s="119">
        <f>'1、经济推算'!U26</f>
        <v>4238</v>
      </c>
      <c r="C27" s="119">
        <f t="shared" si="3"/>
        <v>29201</v>
      </c>
      <c r="D27" s="117">
        <f>'1、经济推算'!S26</f>
        <v>0.42050668425718718</v>
      </c>
      <c r="E27" s="117">
        <f t="shared" si="4"/>
        <v>2.898170577235919</v>
      </c>
      <c r="G27">
        <f t="shared" si="0"/>
        <v>3900</v>
      </c>
      <c r="H27">
        <f>$H$2*$H$3+体力消耗运算!V27*$H$3</f>
        <v>9340</v>
      </c>
      <c r="I27" s="121">
        <f t="shared" si="1"/>
        <v>5574.0299596774194</v>
      </c>
      <c r="J27" s="121">
        <f t="shared" si="2"/>
        <v>19714.02995967742</v>
      </c>
      <c r="K27" s="133">
        <f>IF(SUM($G$4:G27)&gt;C27,0,($B27-$G27)/($J27+体力消耗运算!$V27*$K$3))</f>
        <v>0</v>
      </c>
      <c r="L27" s="133">
        <f>SUM(K$4:K27)</f>
        <v>2.2763925741477758E-2</v>
      </c>
      <c r="M27" s="122">
        <f>IF(SUM($G$4:$G27)&gt;$C27,0,($B27-$G27)/($H27+$I27+(M$2+体力消耗运算!$V27)*M$3))</f>
        <v>0</v>
      </c>
      <c r="N27" s="122">
        <f>SUM(M$4:M27)</f>
        <v>2.591747074107658E-2</v>
      </c>
      <c r="O27" s="122">
        <f>IF(SUM($G$4:$G27)&gt;$C27,0,($B27-$G27)/($H27+$I27+(O$2+体力消耗运算!$V27)*O$3))</f>
        <v>0</v>
      </c>
      <c r="P27" s="122">
        <f>SUM(O$4:O27)</f>
        <v>2.0294550601944506E-2</v>
      </c>
      <c r="Q27" s="122">
        <f>IF(SUM($G$4:$G27)&gt;$C27,0,($B27-$G27)/($H27+$I27+(Q$2+体力消耗运算!$V27)*Q$3))</f>
        <v>0</v>
      </c>
      <c r="R27" s="122">
        <f>SUM(Q$4:Q27)</f>
        <v>1.5311629413977561E-2</v>
      </c>
      <c r="S27" s="122">
        <f>IF(SUM($G$4:$G27)&gt;$C27,0,($B27-$G27)/($H27+$I27+(S$2+体力消耗运算!$V27)*S$3))</f>
        <v>0</v>
      </c>
      <c r="T27" s="122">
        <f>SUM(S$4:S27)</f>
        <v>1.0865337789309842E-2</v>
      </c>
    </row>
    <row r="28" spans="1:20">
      <c r="A28">
        <v>25</v>
      </c>
      <c r="B28" s="119">
        <f>'1、经济推算'!U27</f>
        <v>4839</v>
      </c>
      <c r="C28" s="119">
        <f t="shared" si="3"/>
        <v>34040</v>
      </c>
      <c r="D28" s="117">
        <f>'1、经济推算'!S27</f>
        <v>0.48013554453779117</v>
      </c>
      <c r="E28" s="117">
        <f t="shared" si="4"/>
        <v>3.37830612177371</v>
      </c>
      <c r="G28">
        <f t="shared" si="0"/>
        <v>1800</v>
      </c>
      <c r="H28">
        <f>$H$2*$H$3+体力消耗运算!V28*$H$3</f>
        <v>9340</v>
      </c>
      <c r="I28" s="121">
        <f t="shared" si="1"/>
        <v>5574.0299596774194</v>
      </c>
      <c r="J28" s="121">
        <f t="shared" si="2"/>
        <v>19714.02995967742</v>
      </c>
      <c r="K28" s="133">
        <f>IF(SUM($G$4:G28)&gt;C28,0,($B28-$G28)/($J28+体力消耗运算!$V28*$K$3))</f>
        <v>0</v>
      </c>
      <c r="L28" s="133">
        <f>SUM(K$4:K28)</f>
        <v>2.2763925741477758E-2</v>
      </c>
      <c r="M28" s="122">
        <f>IF(SUM($G$4:$G28)&gt;$C28,0,($B28-$G28)/($H28+$I28+(M$2+体力消耗运算!$V28)*M$3))</f>
        <v>0</v>
      </c>
      <c r="N28" s="122">
        <f>SUM(M$4:M28)</f>
        <v>2.591747074107658E-2</v>
      </c>
      <c r="O28" s="122">
        <f>IF(SUM($G$4:$G28)&gt;$C28,0,($B28-$G28)/($H28+$I28+(O$2+体力消耗运算!$V28)*O$3))</f>
        <v>0</v>
      </c>
      <c r="P28" s="122">
        <f>SUM(O$4:O28)</f>
        <v>2.0294550601944506E-2</v>
      </c>
      <c r="Q28" s="122">
        <f>IF(SUM($G$4:$G28)&gt;$C28,0,($B28-$G28)/($H28+$I28+(Q$2+体力消耗运算!$V28)*Q$3))</f>
        <v>0</v>
      </c>
      <c r="R28" s="122">
        <f>SUM(Q$4:Q28)</f>
        <v>1.5311629413977561E-2</v>
      </c>
      <c r="S28" s="122">
        <f>IF(SUM($G$4:$G28)&gt;$C28,0,($B28-$G28)/($H28+$I28+(S$2+体力消耗运算!$V28)*S$3))</f>
        <v>0</v>
      </c>
      <c r="T28" s="122">
        <f>SUM(S$4:S28)</f>
        <v>1.0865337789309842E-2</v>
      </c>
    </row>
    <row r="29" spans="1:20">
      <c r="A29">
        <v>26</v>
      </c>
      <c r="B29" s="119">
        <f>'1、经济推算'!U28</f>
        <v>5503</v>
      </c>
      <c r="C29" s="119">
        <f t="shared" si="3"/>
        <v>39543</v>
      </c>
      <c r="D29" s="117">
        <f>'1、经济推算'!S28</f>
        <v>0.54597079906353607</v>
      </c>
      <c r="E29" s="117">
        <f t="shared" si="4"/>
        <v>3.9242769208372463</v>
      </c>
      <c r="G29">
        <f t="shared" si="0"/>
        <v>2850</v>
      </c>
      <c r="H29">
        <f>$H$2*$H$3+体力消耗运算!V29*$H$3</f>
        <v>9340</v>
      </c>
      <c r="I29" s="121">
        <f t="shared" si="1"/>
        <v>5574.0299596774194</v>
      </c>
      <c r="J29" s="121">
        <f t="shared" si="2"/>
        <v>19714.02995967742</v>
      </c>
      <c r="K29" s="133">
        <f>IF(SUM($G$4:G29)&gt;C29,0,($B29-$G29)/($J29+体力消耗运算!$V29*$K$3))</f>
        <v>0</v>
      </c>
      <c r="L29" s="133">
        <f>SUM(K$4:K29)</f>
        <v>2.2763925741477758E-2</v>
      </c>
      <c r="M29" s="122">
        <f>IF(SUM($G$4:$G29)&gt;$C29,0,($B29-$G29)/($H29+$I29+(M$2+体力消耗运算!$V29)*M$3))</f>
        <v>0</v>
      </c>
      <c r="N29" s="122">
        <f>SUM(M$4:M29)</f>
        <v>2.591747074107658E-2</v>
      </c>
      <c r="O29" s="122">
        <f>IF(SUM($G$4:$G29)&gt;$C29,0,($B29-$G29)/($H29+$I29+(O$2+体力消耗运算!$V29)*O$3))</f>
        <v>0</v>
      </c>
      <c r="P29" s="122">
        <f>SUM(O$4:O29)</f>
        <v>2.0294550601944506E-2</v>
      </c>
      <c r="Q29" s="122">
        <f>IF(SUM($G$4:$G29)&gt;$C29,0,($B29-$G29)/($H29+$I29+(Q$2+体力消耗运算!$V29)*Q$3))</f>
        <v>0</v>
      </c>
      <c r="R29" s="122">
        <f>SUM(Q$4:Q29)</f>
        <v>1.5311629413977561E-2</v>
      </c>
      <c r="S29" s="122">
        <f>IF(SUM($G$4:$G29)&gt;$C29,0,($B29-$G29)/($H29+$I29+(S$2+体力消耗运算!$V29)*S$3))</f>
        <v>0</v>
      </c>
      <c r="T29" s="122">
        <f>SUM(S$4:S29)</f>
        <v>1.0865337789309842E-2</v>
      </c>
    </row>
    <row r="30" spans="1:20">
      <c r="A30">
        <v>27</v>
      </c>
      <c r="B30" s="119">
        <f>'1、经济推算'!U29</f>
        <v>6233</v>
      </c>
      <c r="C30" s="119">
        <f t="shared" si="3"/>
        <v>45776</v>
      </c>
      <c r="D30" s="117">
        <f>'1、经济推算'!S29</f>
        <v>0.61840943865061426</v>
      </c>
      <c r="E30" s="117">
        <f t="shared" si="4"/>
        <v>4.5426863594878606</v>
      </c>
      <c r="G30">
        <f t="shared" si="0"/>
        <v>1800</v>
      </c>
      <c r="H30">
        <f>$H$2*$H$3+体力消耗运算!V30*$H$3</f>
        <v>9340</v>
      </c>
      <c r="I30" s="121">
        <f t="shared" si="1"/>
        <v>5574.0299596774194</v>
      </c>
      <c r="J30" s="121">
        <f t="shared" si="2"/>
        <v>19714.02995967742</v>
      </c>
      <c r="K30" s="133">
        <f>IF(SUM($G$4:G30)&gt;C30,0,($B30-$G30)/($J30+体力消耗运算!$V30*$K$3))</f>
        <v>0.22327960665936386</v>
      </c>
      <c r="L30" s="133">
        <f>SUM(K$4:K30)</f>
        <v>0.24604353240084162</v>
      </c>
      <c r="M30" s="122">
        <f>IF(SUM($G$4:$G30)&gt;$C30,0,($B30-$G30)/($H30+$I30+(M$2+体力消耗运算!$V30)*M$3))</f>
        <v>0.25398145931003829</v>
      </c>
      <c r="N30" s="122">
        <f>SUM(M$4:M30)</f>
        <v>0.27989893005111488</v>
      </c>
      <c r="O30" s="122">
        <f>IF(SUM($G$4:$G30)&gt;$C30,0,($B30-$G30)/($H30+$I30+(O$2+体力消耗运算!$V30)*O$3))</f>
        <v>0.19919987561948344</v>
      </c>
      <c r="P30" s="122">
        <f>SUM(O$4:O30)</f>
        <v>0.21949442622142795</v>
      </c>
      <c r="Q30" s="122">
        <f>IF(SUM($G$4:$G30)&gt;$C30,0,($B30-$G30)/($H30+$I30+(Q$2+体力消耗运算!$V30)*Q$3))</f>
        <v>0.15050572047590022</v>
      </c>
      <c r="R30" s="122">
        <f>SUM(Q$4:Q30)</f>
        <v>0.16581734988987779</v>
      </c>
      <c r="S30" s="122">
        <f>IF(SUM($G$4:$G30)&gt;$C30,0,($B30-$G30)/($H30+$I30+(S$2+体力消耗运算!$V30)*S$3))</f>
        <v>0.10693773329907864</v>
      </c>
      <c r="T30" s="122">
        <f>SUM(S$4:S30)</f>
        <v>0.11780307108838849</v>
      </c>
    </row>
    <row r="31" spans="1:20">
      <c r="A31">
        <v>28</v>
      </c>
      <c r="B31" s="119">
        <f>'1、经济推算'!U30</f>
        <v>7034</v>
      </c>
      <c r="C31" s="119">
        <f t="shared" si="3"/>
        <v>52810</v>
      </c>
      <c r="D31" s="117">
        <f>'1、经济推算'!S30</f>
        <v>0.69785989820701477</v>
      </c>
      <c r="E31" s="117">
        <f t="shared" si="4"/>
        <v>5.2405462576948754</v>
      </c>
      <c r="G31">
        <f t="shared" si="0"/>
        <v>4950</v>
      </c>
      <c r="H31">
        <f>$H$2*$H$3+体力消耗运算!V31*$H$3</f>
        <v>9340</v>
      </c>
      <c r="I31" s="121">
        <f t="shared" si="1"/>
        <v>5574.0299596774194</v>
      </c>
      <c r="J31" s="121">
        <f t="shared" si="2"/>
        <v>19714.02995967742</v>
      </c>
      <c r="K31" s="133">
        <f>IF(SUM($G$4:G31)&gt;C31,0,($B31-$G31)/($J31+体力消耗运算!$V31*$K$3))</f>
        <v>0.10496609525786471</v>
      </c>
      <c r="L31" s="133">
        <f>SUM(K$4:K31)</f>
        <v>0.35100962765870636</v>
      </c>
      <c r="M31" s="122">
        <f>IF(SUM($G$4:$G31)&gt;$C31,0,($B31-$G31)/($H31+$I31+(M$2+体力消耗运算!$V31)*M$3))</f>
        <v>0.11939935962150232</v>
      </c>
      <c r="N31" s="122">
        <f>SUM(M$4:M31)</f>
        <v>0.39929828967261721</v>
      </c>
      <c r="O31" s="122">
        <f>IF(SUM($G$4:$G31)&gt;$C31,0,($B31-$G31)/($H31+$I31+(O$2+体力消耗运算!$V31)*O$3))</f>
        <v>9.3645960025040262E-2</v>
      </c>
      <c r="P31" s="122">
        <f>SUM(O$4:O31)</f>
        <v>0.31314038624646823</v>
      </c>
      <c r="Q31" s="122">
        <f>IF(SUM($G$4:$G31)&gt;$C31,0,($B31-$G31)/($H31+$I31+(Q$2+体力消耗运算!$V31)*Q$3))</f>
        <v>7.0754324717296646E-2</v>
      </c>
      <c r="R31" s="122">
        <f>SUM(Q$4:Q31)</f>
        <v>0.23657167460717443</v>
      </c>
      <c r="S31" s="122">
        <f>IF(SUM($G$4:$G31)&gt;$C31,0,($B31-$G31)/($H31+$I31+(S$2+体力消耗运算!$V31)*S$3))</f>
        <v>5.027255497299344E-2</v>
      </c>
      <c r="T31" s="122">
        <f>SUM(S$4:S31)</f>
        <v>0.16807562606138193</v>
      </c>
    </row>
    <row r="32" spans="1:20" s="137" customFormat="1">
      <c r="A32" s="137">
        <v>29</v>
      </c>
      <c r="B32" s="138">
        <f>'1、经济推算'!U31</f>
        <v>7910</v>
      </c>
      <c r="C32" s="119">
        <f t="shared" si="3"/>
        <v>60720</v>
      </c>
      <c r="D32" s="139">
        <f>'1、经济推算'!S31</f>
        <v>0.78474205673252406</v>
      </c>
      <c r="E32" s="139">
        <f t="shared" si="4"/>
        <v>6.0252883144273994</v>
      </c>
      <c r="G32" s="137">
        <f t="shared" si="0"/>
        <v>3900</v>
      </c>
      <c r="H32">
        <f>$H$2*$H$3+体力消耗运算!V32*$H$3</f>
        <v>9340</v>
      </c>
      <c r="I32" s="140">
        <f t="shared" si="1"/>
        <v>5574.0299596774194</v>
      </c>
      <c r="J32" s="140">
        <f t="shared" si="2"/>
        <v>19714.02995967742</v>
      </c>
      <c r="K32" s="133">
        <f>IF(SUM($G$4:G32)&gt;C32,0,($B32-$G32)/($J32+体力消耗运算!$V32*$K$3))</f>
        <v>0.20197410843763797</v>
      </c>
      <c r="L32" s="141">
        <f>SUM(K$4:K32)</f>
        <v>0.55298373609634432</v>
      </c>
      <c r="M32" s="122">
        <f>IF(SUM($G$4:$G32)&gt;$C32,0,($B32-$G32)/($H32+$I32+(M$2+体力消耗运算!$V32)*M$3))</f>
        <v>0.22974636856152797</v>
      </c>
      <c r="N32" s="141">
        <f>SUM(M$4:M32)</f>
        <v>0.62904465823414513</v>
      </c>
      <c r="O32" s="122">
        <f>IF(SUM($G$4:$G32)&gt;$C32,0,($B32-$G32)/($H32+$I32+(O$2+体力消耗运算!$V32)*O$3))</f>
        <v>0.18019208238983275</v>
      </c>
      <c r="P32" s="141">
        <f>SUM(O$4:O32)</f>
        <v>0.49333246863630098</v>
      </c>
      <c r="Q32" s="122">
        <f>IF(SUM($G$4:$G32)&gt;$C32,0,($B32-$G32)/($H32+$I32+(Q$2+体力消耗运算!$V32)*Q$3))</f>
        <v>0.13614435802128577</v>
      </c>
      <c r="R32" s="141">
        <f>SUM(Q$4:Q32)</f>
        <v>0.3727160326284602</v>
      </c>
      <c r="S32" s="122">
        <f>IF(SUM($G$4:$G32)&gt;$C32,0,($B32-$G32)/($H32+$I32+(S$2+体力消耗运算!$V32)*S$3))</f>
        <v>9.6733659041124603E-2</v>
      </c>
      <c r="T32" s="141">
        <f>SUM(S$4:S32)</f>
        <v>0.26480928510250656</v>
      </c>
    </row>
    <row r="33" spans="1:20">
      <c r="A33">
        <v>30</v>
      </c>
      <c r="B33" s="119">
        <f>'1、经济推算'!U32</f>
        <v>8865</v>
      </c>
      <c r="C33" s="119">
        <f t="shared" si="3"/>
        <v>69585</v>
      </c>
      <c r="D33" s="117">
        <f>'1、经济推算'!S32</f>
        <v>0.87948723731872502</v>
      </c>
      <c r="E33" s="117">
        <f t="shared" si="4"/>
        <v>6.9047755517461242</v>
      </c>
      <c r="G33">
        <f t="shared" si="0"/>
        <v>3950</v>
      </c>
      <c r="H33">
        <f>$H$2*$H$3+体力消耗运算!V33*$H$3</f>
        <v>9360</v>
      </c>
      <c r="I33" s="121">
        <f t="shared" si="1"/>
        <v>5574.0299596774194</v>
      </c>
      <c r="J33" s="121">
        <f t="shared" si="2"/>
        <v>19734.02995967742</v>
      </c>
      <c r="K33" s="133">
        <f>IF(SUM($G$4:G33)&gt;C33,0,($B33-$G33)/($J33+体力消耗运算!$V33*$K$3))</f>
        <v>0.24705904283657248</v>
      </c>
      <c r="L33" s="133">
        <f>SUM(K$4:K33)</f>
        <v>0.80004277893291675</v>
      </c>
      <c r="M33" s="122">
        <f>IF(SUM($G$4:$G33)&gt;$C33,0,($B33-$G33)/($H33+$I33+(M$2+体力消耗运算!$V33)*M$3))</f>
        <v>0.28095298860975709</v>
      </c>
      <c r="N33" s="122">
        <f>SUM(M$4:M33)</f>
        <v>0.90999764684390216</v>
      </c>
      <c r="O33" s="122">
        <f>IF(SUM($G$4:$G33)&gt;$C33,0,($B33-$G33)/($H33+$I33+(O$2+体力消耗运算!$V33)*O$3))</f>
        <v>0.22046260854989524</v>
      </c>
      <c r="P33" s="122">
        <f>SUM(O$4:O33)</f>
        <v>0.71379507718619628</v>
      </c>
      <c r="Q33" s="122">
        <f>IF(SUM($G$4:$G33)&gt;$C33,0,($B33-$G33)/($H33+$I33+(Q$2+体力消耗运算!$V33)*Q$3))</f>
        <v>0.16664389392427931</v>
      </c>
      <c r="R33" s="122">
        <f>SUM(Q$4:Q33)</f>
        <v>0.53935992655273957</v>
      </c>
      <c r="S33" s="122">
        <f>IF(SUM($G$4:$G33)&gt;$C33,0,($B33-$G33)/($H33+$I33+(S$2+体力消耗运算!$V33)*S$3))</f>
        <v>0.11845077484101305</v>
      </c>
      <c r="T33" s="122">
        <f>SUM(S$4:S33)</f>
        <v>0.38326005994351964</v>
      </c>
    </row>
    <row r="34" spans="1:20">
      <c r="A34">
        <v>31</v>
      </c>
      <c r="B34" s="119">
        <f>'1、经济推算'!U33</f>
        <v>9903</v>
      </c>
      <c r="C34" s="119">
        <f t="shared" si="3"/>
        <v>79488</v>
      </c>
      <c r="D34" s="117">
        <f>'1、经济推算'!S33</f>
        <v>0.98253820714899731</v>
      </c>
      <c r="E34" s="117">
        <f t="shared" si="4"/>
        <v>7.8873137588951217</v>
      </c>
      <c r="G34">
        <f t="shared" si="0"/>
        <v>2900</v>
      </c>
      <c r="H34">
        <f>$H$2*$H$3+体力消耗运算!V34*$H$3</f>
        <v>9360</v>
      </c>
      <c r="I34" s="121">
        <f t="shared" si="1"/>
        <v>5574.0299596774194</v>
      </c>
      <c r="J34" s="121">
        <f t="shared" si="2"/>
        <v>19734.02995967742</v>
      </c>
      <c r="K34" s="133">
        <f>IF(SUM($G$4:G34)&gt;C34,0,($B34-$G34)/($J34+体力消耗运算!$V34*$K$3))</f>
        <v>0.35201515299786718</v>
      </c>
      <c r="L34" s="133">
        <f>SUM(K$4:K34)</f>
        <v>1.152057931930784</v>
      </c>
      <c r="M34" s="122">
        <f>IF(SUM($G$4:$G34)&gt;$C34,0,($B34-$G34)/($H34+$I34+(M$2+体力消耗运算!$V34)*M$3))</f>
        <v>0.40030799170582482</v>
      </c>
      <c r="N34" s="122">
        <f>SUM(M$4:M34)</f>
        <v>1.3103056385497269</v>
      </c>
      <c r="O34" s="122">
        <f>IF(SUM($G$4:$G34)&gt;$C34,0,($B34-$G34)/($H34+$I34+(O$2+体力消耗运算!$V34)*O$3))</f>
        <v>0.31411996900812134</v>
      </c>
      <c r="P34" s="122">
        <f>SUM(O$4:O34)</f>
        <v>1.0279150461943176</v>
      </c>
      <c r="Q34" s="122">
        <f>IF(SUM($G$4:$G34)&gt;$C34,0,($B34-$G34)/($H34+$I34+(Q$2+体力消耗运算!$V34)*Q$3))</f>
        <v>0.23743788182130784</v>
      </c>
      <c r="R34" s="122">
        <f>SUM(Q$4:Q34)</f>
        <v>0.77679780837404744</v>
      </c>
      <c r="S34" s="122">
        <f>IF(SUM($G$4:$G34)&gt;$C34,0,($B34-$G34)/($H34+$I34+(S$2+体力消耗运算!$V34)*S$3))</f>
        <v>0.16877126677754109</v>
      </c>
      <c r="T34" s="122">
        <f>SUM(S$4:S34)</f>
        <v>0.5520313267210607</v>
      </c>
    </row>
    <row r="35" spans="1:20">
      <c r="A35">
        <v>32</v>
      </c>
      <c r="B35" s="119">
        <f>'1、经济推算'!U34</f>
        <v>11031</v>
      </c>
      <c r="C35" s="119">
        <f t="shared" si="3"/>
        <v>90519</v>
      </c>
      <c r="D35" s="117">
        <f>'1、经济推算'!S34</f>
        <v>1.0943491774985179</v>
      </c>
      <c r="E35" s="117">
        <f t="shared" si="4"/>
        <v>8.98166293639364</v>
      </c>
      <c r="G35">
        <f t="shared" si="0"/>
        <v>1800</v>
      </c>
      <c r="H35">
        <f>$H$2*$H$3+体力消耗运算!V35*$H$3</f>
        <v>9360</v>
      </c>
      <c r="I35" s="121">
        <f t="shared" si="1"/>
        <v>5574.0299596774194</v>
      </c>
      <c r="J35" s="121">
        <f>H35+I35+$K$2*$H$3</f>
        <v>19734.02995967742</v>
      </c>
      <c r="K35" s="133">
        <f>IF(SUM($G$4:G35)&gt;C35,0,($B35-$G35)/($J35+体力消耗运算!$V35*$K$3))</f>
        <v>0.46400855023894211</v>
      </c>
      <c r="L35" s="133">
        <f>SUM(K$4:K35)</f>
        <v>1.6160664821697261</v>
      </c>
      <c r="M35" s="122">
        <f>IF(SUM($G$4:$G35)&gt;$C35,0,($B35-$G35)/($H35+$I35+(M$2+体力消耗运算!$V35)*M$3))</f>
        <v>0.52766572489454078</v>
      </c>
      <c r="N35" s="122">
        <f>SUM(M$4:M35)</f>
        <v>1.8379713634442676</v>
      </c>
      <c r="O35" s="122">
        <f>IF(SUM($G$4:$G35)&gt;$C35,0,($B35-$G35)/($H35+$I35+(O$2+体力消耗运算!$V35)*O$3))</f>
        <v>0.4140570375430484</v>
      </c>
      <c r="P35" s="122">
        <f>SUM(O$4:O35)</f>
        <v>1.441972083737366</v>
      </c>
      <c r="Q35" s="122">
        <f>IF(SUM($G$4:$G35)&gt;$C35,0,($B35-$G35)/($H35+$I35+(Q$2+体力消耗运算!$V35)*Q$3))</f>
        <v>0.3129785930447655</v>
      </c>
      <c r="R35" s="122">
        <f>SUM(Q$4:Q35)</f>
        <v>1.0897764014188129</v>
      </c>
      <c r="S35" s="122">
        <f>IF(SUM($G$4:$G35)&gt;$C35,0,($B35-$G35)/($H35+$I35+(S$2+体力消耗运算!$V35)*S$3))</f>
        <v>0.22246573805847233</v>
      </c>
      <c r="T35" s="122">
        <f>SUM(S$4:S35)</f>
        <v>0.77449706477953306</v>
      </c>
    </row>
    <row r="36" spans="1:20">
      <c r="A36">
        <v>33</v>
      </c>
      <c r="B36" s="119">
        <f>'1、经济推算'!U35</f>
        <v>12251</v>
      </c>
      <c r="C36" s="119">
        <f t="shared" si="3"/>
        <v>102770</v>
      </c>
      <c r="D36" s="117">
        <f>'1、经济推算'!S35</f>
        <v>1.21538580373426</v>
      </c>
      <c r="E36" s="117">
        <f t="shared" si="4"/>
        <v>10.197048740127901</v>
      </c>
      <c r="G36">
        <f t="shared" ref="G36:G67" si="5">SUMIF($B$211:$B$394,A36,$C$211:$C$394)</f>
        <v>4075</v>
      </c>
      <c r="H36">
        <f>$H$2*$H$3+体力消耗运算!V36*$H$3</f>
        <v>9360</v>
      </c>
      <c r="I36" s="121">
        <f t="shared" si="1"/>
        <v>5574.0299596774194</v>
      </c>
      <c r="J36" s="121">
        <f t="shared" si="2"/>
        <v>19734.02995967742</v>
      </c>
      <c r="K36" s="133">
        <f>IF(SUM($G$4:G36)&gt;C36,0,($B36-$G36)/($J36+体力消耗运算!$V36*$K$3))</f>
        <v>0.41097756545916919</v>
      </c>
      <c r="L36" s="133">
        <f>SUM(K$4:K36)</f>
        <v>2.0270440476288956</v>
      </c>
      <c r="M36" s="122">
        <f>IF(SUM($G$4:$G36)&gt;$C36,0,($B36-$G36)/($H36+$I36+(M$2+体力消耗运算!$V36)*M$3))</f>
        <v>0.467359437410656</v>
      </c>
      <c r="N36" s="122">
        <f>SUM(M$4:M36)</f>
        <v>2.3053308008549234</v>
      </c>
      <c r="O36" s="122">
        <f>IF(SUM($G$4:$G36)&gt;$C36,0,($B36-$G36)/($H36+$I36+(O$2+体力消耗运算!$V36)*O$3))</f>
        <v>0.36673495167933745</v>
      </c>
      <c r="P36" s="122">
        <f>SUM(O$4:O36)</f>
        <v>1.8087070354167034</v>
      </c>
      <c r="Q36" s="122">
        <f>IF(SUM($G$4:$G36)&gt;$C36,0,($B36-$G36)/($H36+$I36+(Q$2+体力消耗运算!$V36)*Q$3))</f>
        <v>0.27720864226346037</v>
      </c>
      <c r="R36" s="122">
        <f>SUM(Q$4:Q36)</f>
        <v>1.3669850436822732</v>
      </c>
      <c r="S36" s="122">
        <f>IF(SUM($G$4:$G36)&gt;$C36,0,($B36-$G36)/($H36+$I36+(S$2+体力消耗运算!$V36)*S$3))</f>
        <v>0.19704039371314805</v>
      </c>
      <c r="T36" s="122">
        <f>SUM(S$4:S36)</f>
        <v>0.97153745849268114</v>
      </c>
    </row>
    <row r="37" spans="1:20">
      <c r="A37">
        <v>34</v>
      </c>
      <c r="B37" s="119">
        <f>'1、经济推算'!U36</f>
        <v>13568</v>
      </c>
      <c r="C37" s="119">
        <f t="shared" si="3"/>
        <v>116338</v>
      </c>
      <c r="D37" s="117">
        <f>'1、经济推算'!S36</f>
        <v>1.3461251853149947</v>
      </c>
      <c r="E37" s="117">
        <f t="shared" si="4"/>
        <v>11.543173925442895</v>
      </c>
      <c r="G37">
        <f t="shared" si="5"/>
        <v>1875</v>
      </c>
      <c r="H37">
        <f>$H$2*$H$3+体力消耗运算!V37*$H$3</f>
        <v>9360</v>
      </c>
      <c r="I37" s="121">
        <f t="shared" si="1"/>
        <v>5574.0299596774194</v>
      </c>
      <c r="J37" s="121">
        <f t="shared" si="2"/>
        <v>19734.02995967742</v>
      </c>
      <c r="K37" s="133">
        <f>IF(SUM($G$4:G37)&gt;C37,0,($B37-$G37)/($J37+体力消耗运算!$V37*$K$3))</f>
        <v>0.58776427017050703</v>
      </c>
      <c r="L37" s="133">
        <f>SUM(K$4:K37)</f>
        <v>2.6148083177994028</v>
      </c>
      <c r="M37" s="122">
        <f>IF(SUM($G$4:$G37)&gt;$C37,0,($B37-$G37)/($H37+$I37+(M$2+体力消耗运算!$V37)*M$3))</f>
        <v>0.66839944980954014</v>
      </c>
      <c r="N37" s="122">
        <f>SUM(M$4:M37)</f>
        <v>2.9737302506644636</v>
      </c>
      <c r="O37" s="122">
        <f>IF(SUM($G$4:$G37)&gt;$C37,0,($B37-$G37)/($H37+$I37+(O$2+体力消耗运算!$V37)*O$3))</f>
        <v>0.52449018957760429</v>
      </c>
      <c r="P37" s="122">
        <f>SUM(O$4:O37)</f>
        <v>2.3331972249943078</v>
      </c>
      <c r="Q37" s="122">
        <f>IF(SUM($G$4:$G37)&gt;$C37,0,($B37-$G37)/($H37+$I37+(Q$2+体力消耗运算!$V37)*Q$3))</f>
        <v>0.3964531132566832</v>
      </c>
      <c r="R37" s="122">
        <f>SUM(Q$4:Q37)</f>
        <v>1.7634381569389563</v>
      </c>
      <c r="S37" s="122">
        <f>IF(SUM($G$4:$G37)&gt;$C37,0,($B37-$G37)/($H37+$I37+(S$2+体力消耗运算!$V37)*S$3))</f>
        <v>0.28179957481504897</v>
      </c>
      <c r="T37" s="122">
        <f>SUM(S$4:S37)</f>
        <v>1.2533370333077301</v>
      </c>
    </row>
    <row r="38" spans="1:20">
      <c r="A38">
        <v>35</v>
      </c>
      <c r="B38" s="119">
        <f>'1、经济推算'!U37</f>
        <v>14989</v>
      </c>
      <c r="C38" s="119">
        <f t="shared" si="3"/>
        <v>131327</v>
      </c>
      <c r="D38" s="117">
        <f>'1、经济推算'!S37</f>
        <v>1.4870558657912887</v>
      </c>
      <c r="E38" s="117">
        <f t="shared" si="4"/>
        <v>13.030229791234184</v>
      </c>
      <c r="G38">
        <f t="shared" si="5"/>
        <v>3025</v>
      </c>
      <c r="H38">
        <f>$H$2*$H$3+体力消耗运算!V38*$H$3</f>
        <v>9360</v>
      </c>
      <c r="I38" s="121">
        <f t="shared" ref="I38:I68" si="6">$I$2</f>
        <v>6812.0299596774194</v>
      </c>
      <c r="J38" s="121">
        <f>H38+I38+$K$2*$H$3</f>
        <v>20972.02995967742</v>
      </c>
      <c r="K38" s="133">
        <f>IF(SUM($G$4:G38)&gt;C38,0,($B38-$G38)/($J38+体力消耗运算!$V38*$K$3))</f>
        <v>0.56615479075265474</v>
      </c>
      <c r="L38" s="133">
        <f>SUM(K$4:K38)</f>
        <v>3.1809631085520573</v>
      </c>
      <c r="M38" s="122">
        <f>IF(SUM($G$4:$G38)&gt;$C38,0,($B38-$G38)/($H38+$I38+(M$2+体力消耗运算!$V38)*M$3))</f>
        <v>0.63869212390508201</v>
      </c>
      <c r="N38" s="122">
        <f>SUM(M$4:M38)</f>
        <v>3.6124223745695456</v>
      </c>
      <c r="O38" s="122">
        <f>IF(SUM($G$4:$G38)&gt;$C38,0,($B38-$G38)/($H38+$I38+(O$2+体力消耗运算!$V38)*O$3))</f>
        <v>0.50841342716716498</v>
      </c>
      <c r="P38" s="122">
        <f>SUM(O$4:O38)</f>
        <v>2.8416106521614726</v>
      </c>
      <c r="Q38" s="122">
        <f>IF(SUM($G$4:$G38)&gt;$C38,0,($B38-$G38)/($H38+$I38+(Q$2+体力消耗运算!$V38)*Q$3))</f>
        <v>0.38930067475847213</v>
      </c>
      <c r="R38" s="122">
        <f>SUM(Q$4:Q38)</f>
        <v>2.1527388316974285</v>
      </c>
      <c r="S38" s="122">
        <f>IF(SUM($G$4:$G38)&gt;$C38,0,($B38-$G38)/($H38+$I38+(S$2+体力消耗运算!$V38)*S$3))</f>
        <v>0.27997733810655401</v>
      </c>
      <c r="T38" s="122">
        <f>SUM(S$4:S38)</f>
        <v>1.5333143714142841</v>
      </c>
    </row>
    <row r="39" spans="1:20">
      <c r="A39">
        <v>36</v>
      </c>
      <c r="B39" s="119">
        <f>'1、经济推算'!U38</f>
        <v>16517</v>
      </c>
      <c r="C39" s="119">
        <f t="shared" si="3"/>
        <v>147844</v>
      </c>
      <c r="D39" s="117">
        <f>'1、经济推算'!S38</f>
        <v>1.6386778328055067</v>
      </c>
      <c r="E39" s="117">
        <f t="shared" si="4"/>
        <v>14.66890762403969</v>
      </c>
      <c r="G39">
        <f t="shared" si="5"/>
        <v>1875</v>
      </c>
      <c r="H39">
        <f>$H$2*$H$3+体力消耗运算!V39*$H$3</f>
        <v>9360</v>
      </c>
      <c r="I39" s="121">
        <f t="shared" si="6"/>
        <v>6812.0299596774194</v>
      </c>
      <c r="J39" s="121">
        <f t="shared" si="2"/>
        <v>20972.02995967742</v>
      </c>
      <c r="K39" s="133">
        <f>IF(SUM($G$4:G39)&gt;C39,0,($B39-$G39)/($J39+体力消耗运算!$V39*$K$3))</f>
        <v>0.6928818493982255</v>
      </c>
      <c r="L39" s="133">
        <f>SUM(K$4:K39)</f>
        <v>3.8738449579502827</v>
      </c>
      <c r="M39" s="122">
        <f>IF(SUM($G$4:$G39)&gt;$C39,0,($B39-$G39)/($H39+$I39+(M$2+体力消耗运算!$V39)*M$3))</f>
        <v>0.78165580727333761</v>
      </c>
      <c r="N39" s="122">
        <f>SUM(M$4:M39)</f>
        <v>4.3940781818428833</v>
      </c>
      <c r="O39" s="122">
        <f>IF(SUM($G$4:$G39)&gt;$C39,0,($B39-$G39)/($H39+$I39+(O$2+体力消耗运算!$V39)*O$3))</f>
        <v>0.62221576400715728</v>
      </c>
      <c r="P39" s="122">
        <f>SUM(O$4:O39)</f>
        <v>3.4638264161686299</v>
      </c>
      <c r="Q39" s="122">
        <f>IF(SUM($G$4:$G39)&gt;$C39,0,($B39-$G39)/($H39+$I39+(Q$2+体力消耗运算!$V39)*Q$3))</f>
        <v>0.47644102974035007</v>
      </c>
      <c r="R39" s="122">
        <f>SUM(Q$4:Q39)</f>
        <v>2.6291798614377786</v>
      </c>
      <c r="S39" s="122">
        <f>IF(SUM($G$4:$G39)&gt;$C39,0,($B39-$G39)/($H39+$I39+(S$2+体力消耗运算!$V39)*S$3))</f>
        <v>0.34264695624842556</v>
      </c>
      <c r="T39" s="122">
        <f>SUM(S$4:S39)</f>
        <v>1.8759613276627096</v>
      </c>
    </row>
    <row r="40" spans="1:20">
      <c r="A40">
        <v>37</v>
      </c>
      <c r="B40" s="119">
        <f>'1、经济推算'!U39</f>
        <v>18159</v>
      </c>
      <c r="C40" s="119">
        <f t="shared" si="3"/>
        <v>166003</v>
      </c>
      <c r="D40" s="117">
        <f>'1、经济推算'!S39</f>
        <v>1.8015025180918096</v>
      </c>
      <c r="E40" s="117">
        <f t="shared" si="4"/>
        <v>16.470410142131499</v>
      </c>
      <c r="G40">
        <f t="shared" si="5"/>
        <v>5625</v>
      </c>
      <c r="H40">
        <f>$H$2*$H$3+体力消耗运算!V40*$H$3</f>
        <v>9360</v>
      </c>
      <c r="I40" s="121">
        <f t="shared" si="6"/>
        <v>6812.0299596774194</v>
      </c>
      <c r="J40" s="121">
        <f t="shared" si="2"/>
        <v>20972.02995967742</v>
      </c>
      <c r="K40" s="133">
        <f>IF(SUM($G$4:G40)&gt;C40,0,($B40-$G40)/($J40+体力消耗运算!$V40*$K$3))</f>
        <v>0.59312806313053945</v>
      </c>
      <c r="L40" s="133">
        <f>SUM(K$4:K40)</f>
        <v>4.4669730210808218</v>
      </c>
      <c r="M40" s="122">
        <f>IF(SUM($G$4:$G40)&gt;$C40,0,($B40-$G40)/($H40+$I40+(M$2+体力消耗运算!$V40)*M$3))</f>
        <v>0.66912128728070031</v>
      </c>
      <c r="N40" s="122">
        <f>SUM(M$4:M40)</f>
        <v>5.0631994691235835</v>
      </c>
      <c r="O40" s="122">
        <f>IF(SUM($G$4:$G40)&gt;$C40,0,($B40-$G40)/($H40+$I40+(O$2+体力消耗运算!$V40)*O$3))</f>
        <v>0.53263573187171898</v>
      </c>
      <c r="P40" s="122">
        <f>SUM(O$4:O40)</f>
        <v>3.996462148040349</v>
      </c>
      <c r="Q40" s="122">
        <f>IF(SUM($G$4:$G40)&gt;$C40,0,($B40-$G40)/($H40+$I40+(Q$2+体力消耗运算!$V40)*Q$3))</f>
        <v>0.40784809908247155</v>
      </c>
      <c r="R40" s="122">
        <f>SUM(Q$4:Q40)</f>
        <v>3.0370279605202501</v>
      </c>
      <c r="S40" s="122">
        <f>IF(SUM($G$4:$G40)&gt;$C40,0,($B40-$G40)/($H40+$I40+(S$2+体力消耗运算!$V40)*S$3))</f>
        <v>0.29331627848775893</v>
      </c>
      <c r="T40" s="122">
        <f>SUM(S$4:S40)</f>
        <v>2.1692776061504686</v>
      </c>
    </row>
    <row r="41" spans="1:20">
      <c r="A41">
        <v>38</v>
      </c>
      <c r="B41" s="119">
        <f>'1、经济推算'!U40</f>
        <v>19918</v>
      </c>
      <c r="C41" s="119">
        <f t="shared" si="3"/>
        <v>185921</v>
      </c>
      <c r="D41" s="117">
        <f>'1、经济推算'!S40</f>
        <v>1.9760527974761555</v>
      </c>
      <c r="E41" s="117">
        <f t="shared" si="4"/>
        <v>18.446462939607656</v>
      </c>
      <c r="G41">
        <f t="shared" si="5"/>
        <v>3225</v>
      </c>
      <c r="H41">
        <f>$H$2*$H$3+体力消耗运算!V41*$H$3</f>
        <v>9360</v>
      </c>
      <c r="I41" s="121">
        <f t="shared" si="6"/>
        <v>6812.0299596774194</v>
      </c>
      <c r="J41" s="121">
        <f t="shared" si="2"/>
        <v>20972.02995967742</v>
      </c>
      <c r="K41" s="133">
        <f>IF(SUM($G$4:G41)&gt;C41,0,($B41-$G41)/($J41+体力消耗运算!$V41*$K$3))</f>
        <v>0.78993830842812307</v>
      </c>
      <c r="L41" s="133">
        <f>SUM(K$4:K41)</f>
        <v>5.2569113295089451</v>
      </c>
      <c r="M41" s="122">
        <f>IF(SUM($G$4:$G41)&gt;$C41,0,($B41-$G41)/($H41+$I41+(M$2+体力消耗运算!$V41)*M$3))</f>
        <v>0.8911474109284131</v>
      </c>
      <c r="N41" s="122">
        <f>SUM(M$4:M41)</f>
        <v>5.9543468800519967</v>
      </c>
      <c r="O41" s="122">
        <f>IF(SUM($G$4:$G41)&gt;$C41,0,($B41-$G41)/($H41+$I41+(O$2+体力消耗运算!$V41)*O$3))</f>
        <v>0.70937356567214016</v>
      </c>
      <c r="P41" s="122">
        <f>SUM(O$4:O41)</f>
        <v>4.7058357137124895</v>
      </c>
      <c r="Q41" s="122">
        <f>IF(SUM($G$4:$G41)&gt;$C41,0,($B41-$G41)/($H41+$I41+(Q$2+体力消耗运算!$V41)*Q$3))</f>
        <v>0.54317921796582869</v>
      </c>
      <c r="R41" s="122">
        <f>SUM(Q$4:Q41)</f>
        <v>3.5802071784860789</v>
      </c>
      <c r="S41" s="122">
        <f>IF(SUM($G$4:$G41)&gt;$C41,0,($B41-$G41)/($H41+$I41+(S$2+体力消耗运算!$V41)*S$3))</f>
        <v>0.39064373997097174</v>
      </c>
      <c r="T41" s="122">
        <f>SUM(S$4:S41)</f>
        <v>2.5599213461214405</v>
      </c>
    </row>
    <row r="42" spans="1:20" s="137" customFormat="1">
      <c r="A42" s="137">
        <v>39</v>
      </c>
      <c r="B42" s="138">
        <f>'1、经济推算'!U41</f>
        <v>21801</v>
      </c>
      <c r="C42" s="119">
        <f t="shared" si="3"/>
        <v>207722</v>
      </c>
      <c r="D42" s="139">
        <f>'1、经济推算'!S41</f>
        <v>2.1628629908762993</v>
      </c>
      <c r="E42" s="139">
        <f t="shared" si="4"/>
        <v>20.609325930483955</v>
      </c>
      <c r="G42" s="137">
        <f t="shared" si="5"/>
        <v>4775</v>
      </c>
      <c r="H42">
        <f>$H$2*$H$3+体力消耗运算!V42*$H$3</f>
        <v>9360</v>
      </c>
      <c r="I42" s="140">
        <f t="shared" si="6"/>
        <v>6812.0299596774194</v>
      </c>
      <c r="J42" s="140">
        <f t="shared" si="2"/>
        <v>20972.02995967742</v>
      </c>
      <c r="K42" s="133">
        <f>IF(SUM($G$4:G42)&gt;C42,0,($B42-$G42)/($J42+体力消耗运算!$V42*$K$3))</f>
        <v>0.80569637808046635</v>
      </c>
      <c r="L42" s="141">
        <f>SUM(K$4:K42)</f>
        <v>6.0626077075894118</v>
      </c>
      <c r="M42" s="122">
        <f>IF(SUM($G$4:$G42)&gt;$C42,0,($B42-$G42)/($H42+$I42+(M$2+体力消耗运算!$V42)*M$3))</f>
        <v>0.90892444847943221</v>
      </c>
      <c r="N42" s="141">
        <f>SUM(M$4:M42)</f>
        <v>6.8632713285314288</v>
      </c>
      <c r="O42" s="122">
        <f>IF(SUM($G$4:$G42)&gt;$C42,0,($B42-$G42)/($H42+$I42+(O$2+体力消耗运算!$V42)*O$3))</f>
        <v>0.72352449105216909</v>
      </c>
      <c r="P42" s="141">
        <f>SUM(O$4:O42)</f>
        <v>5.4293602047646585</v>
      </c>
      <c r="Q42" s="122">
        <f>IF(SUM($G$4:$G42)&gt;$C42,0,($B42-$G42)/($H42+$I42+(Q$2+体力消耗运算!$V42)*Q$3))</f>
        <v>0.55401481849195466</v>
      </c>
      <c r="R42" s="141">
        <f>SUM(Q$4:Q42)</f>
        <v>4.1342219969780336</v>
      </c>
      <c r="S42" s="122">
        <f>IF(SUM($G$4:$G42)&gt;$C42,0,($B42-$G42)/($H42+$I42+(S$2+体力消耗运算!$V42)*S$3))</f>
        <v>0.39843648935157039</v>
      </c>
      <c r="T42" s="141">
        <f>SUM(S$4:S42)</f>
        <v>2.9583578354730111</v>
      </c>
    </row>
    <row r="43" spans="1:20">
      <c r="A43">
        <v>40</v>
      </c>
      <c r="B43" s="119">
        <f>'1、经济推算'!U42</f>
        <v>23813</v>
      </c>
      <c r="C43" s="119">
        <f t="shared" si="3"/>
        <v>231535</v>
      </c>
      <c r="D43" s="117">
        <f>'1、经济推算'!S42</f>
        <v>2.3624788623017925</v>
      </c>
      <c r="E43" s="117">
        <f t="shared" si="4"/>
        <v>22.971804792785747</v>
      </c>
      <c r="G43">
        <f t="shared" si="5"/>
        <v>3475</v>
      </c>
      <c r="H43">
        <f>$H$2*$H$3+体力消耗运算!V43*$H$3</f>
        <v>9380</v>
      </c>
      <c r="I43" s="121">
        <f t="shared" si="6"/>
        <v>6812.0299596774194</v>
      </c>
      <c r="J43" s="121">
        <f t="shared" si="2"/>
        <v>20992.02995967742</v>
      </c>
      <c r="K43" s="133">
        <f>IF(SUM($G$4:G43)&gt;C43,0,($B43-$G43)/($J43+体力消耗运算!$V43*$K$3))</f>
        <v>0.96060699133404548</v>
      </c>
      <c r="L43" s="133">
        <f>SUM(K$4:K43)</f>
        <v>7.0232146989234572</v>
      </c>
      <c r="M43" s="122">
        <f>IF(SUM($G$4:$G43)&gt;$C43,0,($B43-$G43)/($H43+$I43+(M$2+体力消耗运算!$V43)*M$3))</f>
        <v>1.0834203889342977</v>
      </c>
      <c r="N43" s="122">
        <f>SUM(M$4:M43)</f>
        <v>7.9466917174657263</v>
      </c>
      <c r="O43" s="122">
        <f>IF(SUM($G$4:$G43)&gt;$C43,0,($B43-$G43)/($H43+$I43+(O$2+体力消耗运算!$V43)*O$3))</f>
        <v>0.86280222937058926</v>
      </c>
      <c r="P43" s="122">
        <f>SUM(O$4:O43)</f>
        <v>6.292162434135248</v>
      </c>
      <c r="Q43" s="122">
        <f>IF(SUM($G$4:$G43)&gt;$C43,0,($B43-$G43)/($H43+$I43+(Q$2+体力消耗运算!$V43)*Q$3))</f>
        <v>0.66092487322578963</v>
      </c>
      <c r="R43" s="122">
        <f>SUM(Q$4:Q43)</f>
        <v>4.7951468702038236</v>
      </c>
      <c r="S43" s="122">
        <f>IF(SUM($G$4:$G43)&gt;$C43,0,($B43-$G43)/($H43+$I43+(S$2+体力消耗运算!$V43)*S$3))</f>
        <v>0.4754976562761527</v>
      </c>
      <c r="T43" s="122">
        <f>SUM(S$4:S43)</f>
        <v>3.4338554917491639</v>
      </c>
    </row>
    <row r="44" spans="1:20">
      <c r="A44">
        <v>41</v>
      </c>
      <c r="B44" s="119">
        <f>'1、经济推算'!U43</f>
        <v>25960</v>
      </c>
      <c r="C44" s="119">
        <f t="shared" si="3"/>
        <v>257495</v>
      </c>
      <c r="D44" s="117">
        <f>'1、经济推算'!S43</f>
        <v>2.5754576198539838</v>
      </c>
      <c r="E44" s="117">
        <f t="shared" si="4"/>
        <v>25.547262412639732</v>
      </c>
      <c r="G44">
        <f t="shared" si="5"/>
        <v>1875</v>
      </c>
      <c r="H44">
        <f>$H$2*$H$3+体力消耗运算!V44*$H$3</f>
        <v>9380</v>
      </c>
      <c r="I44" s="121">
        <f t="shared" si="6"/>
        <v>6812.0299596774194</v>
      </c>
      <c r="J44" s="121">
        <f t="shared" si="2"/>
        <v>20992.02995967742</v>
      </c>
      <c r="K44" s="133">
        <f>IF(SUM($G$4:G44)&gt;C44,0,($B44-$G44)/($J44+体力消耗运算!$V44*$K$3))</f>
        <v>1.1375857698043312</v>
      </c>
      <c r="L44" s="133">
        <f>SUM(K$4:K44)</f>
        <v>8.1608004687277891</v>
      </c>
      <c r="M44" s="122">
        <f>IF(SUM($G$4:$G44)&gt;$C44,0,($B44-$G44)/($H44+$I44+(M$2+体力消耗运算!$V44)*M$3))</f>
        <v>1.2830258662347607</v>
      </c>
      <c r="N44" s="122">
        <f>SUM(M$4:M44)</f>
        <v>9.2297175837004879</v>
      </c>
      <c r="O44" s="122">
        <f>IF(SUM($G$4:$G44)&gt;$C44,0,($B44-$G44)/($H44+$I44+(O$2+体力消耗运算!$V44)*O$3))</f>
        <v>1.0217618101283628</v>
      </c>
      <c r="P44" s="122">
        <f>SUM(O$4:O44)</f>
        <v>7.3139242442636103</v>
      </c>
      <c r="Q44" s="122">
        <f>IF(SUM($G$4:$G44)&gt;$C44,0,($B44-$G44)/($H44+$I44+(Q$2+体力消耗运算!$V44)*Q$3))</f>
        <v>0.78269129568507934</v>
      </c>
      <c r="R44" s="122">
        <f>SUM(Q$4:Q44)</f>
        <v>5.5778381658889025</v>
      </c>
      <c r="S44" s="122">
        <f>IF(SUM($G$4:$G44)&gt;$C44,0,($B44-$G44)/($H44+$I44+(S$2+体力消耗运算!$V44)*S$3))</f>
        <v>0.56310163494006971</v>
      </c>
      <c r="T44" s="122">
        <f>SUM(S$4:S44)</f>
        <v>3.9969571266892334</v>
      </c>
    </row>
    <row r="45" spans="1:20">
      <c r="A45">
        <v>42</v>
      </c>
      <c r="B45" s="119">
        <f>'1、经济推算'!U44</f>
        <v>28247</v>
      </c>
      <c r="C45" s="119">
        <f t="shared" si="3"/>
        <v>285742</v>
      </c>
      <c r="D45" s="117">
        <f>'1、经济推算'!S44</f>
        <v>2.8023679157260188</v>
      </c>
      <c r="E45" s="117">
        <f t="shared" si="4"/>
        <v>28.349630328365752</v>
      </c>
      <c r="G45">
        <f t="shared" si="5"/>
        <v>5375</v>
      </c>
      <c r="H45">
        <f>$H$2*$H$3+体力消耗运算!V45*$H$3</f>
        <v>9380</v>
      </c>
      <c r="I45" s="121">
        <f t="shared" si="6"/>
        <v>6812.0299596774194</v>
      </c>
      <c r="J45" s="121">
        <f t="shared" si="2"/>
        <v>20992.02995967742</v>
      </c>
      <c r="K45" s="133">
        <f>IF(SUM($G$4:G45)&gt;C45,0,($B45-$G45)/($J45+体力消耗运算!$V45*$K$3))</f>
        <v>1.080293200206131</v>
      </c>
      <c r="L45" s="133">
        <f>SUM(K$4:K45)</f>
        <v>9.2410936689339209</v>
      </c>
      <c r="M45" s="122">
        <f>IF(SUM($G$4:$G45)&gt;$C45,0,($B45-$G45)/($H45+$I45+(M$2+体力消耗运算!$V45)*M$3))</f>
        <v>1.2184084539141145</v>
      </c>
      <c r="N45" s="122">
        <f>SUM(M$4:M45)</f>
        <v>10.448126037614603</v>
      </c>
      <c r="O45" s="122">
        <f>IF(SUM($G$4:$G45)&gt;$C45,0,($B45-$G45)/($H45+$I45+(O$2+体力消耗运算!$V45)*O$3))</f>
        <v>0.97030251697138947</v>
      </c>
      <c r="P45" s="122">
        <f>SUM(O$4:O45)</f>
        <v>8.2842267612350007</v>
      </c>
      <c r="Q45" s="122">
        <f>IF(SUM($G$4:$G45)&gt;$C45,0,($B45-$G45)/($H45+$I45+(Q$2+体力消耗运算!$V45)*Q$3))</f>
        <v>0.74327238176911503</v>
      </c>
      <c r="R45" s="122">
        <f>SUM(Q$4:Q45)</f>
        <v>6.3211105476580176</v>
      </c>
      <c r="S45" s="122">
        <f>IF(SUM($G$4:$G45)&gt;$C45,0,($B45-$G45)/($H45+$I45+(S$2+体力消耗运算!$V45)*S$3))</f>
        <v>0.5347419802511636</v>
      </c>
      <c r="T45" s="122">
        <f>SUM(S$4:S45)</f>
        <v>4.5316991069403967</v>
      </c>
    </row>
    <row r="46" spans="1:20">
      <c r="A46">
        <v>43</v>
      </c>
      <c r="B46" s="119">
        <f>'1、经济推算'!U45</f>
        <v>30681</v>
      </c>
      <c r="C46" s="119">
        <f t="shared" si="3"/>
        <v>316423</v>
      </c>
      <c r="D46" s="117">
        <f>'1、经济推算'!S45</f>
        <v>3.0437898462028397</v>
      </c>
      <c r="E46" s="117">
        <f t="shared" si="4"/>
        <v>31.39342017456859</v>
      </c>
      <c r="G46">
        <f t="shared" si="5"/>
        <v>1950</v>
      </c>
      <c r="H46">
        <f>$H$2*$H$3+体力消耗运算!V46*$H$3</f>
        <v>9380</v>
      </c>
      <c r="I46" s="121">
        <f t="shared" si="6"/>
        <v>6812.0299596774194</v>
      </c>
      <c r="J46" s="121">
        <f t="shared" si="2"/>
        <v>20992.02995967742</v>
      </c>
      <c r="K46" s="133">
        <f>IF(SUM($G$4:G46)&gt;C46,0,($B46-$G46)/($J46+体力消耗运算!$V46*$K$3))</f>
        <v>1.3570262301120297</v>
      </c>
      <c r="L46" s="133">
        <f>SUM(K$4:K46)</f>
        <v>10.598119899045951</v>
      </c>
      <c r="M46" s="122">
        <f>IF(SUM($G$4:$G46)&gt;$C46,0,($B46-$G46)/($H46+$I46+(M$2+体力消耗运算!$V46)*M$3))</f>
        <v>1.5305217422790494</v>
      </c>
      <c r="N46" s="122">
        <f>SUM(M$4:M46)</f>
        <v>11.978647779893652</v>
      </c>
      <c r="O46" s="122">
        <f>IF(SUM($G$4:$G46)&gt;$C46,0,($B46-$G46)/($H46+$I46+(O$2+体力消耗运算!$V46)*O$3))</f>
        <v>1.2188598117831841</v>
      </c>
      <c r="P46" s="122">
        <f>SUM(O$4:O46)</f>
        <v>9.5030865730181855</v>
      </c>
      <c r="Q46" s="122">
        <f>IF(SUM($G$4:$G46)&gt;$C46,0,($B46-$G46)/($H46+$I46+(Q$2+体力消耗运算!$V46)*Q$3))</f>
        <v>0.93367256036238389</v>
      </c>
      <c r="R46" s="122">
        <f>SUM(Q$4:Q46)</f>
        <v>7.2547831080204013</v>
      </c>
      <c r="S46" s="122">
        <f>IF(SUM($G$4:$G46)&gt;$C46,0,($B46-$G46)/($H46+$I46+(S$2+体力消耗运算!$V46)*S$3))</f>
        <v>0.67172402214918592</v>
      </c>
      <c r="T46" s="122">
        <f>SUM(S$4:S46)</f>
        <v>5.2034231290895825</v>
      </c>
    </row>
    <row r="47" spans="1:20">
      <c r="A47">
        <v>44</v>
      </c>
      <c r="B47" s="119">
        <f>'1、经济推算'!U46</f>
        <v>33267</v>
      </c>
      <c r="C47" s="119">
        <f t="shared" si="3"/>
        <v>349690</v>
      </c>
      <c r="D47" s="117">
        <f>'1、经济推算'!S46</f>
        <v>3.3003149516611856</v>
      </c>
      <c r="E47" s="117">
        <f t="shared" si="4"/>
        <v>34.693735126229775</v>
      </c>
      <c r="G47">
        <f t="shared" si="5"/>
        <v>3850</v>
      </c>
      <c r="H47">
        <f>$H$2*$H$3+体力消耗运算!V47*$H$3</f>
        <v>9380</v>
      </c>
      <c r="I47" s="121">
        <f t="shared" si="6"/>
        <v>6812.0299596774194</v>
      </c>
      <c r="J47" s="121">
        <f t="shared" si="2"/>
        <v>20992.02995967742</v>
      </c>
      <c r="K47" s="133">
        <f>IF(SUM($G$4:G47)&gt;C47,0,($B47-$G47)/($J47+体力消耗运算!$V47*$K$3))</f>
        <v>1.3894274689779536</v>
      </c>
      <c r="L47" s="133">
        <f>SUM(K$4:K47)</f>
        <v>11.987547368023904</v>
      </c>
      <c r="M47" s="122">
        <f>IF(SUM($G$4:$G47)&gt;$C47,0,($B47-$G47)/($H47+$I47+(M$2+体力消耗运算!$V47)*M$3))</f>
        <v>1.5670654725774529</v>
      </c>
      <c r="N47" s="122">
        <f>SUM(M$4:M47)</f>
        <v>13.545713252471105</v>
      </c>
      <c r="O47" s="122">
        <f>IF(SUM($G$4:$G47)&gt;$C47,0,($B47-$G47)/($H47+$I47+(O$2+体力消耗运算!$V47)*O$3))</f>
        <v>1.2479620995867158</v>
      </c>
      <c r="P47" s="122">
        <f>SUM(O$4:O47)</f>
        <v>10.751048672604901</v>
      </c>
      <c r="Q47" s="122">
        <f>IF(SUM($G$4:$G47)&gt;$C47,0,($B47-$G47)/($H47+$I47+(Q$2+体力消耗运算!$V47)*Q$3))</f>
        <v>0.95596553228847747</v>
      </c>
      <c r="R47" s="122">
        <f>SUM(Q$4:Q47)</f>
        <v>8.2107486403088785</v>
      </c>
      <c r="S47" s="122">
        <f>IF(SUM($G$4:$G47)&gt;$C47,0,($B47-$G47)/($H47+$I47+(S$2+体力消耗运算!$V47)*S$3))</f>
        <v>0.68776254079435462</v>
      </c>
      <c r="T47" s="122">
        <f>SUM(S$4:S47)</f>
        <v>5.8911856698839369</v>
      </c>
    </row>
    <row r="48" spans="1:20">
      <c r="A48">
        <v>45</v>
      </c>
      <c r="B48" s="119">
        <f>'1、经济推算'!U47</f>
        <v>36011</v>
      </c>
      <c r="C48" s="119">
        <f t="shared" si="3"/>
        <v>385701</v>
      </c>
      <c r="D48" s="117">
        <f>'1、经济推算'!S47</f>
        <v>3.5725462165695934</v>
      </c>
      <c r="E48" s="117">
        <f t="shared" si="4"/>
        <v>38.266281342799367</v>
      </c>
      <c r="G48">
        <f t="shared" si="5"/>
        <v>1950</v>
      </c>
      <c r="H48">
        <f>$H$2*$H$3+体力消耗运算!V48*$H$3</f>
        <v>9380</v>
      </c>
      <c r="I48" s="121">
        <f t="shared" si="6"/>
        <v>6812.0299596774194</v>
      </c>
      <c r="J48" s="121">
        <f t="shared" si="2"/>
        <v>20992.02995967742</v>
      </c>
      <c r="K48" s="133">
        <f>IF(SUM($G$4:G48)&gt;C48,0,($B48-$G48)/($J48+体力消耗运算!$V48*$K$3))</f>
        <v>1.6087734650323986</v>
      </c>
      <c r="L48" s="133">
        <f>SUM(K$4:K48)</f>
        <v>13.596320833056303</v>
      </c>
      <c r="M48" s="122">
        <f>IF(SUM($G$4:$G48)&gt;$C48,0,($B48-$G48)/($H48+$I48+(M$2+体力消耗运算!$V48)*M$3))</f>
        <v>1.8144548071339912</v>
      </c>
      <c r="N48" s="122">
        <f>SUM(M$4:M48)</f>
        <v>15.360168059605096</v>
      </c>
      <c r="O48" s="122">
        <f>IF(SUM($G$4:$G48)&gt;$C48,0,($B48-$G48)/($H48+$I48+(O$2+体力消耗运算!$V48)*O$3))</f>
        <v>1.4449752549214103</v>
      </c>
      <c r="P48" s="122">
        <f>SUM(O$4:O48)</f>
        <v>12.19602392752631</v>
      </c>
      <c r="Q48" s="122">
        <f>IF(SUM($G$4:$G48)&gt;$C48,0,($B48-$G48)/($H48+$I48+(Q$2+体力消耗运算!$V48)*Q$3))</f>
        <v>1.1068818028785339</v>
      </c>
      <c r="R48" s="122">
        <f>SUM(Q$4:Q48)</f>
        <v>9.3176304431874115</v>
      </c>
      <c r="S48" s="122">
        <f>IF(SUM($G$4:$G48)&gt;$C48,0,($B48-$G48)/($H48+$I48+(S$2+体力消耗运算!$V48)*S$3))</f>
        <v>0.79633816847389305</v>
      </c>
      <c r="T48" s="122">
        <f>SUM(S$4:S48)</f>
        <v>6.6875238383578299</v>
      </c>
    </row>
    <row r="49" spans="1:20">
      <c r="A49">
        <v>46</v>
      </c>
      <c r="B49" s="119">
        <f>'1、经济推算'!U48</f>
        <v>38919</v>
      </c>
      <c r="C49" s="119">
        <f t="shared" si="3"/>
        <v>424620</v>
      </c>
      <c r="D49" s="117">
        <f>'1、经济推算'!S48</f>
        <v>3.8610980694883947</v>
      </c>
      <c r="E49" s="117">
        <f t="shared" si="4"/>
        <v>42.127379412287759</v>
      </c>
      <c r="G49">
        <f t="shared" si="5"/>
        <v>8250</v>
      </c>
      <c r="H49">
        <f>$H$2*$H$3+体力消耗运算!V49*$H$3</f>
        <v>9380</v>
      </c>
      <c r="I49" s="121">
        <f t="shared" si="6"/>
        <v>6812.0299596774194</v>
      </c>
      <c r="J49" s="121">
        <f t="shared" si="2"/>
        <v>20992.02995967742</v>
      </c>
      <c r="K49" s="133">
        <f>IF(SUM($G$4:G49)&gt;C49,0,($B49-$G49)/($J49+体力消耗运算!$V49*$K$3))</f>
        <v>1.4485620915145954</v>
      </c>
      <c r="L49" s="133">
        <f>SUM(K$4:K49)</f>
        <v>15.044882924570899</v>
      </c>
      <c r="M49" s="122">
        <f>IF(SUM($G$4:$G49)&gt;$C49,0,($B49-$G49)/($H49+$I49+(M$2+体力消耗运算!$V49)*M$3))</f>
        <v>1.6337604439092328</v>
      </c>
      <c r="N49" s="122">
        <f>SUM(M$4:M49)</f>
        <v>16.993928503514329</v>
      </c>
      <c r="O49" s="122">
        <f>IF(SUM($G$4:$G49)&gt;$C49,0,($B49-$G49)/($H49+$I49+(O$2+体力消耗运算!$V49)*O$3))</f>
        <v>1.3010758959861639</v>
      </c>
      <c r="P49" s="122">
        <f>SUM(O$4:O49)</f>
        <v>13.497099823512475</v>
      </c>
      <c r="Q49" s="122">
        <f>IF(SUM($G$4:$G49)&gt;$C49,0,($B49-$G49)/($H49+$I49+(Q$2+体力消耗运算!$V49)*Q$3))</f>
        <v>0.99665183090577947</v>
      </c>
      <c r="R49" s="122">
        <f>SUM(Q$4:Q49)</f>
        <v>10.314282274093191</v>
      </c>
      <c r="S49" s="122">
        <f>IF(SUM($G$4:$G49)&gt;$C49,0,($B49-$G49)/($H49+$I49+(S$2+体力消耗运算!$V49)*S$3))</f>
        <v>0.71703400631002689</v>
      </c>
      <c r="T49" s="122">
        <f>SUM(S$4:S49)</f>
        <v>7.404557844667857</v>
      </c>
    </row>
    <row r="50" spans="1:20">
      <c r="A50">
        <v>47</v>
      </c>
      <c r="B50" s="119">
        <f>'1、经济推算'!U49</f>
        <v>41999</v>
      </c>
      <c r="C50" s="119">
        <f t="shared" si="3"/>
        <v>466619</v>
      </c>
      <c r="D50" s="117">
        <f>'1、经济推算'!S49</f>
        <v>4.166596383069721</v>
      </c>
      <c r="E50" s="117">
        <f t="shared" si="4"/>
        <v>46.293975795357483</v>
      </c>
      <c r="G50">
        <f t="shared" si="5"/>
        <v>4325</v>
      </c>
      <c r="H50">
        <f>$H$2*$H$3+体力消耗运算!V50*$H$3</f>
        <v>9380</v>
      </c>
      <c r="I50" s="121">
        <f t="shared" si="6"/>
        <v>6812.0299596774194</v>
      </c>
      <c r="J50" s="121">
        <f t="shared" si="2"/>
        <v>20992.02995967742</v>
      </c>
      <c r="K50" s="133">
        <f>IF(SUM($G$4:G50)&gt;C50,0,($B50-$G50)/($J50+体力消耗运算!$V50*$K$3))</f>
        <v>1.779423138534705</v>
      </c>
      <c r="L50" s="133">
        <f>SUM(K$4:K50)</f>
        <v>16.824306063105603</v>
      </c>
      <c r="M50" s="122">
        <f>IF(SUM($G$4:$G50)&gt;$C50,0,($B50-$G50)/($H50+$I50+(M$2+体力消耗运算!$V50)*M$3))</f>
        <v>2.0069220047551743</v>
      </c>
      <c r="N50" s="122">
        <f>SUM(M$4:M50)</f>
        <v>19.000850508269505</v>
      </c>
      <c r="O50" s="122">
        <f>IF(SUM($G$4:$G50)&gt;$C50,0,($B50-$G50)/($H50+$I50+(O$2+体力消耗运算!$V50)*O$3))</f>
        <v>1.5982501322306806</v>
      </c>
      <c r="P50" s="122">
        <f>SUM(O$4:O50)</f>
        <v>15.095349955743155</v>
      </c>
      <c r="Q50" s="122">
        <f>IF(SUM($G$4:$G50)&gt;$C50,0,($B50-$G50)/($H50+$I50+(Q$2+体力消耗运算!$V50)*Q$3))</f>
        <v>1.2242936214922018</v>
      </c>
      <c r="R50" s="122">
        <f>SUM(Q$4:Q50)</f>
        <v>11.538575895585392</v>
      </c>
      <c r="S50" s="122">
        <f>IF(SUM($G$4:$G50)&gt;$C50,0,($B50-$G50)/($H50+$I50+(S$2+体力消耗运算!$V50)*S$3))</f>
        <v>0.88080925865610071</v>
      </c>
      <c r="T50" s="122">
        <f>SUM(S$4:S50)</f>
        <v>8.2853671033239582</v>
      </c>
    </row>
    <row r="51" spans="1:20">
      <c r="A51">
        <v>48</v>
      </c>
      <c r="B51" s="119">
        <f>'1、经济推算'!U50</f>
        <v>45255</v>
      </c>
      <c r="C51" s="119">
        <f t="shared" si="3"/>
        <v>511874</v>
      </c>
      <c r="D51" s="117">
        <f>'1、经济推算'!S50</f>
        <v>4.4896784740574978</v>
      </c>
      <c r="E51" s="117">
        <f t="shared" si="4"/>
        <v>50.783654269414981</v>
      </c>
      <c r="G51">
        <f t="shared" si="5"/>
        <v>7000</v>
      </c>
      <c r="H51">
        <f>$H$2*$H$3+体力消耗运算!V51*$H$3</f>
        <v>9380</v>
      </c>
      <c r="I51" s="121">
        <f t="shared" si="6"/>
        <v>6812.0299596774194</v>
      </c>
      <c r="J51" s="121">
        <f t="shared" si="2"/>
        <v>20992.02995967742</v>
      </c>
      <c r="K51" s="133">
        <f>IF(SUM($G$4:G51)&gt;C51,0,($B51-$G51)/($J51+体力消耗运算!$V51*$K$3))</f>
        <v>1.806865004104824</v>
      </c>
      <c r="L51" s="133">
        <f>SUM(K$4:K51)</f>
        <v>18.631171067210428</v>
      </c>
      <c r="M51" s="122">
        <f>IF(SUM($G$4:$G51)&gt;$C51,0,($B51-$G51)/($H51+$I51+(M$2+体力消耗运算!$V51)*M$3))</f>
        <v>2.0378723069466793</v>
      </c>
      <c r="N51" s="122">
        <f>SUM(M$4:M51)</f>
        <v>21.038722815216182</v>
      </c>
      <c r="O51" s="122">
        <f>IF(SUM($G$4:$G51)&gt;$C51,0,($B51-$G51)/($H51+$I51+(O$2+体力消耗运算!$V51)*O$3))</f>
        <v>1.6228979882275492</v>
      </c>
      <c r="P51" s="122">
        <f>SUM(O$4:O51)</f>
        <v>16.718247943970702</v>
      </c>
      <c r="Q51" s="122">
        <f>IF(SUM($G$4:$G51)&gt;$C51,0,($B51-$G51)/($H51+$I51+(Q$2+体力消耗运算!$V51)*Q$3))</f>
        <v>1.2431744038377708</v>
      </c>
      <c r="R51" s="122">
        <f>SUM(Q$4:Q51)</f>
        <v>12.781750299423162</v>
      </c>
      <c r="S51" s="122">
        <f>IF(SUM($G$4:$G51)&gt;$C51,0,($B51-$G51)/($H51+$I51+(S$2+体力消耗运算!$V51)*S$3))</f>
        <v>0.89439290199843746</v>
      </c>
      <c r="T51" s="122">
        <f>SUM(S$4:S51)</f>
        <v>9.1797600053223949</v>
      </c>
    </row>
    <row r="52" spans="1:20" s="137" customFormat="1">
      <c r="A52" s="137">
        <v>49</v>
      </c>
      <c r="B52" s="138">
        <f>'1、经济推算'!U51</f>
        <v>48696</v>
      </c>
      <c r="C52" s="119">
        <f t="shared" si="3"/>
        <v>560570</v>
      </c>
      <c r="D52" s="139">
        <f>'1、经济推算'!S51</f>
        <v>4.8309931032874491</v>
      </c>
      <c r="E52" s="139">
        <f t="shared" si="4"/>
        <v>55.614647372702429</v>
      </c>
      <c r="G52" s="137">
        <f t="shared" si="5"/>
        <v>4875</v>
      </c>
      <c r="H52">
        <f>$H$2*$H$3+体力消耗运算!V52*$H$3</f>
        <v>9380</v>
      </c>
      <c r="I52" s="140">
        <f t="shared" si="6"/>
        <v>6812.0299596774194</v>
      </c>
      <c r="J52" s="140">
        <f t="shared" si="2"/>
        <v>20992.02995967742</v>
      </c>
      <c r="K52" s="133">
        <f>IF(SUM($G$4:G52)&gt;C52,0,($B52-$G52)/($J52+体力消耗运算!$V52*$K$3))</f>
        <v>2.0697590209090966</v>
      </c>
      <c r="L52" s="141">
        <f>SUM(K$4:K52)</f>
        <v>20.700930088119524</v>
      </c>
      <c r="M52" s="122">
        <f>IF(SUM($G$4:$G52)&gt;$C52,0,($B52-$G52)/($H52+$I52+(M$2+体力消耗运算!$V52)*M$3))</f>
        <v>2.3343772673561736</v>
      </c>
      <c r="N52" s="141">
        <f>SUM(M$4:M52)</f>
        <v>23.373100082572357</v>
      </c>
      <c r="O52" s="122">
        <f>IF(SUM($G$4:$G52)&gt;$C52,0,($B52-$G52)/($H52+$I52+(O$2+体力消耗运算!$V52)*O$3))</f>
        <v>1.859025297140751</v>
      </c>
      <c r="P52" s="141">
        <f>SUM(O$4:O52)</f>
        <v>18.577273241111453</v>
      </c>
      <c r="Q52" s="122">
        <f>IF(SUM($G$4:$G52)&gt;$C52,0,($B52-$G52)/($H52+$I52+(Q$2+体力消耗运算!$V52)*Q$3))</f>
        <v>1.4240529486491951</v>
      </c>
      <c r="R52" s="141">
        <f>SUM(Q$4:Q52)</f>
        <v>14.205803248072357</v>
      </c>
      <c r="S52" s="122">
        <f>IF(SUM($G$4:$G52)&gt;$C52,0,($B52-$G52)/($H52+$I52+(S$2+体力消耗运算!$V52)*S$3))</f>
        <v>1.0245246728133193</v>
      </c>
      <c r="T52" s="141">
        <f>SUM(S$4:S52)</f>
        <v>10.204284678135714</v>
      </c>
    </row>
    <row r="53" spans="1:20">
      <c r="A53">
        <v>50</v>
      </c>
      <c r="B53" s="119">
        <f>'1、经济推算'!U52</f>
        <v>52327</v>
      </c>
      <c r="C53" s="119">
        <f t="shared" si="3"/>
        <v>612897</v>
      </c>
      <c r="D53" s="117">
        <f>'1、经济推算'!S52</f>
        <v>5.1912004756870953</v>
      </c>
      <c r="E53" s="117">
        <f t="shared" si="4"/>
        <v>60.805847848389526</v>
      </c>
      <c r="G53">
        <f t="shared" si="5"/>
        <v>5150</v>
      </c>
      <c r="H53">
        <f>$H$2*$H$3+体力消耗运算!V53*$H$3</f>
        <v>9400</v>
      </c>
      <c r="I53" s="121">
        <f t="shared" si="6"/>
        <v>6812.0299596774194</v>
      </c>
      <c r="J53" s="121">
        <f t="shared" si="2"/>
        <v>21012.02995967742</v>
      </c>
      <c r="K53" s="133">
        <f>IF(SUM($G$4:G53)&gt;C53,0,($B53-$G53)/($J53+体力消耗运算!$V53*$K$3))</f>
        <v>2.2240681391493489</v>
      </c>
      <c r="L53" s="133">
        <f>SUM(K$4:K53)</f>
        <v>22.924998227268873</v>
      </c>
      <c r="M53" s="122">
        <f>IF(SUM($G$4:$G53)&gt;$C53,0,($B53-$G53)/($H53+$I53+(M$2+体力消耗运算!$V53)*M$3))</f>
        <v>2.5078101672770763</v>
      </c>
      <c r="N53" s="122">
        <f>SUM(M$4:M53)</f>
        <v>25.880910249849432</v>
      </c>
      <c r="O53" s="122">
        <f>IF(SUM($G$4:$G53)&gt;$C53,0,($B53-$G53)/($H53+$I53+(O$2+体力消耗运算!$V53)*O$3))</f>
        <v>1.9980069515651468</v>
      </c>
      <c r="P53" s="122">
        <f>SUM(O$4:O53)</f>
        <v>20.575280192676601</v>
      </c>
      <c r="Q53" s="122">
        <f>IF(SUM($G$4:$G53)&gt;$C53,0,($B53-$G53)/($H53+$I53+(Q$2+体力消耗运算!$V53)*Q$3))</f>
        <v>1.5311227485413592</v>
      </c>
      <c r="R53" s="122">
        <f>SUM(Q$4:Q53)</f>
        <v>15.736925996613715</v>
      </c>
      <c r="S53" s="122">
        <f>IF(SUM($G$4:$G53)&gt;$C53,0,($B53-$G53)/($H53+$I53+(S$2+体力消耗运算!$V53)*S$3))</f>
        <v>1.1019566239777403</v>
      </c>
      <c r="T53" s="122">
        <f>SUM(S$4:S53)</f>
        <v>11.306241302113454</v>
      </c>
    </row>
    <row r="54" spans="1:20">
      <c r="A54">
        <v>51</v>
      </c>
      <c r="B54" s="119">
        <f>'1、经济推算'!U53</f>
        <v>56155</v>
      </c>
      <c r="C54" s="119">
        <f t="shared" si="3"/>
        <v>669052</v>
      </c>
      <c r="D54" s="117">
        <f>'1、经济推算'!S53</f>
        <v>5.5709722402757533</v>
      </c>
      <c r="E54" s="117">
        <f t="shared" si="4"/>
        <v>66.376820088665283</v>
      </c>
      <c r="G54">
        <f t="shared" si="5"/>
        <v>8725</v>
      </c>
      <c r="H54">
        <f>$H$2*$H$3+体力消耗运算!V54*$H$3</f>
        <v>9400</v>
      </c>
      <c r="I54" s="121">
        <f t="shared" si="6"/>
        <v>6812.0299596774194</v>
      </c>
      <c r="J54" s="121">
        <f t="shared" si="2"/>
        <v>21012.02995967742</v>
      </c>
      <c r="K54" s="133">
        <f>IF(SUM($G$4:G54)&gt;C54,0,($B54-$G54)/($J54+体力消耗运算!$V54*$K$3))</f>
        <v>2.2359953333160996</v>
      </c>
      <c r="L54" s="133">
        <f>SUM(K$4:K54)</f>
        <v>25.160993560584973</v>
      </c>
      <c r="M54" s="122">
        <f>IF(SUM($G$4:$G54)&gt;$C54,0,($B54-$G54)/($H54+$I54+(M$2+体力消耗运算!$V54)*M$3))</f>
        <v>2.5212590082869135</v>
      </c>
      <c r="N54" s="122">
        <f>SUM(M$4:M54)</f>
        <v>28.402169258136347</v>
      </c>
      <c r="O54" s="122">
        <f>IF(SUM($G$4:$G54)&gt;$C54,0,($B54-$G54)/($H54+$I54+(O$2+体力消耗运算!$V54)*O$3))</f>
        <v>2.008721828703286</v>
      </c>
      <c r="P54" s="122">
        <f>SUM(O$4:O54)</f>
        <v>22.584002021379888</v>
      </c>
      <c r="Q54" s="122">
        <f>IF(SUM($G$4:$G54)&gt;$C54,0,($B54-$G54)/($H54+$I54+(Q$2+体力消耗运算!$V54)*Q$3))</f>
        <v>1.5393338271470562</v>
      </c>
      <c r="R54" s="122">
        <f>SUM(Q$4:Q54)</f>
        <v>17.276259823760771</v>
      </c>
      <c r="S54" s="122">
        <f>IF(SUM($G$4:$G54)&gt;$C54,0,($B54-$G54)/($H54+$I54+(S$2+体力消耗运算!$V54)*S$3))</f>
        <v>1.107866177910088</v>
      </c>
      <c r="T54" s="122">
        <f>SUM(S$4:S54)</f>
        <v>12.414107480023542</v>
      </c>
    </row>
    <row r="55" spans="1:20">
      <c r="A55">
        <v>52</v>
      </c>
      <c r="B55" s="119">
        <f>'1、经济推算'!U54</f>
        <v>60187</v>
      </c>
      <c r="C55" s="119">
        <f t="shared" si="3"/>
        <v>729239</v>
      </c>
      <c r="D55" s="117">
        <f>'1、经济推算'!S54</f>
        <v>5.970991490164538</v>
      </c>
      <c r="E55" s="117">
        <f t="shared" si="4"/>
        <v>72.34781157882982</v>
      </c>
      <c r="G55">
        <f t="shared" si="5"/>
        <v>14700</v>
      </c>
      <c r="H55">
        <f>$H$2*$H$3+体力消耗运算!V55*$H$3</f>
        <v>9400</v>
      </c>
      <c r="I55" s="121">
        <f t="shared" si="6"/>
        <v>6812.0299596774194</v>
      </c>
      <c r="J55" s="121">
        <f t="shared" si="2"/>
        <v>21012.02995967742</v>
      </c>
      <c r="K55" s="133">
        <f>IF(SUM($G$4:G55)&gt;C55,0,($B55-$G55)/($J55+体力消耗运算!$V55*$K$3))</f>
        <v>2.1443963678378539</v>
      </c>
      <c r="L55" s="133">
        <f>SUM(K$4:K55)</f>
        <v>27.305389928422827</v>
      </c>
      <c r="M55" s="122">
        <f>IF(SUM($G$4:$G55)&gt;$C55,0,($B55-$G55)/($H55+$I55+(M$2+体力消耗运算!$V55)*M$3))</f>
        <v>2.4179740356303361</v>
      </c>
      <c r="N55" s="122">
        <f>SUM(M$4:M55)</f>
        <v>30.820143293766684</v>
      </c>
      <c r="O55" s="122">
        <f>IF(SUM($G$4:$G55)&gt;$C55,0,($B55-$G55)/($H55+$I55+(O$2+体力消耗运算!$V55)*O$3))</f>
        <v>1.9264332663340999</v>
      </c>
      <c r="P55" s="122">
        <f>SUM(O$4:O55)</f>
        <v>24.510435287713989</v>
      </c>
      <c r="Q55" s="122">
        <f>IF(SUM($G$4:$G55)&gt;$C55,0,($B55-$G55)/($H55+$I55+(Q$2+体力消耗运算!$V55)*Q$3))</f>
        <v>1.4762740416495499</v>
      </c>
      <c r="R55" s="122">
        <f>SUM(Q$4:Q55)</f>
        <v>18.752533865410321</v>
      </c>
      <c r="S55" s="122">
        <f>IF(SUM($G$4:$G55)&gt;$C55,0,($B55-$G55)/($H55+$I55+(S$2+体力消耗运算!$V55)*S$3))</f>
        <v>1.0624817380264848</v>
      </c>
      <c r="T55" s="122">
        <f>SUM(S$4:S55)</f>
        <v>13.476589218050027</v>
      </c>
    </row>
    <row r="56" spans="1:20">
      <c r="A56">
        <v>53</v>
      </c>
      <c r="B56" s="119">
        <f>'1、经济推算'!U55</f>
        <v>64430</v>
      </c>
      <c r="C56" s="119">
        <f t="shared" si="3"/>
        <v>793669</v>
      </c>
      <c r="D56" s="117">
        <f>'1、经济推算'!S55</f>
        <v>6.391952762556361</v>
      </c>
      <c r="E56" s="117">
        <f t="shared" si="4"/>
        <v>78.739764341386177</v>
      </c>
      <c r="G56">
        <f t="shared" si="5"/>
        <v>6250</v>
      </c>
      <c r="H56">
        <f>$H$2*$H$3+体力消耗运算!V56*$H$3</f>
        <v>9400</v>
      </c>
      <c r="I56" s="121">
        <f t="shared" si="6"/>
        <v>6812.0299596774194</v>
      </c>
      <c r="J56" s="121">
        <f t="shared" si="2"/>
        <v>21012.02995967742</v>
      </c>
      <c r="K56" s="133">
        <f>IF(SUM($G$4:G56)&gt;C56,0,($B56-$G56)/($J56+体力消耗运算!$V56*$K$3))</f>
        <v>2.7427832277531237</v>
      </c>
      <c r="L56" s="133">
        <f>SUM(K$4:K56)</f>
        <v>30.048173156175949</v>
      </c>
      <c r="M56" s="122">
        <f>IF(SUM($G$4:$G56)&gt;$C56,0,($B56-$G56)/($H56+$I56+(M$2+体力消耗运算!$V56)*M$3))</f>
        <v>3.0927018575191361</v>
      </c>
      <c r="N56" s="122">
        <f>SUM(M$4:M56)</f>
        <v>33.912845151285822</v>
      </c>
      <c r="O56" s="122">
        <f>IF(SUM($G$4:$G56)&gt;$C56,0,($B56-$G56)/($H56+$I56+(O$2+体力消耗运算!$V56)*O$3))</f>
        <v>2.4639982288416018</v>
      </c>
      <c r="P56" s="122">
        <f>SUM(O$4:O56)</f>
        <v>26.974433516555592</v>
      </c>
      <c r="Q56" s="122">
        <f>IF(SUM($G$4:$G56)&gt;$C56,0,($B56-$G56)/($H56+$I56+(Q$2+体力消耗运算!$V56)*Q$3))</f>
        <v>1.8882235307488031</v>
      </c>
      <c r="R56" s="122">
        <f>SUM(Q$4:Q56)</f>
        <v>20.640757396159124</v>
      </c>
      <c r="S56" s="122">
        <f>IF(SUM($G$4:$G56)&gt;$C56,0,($B56-$G56)/($H56+$I56+(S$2+体力消耗运算!$V56)*S$3))</f>
        <v>1.3589638252331628</v>
      </c>
      <c r="T56" s="122">
        <f>SUM(S$4:S56)</f>
        <v>14.835553043283189</v>
      </c>
    </row>
    <row r="57" spans="1:20">
      <c r="A57">
        <v>54</v>
      </c>
      <c r="B57" s="119">
        <f>'1、经济推算'!U56</f>
        <v>68892</v>
      </c>
      <c r="C57" s="119">
        <f t="shared" si="3"/>
        <v>862561</v>
      </c>
      <c r="D57" s="117">
        <f>'1、经济推算'!S56</f>
        <v>6.8345620387459292</v>
      </c>
      <c r="E57" s="117">
        <f t="shared" si="4"/>
        <v>85.574326380132106</v>
      </c>
      <c r="G57">
        <f t="shared" si="5"/>
        <v>6600</v>
      </c>
      <c r="H57">
        <f>$H$2*$H$3+体力消耗运算!V57*$H$3</f>
        <v>9400</v>
      </c>
      <c r="I57" s="121">
        <f t="shared" si="6"/>
        <v>6812.0299596774194</v>
      </c>
      <c r="J57" s="121">
        <f t="shared" si="2"/>
        <v>21012.02995967742</v>
      </c>
      <c r="K57" s="133">
        <f>IF(SUM($G$4:G57)&gt;C57,0,($B57-$G57)/($J57+体力消耗运算!$V57*$K$3))</f>
        <v>2.9366354902577791</v>
      </c>
      <c r="L57" s="133">
        <f>SUM(K$4:K57)</f>
        <v>32.984808646433727</v>
      </c>
      <c r="M57" s="122">
        <f>IF(SUM($G$4:$G57)&gt;$C57,0,($B57-$G57)/($H57+$I57+(M$2+体力消耗运算!$V57)*M$3))</f>
        <v>3.3112853920347547</v>
      </c>
      <c r="N57" s="122">
        <f>SUM(M$4:M57)</f>
        <v>37.224130543320577</v>
      </c>
      <c r="O57" s="122">
        <f>IF(SUM($G$4:$G57)&gt;$C57,0,($B57-$G57)/($H57+$I57+(O$2+体力消耗运算!$V57)*O$3))</f>
        <v>2.6381467458061372</v>
      </c>
      <c r="P57" s="122">
        <f>SUM(O$4:O57)</f>
        <v>29.612580262361728</v>
      </c>
      <c r="Q57" s="122">
        <f>IF(SUM($G$4:$G57)&gt;$C57,0,($B57-$G57)/($H57+$I57+(Q$2+体力消耗运算!$V57)*Q$3))</f>
        <v>2.0216778992334898</v>
      </c>
      <c r="R57" s="122">
        <f>SUM(Q$4:Q57)</f>
        <v>22.662435295392612</v>
      </c>
      <c r="S57" s="122">
        <f>IF(SUM($G$4:$G57)&gt;$C57,0,($B57-$G57)/($H57+$I57+(S$2+体力消耗运算!$V57)*S$3))</f>
        <v>1.4550115950743243</v>
      </c>
      <c r="T57" s="122">
        <f>SUM(S$4:S57)</f>
        <v>16.290564638357512</v>
      </c>
    </row>
    <row r="58" spans="1:20">
      <c r="A58">
        <v>55</v>
      </c>
      <c r="B58" s="119">
        <f>'1、经济推算'!U57</f>
        <v>73579</v>
      </c>
      <c r="C58" s="119">
        <f t="shared" si="3"/>
        <v>936140</v>
      </c>
      <c r="D58" s="117">
        <f>'1、经济推算'!S57</f>
        <v>7.2995367441197478</v>
      </c>
      <c r="E58" s="117">
        <f t="shared" si="4"/>
        <v>92.873863124251855</v>
      </c>
      <c r="G58">
        <f t="shared" si="5"/>
        <v>6950</v>
      </c>
      <c r="H58">
        <f>$H$2*$H$3+体力消耗运算!V58*$H$3</f>
        <v>9400</v>
      </c>
      <c r="I58" s="121">
        <f t="shared" si="6"/>
        <v>6812.0299596774194</v>
      </c>
      <c r="J58" s="121">
        <f t="shared" si="2"/>
        <v>21012.02995967742</v>
      </c>
      <c r="K58" s="133">
        <f>IF(SUM($G$4:G58)&gt;C58,0,($B58-$G58)/($J58+体力消耗运算!$V58*$K$3))</f>
        <v>3.141094941250651</v>
      </c>
      <c r="L58" s="133">
        <f>SUM(K$4:K58)</f>
        <v>36.125903587684377</v>
      </c>
      <c r="M58" s="122">
        <f>IF(SUM($G$4:$G58)&gt;$C58,0,($B58-$G58)/($H58+$I58+(M$2+体力消耗运算!$V58)*M$3))</f>
        <v>3.5418293582784899</v>
      </c>
      <c r="N58" s="122">
        <f>SUM(M$4:M58)</f>
        <v>40.765959901599068</v>
      </c>
      <c r="O58" s="122">
        <f>IF(SUM($G$4:$G58)&gt;$C58,0,($B58-$G58)/($H58+$I58+(O$2+体力消耗运算!$V58)*O$3))</f>
        <v>2.8218243037037998</v>
      </c>
      <c r="P58" s="122">
        <f>SUM(O$4:O58)</f>
        <v>32.434404566065531</v>
      </c>
      <c r="Q58" s="122">
        <f>IF(SUM($G$4:$G58)&gt;$C58,0,($B58-$G58)/($H58+$I58+(Q$2+体力消耗运算!$V58)*Q$3))</f>
        <v>2.1624346103517018</v>
      </c>
      <c r="R58" s="122">
        <f>SUM(Q$4:Q58)</f>
        <v>24.824869905744315</v>
      </c>
      <c r="S58" s="122">
        <f>IF(SUM($G$4:$G58)&gt;$C58,0,($B58-$G58)/($H58+$I58+(S$2+体力消耗运算!$V58)*S$3))</f>
        <v>1.5563148970687593</v>
      </c>
      <c r="T58" s="122">
        <f>SUM(S$4:S58)</f>
        <v>17.846879535426272</v>
      </c>
    </row>
    <row r="59" spans="1:20">
      <c r="A59">
        <v>56</v>
      </c>
      <c r="B59" s="119">
        <f>'1、经济推算'!U58</f>
        <v>78499</v>
      </c>
      <c r="C59" s="119">
        <f t="shared" si="3"/>
        <v>1014639</v>
      </c>
      <c r="D59" s="117">
        <f>'1、经济推算'!S58</f>
        <v>7.7876057481561185</v>
      </c>
      <c r="E59" s="117">
        <f t="shared" si="4"/>
        <v>100.66146887240798</v>
      </c>
      <c r="G59">
        <f t="shared" si="5"/>
        <v>7800</v>
      </c>
      <c r="H59">
        <f>$H$2*$H$3+体力消耗运算!V59*$H$3</f>
        <v>9400</v>
      </c>
      <c r="I59" s="121">
        <f t="shared" si="6"/>
        <v>6812.0299596774194</v>
      </c>
      <c r="J59" s="121">
        <f t="shared" si="2"/>
        <v>21012.02995967742</v>
      </c>
      <c r="K59" s="133">
        <f>IF(SUM($G$4:G59)&gt;C59,0,($B59-$G59)/($J59+体力消耗运算!$V59*$K$3))</f>
        <v>3.3329671952375062</v>
      </c>
      <c r="L59" s="133">
        <f>SUM(K$4:K59)</f>
        <v>39.458870782921885</v>
      </c>
      <c r="M59" s="122">
        <f>IF(SUM($G$4:$G59)&gt;$C59,0,($B59-$G59)/($H59+$I59+(M$2+体力消耗运算!$V59)*M$3))</f>
        <v>3.7581802788715266</v>
      </c>
      <c r="N59" s="122">
        <f>SUM(M$4:M59)</f>
        <v>44.524140180470596</v>
      </c>
      <c r="O59" s="122">
        <f>IF(SUM($G$4:$G59)&gt;$C59,0,($B59-$G59)/($H59+$I59+(O$2+体力消耗运算!$V59)*O$3))</f>
        <v>2.994194066360818</v>
      </c>
      <c r="P59" s="122">
        <f>SUM(O$4:O59)</f>
        <v>35.42859863242635</v>
      </c>
      <c r="Q59" s="122">
        <f>IF(SUM($G$4:$G59)&gt;$C59,0,($B59-$G59)/($H59+$I59+(Q$2+体力消耗运算!$V59)*Q$3))</f>
        <v>2.2945258748781305</v>
      </c>
      <c r="R59" s="122">
        <f>SUM(Q$4:Q59)</f>
        <v>27.119395780622444</v>
      </c>
      <c r="S59" s="122">
        <f>IF(SUM($G$4:$G59)&gt;$C59,0,($B59-$G59)/($H59+$I59+(S$2+体力消耗运算!$V59)*S$3))</f>
        <v>1.6513816342413095</v>
      </c>
      <c r="T59" s="122">
        <f>SUM(S$4:S59)</f>
        <v>19.498261169667582</v>
      </c>
    </row>
    <row r="60" spans="1:20">
      <c r="A60">
        <v>57</v>
      </c>
      <c r="B60" s="119">
        <f>'1、经济推算'!U59</f>
        <v>83659</v>
      </c>
      <c r="C60" s="119">
        <f t="shared" si="3"/>
        <v>1098298</v>
      </c>
      <c r="D60" s="117">
        <f>'1、经济推算'!S59</f>
        <v>8.2995093644251412</v>
      </c>
      <c r="E60" s="117">
        <f t="shared" si="4"/>
        <v>108.96097823683311</v>
      </c>
      <c r="G60">
        <f t="shared" si="5"/>
        <v>8250</v>
      </c>
      <c r="H60">
        <f>$H$2*$H$3+体力消耗运算!V60*$H$3</f>
        <v>9400</v>
      </c>
      <c r="I60" s="121">
        <f t="shared" si="6"/>
        <v>6812.0299596774194</v>
      </c>
      <c r="J60" s="121">
        <f t="shared" si="2"/>
        <v>21012.02995967742</v>
      </c>
      <c r="K60" s="133">
        <f>IF(SUM($G$4:G60)&gt;C60,0,($B60-$G60)/($J60+体力消耗运算!$V60*$K$3))</f>
        <v>3.5550110075908443</v>
      </c>
      <c r="L60" s="133">
        <f>SUM(K$4:K60)</f>
        <v>43.013881790512727</v>
      </c>
      <c r="M60" s="122">
        <f>IF(SUM($G$4:$G60)&gt;$C60,0,($B60-$G60)/($H60+$I60+(M$2+体力消耗运算!$V60)*M$3))</f>
        <v>4.0085519830467611</v>
      </c>
      <c r="N60" s="122">
        <f>SUM(M$4:M60)</f>
        <v>48.532692163517353</v>
      </c>
      <c r="O60" s="122">
        <f>IF(SUM($G$4:$G60)&gt;$C60,0,($B60-$G60)/($H60+$I60+(O$2+体力消耗运算!$V60)*O$3))</f>
        <v>3.1936686565609547</v>
      </c>
      <c r="P60" s="122">
        <f>SUM(O$4:O60)</f>
        <v>38.622267288987302</v>
      </c>
      <c r="Q60" s="122">
        <f>IF(SUM($G$4:$G60)&gt;$C60,0,($B60-$G60)/($H60+$I60+(Q$2+体力消耗运算!$V60)*Q$3))</f>
        <v>2.4473882473399189</v>
      </c>
      <c r="R60" s="122">
        <f>SUM(Q$4:Q60)</f>
        <v>29.566784027962363</v>
      </c>
      <c r="S60" s="122">
        <f>IF(SUM($G$4:$G60)&gt;$C60,0,($B60-$G60)/($H60+$I60+(S$2+体力消耗运算!$V60)*S$3))</f>
        <v>1.7613974406498381</v>
      </c>
      <c r="T60" s="122">
        <f>SUM(S$4:S60)</f>
        <v>21.25965861031742</v>
      </c>
    </row>
    <row r="61" spans="1:20">
      <c r="A61">
        <v>58</v>
      </c>
      <c r="B61" s="119">
        <f>'1、经济推算'!U60</f>
        <v>89066</v>
      </c>
      <c r="C61" s="119">
        <f t="shared" si="3"/>
        <v>1187364</v>
      </c>
      <c r="D61" s="117">
        <f>'1、经济推算'!S60</f>
        <v>8.8359993505887076</v>
      </c>
      <c r="E61" s="117">
        <f t="shared" si="4"/>
        <v>117.79697758742182</v>
      </c>
      <c r="G61">
        <f t="shared" si="5"/>
        <v>8700</v>
      </c>
      <c r="H61">
        <f>$H$2*$H$3+体力消耗运算!V61*$H$3</f>
        <v>9400</v>
      </c>
      <c r="I61" s="121">
        <f t="shared" si="6"/>
        <v>6812.0299596774194</v>
      </c>
      <c r="J61" s="121">
        <f t="shared" si="2"/>
        <v>21012.02995967742</v>
      </c>
      <c r="K61" s="133">
        <f>IF(SUM($G$4:G61)&gt;C61,0,($B61-$G61)/($J61+体力消耗运算!$V61*$K$3))</f>
        <v>3.7886991557512468</v>
      </c>
      <c r="L61" s="133">
        <f>SUM(K$4:K61)</f>
        <v>46.802580946263973</v>
      </c>
      <c r="M61" s="122">
        <f>IF(SUM($G$4:$G61)&gt;$C61,0,($B61-$G61)/($H61+$I61+(M$2+体力消耗运算!$V61)*M$3))</f>
        <v>4.2720535833857491</v>
      </c>
      <c r="N61" s="122">
        <f>SUM(M$4:M61)</f>
        <v>52.804745746903102</v>
      </c>
      <c r="O61" s="122">
        <f>IF(SUM($G$4:$G61)&gt;$C61,0,($B61-$G61)/($H61+$I61+(O$2+体力消耗运算!$V61)*O$3))</f>
        <v>3.4036040161410135</v>
      </c>
      <c r="P61" s="122">
        <f>SUM(O$4:O61)</f>
        <v>42.025871305128319</v>
      </c>
      <c r="Q61" s="122">
        <f>IF(SUM($G$4:$G61)&gt;$C61,0,($B61-$G61)/($H61+$I61+(Q$2+体力消耗运算!$V61)*Q$3))</f>
        <v>2.6082669692705105</v>
      </c>
      <c r="R61" s="122">
        <f>SUM(Q$4:Q61)</f>
        <v>32.175050997232873</v>
      </c>
      <c r="S61" s="122">
        <f>IF(SUM($G$4:$G61)&gt;$C61,0,($B61-$G61)/($H61+$I61+(S$2+体力消耗运算!$V61)*S$3))</f>
        <v>1.8771826534666272</v>
      </c>
      <c r="T61" s="122">
        <f>SUM(S$4:S61)</f>
        <v>23.136841263784046</v>
      </c>
    </row>
    <row r="62" spans="1:20" s="137" customFormat="1">
      <c r="A62" s="137">
        <v>59</v>
      </c>
      <c r="B62" s="138">
        <f>'1、经济推算'!U61</f>
        <v>94730</v>
      </c>
      <c r="C62" s="138">
        <f t="shared" si="3"/>
        <v>1282094</v>
      </c>
      <c r="D62" s="139">
        <f>'1、经济推算'!S61</f>
        <v>9.3978389084005158</v>
      </c>
      <c r="E62" s="139">
        <f t="shared" si="4"/>
        <v>127.19481649582234</v>
      </c>
      <c r="G62" s="137">
        <f t="shared" si="5"/>
        <v>15150</v>
      </c>
      <c r="H62">
        <f>$H$2*$H$3+体力消耗运算!V62*$H$3</f>
        <v>9400</v>
      </c>
      <c r="I62" s="140">
        <f t="shared" si="6"/>
        <v>6812.0299596774194</v>
      </c>
      <c r="J62" s="140">
        <f t="shared" si="2"/>
        <v>21012.02995967742</v>
      </c>
      <c r="K62" s="133">
        <f>IF(SUM($G$4:G62)&gt;C62,0,($B62-$G62)/($J62+体力消耗运算!$V62*$K$3))</f>
        <v>3.7516447106324096</v>
      </c>
      <c r="L62" s="141">
        <f>SUM(K$4:K62)</f>
        <v>50.554225656896385</v>
      </c>
      <c r="M62" s="122">
        <f>IF(SUM($G$4:$G62)&gt;$C62,0,($B62-$G62)/($H62+$I62+(M$2+体力消耗运算!$V62)*M$3))</f>
        <v>4.2302718085488635</v>
      </c>
      <c r="N62" s="141">
        <f>SUM(M$4:M62)</f>
        <v>57.035017555451965</v>
      </c>
      <c r="O62" s="122">
        <f>IF(SUM($G$4:$G62)&gt;$C62,0,($B62-$G62)/($H62+$I62+(O$2+体力消耗运算!$V62)*O$3))</f>
        <v>3.3703158998146212</v>
      </c>
      <c r="P62" s="141">
        <f>SUM(O$4:O62)</f>
        <v>45.39618720494294</v>
      </c>
      <c r="Q62" s="122">
        <f>IF(SUM($G$4:$G62)&gt;$C62,0,($B62-$G62)/($H62+$I62+(Q$2+体力消耗运算!$V62)*Q$3))</f>
        <v>2.5827574523373968</v>
      </c>
      <c r="R62" s="141">
        <f>SUM(Q$4:Q62)</f>
        <v>34.75780844957027</v>
      </c>
      <c r="S62" s="122">
        <f>IF(SUM($G$4:$G62)&gt;$C62,0,($B62-$G62)/($H62+$I62+(S$2+体力消耗运算!$V62)*S$3))</f>
        <v>1.8588233278111912</v>
      </c>
      <c r="T62" s="141">
        <f>SUM(S$4:S62)</f>
        <v>24.995664591595236</v>
      </c>
    </row>
    <row r="63" spans="1:20" s="8" customFormat="1">
      <c r="A63" s="8">
        <v>60</v>
      </c>
      <c r="B63" s="127">
        <f>'1、经济推算'!U62</f>
        <v>100656</v>
      </c>
      <c r="C63" s="127">
        <f t="shared" si="3"/>
        <v>1382750</v>
      </c>
      <c r="D63" s="128">
        <f>'1、经济推算'!S62</f>
        <v>9.9858026837060496</v>
      </c>
      <c r="E63" s="128">
        <f t="shared" si="4"/>
        <v>137.18061917952838</v>
      </c>
      <c r="G63" s="8">
        <f t="shared" si="5"/>
        <v>9900</v>
      </c>
      <c r="H63">
        <f>$H$2*$H$3+体力消耗运算!V63*$H$3</f>
        <v>9420</v>
      </c>
      <c r="I63" s="129">
        <f t="shared" si="6"/>
        <v>6812.0299596774194</v>
      </c>
      <c r="J63" s="129">
        <f t="shared" si="2"/>
        <v>21032.02995967742</v>
      </c>
      <c r="K63" s="133">
        <f>IF(SUM($G$4:G63)&gt;C63,0,($B63-$G63)/($J63+体力消耗运算!$V63*$K$3))</f>
        <v>4.2704626415545279</v>
      </c>
      <c r="L63" s="130">
        <f>SUM(K$4:K63)</f>
        <v>54.824688298450916</v>
      </c>
      <c r="M63" s="122">
        <f>IF(SUM($G$4:$G63)&gt;$C63,0,($B63-$G63)/($H63+$I63+(M$2+体力消耗运算!$V63)*M$3))</f>
        <v>4.8141234760457028</v>
      </c>
      <c r="N63" s="130">
        <f>SUM(M$4:M63)</f>
        <v>61.849141031497666</v>
      </c>
      <c r="O63" s="122">
        <f>IF(SUM($G$4:$G63)&gt;$C63,0,($B63-$G63)/($H63+$I63+(O$2+体力消耗运算!$V63)*O$3))</f>
        <v>3.8371336479246443</v>
      </c>
      <c r="P63" s="130">
        <f>SUM(O$4:O63)</f>
        <v>49.233320852867585</v>
      </c>
      <c r="Q63" s="122">
        <f>IF(SUM($G$4:$G63)&gt;$C63,0,($B63-$G63)/($H63+$I63+(Q$2+体力消耗运算!$V63)*Q$3))</f>
        <v>2.9416540862502427</v>
      </c>
      <c r="R63" s="130">
        <f>SUM(Q$4:Q63)</f>
        <v>37.699462535820516</v>
      </c>
      <c r="S63" s="122">
        <f>IF(SUM($G$4:$G63)&gt;$C63,0,($B63-$G63)/($H63+$I63+(S$2+体力消耗运算!$V63)*S$3))</f>
        <v>2.1178926665877649</v>
      </c>
      <c r="T63" s="130">
        <f>SUM(S$4:S63)</f>
        <v>27.113557258183</v>
      </c>
    </row>
    <row r="64" spans="1:20">
      <c r="A64">
        <v>61</v>
      </c>
      <c r="B64" s="119">
        <f>'1、经济推算'!U63</f>
        <v>106854</v>
      </c>
      <c r="C64" s="119">
        <f t="shared" si="3"/>
        <v>1489604</v>
      </c>
      <c r="D64" s="117">
        <f>'1、经济推算'!S63</f>
        <v>10.600676766442598</v>
      </c>
      <c r="E64" s="117">
        <f t="shared" si="4"/>
        <v>147.78129594597098</v>
      </c>
      <c r="G64">
        <f t="shared" si="5"/>
        <v>18350</v>
      </c>
      <c r="H64">
        <f>$H$2*$H$3+体力消耗运算!V64*$H$3</f>
        <v>9420</v>
      </c>
      <c r="I64" s="121">
        <f t="shared" si="6"/>
        <v>6812.0299596774194</v>
      </c>
      <c r="J64" s="121">
        <f t="shared" si="2"/>
        <v>21032.02995967742</v>
      </c>
      <c r="K64" s="133">
        <f>IF(SUM($G$4:G64)&gt;C64,0,($B64-$G64)/($J64+体力消耗运算!$V64*$K$3))</f>
        <v>4.1644962936680985</v>
      </c>
      <c r="L64" s="133">
        <f>SUM(K$4:K64)</f>
        <v>58.989184592119017</v>
      </c>
      <c r="M64" s="122">
        <f>IF(SUM($G$4:$G64)&gt;$C64,0,($B64-$G64)/($H64+$I64+(M$2+体力消耗运算!$V64)*M$3))</f>
        <v>4.6946668443292889</v>
      </c>
      <c r="N64" s="122">
        <f>SUM(M$4:M64)</f>
        <v>66.543807875826957</v>
      </c>
      <c r="O64" s="122">
        <f>IF(SUM($G$4:$G64)&gt;$C64,0,($B64-$G64)/($H64+$I64+(O$2+体力消耗运算!$V64)*O$3))</f>
        <v>3.7419198331341481</v>
      </c>
      <c r="P64" s="122">
        <f>SUM(O$4:O64)</f>
        <v>52.975240686001733</v>
      </c>
      <c r="Q64" s="122">
        <f>IF(SUM($G$4:$G64)&gt;$C64,0,($B64-$G64)/($H64+$I64+(Q$2+体力消耗运算!$V64)*Q$3))</f>
        <v>2.8686605100433193</v>
      </c>
      <c r="R64" s="122">
        <f>SUM(Q$4:Q64)</f>
        <v>40.568123045863835</v>
      </c>
      <c r="S64" s="122">
        <f>IF(SUM($G$4:$G64)&gt;$C64,0,($B64-$G64)/($H64+$I64+(S$2+体力消耗运算!$V64)*S$3))</f>
        <v>2.0653397303063548</v>
      </c>
      <c r="T64" s="122">
        <f>SUM(S$4:S64)</f>
        <v>29.178896988489356</v>
      </c>
    </row>
    <row r="65" spans="1:20">
      <c r="A65">
        <v>62</v>
      </c>
      <c r="B65" s="119">
        <f>'1、经济推算'!U64</f>
        <v>113332</v>
      </c>
      <c r="C65" s="119">
        <f t="shared" si="3"/>
        <v>1602936</v>
      </c>
      <c r="D65" s="117">
        <f>'1、经济推算'!S64</f>
        <v>11.243258690639244</v>
      </c>
      <c r="E65" s="117">
        <f t="shared" si="4"/>
        <v>159.02455463661022</v>
      </c>
      <c r="G65">
        <f t="shared" si="5"/>
        <v>10800</v>
      </c>
      <c r="H65">
        <f>$H$2*$H$3+体力消耗运算!V65*$H$3</f>
        <v>9420</v>
      </c>
      <c r="I65" s="121">
        <f t="shared" si="6"/>
        <v>6812.0299596774194</v>
      </c>
      <c r="J65" s="121">
        <f t="shared" si="2"/>
        <v>21032.02995967742</v>
      </c>
      <c r="K65" s="133">
        <f>IF(SUM($G$4:G65)&gt;C65,0,($B65-$G65)/($J65+体力消耗运算!$V65*$K$3))</f>
        <v>4.8245744145166034</v>
      </c>
      <c r="L65" s="133">
        <f>SUM(K$4:K65)</f>
        <v>63.813759006635621</v>
      </c>
      <c r="M65" s="122">
        <f>IF(SUM($G$4:$G65)&gt;$C65,0,($B65-$G65)/($H65+$I65+(M$2+体力消耗运算!$V65)*M$3))</f>
        <v>5.4387776923389977</v>
      </c>
      <c r="N65" s="122">
        <f>SUM(M$4:M65)</f>
        <v>71.982585568165959</v>
      </c>
      <c r="O65" s="122">
        <f>IF(SUM($G$4:$G65)&gt;$C65,0,($B65-$G65)/($H65+$I65+(O$2+体力消耗运算!$V65)*O$3))</f>
        <v>4.3350190311275245</v>
      </c>
      <c r="P65" s="122">
        <f>SUM(O$4:O65)</f>
        <v>57.310259717129256</v>
      </c>
      <c r="Q65" s="122">
        <f>IF(SUM($G$4:$G65)&gt;$C65,0,($B65-$G65)/($H65+$I65+(Q$2+体力消耗运算!$V65)*Q$3))</f>
        <v>3.3233469607674415</v>
      </c>
      <c r="R65" s="122">
        <f>SUM(Q$4:Q65)</f>
        <v>43.89147000663128</v>
      </c>
      <c r="S65" s="122">
        <f>IF(SUM($G$4:$G65)&gt;$C65,0,($B65-$G65)/($H65+$I65+(S$2+体力消耗运算!$V65)*S$3))</f>
        <v>2.3926987845495251</v>
      </c>
      <c r="T65" s="122">
        <f>SUM(S$4:S65)</f>
        <v>31.571595773038879</v>
      </c>
    </row>
    <row r="66" spans="1:20">
      <c r="A66">
        <v>63</v>
      </c>
      <c r="B66" s="119">
        <f>'1、经济推算'!U65</f>
        <v>120096</v>
      </c>
      <c r="C66" s="119">
        <f t="shared" si="3"/>
        <v>1723032</v>
      </c>
      <c r="D66" s="117">
        <f>'1、经济推算'!S65</f>
        <v>11.914357434416866</v>
      </c>
      <c r="E66" s="117">
        <f t="shared" si="4"/>
        <v>170.93891207102709</v>
      </c>
      <c r="G66">
        <f t="shared" si="5"/>
        <v>11250</v>
      </c>
      <c r="H66">
        <f>$H$2*$H$3+体力消耗运算!V66*$H$3</f>
        <v>9420</v>
      </c>
      <c r="I66" s="121">
        <f t="shared" si="6"/>
        <v>6812.0299596774194</v>
      </c>
      <c r="J66" s="121">
        <f t="shared" si="2"/>
        <v>21032.02995967742</v>
      </c>
      <c r="K66" s="133">
        <f>IF(SUM($G$4:G66)&gt;C66,0,($B66-$G66)/($J66+体力消耗运算!$V66*$K$3))</f>
        <v>5.1216754449583952</v>
      </c>
      <c r="L66" s="133">
        <f>SUM(K$4:K66)</f>
        <v>68.93543445159402</v>
      </c>
      <c r="M66" s="122">
        <f>IF(SUM($G$4:$G66)&gt;$C66,0,($B66-$G66)/($H66+$I66+(M$2+体力消耗运算!$V66)*M$3))</f>
        <v>5.7737018365030481</v>
      </c>
      <c r="N66" s="122">
        <f>SUM(M$4:M66)</f>
        <v>77.75628740466901</v>
      </c>
      <c r="O66" s="122">
        <f>IF(SUM($G$4:$G66)&gt;$C66,0,($B66-$G66)/($H66+$I66+(O$2+体力消耗运算!$V66)*O$3))</f>
        <v>4.6019728617612703</v>
      </c>
      <c r="P66" s="122">
        <f>SUM(O$4:O66)</f>
        <v>61.912232578890524</v>
      </c>
      <c r="Q66" s="122">
        <f>IF(SUM($G$4:$G66)&gt;$C66,0,($B66-$G66)/($H66+$I66+(Q$2+体力消耗运算!$V66)*Q$3))</f>
        <v>3.5280012414825901</v>
      </c>
      <c r="R66" s="122">
        <f>SUM(Q$4:Q66)</f>
        <v>47.419471248113872</v>
      </c>
      <c r="S66" s="122">
        <f>IF(SUM($G$4:$G66)&gt;$C66,0,($B66-$G66)/($H66+$I66+(S$2+体力消耗运算!$V66)*S$3))</f>
        <v>2.5400430295232477</v>
      </c>
      <c r="T66" s="122">
        <f>SUM(S$4:S66)</f>
        <v>34.111638802562126</v>
      </c>
    </row>
    <row r="67" spans="1:20">
      <c r="A67">
        <v>64</v>
      </c>
      <c r="B67" s="119">
        <f>'1、经济推算'!U66</f>
        <v>127157</v>
      </c>
      <c r="C67" s="119">
        <f t="shared" si="3"/>
        <v>1850189</v>
      </c>
      <c r="D67" s="117">
        <f>'1、经济推算'!S66</f>
        <v>12.614793419988143</v>
      </c>
      <c r="E67" s="117">
        <f t="shared" si="4"/>
        <v>183.55370549101522</v>
      </c>
      <c r="G67">
        <f t="shared" si="5"/>
        <v>11850</v>
      </c>
      <c r="H67">
        <f>$H$2*$H$3+体力消耗运算!V67*$H$3</f>
        <v>9420</v>
      </c>
      <c r="I67" s="121">
        <f t="shared" si="6"/>
        <v>6812.0299596774194</v>
      </c>
      <c r="J67" s="121">
        <f t="shared" si="2"/>
        <v>21032.02995967742</v>
      </c>
      <c r="K67" s="133">
        <f>IF(SUM($G$4:G67)&gt;C67,0,($B67-$G67)/($J67+体力消耗运算!$V67*$K$3))</f>
        <v>5.425693461696504</v>
      </c>
      <c r="L67" s="133">
        <f>SUM(K$4:K67)</f>
        <v>74.361127913290517</v>
      </c>
      <c r="M67" s="122">
        <f>IF(SUM($G$4:$G67)&gt;$C67,0,($B67-$G67)/($H67+$I67+(M$2+体力消耗运算!$V67)*M$3))</f>
        <v>6.1164235494336667</v>
      </c>
      <c r="N67" s="122">
        <f>SUM(M$4:M67)</f>
        <v>83.872710954102672</v>
      </c>
      <c r="O67" s="122">
        <f>IF(SUM($G$4:$G67)&gt;$C67,0,($B67-$G67)/($H67+$I67+(O$2+体力消耗运算!$V67)*O$3))</f>
        <v>4.8751418037512337</v>
      </c>
      <c r="P67" s="122">
        <f>SUM(O$4:O67)</f>
        <v>66.787374382641758</v>
      </c>
      <c r="Q67" s="122">
        <f>IF(SUM($G$4:$G67)&gt;$C67,0,($B67-$G67)/($H67+$I67+(Q$2+体力消耗运算!$V67)*Q$3))</f>
        <v>3.7374202005735904</v>
      </c>
      <c r="R67" s="122">
        <f>SUM(Q$4:Q67)</f>
        <v>51.15689144868746</v>
      </c>
      <c r="S67" s="122">
        <f>IF(SUM($G$4:$G67)&gt;$C67,0,($B67-$G67)/($H67+$I67+(S$2+体力消耗运算!$V67)*S$3))</f>
        <v>2.6908176837480209</v>
      </c>
      <c r="T67" s="122">
        <f>SUM(S$4:S67)</f>
        <v>36.802456486310149</v>
      </c>
    </row>
    <row r="68" spans="1:20">
      <c r="A68">
        <v>65</v>
      </c>
      <c r="B68" s="119">
        <f>'1、经济推算'!U67</f>
        <v>134521</v>
      </c>
      <c r="C68" s="119">
        <f t="shared" si="3"/>
        <v>1984710</v>
      </c>
      <c r="D68" s="117">
        <f>'1、经济推算'!S67</f>
        <v>13.345398513657546</v>
      </c>
      <c r="E68" s="117">
        <f t="shared" si="4"/>
        <v>196.89910400467278</v>
      </c>
      <c r="G68">
        <f t="shared" ref="G68:G103" si="7">SUMIF($B$211:$B$394,A68,$C$211:$C$394)</f>
        <v>13150</v>
      </c>
      <c r="H68">
        <f>$H$2*$H$3+体力消耗运算!V68*$H$3</f>
        <v>9420</v>
      </c>
      <c r="I68" s="121">
        <f t="shared" si="6"/>
        <v>6812.0299596774194</v>
      </c>
      <c r="J68" s="121">
        <f t="shared" si="2"/>
        <v>21032.02995967742</v>
      </c>
      <c r="K68" s="133">
        <f>IF(SUM($G$4:G68)&gt;C68,0,($B68-$G68)/($J68+体力消耗运算!$V68*$K$3))</f>
        <v>5.7110309100017034</v>
      </c>
      <c r="L68" s="133">
        <f>SUM(K$4:K68)</f>
        <v>80.072158823292227</v>
      </c>
      <c r="M68" s="122">
        <f>IF(SUM($G$4:$G68)&gt;$C68,0,($B68-$G68)/($H68+$I68+(M$2+体力消耗运算!$V68)*M$3))</f>
        <v>6.4380865222260022</v>
      </c>
      <c r="N68" s="122">
        <f>SUM(M$4:M68)</f>
        <v>90.310797476328673</v>
      </c>
      <c r="O68" s="122">
        <f>IF(SUM($G$4:$G68)&gt;$C68,0,($B68-$G68)/($H68+$I68+(O$2+体力消耗运算!$V68)*O$3))</f>
        <v>5.1315257171124999</v>
      </c>
      <c r="P68" s="122">
        <f>SUM(O$4:O68)</f>
        <v>71.918900099754254</v>
      </c>
      <c r="Q68" s="122">
        <f>IF(SUM($G$4:$G68)&gt;$C68,0,($B68-$G68)/($H68+$I68+(Q$2+体力消耗运算!$V68)*Q$3))</f>
        <v>3.9339712867719845</v>
      </c>
      <c r="R68" s="122">
        <f>SUM(Q$4:Q68)</f>
        <v>55.090862735459446</v>
      </c>
      <c r="S68" s="122">
        <f>IF(SUM($G$4:$G68)&gt;$C68,0,($B68-$G68)/($H68+$I68+(S$2+体力消耗运算!$V68)*S$3))</f>
        <v>2.832327899383221</v>
      </c>
      <c r="T68" s="122">
        <f>SUM(S$4:S68)</f>
        <v>39.634784385693372</v>
      </c>
    </row>
    <row r="69" spans="1:20">
      <c r="A69">
        <v>66</v>
      </c>
      <c r="B69" s="119">
        <f>'1、经济推算'!U68</f>
        <v>142198</v>
      </c>
      <c r="C69" s="119">
        <f t="shared" si="3"/>
        <v>2126908</v>
      </c>
      <c r="D69" s="117">
        <f>'1、经济推算'!S68</f>
        <v>14.107016025821345</v>
      </c>
      <c r="E69" s="117">
        <f t="shared" si="4"/>
        <v>211.00612003049412</v>
      </c>
      <c r="G69">
        <f t="shared" si="7"/>
        <v>13950</v>
      </c>
      <c r="H69">
        <f>$H$2*$H$3+体力消耗运算!V69*$H$3</f>
        <v>9420</v>
      </c>
      <c r="I69" s="121">
        <f t="shared" ref="I69:I103" si="8">$I$2</f>
        <v>6812.0299596774194</v>
      </c>
      <c r="J69" s="121">
        <f t="shared" ref="J69:J103" si="9">H69+I69+$K$2*$H$3</f>
        <v>21032.02995967742</v>
      </c>
      <c r="K69" s="133">
        <f>IF(SUM($G$4:G69)&gt;C69,0,($B69-$G69)/($J69+体力消耗运算!$V69*$K$3))</f>
        <v>6.0346235274151026</v>
      </c>
      <c r="L69" s="133">
        <f>SUM(K$4:K69)</f>
        <v>86.106782350707334</v>
      </c>
      <c r="M69" s="122">
        <f>IF(SUM($G$4:$G69)&gt;$C69,0,($B69-$G69)/($H69+$I69+(M$2+体力消耗运算!$V69)*M$3))</f>
        <v>6.8028748243191561</v>
      </c>
      <c r="N69" s="122">
        <f>SUM(M$4:M69)</f>
        <v>97.113672300647835</v>
      </c>
      <c r="O69" s="122">
        <f>IF(SUM($G$4:$G69)&gt;$C69,0,($B69-$G69)/($H69+$I69+(O$2+体力消耗运算!$V69)*O$3))</f>
        <v>5.4222830014438692</v>
      </c>
      <c r="P69" s="122">
        <f>SUM(O$4:O69)</f>
        <v>77.341183101198126</v>
      </c>
      <c r="Q69" s="122">
        <f>IF(SUM($G$4:$G69)&gt;$C69,0,($B69-$G69)/($H69+$I69+(Q$2+体力消耗运算!$V69)*Q$3))</f>
        <v>4.1568739615388637</v>
      </c>
      <c r="R69" s="122">
        <f>SUM(Q$4:Q69)</f>
        <v>59.247736696998309</v>
      </c>
      <c r="S69" s="122">
        <f>IF(SUM($G$4:$G69)&gt;$C69,0,($B69-$G69)/($H69+$I69+(S$2+体力消耗运算!$V69)*S$3))</f>
        <v>2.9928103784272957</v>
      </c>
      <c r="T69" s="122">
        <f>SUM(S$4:S69)</f>
        <v>42.627594764120666</v>
      </c>
    </row>
    <row r="70" spans="1:20">
      <c r="A70">
        <v>67</v>
      </c>
      <c r="B70" s="119">
        <f>'1、经济推算'!U69</f>
        <v>150197</v>
      </c>
      <c r="C70" s="119">
        <f t="shared" ref="C70:C103" si="10">C69+B70</f>
        <v>2277105</v>
      </c>
      <c r="D70" s="117">
        <f>'1、经济推算'!S69</f>
        <v>14.900500710967611</v>
      </c>
      <c r="E70" s="117">
        <f t="shared" ref="E70:E103" si="11">E69+D70</f>
        <v>225.90662074146172</v>
      </c>
      <c r="G70">
        <f t="shared" si="7"/>
        <v>14750</v>
      </c>
      <c r="H70">
        <f>$H$2*$H$3+体力消耗运算!V70*$H$3</f>
        <v>9420</v>
      </c>
      <c r="I70" s="121">
        <f t="shared" si="8"/>
        <v>6812.0299596774194</v>
      </c>
      <c r="J70" s="121">
        <f t="shared" si="9"/>
        <v>21032.02995967742</v>
      </c>
      <c r="K70" s="133">
        <f>IF(SUM($G$4:G70)&gt;C70,0,($B70-$G70)/($J70+体力消耗运算!$V70*$K$3))</f>
        <v>6.3733676386204339</v>
      </c>
      <c r="L70" s="133">
        <f>SUM(K$4:K70)</f>
        <v>92.480149989327771</v>
      </c>
      <c r="M70" s="122">
        <f>IF(SUM($G$4:$G70)&gt;$C70,0,($B70-$G70)/($H70+$I70+(M$2+体力消耗运算!$V70)*M$3))</f>
        <v>7.1847435151390799</v>
      </c>
      <c r="N70" s="122">
        <f>SUM(M$4:M70)</f>
        <v>104.29841581578691</v>
      </c>
      <c r="O70" s="122">
        <f>IF(SUM($G$4:$G70)&gt;$C70,0,($B70-$G70)/($H70+$I70+(O$2+体力消耗运算!$V70)*O$3))</f>
        <v>5.7266543392221925</v>
      </c>
      <c r="P70" s="122">
        <f>SUM(O$4:O70)</f>
        <v>83.06783744042032</v>
      </c>
      <c r="Q70" s="122">
        <f>IF(SUM($G$4:$G70)&gt;$C70,0,($B70-$G70)/($H70+$I70+(Q$2+体力消耗运算!$V70)*Q$3))</f>
        <v>4.3902135508433231</v>
      </c>
      <c r="R70" s="122">
        <f>SUM(Q$4:Q70)</f>
        <v>63.63795024784163</v>
      </c>
      <c r="S70" s="122">
        <f>IF(SUM($G$4:$G70)&gt;$C70,0,($B70-$G70)/($H70+$I70+(S$2+体力消耗运算!$V70)*S$3))</f>
        <v>3.1608070872593874</v>
      </c>
      <c r="T70" s="122">
        <f>SUM(S$4:S70)</f>
        <v>45.788401851380051</v>
      </c>
    </row>
    <row r="71" spans="1:20">
      <c r="A71">
        <v>68</v>
      </c>
      <c r="B71" s="119">
        <f>'1、经济推算'!U70</f>
        <v>158525</v>
      </c>
      <c r="C71" s="119">
        <f t="shared" si="10"/>
        <v>2435630</v>
      </c>
      <c r="D71" s="117">
        <f>'1、经济推算'!S70</f>
        <v>15.726718767676207</v>
      </c>
      <c r="E71" s="117">
        <f t="shared" si="11"/>
        <v>241.63333950913793</v>
      </c>
      <c r="G71">
        <f t="shared" si="7"/>
        <v>15550</v>
      </c>
      <c r="H71">
        <f>$H$2*$H$3+体力消耗运算!V71*$H$3</f>
        <v>9420</v>
      </c>
      <c r="I71" s="121">
        <f t="shared" si="8"/>
        <v>6812.0299596774194</v>
      </c>
      <c r="J71" s="121">
        <f t="shared" si="9"/>
        <v>21032.02995967742</v>
      </c>
      <c r="K71" s="133">
        <f>IF(SUM($G$4:G71)&gt;C71,0,($B71-$G71)/($J71+体力消耗运算!$V71*$K$3))</f>
        <v>6.7275926239175217</v>
      </c>
      <c r="L71" s="133">
        <f>SUM(K$4:K71)</f>
        <v>99.207742613245287</v>
      </c>
      <c r="M71" s="122">
        <f>IF(SUM($G$4:$G71)&gt;$C71,0,($B71-$G71)/($H71+$I71+(M$2+体力消耗运算!$V71)*M$3))</f>
        <v>7.5840639074841816</v>
      </c>
      <c r="N71" s="122">
        <f>SUM(M$4:M71)</f>
        <v>111.88247972327109</v>
      </c>
      <c r="O71" s="122">
        <f>IF(SUM($G$4:$G71)&gt;$C71,0,($B71-$G71)/($H71+$I71+(O$2+体力消耗运算!$V71)*O$3))</f>
        <v>6.0449356881310994</v>
      </c>
      <c r="P71" s="122">
        <f>SUM(O$4:O71)</f>
        <v>89.112773128551424</v>
      </c>
      <c r="Q71" s="122">
        <f>IF(SUM($G$4:$G71)&gt;$C71,0,($B71-$G71)/($H71+$I71+(Q$2+体力消耗运算!$V71)*Q$3))</f>
        <v>4.6342169441318308</v>
      </c>
      <c r="R71" s="122">
        <f>SUM(Q$4:Q71)</f>
        <v>68.272167191973466</v>
      </c>
      <c r="S71" s="122">
        <f>IF(SUM($G$4:$G71)&gt;$C71,0,($B71-$G71)/($H71+$I71+(S$2+体力消耗运算!$V71)*S$3))</f>
        <v>3.3364813787009751</v>
      </c>
      <c r="T71" s="122">
        <f>SUM(S$4:S71)</f>
        <v>49.124883230081025</v>
      </c>
    </row>
    <row r="72" spans="1:20" s="137" customFormat="1">
      <c r="A72" s="137">
        <v>69</v>
      </c>
      <c r="B72" s="138">
        <f>'1、经济推算'!U71</f>
        <v>167192</v>
      </c>
      <c r="C72" s="119">
        <f t="shared" si="10"/>
        <v>2602822</v>
      </c>
      <c r="D72" s="139">
        <f>'1、经济推算'!S71</f>
        <v>16.586547838618792</v>
      </c>
      <c r="E72" s="139">
        <f t="shared" si="11"/>
        <v>258.2198873477567</v>
      </c>
      <c r="G72" s="137">
        <f t="shared" si="7"/>
        <v>16350</v>
      </c>
      <c r="H72">
        <f>$H$2*$H$3+体力消耗运算!V72*$H$3</f>
        <v>9420</v>
      </c>
      <c r="I72" s="140">
        <f t="shared" si="8"/>
        <v>6812.0299596774194</v>
      </c>
      <c r="J72" s="140">
        <f t="shared" si="9"/>
        <v>21032.02995967742</v>
      </c>
      <c r="K72" s="133">
        <f>IF(SUM($G$4:G72)&gt;C72,0,($B72-$G72)/($J72+体力消耗运算!$V72*$K$3))</f>
        <v>7.0977690265918296</v>
      </c>
      <c r="L72" s="141">
        <f>SUM(K$4:K72)</f>
        <v>106.30551163983712</v>
      </c>
      <c r="M72" s="122">
        <f>IF(SUM($G$4:$G72)&gt;$C72,0,($B72-$G72)/($H72+$I72+(M$2+体力消耗运算!$V72)*M$3))</f>
        <v>8.0013664482093301</v>
      </c>
      <c r="N72" s="141">
        <f>SUM(M$4:M72)</f>
        <v>119.88384617148041</v>
      </c>
      <c r="O72" s="122">
        <f>IF(SUM($G$4:$G72)&gt;$C72,0,($B72-$G72)/($H72+$I72+(O$2+体力消耗运算!$V72)*O$3))</f>
        <v>6.3775498448614885</v>
      </c>
      <c r="P72" s="141">
        <f>SUM(O$4:O72)</f>
        <v>95.490322973412916</v>
      </c>
      <c r="Q72" s="122">
        <f>IF(SUM($G$4:$G72)&gt;$C72,0,($B72-$G72)/($H72+$I72+(Q$2+体力消耗运算!$V72)*Q$3))</f>
        <v>4.8892082691850582</v>
      </c>
      <c r="R72" s="141">
        <f>SUM(Q$4:Q72)</f>
        <v>73.161375461158528</v>
      </c>
      <c r="S72" s="122">
        <f>IF(SUM($G$4:$G72)&gt;$C72,0,($B72-$G72)/($H72+$I72+(S$2+体力消耗运算!$V72)*S$3))</f>
        <v>3.5200666139255987</v>
      </c>
      <c r="T72" s="141">
        <f>SUM(S$4:S72)</f>
        <v>52.644949844006625</v>
      </c>
    </row>
    <row r="73" spans="1:20">
      <c r="A73">
        <v>70</v>
      </c>
      <c r="B73" s="119">
        <f>'1、经济推算'!U72</f>
        <v>176207</v>
      </c>
      <c r="C73" s="119">
        <f t="shared" si="10"/>
        <v>2779029</v>
      </c>
      <c r="D73" s="117">
        <f>'1、经济推算'!S72</f>
        <v>17.480877010558824</v>
      </c>
      <c r="E73" s="117">
        <f t="shared" si="11"/>
        <v>275.7007643583155</v>
      </c>
      <c r="G73">
        <f t="shared" si="7"/>
        <v>28650</v>
      </c>
      <c r="H73">
        <f>$H$2*$H$3+体力消耗运算!V73*$H$3</f>
        <v>9440</v>
      </c>
      <c r="I73" s="121">
        <f t="shared" si="8"/>
        <v>6812.0299596774194</v>
      </c>
      <c r="J73" s="121">
        <f t="shared" si="9"/>
        <v>21052.02995967742</v>
      </c>
      <c r="K73" s="133">
        <f>IF(SUM($G$4:G73)&gt;C73,0,($B73-$G73)/($J73+体力消耗运算!$V73*$K$3))</f>
        <v>6.9301518117080239</v>
      </c>
      <c r="L73" s="133">
        <f>SUM(K$4:K73)</f>
        <v>113.23566345154515</v>
      </c>
      <c r="M73" s="122">
        <f>IF(SUM($G$4:$G73)&gt;$C73,0,($B73-$G73)/($H73+$I73+(M$2+体力消耗运算!$V73)*M$3))</f>
        <v>7.8105423458961907</v>
      </c>
      <c r="N73" s="122">
        <f>SUM(M$4:M73)</f>
        <v>127.69438851737661</v>
      </c>
      <c r="O73" s="122">
        <f>IF(SUM($G$4:$G73)&gt;$C73,0,($B73-$G73)/($H73+$I73+(O$2+体力消耗运算!$V73)*O$3))</f>
        <v>6.2281282039206518</v>
      </c>
      <c r="P73" s="122">
        <f>SUM(O$4:O73)</f>
        <v>101.71845117733356</v>
      </c>
      <c r="Q73" s="122">
        <f>IF(SUM($G$4:$G73)&gt;$C73,0,($B73-$G73)/($H73+$I73+(Q$2+体力消耗运算!$V73)*Q$3))</f>
        <v>4.7765394567013688</v>
      </c>
      <c r="R73" s="122">
        <f>SUM(Q$4:Q73)</f>
        <v>77.937914917859899</v>
      </c>
      <c r="S73" s="122">
        <f>IF(SUM($G$4:$G73)&gt;$C73,0,($B73-$G73)/($H73+$I73+(S$2+体力消耗运算!$V73)*S$3))</f>
        <v>3.4401962354945099</v>
      </c>
      <c r="T73" s="122">
        <f>SUM(S$4:S73)</f>
        <v>56.085146079501136</v>
      </c>
    </row>
    <row r="74" spans="1:20">
      <c r="A74">
        <v>71</v>
      </c>
      <c r="B74" s="119">
        <f>'1、经济推算'!U73</f>
        <v>185578</v>
      </c>
      <c r="C74" s="119">
        <f t="shared" si="10"/>
        <v>2964607</v>
      </c>
      <c r="D74" s="117">
        <f>'1、经济推算'!S73</f>
        <v>18.41060681435156</v>
      </c>
      <c r="E74" s="117">
        <f t="shared" si="11"/>
        <v>294.11137117266708</v>
      </c>
      <c r="G74">
        <f t="shared" si="7"/>
        <v>18450</v>
      </c>
      <c r="H74">
        <f>$H$2*$H$3+体力消耗运算!V74*$H$3</f>
        <v>9440</v>
      </c>
      <c r="I74" s="121">
        <f t="shared" si="8"/>
        <v>6812.0299596774194</v>
      </c>
      <c r="J74" s="121">
        <f t="shared" si="9"/>
        <v>21052.02995967742</v>
      </c>
      <c r="K74" s="133">
        <f>IF(SUM($G$4:G74)&gt;C74,0,($B74-$G74)/($J74+体力消耗运算!$V74*$K$3))</f>
        <v>7.8493220381760178</v>
      </c>
      <c r="L74" s="133">
        <f>SUM(K$4:K74)</f>
        <v>121.08498548972116</v>
      </c>
      <c r="M74" s="122">
        <f>IF(SUM($G$4:$G74)&gt;$C74,0,($B74-$G74)/($H74+$I74+(M$2+体力消耗运算!$V74)*M$3))</f>
        <v>8.8464818421690499</v>
      </c>
      <c r="N74" s="122">
        <f>SUM(M$4:M74)</f>
        <v>136.54087035954566</v>
      </c>
      <c r="O74" s="122">
        <f>IF(SUM($G$4:$G74)&gt;$C74,0,($B74-$G74)/($H74+$I74+(O$2+体力消耗运算!$V74)*O$3))</f>
        <v>7.0541865886731951</v>
      </c>
      <c r="P74" s="122">
        <f>SUM(O$4:O74)</f>
        <v>108.77263776600675</v>
      </c>
      <c r="Q74" s="122">
        <f>IF(SUM($G$4:$G74)&gt;$C74,0,($B74-$G74)/($H74+$I74+(Q$2+体力消耗运算!$V74)*Q$3))</f>
        <v>5.4100685587236557</v>
      </c>
      <c r="R74" s="122">
        <f>SUM(Q$4:Q74)</f>
        <v>83.347983476583551</v>
      </c>
      <c r="S74" s="122">
        <f>IF(SUM($G$4:$G74)&gt;$C74,0,($B74-$G74)/($H74+$I74+(S$2+体力消耗运算!$V74)*S$3))</f>
        <v>3.896481471199106</v>
      </c>
      <c r="T74" s="122">
        <f>SUM(S$4:S74)</f>
        <v>59.981627550700239</v>
      </c>
    </row>
    <row r="75" spans="1:20">
      <c r="A75">
        <v>72</v>
      </c>
      <c r="B75" s="119">
        <f>'1、经济推算'!U74</f>
        <v>195316</v>
      </c>
      <c r="C75" s="119">
        <f t="shared" si="10"/>
        <v>3159923</v>
      </c>
      <c r="D75" s="117">
        <f>'1、经济推算'!S74</f>
        <v>19.376649224944053</v>
      </c>
      <c r="E75" s="117">
        <f t="shared" si="11"/>
        <v>313.48802039761114</v>
      </c>
      <c r="G75">
        <f t="shared" si="7"/>
        <v>19750</v>
      </c>
      <c r="H75">
        <f>$H$2*$H$3+体力消耗运算!V75*$H$3</f>
        <v>9440</v>
      </c>
      <c r="I75" s="121">
        <f t="shared" si="8"/>
        <v>6812.0299596774194</v>
      </c>
      <c r="J75" s="121">
        <f t="shared" si="9"/>
        <v>21052.02995967742</v>
      </c>
      <c r="K75" s="133">
        <f>IF(SUM($G$4:G75)&gt;C75,0,($B75-$G75)/($J75+体力消耗运算!$V75*$K$3))</f>
        <v>8.2456205600163397</v>
      </c>
      <c r="L75" s="133">
        <f>SUM(K$4:K75)</f>
        <v>129.3306060497375</v>
      </c>
      <c r="M75" s="122">
        <f>IF(SUM($G$4:$G75)&gt;$C75,0,($B75-$G75)/($H75+$I75+(M$2+体力消耗运算!$V75)*M$3))</f>
        <v>9.2931252160155786</v>
      </c>
      <c r="N75" s="122">
        <f>SUM(M$4:M75)</f>
        <v>145.83399557556123</v>
      </c>
      <c r="O75" s="122">
        <f>IF(SUM($G$4:$G75)&gt;$C75,0,($B75-$G75)/($H75+$I75+(O$2+体力消耗运算!$V75)*O$3))</f>
        <v>7.4103401143255363</v>
      </c>
      <c r="P75" s="122">
        <f>SUM(O$4:O75)</f>
        <v>116.18297788033229</v>
      </c>
      <c r="Q75" s="122">
        <f>IF(SUM($G$4:$G75)&gt;$C75,0,($B75-$G75)/($H75+$I75+(Q$2+体力消耗运算!$V75)*Q$3))</f>
        <v>5.6832134446704154</v>
      </c>
      <c r="R75" s="122">
        <f>SUM(Q$4:Q75)</f>
        <v>89.031196921253965</v>
      </c>
      <c r="S75" s="122">
        <f>IF(SUM($G$4:$G75)&gt;$C75,0,($B75-$G75)/($H75+$I75+(S$2+体力消耗运算!$V75)*S$3))</f>
        <v>4.0932079961020431</v>
      </c>
      <c r="T75" s="122">
        <f>SUM(S$4:S75)</f>
        <v>64.074835546802277</v>
      </c>
    </row>
    <row r="76" spans="1:20">
      <c r="A76">
        <v>73</v>
      </c>
      <c r="B76" s="119">
        <f>'1、经济推算'!U75</f>
        <v>205429</v>
      </c>
      <c r="C76" s="119">
        <f t="shared" si="10"/>
        <v>3365352</v>
      </c>
      <c r="D76" s="117">
        <f>'1、经济推算'!S75</f>
        <v>20.379927661375149</v>
      </c>
      <c r="E76" s="117">
        <f t="shared" si="11"/>
        <v>333.86794805898626</v>
      </c>
      <c r="G76">
        <f t="shared" si="7"/>
        <v>21050</v>
      </c>
      <c r="H76">
        <f>$H$2*$H$3+体力消耗运算!V76*$H$3</f>
        <v>9440</v>
      </c>
      <c r="I76" s="121">
        <f t="shared" si="8"/>
        <v>6812.0299596774194</v>
      </c>
      <c r="J76" s="121">
        <f t="shared" si="9"/>
        <v>21052.02995967742</v>
      </c>
      <c r="K76" s="133">
        <f>IF(SUM($G$4:G76)&gt;C76,0,($B76-$G76)/($J76+体力消耗运算!$V76*$K$3))</f>
        <v>8.659531305806663</v>
      </c>
      <c r="L76" s="133">
        <f>SUM(K$4:K76)</f>
        <v>137.99013735554416</v>
      </c>
      <c r="M76" s="122">
        <f>IF(SUM($G$4:$G76)&gt;$C76,0,($B76-$G76)/($H76+$I76+(M$2+体力消耗运算!$V76)*M$3))</f>
        <v>9.7596182302025234</v>
      </c>
      <c r="N76" s="122">
        <f>SUM(M$4:M76)</f>
        <v>155.59361380576377</v>
      </c>
      <c r="O76" s="122">
        <f>IF(SUM($G$4:$G76)&gt;$C76,0,($B76-$G76)/($H76+$I76+(O$2+体力消耗运算!$V76)*O$3))</f>
        <v>7.7823217476004922</v>
      </c>
      <c r="P76" s="122">
        <f>SUM(O$4:O76)</f>
        <v>123.96529962793278</v>
      </c>
      <c r="Q76" s="122">
        <f>IF(SUM($G$4:$G76)&gt;$C76,0,($B76-$G76)/($H76+$I76+(Q$2+体力消耗运算!$V76)*Q$3))</f>
        <v>5.9684973839746114</v>
      </c>
      <c r="R76" s="122">
        <f>SUM(Q$4:Q76)</f>
        <v>94.999694305228573</v>
      </c>
      <c r="S76" s="122">
        <f>IF(SUM($G$4:$G76)&gt;$C76,0,($B76-$G76)/($H76+$I76+(S$2+体力消耗运算!$V76)*S$3))</f>
        <v>4.298677404015006</v>
      </c>
      <c r="T76" s="122">
        <f>SUM(S$4:S76)</f>
        <v>68.373512950817286</v>
      </c>
    </row>
    <row r="77" spans="1:20">
      <c r="A77">
        <v>74</v>
      </c>
      <c r="B77" s="119">
        <f>'1、经济推算'!U76</f>
        <v>215927</v>
      </c>
      <c r="C77" s="119">
        <f t="shared" si="10"/>
        <v>3581279</v>
      </c>
      <c r="D77" s="117">
        <f>'1、经济推算'!S76</f>
        <v>21.421376986775492</v>
      </c>
      <c r="E77" s="117">
        <f t="shared" si="11"/>
        <v>355.28932504576176</v>
      </c>
      <c r="G77">
        <f t="shared" si="7"/>
        <v>22500</v>
      </c>
      <c r="H77">
        <f>$H$2*$H$3+体力消耗运算!V77*$H$3</f>
        <v>9440</v>
      </c>
      <c r="I77" s="121">
        <f t="shared" si="8"/>
        <v>6812.0299596774194</v>
      </c>
      <c r="J77" s="121">
        <f t="shared" si="9"/>
        <v>21052.02995967742</v>
      </c>
      <c r="K77" s="133">
        <f>IF(SUM($G$4:G77)&gt;C77,0,($B77-$G77)/($J77+体力消耗运算!$V77*$K$3))</f>
        <v>9.084479045272321</v>
      </c>
      <c r="L77" s="133">
        <f>SUM(K$4:K77)</f>
        <v>147.0746164008165</v>
      </c>
      <c r="M77" s="122">
        <f>IF(SUM($G$4:$G77)&gt;$C77,0,($B77-$G77)/($H77+$I77+(M$2+体力消耗运算!$V77)*M$3))</f>
        <v>10.238550352336132</v>
      </c>
      <c r="N77" s="122">
        <f>SUM(M$4:M77)</f>
        <v>165.83216415809989</v>
      </c>
      <c r="O77" s="122">
        <f>IF(SUM($G$4:$G77)&gt;$C77,0,($B77-$G77)/($H77+$I77+(O$2+体力消耗运算!$V77)*O$3))</f>
        <v>8.1642223283189548</v>
      </c>
      <c r="P77" s="122">
        <f>SUM(O$4:O77)</f>
        <v>132.12952195625172</v>
      </c>
      <c r="Q77" s="122">
        <f>IF(SUM($G$4:$G77)&gt;$C77,0,($B77-$G77)/($H77+$I77+(Q$2+体力消耗运算!$V77)*Q$3))</f>
        <v>6.261388463382799</v>
      </c>
      <c r="R77" s="122">
        <f>SUM(Q$4:Q77)</f>
        <v>101.26108276861137</v>
      </c>
      <c r="S77" s="122">
        <f>IF(SUM($G$4:$G77)&gt;$C77,0,($B77-$G77)/($H77+$I77+(S$2+体力消耗运算!$V77)*S$3))</f>
        <v>4.5096256852809189</v>
      </c>
      <c r="T77" s="122">
        <f>SUM(S$4:S77)</f>
        <v>72.883138636098209</v>
      </c>
    </row>
    <row r="78" spans="1:20">
      <c r="A78">
        <v>75</v>
      </c>
      <c r="B78" s="119">
        <f>'1、经济推算'!U77</f>
        <v>226819</v>
      </c>
      <c r="C78" s="119">
        <f t="shared" si="10"/>
        <v>3808098</v>
      </c>
      <c r="D78" s="117">
        <f>'1、经济推算'!S77</f>
        <v>22.501943508367528</v>
      </c>
      <c r="E78" s="117">
        <f t="shared" si="11"/>
        <v>377.79126855412926</v>
      </c>
      <c r="G78">
        <f t="shared" si="7"/>
        <v>7950</v>
      </c>
      <c r="H78">
        <f>$H$2*$H$3+体力消耗运算!V78*$H$3</f>
        <v>9440</v>
      </c>
      <c r="I78" s="121">
        <f t="shared" si="8"/>
        <v>6812.0299596774194</v>
      </c>
      <c r="J78" s="121">
        <f t="shared" si="9"/>
        <v>21052.02995967742</v>
      </c>
      <c r="K78" s="133">
        <f>IF(SUM($G$4:G78)&gt;C78,0,($B78-$G78)/($J78+体力消耗运算!$V78*$K$3))</f>
        <v>10.279386249901554</v>
      </c>
      <c r="L78" s="133">
        <f>SUM(K$4:K78)</f>
        <v>157.35400265071806</v>
      </c>
      <c r="M78" s="122">
        <f>IF(SUM($G$4:$G78)&gt;$C78,0,($B78-$G78)/($H78+$I78+(M$2+体力消耗运算!$V78)*M$3))</f>
        <v>11.585255817778577</v>
      </c>
      <c r="N78" s="122">
        <f>SUM(M$4:M78)</f>
        <v>177.41741997587846</v>
      </c>
      <c r="O78" s="122">
        <f>IF(SUM($G$4:$G78)&gt;$C78,0,($B78-$G78)/($H78+$I78+(O$2+体力消耗运算!$V78)*O$3))</f>
        <v>9.2380855660111632</v>
      </c>
      <c r="P78" s="122">
        <f>SUM(O$4:O78)</f>
        <v>141.36760752226289</v>
      </c>
      <c r="Q78" s="122">
        <f>IF(SUM($G$4:$G78)&gt;$C78,0,($B78-$G78)/($H78+$I78+(Q$2+体力消耗运算!$V78)*Q$3))</f>
        <v>7.0849665847690853</v>
      </c>
      <c r="R78" s="122">
        <f>SUM(Q$4:Q78)</f>
        <v>108.34604935338047</v>
      </c>
      <c r="S78" s="122">
        <f>IF(SUM($G$4:$G78)&gt;$C78,0,($B78-$G78)/($H78+$I78+(S$2+体力消耗运算!$V78)*S$3))</f>
        <v>5.1027894973904857</v>
      </c>
      <c r="T78" s="122">
        <f>SUM(S$4:S78)</f>
        <v>77.985928133488699</v>
      </c>
    </row>
    <row r="79" spans="1:20">
      <c r="A79">
        <v>76</v>
      </c>
      <c r="B79" s="119">
        <f>'1、经济推算'!U78</f>
        <v>238115</v>
      </c>
      <c r="C79" s="119">
        <f t="shared" si="10"/>
        <v>4046213</v>
      </c>
      <c r="D79" s="117">
        <f>'1、经济推算'!S78</f>
        <v>23.622584977465493</v>
      </c>
      <c r="E79" s="117">
        <f t="shared" si="11"/>
        <v>401.41385353159478</v>
      </c>
      <c r="G79">
        <f t="shared" si="7"/>
        <v>8400</v>
      </c>
      <c r="H79">
        <f>$H$2*$H$3+体力消耗运算!V79*$H$3</f>
        <v>9440</v>
      </c>
      <c r="I79" s="121">
        <f t="shared" si="8"/>
        <v>6812.0299596774194</v>
      </c>
      <c r="J79" s="121">
        <f t="shared" si="9"/>
        <v>21052.02995967742</v>
      </c>
      <c r="K79" s="133">
        <f>IF(SUM($G$4:G79)&gt;C79,0,($B79-$G79)/($J79+体力消耗运算!$V79*$K$3))</f>
        <v>10.788778732466158</v>
      </c>
      <c r="L79" s="133">
        <f>SUM(K$4:K79)</f>
        <v>168.14278138318423</v>
      </c>
      <c r="M79" s="122">
        <f>IF(SUM($G$4:$G79)&gt;$C79,0,($B79-$G79)/($H79+$I79+(M$2+体力消耗运算!$V79)*M$3))</f>
        <v>12.159360348797708</v>
      </c>
      <c r="N79" s="122">
        <f>SUM(M$4:M79)</f>
        <v>189.57678032467618</v>
      </c>
      <c r="O79" s="122">
        <f>IF(SUM($G$4:$G79)&gt;$C79,0,($B79-$G79)/($H79+$I79+(O$2+体力消耗运算!$V79)*O$3))</f>
        <v>9.6958766467441908</v>
      </c>
      <c r="P79" s="122">
        <f>SUM(O$4:O79)</f>
        <v>151.06348416900707</v>
      </c>
      <c r="Q79" s="122">
        <f>IF(SUM($G$4:$G79)&gt;$C79,0,($B79-$G79)/($H79+$I79+(Q$2+体力消耗运算!$V79)*Q$3))</f>
        <v>7.4360603786750543</v>
      </c>
      <c r="R79" s="122">
        <f>SUM(Q$4:Q79)</f>
        <v>115.78210973205552</v>
      </c>
      <c r="S79" s="122">
        <f>IF(SUM($G$4:$G79)&gt;$C79,0,($B79-$G79)/($H79+$I79+(S$2+体力消耗运算!$V79)*S$3))</f>
        <v>5.3556569883951379</v>
      </c>
      <c r="T79" s="122">
        <f>SUM(S$4:S79)</f>
        <v>83.341585121883838</v>
      </c>
    </row>
    <row r="80" spans="1:20">
      <c r="A80">
        <v>77</v>
      </c>
      <c r="B80" s="119">
        <f>'1、经济推算'!U79</f>
        <v>249825</v>
      </c>
      <c r="C80" s="119">
        <f t="shared" si="10"/>
        <v>4296038</v>
      </c>
      <c r="D80" s="117">
        <f>'1、经济推算'!S79</f>
        <v>24.784270589475426</v>
      </c>
      <c r="E80" s="117">
        <f t="shared" si="11"/>
        <v>426.19812412107024</v>
      </c>
      <c r="G80">
        <f t="shared" si="7"/>
        <v>8850</v>
      </c>
      <c r="H80">
        <f>$H$2*$H$3+体力消耗运算!V80*$H$3</f>
        <v>9440</v>
      </c>
      <c r="I80" s="121">
        <f t="shared" si="8"/>
        <v>6812.0299596774194</v>
      </c>
      <c r="J80" s="121">
        <f t="shared" si="9"/>
        <v>21052.02995967742</v>
      </c>
      <c r="K80" s="133">
        <f>IF(SUM($G$4:G80)&gt;C80,0,($B80-$G80)/($J80+体力消耗运算!$V80*$K$3))</f>
        <v>11.317615110271564</v>
      </c>
      <c r="L80" s="133">
        <f>SUM(K$4:K80)</f>
        <v>179.46039649345579</v>
      </c>
      <c r="M80" s="122">
        <f>IF(SUM($G$4:$G80)&gt;$C80,0,($B80-$G80)/($H80+$I80+(M$2+体力消耗运算!$V80)*M$3))</f>
        <v>12.755378882752662</v>
      </c>
      <c r="N80" s="122">
        <f>SUM(M$4:M80)</f>
        <v>202.33215920742884</v>
      </c>
      <c r="O80" s="122">
        <f>IF(SUM($G$4:$G80)&gt;$C80,0,($B80-$G80)/($H80+$I80+(O$2+体力消耗运算!$V80)*O$3))</f>
        <v>10.171141958292585</v>
      </c>
      <c r="P80" s="122">
        <f>SUM(O$4:O80)</f>
        <v>161.23462612729966</v>
      </c>
      <c r="Q80" s="122">
        <f>IF(SUM($G$4:$G80)&gt;$C80,0,($B80-$G80)/($H80+$I80+(Q$2+体力消耗运算!$V80)*Q$3))</f>
        <v>7.8005556874876314</v>
      </c>
      <c r="R80" s="122">
        <f>SUM(Q$4:Q80)</f>
        <v>123.58266541954315</v>
      </c>
      <c r="S80" s="122">
        <f>IF(SUM($G$4:$G80)&gt;$C80,0,($B80-$G80)/($H80+$I80+(S$2+体力消耗运算!$V80)*S$3))</f>
        <v>5.6181766222428591</v>
      </c>
      <c r="T80" s="122">
        <f>SUM(S$4:S80)</f>
        <v>88.959761744126695</v>
      </c>
    </row>
    <row r="81" spans="1:20">
      <c r="A81">
        <v>78</v>
      </c>
      <c r="B81" s="119">
        <f>'1、经济推算'!U80</f>
        <v>261958</v>
      </c>
      <c r="C81" s="119">
        <f t="shared" si="10"/>
        <v>4557996</v>
      </c>
      <c r="D81" s="117">
        <f>'1、经济推算'!S80</f>
        <v>25.987980983895159</v>
      </c>
      <c r="E81" s="117">
        <f t="shared" si="11"/>
        <v>452.18610510496541</v>
      </c>
      <c r="G81">
        <f t="shared" si="7"/>
        <v>9300</v>
      </c>
      <c r="H81">
        <f>$H$2*$H$3+体力消耗运算!V81*$H$3</f>
        <v>9440</v>
      </c>
      <c r="I81" s="121">
        <f t="shared" si="8"/>
        <v>6812.0299596774194</v>
      </c>
      <c r="J81" s="121">
        <f t="shared" si="9"/>
        <v>21052.02995967742</v>
      </c>
      <c r="K81" s="133">
        <f>IF(SUM($G$4:G81)&gt;C81,0,($B81-$G81)/($J81+体力消耗运算!$V81*$K$3))</f>
        <v>11.866318076692572</v>
      </c>
      <c r="L81" s="133">
        <f>SUM(K$4:K81)</f>
        <v>191.32671457014837</v>
      </c>
      <c r="M81" s="122">
        <f>IF(SUM($G$4:$G81)&gt;$C81,0,($B81-$G81)/($H81+$I81+(M$2+体力消耗运算!$V81)*M$3))</f>
        <v>13.373787811011608</v>
      </c>
      <c r="N81" s="122">
        <f>SUM(M$4:M81)</f>
        <v>215.70594701844044</v>
      </c>
      <c r="O81" s="122">
        <f>IF(SUM($G$4:$G81)&gt;$C81,0,($B81-$G81)/($H81+$I81+(O$2+体力消耗运算!$V81)*O$3))</f>
        <v>10.66426137523929</v>
      </c>
      <c r="P81" s="122">
        <f>SUM(O$4:O81)</f>
        <v>171.89888750253894</v>
      </c>
      <c r="Q81" s="122">
        <f>IF(SUM($G$4:$G81)&gt;$C81,0,($B81-$G81)/($H81+$I81+(Q$2+体力消耗运算!$V81)*Q$3))</f>
        <v>8.1787438484873949</v>
      </c>
      <c r="R81" s="122">
        <f>SUM(Q$4:Q81)</f>
        <v>131.76140926803055</v>
      </c>
      <c r="S81" s="122">
        <f>IF(SUM($G$4:$G81)&gt;$C81,0,($B81-$G81)/($H81+$I81+(S$2+体力消耗运算!$V81)*S$3))</f>
        <v>5.8905582281258893</v>
      </c>
      <c r="T81" s="122">
        <f>SUM(S$4:S81)</f>
        <v>94.850319972252578</v>
      </c>
    </row>
    <row r="82" spans="1:20" s="137" customFormat="1">
      <c r="A82" s="137">
        <v>79</v>
      </c>
      <c r="B82" s="138">
        <f>'1、经济推算'!U81</f>
        <v>274525</v>
      </c>
      <c r="C82" s="119">
        <f t="shared" si="10"/>
        <v>4832521</v>
      </c>
      <c r="D82" s="139">
        <f>'1、经济推算'!S81</f>
        <v>27.234708244314319</v>
      </c>
      <c r="E82" s="139">
        <f t="shared" si="11"/>
        <v>479.42081334927974</v>
      </c>
      <c r="G82" s="137">
        <f t="shared" si="7"/>
        <v>9750</v>
      </c>
      <c r="H82">
        <f>$H$2*$H$3+体力消耗运算!V82*$H$3</f>
        <v>9440</v>
      </c>
      <c r="I82" s="140">
        <f t="shared" si="8"/>
        <v>6812.0299596774194</v>
      </c>
      <c r="J82" s="140">
        <f t="shared" si="9"/>
        <v>21052.02995967742</v>
      </c>
      <c r="K82" s="133">
        <f>IF(SUM($G$4:G82)&gt;C82,0,($B82-$G82)/($J82+体力消耗运算!$V82*$K$3))</f>
        <v>12.435404256965052</v>
      </c>
      <c r="L82" s="141">
        <f>SUM(K$4:K82)</f>
        <v>203.76211882711343</v>
      </c>
      <c r="M82" s="122">
        <f>IF(SUM($G$4:$G82)&gt;$C82,0,($B82-$G82)/($H82+$I82+(M$2+体力消耗运算!$V82)*M$3))</f>
        <v>14.015169389691197</v>
      </c>
      <c r="N82" s="141">
        <f>SUM(M$4:M82)</f>
        <v>229.72111640813165</v>
      </c>
      <c r="O82" s="122">
        <f>IF(SUM($G$4:$G82)&gt;$C82,0,($B82-$G82)/($H82+$I82+(O$2+体力消耗运算!$V82)*O$3))</f>
        <v>11.175699188741236</v>
      </c>
      <c r="P82" s="141">
        <f>SUM(O$4:O82)</f>
        <v>183.07458669128019</v>
      </c>
      <c r="Q82" s="122">
        <f>IF(SUM($G$4:$G82)&gt;$C82,0,($B82-$G82)/($H82+$I82+(Q$2+体力消耗运算!$V82)*Q$3))</f>
        <v>8.570980940572829</v>
      </c>
      <c r="R82" s="141">
        <f>SUM(Q$4:Q82)</f>
        <v>140.33239020860339</v>
      </c>
      <c r="S82" s="122">
        <f>IF(SUM($G$4:$G82)&gt;$C82,0,($B82-$G82)/($H82+$I82+(S$2+体力消耗运算!$V82)*S$3))</f>
        <v>6.1730582639458573</v>
      </c>
      <c r="T82" s="141">
        <f>SUM(S$4:S82)</f>
        <v>101.02337823619844</v>
      </c>
    </row>
    <row r="83" spans="1:20" s="8" customFormat="1">
      <c r="A83" s="8">
        <v>80</v>
      </c>
      <c r="B83" s="119">
        <f>'1、经济推算'!U82</f>
        <v>287536</v>
      </c>
      <c r="C83" s="119">
        <f t="shared" si="10"/>
        <v>5120057</v>
      </c>
      <c r="D83" s="117">
        <f>'1、经济推算'!S82</f>
        <v>28.525455898414339</v>
      </c>
      <c r="E83" s="117">
        <f t="shared" si="11"/>
        <v>507.94626924769409</v>
      </c>
      <c r="G83" s="8">
        <f t="shared" si="7"/>
        <v>10200</v>
      </c>
      <c r="H83">
        <f>$H$2*$H$3+体力消耗运算!V83*$H$3</f>
        <v>9460</v>
      </c>
      <c r="I83" s="129">
        <f t="shared" si="8"/>
        <v>6812.0299596774194</v>
      </c>
      <c r="J83" s="129">
        <f t="shared" si="9"/>
        <v>21072.02995967742</v>
      </c>
      <c r="K83" s="133">
        <f>IF(SUM($G$4:G83)&gt;C83,0,($B83-$G83)/($J83+体力消耗运算!$V83*$K$3))</f>
        <v>13.000919299486762</v>
      </c>
      <c r="L83" s="133">
        <f>SUM(K$4:K83)</f>
        <v>216.76303812660018</v>
      </c>
      <c r="M83" s="122">
        <f>IF(SUM($G$4:$G83)&gt;$C83,0,($B83-$G83)/($H83+$I83+(M$2+体力消耗运算!$V83)*M$3))</f>
        <v>14.649036611007217</v>
      </c>
      <c r="N83" s="130">
        <f>SUM(M$4:M83)</f>
        <v>244.37015301913885</v>
      </c>
      <c r="O83" s="122">
        <f>IF(SUM($G$4:$G83)&gt;$C83,0,($B83-$G83)/($H83+$I83+(O$2+体力消耗运算!$V83)*O$3))</f>
        <v>11.68614739115093</v>
      </c>
      <c r="P83" s="130">
        <f>SUM(O$4:O83)</f>
        <v>194.76073408243113</v>
      </c>
      <c r="Q83" s="122">
        <f>IF(SUM($G$4:$G83)&gt;$C83,0,($B83-$G83)/($H83+$I83+(Q$2+体力消耗运算!$V83)*Q$3))</f>
        <v>8.9659812292155241</v>
      </c>
      <c r="R83" s="130">
        <f>SUM(Q$4:Q83)</f>
        <v>149.2983714378189</v>
      </c>
      <c r="S83" s="122">
        <f>IF(SUM($G$4:$G83)&gt;$C83,0,($B83-$G83)/($H83+$I83+(S$2+体力消耗运算!$V83)*S$3))</f>
        <v>6.4598855507293562</v>
      </c>
      <c r="T83" s="130">
        <f>SUM(S$4:S83)</f>
        <v>107.48326378692779</v>
      </c>
    </row>
    <row r="84" spans="1:20">
      <c r="A84">
        <v>81</v>
      </c>
      <c r="B84" s="119">
        <f>'1、经济推算'!U83</f>
        <v>301001</v>
      </c>
      <c r="C84" s="119">
        <f t="shared" si="10"/>
        <v>5421058</v>
      </c>
      <c r="D84" s="117">
        <f>'1、经济推算'!S83</f>
        <v>29.861238917968436</v>
      </c>
      <c r="E84" s="117">
        <f t="shared" si="11"/>
        <v>537.80750816566251</v>
      </c>
      <c r="G84">
        <f t="shared" si="7"/>
        <v>10650</v>
      </c>
      <c r="H84">
        <f>$H$2*$H$3+体力消耗运算!V84*$H$3</f>
        <v>9460</v>
      </c>
      <c r="I84" s="121">
        <f t="shared" si="8"/>
        <v>6812.0299596774194</v>
      </c>
      <c r="J84" s="121">
        <f t="shared" si="9"/>
        <v>21072.02995967742</v>
      </c>
      <c r="K84" s="133">
        <f>IF(SUM($G$4:G84)&gt;C84,0,($B84-$G84)/($J84+体力消耗运算!$V84*$K$3))</f>
        <v>13.611034699877697</v>
      </c>
      <c r="L84" s="133">
        <f>SUM(K$4:K84)</f>
        <v>230.37407282647789</v>
      </c>
      <c r="M84" s="122">
        <f>IF(SUM($G$4:$G84)&gt;$C84,0,($B84-$G84)/($H84+$I84+(M$2+体力消耗运算!$V84)*M$3))</f>
        <v>15.336495907644721</v>
      </c>
      <c r="N84" s="122">
        <f>SUM(M$4:M84)</f>
        <v>259.7066489267836</v>
      </c>
      <c r="O84" s="122">
        <f>IF(SUM($G$4:$G84)&gt;$C84,0,($B84-$G84)/($H84+$I84+(O$2+体力消耗运算!$V84)*O$3))</f>
        <v>12.234562340150806</v>
      </c>
      <c r="P84" s="122">
        <f>SUM(O$4:O84)</f>
        <v>206.99529642258193</v>
      </c>
      <c r="Q84" s="122">
        <f>IF(SUM($G$4:$G84)&gt;$C84,0,($B84-$G84)/($H84+$I84+(Q$2+体力消耗运算!$V84)*Q$3))</f>
        <v>9.3867424924422256</v>
      </c>
      <c r="R84" s="122">
        <f>SUM(Q$4:Q84)</f>
        <v>158.68511393026114</v>
      </c>
      <c r="S84" s="122">
        <f>IF(SUM($G$4:$G84)&gt;$C84,0,($B84-$G84)/($H84+$I84+(S$2+体力消耗运算!$V84)*S$3))</f>
        <v>6.7630391638295038</v>
      </c>
      <c r="T84" s="122">
        <f>SUM(S$4:S84)</f>
        <v>114.2463029507573</v>
      </c>
    </row>
    <row r="85" spans="1:20">
      <c r="A85">
        <v>82</v>
      </c>
      <c r="B85" s="119">
        <f>'1、经济推算'!U84</f>
        <v>314930</v>
      </c>
      <c r="C85" s="119">
        <f t="shared" si="10"/>
        <v>5735988</v>
      </c>
      <c r="D85" s="117">
        <f>'1、经济推算'!S84</f>
        <v>31.243083718841635</v>
      </c>
      <c r="E85" s="117">
        <f t="shared" si="11"/>
        <v>569.05059188450412</v>
      </c>
      <c r="G85">
        <f t="shared" si="7"/>
        <v>11100</v>
      </c>
      <c r="H85">
        <f>$H$2*$H$3+体力消耗运算!V85*$H$3</f>
        <v>9460</v>
      </c>
      <c r="I85" s="121">
        <f t="shared" si="8"/>
        <v>6812.0299596774194</v>
      </c>
      <c r="J85" s="121">
        <f t="shared" si="9"/>
        <v>21072.02995967742</v>
      </c>
      <c r="K85" s="133">
        <f>IF(SUM($G$4:G85)&gt;C85,0,($B85-$G85)/($J85+体力消耗运算!$V85*$K$3))</f>
        <v>14.242901429179994</v>
      </c>
      <c r="L85" s="133">
        <f>SUM(K$4:K85)</f>
        <v>244.61697425565788</v>
      </c>
      <c r="M85" s="122">
        <f>IF(SUM($G$4:$G85)&gt;$C85,0,($B85-$G85)/($H85+$I85+(M$2+体力消耗运算!$V85)*M$3))</f>
        <v>16.048463933720551</v>
      </c>
      <c r="N85" s="122">
        <f>SUM(M$4:M85)</f>
        <v>275.75511286050414</v>
      </c>
      <c r="O85" s="122">
        <f>IF(SUM($G$4:$G85)&gt;$C85,0,($B85-$G85)/($H85+$I85+(O$2+体力消耗运算!$V85)*O$3))</f>
        <v>12.802528924673995</v>
      </c>
      <c r="P85" s="122">
        <f>SUM(O$4:O85)</f>
        <v>219.79782534725592</v>
      </c>
      <c r="Q85" s="122">
        <f>IF(SUM($G$4:$G85)&gt;$C85,0,($B85-$G85)/($H85+$I85+(Q$2+体力消耗运算!$V85)*Q$3))</f>
        <v>9.8225043877194196</v>
      </c>
      <c r="R85" s="122">
        <f>SUM(Q$4:Q85)</f>
        <v>168.50761831798056</v>
      </c>
      <c r="S85" s="122">
        <f>IF(SUM($G$4:$G85)&gt;$C85,0,($B85-$G85)/($H85+$I85+(S$2+体力消耗运算!$V85)*S$3))</f>
        <v>7.0770005584493187</v>
      </c>
      <c r="T85" s="122">
        <f>SUM(S$4:S85)</f>
        <v>121.32330350920661</v>
      </c>
    </row>
    <row r="86" spans="1:20">
      <c r="A86">
        <v>83</v>
      </c>
      <c r="B86" s="119">
        <f>'1、经济推算'!U85</f>
        <v>329334</v>
      </c>
      <c r="C86" s="119">
        <f t="shared" si="10"/>
        <v>6065322</v>
      </c>
      <c r="D86" s="117">
        <f>'1、经济推算'!S85</f>
        <v>32.672028160990749</v>
      </c>
      <c r="E86" s="117">
        <f t="shared" si="11"/>
        <v>601.72262004549486</v>
      </c>
      <c r="G86">
        <f t="shared" si="7"/>
        <v>11550</v>
      </c>
      <c r="H86">
        <f>$H$2*$H$3+体力消耗运算!V86*$H$3</f>
        <v>9460</v>
      </c>
      <c r="I86" s="121">
        <f t="shared" si="8"/>
        <v>6812.0299596774194</v>
      </c>
      <c r="J86" s="121">
        <f t="shared" si="9"/>
        <v>21072.02995967742</v>
      </c>
      <c r="K86" s="133">
        <f>IF(SUM($G$4:G86)&gt;C86,0,($B86-$G86)/($J86+体力消耗运算!$V86*$K$3))</f>
        <v>14.89703514389802</v>
      </c>
      <c r="L86" s="133">
        <f>SUM(K$4:K86)</f>
        <v>259.5140093995559</v>
      </c>
      <c r="M86" s="122">
        <f>IF(SUM($G$4:$G86)&gt;$C86,0,($B86-$G86)/($H86+$I86+(M$2+体力消耗运算!$V86)*M$3))</f>
        <v>16.785521715148114</v>
      </c>
      <c r="N86" s="122">
        <f>SUM(M$4:M86)</f>
        <v>292.54063457565223</v>
      </c>
      <c r="O86" s="122">
        <f>IF(SUM($G$4:$G86)&gt;$C86,0,($B86-$G86)/($H86+$I86+(O$2+体力消耗运算!$V86)*O$3))</f>
        <v>13.390510653321268</v>
      </c>
      <c r="P86" s="122">
        <f>SUM(O$4:O86)</f>
        <v>233.18833600057718</v>
      </c>
      <c r="Q86" s="122">
        <f>IF(SUM($G$4:$G86)&gt;$C86,0,($B86-$G86)/($H86+$I86+(Q$2+体力消耗运算!$V86)*Q$3))</f>
        <v>10.27362253347934</v>
      </c>
      <c r="R86" s="122">
        <f>SUM(Q$4:Q86)</f>
        <v>178.7812408514599</v>
      </c>
      <c r="S86" s="122">
        <f>IF(SUM($G$4:$G86)&gt;$C86,0,($B86-$G86)/($H86+$I86+(S$2+体力消耗运算!$V86)*S$3))</f>
        <v>7.4020259535472412</v>
      </c>
      <c r="T86" s="122">
        <f>SUM(S$4:S86)</f>
        <v>128.72532946275385</v>
      </c>
    </row>
    <row r="87" spans="1:20">
      <c r="A87">
        <v>84</v>
      </c>
      <c r="B87" s="119">
        <f>'1、经济推算'!U86</f>
        <v>344223</v>
      </c>
      <c r="C87" s="119">
        <f t="shared" si="10"/>
        <v>6409545</v>
      </c>
      <c r="D87" s="117">
        <f>'1、经济推算'!S86</f>
        <v>34.1491215484644</v>
      </c>
      <c r="E87" s="117">
        <f t="shared" si="11"/>
        <v>635.87174159395931</v>
      </c>
      <c r="G87">
        <f t="shared" si="7"/>
        <v>12300</v>
      </c>
      <c r="H87">
        <f>$H$2*$H$3+体力消耗运算!V87*$H$3</f>
        <v>9460</v>
      </c>
      <c r="I87" s="121">
        <f t="shared" si="8"/>
        <v>6812.0299596774194</v>
      </c>
      <c r="J87" s="121">
        <f t="shared" si="9"/>
        <v>21072.02995967742</v>
      </c>
      <c r="K87" s="133">
        <f>IF(SUM($G$4:G87)&gt;C87,0,($B87-$G87)/($J87+体力消耗运算!$V87*$K$3))</f>
        <v>15.559841263462172</v>
      </c>
      <c r="L87" s="133">
        <f>SUM(K$4:K87)</f>
        <v>275.07385066301805</v>
      </c>
      <c r="M87" s="122">
        <f>IF(SUM($G$4:$G87)&gt;$C87,0,($B87-$G87)/($H87+$I87+(M$2+体力消耗运算!$V87)*M$3))</f>
        <v>17.532351296028459</v>
      </c>
      <c r="N87" s="122">
        <f>SUM(M$4:M87)</f>
        <v>310.07298587168071</v>
      </c>
      <c r="O87" s="122">
        <f>IF(SUM($G$4:$G87)&gt;$C87,0,($B87-$G87)/($H87+$I87+(O$2+体力消耗运算!$V87)*O$3))</f>
        <v>13.986287753890553</v>
      </c>
      <c r="P87" s="122">
        <f>SUM(O$4:O87)</f>
        <v>247.17462375446775</v>
      </c>
      <c r="Q87" s="122">
        <f>IF(SUM($G$4:$G87)&gt;$C87,0,($B87-$G87)/($H87+$I87+(Q$2+体力消耗运算!$V87)*Q$3))</f>
        <v>10.730721534690428</v>
      </c>
      <c r="R87" s="122">
        <f>SUM(Q$4:Q87)</f>
        <v>189.51196238615032</v>
      </c>
      <c r="S87" s="122">
        <f>IF(SUM($G$4:$G87)&gt;$C87,0,($B87-$G87)/($H87+$I87+(S$2+体力消耗运算!$V87)*S$3))</f>
        <v>7.7313604856734797</v>
      </c>
      <c r="T87" s="122">
        <f>SUM(S$4:S87)</f>
        <v>136.45668994842734</v>
      </c>
    </row>
    <row r="88" spans="1:20">
      <c r="A88">
        <v>85</v>
      </c>
      <c r="B88" s="119">
        <f>'1、经济推算'!U87</f>
        <v>359608</v>
      </c>
      <c r="C88" s="119">
        <f t="shared" si="10"/>
        <v>6769153</v>
      </c>
      <c r="D88" s="117">
        <f>'1、经济推算'!S87</f>
        <v>35.67542462940299</v>
      </c>
      <c r="E88" s="117">
        <f t="shared" si="11"/>
        <v>671.5471662233623</v>
      </c>
      <c r="G88">
        <f t="shared" si="7"/>
        <v>0</v>
      </c>
      <c r="H88">
        <f>$H$2*$H$3+体力消耗运算!V88*$H$3</f>
        <v>9460</v>
      </c>
      <c r="I88" s="121">
        <f t="shared" si="8"/>
        <v>6812.0299596774194</v>
      </c>
      <c r="J88" s="121">
        <f t="shared" si="9"/>
        <v>21072.02995967742</v>
      </c>
      <c r="K88" s="133">
        <f>IF(SUM($G$4:G88)&gt;C88,0,($B88-$G88)/($J88+体力消耗运算!$V88*$K$3))</f>
        <v>16.857654929218839</v>
      </c>
      <c r="L88" s="133">
        <f>SUM(K$4:K88)</f>
        <v>291.93150559223687</v>
      </c>
      <c r="M88" s="122">
        <f>IF(SUM($G$4:$G88)&gt;$C88,0,($B88-$G88)/($H88+$I88+(M$2+体力消耗运算!$V88)*M$3))</f>
        <v>18.994687879002665</v>
      </c>
      <c r="N88" s="122">
        <f>SUM(M$4:M88)</f>
        <v>329.06767375068335</v>
      </c>
      <c r="O88" s="122">
        <f>IF(SUM($G$4:$G88)&gt;$C88,0,($B88-$G88)/($H88+$I88+(O$2+体力消耗运算!$V88)*O$3))</f>
        <v>15.152854627733159</v>
      </c>
      <c r="P88" s="122">
        <f>SUM(O$4:O88)</f>
        <v>262.32747838220092</v>
      </c>
      <c r="Q88" s="122">
        <f>IF(SUM($G$4:$G88)&gt;$C88,0,($B88-$G88)/($H88+$I88+(Q$2+体力消耗运算!$V88)*Q$3))</f>
        <v>11.625748470720485</v>
      </c>
      <c r="R88" s="122">
        <f>SUM(Q$4:Q88)</f>
        <v>201.1377108568708</v>
      </c>
      <c r="S88" s="122">
        <f>IF(SUM($G$4:$G88)&gt;$C88,0,($B88-$G88)/($H88+$I88+(S$2+体力消耗运算!$V88)*S$3))</f>
        <v>8.3762170188027607</v>
      </c>
      <c r="T88" s="122">
        <f>SUM(S$4:S88)</f>
        <v>144.83290696723009</v>
      </c>
    </row>
    <row r="89" spans="1:20">
      <c r="A89">
        <v>86</v>
      </c>
      <c r="B89" s="119">
        <f>'1、经济推算'!U88</f>
        <v>375500</v>
      </c>
      <c r="C89" s="119">
        <f t="shared" si="10"/>
        <v>7144653</v>
      </c>
      <c r="D89" s="117">
        <f>'1、经济推算'!S88</f>
        <v>37.252009596038732</v>
      </c>
      <c r="E89" s="117">
        <f t="shared" si="11"/>
        <v>708.79917581940106</v>
      </c>
      <c r="G89">
        <f t="shared" si="7"/>
        <v>0</v>
      </c>
      <c r="H89">
        <f>$H$2*$H$3+体力消耗运算!V89*$H$3</f>
        <v>9460</v>
      </c>
      <c r="I89" s="121">
        <f t="shared" si="8"/>
        <v>6812.0299596774194</v>
      </c>
      <c r="J89" s="121">
        <f t="shared" si="9"/>
        <v>21072.02995967742</v>
      </c>
      <c r="K89" s="133">
        <f>IF(SUM($G$4:G89)&gt;C89,0,($B89-$G89)/($J89+体力消耗运算!$V89*$K$3))</f>
        <v>17.602637944433031</v>
      </c>
      <c r="L89" s="133">
        <f>SUM(K$4:K89)</f>
        <v>309.53414353666989</v>
      </c>
      <c r="M89" s="122">
        <f>IF(SUM($G$4:$G89)&gt;$C89,0,($B89-$G89)/($H89+$I89+(M$2+体力消耗运算!$V89)*M$3))</f>
        <v>19.834111862265303</v>
      </c>
      <c r="N89" s="122">
        <f>SUM(M$4:M89)</f>
        <v>348.90178561294863</v>
      </c>
      <c r="O89" s="122">
        <f>IF(SUM($G$4:$G89)&gt;$C89,0,($B89-$G89)/($H89+$I89+(O$2+体力消耗运算!$V89)*O$3))</f>
        <v>15.822498144406692</v>
      </c>
      <c r="P89" s="122">
        <f>SUM(O$4:O89)</f>
        <v>278.14997652660759</v>
      </c>
      <c r="Q89" s="122">
        <f>IF(SUM($G$4:$G89)&gt;$C89,0,($B89-$G89)/($H89+$I89+(Q$2+体力消耗运算!$V89)*Q$3))</f>
        <v>12.13952011844993</v>
      </c>
      <c r="R89" s="122">
        <f>SUM(Q$4:Q89)</f>
        <v>213.27723097532072</v>
      </c>
      <c r="S89" s="122">
        <f>IF(SUM($G$4:$G89)&gt;$C89,0,($B89-$G89)/($H89+$I89+(S$2+体力消耗运算!$V89)*S$3))</f>
        <v>8.7463835358513613</v>
      </c>
      <c r="T89" s="122">
        <f>SUM(S$4:S89)</f>
        <v>153.57929050308144</v>
      </c>
    </row>
    <row r="90" spans="1:20">
      <c r="A90">
        <v>87</v>
      </c>
      <c r="B90" s="119">
        <f>'1、经济推算'!U89</f>
        <v>391909</v>
      </c>
      <c r="C90" s="119">
        <f t="shared" si="10"/>
        <v>7536562</v>
      </c>
      <c r="D90" s="117">
        <f>'1、经济推算'!S89</f>
        <v>38.879960084695632</v>
      </c>
      <c r="E90" s="117">
        <f t="shared" si="11"/>
        <v>747.67913590409671</v>
      </c>
      <c r="G90">
        <f t="shared" si="7"/>
        <v>0</v>
      </c>
      <c r="H90">
        <f>$H$2*$H$3+体力消耗运算!V90*$H$3</f>
        <v>9460</v>
      </c>
      <c r="I90" s="121">
        <f t="shared" si="8"/>
        <v>6812.0299596774194</v>
      </c>
      <c r="J90" s="121">
        <f t="shared" si="9"/>
        <v>21072.02995967742</v>
      </c>
      <c r="K90" s="133">
        <f>IF(SUM($G$4:G90)&gt;C90,0,($B90-$G90)/($J90+体力消耗运算!$V90*$K$3))</f>
        <v>18.371856815352345</v>
      </c>
      <c r="L90" s="133">
        <f>SUM(K$4:K90)</f>
        <v>327.90600035202226</v>
      </c>
      <c r="M90" s="122">
        <f>IF(SUM($G$4:$G90)&gt;$C90,0,($B90-$G90)/($H90+$I90+(M$2+体力消耗运算!$V90)*M$3))</f>
        <v>20.700844063458142</v>
      </c>
      <c r="N90" s="122">
        <f>SUM(M$4:M90)</f>
        <v>369.60262967640676</v>
      </c>
      <c r="O90" s="122">
        <f>IF(SUM($G$4:$G90)&gt;$C90,0,($B90-$G90)/($H90+$I90+(O$2+体力消耗运算!$V90)*O$3))</f>
        <v>16.513926565316332</v>
      </c>
      <c r="P90" s="122">
        <f>SUM(O$4:O90)</f>
        <v>294.66390309192394</v>
      </c>
      <c r="Q90" s="122">
        <f>IF(SUM($G$4:$G90)&gt;$C90,0,($B90-$G90)/($H90+$I90+(Q$2+体力消耗运算!$V90)*Q$3))</f>
        <v>12.670005832494256</v>
      </c>
      <c r="R90" s="122">
        <f>SUM(Q$4:Q90)</f>
        <v>225.94723680781499</v>
      </c>
      <c r="S90" s="122">
        <f>IF(SUM($G$4:$G90)&gt;$C90,0,($B90-$G90)/($H90+$I90+(S$2+体力消耗运算!$V90)*S$3))</f>
        <v>9.1285923439466607</v>
      </c>
      <c r="T90" s="122">
        <f>SUM(S$4:S90)</f>
        <v>162.70788284702809</v>
      </c>
    </row>
    <row r="91" spans="1:20">
      <c r="A91">
        <v>88</v>
      </c>
      <c r="B91" s="119">
        <f>'1、经济推算'!U90</f>
        <v>408848</v>
      </c>
      <c r="C91" s="119">
        <f t="shared" si="10"/>
        <v>7945410</v>
      </c>
      <c r="D91" s="117">
        <f>'1、经济推算'!S90</f>
        <v>40.560371175789484</v>
      </c>
      <c r="E91" s="117">
        <f t="shared" si="11"/>
        <v>788.23950707988615</v>
      </c>
      <c r="G91">
        <f t="shared" si="7"/>
        <v>0</v>
      </c>
      <c r="H91">
        <f>$H$2*$H$3+体力消耗运算!V91*$H$3</f>
        <v>9460</v>
      </c>
      <c r="I91" s="121">
        <f t="shared" si="8"/>
        <v>6812.0299596774194</v>
      </c>
      <c r="J91" s="121">
        <f t="shared" si="9"/>
        <v>21072.02995967742</v>
      </c>
      <c r="K91" s="133">
        <f>IF(SUM($G$4:G91)&gt;C91,0,($B91-$G91)/($J91+体力消耗运算!$V91*$K$3))</f>
        <v>19.165920954209206</v>
      </c>
      <c r="L91" s="133">
        <f>SUM(K$4:K91)</f>
        <v>347.07192130623145</v>
      </c>
      <c r="M91" s="122">
        <f>IF(SUM($G$4:$G91)&gt;$C91,0,($B91-$G91)/($H91+$I91+(M$2+体力消耗运算!$V91)*M$3))</f>
        <v>21.595571149569757</v>
      </c>
      <c r="N91" s="122">
        <f>SUM(M$4:M91)</f>
        <v>391.19820082597653</v>
      </c>
      <c r="O91" s="122">
        <f>IF(SUM($G$4:$G91)&gt;$C91,0,($B91-$G91)/($H91+$I91+(O$2+体力消耗运算!$V91)*O$3))</f>
        <v>17.227687673353895</v>
      </c>
      <c r="P91" s="122">
        <f>SUM(O$4:O91)</f>
        <v>311.89159076527784</v>
      </c>
      <c r="Q91" s="122">
        <f>IF(SUM($G$4:$G91)&gt;$C91,0,($B91-$G91)/($H91+$I91+(Q$2+体力消耗运算!$V91)*Q$3))</f>
        <v>13.217625889182468</v>
      </c>
      <c r="R91" s="122">
        <f>SUM(Q$4:Q91)</f>
        <v>239.16486269699746</v>
      </c>
      <c r="S91" s="122">
        <f>IF(SUM($G$4:$G91)&gt;$C91,0,($B91-$G91)/($H91+$I91+(S$2+体力消耗运算!$V91)*S$3))</f>
        <v>9.5231462473122708</v>
      </c>
      <c r="T91" s="122">
        <f>SUM(S$4:S91)</f>
        <v>172.23102909434036</v>
      </c>
    </row>
    <row r="92" spans="1:20">
      <c r="A92">
        <v>89</v>
      </c>
      <c r="B92" s="119">
        <f>'1、经济推算'!U91</f>
        <v>426327</v>
      </c>
      <c r="C92" s="119">
        <f t="shared" si="10"/>
        <v>8371737</v>
      </c>
      <c r="D92" s="117">
        <f>'1、经济推算'!S91</f>
        <v>42.2943493938279</v>
      </c>
      <c r="E92" s="117">
        <f t="shared" si="11"/>
        <v>830.53385647371408</v>
      </c>
      <c r="G92">
        <f t="shared" si="7"/>
        <v>0</v>
      </c>
      <c r="H92">
        <f>$H$2*$H$3+体力消耗运算!V92*$H$3</f>
        <v>9460</v>
      </c>
      <c r="I92" s="121">
        <f t="shared" si="8"/>
        <v>6812.0299596774194</v>
      </c>
      <c r="J92" s="121">
        <f t="shared" si="9"/>
        <v>21072.02995967742</v>
      </c>
      <c r="K92" s="133">
        <f>IF(SUM($G$4:G92)&gt;C92,0,($B92-$G92)/($J92+体力消耗运算!$V92*$K$3))</f>
        <v>19.985299139643946</v>
      </c>
      <c r="L92" s="133">
        <f>SUM(K$4:K92)</f>
        <v>367.05722044587537</v>
      </c>
      <c r="M92" s="122">
        <f>IF(SUM($G$4:$G92)&gt;$C92,0,($B92-$G92)/($H92+$I92+(M$2+体力消耗运算!$V92)*M$3))</f>
        <v>22.518821325975978</v>
      </c>
      <c r="N92" s="122">
        <f>SUM(M$4:M92)</f>
        <v>413.71702215195251</v>
      </c>
      <c r="O92" s="122">
        <f>IF(SUM($G$4:$G92)&gt;$C92,0,($B92-$G92)/($H92+$I92+(O$2+体力消耗运算!$V92)*O$3))</f>
        <v>17.964202839974625</v>
      </c>
      <c r="P92" s="122">
        <f>SUM(O$4:O92)</f>
        <v>329.85579360525247</v>
      </c>
      <c r="Q92" s="122">
        <f>IF(SUM($G$4:$G92)&gt;$C92,0,($B92-$G92)/($H92+$I92+(Q$2+体力消耗运算!$V92)*Q$3))</f>
        <v>13.78270357799841</v>
      </c>
      <c r="R92" s="122">
        <f>SUM(Q$4:Q92)</f>
        <v>252.94756627499586</v>
      </c>
      <c r="S92" s="122">
        <f>IF(SUM($G$4:$G92)&gt;$C92,0,($B92-$G92)/($H92+$I92+(S$2+体力消耗运算!$V92)*S$3))</f>
        <v>9.9302781722740434</v>
      </c>
      <c r="T92" s="122">
        <f>SUM(S$4:S92)</f>
        <v>182.16130726661441</v>
      </c>
    </row>
    <row r="93" spans="1:20">
      <c r="A93">
        <v>90</v>
      </c>
      <c r="B93" s="119">
        <f>'1、经济推算'!U92</f>
        <v>444356</v>
      </c>
      <c r="C93" s="119">
        <f t="shared" si="10"/>
        <v>8816093</v>
      </c>
      <c r="D93" s="117">
        <f>'1、经济推算'!S92</f>
        <v>44.083012707410262</v>
      </c>
      <c r="E93" s="117">
        <f t="shared" si="11"/>
        <v>874.61686918112434</v>
      </c>
      <c r="G93">
        <f t="shared" si="7"/>
        <v>0</v>
      </c>
      <c r="H93">
        <f>$H$2*$H$3+体力消耗运算!V93*$H$3</f>
        <v>9480</v>
      </c>
      <c r="I93" s="121">
        <f t="shared" si="8"/>
        <v>6812.0299596774194</v>
      </c>
      <c r="J93" s="121">
        <f t="shared" si="9"/>
        <v>21092.02995967742</v>
      </c>
      <c r="K93" s="133">
        <f>IF(SUM($G$4:G93)&gt;C93,0,($B93-$G93)/($J93+体力消耗运算!$V93*$K$3))</f>
        <v>20.791473755107301</v>
      </c>
      <c r="L93" s="133">
        <f>SUM(K$4:K93)</f>
        <v>387.84869420098266</v>
      </c>
      <c r="M93" s="122">
        <f>IF(SUM($G$4:$G93)&gt;$C93,0,($B93-$G93)/($H93+$I93+(M$2+体力消耗运算!$V93)*M$3))</f>
        <v>23.421637059630456</v>
      </c>
      <c r="N93" s="122">
        <f>SUM(M$4:M93)</f>
        <v>437.13865921158299</v>
      </c>
      <c r="O93" s="122">
        <f>IF(SUM($G$4:$G93)&gt;$C93,0,($B93-$G93)/($H93+$I93+(O$2+体力消耗运算!$V93)*O$3))</f>
        <v>18.692387682235186</v>
      </c>
      <c r="P93" s="122">
        <f>SUM(O$4:O93)</f>
        <v>348.54818128748764</v>
      </c>
      <c r="Q93" s="122">
        <f>IF(SUM($G$4:$G93)&gt;$C93,0,($B93-$G93)/($H93+$I93+(Q$2+体力消耗运算!$V93)*Q$3))</f>
        <v>14.347009239578691</v>
      </c>
      <c r="R93" s="122">
        <f>SUM(Q$4:Q93)</f>
        <v>267.29457551457455</v>
      </c>
      <c r="S93" s="122">
        <f>IF(SUM($G$4:$G93)&gt;$C93,0,($B93-$G93)/($H93+$I93+(S$2+体力消耗运算!$V93)*S$3))</f>
        <v>10.340586665720915</v>
      </c>
      <c r="T93" s="122">
        <f>SUM(S$4:S93)</f>
        <v>192.50189393233532</v>
      </c>
    </row>
    <row r="94" spans="1:20">
      <c r="A94">
        <v>91</v>
      </c>
      <c r="B94" s="119">
        <f>'1、经济推算'!U93</f>
        <v>462949</v>
      </c>
      <c r="C94" s="119">
        <f t="shared" si="10"/>
        <v>9279042</v>
      </c>
      <c r="D94" s="117">
        <f>'1、经济推算'!S93</f>
        <v>45.927490529227768</v>
      </c>
      <c r="E94" s="117">
        <f t="shared" si="11"/>
        <v>920.54435971035207</v>
      </c>
      <c r="G94">
        <f t="shared" si="7"/>
        <v>0</v>
      </c>
      <c r="H94">
        <f>$H$2*$H$3+体力消耗运算!V94*$H$3</f>
        <v>9480</v>
      </c>
      <c r="I94" s="121">
        <f t="shared" si="8"/>
        <v>6812.0299596774194</v>
      </c>
      <c r="J94" s="121">
        <f t="shared" si="9"/>
        <v>21092.02995967742</v>
      </c>
      <c r="K94" s="133">
        <f>IF(SUM($G$4:G94)&gt;C94,0,($B94-$G94)/($J94+体力消耗运算!$V94*$K$3))</f>
        <v>21.661442589845009</v>
      </c>
      <c r="L94" s="133">
        <f>SUM(K$4:K94)</f>
        <v>409.51013679082769</v>
      </c>
      <c r="M94" s="122">
        <f>IF(SUM($G$4:$G94)&gt;$C94,0,($B94-$G94)/($H94+$I94+(M$2+体力消耗运算!$V94)*M$3))</f>
        <v>24.401658704099553</v>
      </c>
      <c r="N94" s="122">
        <f>SUM(M$4:M94)</f>
        <v>461.54031791568252</v>
      </c>
      <c r="O94" s="122">
        <f>IF(SUM($G$4:$G94)&gt;$C94,0,($B94-$G94)/($H94+$I94+(O$2+体力消耗运算!$V94)*O$3))</f>
        <v>19.474525347026027</v>
      </c>
      <c r="P94" s="122">
        <f>SUM(O$4:O94)</f>
        <v>368.02270663451367</v>
      </c>
      <c r="Q94" s="122">
        <f>IF(SUM($G$4:$G94)&gt;$C94,0,($B94-$G94)/($H94+$I94+(Q$2+体力消耗运算!$V94)*Q$3))</f>
        <v>14.947325073710529</v>
      </c>
      <c r="R94" s="122">
        <f>SUM(Q$4:Q94)</f>
        <v>282.24190058828509</v>
      </c>
      <c r="S94" s="122">
        <f>IF(SUM($G$4:$G94)&gt;$C94,0,($B94-$G94)/($H94+$I94+(S$2+体力消耗运算!$V94)*S$3))</f>
        <v>10.77326345612264</v>
      </c>
      <c r="T94" s="122">
        <f>SUM(S$4:S94)</f>
        <v>203.27515738845796</v>
      </c>
    </row>
    <row r="95" spans="1:20">
      <c r="A95">
        <v>92</v>
      </c>
      <c r="B95" s="119">
        <f>'1、经济推算'!U94</f>
        <v>482115</v>
      </c>
      <c r="C95" s="119">
        <f t="shared" si="10"/>
        <v>9761157</v>
      </c>
      <c r="D95" s="117">
        <f>'1、经济推算'!S94</f>
        <v>47.828923716063407</v>
      </c>
      <c r="E95" s="117">
        <f t="shared" si="11"/>
        <v>968.37328342641547</v>
      </c>
      <c r="G95">
        <f t="shared" si="7"/>
        <v>0</v>
      </c>
      <c r="H95">
        <f>$H$2*$H$3+体力消耗运算!V95*$H$3</f>
        <v>9480</v>
      </c>
      <c r="I95" s="121">
        <f t="shared" si="8"/>
        <v>6812.0299596774194</v>
      </c>
      <c r="J95" s="121">
        <f t="shared" si="9"/>
        <v>21092.02995967742</v>
      </c>
      <c r="K95" s="133">
        <f>IF(SUM($G$4:G95)&gt;C95,0,($B95-$G95)/($J95+体力消耗运算!$V95*$K$3))</f>
        <v>22.558222167459324</v>
      </c>
      <c r="L95" s="133">
        <f>SUM(K$4:K95)</f>
        <v>432.06835895828704</v>
      </c>
      <c r="M95" s="122">
        <f>IF(SUM($G$4:$G95)&gt;$C95,0,($B95-$G95)/($H95+$I95+(M$2+体力消耗运算!$V95)*M$3))</f>
        <v>25.411882704416591</v>
      </c>
      <c r="N95" s="122">
        <f>SUM(M$4:M95)</f>
        <v>486.95220062009912</v>
      </c>
      <c r="O95" s="122">
        <f>IF(SUM($G$4:$G95)&gt;$C95,0,($B95-$G95)/($H95+$I95+(O$2+体力消耗运算!$V95)*O$3))</f>
        <v>20.280766969323732</v>
      </c>
      <c r="P95" s="122">
        <f>SUM(O$4:O95)</f>
        <v>388.3034736038374</v>
      </c>
      <c r="Q95" s="122">
        <f>IF(SUM($G$4:$G95)&gt;$C95,0,($B95-$G95)/($H95+$I95+(Q$2+体力消耗运算!$V95)*Q$3))</f>
        <v>15.566141471116584</v>
      </c>
      <c r="R95" s="122">
        <f>SUM(Q$4:Q95)</f>
        <v>297.80804205940166</v>
      </c>
      <c r="S95" s="122">
        <f>IF(SUM($G$4:$G95)&gt;$C95,0,($B95-$G95)/($H95+$I95+(S$2+体力消耗运算!$V95)*S$3))</f>
        <v>11.219274501399866</v>
      </c>
      <c r="T95" s="122">
        <f>SUM(S$4:S95)</f>
        <v>214.49443188985782</v>
      </c>
    </row>
    <row r="96" spans="1:20">
      <c r="A96">
        <v>93</v>
      </c>
      <c r="B96" s="119">
        <f>'1、经济推算'!U95</f>
        <v>501867</v>
      </c>
      <c r="C96" s="119">
        <f t="shared" si="10"/>
        <v>10263024</v>
      </c>
      <c r="D96" s="117">
        <f>'1、经济推算'!S95</f>
        <v>49.788464568791966</v>
      </c>
      <c r="E96" s="117">
        <f t="shared" si="11"/>
        <v>1018.1617479952074</v>
      </c>
      <c r="G96">
        <f t="shared" si="7"/>
        <v>0</v>
      </c>
      <c r="H96">
        <f>$H$2*$H$3+体力消耗运算!V96*$H$3</f>
        <v>9480</v>
      </c>
      <c r="I96" s="121">
        <f t="shared" si="8"/>
        <v>6812.0299596774194</v>
      </c>
      <c r="J96" s="121">
        <f t="shared" si="9"/>
        <v>21092.02995967742</v>
      </c>
      <c r="K96" s="133">
        <f>IF(SUM($G$4:G96)&gt;C96,0,($B96-$G96)/($J96+体力消耗运算!$V96*$K$3))</f>
        <v>23.482420759603642</v>
      </c>
      <c r="L96" s="133">
        <f>SUM(K$4:K96)</f>
        <v>455.55077971789069</v>
      </c>
      <c r="M96" s="122">
        <f>IF(SUM($G$4:$G96)&gt;$C96,0,($B96-$G96)/($H96+$I96+(M$2+体力消耗运算!$V96)*M$3))</f>
        <v>26.452994279824193</v>
      </c>
      <c r="N96" s="122">
        <f>SUM(M$4:M96)</f>
        <v>513.40519489992334</v>
      </c>
      <c r="O96" s="122">
        <f>IF(SUM($G$4:$G96)&gt;$C96,0,($B96-$G96)/($H96+$I96+(O$2+体力消耗运算!$V96)*O$3))</f>
        <v>21.111659410293381</v>
      </c>
      <c r="P96" s="122">
        <f>SUM(O$4:O96)</f>
        <v>409.41513301413079</v>
      </c>
      <c r="Q96" s="122">
        <f>IF(SUM($G$4:$G96)&gt;$C96,0,($B96-$G96)/($H96+$I96+(Q$2+体力消耗运算!$V96)*Q$3))</f>
        <v>16.20387816534409</v>
      </c>
      <c r="R96" s="122">
        <f>SUM(Q$4:Q96)</f>
        <v>314.01192022474572</v>
      </c>
      <c r="S96" s="122">
        <f>IF(SUM($G$4:$G96)&gt;$C96,0,($B96-$G96)/($H96+$I96+(S$2+体力消耗运算!$V96)*S$3))</f>
        <v>11.678922323914515</v>
      </c>
      <c r="T96" s="122">
        <f>SUM(S$4:S96)</f>
        <v>226.17335421377234</v>
      </c>
    </row>
    <row r="97" spans="1:20">
      <c r="A97">
        <v>94</v>
      </c>
      <c r="B97" s="119">
        <f>'1、经济推算'!U96</f>
        <v>522217</v>
      </c>
      <c r="C97" s="119">
        <f t="shared" si="10"/>
        <v>10785241</v>
      </c>
      <c r="D97" s="117">
        <f>'1、经济推算'!S96</f>
        <v>51.807276832380033</v>
      </c>
      <c r="E97" s="117">
        <f t="shared" si="11"/>
        <v>1069.9690248275874</v>
      </c>
      <c r="G97">
        <f t="shared" si="7"/>
        <v>0</v>
      </c>
      <c r="H97">
        <f>$H$2*$H$3+体力消耗运算!V97*$H$3</f>
        <v>9480</v>
      </c>
      <c r="I97" s="121">
        <f t="shared" si="8"/>
        <v>6812.0299596774194</v>
      </c>
      <c r="J97" s="121">
        <f t="shared" si="9"/>
        <v>21092.02995967742</v>
      </c>
      <c r="K97" s="133">
        <f>IF(SUM($G$4:G97)&gt;C97,0,($B97-$G97)/($J97+体力消耗运算!$V97*$K$3))</f>
        <v>24.434599847804169</v>
      </c>
      <c r="L97" s="133">
        <f>SUM(K$4:K97)</f>
        <v>479.98537956569487</v>
      </c>
      <c r="M97" s="122">
        <f>IF(SUM($G$4:$G97)&gt;$C97,0,($B97-$G97)/($H97+$I97+(M$2+体力消耗运算!$V97)*M$3))</f>
        <v>27.525625940392477</v>
      </c>
      <c r="N97" s="122">
        <f>SUM(M$4:M97)</f>
        <v>540.93082084031585</v>
      </c>
      <c r="O97" s="122">
        <f>IF(SUM($G$4:$G97)&gt;$C97,0,($B97-$G97)/($H97+$I97+(O$2+体力消耗运算!$V97)*O$3))</f>
        <v>21.967707464856584</v>
      </c>
      <c r="P97" s="122">
        <f>SUM(O$4:O97)</f>
        <v>431.38284047898736</v>
      </c>
      <c r="Q97" s="122">
        <f>IF(SUM($G$4:$G97)&gt;$C97,0,($B97-$G97)/($H97+$I97+(Q$2+体力消耗运算!$V97)*Q$3))</f>
        <v>16.860922602744342</v>
      </c>
      <c r="R97" s="122">
        <f>SUM(Q$4:Q97)</f>
        <v>330.87284282749005</v>
      </c>
      <c r="S97" s="122">
        <f>IF(SUM($G$4:$G97)&gt;$C97,0,($B97-$G97)/($H97+$I97+(S$2+体力消耗运算!$V97)*S$3))</f>
        <v>12.152486175077593</v>
      </c>
      <c r="T97" s="122">
        <f>SUM(S$4:S97)</f>
        <v>238.32584038884994</v>
      </c>
    </row>
    <row r="98" spans="1:20">
      <c r="A98">
        <v>95</v>
      </c>
      <c r="B98" s="119">
        <f>'1、经济推算'!U97</f>
        <v>543176</v>
      </c>
      <c r="C98" s="119">
        <f t="shared" si="10"/>
        <v>11328417</v>
      </c>
      <c r="D98" s="117">
        <f>'1、经济推算'!S97</f>
        <v>53.886535695885975</v>
      </c>
      <c r="E98" s="117">
        <f t="shared" si="11"/>
        <v>1123.8555605234733</v>
      </c>
      <c r="G98">
        <f t="shared" si="7"/>
        <v>0</v>
      </c>
      <c r="H98">
        <f>$H$2*$H$3+体力消耗运算!V98*$H$3</f>
        <v>9480</v>
      </c>
      <c r="I98" s="121">
        <f t="shared" si="8"/>
        <v>6812.0299596774194</v>
      </c>
      <c r="J98" s="121">
        <f t="shared" si="9"/>
        <v>21092.02995967742</v>
      </c>
      <c r="K98" s="133">
        <f>IF(SUM($G$4:G98)&gt;C98,0,($B98-$G98)/($J98+体力消耗运算!$V98*$K$3))</f>
        <v>25.415274123459934</v>
      </c>
      <c r="L98" s="133">
        <f>SUM(K$4:K98)</f>
        <v>505.40065368915481</v>
      </c>
      <c r="M98" s="122">
        <f>IF(SUM($G$4:$G98)&gt;$C98,0,($B98-$G98)/($H98+$I98+(M$2+体力消耗运算!$V98)*M$3))</f>
        <v>28.63035748701904</v>
      </c>
      <c r="N98" s="122">
        <f>SUM(M$4:M98)</f>
        <v>569.56117832733491</v>
      </c>
      <c r="O98" s="122">
        <f>IF(SUM($G$4:$G98)&gt;$C98,0,($B98-$G98)/($H98+$I98+(O$2+体力消耗运算!$V98)*O$3))</f>
        <v>22.849373861691479</v>
      </c>
      <c r="P98" s="122">
        <f>SUM(O$4:O98)</f>
        <v>454.23221434067887</v>
      </c>
      <c r="Q98" s="122">
        <f>IF(SUM($G$4:$G98)&gt;$C98,0,($B98-$G98)/($H98+$I98+(Q$2+体力消耗运算!$V98)*Q$3))</f>
        <v>17.537629942472691</v>
      </c>
      <c r="R98" s="122">
        <f>SUM(Q$4:Q98)</f>
        <v>348.41047276996272</v>
      </c>
      <c r="S98" s="122">
        <f>IF(SUM($G$4:$G98)&gt;$C98,0,($B98-$G98)/($H98+$I98+(S$2+体力消耗运算!$V98)*S$3))</f>
        <v>12.640222035349188</v>
      </c>
      <c r="T98" s="122">
        <f>SUM(S$4:S98)</f>
        <v>250.96606242419912</v>
      </c>
    </row>
    <row r="99" spans="1:20">
      <c r="A99">
        <v>96</v>
      </c>
      <c r="B99" s="119">
        <f>'1、经济推算'!U98</f>
        <v>564756</v>
      </c>
      <c r="C99" s="119">
        <f t="shared" si="10"/>
        <v>11893173</v>
      </c>
      <c r="D99" s="117">
        <f>'1、经济推算'!S98</f>
        <v>56.027427792459982</v>
      </c>
      <c r="E99" s="117">
        <f t="shared" si="11"/>
        <v>1179.8829883159333</v>
      </c>
      <c r="G99">
        <f t="shared" si="7"/>
        <v>0</v>
      </c>
      <c r="H99">
        <f>$H$2*$H$3+体力消耗运算!V99*$H$3</f>
        <v>9480</v>
      </c>
      <c r="I99" s="121">
        <f t="shared" si="8"/>
        <v>6812.0299596774194</v>
      </c>
      <c r="J99" s="121">
        <f t="shared" si="9"/>
        <v>21092.02995967742</v>
      </c>
      <c r="K99" s="133">
        <f>IF(SUM($G$4:G99)&gt;C99,0,($B99-$G99)/($J99+体力消耗运算!$V99*$K$3))</f>
        <v>26.425005068097153</v>
      </c>
      <c r="L99" s="133">
        <f>SUM(K$4:K99)</f>
        <v>531.82565875725197</v>
      </c>
      <c r="M99" s="122">
        <f>IF(SUM($G$4:$G99)&gt;$C99,0,($B99-$G99)/($H99+$I99+(M$2+体力消耗运算!$V99)*M$3))</f>
        <v>29.767821429774006</v>
      </c>
      <c r="N99" s="122">
        <f>SUM(M$4:M99)</f>
        <v>599.32899975710893</v>
      </c>
      <c r="O99" s="122">
        <f>IF(SUM($G$4:$G99)&gt;$C99,0,($B99-$G99)/($H99+$I99+(O$2+体力消耗运算!$V99)*O$3))</f>
        <v>23.757163395719679</v>
      </c>
      <c r="P99" s="122">
        <f>SUM(O$4:O99)</f>
        <v>477.98937773639852</v>
      </c>
      <c r="Q99" s="122">
        <f>IF(SUM($G$4:$G99)&gt;$C99,0,($B99-$G99)/($H99+$I99+(Q$2+体力消耗运算!$V99)*Q$3))</f>
        <v>18.234387630880427</v>
      </c>
      <c r="R99" s="122">
        <f>SUM(Q$4:Q99)</f>
        <v>366.64486040084313</v>
      </c>
      <c r="S99" s="122">
        <f>IF(SUM($G$4:$G99)&gt;$C99,0,($B99-$G99)/($H99+$I99+(S$2+体力消耗运算!$V99)*S$3))</f>
        <v>13.142409156140305</v>
      </c>
      <c r="T99" s="122">
        <f>SUM(S$4:S99)</f>
        <v>264.10847158033943</v>
      </c>
    </row>
    <row r="100" spans="1:20">
      <c r="A100">
        <v>97</v>
      </c>
      <c r="B100" s="119">
        <f>'1、经济推算'!U99</f>
        <v>586970</v>
      </c>
      <c r="C100" s="119">
        <f t="shared" si="10"/>
        <v>12480143</v>
      </c>
      <c r="D100" s="117">
        <f>'1、经济推算'!S99</f>
        <v>58.231151199344012</v>
      </c>
      <c r="E100" s="117">
        <f t="shared" si="11"/>
        <v>1238.1141395152772</v>
      </c>
      <c r="G100">
        <f t="shared" si="7"/>
        <v>0</v>
      </c>
      <c r="H100">
        <f>$H$2*$H$3+体力消耗运算!V100*$H$3</f>
        <v>9480</v>
      </c>
      <c r="I100" s="121">
        <f t="shared" si="8"/>
        <v>6812.0299596774194</v>
      </c>
      <c r="J100" s="121">
        <f t="shared" si="9"/>
        <v>21092.02995967742</v>
      </c>
      <c r="K100" s="133">
        <f>IF(SUM($G$4:G100)&gt;C100,0,($B100-$G100)/($J100+体力消耗运算!$V100*$K$3))</f>
        <v>27.464400953369218</v>
      </c>
      <c r="L100" s="133">
        <f>SUM(K$4:K100)</f>
        <v>559.29005971062122</v>
      </c>
      <c r="M100" s="122">
        <f>IF(SUM($G$4:$G100)&gt;$C100,0,($B100-$G100)/($H100+$I100+(M$2+体力消耗运算!$V100)*M$3))</f>
        <v>30.938702987899994</v>
      </c>
      <c r="N100" s="122">
        <f>SUM(M$4:M100)</f>
        <v>630.26770274500893</v>
      </c>
      <c r="O100" s="122">
        <f>IF(SUM($G$4:$G100)&gt;$C100,0,($B100-$G100)/($H100+$I100+(O$2+体力消耗运算!$V100)*O$3))</f>
        <v>24.691622928106263</v>
      </c>
      <c r="P100" s="122">
        <f>SUM(O$4:O100)</f>
        <v>502.68100066450478</v>
      </c>
      <c r="Q100" s="122">
        <f>IF(SUM($G$4:$G100)&gt;$C100,0,($B100-$G100)/($H100+$I100+(Q$2+体力消耗运算!$V100)*Q$3))</f>
        <v>18.951615401514786</v>
      </c>
      <c r="R100" s="122">
        <f>SUM(Q$4:Q100)</f>
        <v>385.59647580235793</v>
      </c>
      <c r="S100" s="122">
        <f>IF(SUM($G$4:$G100)&gt;$C100,0,($B100-$G100)/($H100+$I100+(S$2+体力消耗运算!$V100)*S$3))</f>
        <v>13.659350059812866</v>
      </c>
      <c r="T100" s="122">
        <f>SUM(S$4:S100)</f>
        <v>277.76782164015231</v>
      </c>
    </row>
    <row r="101" spans="1:20">
      <c r="A101">
        <v>98</v>
      </c>
      <c r="B101" s="119">
        <f>'1、经济推算'!U100</f>
        <v>609829</v>
      </c>
      <c r="C101" s="119">
        <f t="shared" si="10"/>
        <v>13089972</v>
      </c>
      <c r="D101" s="117">
        <f>'1、经济推算'!S100</f>
        <v>60.498915437871858</v>
      </c>
      <c r="E101" s="117">
        <f t="shared" si="11"/>
        <v>1298.613054953149</v>
      </c>
      <c r="G101">
        <f t="shared" si="7"/>
        <v>0</v>
      </c>
      <c r="H101">
        <f>$H$2*$H$3+体力消耗运算!V101*$H$3</f>
        <v>9480</v>
      </c>
      <c r="I101" s="121">
        <f t="shared" si="8"/>
        <v>6812.0299596774194</v>
      </c>
      <c r="J101" s="121">
        <f t="shared" si="9"/>
        <v>21092.02995967742</v>
      </c>
      <c r="K101" s="133">
        <f>IF(SUM($G$4:G101)&gt;C101,0,($B101-$G101)/($J101+体力消耗运算!$V101*$K$3))</f>
        <v>28.533976470675157</v>
      </c>
      <c r="L101" s="133">
        <f>SUM(K$4:K101)</f>
        <v>587.82403618129638</v>
      </c>
      <c r="M101" s="122">
        <f>IF(SUM($G$4:$G101)&gt;$C101,0,($B101-$G101)/($H101+$I101+(M$2+体力消耗运算!$V101)*M$3))</f>
        <v>32.143581962294604</v>
      </c>
      <c r="N101" s="122">
        <f>SUM(M$4:M101)</f>
        <v>662.41128470730359</v>
      </c>
      <c r="O101" s="122">
        <f>IF(SUM($G$4:$G101)&gt;$C101,0,($B101-$G101)/($H101+$I101+(O$2+体力消耗运算!$V101)*O$3))</f>
        <v>25.653215187529369</v>
      </c>
      <c r="P101" s="122">
        <f>SUM(O$4:O101)</f>
        <v>528.33421585203416</v>
      </c>
      <c r="Q101" s="122">
        <f>IF(SUM($G$4:$G101)&gt;$C101,0,($B101-$G101)/($H101+$I101+(Q$2+体力消耗运算!$V101)*Q$3))</f>
        <v>19.68966841353112</v>
      </c>
      <c r="R101" s="122">
        <f>SUM(Q$4:Q101)</f>
        <v>405.28614421588907</v>
      </c>
      <c r="S101" s="122">
        <f>IF(SUM($G$4:$G101)&gt;$C101,0,($B101-$G101)/($H101+$I101+(S$2+体力消耗运算!$V101)*S$3))</f>
        <v>14.191300726826958</v>
      </c>
      <c r="T101" s="122">
        <f>SUM(S$4:S101)</f>
        <v>291.95912236697927</v>
      </c>
    </row>
    <row r="102" spans="1:20">
      <c r="A102">
        <v>99</v>
      </c>
      <c r="B102" s="119">
        <f>'1、经济推算'!U101</f>
        <v>633345</v>
      </c>
      <c r="C102" s="119">
        <f t="shared" si="10"/>
        <v>13723317</v>
      </c>
      <c r="D102" s="117">
        <f>'1、经济推算'!S101</f>
        <v>62.831941473469065</v>
      </c>
      <c r="E102" s="117">
        <f t="shared" si="11"/>
        <v>1361.444996426618</v>
      </c>
      <c r="G102">
        <f t="shared" si="7"/>
        <v>0</v>
      </c>
      <c r="H102">
        <f>$H$2*$H$3+体力消耗运算!V102*$H$3</f>
        <v>9480</v>
      </c>
      <c r="I102" s="121">
        <f t="shared" si="8"/>
        <v>6812.0299596774194</v>
      </c>
      <c r="J102" s="121">
        <f t="shared" si="9"/>
        <v>21092.02995967742</v>
      </c>
      <c r="K102" s="133">
        <f>IF(SUM($G$4:G102)&gt;C102,0,($B102-$G102)/($J102+体力消耗运算!$V102*$K$3))</f>
        <v>29.634293101541179</v>
      </c>
      <c r="L102" s="133">
        <f>SUM(K$4:K102)</f>
        <v>617.45832928283755</v>
      </c>
      <c r="M102" s="122">
        <f>IF(SUM($G$4:$G102)&gt;$C102,0,($B102-$G102)/($H102+$I102+(M$2+体力消耗运算!$V102)*M$3))</f>
        <v>33.383090863027959</v>
      </c>
      <c r="N102" s="122">
        <f>SUM(M$4:M102)</f>
        <v>695.79437557033157</v>
      </c>
      <c r="O102" s="122">
        <f>IF(SUM($G$4:$G102)&gt;$C102,0,($B102-$G102)/($H102+$I102+(O$2+体力消耗运算!$V102)*O$3))</f>
        <v>26.64244496891061</v>
      </c>
      <c r="P102" s="122">
        <f>SUM(O$4:O102)</f>
        <v>554.97666082094474</v>
      </c>
      <c r="Q102" s="122">
        <f>IF(SUM($G$4:$G102)&gt;$C102,0,($B102-$G102)/($H102+$I102+(Q$2+体力消耗运算!$V102)*Q$3))</f>
        <v>20.448934113280718</v>
      </c>
      <c r="R102" s="122">
        <f>SUM(Q$4:Q102)</f>
        <v>425.73507832916977</v>
      </c>
      <c r="S102" s="122">
        <f>IF(SUM($G$4:$G102)&gt;$C102,0,($B102-$G102)/($H102+$I102+(S$2+体力消耗运算!$V102)*S$3))</f>
        <v>14.73854040859359</v>
      </c>
      <c r="T102" s="122">
        <f>SUM(S$4:S102)</f>
        <v>306.69766277557284</v>
      </c>
    </row>
    <row r="103" spans="1:20">
      <c r="A103">
        <v>100</v>
      </c>
      <c r="B103" s="119">
        <f>'1、经济推算'!U102</f>
        <v>657533</v>
      </c>
      <c r="C103" s="119">
        <f t="shared" si="10"/>
        <v>14380850</v>
      </c>
      <c r="D103" s="117">
        <f>'1、经济推算'!S102</f>
        <v>65.231461715653012</v>
      </c>
      <c r="E103" s="117">
        <f t="shared" si="11"/>
        <v>1426.676458142271</v>
      </c>
      <c r="G103">
        <f t="shared" si="7"/>
        <v>0</v>
      </c>
      <c r="H103">
        <f>$H$2*$H$3+体力消耗运算!V103*$H$3</f>
        <v>9500</v>
      </c>
      <c r="I103" s="121">
        <f t="shared" si="8"/>
        <v>6812.0299596774194</v>
      </c>
      <c r="J103" s="121">
        <f t="shared" si="9"/>
        <v>21112.02995967742</v>
      </c>
      <c r="K103" s="133">
        <f>IF(SUM($G$4:G103)&gt;C103,0,($B103-$G103)/($J103+体力消耗运算!$V103*$K$3))</f>
        <v>30.708578366378578</v>
      </c>
      <c r="L103" s="133">
        <f>SUM(K$4:K103)</f>
        <v>648.16690764921611</v>
      </c>
      <c r="M103" s="122">
        <f>IF(SUM($G$4:$G103)&gt;$C103,0,($B103-$G103)/($H103+$I103+(M$2+体力消耗运算!$V103)*M$3))</f>
        <v>34.585102242872566</v>
      </c>
      <c r="N103" s="122">
        <f>SUM(M$4:M103)</f>
        <v>730.37947781320418</v>
      </c>
      <c r="O103" s="122">
        <f>IF(SUM($G$4:$G103)&gt;$C103,0,($B103-$G103)/($H103+$I103+(O$2+体力消耗运算!$V103)*O$3))</f>
        <v>27.613479451917655</v>
      </c>
      <c r="P103" s="122">
        <f>SUM(O$4:O103)</f>
        <v>582.59014027286241</v>
      </c>
      <c r="Q103" s="122">
        <f>IF(SUM($G$4:$G103)&gt;$C103,0,($B103-$G103)/($H103+$I103+(Q$2+体力消耗运算!$V103)*Q$3))</f>
        <v>21.202514019718802</v>
      </c>
      <c r="R103" s="122">
        <f>SUM(Q$4:Q103)</f>
        <v>446.93759234888859</v>
      </c>
      <c r="S103" s="122">
        <f>IF(SUM($G$4:$G103)&gt;$C103,0,($B103-$G103)/($H103+$I103+(S$2+体力消耗运算!$V103)*S$3))</f>
        <v>15.287188273058</v>
      </c>
      <c r="T103" s="122">
        <f>SUM(S$4:S103)</f>
        <v>321.98485104863084</v>
      </c>
    </row>
    <row r="210" spans="1:3" ht="27">
      <c r="A210" s="115" t="s">
        <v>1188</v>
      </c>
      <c r="B210" s="115" t="s">
        <v>1189</v>
      </c>
      <c r="C210" s="115" t="s">
        <v>1190</v>
      </c>
    </row>
    <row r="211" spans="1:3">
      <c r="A211" s="115">
        <f>[3]任务经验掉落配置表!$C4</f>
        <v>1001</v>
      </c>
      <c r="B211" s="115">
        <f>[3]任务经验掉落配置表!$N4</f>
        <v>1</v>
      </c>
      <c r="C211" s="115">
        <f>[3]任务经验掉落配置表!$T4</f>
        <v>120</v>
      </c>
    </row>
    <row r="212" spans="1:3">
      <c r="A212" s="115">
        <f>[3]任务经验掉落配置表!$C5</f>
        <v>1002</v>
      </c>
      <c r="B212" s="115">
        <f>[3]任务经验掉落配置表!$N5</f>
        <v>1</v>
      </c>
      <c r="C212" s="115">
        <f>[3]任务经验掉落配置表!$T5</f>
        <v>128</v>
      </c>
    </row>
    <row r="213" spans="1:3">
      <c r="A213" s="115">
        <f>[3]任务经验掉落配置表!$C6</f>
        <v>1003</v>
      </c>
      <c r="B213" s="115">
        <f>[3]任务经验掉落配置表!$N6</f>
        <v>3</v>
      </c>
      <c r="C213" s="115">
        <f>[3]任务经验掉落配置表!$T6</f>
        <v>136</v>
      </c>
    </row>
    <row r="214" spans="1:3">
      <c r="A214" s="115">
        <f>[3]任务经验掉落配置表!$C7</f>
        <v>1004</v>
      </c>
      <c r="B214" s="115">
        <f>[3]任务经验掉落配置表!$N7</f>
        <v>3</v>
      </c>
      <c r="C214" s="115">
        <f>[3]任务经验掉落配置表!$T7</f>
        <v>122</v>
      </c>
    </row>
    <row r="215" spans="1:3">
      <c r="A215" s="115">
        <f>[3]任务经验掉落配置表!$C8</f>
        <v>1005</v>
      </c>
      <c r="B215" s="115">
        <f>[3]任务经验掉落配置表!$N8</f>
        <v>3</v>
      </c>
      <c r="C215" s="115">
        <f>[3]任务经验掉落配置表!$T8</f>
        <v>153</v>
      </c>
    </row>
    <row r="216" spans="1:3">
      <c r="A216" s="115">
        <f>[3]任务经验掉落配置表!$C9</f>
        <v>1006</v>
      </c>
      <c r="B216" s="115">
        <f>[3]任务经验掉落配置表!$N9</f>
        <v>4</v>
      </c>
      <c r="C216" s="115">
        <f>[3]任务经验掉落配置表!$T9</f>
        <v>142</v>
      </c>
    </row>
    <row r="217" spans="1:3">
      <c r="A217" s="115">
        <f>[3]任务经验掉落配置表!$C10</f>
        <v>1008</v>
      </c>
      <c r="B217" s="115">
        <f>[3]任务经验掉落配置表!$N10</f>
        <v>6</v>
      </c>
      <c r="C217" s="115">
        <f>[3]任务经验掉落配置表!$T10</f>
        <v>174</v>
      </c>
    </row>
    <row r="218" spans="1:3">
      <c r="A218" s="115">
        <f>[3]任务经验掉落配置表!$C11</f>
        <v>1010</v>
      </c>
      <c r="B218" s="115">
        <f>[3]任务经验掉落配置表!$N11</f>
        <v>6</v>
      </c>
      <c r="C218" s="115">
        <f>[3]任务经验掉落配置表!$T11</f>
        <v>202</v>
      </c>
    </row>
    <row r="219" spans="1:3">
      <c r="A219" s="115">
        <f>[3]任务经验掉落配置表!$C12</f>
        <v>1011</v>
      </c>
      <c r="B219" s="115">
        <f>[3]任务经验掉落配置表!$N12</f>
        <v>8</v>
      </c>
      <c r="C219" s="115">
        <f>[3]任务经验掉落配置表!$T12</f>
        <v>239</v>
      </c>
    </row>
    <row r="220" spans="1:3">
      <c r="A220" s="115">
        <f>[3]任务经验掉落配置表!$C13</f>
        <v>1012</v>
      </c>
      <c r="B220" s="115">
        <f>[3]任务经验掉落配置表!$N13</f>
        <v>10</v>
      </c>
      <c r="C220" s="115">
        <f>[3]任务经验掉落配置表!$T13</f>
        <v>284</v>
      </c>
    </row>
    <row r="221" spans="1:3">
      <c r="A221" s="115">
        <f>[3]任务经验掉落配置表!$C14</f>
        <v>1013</v>
      </c>
      <c r="B221" s="115">
        <f>[3]任务经验掉落配置表!$N14</f>
        <v>10</v>
      </c>
      <c r="C221" s="115">
        <f>[3]任务经验掉落配置表!$T14</f>
        <v>339</v>
      </c>
    </row>
    <row r="222" spans="1:3">
      <c r="A222" s="115">
        <f>[3]任务经验掉落配置表!$C15</f>
        <v>1014</v>
      </c>
      <c r="B222" s="115">
        <f>[3]任务经验掉落配置表!$N15</f>
        <v>11</v>
      </c>
      <c r="C222" s="115">
        <f>[3]任务经验掉落配置表!$T15</f>
        <v>407</v>
      </c>
    </row>
    <row r="223" spans="1:3">
      <c r="A223" s="115">
        <f>[3]任务经验掉落配置表!$C16</f>
        <v>1015</v>
      </c>
      <c r="B223" s="115">
        <f>[3]任务经验掉落配置表!$N16</f>
        <v>12</v>
      </c>
      <c r="C223" s="115">
        <f>[3]任务经验掉落配置表!$T16</f>
        <v>488</v>
      </c>
    </row>
    <row r="224" spans="1:3">
      <c r="A224" s="115">
        <f>[3]任务经验掉落配置表!$C17</f>
        <v>1016</v>
      </c>
      <c r="B224" s="115">
        <f>[3]任务经验掉落配置表!$N17</f>
        <v>12</v>
      </c>
      <c r="C224" s="115">
        <f>[3]任务经验掉落配置表!$T17</f>
        <v>583</v>
      </c>
    </row>
    <row r="225" spans="1:3">
      <c r="A225" s="115">
        <f>[3]任务经验掉落配置表!$C18</f>
        <v>1017</v>
      </c>
      <c r="B225" s="115">
        <f>[3]任务经验掉落配置表!$N18</f>
        <v>13</v>
      </c>
      <c r="C225" s="115">
        <f>[3]任务经验掉落配置表!$T18</f>
        <v>824</v>
      </c>
    </row>
    <row r="226" spans="1:3">
      <c r="A226" s="115">
        <f>[3]任务经验掉落配置表!$C19</f>
        <v>1018</v>
      </c>
      <c r="B226" s="115">
        <f>[3]任务经验掉落配置表!$N19</f>
        <v>13</v>
      </c>
      <c r="C226" s="115">
        <f>[3]任务经验掉落配置表!$T19</f>
        <v>972</v>
      </c>
    </row>
    <row r="227" spans="1:3">
      <c r="A227" s="115">
        <f>[3]任务经验掉落配置表!$C20</f>
        <v>1019</v>
      </c>
      <c r="B227" s="115">
        <f>[3]任务经验掉落配置表!$N20</f>
        <v>15</v>
      </c>
      <c r="C227" s="115">
        <f>[3]任务经验掉落配置表!$T20</f>
        <v>1000</v>
      </c>
    </row>
    <row r="228" spans="1:3">
      <c r="A228" s="115">
        <f>[3]任务经验掉落配置表!$C21</f>
        <v>1020</v>
      </c>
      <c r="B228" s="115">
        <f>[3]任务经验掉落配置表!$N21</f>
        <v>15</v>
      </c>
      <c r="C228" s="115">
        <f>[3]任务经验掉落配置表!$T21</f>
        <v>1000</v>
      </c>
    </row>
    <row r="229" spans="1:3">
      <c r="A229" s="115">
        <f>[3]任务经验掉落配置表!$C22</f>
        <v>1021</v>
      </c>
      <c r="B229" s="115">
        <f>[3]任务经验掉落配置表!$N22</f>
        <v>17</v>
      </c>
      <c r="C229" s="115">
        <f>[3]任务经验掉落配置表!$T22</f>
        <v>1000</v>
      </c>
    </row>
    <row r="230" spans="1:3">
      <c r="A230" s="115">
        <f>[3]任务经验掉落配置表!$C23</f>
        <v>1022</v>
      </c>
      <c r="B230" s="115">
        <f>[3]任务经验掉落配置表!$N23</f>
        <v>19</v>
      </c>
      <c r="C230" s="115">
        <f>[3]任务经验掉落配置表!$T23</f>
        <v>1000</v>
      </c>
    </row>
    <row r="231" spans="1:3">
      <c r="A231" s="115">
        <f>[3]任务经验掉落配置表!$C24</f>
        <v>1023</v>
      </c>
      <c r="B231" s="115">
        <f>[3]任务经验掉落配置表!$N24</f>
        <v>19</v>
      </c>
      <c r="C231" s="115">
        <f>[3]任务经验掉落配置表!$T24</f>
        <v>1000</v>
      </c>
    </row>
    <row r="232" spans="1:3">
      <c r="A232" s="115">
        <f>[3]任务经验掉落配置表!$C25</f>
        <v>1024</v>
      </c>
      <c r="B232" s="115">
        <f>[3]任务经验掉落配置表!$N25</f>
        <v>19</v>
      </c>
      <c r="C232" s="115">
        <f>[3]任务经验掉落配置表!$T25</f>
        <v>1000</v>
      </c>
    </row>
    <row r="233" spans="1:3">
      <c r="A233" s="115">
        <f>[3]任务经验掉落配置表!$C26</f>
        <v>1025</v>
      </c>
      <c r="B233" s="115">
        <f>[3]任务经验掉落配置表!$N26</f>
        <v>20</v>
      </c>
      <c r="C233" s="115">
        <f>[3]任务经验掉落配置表!$T26</f>
        <v>1000</v>
      </c>
    </row>
    <row r="234" spans="1:3">
      <c r="A234" s="115">
        <f>[3]任务经验掉落配置表!$C27</f>
        <v>1026</v>
      </c>
      <c r="B234" s="115">
        <f>[3]任务经验掉落配置表!$N27</f>
        <v>20</v>
      </c>
      <c r="C234" s="115">
        <f>[3]任务经验掉落配置表!$T27</f>
        <v>1000</v>
      </c>
    </row>
    <row r="235" spans="1:3">
      <c r="A235" s="115">
        <f>[3]任务经验掉落配置表!$C28</f>
        <v>1027</v>
      </c>
      <c r="B235" s="115">
        <f>[3]任务经验掉落配置表!$N28</f>
        <v>21</v>
      </c>
      <c r="C235" s="115">
        <f>[3]任务经验掉落配置表!$T28</f>
        <v>1000</v>
      </c>
    </row>
    <row r="236" spans="1:3">
      <c r="A236" s="115">
        <f>[3]任务经验掉落配置表!$C29</f>
        <v>1028</v>
      </c>
      <c r="B236" s="115">
        <f>[3]任务经验掉落配置表!$N29</f>
        <v>21</v>
      </c>
      <c r="C236" s="115">
        <f>[3]任务经验掉落配置表!$T29</f>
        <v>1000</v>
      </c>
    </row>
    <row r="237" spans="1:3">
      <c r="A237" s="115">
        <f>[3]任务经验掉落配置表!$C30</f>
        <v>1029</v>
      </c>
      <c r="B237" s="115">
        <f>[3]任务经验掉落配置表!$N30</f>
        <v>22</v>
      </c>
      <c r="C237" s="115">
        <f>[3]任务经验掉落配置表!$T30</f>
        <v>1050</v>
      </c>
    </row>
    <row r="238" spans="1:3">
      <c r="A238" s="115">
        <f>[3]任务经验掉落配置表!$C31</f>
        <v>1030</v>
      </c>
      <c r="B238" s="115">
        <f>[3]任务经验掉落配置表!$N31</f>
        <v>24</v>
      </c>
      <c r="C238" s="115">
        <f>[3]任务经验掉落配置表!$T31</f>
        <v>1050</v>
      </c>
    </row>
    <row r="239" spans="1:3">
      <c r="A239" s="115">
        <f>[3]任务经验掉落配置表!$C32</f>
        <v>1031</v>
      </c>
      <c r="B239" s="115">
        <f>[3]任务经验掉落配置表!$N32</f>
        <v>24</v>
      </c>
      <c r="C239" s="115">
        <f>[3]任务经验掉落配置表!$T32</f>
        <v>1050</v>
      </c>
    </row>
    <row r="240" spans="1:3">
      <c r="A240" s="115">
        <f>[3]任务经验掉落配置表!$C33</f>
        <v>1032</v>
      </c>
      <c r="B240" s="115">
        <f>[3]任务经验掉落配置表!$N33</f>
        <v>26</v>
      </c>
      <c r="C240" s="115">
        <f>[3]任务经验掉落配置表!$T33</f>
        <v>1050</v>
      </c>
    </row>
    <row r="241" spans="1:3">
      <c r="A241" s="115">
        <f>[3]任务经验掉落配置表!$C34</f>
        <v>1033</v>
      </c>
      <c r="B241" s="115">
        <f>[3]任务经验掉落配置表!$N34</f>
        <v>28</v>
      </c>
      <c r="C241" s="115">
        <f>[3]任务经验掉落配置表!$T34</f>
        <v>1050</v>
      </c>
    </row>
    <row r="242" spans="1:3">
      <c r="A242" s="115">
        <f>[3]任务经验掉落配置表!$C35</f>
        <v>1034</v>
      </c>
      <c r="B242" s="115">
        <f>[3]任务经验掉落配置表!$N35</f>
        <v>28</v>
      </c>
      <c r="C242" s="115">
        <f>[3]任务经验掉落配置表!$T35</f>
        <v>1050</v>
      </c>
    </row>
    <row r="243" spans="1:3">
      <c r="A243" s="115">
        <f>[3]任务经验掉落配置表!$C36</f>
        <v>1035</v>
      </c>
      <c r="B243" s="115">
        <f>[3]任务经验掉落配置表!$N36</f>
        <v>28</v>
      </c>
      <c r="C243" s="115">
        <f>[3]任务经验掉落配置表!$T36</f>
        <v>1050</v>
      </c>
    </row>
    <row r="244" spans="1:3">
      <c r="A244" s="115">
        <f>[3]任务经验掉落配置表!$C37</f>
        <v>1036</v>
      </c>
      <c r="B244" s="115">
        <f>[3]任务经验掉落配置表!$N37</f>
        <v>29</v>
      </c>
      <c r="C244" s="115">
        <f>[3]任务经验掉落配置表!$T37</f>
        <v>1050</v>
      </c>
    </row>
    <row r="245" spans="1:3">
      <c r="A245" s="115">
        <f>[3]任务经验掉落配置表!$C38</f>
        <v>1037</v>
      </c>
      <c r="B245" s="115">
        <f>[3]任务经验掉落配置表!$N38</f>
        <v>29</v>
      </c>
      <c r="C245" s="115">
        <f>[3]任务经验掉落配置表!$T38</f>
        <v>1050</v>
      </c>
    </row>
    <row r="246" spans="1:3">
      <c r="A246" s="115">
        <f>[3]任务经验掉落配置表!$C39</f>
        <v>1038</v>
      </c>
      <c r="B246" s="115">
        <f>[3]任务经验掉落配置表!$N39</f>
        <v>30</v>
      </c>
      <c r="C246" s="115">
        <f>[3]任务经验掉落配置表!$T39</f>
        <v>1050</v>
      </c>
    </row>
    <row r="247" spans="1:3">
      <c r="A247" s="115">
        <f>[3]任务经验掉落配置表!$C40</f>
        <v>1039</v>
      </c>
      <c r="B247" s="115">
        <f>[3]任务经验掉落配置表!$N40</f>
        <v>30</v>
      </c>
      <c r="C247" s="115">
        <f>[3]任务经验掉落配置表!$T40</f>
        <v>1100</v>
      </c>
    </row>
    <row r="248" spans="1:3">
      <c r="A248" s="115">
        <f>[3]任务经验掉落配置表!$C41</f>
        <v>1040</v>
      </c>
      <c r="B248" s="115">
        <f>[3]任务经验掉落配置表!$N41</f>
        <v>31</v>
      </c>
      <c r="C248" s="115">
        <f>[3]任务经验掉落配置表!$T41</f>
        <v>1100</v>
      </c>
    </row>
    <row r="249" spans="1:3">
      <c r="A249" s="115">
        <f>[3]任务经验掉落配置表!$C42</f>
        <v>1041</v>
      </c>
      <c r="B249" s="115">
        <f>[3]任务经验掉落配置表!$N42</f>
        <v>33</v>
      </c>
      <c r="C249" s="115">
        <f>[3]任务经验掉落配置表!$T42</f>
        <v>1100</v>
      </c>
    </row>
    <row r="250" spans="1:3">
      <c r="A250" s="115">
        <f>[3]任务经验掉落配置表!$C43</f>
        <v>1042</v>
      </c>
      <c r="B250" s="115">
        <f>[3]任务经验掉落配置表!$N43</f>
        <v>33</v>
      </c>
      <c r="C250" s="115">
        <f>[3]任务经验掉落配置表!$T43</f>
        <v>1100</v>
      </c>
    </row>
    <row r="251" spans="1:3">
      <c r="A251" s="115">
        <f>[3]任务经验掉落配置表!$C44</f>
        <v>1043</v>
      </c>
      <c r="B251" s="115">
        <f>[3]任务经验掉落配置表!$N44</f>
        <v>35</v>
      </c>
      <c r="C251" s="115">
        <f>[3]任务经验掉落配置表!$T44</f>
        <v>1150</v>
      </c>
    </row>
    <row r="252" spans="1:3">
      <c r="A252" s="115">
        <f>[3]任务经验掉落配置表!$C45</f>
        <v>1044</v>
      </c>
      <c r="B252" s="115">
        <f>[3]任务经验掉落配置表!$N45</f>
        <v>37</v>
      </c>
      <c r="C252" s="115">
        <f>[3]任务经验掉落配置表!$T45</f>
        <v>1200</v>
      </c>
    </row>
    <row r="253" spans="1:3">
      <c r="A253" s="115">
        <f>[3]任务经验掉落配置表!$C46</f>
        <v>1045</v>
      </c>
      <c r="B253" s="115">
        <f>[3]任务经验掉落配置表!$N46</f>
        <v>37</v>
      </c>
      <c r="C253" s="115">
        <f>[3]任务经验掉落配置表!$T46</f>
        <v>1250</v>
      </c>
    </row>
    <row r="254" spans="1:3">
      <c r="A254" s="115">
        <f>[3]任务经验掉落配置表!$C47</f>
        <v>1046</v>
      </c>
      <c r="B254" s="115">
        <f>[3]任务经验掉落配置表!$N47</f>
        <v>37</v>
      </c>
      <c r="C254" s="115">
        <f>[3]任务经验掉落配置表!$T47</f>
        <v>1300</v>
      </c>
    </row>
    <row r="255" spans="1:3">
      <c r="A255" s="115">
        <f>[3]任务经验掉落配置表!$C48</f>
        <v>1047</v>
      </c>
      <c r="B255" s="115">
        <f>[3]任务经验掉落配置表!$N48</f>
        <v>38</v>
      </c>
      <c r="C255" s="115">
        <f>[3]任务经验掉落配置表!$T48</f>
        <v>1350</v>
      </c>
    </row>
    <row r="256" spans="1:3">
      <c r="A256" s="115">
        <f>[3]任务经验掉落配置表!$C49</f>
        <v>1048</v>
      </c>
      <c r="B256" s="115">
        <f>[3]任务经验掉落配置表!$N49</f>
        <v>39</v>
      </c>
      <c r="C256" s="115">
        <f>[3]任务经验掉落配置表!$T49</f>
        <v>1400</v>
      </c>
    </row>
    <row r="257" spans="1:3">
      <c r="A257" s="115">
        <f>[3]任务经验掉落配置表!$C50</f>
        <v>1049</v>
      </c>
      <c r="B257" s="115">
        <f>[3]任务经验掉落配置表!$N50</f>
        <v>39</v>
      </c>
      <c r="C257" s="115">
        <f>[3]任务经验掉落配置表!$T50</f>
        <v>1500</v>
      </c>
    </row>
    <row r="258" spans="1:3">
      <c r="A258" s="115">
        <f>[3]任务经验掉落配置表!$C51</f>
        <v>1050</v>
      </c>
      <c r="B258" s="115">
        <f>[3]任务经验掉落配置表!$N51</f>
        <v>40</v>
      </c>
      <c r="C258" s="115">
        <f>[3]任务经验掉落配置表!$T51</f>
        <v>1600</v>
      </c>
    </row>
    <row r="259" spans="1:3">
      <c r="A259" s="115">
        <f>[3]任务经验掉落配置表!$C52</f>
        <v>1051</v>
      </c>
      <c r="B259" s="115">
        <f>[3]任务经验掉落配置表!$N52</f>
        <v>42</v>
      </c>
      <c r="C259" s="115">
        <f>[3]任务经验掉落配置表!$T52</f>
        <v>1700</v>
      </c>
    </row>
    <row r="260" spans="1:3">
      <c r="A260" s="115">
        <f>[3]任务经验掉落配置表!$C53</f>
        <v>1052</v>
      </c>
      <c r="B260" s="115">
        <f>[3]任务经验掉落配置表!$N53</f>
        <v>42</v>
      </c>
      <c r="C260" s="115">
        <f>[3]任务经验掉落配置表!$T53</f>
        <v>1800</v>
      </c>
    </row>
    <row r="261" spans="1:3">
      <c r="A261" s="115">
        <f>[3]任务经验掉落配置表!$C54</f>
        <v>1053</v>
      </c>
      <c r="B261" s="115">
        <f>[3]任务经验掉落配置表!$N54</f>
        <v>44</v>
      </c>
      <c r="C261" s="115">
        <f>[3]任务经验掉落配置表!$T54</f>
        <v>1900</v>
      </c>
    </row>
    <row r="262" spans="1:3">
      <c r="A262" s="115">
        <f>[3]任务经验掉落配置表!$C55</f>
        <v>1054</v>
      </c>
      <c r="B262" s="115">
        <f>[3]任务经验掉落配置表!$N55</f>
        <v>46</v>
      </c>
      <c r="C262" s="115">
        <f>[3]任务经验掉落配置表!$T55</f>
        <v>2000</v>
      </c>
    </row>
    <row r="263" spans="1:3">
      <c r="A263" s="115">
        <f>[3]任务经验掉落配置表!$C56</f>
        <v>1055</v>
      </c>
      <c r="B263" s="115">
        <f>[3]任务经验掉落配置表!$N56</f>
        <v>46</v>
      </c>
      <c r="C263" s="115">
        <f>[3]任务经验掉落配置表!$T56</f>
        <v>2100</v>
      </c>
    </row>
    <row r="264" spans="1:3">
      <c r="A264" s="115">
        <f>[3]任务经验掉落配置表!$C57</f>
        <v>1056</v>
      </c>
      <c r="B264" s="115">
        <f>[3]任务经验掉落配置表!$N57</f>
        <v>46</v>
      </c>
      <c r="C264" s="115">
        <f>[3]任务经验掉落配置表!$T57</f>
        <v>2200</v>
      </c>
    </row>
    <row r="265" spans="1:3">
      <c r="A265" s="115">
        <f>[3]任务经验掉落配置表!$C58</f>
        <v>1057</v>
      </c>
      <c r="B265" s="115">
        <f>[3]任务经验掉落配置表!$N58</f>
        <v>47</v>
      </c>
      <c r="C265" s="115">
        <f>[3]任务经验掉落配置表!$T58</f>
        <v>2300</v>
      </c>
    </row>
    <row r="266" spans="1:3">
      <c r="A266" s="115">
        <f>[3]任务经验掉落配置表!$C59</f>
        <v>1058</v>
      </c>
      <c r="B266" s="115">
        <f>[3]任务经验掉落配置表!$N59</f>
        <v>48</v>
      </c>
      <c r="C266" s="115">
        <f>[3]任务经验掉落配置表!$T59</f>
        <v>2400</v>
      </c>
    </row>
    <row r="267" spans="1:3">
      <c r="A267" s="115">
        <f>[3]任务经验掉落配置表!$C60</f>
        <v>1059</v>
      </c>
      <c r="B267" s="115">
        <f>[3]任务经验掉落配置表!$N60</f>
        <v>48</v>
      </c>
      <c r="C267" s="115">
        <f>[3]任务经验掉落配置表!$T60</f>
        <v>2500</v>
      </c>
    </row>
    <row r="268" spans="1:3">
      <c r="A268" s="115">
        <f>[3]任务经验掉落配置表!$C61</f>
        <v>1060</v>
      </c>
      <c r="B268" s="115">
        <f>[3]任务经验掉落配置表!$N61</f>
        <v>49</v>
      </c>
      <c r="C268" s="115">
        <f>[3]任务经验掉落配置表!$T61</f>
        <v>2700</v>
      </c>
    </row>
    <row r="269" spans="1:3">
      <c r="A269" s="115">
        <f>[3]任务经验掉落配置表!$C62</f>
        <v>1061</v>
      </c>
      <c r="B269" s="115">
        <f>[3]任务经验掉落配置表!$N62</f>
        <v>50</v>
      </c>
      <c r="C269" s="115">
        <f>[3]任务经验掉落配置表!$T62</f>
        <v>2900</v>
      </c>
    </row>
    <row r="270" spans="1:3">
      <c r="A270" s="115">
        <f>[3]任务经验掉落配置表!$C63</f>
        <v>1062</v>
      </c>
      <c r="B270" s="115">
        <f>[3]任务经验掉落配置表!$N63</f>
        <v>51</v>
      </c>
      <c r="C270" s="115">
        <f>[3]任务经验掉落配置表!$T63</f>
        <v>3100</v>
      </c>
    </row>
    <row r="271" spans="1:3">
      <c r="A271" s="115">
        <f>[3]任务经验掉落配置表!$C64</f>
        <v>1063</v>
      </c>
      <c r="B271" s="115">
        <f>[3]任务经验掉落配置表!$N64</f>
        <v>51</v>
      </c>
      <c r="C271" s="115">
        <f>[3]任务经验掉落配置表!$T64</f>
        <v>3300</v>
      </c>
    </row>
    <row r="272" spans="1:3">
      <c r="A272" s="115">
        <f>[3]任务经验掉落配置表!$C65</f>
        <v>1064</v>
      </c>
      <c r="B272" s="115">
        <f>[3]任务经验掉落配置表!$N65</f>
        <v>52</v>
      </c>
      <c r="C272" s="115">
        <f>[3]任务经验掉落配置表!$T65</f>
        <v>3500</v>
      </c>
    </row>
    <row r="273" spans="1:3">
      <c r="A273" s="115">
        <f>[3]任务经验掉落配置表!$C66</f>
        <v>1065</v>
      </c>
      <c r="B273" s="115">
        <f>[3]任务经验掉落配置表!$N66</f>
        <v>52</v>
      </c>
      <c r="C273" s="115">
        <f>[3]任务经验掉落配置表!$T66</f>
        <v>4300</v>
      </c>
    </row>
    <row r="274" spans="1:3">
      <c r="A274" s="115">
        <f>[3]任务经验掉落配置表!$C67</f>
        <v>1066</v>
      </c>
      <c r="B274" s="115">
        <f>[3]任务经验掉落配置表!$N67</f>
        <v>52</v>
      </c>
      <c r="C274" s="115">
        <f>[3]任务经验掉落配置表!$T67</f>
        <v>4500</v>
      </c>
    </row>
    <row r="275" spans="1:3">
      <c r="A275" s="115">
        <f>[3]任务经验掉落配置表!$C68</f>
        <v>1067</v>
      </c>
      <c r="B275" s="115">
        <f>[3]任务经验掉落配置表!$N68</f>
        <v>56</v>
      </c>
      <c r="C275" s="115">
        <f>[3]任务经验掉落配置表!$T68</f>
        <v>4800</v>
      </c>
    </row>
    <row r="276" spans="1:3">
      <c r="A276" s="115">
        <f>[3]任务经验掉落配置表!$C69</f>
        <v>1068</v>
      </c>
      <c r="B276" s="115">
        <f>[3]任务经验掉落配置表!$N69</f>
        <v>57</v>
      </c>
      <c r="C276" s="115">
        <f>[3]任务经验掉落配置表!$T69</f>
        <v>5100</v>
      </c>
    </row>
    <row r="277" spans="1:3">
      <c r="A277" s="115">
        <f>[3]任务经验掉落配置表!$C70</f>
        <v>1069</v>
      </c>
      <c r="B277" s="115">
        <f>[3]任务经验掉落配置表!$N70</f>
        <v>58</v>
      </c>
      <c r="C277" s="115">
        <f>[3]任务经验掉落配置表!$T70</f>
        <v>5400</v>
      </c>
    </row>
    <row r="278" spans="1:3">
      <c r="A278" s="115">
        <f>[3]任务经验掉落配置表!$C71</f>
        <v>1070</v>
      </c>
      <c r="B278" s="115">
        <f>[3]任务经验掉落配置表!$N71</f>
        <v>59</v>
      </c>
      <c r="C278" s="115">
        <f>[3]任务经验掉落配置表!$T71</f>
        <v>5700</v>
      </c>
    </row>
    <row r="279" spans="1:3">
      <c r="A279" s="115">
        <f>[3]任务经验掉落配置表!$C72</f>
        <v>1071</v>
      </c>
      <c r="B279" s="115">
        <f>[3]任务经验掉落配置表!$N72</f>
        <v>59</v>
      </c>
      <c r="C279" s="115">
        <f>[3]任务经验掉落配置表!$T72</f>
        <v>6000</v>
      </c>
    </row>
    <row r="280" spans="1:3">
      <c r="A280" s="115">
        <f>[3]任务经验掉落配置表!$C73</f>
        <v>1072</v>
      </c>
      <c r="B280" s="115">
        <f>[3]任务经验掉落配置表!$N73</f>
        <v>60</v>
      </c>
      <c r="C280" s="115">
        <f>[3]任务经验掉落配置表!$T73</f>
        <v>6300</v>
      </c>
    </row>
    <row r="281" spans="1:3">
      <c r="A281" s="115">
        <f>[3]任务经验掉落配置表!$C74</f>
        <v>1073</v>
      </c>
      <c r="B281" s="115">
        <f>[3]任务经验掉落配置表!$N74</f>
        <v>61</v>
      </c>
      <c r="C281" s="115">
        <f>[3]任务经验掉落配置表!$T74</f>
        <v>6600</v>
      </c>
    </row>
    <row r="282" spans="1:3">
      <c r="A282" s="115">
        <f>[3]任务经验掉落配置表!$C75</f>
        <v>1074</v>
      </c>
      <c r="B282" s="115">
        <f>[3]任务经验掉落配置表!$N75</f>
        <v>61</v>
      </c>
      <c r="C282" s="115">
        <f>[3]任务经验掉落配置表!$T75</f>
        <v>8000</v>
      </c>
    </row>
    <row r="283" spans="1:3">
      <c r="A283" s="115">
        <f>[3]任务经验掉落配置表!$C76</f>
        <v>1075</v>
      </c>
      <c r="B283" s="115">
        <f>[3]任务经验掉落配置表!$N76</f>
        <v>65</v>
      </c>
      <c r="C283" s="115">
        <f>[3]任务经验掉落配置表!$T76</f>
        <v>8500</v>
      </c>
    </row>
    <row r="284" spans="1:3">
      <c r="A284" s="115">
        <f>[3]任务经验掉落配置表!$C77</f>
        <v>1076</v>
      </c>
      <c r="B284" s="115">
        <f>[3]任务经验掉落配置表!$N77</f>
        <v>66</v>
      </c>
      <c r="C284" s="115">
        <f>[3]任务经验掉落配置表!$T77</f>
        <v>9000</v>
      </c>
    </row>
    <row r="285" spans="1:3">
      <c r="A285" s="115">
        <f>[3]任务经验掉落配置表!$C78</f>
        <v>1077</v>
      </c>
      <c r="B285" s="115">
        <f>[3]任务经验掉落配置表!$N78</f>
        <v>70</v>
      </c>
      <c r="C285" s="115">
        <f>[3]任务经验掉落配置表!$T78</f>
        <v>11000</v>
      </c>
    </row>
    <row r="286" spans="1:3">
      <c r="A286" s="115">
        <f>[3]任务经验掉落配置表!$C79</f>
        <v>1078</v>
      </c>
      <c r="B286" s="115">
        <f>[3]任务经验掉落配置表!$N79</f>
        <v>70</v>
      </c>
      <c r="C286" s="115">
        <f>[3]任务经验掉落配置表!$T79</f>
        <v>11500</v>
      </c>
    </row>
    <row r="287" spans="1:3">
      <c r="A287" s="115">
        <f>[3]任务经验掉落配置表!$C80</f>
        <v>1079</v>
      </c>
      <c r="B287" s="115">
        <f>[3]任务经验掉落配置表!$N80</f>
        <v>71</v>
      </c>
      <c r="C287" s="115">
        <f>[3]任务经验掉落配置表!$T80</f>
        <v>12000</v>
      </c>
    </row>
    <row r="288" spans="1:3">
      <c r="A288" s="115">
        <f>[3]任务经验掉落配置表!$C81</f>
        <v>1080</v>
      </c>
      <c r="B288" s="115">
        <f>[3]任务经验掉落配置表!$N81</f>
        <v>72</v>
      </c>
      <c r="C288" s="115">
        <f>[3]任务经验掉落配置表!$T81</f>
        <v>13000</v>
      </c>
    </row>
    <row r="289" spans="1:3">
      <c r="A289" s="115">
        <f>[3]任务经验掉落配置表!$C82</f>
        <v>1081</v>
      </c>
      <c r="B289" s="115">
        <f>[3]任务经验掉落配置表!$N82</f>
        <v>73</v>
      </c>
      <c r="C289" s="115">
        <f>[3]任务经验掉落配置表!$T82</f>
        <v>14000</v>
      </c>
    </row>
    <row r="290" spans="1:3">
      <c r="A290" s="115">
        <f>[3]任务经验掉落配置表!$C83</f>
        <v>2201</v>
      </c>
      <c r="B290" s="115">
        <f>[3]任务经验掉落配置表!$N83</f>
        <v>13</v>
      </c>
      <c r="C290" s="115">
        <f>[3]任务经验掉落配置表!$T83</f>
        <v>1000</v>
      </c>
    </row>
    <row r="291" spans="1:3">
      <c r="A291" s="115">
        <f>[3]任务经验掉落配置表!$C84</f>
        <v>3001</v>
      </c>
      <c r="B291" s="115">
        <f>[3]任务经验掉落配置表!$N84</f>
        <v>2</v>
      </c>
      <c r="C291" s="115">
        <f>[3]任务经验掉落配置表!$T84</f>
        <v>124</v>
      </c>
    </row>
    <row r="292" spans="1:3">
      <c r="A292" s="115">
        <f>[3]任务经验掉落配置表!$C85</f>
        <v>3003</v>
      </c>
      <c r="B292" s="115">
        <f>[3]任务经验掉落配置表!$N85</f>
        <v>22</v>
      </c>
      <c r="C292" s="115">
        <f>[3]任务经验掉落配置表!$T85</f>
        <v>1000</v>
      </c>
    </row>
    <row r="293" spans="1:3">
      <c r="A293" s="115">
        <f>[3]任务经验掉落配置表!$C86</f>
        <v>9999</v>
      </c>
      <c r="B293" s="115">
        <f>[3]任务经验掉落配置表!$N86</f>
        <v>74</v>
      </c>
      <c r="C293" s="115">
        <f>[3]任务经验掉落配置表!$T86</f>
        <v>15000</v>
      </c>
    </row>
    <row r="294" spans="1:3">
      <c r="A294" s="115">
        <f>[3]任务经验掉落配置表!$C87</f>
        <v>3004</v>
      </c>
      <c r="B294" s="115">
        <f>[3]任务经验掉落配置表!$N87</f>
        <v>13</v>
      </c>
      <c r="C294" s="115">
        <f>[3]任务经验掉落配置表!$T87</f>
        <v>694</v>
      </c>
    </row>
    <row r="295" spans="1:3">
      <c r="A295" s="115">
        <f>[3]任务经验掉落配置表!$C88</f>
        <v>3005</v>
      </c>
      <c r="B295" s="115">
        <f>[3]任务经验掉落配置表!$N88</f>
        <v>53</v>
      </c>
      <c r="C295" s="115">
        <f>[3]任务经验掉落配置表!$T88</f>
        <v>3700</v>
      </c>
    </row>
    <row r="296" spans="1:3">
      <c r="A296" s="115">
        <f>[3]任务经验掉落配置表!$C89</f>
        <v>3006</v>
      </c>
      <c r="B296" s="115">
        <f>[3]任务经验掉落配置表!$N89</f>
        <v>54</v>
      </c>
      <c r="C296" s="115">
        <f>[3]任务经验掉落配置表!$T89</f>
        <v>3900</v>
      </c>
    </row>
    <row r="297" spans="1:3">
      <c r="A297" s="115">
        <f>[3]任务经验掉落配置表!$C90</f>
        <v>3007</v>
      </c>
      <c r="B297" s="115">
        <f>[3]任务经验掉落配置表!$N90</f>
        <v>55</v>
      </c>
      <c r="C297" s="115">
        <f>[3]任务经验掉落配置表!$T90</f>
        <v>4100</v>
      </c>
    </row>
    <row r="298" spans="1:3">
      <c r="A298" s="115">
        <f>[3]任务经验掉落配置表!$C91</f>
        <v>3008</v>
      </c>
      <c r="B298" s="115">
        <f>[3]任务经验掉落配置表!$N91</f>
        <v>62</v>
      </c>
      <c r="C298" s="115">
        <f>[3]任务经验掉落配置表!$T91</f>
        <v>6900</v>
      </c>
    </row>
    <row r="299" spans="1:3">
      <c r="A299" s="115">
        <f>[3]任务经验掉落配置表!$C92</f>
        <v>3009</v>
      </c>
      <c r="B299" s="115">
        <f>[3]任务经验掉落配置表!$N92</f>
        <v>63</v>
      </c>
      <c r="C299" s="115">
        <f>[3]任务经验掉落配置表!$T92</f>
        <v>7200</v>
      </c>
    </row>
    <row r="300" spans="1:3">
      <c r="A300" s="115">
        <f>[3]任务经验掉落配置表!$C93</f>
        <v>3010</v>
      </c>
      <c r="B300" s="115">
        <f>[3]任务经验掉落配置表!$N93</f>
        <v>64</v>
      </c>
      <c r="C300" s="115">
        <f>[3]任务经验掉落配置表!$T93</f>
        <v>7500</v>
      </c>
    </row>
    <row r="301" spans="1:3">
      <c r="A301" s="115">
        <f>[3]任务经验掉落配置表!$C94</f>
        <v>3011</v>
      </c>
      <c r="B301" s="115">
        <f>[3]任务经验掉落配置表!$N94</f>
        <v>67</v>
      </c>
      <c r="C301" s="115">
        <f>[3]任务经验掉落配置表!$T94</f>
        <v>9500</v>
      </c>
    </row>
    <row r="302" spans="1:3">
      <c r="A302" s="115">
        <f>[3]任务经验掉落配置表!$C95</f>
        <v>3012</v>
      </c>
      <c r="B302" s="115">
        <f>[3]任务经验掉落配置表!$N95</f>
        <v>68</v>
      </c>
      <c r="C302" s="115">
        <f>[3]任务经验掉落配置表!$T95</f>
        <v>10000</v>
      </c>
    </row>
    <row r="303" spans="1:3">
      <c r="A303" s="115">
        <f>[3]任务经验掉落配置表!$C96</f>
        <v>3013</v>
      </c>
      <c r="B303" s="115">
        <f>[3]任务经验掉落配置表!$N96</f>
        <v>69</v>
      </c>
      <c r="C303" s="115">
        <f>[3]任务经验掉落配置表!$T96</f>
        <v>10500</v>
      </c>
    </row>
    <row r="304" spans="1:3">
      <c r="A304" s="115">
        <f>[3]任务经验掉落配置表!$C97</f>
        <v>10001</v>
      </c>
      <c r="B304" s="115">
        <f>[3]任务经验掉落配置表!$N97</f>
        <v>13</v>
      </c>
      <c r="C304" s="115">
        <f>[3]任务经验掉落配置表!$T97</f>
        <v>1000</v>
      </c>
    </row>
    <row r="305" spans="1:3">
      <c r="A305" s="115">
        <f>[3]任务经验掉落配置表!$C98</f>
        <v>10002</v>
      </c>
      <c r="B305" s="115">
        <f>[3]任务经验掉落配置表!$N98</f>
        <v>14</v>
      </c>
      <c r="C305" s="115">
        <f>[3]任务经验掉落配置表!$T98</f>
        <v>1100</v>
      </c>
    </row>
    <row r="306" spans="1:3">
      <c r="A306" s="115">
        <f>[3]任务经验掉落配置表!$C99</f>
        <v>10003</v>
      </c>
      <c r="B306" s="115">
        <f>[3]任务经验掉落配置表!$N99</f>
        <v>15</v>
      </c>
      <c r="C306" s="115">
        <f>[3]任务经验掉落配置表!$T99</f>
        <v>1200</v>
      </c>
    </row>
    <row r="307" spans="1:3">
      <c r="A307" s="115">
        <f>[3]任务经验掉落配置表!$C100</f>
        <v>10004</v>
      </c>
      <c r="B307" s="115">
        <f>[3]任务经验掉落配置表!$N100</f>
        <v>16</v>
      </c>
      <c r="C307" s="115">
        <f>[3]任务经验掉落配置表!$T100</f>
        <v>1300</v>
      </c>
    </row>
    <row r="308" spans="1:3">
      <c r="A308" s="115">
        <f>[3]任务经验掉落配置表!$C101</f>
        <v>10005</v>
      </c>
      <c r="B308" s="115">
        <f>[3]任务经验掉落配置表!$N101</f>
        <v>17</v>
      </c>
      <c r="C308" s="115">
        <f>[3]任务经验掉落配置表!$T101</f>
        <v>1400</v>
      </c>
    </row>
    <row r="309" spans="1:3">
      <c r="A309" s="115">
        <f>[3]任务经验掉落配置表!$C102</f>
        <v>10006</v>
      </c>
      <c r="B309" s="115">
        <f>[3]任务经验掉落配置表!$N102</f>
        <v>18</v>
      </c>
      <c r="C309" s="115">
        <f>[3]任务经验掉落配置表!$T102</f>
        <v>1500</v>
      </c>
    </row>
    <row r="310" spans="1:3">
      <c r="A310" s="115">
        <f>[3]任务经验掉落配置表!$C103</f>
        <v>10007</v>
      </c>
      <c r="B310" s="115">
        <f>[3]任务经验掉落配置表!$N103</f>
        <v>19</v>
      </c>
      <c r="C310" s="115">
        <f>[3]任务经验掉落配置表!$T103</f>
        <v>1600</v>
      </c>
    </row>
    <row r="311" spans="1:3">
      <c r="A311" s="115">
        <f>[3]任务经验掉落配置表!$C104</f>
        <v>10008</v>
      </c>
      <c r="B311" s="115">
        <f>[3]任务经验掉落配置表!$N104</f>
        <v>20</v>
      </c>
      <c r="C311" s="115">
        <f>[3]任务经验掉落配置表!$T104</f>
        <v>1700</v>
      </c>
    </row>
    <row r="312" spans="1:3">
      <c r="A312" s="115">
        <f>[3]任务经验掉落配置表!$C105</f>
        <v>10009</v>
      </c>
      <c r="B312" s="115">
        <f>[3]任务经验掉落配置表!$N105</f>
        <v>21</v>
      </c>
      <c r="C312" s="115">
        <f>[3]任务经验掉落配置表!$T105</f>
        <v>1800</v>
      </c>
    </row>
    <row r="313" spans="1:3">
      <c r="A313" s="115">
        <f>[3]任务经验掉落配置表!$C106</f>
        <v>10010</v>
      </c>
      <c r="B313" s="115">
        <f>[3]任务经验掉落配置表!$N106</f>
        <v>22</v>
      </c>
      <c r="C313" s="115">
        <f>[3]任务经验掉落配置表!$T106</f>
        <v>1800</v>
      </c>
    </row>
    <row r="314" spans="1:3">
      <c r="A314" s="115">
        <f>[3]任务经验掉落配置表!$C107</f>
        <v>10011</v>
      </c>
      <c r="B314" s="115">
        <f>[3]任务经验掉落配置表!$N107</f>
        <v>23</v>
      </c>
      <c r="C314" s="115">
        <f>[3]任务经验掉落配置表!$T107</f>
        <v>1800</v>
      </c>
    </row>
    <row r="315" spans="1:3">
      <c r="A315" s="115">
        <f>[3]任务经验掉落配置表!$C108</f>
        <v>10012</v>
      </c>
      <c r="B315" s="115">
        <f>[3]任务经验掉落配置表!$N108</f>
        <v>24</v>
      </c>
      <c r="C315" s="115">
        <f>[3]任务经验掉落配置表!$T108</f>
        <v>1800</v>
      </c>
    </row>
    <row r="316" spans="1:3">
      <c r="A316" s="115">
        <f>[3]任务经验掉落配置表!$C109</f>
        <v>10013</v>
      </c>
      <c r="B316" s="115">
        <f>[3]任务经验掉落配置表!$N109</f>
        <v>25</v>
      </c>
      <c r="C316" s="115">
        <f>[3]任务经验掉落配置表!$T109</f>
        <v>1800</v>
      </c>
    </row>
    <row r="317" spans="1:3">
      <c r="A317" s="115">
        <f>[3]任务经验掉落配置表!$C110</f>
        <v>10014</v>
      </c>
      <c r="B317" s="115">
        <f>[3]任务经验掉落配置表!$N110</f>
        <v>26</v>
      </c>
      <c r="C317" s="115">
        <f>[3]任务经验掉落配置表!$T110</f>
        <v>1800</v>
      </c>
    </row>
    <row r="318" spans="1:3">
      <c r="A318" s="115">
        <f>[3]任务经验掉落配置表!$C111</f>
        <v>10015</v>
      </c>
      <c r="B318" s="115">
        <f>[3]任务经验掉落配置表!$N111</f>
        <v>27</v>
      </c>
      <c r="C318" s="115">
        <f>[3]任务经验掉落配置表!$T111</f>
        <v>1800</v>
      </c>
    </row>
    <row r="319" spans="1:3">
      <c r="A319" s="115">
        <f>[3]任务经验掉落配置表!$C112</f>
        <v>10016</v>
      </c>
      <c r="B319" s="115">
        <f>[3]任务经验掉落配置表!$N112</f>
        <v>28</v>
      </c>
      <c r="C319" s="115">
        <f>[3]任务经验掉落配置表!$T112</f>
        <v>1800</v>
      </c>
    </row>
    <row r="320" spans="1:3">
      <c r="A320" s="115">
        <f>[3]任务经验掉落配置表!$C113</f>
        <v>10017</v>
      </c>
      <c r="B320" s="115">
        <f>[3]任务经验掉落配置表!$N113</f>
        <v>29</v>
      </c>
      <c r="C320" s="115">
        <f>[3]任务经验掉落配置表!$T113</f>
        <v>1800</v>
      </c>
    </row>
    <row r="321" spans="1:3">
      <c r="A321" s="115">
        <f>[3]任务经验掉落配置表!$C114</f>
        <v>10018</v>
      </c>
      <c r="B321" s="115">
        <f>[3]任务经验掉落配置表!$N114</f>
        <v>30</v>
      </c>
      <c r="C321" s="115">
        <f>[3]任务经验掉落配置表!$T114</f>
        <v>1800</v>
      </c>
    </row>
    <row r="322" spans="1:3">
      <c r="A322" s="115">
        <f>[3]任务经验掉落配置表!$C115</f>
        <v>10019</v>
      </c>
      <c r="B322" s="115">
        <f>[3]任务经验掉落配置表!$N115</f>
        <v>31</v>
      </c>
      <c r="C322" s="115">
        <f>[3]任务经验掉落配置表!$T115</f>
        <v>1800</v>
      </c>
    </row>
    <row r="323" spans="1:3">
      <c r="A323" s="115">
        <f>[3]任务经验掉落配置表!$C116</f>
        <v>10020</v>
      </c>
      <c r="B323" s="115">
        <f>[3]任务经验掉落配置表!$N116</f>
        <v>32</v>
      </c>
      <c r="C323" s="115">
        <f>[3]任务经验掉落配置表!$T116</f>
        <v>1800</v>
      </c>
    </row>
    <row r="324" spans="1:3">
      <c r="A324" s="115">
        <f>[3]任务经验掉落配置表!$C117</f>
        <v>10021</v>
      </c>
      <c r="B324" s="115">
        <f>[3]任务经验掉落配置表!$N117</f>
        <v>33</v>
      </c>
      <c r="C324" s="115">
        <f>[3]任务经验掉落配置表!$T117</f>
        <v>1875</v>
      </c>
    </row>
    <row r="325" spans="1:3">
      <c r="A325" s="115">
        <f>[3]任务经验掉落配置表!$C118</f>
        <v>10022</v>
      </c>
      <c r="B325" s="115">
        <f>[3]任务经验掉落配置表!$N118</f>
        <v>34</v>
      </c>
      <c r="C325" s="115">
        <f>[3]任务经验掉落配置表!$T118</f>
        <v>1875</v>
      </c>
    </row>
    <row r="326" spans="1:3">
      <c r="A326" s="115">
        <f>[3]任务经验掉落配置表!$C119</f>
        <v>10023</v>
      </c>
      <c r="B326" s="115">
        <f>[3]任务经验掉落配置表!$N119</f>
        <v>35</v>
      </c>
      <c r="C326" s="115">
        <f>[3]任务经验掉落配置表!$T119</f>
        <v>1875</v>
      </c>
    </row>
    <row r="327" spans="1:3">
      <c r="A327" s="115">
        <f>[3]任务经验掉落配置表!$C120</f>
        <v>10024</v>
      </c>
      <c r="B327" s="115">
        <f>[3]任务经验掉落配置表!$N120</f>
        <v>36</v>
      </c>
      <c r="C327" s="115">
        <f>[3]任务经验掉落配置表!$T120</f>
        <v>1875</v>
      </c>
    </row>
    <row r="328" spans="1:3">
      <c r="A328" s="115">
        <f>[3]任务经验掉落配置表!$C121</f>
        <v>10025</v>
      </c>
      <c r="B328" s="115">
        <f>[3]任务经验掉落配置表!$N121</f>
        <v>37</v>
      </c>
      <c r="C328" s="115">
        <f>[3]任务经验掉落配置表!$T121</f>
        <v>1875</v>
      </c>
    </row>
    <row r="329" spans="1:3">
      <c r="A329" s="115">
        <f>[3]任务经验掉落配置表!$C122</f>
        <v>10026</v>
      </c>
      <c r="B329" s="115">
        <f>[3]任务经验掉落配置表!$N122</f>
        <v>38</v>
      </c>
      <c r="C329" s="115">
        <f>[3]任务经验掉落配置表!$T122</f>
        <v>1875</v>
      </c>
    </row>
    <row r="330" spans="1:3">
      <c r="A330" s="115">
        <f>[3]任务经验掉落配置表!$C123</f>
        <v>10027</v>
      </c>
      <c r="B330" s="115">
        <f>[3]任务经验掉落配置表!$N123</f>
        <v>39</v>
      </c>
      <c r="C330" s="115">
        <f>[3]任务经验掉落配置表!$T123</f>
        <v>1875</v>
      </c>
    </row>
    <row r="331" spans="1:3">
      <c r="A331" s="115">
        <f>[3]任务经验掉落配置表!$C124</f>
        <v>10028</v>
      </c>
      <c r="B331" s="115">
        <f>[3]任务经验掉落配置表!$N124</f>
        <v>40</v>
      </c>
      <c r="C331" s="115">
        <f>[3]任务经验掉落配置表!$T124</f>
        <v>1875</v>
      </c>
    </row>
    <row r="332" spans="1:3">
      <c r="A332" s="115">
        <f>[3]任务经验掉落配置表!$C125</f>
        <v>10029</v>
      </c>
      <c r="B332" s="115">
        <f>[3]任务经验掉落配置表!$N125</f>
        <v>41</v>
      </c>
      <c r="C332" s="115">
        <f>[3]任务经验掉落配置表!$T125</f>
        <v>1875</v>
      </c>
    </row>
    <row r="333" spans="1:3">
      <c r="A333" s="115">
        <f>[3]任务经验掉落配置表!$C126</f>
        <v>10030</v>
      </c>
      <c r="B333" s="115">
        <f>[3]任务经验掉落配置表!$N126</f>
        <v>42</v>
      </c>
      <c r="C333" s="115">
        <f>[3]任务经验掉落配置表!$T126</f>
        <v>1875</v>
      </c>
    </row>
    <row r="334" spans="1:3">
      <c r="A334" s="115">
        <f>[3]任务经验掉落配置表!$C127</f>
        <v>10031</v>
      </c>
      <c r="B334" s="115">
        <f>[3]任务经验掉落配置表!$N127</f>
        <v>43</v>
      </c>
      <c r="C334" s="115">
        <f>[3]任务经验掉落配置表!$T127</f>
        <v>1950</v>
      </c>
    </row>
    <row r="335" spans="1:3">
      <c r="A335" s="115">
        <f>[3]任务经验掉落配置表!$C128</f>
        <v>10032</v>
      </c>
      <c r="B335" s="115">
        <f>[3]任务经验掉落配置表!$N128</f>
        <v>44</v>
      </c>
      <c r="C335" s="115">
        <f>[3]任务经验掉落配置表!$T128</f>
        <v>1950</v>
      </c>
    </row>
    <row r="336" spans="1:3">
      <c r="A336" s="115">
        <f>[3]任务经验掉落配置表!$C129</f>
        <v>10033</v>
      </c>
      <c r="B336" s="115">
        <f>[3]任务经验掉落配置表!$N129</f>
        <v>45</v>
      </c>
      <c r="C336" s="115">
        <f>[3]任务经验掉落配置表!$T129</f>
        <v>1950</v>
      </c>
    </row>
    <row r="337" spans="1:3">
      <c r="A337" s="115">
        <f>[3]任务经验掉落配置表!$C130</f>
        <v>10034</v>
      </c>
      <c r="B337" s="115">
        <f>[3]任务经验掉落配置表!$N130</f>
        <v>46</v>
      </c>
      <c r="C337" s="115">
        <f>[3]任务经验掉落配置表!$T130</f>
        <v>1950</v>
      </c>
    </row>
    <row r="338" spans="1:3">
      <c r="A338" s="115">
        <f>[3]任务经验掉落配置表!$C131</f>
        <v>10035</v>
      </c>
      <c r="B338" s="115">
        <f>[3]任务经验掉落配置表!$N131</f>
        <v>47</v>
      </c>
      <c r="C338" s="115">
        <f>[3]任务经验掉落配置表!$T131</f>
        <v>2025</v>
      </c>
    </row>
    <row r="339" spans="1:3">
      <c r="A339" s="115">
        <f>[3]任务经验掉落配置表!$C132</f>
        <v>10036</v>
      </c>
      <c r="B339" s="115">
        <f>[3]任务经验掉落配置表!$N132</f>
        <v>48</v>
      </c>
      <c r="C339" s="115">
        <f>[3]任务经验掉落配置表!$T132</f>
        <v>2100</v>
      </c>
    </row>
    <row r="340" spans="1:3">
      <c r="A340" s="115">
        <f>[3]任务经验掉落配置表!$C133</f>
        <v>10037</v>
      </c>
      <c r="B340" s="115">
        <f>[3]任务经验掉落配置表!$N133</f>
        <v>49</v>
      </c>
      <c r="C340" s="115">
        <f>[3]任务经验掉落配置表!$T133</f>
        <v>2175</v>
      </c>
    </row>
    <row r="341" spans="1:3">
      <c r="A341" s="115">
        <f>[3]任务经验掉落配置表!$C134</f>
        <v>10038</v>
      </c>
      <c r="B341" s="115">
        <f>[3]任务经验掉落配置表!$N134</f>
        <v>50</v>
      </c>
      <c r="C341" s="115">
        <f>[3]任务经验掉落配置表!$T134</f>
        <v>2250</v>
      </c>
    </row>
    <row r="342" spans="1:3">
      <c r="A342" s="115">
        <f>[3]任务经验掉落配置表!$C135</f>
        <v>10039</v>
      </c>
      <c r="B342" s="115">
        <f>[3]任务经验掉落配置表!$N135</f>
        <v>51</v>
      </c>
      <c r="C342" s="115">
        <f>[3]任务经验掉落配置表!$T135</f>
        <v>2325</v>
      </c>
    </row>
    <row r="343" spans="1:3">
      <c r="A343" s="115">
        <f>[3]任务经验掉落配置表!$C136</f>
        <v>10040</v>
      </c>
      <c r="B343" s="115">
        <f>[3]任务经验掉落配置表!$N136</f>
        <v>52</v>
      </c>
      <c r="C343" s="115">
        <f>[3]任务经验掉落配置表!$T136</f>
        <v>2400</v>
      </c>
    </row>
    <row r="344" spans="1:3">
      <c r="A344" s="115">
        <f>[3]任务经验掉落配置表!$C137</f>
        <v>10041</v>
      </c>
      <c r="B344" s="115">
        <f>[3]任务经验掉落配置表!$N137</f>
        <v>53</v>
      </c>
      <c r="C344" s="115">
        <f>[3]任务经验掉落配置表!$T137</f>
        <v>2550</v>
      </c>
    </row>
    <row r="345" spans="1:3">
      <c r="A345" s="115">
        <f>[3]任务经验掉落配置表!$C138</f>
        <v>10042</v>
      </c>
      <c r="B345" s="115">
        <f>[3]任务经验掉落配置表!$N138</f>
        <v>54</v>
      </c>
      <c r="C345" s="115">
        <f>[3]任务经验掉落配置表!$T138</f>
        <v>2700</v>
      </c>
    </row>
    <row r="346" spans="1:3">
      <c r="A346" s="115">
        <f>[3]任务经验掉落配置表!$C139</f>
        <v>10043</v>
      </c>
      <c r="B346" s="115">
        <f>[3]任务经验掉落配置表!$N139</f>
        <v>55</v>
      </c>
      <c r="C346" s="115">
        <f>[3]任务经验掉落配置表!$T139</f>
        <v>2850</v>
      </c>
    </row>
    <row r="347" spans="1:3">
      <c r="A347" s="115">
        <f>[3]任务经验掉落配置表!$C140</f>
        <v>10044</v>
      </c>
      <c r="B347" s="115">
        <f>[3]任务经验掉落配置表!$N140</f>
        <v>56</v>
      </c>
      <c r="C347" s="115">
        <f>[3]任务经验掉落配置表!$T140</f>
        <v>3000</v>
      </c>
    </row>
    <row r="348" spans="1:3">
      <c r="A348" s="115">
        <f>[3]任务经验掉落配置表!$C141</f>
        <v>10045</v>
      </c>
      <c r="B348" s="115">
        <f>[3]任务经验掉落配置表!$N141</f>
        <v>57</v>
      </c>
      <c r="C348" s="115">
        <f>[3]任务经验掉落配置表!$T141</f>
        <v>3150</v>
      </c>
    </row>
    <row r="349" spans="1:3">
      <c r="A349" s="115">
        <f>[3]任务经验掉落配置表!$C142</f>
        <v>10046</v>
      </c>
      <c r="B349" s="115">
        <f>[3]任务经验掉落配置表!$N142</f>
        <v>58</v>
      </c>
      <c r="C349" s="115">
        <f>[3]任务经验掉落配置表!$T142</f>
        <v>3300</v>
      </c>
    </row>
    <row r="350" spans="1:3">
      <c r="A350" s="115">
        <f>[3]任务经验掉落配置表!$C143</f>
        <v>10047</v>
      </c>
      <c r="B350" s="115">
        <f>[3]任务经验掉落配置表!$N143</f>
        <v>59</v>
      </c>
      <c r="C350" s="115">
        <f>[3]任务经验掉落配置表!$T143</f>
        <v>3450</v>
      </c>
    </row>
    <row r="351" spans="1:3">
      <c r="A351" s="115">
        <f>[3]任务经验掉落配置表!$C144</f>
        <v>10048</v>
      </c>
      <c r="B351" s="115">
        <f>[3]任务经验掉落配置表!$N144</f>
        <v>60</v>
      </c>
      <c r="C351" s="115">
        <f>[3]任务经验掉落配置表!$T144</f>
        <v>3600</v>
      </c>
    </row>
    <row r="352" spans="1:3">
      <c r="A352" s="115">
        <f>[3]任务经验掉落配置表!$C145</f>
        <v>10049</v>
      </c>
      <c r="B352" s="115">
        <f>[3]任务经验掉落配置表!$N145</f>
        <v>61</v>
      </c>
      <c r="C352" s="115">
        <f>[3]任务经验掉落配置表!$T145</f>
        <v>3750</v>
      </c>
    </row>
    <row r="353" spans="1:3">
      <c r="A353" s="115">
        <f>[3]任务经验掉落配置表!$C146</f>
        <v>10050</v>
      </c>
      <c r="B353" s="115">
        <f>[3]任务经验掉落配置表!$N146</f>
        <v>62</v>
      </c>
      <c r="C353" s="115">
        <f>[3]任务经验掉落配置表!$T146</f>
        <v>3900</v>
      </c>
    </row>
    <row r="354" spans="1:3">
      <c r="A354" s="115">
        <f>[3]任务经验掉落配置表!$C147</f>
        <v>10051</v>
      </c>
      <c r="B354" s="115">
        <f>[3]任务经验掉落配置表!$N147</f>
        <v>63</v>
      </c>
      <c r="C354" s="115">
        <f>[3]任务经验掉落配置表!$T147</f>
        <v>4050</v>
      </c>
    </row>
    <row r="355" spans="1:3">
      <c r="A355" s="115">
        <f>[3]任务经验掉落配置表!$C148</f>
        <v>10052</v>
      </c>
      <c r="B355" s="115">
        <f>[3]任务经验掉落配置表!$N148</f>
        <v>64</v>
      </c>
      <c r="C355" s="115">
        <f>[3]任务经验掉落配置表!$T148</f>
        <v>4350</v>
      </c>
    </row>
    <row r="356" spans="1:3">
      <c r="A356" s="115">
        <f>[3]任务经验掉落配置表!$C149</f>
        <v>10053</v>
      </c>
      <c r="B356" s="115">
        <f>[3]任务经验掉落配置表!$N149</f>
        <v>65</v>
      </c>
      <c r="C356" s="115">
        <f>[3]任务经验掉落配置表!$T149</f>
        <v>4650</v>
      </c>
    </row>
    <row r="357" spans="1:3">
      <c r="A357" s="115">
        <f>[3]任务经验掉落配置表!$C150</f>
        <v>10054</v>
      </c>
      <c r="B357" s="115">
        <f>[3]任务经验掉落配置表!$N150</f>
        <v>66</v>
      </c>
      <c r="C357" s="115">
        <f>[3]任务经验掉落配置表!$T150</f>
        <v>4950</v>
      </c>
    </row>
    <row r="358" spans="1:3">
      <c r="A358" s="115">
        <f>[3]任务经验掉落配置表!$C151</f>
        <v>10055</v>
      </c>
      <c r="B358" s="115">
        <f>[3]任务经验掉落配置表!$N151</f>
        <v>67</v>
      </c>
      <c r="C358" s="115">
        <f>[3]任务经验掉落配置表!$T151</f>
        <v>5250</v>
      </c>
    </row>
    <row r="359" spans="1:3">
      <c r="A359" s="115">
        <f>[3]任务经验掉落配置表!$C152</f>
        <v>10056</v>
      </c>
      <c r="B359" s="115">
        <f>[3]任务经验掉落配置表!$N152</f>
        <v>68</v>
      </c>
      <c r="C359" s="115">
        <f>[3]任务经验掉落配置表!$T152</f>
        <v>5550</v>
      </c>
    </row>
    <row r="360" spans="1:3">
      <c r="A360" s="115">
        <f>[3]任务经验掉落配置表!$C153</f>
        <v>10057</v>
      </c>
      <c r="B360" s="115">
        <f>[3]任务经验掉落配置表!$N153</f>
        <v>69</v>
      </c>
      <c r="C360" s="115">
        <f>[3]任务经验掉落配置表!$T153</f>
        <v>5850</v>
      </c>
    </row>
    <row r="361" spans="1:3">
      <c r="A361" s="115">
        <f>[3]任务经验掉落配置表!$C154</f>
        <v>10058</v>
      </c>
      <c r="B361" s="115">
        <f>[3]任务经验掉落配置表!$N154</f>
        <v>70</v>
      </c>
      <c r="C361" s="115">
        <f>[3]任务经验掉落配置表!$T154</f>
        <v>6150</v>
      </c>
    </row>
    <row r="362" spans="1:3">
      <c r="A362" s="115">
        <f>[3]任务经验掉落配置表!$C155</f>
        <v>10059</v>
      </c>
      <c r="B362" s="115">
        <f>[3]任务经验掉落配置表!$N155</f>
        <v>71</v>
      </c>
      <c r="C362" s="115">
        <f>[3]任务经验掉落配置表!$T155</f>
        <v>6450</v>
      </c>
    </row>
    <row r="363" spans="1:3">
      <c r="A363" s="115">
        <f>[3]任务经验掉落配置表!$C156</f>
        <v>10060</v>
      </c>
      <c r="B363" s="115">
        <f>[3]任务经验掉落配置表!$N156</f>
        <v>72</v>
      </c>
      <c r="C363" s="115">
        <f>[3]任务经验掉落配置表!$T156</f>
        <v>6750</v>
      </c>
    </row>
    <row r="364" spans="1:3">
      <c r="A364" s="115">
        <f>[3]任务经验掉落配置表!$C157</f>
        <v>10061</v>
      </c>
      <c r="B364" s="115">
        <f>[3]任务经验掉落配置表!$N157</f>
        <v>73</v>
      </c>
      <c r="C364" s="115">
        <f>[3]任务经验掉落配置表!$T157</f>
        <v>7050</v>
      </c>
    </row>
    <row r="365" spans="1:3">
      <c r="A365" s="115">
        <f>[3]任务经验掉落配置表!$C158</f>
        <v>10062</v>
      </c>
      <c r="B365" s="115">
        <f>[3]任务经验掉落配置表!$N158</f>
        <v>74</v>
      </c>
      <c r="C365" s="115">
        <f>[3]任务经验掉落配置表!$T158</f>
        <v>7500</v>
      </c>
    </row>
    <row r="366" spans="1:3">
      <c r="A366" s="115">
        <f>[3]任务经验掉落配置表!$C159</f>
        <v>10063</v>
      </c>
      <c r="B366" s="115">
        <f>[3]任务经验掉落配置表!$N159</f>
        <v>75</v>
      </c>
      <c r="C366" s="115">
        <f>[3]任务经验掉落配置表!$T159</f>
        <v>7950</v>
      </c>
    </row>
    <row r="367" spans="1:3">
      <c r="A367" s="115">
        <f>[3]任务经验掉落配置表!$C160</f>
        <v>10064</v>
      </c>
      <c r="B367" s="115">
        <f>[3]任务经验掉落配置表!$N160</f>
        <v>76</v>
      </c>
      <c r="C367" s="115">
        <f>[3]任务经验掉落配置表!$T160</f>
        <v>8400</v>
      </c>
    </row>
    <row r="368" spans="1:3">
      <c r="A368" s="115">
        <f>[3]任务经验掉落配置表!$C161</f>
        <v>10065</v>
      </c>
      <c r="B368" s="115">
        <f>[3]任务经验掉落配置表!$N161</f>
        <v>77</v>
      </c>
      <c r="C368" s="115">
        <f>[3]任务经验掉落配置表!$T161</f>
        <v>8850</v>
      </c>
    </row>
    <row r="369" spans="1:3">
      <c r="A369" s="115">
        <f>[3]任务经验掉落配置表!$C162</f>
        <v>10066</v>
      </c>
      <c r="B369" s="115">
        <f>[3]任务经验掉落配置表!$N162</f>
        <v>78</v>
      </c>
      <c r="C369" s="115">
        <f>[3]任务经验掉落配置表!$T162</f>
        <v>9300</v>
      </c>
    </row>
    <row r="370" spans="1:3">
      <c r="A370" s="115">
        <f>[3]任务经验掉落配置表!$C163</f>
        <v>10067</v>
      </c>
      <c r="B370" s="115">
        <f>[3]任务经验掉落配置表!$N163</f>
        <v>79</v>
      </c>
      <c r="C370" s="115">
        <f>[3]任务经验掉落配置表!$T163</f>
        <v>9750</v>
      </c>
    </row>
    <row r="371" spans="1:3">
      <c r="A371" s="115">
        <f>[3]任务经验掉落配置表!$C164</f>
        <v>10068</v>
      </c>
      <c r="B371" s="115">
        <f>[3]任务经验掉落配置表!$N164</f>
        <v>80</v>
      </c>
      <c r="C371" s="115">
        <f>[3]任务经验掉落配置表!$T164</f>
        <v>10200</v>
      </c>
    </row>
    <row r="372" spans="1:3">
      <c r="A372" s="115">
        <f>[3]任务经验掉落配置表!$C165</f>
        <v>10069</v>
      </c>
      <c r="B372" s="115">
        <f>[3]任务经验掉落配置表!$N165</f>
        <v>81</v>
      </c>
      <c r="C372" s="115">
        <f>[3]任务经验掉落配置表!$T165</f>
        <v>10650</v>
      </c>
    </row>
    <row r="373" spans="1:3">
      <c r="A373" s="115">
        <f>[3]任务经验掉落配置表!$C166</f>
        <v>10070</v>
      </c>
      <c r="B373" s="115">
        <f>[3]任务经验掉落配置表!$N166</f>
        <v>82</v>
      </c>
      <c r="C373" s="115">
        <f>[3]任务经验掉落配置表!$T166</f>
        <v>11100</v>
      </c>
    </row>
    <row r="374" spans="1:3">
      <c r="A374" s="115">
        <f>[3]任务经验掉落配置表!$C167</f>
        <v>10071</v>
      </c>
      <c r="B374" s="115">
        <f>[3]任务经验掉落配置表!$N167</f>
        <v>83</v>
      </c>
      <c r="C374" s="115">
        <f>[3]任务经验掉落配置表!$T167</f>
        <v>11550</v>
      </c>
    </row>
    <row r="375" spans="1:3">
      <c r="A375" s="115">
        <f>[3]任务经验掉落配置表!$C168</f>
        <v>10072</v>
      </c>
      <c r="B375" s="115">
        <f>[3]任务经验掉落配置表!$N168</f>
        <v>84</v>
      </c>
      <c r="C375" s="115">
        <f>[3]任务经验掉落配置表!$T168</f>
        <v>12300</v>
      </c>
    </row>
    <row r="376" spans="1:3">
      <c r="A376" s="115">
        <f>[3]任务经验掉落配置表!$C169</f>
        <v>0</v>
      </c>
      <c r="B376" s="115">
        <f>[3]任务经验掉落配置表!$N169</f>
        <v>84</v>
      </c>
      <c r="C376" s="115">
        <f>[3]任务经验掉落配置表!$T169</f>
        <v>0</v>
      </c>
    </row>
    <row r="377" spans="1:3">
      <c r="A377" s="115">
        <f>[3]任务经验掉落配置表!$C170</f>
        <v>0</v>
      </c>
      <c r="B377" s="115">
        <f>[3]任务经验掉落配置表!$N170</f>
        <v>84</v>
      </c>
      <c r="C377" s="115">
        <f>[3]任务经验掉落配置表!$T170</f>
        <v>0</v>
      </c>
    </row>
    <row r="378" spans="1:3">
      <c r="A378" s="115">
        <f>[3]任务经验掉落配置表!$C171</f>
        <v>0</v>
      </c>
      <c r="B378" s="115">
        <f>[3]任务经验掉落配置表!$N171</f>
        <v>84</v>
      </c>
      <c r="C378" s="115">
        <f>[3]任务经验掉落配置表!$T171</f>
        <v>0</v>
      </c>
    </row>
    <row r="379" spans="1:3">
      <c r="A379" s="115">
        <f>[3]任务经验掉落配置表!$C172</f>
        <v>0</v>
      </c>
      <c r="B379" s="115">
        <f>[3]任务经验掉落配置表!$N172</f>
        <v>84</v>
      </c>
      <c r="C379" s="115">
        <f>[3]任务经验掉落配置表!$T172</f>
        <v>0</v>
      </c>
    </row>
    <row r="380" spans="1:3">
      <c r="A380" s="115">
        <f>[3]任务经验掉落配置表!$C173</f>
        <v>0</v>
      </c>
      <c r="B380" s="115">
        <f>[3]任务经验掉落配置表!$N173</f>
        <v>84</v>
      </c>
      <c r="C380" s="115">
        <f>[3]任务经验掉落配置表!$T173</f>
        <v>0</v>
      </c>
    </row>
    <row r="381" spans="1:3">
      <c r="A381" s="115">
        <f>[3]任务经验掉落配置表!$C174</f>
        <v>0</v>
      </c>
      <c r="B381" s="115">
        <f>[3]任务经验掉落配置表!$N174</f>
        <v>84</v>
      </c>
      <c r="C381" s="115">
        <f>[3]任务经验掉落配置表!$T174</f>
        <v>0</v>
      </c>
    </row>
    <row r="382" spans="1:3">
      <c r="A382" s="115">
        <f>[3]任务经验掉落配置表!$C175</f>
        <v>0</v>
      </c>
      <c r="B382" s="115">
        <f>[3]任务经验掉落配置表!$N175</f>
        <v>84</v>
      </c>
      <c r="C382" s="115">
        <f>[3]任务经验掉落配置表!$T175</f>
        <v>0</v>
      </c>
    </row>
    <row r="383" spans="1:3">
      <c r="A383" s="115">
        <f>[3]任务经验掉落配置表!$C176</f>
        <v>0</v>
      </c>
      <c r="B383" s="115">
        <f>[3]任务经验掉落配置表!$N176</f>
        <v>84</v>
      </c>
      <c r="C383" s="115">
        <f>[3]任务经验掉落配置表!$T176</f>
        <v>0</v>
      </c>
    </row>
    <row r="384" spans="1:3">
      <c r="A384" s="115">
        <f>[3]任务经验掉落配置表!$C177</f>
        <v>0</v>
      </c>
      <c r="B384" s="115">
        <f>[3]任务经验掉落配置表!$N177</f>
        <v>84</v>
      </c>
      <c r="C384" s="115">
        <f>[3]任务经验掉落配置表!$T177</f>
        <v>0</v>
      </c>
    </row>
    <row r="385" spans="1:3">
      <c r="A385" s="115">
        <f>[3]任务经验掉落配置表!$C178</f>
        <v>0</v>
      </c>
      <c r="B385" s="115">
        <f>[3]任务经验掉落配置表!$N178</f>
        <v>84</v>
      </c>
      <c r="C385" s="115">
        <f>[3]任务经验掉落配置表!$T178</f>
        <v>0</v>
      </c>
    </row>
    <row r="386" spans="1:3">
      <c r="A386" s="115">
        <f>[3]任务经验掉落配置表!$C179</f>
        <v>0</v>
      </c>
      <c r="B386" s="115">
        <f>[3]任务经验掉落配置表!$N179</f>
        <v>84</v>
      </c>
      <c r="C386" s="115">
        <f>[3]任务经验掉落配置表!$T179</f>
        <v>0</v>
      </c>
    </row>
    <row r="387" spans="1:3">
      <c r="A387" s="115">
        <f>[3]任务经验掉落配置表!$C180</f>
        <v>0</v>
      </c>
      <c r="B387" s="115">
        <f>[3]任务经验掉落配置表!$N180</f>
        <v>84</v>
      </c>
      <c r="C387" s="115">
        <f>[3]任务经验掉落配置表!$T180</f>
        <v>0</v>
      </c>
    </row>
    <row r="388" spans="1:3">
      <c r="A388" s="115">
        <f>[3]任务经验掉落配置表!$C181</f>
        <v>0</v>
      </c>
      <c r="B388" s="115">
        <f>[3]任务经验掉落配置表!$N181</f>
        <v>84</v>
      </c>
      <c r="C388" s="115">
        <f>[3]任务经验掉落配置表!$T181</f>
        <v>0</v>
      </c>
    </row>
    <row r="389" spans="1:3">
      <c r="A389" s="115">
        <f>[3]任务经验掉落配置表!$C182</f>
        <v>0</v>
      </c>
      <c r="B389" s="115">
        <f>[3]任务经验掉落配置表!$N182</f>
        <v>84</v>
      </c>
      <c r="C389" s="115">
        <f>[3]任务经验掉落配置表!$T182</f>
        <v>0</v>
      </c>
    </row>
    <row r="390" spans="1:3">
      <c r="A390" s="115">
        <f>[3]任务经验掉落配置表!$C183</f>
        <v>0</v>
      </c>
      <c r="B390" s="115">
        <f>[3]任务经验掉落配置表!$N183</f>
        <v>84</v>
      </c>
      <c r="C390" s="115">
        <f>[3]任务经验掉落配置表!$T183</f>
        <v>0</v>
      </c>
    </row>
    <row r="391" spans="1:3">
      <c r="A391" s="115">
        <f>[3]任务经验掉落配置表!$C184</f>
        <v>0</v>
      </c>
      <c r="B391" s="115">
        <f>[3]任务经验掉落配置表!$N184</f>
        <v>84</v>
      </c>
      <c r="C391" s="115">
        <f>[3]任务经验掉落配置表!$T184</f>
        <v>0</v>
      </c>
    </row>
    <row r="392" spans="1:3">
      <c r="A392" s="115">
        <f>[3]任务经验掉落配置表!$C185</f>
        <v>0</v>
      </c>
      <c r="B392" s="115">
        <f>[3]任务经验掉落配置表!$N185</f>
        <v>84</v>
      </c>
      <c r="C392" s="115">
        <f>[3]任务经验掉落配置表!$T185</f>
        <v>0</v>
      </c>
    </row>
    <row r="393" spans="1:3">
      <c r="A393" s="115">
        <f>[3]任务经验掉落配置表!$C186</f>
        <v>0</v>
      </c>
      <c r="B393" s="115">
        <f>[3]任务经验掉落配置表!$N186</f>
        <v>84</v>
      </c>
      <c r="C393" s="115">
        <f>[3]任务经验掉落配置表!$T186</f>
        <v>0</v>
      </c>
    </row>
    <row r="394" spans="1:3">
      <c r="A394" s="115">
        <f>[3]任务经验掉落配置表!$C187</f>
        <v>0</v>
      </c>
      <c r="B394" s="115">
        <f>[3]任务经验掉落配置表!$N187</f>
        <v>84</v>
      </c>
      <c r="C394" s="115">
        <f>[3]任务经验掉落配置表!$T187</f>
        <v>0</v>
      </c>
    </row>
    <row r="395" spans="1:3">
      <c r="B395"/>
      <c r="C395"/>
    </row>
    <row r="396" spans="1:3">
      <c r="B396"/>
      <c r="C396"/>
    </row>
    <row r="397" spans="1:3">
      <c r="B397"/>
      <c r="C397"/>
    </row>
    <row r="398" spans="1:3">
      <c r="B398"/>
      <c r="C398"/>
    </row>
    <row r="399" spans="1:3">
      <c r="B399"/>
      <c r="C399"/>
    </row>
    <row r="400" spans="1:3">
      <c r="B400"/>
      <c r="C400"/>
    </row>
    <row r="401" spans="2:3">
      <c r="B401"/>
      <c r="C401"/>
    </row>
    <row r="402" spans="2:3">
      <c r="B402"/>
      <c r="C402"/>
    </row>
    <row r="403" spans="2:3">
      <c r="B403"/>
      <c r="C403"/>
    </row>
    <row r="404" spans="2:3">
      <c r="B404"/>
      <c r="C404"/>
    </row>
    <row r="405" spans="2:3">
      <c r="B405"/>
      <c r="C405"/>
    </row>
    <row r="406" spans="2:3">
      <c r="B406"/>
      <c r="C406"/>
    </row>
    <row r="407" spans="2:3">
      <c r="B407"/>
      <c r="C407"/>
    </row>
    <row r="408" spans="2:3">
      <c r="B408"/>
      <c r="C408"/>
    </row>
    <row r="409" spans="2:3">
      <c r="B409"/>
      <c r="C409"/>
    </row>
    <row r="410" spans="2:3">
      <c r="B410"/>
      <c r="C410"/>
    </row>
    <row r="411" spans="2:3">
      <c r="B411"/>
      <c r="C411"/>
    </row>
    <row r="412" spans="2:3">
      <c r="B412"/>
      <c r="C412"/>
    </row>
    <row r="413" spans="2:3">
      <c r="B413"/>
      <c r="C413"/>
    </row>
    <row r="414" spans="2:3">
      <c r="B414"/>
      <c r="C414"/>
    </row>
    <row r="415" spans="2:3">
      <c r="B415"/>
      <c r="C415"/>
    </row>
    <row r="416" spans="2:3">
      <c r="B416"/>
      <c r="C416"/>
    </row>
    <row r="417" spans="2:3">
      <c r="B417"/>
      <c r="C417"/>
    </row>
    <row r="418" spans="2:3">
      <c r="B418"/>
      <c r="C418"/>
    </row>
    <row r="419" spans="2:3">
      <c r="B419"/>
      <c r="C419"/>
    </row>
    <row r="420" spans="2:3">
      <c r="B420"/>
      <c r="C420"/>
    </row>
  </sheetData>
  <phoneticPr fontId="1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347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O30" sqref="O30"/>
    </sheetView>
  </sheetViews>
  <sheetFormatPr defaultRowHeight="13.5"/>
  <cols>
    <col min="1" max="1" width="6.5" bestFit="1" customWidth="1"/>
    <col min="2" max="2" width="20.5" bestFit="1" customWidth="1"/>
    <col min="5" max="5" width="12.75" bestFit="1" customWidth="1"/>
    <col min="7" max="7" width="11.625" bestFit="1" customWidth="1"/>
    <col min="8" max="9" width="9" bestFit="1" customWidth="1"/>
    <col min="11" max="11" width="12.75" bestFit="1" customWidth="1"/>
    <col min="12" max="12" width="8.875" customWidth="1"/>
    <col min="13" max="13" width="9" style="67"/>
    <col min="15" max="15" width="10.625" customWidth="1"/>
    <col min="20" max="21" width="13.875" bestFit="1" customWidth="1"/>
    <col min="31" max="31" width="13" style="144" customWidth="1"/>
    <col min="32" max="32" width="12.875" style="144" customWidth="1"/>
    <col min="33" max="33" width="13.875" style="144" bestFit="1" customWidth="1"/>
    <col min="34" max="34" width="11.25" style="144" customWidth="1"/>
    <col min="35" max="35" width="6.75" style="144" customWidth="1"/>
    <col min="36" max="36" width="12.75" bestFit="1" customWidth="1"/>
    <col min="37" max="37" width="13.5" style="144" customWidth="1"/>
    <col min="38" max="41" width="9.5" customWidth="1"/>
    <col min="50" max="50" width="13" bestFit="1" customWidth="1"/>
    <col min="51" max="51" width="13" customWidth="1"/>
    <col min="54" max="56" width="13" customWidth="1"/>
  </cols>
  <sheetData>
    <row r="1" spans="1:56">
      <c r="A1" t="s">
        <v>1283</v>
      </c>
      <c r="B1" t="s">
        <v>1284</v>
      </c>
      <c r="E1" t="s">
        <v>1285</v>
      </c>
      <c r="G1" t="s">
        <v>1288</v>
      </c>
      <c r="H1" t="s">
        <v>1289</v>
      </c>
      <c r="I1" t="s">
        <v>1290</v>
      </c>
      <c r="J1" t="s">
        <v>1291</v>
      </c>
      <c r="K1" t="s">
        <v>1292</v>
      </c>
      <c r="L1" t="s">
        <v>1306</v>
      </c>
      <c r="M1" s="30" t="s">
        <v>1486</v>
      </c>
      <c r="N1" s="30" t="s">
        <v>1325</v>
      </c>
      <c r="X1" t="s">
        <v>1308</v>
      </c>
      <c r="Y1" t="s">
        <v>1307</v>
      </c>
      <c r="Z1" t="s">
        <v>1313</v>
      </c>
      <c r="AA1" t="s">
        <v>1314</v>
      </c>
      <c r="AB1" t="s">
        <v>1315</v>
      </c>
      <c r="AC1" t="s">
        <v>1317</v>
      </c>
      <c r="AE1" s="144" t="s">
        <v>1311</v>
      </c>
      <c r="AF1" s="144" t="s">
        <v>1312</v>
      </c>
      <c r="AG1" s="144" t="s">
        <v>1316</v>
      </c>
      <c r="AH1" s="144" t="s">
        <v>1319</v>
      </c>
      <c r="AK1" s="144" t="s">
        <v>1324</v>
      </c>
      <c r="AL1" s="144" t="s">
        <v>1326</v>
      </c>
      <c r="AM1" s="144" t="s">
        <v>1330</v>
      </c>
      <c r="AN1" s="144" t="s">
        <v>1323</v>
      </c>
      <c r="AO1" s="144" t="s">
        <v>1331</v>
      </c>
      <c r="AP1" t="s">
        <v>1320</v>
      </c>
      <c r="AQ1" t="s">
        <v>1321</v>
      </c>
      <c r="AS1" t="s">
        <v>1309</v>
      </c>
      <c r="AT1" t="s">
        <v>1310</v>
      </c>
      <c r="AU1" t="s">
        <v>1318</v>
      </c>
      <c r="AX1" t="s">
        <v>1322</v>
      </c>
      <c r="AY1" t="s">
        <v>1321</v>
      </c>
      <c r="BB1" t="s">
        <v>1325</v>
      </c>
      <c r="BC1" t="s">
        <v>1334</v>
      </c>
      <c r="BD1" t="s">
        <v>1335</v>
      </c>
    </row>
    <row r="2" spans="1:56">
      <c r="A2">
        <v>1</v>
      </c>
      <c r="B2" s="15">
        <v>200000</v>
      </c>
      <c r="E2">
        <f>升级时间!K4*金币生产率曲线!B2</f>
        <v>0</v>
      </c>
      <c r="G2" s="15">
        <f>'[2]3、总属性战斗节奏拟合'!D5</f>
        <v>495.65999999999997</v>
      </c>
      <c r="H2" s="15">
        <f>'[2]3、总属性战斗节奏拟合'!E5</f>
        <v>118.80000000000001</v>
      </c>
      <c r="I2" s="15">
        <f>'[2]3、总属性战斗节奏拟合'!F5</f>
        <v>52.800000000000004</v>
      </c>
      <c r="J2">
        <f>SUMPRODUCT(G2:I2,$T$7:$V$7)</f>
        <v>191.42640000000003</v>
      </c>
      <c r="K2">
        <v>1</v>
      </c>
      <c r="L2">
        <v>30</v>
      </c>
      <c r="M2" s="67">
        <f>ROUND($P$2*($P$3+$P$4*A2+$P$5*A2^2),0)</f>
        <v>50</v>
      </c>
      <c r="N2">
        <f t="shared" ref="N2:N20" si="0">M2</f>
        <v>50</v>
      </c>
      <c r="O2" s="2" t="s">
        <v>1305</v>
      </c>
      <c r="P2" s="2">
        <v>1</v>
      </c>
      <c r="T2" s="2" t="s">
        <v>1286</v>
      </c>
      <c r="U2" s="9">
        <f>SUM(E2:E81)</f>
        <v>442953121.95036423</v>
      </c>
      <c r="X2">
        <v>1</v>
      </c>
      <c r="Y2">
        <f>M2</f>
        <v>50</v>
      </c>
      <c r="Z2">
        <v>10.920000000000002</v>
      </c>
      <c r="AA2">
        <v>15.7</v>
      </c>
      <c r="AB2">
        <f>'[4]消耗&amp;价值&amp;分析'!$AT7</f>
        <v>0</v>
      </c>
      <c r="AC2">
        <f>AU2</f>
        <v>0</v>
      </c>
      <c r="AE2" s="144">
        <f t="shared" ref="AE2:AE33" si="1">$Y2*Z2</f>
        <v>546.00000000000011</v>
      </c>
      <c r="AF2" s="144">
        <f t="shared" ref="AF2:AF33" si="2">$Y2*AA2</f>
        <v>785</v>
      </c>
      <c r="AG2" s="144">
        <f t="shared" ref="AG2:AG33" si="3">$Y2*AB2</f>
        <v>0</v>
      </c>
      <c r="AH2" s="144">
        <f t="shared" ref="AH2:AH33" si="4">$Y2*AC2</f>
        <v>0</v>
      </c>
      <c r="AJ2" s="145">
        <f>SUM($AK$2:AK2)</f>
        <v>546.00000000000011</v>
      </c>
      <c r="AK2" s="144">
        <f t="shared" ref="AK2:AK33" si="5">AE2+AG2+AH2</f>
        <v>546.00000000000011</v>
      </c>
      <c r="AL2">
        <f t="shared" ref="AL2:AL33" si="6">SUMIF($B$172:$B$347,A2,$C$172:$C$347)</f>
        <v>1336</v>
      </c>
      <c r="AM2">
        <f>IFERROR(VLOOKUP(A2,$B$172:$E$347,4,0),0)</f>
        <v>0</v>
      </c>
      <c r="AN2">
        <v>40000</v>
      </c>
      <c r="AO2">
        <f>体力消耗运算!$AB$20*金币投放!$N$8</f>
        <v>24526.854838709678</v>
      </c>
      <c r="AP2">
        <f t="shared" ref="AP2:AP15" si="7">AP3</f>
        <v>0</v>
      </c>
      <c r="AQ2" t="e">
        <f>(AK2-AL2-AM2)/AP2-AN2-AO2</f>
        <v>#DIV/0!</v>
      </c>
      <c r="AS2">
        <f>SUM([5]强化辅助表!$Q$42:$Q$47)</f>
        <v>16.7</v>
      </c>
      <c r="AT2">
        <f>AT7/2</f>
        <v>18.580000000000002</v>
      </c>
      <c r="AX2" s="15" t="e">
        <f t="shared" ref="AX2:AX33" si="8">AQ2</f>
        <v>#DIV/0!</v>
      </c>
      <c r="AY2" s="15">
        <f t="shared" ref="AY2:AY33" si="9">$BA$3*($BA$4+$BA$5*A2+$BA$6*A2^2)</f>
        <v>81820</v>
      </c>
      <c r="BB2" s="15">
        <f>AY2*0.01*升级时间!K4</f>
        <v>0</v>
      </c>
      <c r="BC2" s="15"/>
      <c r="BD2" s="15"/>
    </row>
    <row r="3" spans="1:56">
      <c r="A3">
        <v>2</v>
      </c>
      <c r="B3" s="15">
        <v>228000</v>
      </c>
      <c r="E3">
        <f>升级时间!K5*金币生产率曲线!B3</f>
        <v>910.89171184273027</v>
      </c>
      <c r="G3" s="15">
        <f>'[2]3、总属性战斗节奏拟合'!D6</f>
        <v>577.43999999999994</v>
      </c>
      <c r="H3" s="15">
        <f>'[2]3、总属性战斗节奏拟合'!E6</f>
        <v>129.6</v>
      </c>
      <c r="I3" s="15">
        <f>'[2]3、总属性战斗节奏拟合'!F6</f>
        <v>57.6</v>
      </c>
      <c r="J3">
        <f t="shared" ref="J3:J66" si="10">SUMPRODUCT(G3:I3,$T$7:$V$7)</f>
        <v>210.29759999999999</v>
      </c>
      <c r="K3">
        <f>J3-J2</f>
        <v>18.871199999999959</v>
      </c>
      <c r="L3">
        <v>30</v>
      </c>
      <c r="M3" s="67">
        <f t="shared" ref="M3:M20" si="11">ROUND($P$2*($P$3+$P$4*A3+$P$5*A3^2),0)</f>
        <v>56</v>
      </c>
      <c r="N3">
        <f t="shared" si="0"/>
        <v>56</v>
      </c>
      <c r="O3" s="2" t="s">
        <v>1302</v>
      </c>
      <c r="P3" s="2">
        <v>44</v>
      </c>
      <c r="T3" s="2" t="s">
        <v>1287</v>
      </c>
      <c r="U3" s="9">
        <f>(B2+B81)/2</f>
        <v>1306000</v>
      </c>
      <c r="X3">
        <v>2</v>
      </c>
      <c r="Y3">
        <f>M3</f>
        <v>56</v>
      </c>
      <c r="Z3">
        <v>10.920000000000002</v>
      </c>
      <c r="AA3">
        <v>15.7</v>
      </c>
      <c r="AB3">
        <f>'[4]消耗&amp;价值&amp;分析'!$AT8</f>
        <v>0</v>
      </c>
      <c r="AC3">
        <f t="shared" ref="AC3:AC66" si="12">AU3</f>
        <v>0</v>
      </c>
      <c r="AE3" s="144">
        <f t="shared" si="1"/>
        <v>611.5200000000001</v>
      </c>
      <c r="AF3" s="144">
        <f t="shared" si="2"/>
        <v>879.19999999999993</v>
      </c>
      <c r="AG3" s="144">
        <f t="shared" si="3"/>
        <v>0</v>
      </c>
      <c r="AH3" s="144">
        <f t="shared" si="4"/>
        <v>0</v>
      </c>
      <c r="AJ3" s="145">
        <f>SUM($AK$2:AK3)</f>
        <v>1157.5200000000002</v>
      </c>
      <c r="AK3" s="144">
        <f>AE3+AG3+AH3</f>
        <v>611.5200000000001</v>
      </c>
      <c r="AL3">
        <f t="shared" si="6"/>
        <v>324</v>
      </c>
      <c r="AM3">
        <f t="shared" ref="AM3:AM66" si="13">IFERROR(VLOOKUP(A3,$B$172:$E$347,4,0),0)</f>
        <v>3093</v>
      </c>
      <c r="AN3">
        <v>40000</v>
      </c>
      <c r="AO3">
        <f>体力消耗运算!$AB$20*金币投放!$N$8</f>
        <v>24526.854838709678</v>
      </c>
      <c r="AP3">
        <f t="shared" si="7"/>
        <v>0</v>
      </c>
      <c r="AQ3" t="e">
        <f t="shared" ref="AQ3:AQ66" si="14">(AK3-AL3-AM3)/AP3-AN3-AO3</f>
        <v>#DIV/0!</v>
      </c>
      <c r="AS3">
        <f>AS2</f>
        <v>16.7</v>
      </c>
      <c r="AT3">
        <f>AT8/2</f>
        <v>18.580000000000002</v>
      </c>
      <c r="AX3" s="15" t="e">
        <f t="shared" si="8"/>
        <v>#DIV/0!</v>
      </c>
      <c r="AY3" s="15">
        <f t="shared" si="9"/>
        <v>83680</v>
      </c>
      <c r="AZ3" s="2" t="s">
        <v>1305</v>
      </c>
      <c r="BA3" s="2">
        <v>1</v>
      </c>
      <c r="BB3" s="15">
        <f>AY3*0.01*升级时间!K5</f>
        <v>3.343132388026302</v>
      </c>
      <c r="BC3" s="15"/>
      <c r="BD3" s="15"/>
    </row>
    <row r="4" spans="1:56">
      <c r="A4">
        <v>3</v>
      </c>
      <c r="B4" s="15">
        <v>256000</v>
      </c>
      <c r="E4">
        <f>升级时间!K6*金币生产率曲线!B4</f>
        <v>0</v>
      </c>
      <c r="G4" s="15">
        <f>'[2]3、总属性战斗节奏拟合'!D7</f>
        <v>665.34000000000015</v>
      </c>
      <c r="H4" s="15">
        <f>'[2]3、总属性战斗节奏拟合'!E7</f>
        <v>140.4</v>
      </c>
      <c r="I4" s="15">
        <f>'[2]3、总属性战斗节奏拟合'!F7</f>
        <v>62.400000000000006</v>
      </c>
      <c r="J4">
        <f t="shared" si="10"/>
        <v>229.4136</v>
      </c>
      <c r="K4">
        <f t="shared" ref="K4:K67" si="15">J4-J3</f>
        <v>19.116000000000014</v>
      </c>
      <c r="L4">
        <v>30</v>
      </c>
      <c r="M4" s="67">
        <f t="shared" si="11"/>
        <v>62</v>
      </c>
      <c r="N4">
        <f t="shared" si="0"/>
        <v>62</v>
      </c>
      <c r="O4" s="2" t="s">
        <v>1303</v>
      </c>
      <c r="P4" s="2">
        <v>6</v>
      </c>
      <c r="X4">
        <v>3</v>
      </c>
      <c r="Y4">
        <f t="shared" ref="Y4:Y67" si="16">M4</f>
        <v>62</v>
      </c>
      <c r="Z4">
        <v>10.920000000000002</v>
      </c>
      <c r="AA4">
        <v>15.7</v>
      </c>
      <c r="AB4">
        <f>'[4]消耗&amp;价值&amp;分析'!$AT9</f>
        <v>0</v>
      </c>
      <c r="AC4">
        <f t="shared" si="12"/>
        <v>0</v>
      </c>
      <c r="AE4" s="144">
        <f t="shared" si="1"/>
        <v>677.04000000000008</v>
      </c>
      <c r="AF4" s="144">
        <f t="shared" si="2"/>
        <v>973.4</v>
      </c>
      <c r="AG4" s="144">
        <f t="shared" si="3"/>
        <v>0</v>
      </c>
      <c r="AH4" s="144">
        <f t="shared" si="4"/>
        <v>0</v>
      </c>
      <c r="AJ4" s="145">
        <f>SUM($AK$2:AK4)</f>
        <v>1834.5600000000004</v>
      </c>
      <c r="AK4" s="144">
        <f>AE4+AG4+AH4</f>
        <v>677.04000000000008</v>
      </c>
      <c r="AL4">
        <f t="shared" si="6"/>
        <v>1032</v>
      </c>
      <c r="AM4">
        <f t="shared" si="13"/>
        <v>3179</v>
      </c>
      <c r="AN4">
        <v>40000</v>
      </c>
      <c r="AO4">
        <f>体力消耗运算!$AB$20*金币投放!$N$8</f>
        <v>24526.854838709678</v>
      </c>
      <c r="AP4">
        <f t="shared" si="7"/>
        <v>0</v>
      </c>
      <c r="AQ4" t="e">
        <f t="shared" si="14"/>
        <v>#DIV/0!</v>
      </c>
      <c r="AS4">
        <f>AS3</f>
        <v>16.7</v>
      </c>
      <c r="AT4">
        <f>AT9/2</f>
        <v>18.580000000000002</v>
      </c>
      <c r="AX4" s="15" t="e">
        <f t="shared" si="8"/>
        <v>#DIV/0!</v>
      </c>
      <c r="AY4" s="15">
        <f t="shared" si="9"/>
        <v>85580</v>
      </c>
      <c r="AZ4" s="2" t="s">
        <v>1302</v>
      </c>
      <c r="BA4" s="2">
        <v>80000</v>
      </c>
      <c r="BB4" s="15">
        <f>AY4*0.01*升级时间!K6</f>
        <v>0</v>
      </c>
      <c r="BC4" s="15"/>
      <c r="BD4" s="15"/>
    </row>
    <row r="5" spans="1:56">
      <c r="A5">
        <v>4</v>
      </c>
      <c r="B5" s="15">
        <v>284000</v>
      </c>
      <c r="E5">
        <f>升级时间!K7*金币生产率曲线!B5</f>
        <v>0</v>
      </c>
      <c r="G5" s="15">
        <f>'[2]3、总属性战斗节奏拟合'!D8</f>
        <v>759.3599999999999</v>
      </c>
      <c r="H5" s="15">
        <f>'[2]3、总属性战斗节奏拟合'!E8</f>
        <v>151.19999999999999</v>
      </c>
      <c r="I5" s="15">
        <f>'[2]3、总属性战斗节奏拟合'!F8</f>
        <v>67.2</v>
      </c>
      <c r="J5">
        <f t="shared" si="10"/>
        <v>248.77440000000001</v>
      </c>
      <c r="K5">
        <f t="shared" si="15"/>
        <v>19.360800000000012</v>
      </c>
      <c r="L5">
        <v>30</v>
      </c>
      <c r="M5" s="67">
        <f t="shared" si="11"/>
        <v>68</v>
      </c>
      <c r="N5">
        <f t="shared" si="0"/>
        <v>68</v>
      </c>
      <c r="O5" s="2" t="s">
        <v>1304</v>
      </c>
      <c r="P5" s="2">
        <v>0</v>
      </c>
      <c r="X5">
        <v>4</v>
      </c>
      <c r="Y5">
        <f t="shared" si="16"/>
        <v>68</v>
      </c>
      <c r="Z5">
        <v>10.920000000000002</v>
      </c>
      <c r="AA5">
        <v>15.7</v>
      </c>
      <c r="AB5">
        <f>'[4]消耗&amp;价值&amp;分析'!$AT10</f>
        <v>0</v>
      </c>
      <c r="AC5">
        <f t="shared" si="12"/>
        <v>0</v>
      </c>
      <c r="AE5" s="144">
        <f t="shared" si="1"/>
        <v>742.56000000000017</v>
      </c>
      <c r="AF5" s="144">
        <f t="shared" si="2"/>
        <v>1067.5999999999999</v>
      </c>
      <c r="AG5" s="144">
        <f t="shared" si="3"/>
        <v>0</v>
      </c>
      <c r="AH5" s="144">
        <f t="shared" si="4"/>
        <v>0</v>
      </c>
      <c r="AJ5" s="145">
        <f>SUM($AK$2:AK5)</f>
        <v>2577.1200000000008</v>
      </c>
      <c r="AK5" s="144">
        <f t="shared" si="5"/>
        <v>742.56000000000017</v>
      </c>
      <c r="AL5">
        <f t="shared" si="6"/>
        <v>360</v>
      </c>
      <c r="AM5">
        <f t="shared" si="13"/>
        <v>3265</v>
      </c>
      <c r="AN5">
        <v>40000</v>
      </c>
      <c r="AO5">
        <f>体力消耗运算!$AB$20*金币投放!$N$8</f>
        <v>24526.854838709678</v>
      </c>
      <c r="AP5">
        <f t="shared" si="7"/>
        <v>0</v>
      </c>
      <c r="AQ5" t="e">
        <f t="shared" si="14"/>
        <v>#DIV/0!</v>
      </c>
      <c r="AS5">
        <f>AS4</f>
        <v>16.7</v>
      </c>
      <c r="AT5">
        <f>AT10/2</f>
        <v>18.580000000000002</v>
      </c>
      <c r="AX5" s="15" t="e">
        <f t="shared" si="8"/>
        <v>#DIV/0!</v>
      </c>
      <c r="AY5" s="15">
        <f t="shared" si="9"/>
        <v>87520</v>
      </c>
      <c r="AZ5" s="2" t="s">
        <v>1303</v>
      </c>
      <c r="BA5" s="2">
        <v>1800</v>
      </c>
      <c r="BB5" s="15">
        <f>AY5*0.01*升级时间!K7</f>
        <v>0</v>
      </c>
      <c r="BC5" s="15"/>
      <c r="BD5" s="15"/>
    </row>
    <row r="6" spans="1:56">
      <c r="A6">
        <v>5</v>
      </c>
      <c r="B6" s="15">
        <v>312000</v>
      </c>
      <c r="E6">
        <f>升级时间!K8*金币生产率曲线!B6</f>
        <v>3565.8892063876638</v>
      </c>
      <c r="G6" s="15">
        <f>'[2]3、总属性战斗节奏拟合'!D9</f>
        <v>859.50000000000011</v>
      </c>
      <c r="H6" s="15">
        <f>'[2]3、总属性战斗节奏拟合'!E9</f>
        <v>162</v>
      </c>
      <c r="I6" s="15">
        <f>'[2]3、总属性战斗节奏拟合'!F9</f>
        <v>72</v>
      </c>
      <c r="J6">
        <f t="shared" si="10"/>
        <v>268.38</v>
      </c>
      <c r="K6">
        <f t="shared" si="15"/>
        <v>19.605599999999981</v>
      </c>
      <c r="L6">
        <v>30</v>
      </c>
      <c r="M6" s="67">
        <f t="shared" si="11"/>
        <v>74</v>
      </c>
      <c r="N6">
        <f t="shared" si="0"/>
        <v>74</v>
      </c>
      <c r="T6" s="143" t="str">
        <f>[2]各种公式!C12</f>
        <v>生命</v>
      </c>
      <c r="U6" s="143" t="str">
        <f>[2]各种公式!D12</f>
        <v>攻击</v>
      </c>
      <c r="V6" s="143" t="str">
        <f>[2]各种公式!E12</f>
        <v>防御</v>
      </c>
      <c r="X6">
        <v>5</v>
      </c>
      <c r="Y6">
        <f t="shared" si="16"/>
        <v>74</v>
      </c>
      <c r="Z6">
        <v>10.920000000000002</v>
      </c>
      <c r="AA6">
        <v>15.7</v>
      </c>
      <c r="AB6">
        <f>'[4]消耗&amp;价值&amp;分析'!$AT11</f>
        <v>0</v>
      </c>
      <c r="AC6">
        <f t="shared" si="12"/>
        <v>0</v>
      </c>
      <c r="AE6" s="144">
        <f t="shared" si="1"/>
        <v>808.08000000000015</v>
      </c>
      <c r="AF6" s="144">
        <f t="shared" si="2"/>
        <v>1161.8</v>
      </c>
      <c r="AG6" s="144">
        <f t="shared" si="3"/>
        <v>0</v>
      </c>
      <c r="AH6" s="144">
        <f t="shared" si="4"/>
        <v>0</v>
      </c>
      <c r="AJ6" s="145">
        <f>SUM($AK$2:AK6)</f>
        <v>3385.2000000000007</v>
      </c>
      <c r="AK6" s="144">
        <f t="shared" si="5"/>
        <v>808.08000000000015</v>
      </c>
      <c r="AL6">
        <f t="shared" si="6"/>
        <v>0</v>
      </c>
      <c r="AM6">
        <f t="shared" si="13"/>
        <v>0</v>
      </c>
      <c r="AN6">
        <v>40000</v>
      </c>
      <c r="AO6">
        <f>体力消耗运算!$AB$20*金币投放!$N$8</f>
        <v>24526.854838709678</v>
      </c>
      <c r="AP6">
        <f t="shared" si="7"/>
        <v>0</v>
      </c>
      <c r="AQ6" t="e">
        <f t="shared" si="14"/>
        <v>#DIV/0!</v>
      </c>
      <c r="AS6">
        <f>AS5</f>
        <v>16.7</v>
      </c>
      <c r="AT6">
        <f>AT11/2</f>
        <v>18.580000000000002</v>
      </c>
      <c r="AX6" s="15" t="e">
        <f t="shared" si="8"/>
        <v>#DIV/0!</v>
      </c>
      <c r="AY6" s="15">
        <f t="shared" si="9"/>
        <v>89500</v>
      </c>
      <c r="AZ6" s="2" t="s">
        <v>1304</v>
      </c>
      <c r="BA6" s="2">
        <v>20</v>
      </c>
      <c r="BB6" s="15">
        <f>AY6*0.01*升级时间!K8</f>
        <v>10.229073204221022</v>
      </c>
      <c r="BC6" s="15"/>
      <c r="BD6" s="15"/>
    </row>
    <row r="7" spans="1:56">
      <c r="A7">
        <v>6</v>
      </c>
      <c r="B7" s="15">
        <v>340000</v>
      </c>
      <c r="E7">
        <f>升级时间!K9*金币生产率曲线!B7</f>
        <v>0</v>
      </c>
      <c r="G7" s="15">
        <f>'[2]3、总属性战斗节奏拟合'!D10</f>
        <v>1490.8920000000001</v>
      </c>
      <c r="H7" s="15">
        <f>'[2]3、总属性战斗节奏拟合'!E10</f>
        <v>266.76</v>
      </c>
      <c r="I7" s="15">
        <f>'[2]3、总属性战斗节奏拟合'!F10</f>
        <v>118.56</v>
      </c>
      <c r="J7">
        <f t="shared" si="10"/>
        <v>444.95567999999997</v>
      </c>
      <c r="K7">
        <f t="shared" si="15"/>
        <v>176.57567999999998</v>
      </c>
      <c r="L7">
        <v>30</v>
      </c>
      <c r="M7" s="67">
        <f t="shared" si="11"/>
        <v>80</v>
      </c>
      <c r="N7">
        <f t="shared" si="0"/>
        <v>80</v>
      </c>
      <c r="T7" s="143">
        <f>[2]各种公式!C13</f>
        <v>0.04</v>
      </c>
      <c r="U7" s="143">
        <f>[2]各种公式!D13</f>
        <v>1</v>
      </c>
      <c r="V7" s="143">
        <f>[2]各种公式!E13</f>
        <v>1</v>
      </c>
      <c r="X7">
        <v>6</v>
      </c>
      <c r="Y7">
        <f t="shared" si="16"/>
        <v>80</v>
      </c>
      <c r="Z7">
        <v>23.24</v>
      </c>
      <c r="AA7">
        <v>31.4</v>
      </c>
      <c r="AB7">
        <f>'[4]消耗&amp;价值&amp;分析'!$AT12</f>
        <v>0</v>
      </c>
      <c r="AC7">
        <f t="shared" si="12"/>
        <v>0</v>
      </c>
      <c r="AE7" s="144">
        <f t="shared" si="1"/>
        <v>1859.1999999999998</v>
      </c>
      <c r="AF7" s="144">
        <f t="shared" si="2"/>
        <v>2512</v>
      </c>
      <c r="AG7" s="144">
        <f t="shared" si="3"/>
        <v>0</v>
      </c>
      <c r="AH7" s="144">
        <f t="shared" si="4"/>
        <v>0</v>
      </c>
      <c r="AJ7" s="145">
        <f>SUM($AK$2:AK7)</f>
        <v>5244.4000000000005</v>
      </c>
      <c r="AK7" s="144">
        <f t="shared" si="5"/>
        <v>1859.1999999999998</v>
      </c>
      <c r="AL7">
        <f t="shared" si="6"/>
        <v>780</v>
      </c>
      <c r="AM7">
        <f t="shared" si="13"/>
        <v>3437</v>
      </c>
      <c r="AN7">
        <v>40000</v>
      </c>
      <c r="AO7">
        <f>体力消耗运算!$AB$20*金币投放!$N$8</f>
        <v>24526.854838709678</v>
      </c>
      <c r="AP7">
        <f t="shared" si="7"/>
        <v>0</v>
      </c>
      <c r="AQ7" t="e">
        <f t="shared" si="14"/>
        <v>#DIV/0!</v>
      </c>
      <c r="AS7">
        <f>SUM([5]强化辅助表!$Q$48:$Q$53)</f>
        <v>29.36</v>
      </c>
      <c r="AT7">
        <f>SUM([5]强化辅助表!$Q$54:$Q$59)</f>
        <v>37.160000000000004</v>
      </c>
      <c r="AX7" s="15" t="e">
        <f t="shared" si="8"/>
        <v>#DIV/0!</v>
      </c>
      <c r="AY7" s="15">
        <f t="shared" si="9"/>
        <v>91520</v>
      </c>
      <c r="BB7" s="15">
        <f>AY7*0.01*升级时间!K9</f>
        <v>0</v>
      </c>
      <c r="BC7" s="15"/>
      <c r="BD7" s="15"/>
    </row>
    <row r="8" spans="1:56">
      <c r="A8">
        <v>7</v>
      </c>
      <c r="B8" s="15">
        <v>368000</v>
      </c>
      <c r="E8">
        <f>升级时间!K10*金币生产率曲线!B8</f>
        <v>5080.603205561184</v>
      </c>
      <c r="G8" s="15">
        <f>'[2]3、总属性战斗节奏拟合'!D11</f>
        <v>1795.7769374999998</v>
      </c>
      <c r="H8" s="15">
        <f>'[2]3、总属性战斗节奏拟合'!E11</f>
        <v>305.80874999999997</v>
      </c>
      <c r="I8" s="15">
        <f>'[2]3、总属性战斗节奏拟合'!F11</f>
        <v>135.91499999999999</v>
      </c>
      <c r="J8">
        <f t="shared" si="10"/>
        <v>513.55482749999999</v>
      </c>
      <c r="K8">
        <f t="shared" si="15"/>
        <v>68.599147500000015</v>
      </c>
      <c r="L8">
        <v>30</v>
      </c>
      <c r="M8" s="67">
        <f t="shared" si="11"/>
        <v>86</v>
      </c>
      <c r="N8">
        <f t="shared" si="0"/>
        <v>86</v>
      </c>
      <c r="X8">
        <v>7</v>
      </c>
      <c r="Y8">
        <f t="shared" si="16"/>
        <v>86</v>
      </c>
      <c r="Z8">
        <v>23.24</v>
      </c>
      <c r="AA8">
        <v>31.4</v>
      </c>
      <c r="AB8">
        <f>'[4]消耗&amp;价值&amp;分析'!$AT13</f>
        <v>18</v>
      </c>
      <c r="AC8">
        <f t="shared" si="12"/>
        <v>0</v>
      </c>
      <c r="AE8" s="144">
        <f t="shared" si="1"/>
        <v>1998.6399999999999</v>
      </c>
      <c r="AF8" s="144">
        <f t="shared" si="2"/>
        <v>2700.4</v>
      </c>
      <c r="AG8" s="144">
        <f>$Y8*AB8</f>
        <v>1548</v>
      </c>
      <c r="AH8" s="144">
        <f t="shared" si="4"/>
        <v>0</v>
      </c>
      <c r="AJ8" s="145">
        <f>SUM($AK$2:AK8)</f>
        <v>8791.0400000000009</v>
      </c>
      <c r="AK8" s="144">
        <f t="shared" si="5"/>
        <v>3546.64</v>
      </c>
      <c r="AL8">
        <f t="shared" si="6"/>
        <v>0</v>
      </c>
      <c r="AM8">
        <f t="shared" si="13"/>
        <v>0</v>
      </c>
      <c r="AN8">
        <v>40000</v>
      </c>
      <c r="AO8">
        <f>体力消耗运算!$AB$20*金币投放!$N$8</f>
        <v>24526.854838709678</v>
      </c>
      <c r="AP8">
        <f t="shared" si="7"/>
        <v>0</v>
      </c>
      <c r="AQ8" t="e">
        <f t="shared" si="14"/>
        <v>#DIV/0!</v>
      </c>
      <c r="AS8">
        <f>AS7</f>
        <v>29.36</v>
      </c>
      <c r="AT8">
        <f>AT7</f>
        <v>37.160000000000004</v>
      </c>
      <c r="AX8" s="15" t="e">
        <f t="shared" si="8"/>
        <v>#DIV/0!</v>
      </c>
      <c r="AY8" s="15">
        <f t="shared" si="9"/>
        <v>93580</v>
      </c>
      <c r="BB8" s="15">
        <f>AY8*0.01*升级时间!K10</f>
        <v>12.919642608054774</v>
      </c>
      <c r="BC8" s="15"/>
      <c r="BD8" s="15"/>
    </row>
    <row r="9" spans="1:56">
      <c r="A9">
        <v>8</v>
      </c>
      <c r="B9" s="15">
        <v>396000</v>
      </c>
      <c r="E9">
        <f>升级时间!K11*金币生产率曲线!B9</f>
        <v>1441.8912107517169</v>
      </c>
      <c r="G9" s="15">
        <f>'[2]3、总属性战斗节奏拟合'!D12</f>
        <v>2138.9940000000001</v>
      </c>
      <c r="H9" s="15">
        <f>'[2]3、总属性战斗节奏拟合'!E12</f>
        <v>347.49</v>
      </c>
      <c r="I9" s="15">
        <f>'[2]3、总属性战斗节奏拟合'!F12</f>
        <v>154.44000000000003</v>
      </c>
      <c r="J9">
        <f t="shared" si="10"/>
        <v>587.48976000000005</v>
      </c>
      <c r="K9">
        <f t="shared" si="15"/>
        <v>73.934932500000059</v>
      </c>
      <c r="L9">
        <v>30</v>
      </c>
      <c r="M9" s="67">
        <f t="shared" si="11"/>
        <v>92</v>
      </c>
      <c r="N9">
        <f t="shared" si="0"/>
        <v>92</v>
      </c>
      <c r="X9">
        <v>8</v>
      </c>
      <c r="Y9">
        <f t="shared" si="16"/>
        <v>92</v>
      </c>
      <c r="Z9">
        <v>23.24</v>
      </c>
      <c r="AA9">
        <v>31.4</v>
      </c>
      <c r="AB9">
        <f>'[4]消耗&amp;价值&amp;分析'!$AT14</f>
        <v>19</v>
      </c>
      <c r="AC9">
        <f t="shared" si="12"/>
        <v>0</v>
      </c>
      <c r="AE9" s="144">
        <f t="shared" si="1"/>
        <v>2138.08</v>
      </c>
      <c r="AF9" s="144">
        <f t="shared" si="2"/>
        <v>2888.7999999999997</v>
      </c>
      <c r="AG9" s="144">
        <f t="shared" si="3"/>
        <v>1748</v>
      </c>
      <c r="AH9" s="144">
        <f t="shared" si="4"/>
        <v>0</v>
      </c>
      <c r="AJ9" s="145">
        <f>SUM($AK$2:AK9)</f>
        <v>12677.12</v>
      </c>
      <c r="AK9" s="144">
        <f t="shared" si="5"/>
        <v>3886.08</v>
      </c>
      <c r="AL9">
        <f t="shared" si="6"/>
        <v>408</v>
      </c>
      <c r="AM9">
        <f t="shared" si="13"/>
        <v>3609</v>
      </c>
      <c r="AN9">
        <v>40000</v>
      </c>
      <c r="AO9">
        <f>体力消耗运算!$AB$20*金币投放!$N$8</f>
        <v>24526.854838709678</v>
      </c>
      <c r="AP9">
        <f t="shared" si="7"/>
        <v>0</v>
      </c>
      <c r="AQ9" t="e">
        <f t="shared" si="14"/>
        <v>#DIV/0!</v>
      </c>
      <c r="AS9">
        <f t="shared" ref="AS9:AS16" si="17">AS8</f>
        <v>29.36</v>
      </c>
      <c r="AT9">
        <f t="shared" ref="AT9:AT16" si="18">AT8</f>
        <v>37.160000000000004</v>
      </c>
      <c r="AX9" s="15" t="e">
        <f t="shared" si="8"/>
        <v>#DIV/0!</v>
      </c>
      <c r="AY9" s="15">
        <f t="shared" si="9"/>
        <v>95680</v>
      </c>
      <c r="BB9" s="15">
        <f>AY9*0.01*升级时间!K11</f>
        <v>3.4838421980990981</v>
      </c>
      <c r="BC9" s="15"/>
      <c r="BD9" s="15"/>
    </row>
    <row r="10" spans="1:56">
      <c r="A10">
        <v>9</v>
      </c>
      <c r="B10" s="15">
        <v>424000</v>
      </c>
      <c r="E10">
        <f>升级时间!K12*金币生产率曲线!B10</f>
        <v>7740.6578381909658</v>
      </c>
      <c r="G10" s="15">
        <f>'[2]3、总属性战斗节奏拟合'!D13</f>
        <v>2810.0112472826086</v>
      </c>
      <c r="H10" s="15">
        <f>'[2]3、总属性战斗节奏拟合'!E13</f>
        <v>436.41244565217391</v>
      </c>
      <c r="I10" s="15">
        <f>'[2]3、总属性战斗节奏拟合'!F13</f>
        <v>193.96108695652174</v>
      </c>
      <c r="J10">
        <f t="shared" si="10"/>
        <v>742.77398249999999</v>
      </c>
      <c r="K10">
        <f t="shared" si="15"/>
        <v>155.28422249999994</v>
      </c>
      <c r="L10">
        <v>30</v>
      </c>
      <c r="M10" s="67">
        <f t="shared" si="11"/>
        <v>98</v>
      </c>
      <c r="N10">
        <f t="shared" si="0"/>
        <v>98</v>
      </c>
      <c r="X10">
        <v>9</v>
      </c>
      <c r="Y10">
        <f t="shared" si="16"/>
        <v>98</v>
      </c>
      <c r="Z10">
        <v>23.24</v>
      </c>
      <c r="AA10">
        <v>31.4</v>
      </c>
      <c r="AB10">
        <f>'[4]消耗&amp;价值&amp;分析'!$AT15</f>
        <v>12</v>
      </c>
      <c r="AC10">
        <f t="shared" si="12"/>
        <v>0</v>
      </c>
      <c r="AE10" s="144">
        <f t="shared" si="1"/>
        <v>2277.52</v>
      </c>
      <c r="AF10" s="144">
        <f t="shared" si="2"/>
        <v>3077.2</v>
      </c>
      <c r="AG10" s="144">
        <f t="shared" si="3"/>
        <v>1176</v>
      </c>
      <c r="AH10" s="144">
        <f t="shared" si="4"/>
        <v>0</v>
      </c>
      <c r="AJ10" s="145">
        <f>SUM($AK$2:AK10)</f>
        <v>16130.640000000001</v>
      </c>
      <c r="AK10" s="144">
        <f t="shared" si="5"/>
        <v>3453.52</v>
      </c>
      <c r="AL10">
        <f t="shared" si="6"/>
        <v>0</v>
      </c>
      <c r="AM10">
        <f t="shared" si="13"/>
        <v>0</v>
      </c>
      <c r="AN10">
        <v>40000</v>
      </c>
      <c r="AO10">
        <f>体力消耗运算!$AB$20*金币投放!$N$8</f>
        <v>24526.854838709678</v>
      </c>
      <c r="AP10">
        <f t="shared" si="7"/>
        <v>0</v>
      </c>
      <c r="AQ10" t="e">
        <f t="shared" si="14"/>
        <v>#DIV/0!</v>
      </c>
      <c r="AS10">
        <f t="shared" si="17"/>
        <v>29.36</v>
      </c>
      <c r="AT10">
        <f t="shared" si="18"/>
        <v>37.160000000000004</v>
      </c>
      <c r="AX10" s="15" t="e">
        <f t="shared" si="8"/>
        <v>#DIV/0!</v>
      </c>
      <c r="AY10" s="15">
        <f t="shared" si="9"/>
        <v>97820</v>
      </c>
      <c r="BB10" s="15">
        <f>AY10*0.01*升级时间!K12</f>
        <v>17.858281833298122</v>
      </c>
      <c r="BC10" s="15"/>
      <c r="BD10" s="15"/>
    </row>
    <row r="11" spans="1:56">
      <c r="A11">
        <v>10</v>
      </c>
      <c r="B11" s="15">
        <v>452000</v>
      </c>
      <c r="E11">
        <f>升级时间!K13*金币生产率曲线!B11</f>
        <v>-4493.9873504385114</v>
      </c>
      <c r="G11" s="15">
        <f>'[2]3、总属性战斗节奏拟合'!D14</f>
        <v>3580.6793478260875</v>
      </c>
      <c r="H11" s="15">
        <f>'[2]3、总属性战斗节奏拟合'!E14</f>
        <v>532.66304347826099</v>
      </c>
      <c r="I11" s="15">
        <f>'[2]3、总属性战斗节奏拟合'!F14</f>
        <v>236.73913043478265</v>
      </c>
      <c r="J11">
        <f t="shared" si="10"/>
        <v>912.62934782608716</v>
      </c>
      <c r="K11">
        <f t="shared" si="15"/>
        <v>169.85536532608717</v>
      </c>
      <c r="L11">
        <v>30</v>
      </c>
      <c r="M11" s="67">
        <f t="shared" si="11"/>
        <v>104</v>
      </c>
      <c r="N11">
        <f t="shared" si="0"/>
        <v>104</v>
      </c>
      <c r="X11">
        <v>10</v>
      </c>
      <c r="Y11">
        <f t="shared" si="16"/>
        <v>104</v>
      </c>
      <c r="Z11">
        <v>23.24</v>
      </c>
      <c r="AA11">
        <v>31.4</v>
      </c>
      <c r="AB11">
        <f>'[4]消耗&amp;价值&amp;分析'!$AT16</f>
        <v>38</v>
      </c>
      <c r="AC11">
        <f t="shared" si="12"/>
        <v>0</v>
      </c>
      <c r="AE11" s="144">
        <f t="shared" si="1"/>
        <v>2416.96</v>
      </c>
      <c r="AF11" s="144">
        <f t="shared" si="2"/>
        <v>3265.6</v>
      </c>
      <c r="AG11" s="144">
        <f t="shared" si="3"/>
        <v>3952</v>
      </c>
      <c r="AH11" s="144">
        <f t="shared" si="4"/>
        <v>0</v>
      </c>
      <c r="AJ11" s="145">
        <f>SUM($AK$2:AK11)</f>
        <v>22499.600000000002</v>
      </c>
      <c r="AK11" s="144">
        <f t="shared" si="5"/>
        <v>6368.96</v>
      </c>
      <c r="AL11">
        <f t="shared" si="6"/>
        <v>852</v>
      </c>
      <c r="AM11">
        <f t="shared" si="13"/>
        <v>3780</v>
      </c>
      <c r="AN11">
        <v>40000</v>
      </c>
      <c r="AO11">
        <f>体力消耗运算!$AB$20*金币投放!$N$8</f>
        <v>24526.854838709678</v>
      </c>
      <c r="AP11">
        <f t="shared" si="7"/>
        <v>0</v>
      </c>
      <c r="AQ11" t="e">
        <f t="shared" si="14"/>
        <v>#DIV/0!</v>
      </c>
      <c r="AS11">
        <f t="shared" si="17"/>
        <v>29.36</v>
      </c>
      <c r="AT11">
        <f t="shared" si="18"/>
        <v>37.160000000000004</v>
      </c>
      <c r="AX11" s="15" t="e">
        <f t="shared" si="8"/>
        <v>#DIV/0!</v>
      </c>
      <c r="AY11" s="15">
        <f t="shared" si="9"/>
        <v>100000</v>
      </c>
      <c r="BB11" s="15">
        <f>AY11*0.01*升级时间!K13</f>
        <v>-9.9424498903506873</v>
      </c>
      <c r="BC11" s="15"/>
      <c r="BD11" s="15"/>
    </row>
    <row r="12" spans="1:56">
      <c r="A12">
        <v>11</v>
      </c>
      <c r="B12" s="15">
        <v>480000</v>
      </c>
      <c r="E12">
        <f>升级时间!K14*金币生产率曲线!B12</f>
        <v>2422.5258616082892</v>
      </c>
      <c r="G12" s="15">
        <f>'[2]3、总属性战斗节奏拟合'!D15</f>
        <v>4457.2272309782602</v>
      </c>
      <c r="H12" s="15">
        <f>'[2]3、总属性战斗节奏拟合'!E15</f>
        <v>636.24179347826089</v>
      </c>
      <c r="I12" s="15">
        <f>'[2]3、总属性战斗节奏拟合'!F15</f>
        <v>282.77413043478259</v>
      </c>
      <c r="J12">
        <f t="shared" si="10"/>
        <v>1097.3050131521738</v>
      </c>
      <c r="K12">
        <f t="shared" si="15"/>
        <v>184.67566532608669</v>
      </c>
      <c r="L12">
        <v>30</v>
      </c>
      <c r="M12" s="67">
        <f t="shared" si="11"/>
        <v>110</v>
      </c>
      <c r="N12">
        <f t="shared" si="0"/>
        <v>110</v>
      </c>
      <c r="X12">
        <v>11</v>
      </c>
      <c r="Y12">
        <f t="shared" si="16"/>
        <v>110</v>
      </c>
      <c r="Z12">
        <v>23.24</v>
      </c>
      <c r="AA12">
        <v>31.4</v>
      </c>
      <c r="AB12">
        <f>'[4]消耗&amp;价值&amp;分析'!$AT17</f>
        <v>30</v>
      </c>
      <c r="AC12">
        <f t="shared" si="12"/>
        <v>0</v>
      </c>
      <c r="AE12" s="144">
        <f t="shared" si="1"/>
        <v>2556.3999999999996</v>
      </c>
      <c r="AF12" s="144">
        <f t="shared" si="2"/>
        <v>3454</v>
      </c>
      <c r="AG12" s="144">
        <f t="shared" si="3"/>
        <v>3300</v>
      </c>
      <c r="AH12" s="144">
        <f t="shared" si="4"/>
        <v>0</v>
      </c>
      <c r="AJ12" s="145">
        <f>SUM($AK$2:AK12)</f>
        <v>28356</v>
      </c>
      <c r="AK12" s="144">
        <f t="shared" si="5"/>
        <v>5856.4</v>
      </c>
      <c r="AL12">
        <f t="shared" si="6"/>
        <v>444</v>
      </c>
      <c r="AM12">
        <f t="shared" si="13"/>
        <v>3866</v>
      </c>
      <c r="AN12">
        <v>40000</v>
      </c>
      <c r="AO12">
        <f>体力消耗运算!$AB$20*金币投放!$N$8</f>
        <v>24526.854838709678</v>
      </c>
      <c r="AP12">
        <f t="shared" si="7"/>
        <v>0</v>
      </c>
      <c r="AQ12" t="e">
        <f t="shared" si="14"/>
        <v>#DIV/0!</v>
      </c>
      <c r="AS12">
        <f t="shared" si="17"/>
        <v>29.36</v>
      </c>
      <c r="AT12">
        <f t="shared" si="18"/>
        <v>37.160000000000004</v>
      </c>
      <c r="AX12" s="15" t="e">
        <f t="shared" si="8"/>
        <v>#DIV/0!</v>
      </c>
      <c r="AY12" s="15">
        <f t="shared" si="9"/>
        <v>102220</v>
      </c>
      <c r="BB12" s="15">
        <f>AY12*0.01*升级时间!K14</f>
        <v>5.158970699449986</v>
      </c>
      <c r="BC12" s="15"/>
      <c r="BD12" s="15"/>
    </row>
    <row r="13" spans="1:56">
      <c r="A13">
        <v>12</v>
      </c>
      <c r="B13" s="15">
        <v>508000</v>
      </c>
      <c r="E13">
        <f>升级时间!K15*金币生产率曲线!B13</f>
        <v>-11921.855396439792</v>
      </c>
      <c r="G13" s="15">
        <f>'[2]3、总属性战斗节奏拟合'!D16</f>
        <v>5445.8838260869561</v>
      </c>
      <c r="H13" s="15">
        <f>'[2]3、总属性战斗节奏拟合'!E16</f>
        <v>747.14869565217396</v>
      </c>
      <c r="I13" s="15">
        <f>'[2]3、总属性战斗节奏拟合'!F16</f>
        <v>332.06608695652176</v>
      </c>
      <c r="J13">
        <f t="shared" si="10"/>
        <v>1297.050135652174</v>
      </c>
      <c r="K13">
        <f t="shared" si="15"/>
        <v>199.74512250000021</v>
      </c>
      <c r="L13">
        <v>30</v>
      </c>
      <c r="M13" s="67">
        <f t="shared" si="11"/>
        <v>116</v>
      </c>
      <c r="N13">
        <f t="shared" si="0"/>
        <v>116</v>
      </c>
      <c r="X13">
        <v>12</v>
      </c>
      <c r="Y13">
        <f t="shared" si="16"/>
        <v>116</v>
      </c>
      <c r="Z13">
        <v>23.24</v>
      </c>
      <c r="AA13">
        <v>31.4</v>
      </c>
      <c r="AB13">
        <f>'[4]消耗&amp;价值&amp;分析'!$AT18</f>
        <v>26</v>
      </c>
      <c r="AC13">
        <f t="shared" si="12"/>
        <v>0</v>
      </c>
      <c r="AE13" s="144">
        <f t="shared" si="1"/>
        <v>2695.8399999999997</v>
      </c>
      <c r="AF13" s="144">
        <f t="shared" si="2"/>
        <v>3642.3999999999996</v>
      </c>
      <c r="AG13" s="144">
        <f t="shared" si="3"/>
        <v>3016</v>
      </c>
      <c r="AH13" s="144">
        <f t="shared" si="4"/>
        <v>0</v>
      </c>
      <c r="AJ13" s="145">
        <f>SUM($AK$2:AK13)</f>
        <v>34067.839999999997</v>
      </c>
      <c r="AK13" s="144">
        <f t="shared" si="5"/>
        <v>5711.84</v>
      </c>
      <c r="AL13">
        <f t="shared" si="6"/>
        <v>924</v>
      </c>
      <c r="AM13">
        <f t="shared" si="13"/>
        <v>3952</v>
      </c>
      <c r="AN13">
        <v>40000</v>
      </c>
      <c r="AO13">
        <f>体力消耗运算!$AB$20*金币投放!$N$8</f>
        <v>24526.854838709678</v>
      </c>
      <c r="AP13">
        <f t="shared" si="7"/>
        <v>0</v>
      </c>
      <c r="AQ13" t="e">
        <f t="shared" si="14"/>
        <v>#DIV/0!</v>
      </c>
      <c r="AS13">
        <f t="shared" si="17"/>
        <v>29.36</v>
      </c>
      <c r="AT13">
        <f t="shared" si="18"/>
        <v>37.160000000000004</v>
      </c>
      <c r="AX13" s="15" t="e">
        <f t="shared" si="8"/>
        <v>#DIV/0!</v>
      </c>
      <c r="AY13" s="15">
        <f t="shared" si="9"/>
        <v>104480</v>
      </c>
      <c r="BB13" s="15">
        <f>AY13*0.01*升级时间!K15</f>
        <v>-24.519595508268296</v>
      </c>
      <c r="BC13" s="15"/>
      <c r="BD13" s="15"/>
    </row>
    <row r="14" spans="1:56">
      <c r="A14">
        <v>13</v>
      </c>
      <c r="B14" s="15">
        <v>536000</v>
      </c>
      <c r="E14">
        <f>升级时间!K16*金币生产率曲线!B14</f>
        <v>0</v>
      </c>
      <c r="G14" s="15">
        <f>'[2]3、总属性战斗节奏拟合'!D17</f>
        <v>6552.878062499999</v>
      </c>
      <c r="H14" s="15">
        <f>'[2]3、总属性战斗节奏拟合'!E17</f>
        <v>865.38374999999996</v>
      </c>
      <c r="I14" s="15">
        <f>'[2]3、总属性战斗节奏拟合'!F17</f>
        <v>384.61500000000001</v>
      </c>
      <c r="J14">
        <f t="shared" si="10"/>
        <v>1512.1138724999998</v>
      </c>
      <c r="K14">
        <f t="shared" si="15"/>
        <v>215.06373684782579</v>
      </c>
      <c r="L14">
        <v>30</v>
      </c>
      <c r="M14" s="67">
        <f t="shared" si="11"/>
        <v>122</v>
      </c>
      <c r="N14">
        <f t="shared" si="0"/>
        <v>122</v>
      </c>
      <c r="X14">
        <v>13</v>
      </c>
      <c r="Y14">
        <f t="shared" si="16"/>
        <v>122</v>
      </c>
      <c r="Z14">
        <v>23.24</v>
      </c>
      <c r="AA14">
        <v>31.4</v>
      </c>
      <c r="AB14">
        <f>'[4]消耗&amp;价值&amp;分析'!$AT19</f>
        <v>54</v>
      </c>
      <c r="AC14">
        <f t="shared" si="12"/>
        <v>0</v>
      </c>
      <c r="AE14" s="144">
        <f t="shared" si="1"/>
        <v>2835.2799999999997</v>
      </c>
      <c r="AF14" s="144">
        <f t="shared" si="2"/>
        <v>3830.7999999999997</v>
      </c>
      <c r="AG14" s="144">
        <f t="shared" si="3"/>
        <v>6588</v>
      </c>
      <c r="AH14" s="144">
        <f t="shared" si="4"/>
        <v>0</v>
      </c>
      <c r="AJ14" s="145">
        <f>SUM($AK$2:AK14)</f>
        <v>43491.119999999995</v>
      </c>
      <c r="AK14" s="144">
        <f t="shared" si="5"/>
        <v>9423.2799999999988</v>
      </c>
      <c r="AL14">
        <f t="shared" si="6"/>
        <v>3380</v>
      </c>
      <c r="AM14">
        <f t="shared" si="13"/>
        <v>4038</v>
      </c>
      <c r="AN14">
        <v>40000</v>
      </c>
      <c r="AO14">
        <f>体力消耗运算!$AB$20*金币投放!$N$8</f>
        <v>24526.854838709678</v>
      </c>
      <c r="AP14">
        <f t="shared" si="7"/>
        <v>0</v>
      </c>
      <c r="AQ14" t="e">
        <f t="shared" si="14"/>
        <v>#DIV/0!</v>
      </c>
      <c r="AS14">
        <f t="shared" si="17"/>
        <v>29.36</v>
      </c>
      <c r="AT14">
        <f t="shared" si="18"/>
        <v>37.160000000000004</v>
      </c>
      <c r="AX14" s="15" t="e">
        <f t="shared" si="8"/>
        <v>#DIV/0!</v>
      </c>
      <c r="AY14" s="15">
        <f t="shared" si="9"/>
        <v>106780</v>
      </c>
      <c r="BB14" s="15">
        <f>AY14*0.01*升级时间!K16</f>
        <v>0</v>
      </c>
      <c r="BC14" s="15"/>
      <c r="BD14" s="15"/>
    </row>
    <row r="15" spans="1:56">
      <c r="A15">
        <v>14</v>
      </c>
      <c r="B15" s="15">
        <v>564000</v>
      </c>
      <c r="E15">
        <f>升级时间!K17*金币生产率曲线!B15</f>
        <v>0</v>
      </c>
      <c r="G15" s="15">
        <f>'[2]3、总属性战斗节奏拟合'!D18</f>
        <v>7784.4388695652187</v>
      </c>
      <c r="H15" s="15">
        <f>'[2]3、总属性战斗节奏拟合'!E18</f>
        <v>990.94695652173925</v>
      </c>
      <c r="I15" s="15">
        <f>'[2]3、总属性战斗节奏拟合'!F18</f>
        <v>440.42086956521746</v>
      </c>
      <c r="J15">
        <f t="shared" si="10"/>
        <v>1742.7453808695655</v>
      </c>
      <c r="K15">
        <f t="shared" si="15"/>
        <v>230.63150836956561</v>
      </c>
      <c r="L15">
        <v>30</v>
      </c>
      <c r="M15" s="67">
        <f t="shared" si="11"/>
        <v>128</v>
      </c>
      <c r="N15">
        <f t="shared" si="0"/>
        <v>128</v>
      </c>
      <c r="X15">
        <v>14</v>
      </c>
      <c r="Y15">
        <f t="shared" si="16"/>
        <v>128</v>
      </c>
      <c r="Z15">
        <v>23.24</v>
      </c>
      <c r="AA15">
        <v>31.4</v>
      </c>
      <c r="AB15">
        <f>'[4]消耗&amp;价值&amp;分析'!$AT20</f>
        <v>37</v>
      </c>
      <c r="AC15">
        <f t="shared" si="12"/>
        <v>0</v>
      </c>
      <c r="AE15" s="144">
        <f t="shared" si="1"/>
        <v>2974.72</v>
      </c>
      <c r="AF15" s="144">
        <f t="shared" si="2"/>
        <v>4019.2</v>
      </c>
      <c r="AG15" s="144">
        <f t="shared" si="3"/>
        <v>4736</v>
      </c>
      <c r="AH15" s="144">
        <f t="shared" si="4"/>
        <v>0</v>
      </c>
      <c r="AJ15" s="145">
        <f>SUM($AK$2:AK15)</f>
        <v>51201.84</v>
      </c>
      <c r="AK15" s="144">
        <f t="shared" si="5"/>
        <v>7710.7199999999993</v>
      </c>
      <c r="AL15">
        <f t="shared" si="6"/>
        <v>1124</v>
      </c>
      <c r="AM15">
        <f t="shared" si="13"/>
        <v>0</v>
      </c>
      <c r="AN15">
        <v>40000</v>
      </c>
      <c r="AO15">
        <f>体力消耗运算!$AB$20*金币投放!$N$8</f>
        <v>24526.854838709678</v>
      </c>
      <c r="AP15">
        <f t="shared" si="7"/>
        <v>0</v>
      </c>
      <c r="AQ15" t="e">
        <f t="shared" si="14"/>
        <v>#DIV/0!</v>
      </c>
      <c r="AS15">
        <f t="shared" si="17"/>
        <v>29.36</v>
      </c>
      <c r="AT15">
        <f t="shared" si="18"/>
        <v>37.160000000000004</v>
      </c>
      <c r="AX15" s="15" t="e">
        <f t="shared" si="8"/>
        <v>#DIV/0!</v>
      </c>
      <c r="AY15" s="15">
        <f t="shared" si="9"/>
        <v>109120</v>
      </c>
      <c r="BB15" s="15">
        <f>AY15*0.01*升级时间!K17</f>
        <v>0</v>
      </c>
      <c r="BC15" s="15"/>
      <c r="BD15" s="15"/>
    </row>
    <row r="16" spans="1:56">
      <c r="A16">
        <v>15</v>
      </c>
      <c r="B16" s="15">
        <v>592000</v>
      </c>
      <c r="E16">
        <f>升级时间!K18*金币生产率曲线!B16</f>
        <v>0</v>
      </c>
      <c r="G16" s="15">
        <f>'[2]3、总属性战斗节奏拟合'!D19</f>
        <v>9146.7951766304341</v>
      </c>
      <c r="H16" s="15">
        <f>'[2]3、总属性战斗节奏拟合'!E19</f>
        <v>1123.8383152173913</v>
      </c>
      <c r="I16" s="15">
        <f>'[2]3、总属性战斗节奏拟合'!F19</f>
        <v>499.48369565217394</v>
      </c>
      <c r="J16">
        <f t="shared" si="10"/>
        <v>1989.1938179347826</v>
      </c>
      <c r="K16">
        <f t="shared" si="15"/>
        <v>246.44843706521715</v>
      </c>
      <c r="L16">
        <v>30</v>
      </c>
      <c r="M16" s="67">
        <f t="shared" si="11"/>
        <v>134</v>
      </c>
      <c r="N16">
        <f t="shared" si="0"/>
        <v>134</v>
      </c>
      <c r="X16">
        <v>15</v>
      </c>
      <c r="Y16">
        <f t="shared" si="16"/>
        <v>134</v>
      </c>
      <c r="Z16">
        <v>23.24</v>
      </c>
      <c r="AA16">
        <v>31.4</v>
      </c>
      <c r="AB16">
        <f>'[4]消耗&amp;价值&amp;分析'!$AT21</f>
        <v>35</v>
      </c>
      <c r="AC16">
        <f t="shared" si="12"/>
        <v>0</v>
      </c>
      <c r="AE16" s="144">
        <f t="shared" si="1"/>
        <v>3114.16</v>
      </c>
      <c r="AF16" s="144">
        <f t="shared" si="2"/>
        <v>4207.5999999999995</v>
      </c>
      <c r="AG16" s="144">
        <f t="shared" si="3"/>
        <v>4690</v>
      </c>
      <c r="AH16" s="144">
        <f t="shared" si="4"/>
        <v>0</v>
      </c>
      <c r="AJ16" s="145">
        <f>SUM($AK$2:AK16)</f>
        <v>59006</v>
      </c>
      <c r="AK16" s="144">
        <f t="shared" si="5"/>
        <v>7804.16</v>
      </c>
      <c r="AL16">
        <f t="shared" si="6"/>
        <v>2228</v>
      </c>
      <c r="AM16">
        <f t="shared" si="13"/>
        <v>4210</v>
      </c>
      <c r="AN16">
        <v>40000</v>
      </c>
      <c r="AO16">
        <f>体力消耗运算!$AB$20*金币投放!$N$8</f>
        <v>24526.854838709678</v>
      </c>
      <c r="AP16">
        <f>AP17</f>
        <v>0</v>
      </c>
      <c r="AQ16" t="e">
        <f t="shared" si="14"/>
        <v>#DIV/0!</v>
      </c>
      <c r="AS16">
        <f t="shared" si="17"/>
        <v>29.36</v>
      </c>
      <c r="AT16">
        <f t="shared" si="18"/>
        <v>37.160000000000004</v>
      </c>
      <c r="AX16" s="15" t="e">
        <f t="shared" si="8"/>
        <v>#DIV/0!</v>
      </c>
      <c r="AY16" s="15">
        <f t="shared" si="9"/>
        <v>111500</v>
      </c>
      <c r="BB16" s="15">
        <f>AY16*0.01*升级时间!K18</f>
        <v>0</v>
      </c>
      <c r="BC16" s="15"/>
      <c r="BD16" s="15"/>
    </row>
    <row r="17" spans="1:56">
      <c r="A17">
        <v>16</v>
      </c>
      <c r="B17" s="15">
        <v>620000</v>
      </c>
      <c r="E17">
        <f>升级时间!K19*金币生产率曲线!B17</f>
        <v>0</v>
      </c>
      <c r="G17" s="15">
        <f>'[2]3、总属性战斗节奏拟合'!D20</f>
        <v>10646.17591304348</v>
      </c>
      <c r="H17" s="15">
        <f>'[2]3、总属性战斗节奏拟合'!E20</f>
        <v>1264.0578260869565</v>
      </c>
      <c r="I17" s="15">
        <f>'[2]3、总属性战斗节奏拟合'!F20</f>
        <v>561.80347826086961</v>
      </c>
      <c r="J17">
        <f t="shared" si="10"/>
        <v>2251.7083408695653</v>
      </c>
      <c r="K17">
        <f t="shared" si="15"/>
        <v>262.51452293478269</v>
      </c>
      <c r="L17">
        <v>30</v>
      </c>
      <c r="M17" s="67">
        <f t="shared" si="11"/>
        <v>140</v>
      </c>
      <c r="N17">
        <f t="shared" si="0"/>
        <v>140</v>
      </c>
      <c r="X17">
        <v>16</v>
      </c>
      <c r="Y17">
        <f t="shared" si="16"/>
        <v>140</v>
      </c>
      <c r="Z17">
        <v>51.56</v>
      </c>
      <c r="AA17">
        <v>74.660000000000011</v>
      </c>
      <c r="AB17">
        <f>'[4]消耗&amp;价值&amp;分析'!$AT22</f>
        <v>68</v>
      </c>
      <c r="AC17">
        <f t="shared" si="12"/>
        <v>0</v>
      </c>
      <c r="AE17" s="144">
        <f t="shared" si="1"/>
        <v>7218.4000000000005</v>
      </c>
      <c r="AF17" s="144">
        <f t="shared" si="2"/>
        <v>10452.400000000001</v>
      </c>
      <c r="AG17" s="144">
        <f t="shared" si="3"/>
        <v>9520</v>
      </c>
      <c r="AH17" s="144">
        <f t="shared" si="4"/>
        <v>0</v>
      </c>
      <c r="AJ17" s="145">
        <f>SUM($AK$2:AK17)</f>
        <v>75744.399999999994</v>
      </c>
      <c r="AK17" s="144">
        <f t="shared" si="5"/>
        <v>16738.400000000001</v>
      </c>
      <c r="AL17">
        <f t="shared" si="6"/>
        <v>1172</v>
      </c>
      <c r="AM17">
        <f t="shared" si="13"/>
        <v>0</v>
      </c>
      <c r="AN17">
        <v>40000</v>
      </c>
      <c r="AO17">
        <f>体力消耗运算!$AB$20*金币投放!$N$8</f>
        <v>24526.854838709678</v>
      </c>
      <c r="AP17">
        <f>升级时间!K19</f>
        <v>0</v>
      </c>
      <c r="AQ17" t="e">
        <f t="shared" si="14"/>
        <v>#DIV/0!</v>
      </c>
      <c r="AS17">
        <f>SUM([5]强化辅助表!$Q$72:$Q$77)</f>
        <v>51.56</v>
      </c>
      <c r="AT17">
        <f>SUM([5]强化辅助表!$Q$78:$Q$83)</f>
        <v>74.660000000000011</v>
      </c>
      <c r="AX17" s="15" t="e">
        <f t="shared" si="8"/>
        <v>#DIV/0!</v>
      </c>
      <c r="AY17" s="15">
        <f t="shared" si="9"/>
        <v>113920</v>
      </c>
      <c r="BB17" s="15">
        <f>AY17*0.01*升级时间!K19</f>
        <v>0</v>
      </c>
      <c r="BC17" s="15"/>
      <c r="BD17" s="15"/>
    </row>
    <row r="18" spans="1:56">
      <c r="A18">
        <v>17</v>
      </c>
      <c r="B18" s="15">
        <v>648000</v>
      </c>
      <c r="E18">
        <f>升级时间!K20*金币生产率曲线!B18</f>
        <v>0</v>
      </c>
      <c r="G18" s="15">
        <f>'[2]3、总属性战斗节奏拟合'!D21</f>
        <v>12288.810008152173</v>
      </c>
      <c r="H18" s="15">
        <f>'[2]3、总属性战斗节奏拟合'!E21</f>
        <v>1411.6054891304348</v>
      </c>
      <c r="I18" s="15">
        <f>'[2]3、总属性战斗节奏拟合'!F21</f>
        <v>627.38021739130443</v>
      </c>
      <c r="J18">
        <f t="shared" si="10"/>
        <v>2530.5381068478264</v>
      </c>
      <c r="K18">
        <f t="shared" si="15"/>
        <v>278.82976597826109</v>
      </c>
      <c r="L18">
        <v>30</v>
      </c>
      <c r="M18" s="67">
        <f t="shared" si="11"/>
        <v>146</v>
      </c>
      <c r="N18">
        <f t="shared" si="0"/>
        <v>146</v>
      </c>
      <c r="X18">
        <v>17</v>
      </c>
      <c r="Y18">
        <f t="shared" si="16"/>
        <v>146</v>
      </c>
      <c r="Z18">
        <v>51.56</v>
      </c>
      <c r="AA18">
        <v>74.660000000000011</v>
      </c>
      <c r="AB18">
        <f>'[4]消耗&amp;价值&amp;分析'!$AT23</f>
        <v>36</v>
      </c>
      <c r="AC18">
        <f t="shared" si="12"/>
        <v>0</v>
      </c>
      <c r="AE18" s="144">
        <f t="shared" si="1"/>
        <v>7527.76</v>
      </c>
      <c r="AF18" s="144">
        <f t="shared" si="2"/>
        <v>10900.360000000002</v>
      </c>
      <c r="AG18" s="144">
        <f t="shared" si="3"/>
        <v>5256</v>
      </c>
      <c r="AH18" s="144">
        <f t="shared" si="4"/>
        <v>0</v>
      </c>
      <c r="AJ18" s="145">
        <f>SUM($AK$2:AK18)</f>
        <v>88528.159999999989</v>
      </c>
      <c r="AK18" s="144">
        <f t="shared" si="5"/>
        <v>12783.76</v>
      </c>
      <c r="AL18">
        <f t="shared" si="6"/>
        <v>1816</v>
      </c>
      <c r="AM18">
        <f t="shared" si="13"/>
        <v>4382</v>
      </c>
      <c r="AN18">
        <v>40000</v>
      </c>
      <c r="AO18">
        <f>体力消耗运算!$AB$20*金币投放!$N$8</f>
        <v>24526.854838709678</v>
      </c>
      <c r="AP18">
        <f>升级时间!K20</f>
        <v>0</v>
      </c>
      <c r="AQ18" t="e">
        <f t="shared" si="14"/>
        <v>#DIV/0!</v>
      </c>
      <c r="AS18">
        <f>AS17</f>
        <v>51.56</v>
      </c>
      <c r="AT18">
        <f>AT17</f>
        <v>74.660000000000011</v>
      </c>
      <c r="AX18" s="15" t="e">
        <f t="shared" si="8"/>
        <v>#DIV/0!</v>
      </c>
      <c r="AY18" s="15">
        <f t="shared" si="9"/>
        <v>116380</v>
      </c>
      <c r="BB18" s="15">
        <f>AY18*0.01*升级时间!K20</f>
        <v>0</v>
      </c>
      <c r="BC18" s="15">
        <v>100000</v>
      </c>
      <c r="BD18" s="66">
        <f t="shared" ref="BD18:BD66" si="19">AY18-BC18-BB18</f>
        <v>16380</v>
      </c>
    </row>
    <row r="19" spans="1:56">
      <c r="A19">
        <v>18</v>
      </c>
      <c r="B19" s="15">
        <v>676000</v>
      </c>
      <c r="E19">
        <f>升级时间!K21*金币生产率曲线!B19</f>
        <v>0</v>
      </c>
      <c r="G19" s="15">
        <f>'[2]3、总属性战斗节奏拟合'!D22</f>
        <v>14080.926391304352</v>
      </c>
      <c r="H19" s="15">
        <f>'[2]3、总属性战斗节奏拟合'!E22</f>
        <v>1566.4813043478266</v>
      </c>
      <c r="I19" s="15">
        <f>'[2]3、总属性战斗节奏拟合'!F22</f>
        <v>696.21391304347856</v>
      </c>
      <c r="J19">
        <f t="shared" si="10"/>
        <v>2825.9322730434792</v>
      </c>
      <c r="K19">
        <f t="shared" si="15"/>
        <v>295.39416619565282</v>
      </c>
      <c r="L19">
        <v>30</v>
      </c>
      <c r="M19" s="67">
        <f t="shared" si="11"/>
        <v>152</v>
      </c>
      <c r="N19">
        <f t="shared" si="0"/>
        <v>152</v>
      </c>
      <c r="X19">
        <v>18</v>
      </c>
      <c r="Y19">
        <f t="shared" si="16"/>
        <v>152</v>
      </c>
      <c r="Z19">
        <v>51.56</v>
      </c>
      <c r="AA19">
        <v>74.660000000000011</v>
      </c>
      <c r="AB19">
        <f>'[4]消耗&amp;价值&amp;分析'!$AT24</f>
        <v>52</v>
      </c>
      <c r="AC19">
        <f t="shared" si="12"/>
        <v>0</v>
      </c>
      <c r="AE19" s="144">
        <f t="shared" si="1"/>
        <v>7837.1200000000008</v>
      </c>
      <c r="AF19" s="144">
        <f t="shared" si="2"/>
        <v>11348.320000000002</v>
      </c>
      <c r="AG19" s="144">
        <f t="shared" si="3"/>
        <v>7904</v>
      </c>
      <c r="AH19" s="144">
        <f t="shared" si="4"/>
        <v>0</v>
      </c>
      <c r="AJ19" s="145">
        <f>SUM($AK$2:AK19)</f>
        <v>104269.27999999998</v>
      </c>
      <c r="AK19" s="144">
        <f t="shared" si="5"/>
        <v>15741.12</v>
      </c>
      <c r="AL19">
        <f t="shared" si="6"/>
        <v>1220</v>
      </c>
      <c r="AM19">
        <f t="shared" si="13"/>
        <v>0</v>
      </c>
      <c r="AN19">
        <v>40000</v>
      </c>
      <c r="AO19">
        <f>体力消耗运算!$AB$20*金币投放!$N$8</f>
        <v>24526.854838709678</v>
      </c>
      <c r="AP19">
        <f>升级时间!K21</f>
        <v>0</v>
      </c>
      <c r="AQ19" t="e">
        <f t="shared" si="14"/>
        <v>#DIV/0!</v>
      </c>
      <c r="AS19">
        <f t="shared" ref="AS19:AS31" si="20">AS18</f>
        <v>51.56</v>
      </c>
      <c r="AT19">
        <f t="shared" ref="AT19:AT31" si="21">AT18</f>
        <v>74.660000000000011</v>
      </c>
      <c r="AX19" s="15" t="e">
        <f t="shared" si="8"/>
        <v>#DIV/0!</v>
      </c>
      <c r="AY19" s="15">
        <f t="shared" si="9"/>
        <v>118880</v>
      </c>
      <c r="BB19" s="15">
        <f>AY19*0.01*升级时间!K21</f>
        <v>0</v>
      </c>
      <c r="BC19" s="15">
        <v>102000</v>
      </c>
      <c r="BD19" s="15">
        <f t="shared" si="19"/>
        <v>16880</v>
      </c>
    </row>
    <row r="20" spans="1:56">
      <c r="A20">
        <v>19</v>
      </c>
      <c r="B20" s="15">
        <v>704000</v>
      </c>
      <c r="E20">
        <f>升级时间!K22*金币生产率曲线!B20</f>
        <v>0</v>
      </c>
      <c r="G20" s="15">
        <f>'[2]3、总属性战斗节奏拟合'!D23</f>
        <v>16028.753991847825</v>
      </c>
      <c r="H20" s="15">
        <f>'[2]3、总属性战斗节奏拟合'!E23</f>
        <v>1728.6852717391307</v>
      </c>
      <c r="I20" s="15">
        <f>'[2]3、总属性战斗节奏拟合'!F23</f>
        <v>768.30456521739143</v>
      </c>
      <c r="J20">
        <f t="shared" si="10"/>
        <v>3138.1399966304352</v>
      </c>
      <c r="K20">
        <f t="shared" si="15"/>
        <v>312.20772358695604</v>
      </c>
      <c r="L20">
        <v>30</v>
      </c>
      <c r="M20" s="67">
        <f t="shared" si="11"/>
        <v>158</v>
      </c>
      <c r="N20">
        <f t="shared" si="0"/>
        <v>158</v>
      </c>
      <c r="X20">
        <v>19</v>
      </c>
      <c r="Y20">
        <f t="shared" si="16"/>
        <v>158</v>
      </c>
      <c r="Z20">
        <v>51.56</v>
      </c>
      <c r="AA20">
        <v>74.660000000000011</v>
      </c>
      <c r="AB20">
        <f>'[4]消耗&amp;价值&amp;分析'!$AT25</f>
        <v>73</v>
      </c>
      <c r="AC20">
        <f t="shared" si="12"/>
        <v>0</v>
      </c>
      <c r="AE20" s="144">
        <f t="shared" si="1"/>
        <v>8146.4800000000005</v>
      </c>
      <c r="AF20" s="144">
        <f t="shared" si="2"/>
        <v>11796.280000000002</v>
      </c>
      <c r="AG20" s="144">
        <f t="shared" si="3"/>
        <v>11534</v>
      </c>
      <c r="AH20" s="144">
        <f t="shared" si="4"/>
        <v>0</v>
      </c>
      <c r="AJ20" s="145">
        <f>SUM($AK$2:AK20)</f>
        <v>123949.75999999998</v>
      </c>
      <c r="AK20" s="144">
        <f t="shared" si="5"/>
        <v>19680.48</v>
      </c>
      <c r="AL20">
        <f t="shared" si="6"/>
        <v>3466</v>
      </c>
      <c r="AM20">
        <f t="shared" si="13"/>
        <v>4554</v>
      </c>
      <c r="AN20">
        <v>40000</v>
      </c>
      <c r="AO20">
        <f>体力消耗运算!$AB$20*金币投放!$N$8</f>
        <v>24526.854838709678</v>
      </c>
      <c r="AP20">
        <f>升级时间!K22</f>
        <v>0</v>
      </c>
      <c r="AQ20" t="e">
        <f t="shared" si="14"/>
        <v>#DIV/0!</v>
      </c>
      <c r="AS20">
        <f t="shared" si="20"/>
        <v>51.56</v>
      </c>
      <c r="AT20">
        <f t="shared" si="21"/>
        <v>74.660000000000011</v>
      </c>
      <c r="AX20" s="15" t="e">
        <f t="shared" si="8"/>
        <v>#DIV/0!</v>
      </c>
      <c r="AY20" s="15">
        <f t="shared" si="9"/>
        <v>121420</v>
      </c>
      <c r="BB20" s="15">
        <f>AY20*0.01*升级时间!K22</f>
        <v>0</v>
      </c>
      <c r="BC20" s="15">
        <v>104000</v>
      </c>
      <c r="BD20" s="15">
        <f t="shared" si="19"/>
        <v>17420</v>
      </c>
    </row>
    <row r="21" spans="1:56">
      <c r="A21">
        <v>20</v>
      </c>
      <c r="B21" s="15">
        <v>732000</v>
      </c>
      <c r="E21">
        <f>升级时间!K23*金币生产率曲线!B21</f>
        <v>0</v>
      </c>
      <c r="G21" s="15">
        <f>'[2]3、总属性战斗节奏拟合'!D24</f>
        <v>18138.521739130436</v>
      </c>
      <c r="H21" s="15">
        <f>'[2]3、总属性战斗节奏拟合'!E24</f>
        <v>1898.217391304348</v>
      </c>
      <c r="I21" s="15">
        <f>'[2]3、总属性战斗节奏拟合'!F24</f>
        <v>843.65217391304361</v>
      </c>
      <c r="J21">
        <f t="shared" si="10"/>
        <v>3467.4104347826092</v>
      </c>
      <c r="K21">
        <f t="shared" si="15"/>
        <v>329.27043815217394</v>
      </c>
      <c r="L21">
        <f>E21/K21</f>
        <v>0</v>
      </c>
      <c r="M21" s="67">
        <f>ROUND($P$21*($P$22+$P$23*A21+$P$24*A21^2),0)</f>
        <v>182</v>
      </c>
      <c r="N21">
        <f t="shared" ref="N21:N66" si="22">M21</f>
        <v>182</v>
      </c>
      <c r="O21" s="2" t="s">
        <v>1305</v>
      </c>
      <c r="P21" s="2">
        <v>1</v>
      </c>
      <c r="X21">
        <v>20</v>
      </c>
      <c r="Y21">
        <f t="shared" si="16"/>
        <v>182</v>
      </c>
      <c r="Z21">
        <v>51.56</v>
      </c>
      <c r="AA21">
        <v>74.660000000000011</v>
      </c>
      <c r="AB21">
        <f>'[4]消耗&amp;价值&amp;分析'!$AT26</f>
        <v>51</v>
      </c>
      <c r="AC21">
        <f t="shared" si="12"/>
        <v>0</v>
      </c>
      <c r="AE21" s="144">
        <f t="shared" si="1"/>
        <v>9383.92</v>
      </c>
      <c r="AF21" s="144">
        <f t="shared" si="2"/>
        <v>13588.120000000003</v>
      </c>
      <c r="AG21" s="144">
        <f t="shared" si="3"/>
        <v>9282</v>
      </c>
      <c r="AH21" s="144">
        <f t="shared" si="4"/>
        <v>0</v>
      </c>
      <c r="AJ21" s="145">
        <f>SUM($AK$2:AK21)</f>
        <v>142615.67999999999</v>
      </c>
      <c r="AK21" s="144">
        <f t="shared" si="5"/>
        <v>18665.919999999998</v>
      </c>
      <c r="AL21">
        <f t="shared" si="6"/>
        <v>3078</v>
      </c>
      <c r="AM21">
        <f t="shared" si="13"/>
        <v>4640</v>
      </c>
      <c r="AN21">
        <v>40000</v>
      </c>
      <c r="AO21">
        <f>体力消耗运算!$AB$20*金币投放!$N$8</f>
        <v>24526.854838709678</v>
      </c>
      <c r="AP21">
        <f>升级时间!K23</f>
        <v>0</v>
      </c>
      <c r="AQ21" t="e">
        <f t="shared" si="14"/>
        <v>#DIV/0!</v>
      </c>
      <c r="AS21">
        <f t="shared" si="20"/>
        <v>51.56</v>
      </c>
      <c r="AT21">
        <f t="shared" si="21"/>
        <v>74.660000000000011</v>
      </c>
      <c r="AX21" s="15" t="e">
        <f t="shared" si="8"/>
        <v>#DIV/0!</v>
      </c>
      <c r="AY21" s="15">
        <f t="shared" si="9"/>
        <v>124000</v>
      </c>
      <c r="BB21" s="15">
        <f>AY21*0.01*升级时间!K23</f>
        <v>0</v>
      </c>
      <c r="BC21" s="15">
        <v>106000</v>
      </c>
      <c r="BD21" s="15">
        <f t="shared" si="19"/>
        <v>18000</v>
      </c>
    </row>
    <row r="22" spans="1:56">
      <c r="A22">
        <v>21</v>
      </c>
      <c r="B22" s="15">
        <v>760000</v>
      </c>
      <c r="E22">
        <f>升级时间!K24*金币生产率曲线!B22</f>
        <v>0</v>
      </c>
      <c r="G22" s="15">
        <f>'[2]3、总属性战斗节奏拟合'!D25</f>
        <v>20416.458562500007</v>
      </c>
      <c r="H22" s="15">
        <f>'[2]3、总属性战斗节奏拟合'!E25</f>
        <v>2075.0776630434789</v>
      </c>
      <c r="I22" s="15">
        <f>'[2]3、总属性战斗节奏拟合'!F25</f>
        <v>922.25673913043511</v>
      </c>
      <c r="J22">
        <f t="shared" si="10"/>
        <v>3813.9927446739143</v>
      </c>
      <c r="K22">
        <f t="shared" si="15"/>
        <v>346.58230989130516</v>
      </c>
      <c r="L22">
        <f t="shared" ref="L22:L66" si="23">E22/K22</f>
        <v>0</v>
      </c>
      <c r="M22" s="67">
        <f>ROUND($P$21*($P$22+$P$23*A22+$P$24*A22^2),0)</f>
        <v>210</v>
      </c>
      <c r="N22">
        <f t="shared" si="22"/>
        <v>210</v>
      </c>
      <c r="O22" s="2" t="s">
        <v>1302</v>
      </c>
      <c r="P22" s="2">
        <v>-90</v>
      </c>
      <c r="X22">
        <v>21</v>
      </c>
      <c r="Y22">
        <f t="shared" si="16"/>
        <v>210</v>
      </c>
      <c r="Z22">
        <v>51.56</v>
      </c>
      <c r="AA22">
        <v>74.660000000000011</v>
      </c>
      <c r="AB22">
        <f>'[4]消耗&amp;价值&amp;分析'!$AT27</f>
        <v>51</v>
      </c>
      <c r="AC22">
        <f t="shared" si="12"/>
        <v>0</v>
      </c>
      <c r="AE22" s="144">
        <f t="shared" si="1"/>
        <v>10827.6</v>
      </c>
      <c r="AF22" s="144">
        <f t="shared" si="2"/>
        <v>15678.600000000002</v>
      </c>
      <c r="AG22" s="144">
        <f t="shared" si="3"/>
        <v>10710</v>
      </c>
      <c r="AH22" s="144">
        <f t="shared" si="4"/>
        <v>0</v>
      </c>
      <c r="AJ22" s="145">
        <f>SUM($AK$2:AK22)</f>
        <v>164153.28</v>
      </c>
      <c r="AK22" s="144">
        <f t="shared" si="5"/>
        <v>21537.599999999999</v>
      </c>
      <c r="AL22">
        <f t="shared" si="6"/>
        <v>3390</v>
      </c>
      <c r="AM22">
        <f t="shared" si="13"/>
        <v>4726</v>
      </c>
      <c r="AN22">
        <v>40000</v>
      </c>
      <c r="AO22">
        <f>体力消耗运算!$AB$20*金币投放!$N$8</f>
        <v>24526.854838709678</v>
      </c>
      <c r="AP22">
        <f>升级时间!K24</f>
        <v>0</v>
      </c>
      <c r="AQ22" t="e">
        <f t="shared" si="14"/>
        <v>#DIV/0!</v>
      </c>
      <c r="AS22">
        <f t="shared" si="20"/>
        <v>51.56</v>
      </c>
      <c r="AT22">
        <f t="shared" si="21"/>
        <v>74.660000000000011</v>
      </c>
      <c r="AX22" s="15" t="e">
        <f t="shared" si="8"/>
        <v>#DIV/0!</v>
      </c>
      <c r="AY22" s="15">
        <f t="shared" si="9"/>
        <v>126620</v>
      </c>
      <c r="BB22" s="15">
        <f>AY22*0.01*升级时间!K24</f>
        <v>0</v>
      </c>
      <c r="BC22" s="15">
        <v>108000</v>
      </c>
      <c r="BD22" s="15">
        <f t="shared" si="19"/>
        <v>18620</v>
      </c>
    </row>
    <row r="23" spans="1:56">
      <c r="A23">
        <v>22</v>
      </c>
      <c r="B23" s="15">
        <v>788000</v>
      </c>
      <c r="E23">
        <f>升级时间!K25*金币生产率曲线!B23</f>
        <v>0</v>
      </c>
      <c r="G23" s="15">
        <f>'[2]3、总属性战斗节奏拟合'!D26</f>
        <v>22868.793391304349</v>
      </c>
      <c r="H23" s="15">
        <f>'[2]3、总属性战斗节奏拟合'!E26</f>
        <v>2259.266086956522</v>
      </c>
      <c r="I23" s="15">
        <f>'[2]3、总属性战斗节奏拟合'!F26</f>
        <v>1004.1182608695653</v>
      </c>
      <c r="J23">
        <f t="shared" si="10"/>
        <v>4178.1360834782608</v>
      </c>
      <c r="K23">
        <f t="shared" si="15"/>
        <v>364.14333880434651</v>
      </c>
      <c r="L23">
        <f t="shared" si="23"/>
        <v>0</v>
      </c>
      <c r="M23" s="67">
        <f t="shared" ref="M23:M85" si="24">ROUND($P$21*($P$22+$P$23*A23+$P$24*A23^2),0)</f>
        <v>239</v>
      </c>
      <c r="N23">
        <f t="shared" si="22"/>
        <v>239</v>
      </c>
      <c r="O23" s="2" t="s">
        <v>1303</v>
      </c>
      <c r="P23" s="2">
        <v>0</v>
      </c>
      <c r="X23">
        <v>22</v>
      </c>
      <c r="Y23">
        <f t="shared" si="16"/>
        <v>239</v>
      </c>
      <c r="Z23">
        <v>51.56</v>
      </c>
      <c r="AA23">
        <v>74.660000000000011</v>
      </c>
      <c r="AB23">
        <f>'[4]消耗&amp;价值&amp;分析'!$AT28</f>
        <v>92</v>
      </c>
      <c r="AC23">
        <f t="shared" si="12"/>
        <v>0</v>
      </c>
      <c r="AE23" s="144">
        <f t="shared" si="1"/>
        <v>12322.84</v>
      </c>
      <c r="AF23" s="144">
        <f t="shared" si="2"/>
        <v>17843.740000000002</v>
      </c>
      <c r="AG23" s="144">
        <f t="shared" si="3"/>
        <v>21988</v>
      </c>
      <c r="AH23" s="144">
        <f t="shared" si="4"/>
        <v>0</v>
      </c>
      <c r="AJ23" s="145">
        <f>SUM($AK$2:AK23)</f>
        <v>198464.12</v>
      </c>
      <c r="AK23" s="144">
        <f t="shared" si="5"/>
        <v>34310.839999999997</v>
      </c>
      <c r="AL23">
        <f t="shared" si="6"/>
        <v>3724</v>
      </c>
      <c r="AM23">
        <f t="shared" si="13"/>
        <v>4812</v>
      </c>
      <c r="AN23">
        <v>40000</v>
      </c>
      <c r="AO23">
        <f>体力消耗运算!$AB$20*金币投放!$N$8</f>
        <v>24526.854838709678</v>
      </c>
      <c r="AP23">
        <f>升级时间!K25</f>
        <v>0</v>
      </c>
      <c r="AQ23" t="e">
        <f t="shared" si="14"/>
        <v>#DIV/0!</v>
      </c>
      <c r="AS23">
        <f t="shared" si="20"/>
        <v>51.56</v>
      </c>
      <c r="AT23">
        <f t="shared" si="21"/>
        <v>74.660000000000011</v>
      </c>
      <c r="AX23" s="15" t="e">
        <f t="shared" si="8"/>
        <v>#DIV/0!</v>
      </c>
      <c r="AY23" s="15">
        <f t="shared" si="9"/>
        <v>129280</v>
      </c>
      <c r="BB23" s="15">
        <f>AY23*0.01*升级时间!K25</f>
        <v>0</v>
      </c>
      <c r="BC23" s="15">
        <v>110000</v>
      </c>
      <c r="BD23" s="15">
        <f t="shared" si="19"/>
        <v>19280</v>
      </c>
    </row>
    <row r="24" spans="1:56">
      <c r="A24">
        <v>23</v>
      </c>
      <c r="B24" s="15">
        <v>816000</v>
      </c>
      <c r="E24">
        <f>升级时间!K26*金币生产率曲线!B24</f>
        <v>0</v>
      </c>
      <c r="G24" s="15">
        <f>'[2]3、总属性战斗节奏拟合'!D27</f>
        <v>25977.209001045157</v>
      </c>
      <c r="H24" s="15">
        <f>'[2]3、总属性战斗节奏拟合'!E27</f>
        <v>2496.4749707357864</v>
      </c>
      <c r="I24" s="15">
        <f>'[2]3、总属性战斗节奏拟合'!F27</f>
        <v>1109.5444314381273</v>
      </c>
      <c r="J24">
        <f t="shared" si="10"/>
        <v>4645.10776221572</v>
      </c>
      <c r="K24">
        <f t="shared" si="15"/>
        <v>466.97167873745911</v>
      </c>
      <c r="L24">
        <f t="shared" si="23"/>
        <v>0</v>
      </c>
      <c r="M24" s="67">
        <f t="shared" si="24"/>
        <v>270</v>
      </c>
      <c r="N24">
        <f t="shared" si="22"/>
        <v>270</v>
      </c>
      <c r="O24" s="2" t="s">
        <v>1304</v>
      </c>
      <c r="P24" s="2">
        <v>0.68</v>
      </c>
      <c r="X24">
        <v>23</v>
      </c>
      <c r="Y24">
        <f t="shared" si="16"/>
        <v>270</v>
      </c>
      <c r="Z24">
        <v>51.56</v>
      </c>
      <c r="AA24">
        <v>74.660000000000011</v>
      </c>
      <c r="AB24">
        <f>'[4]消耗&amp;价值&amp;分析'!$AT29</f>
        <v>51</v>
      </c>
      <c r="AC24">
        <f t="shared" si="12"/>
        <v>0</v>
      </c>
      <c r="AE24" s="144">
        <f t="shared" si="1"/>
        <v>13921.2</v>
      </c>
      <c r="AF24" s="144">
        <f t="shared" si="2"/>
        <v>20158.200000000004</v>
      </c>
      <c r="AG24" s="144">
        <f t="shared" si="3"/>
        <v>13770</v>
      </c>
      <c r="AH24" s="144">
        <f t="shared" si="4"/>
        <v>0</v>
      </c>
      <c r="AJ24" s="145">
        <f>SUM($AK$2:AK24)</f>
        <v>226155.32</v>
      </c>
      <c r="AK24" s="144">
        <f t="shared" si="5"/>
        <v>27691.200000000001</v>
      </c>
      <c r="AL24">
        <f t="shared" si="6"/>
        <v>1340</v>
      </c>
      <c r="AM24">
        <f t="shared" si="13"/>
        <v>0</v>
      </c>
      <c r="AN24">
        <v>40000</v>
      </c>
      <c r="AO24">
        <f>体力消耗运算!$AB$20*金币投放!$N$8</f>
        <v>24526.854838709678</v>
      </c>
      <c r="AP24">
        <f>升级时间!K26</f>
        <v>0</v>
      </c>
      <c r="AQ24" t="e">
        <f t="shared" si="14"/>
        <v>#DIV/0!</v>
      </c>
      <c r="AS24">
        <f t="shared" si="20"/>
        <v>51.56</v>
      </c>
      <c r="AT24">
        <f t="shared" si="21"/>
        <v>74.660000000000011</v>
      </c>
      <c r="AX24" s="15" t="e">
        <f t="shared" si="8"/>
        <v>#DIV/0!</v>
      </c>
      <c r="AY24" s="15">
        <f t="shared" si="9"/>
        <v>131980</v>
      </c>
      <c r="BB24" s="15">
        <f>AY24*0.01*升级时间!K26</f>
        <v>0</v>
      </c>
      <c r="BC24" s="15">
        <v>111000</v>
      </c>
      <c r="BD24" s="15">
        <f t="shared" si="19"/>
        <v>20980</v>
      </c>
    </row>
    <row r="25" spans="1:56">
      <c r="A25">
        <v>24</v>
      </c>
      <c r="B25" s="15">
        <v>844000</v>
      </c>
      <c r="E25">
        <f>升级时间!K27*金币生产率曲线!B25</f>
        <v>0</v>
      </c>
      <c r="G25" s="15">
        <f>'[2]3、总属性战斗节奏拟合'!D28</f>
        <v>29327.9727826087</v>
      </c>
      <c r="H25" s="15">
        <f>'[2]3、总属性战斗节奏拟合'!E28</f>
        <v>2743.781237458194</v>
      </c>
      <c r="I25" s="15">
        <f>'[2]3、总属性战斗节奏拟合'!F28</f>
        <v>1219.4583277591973</v>
      </c>
      <c r="J25">
        <f t="shared" si="10"/>
        <v>5136.3584765217392</v>
      </c>
      <c r="K25">
        <f t="shared" si="15"/>
        <v>491.25071430601929</v>
      </c>
      <c r="L25">
        <f t="shared" si="23"/>
        <v>0</v>
      </c>
      <c r="M25" s="67">
        <f t="shared" si="24"/>
        <v>302</v>
      </c>
      <c r="N25">
        <f t="shared" si="22"/>
        <v>302</v>
      </c>
      <c r="P25" s="61"/>
      <c r="X25">
        <v>24</v>
      </c>
      <c r="Y25">
        <f t="shared" si="16"/>
        <v>302</v>
      </c>
      <c r="Z25">
        <v>51.56</v>
      </c>
      <c r="AA25">
        <v>74.660000000000011</v>
      </c>
      <c r="AB25">
        <f>'[4]消耗&amp;价值&amp;分析'!$AT30</f>
        <v>68</v>
      </c>
      <c r="AC25">
        <f t="shared" si="12"/>
        <v>0</v>
      </c>
      <c r="AE25" s="144">
        <f t="shared" si="1"/>
        <v>15571.12</v>
      </c>
      <c r="AF25" s="144">
        <f t="shared" si="2"/>
        <v>22547.320000000003</v>
      </c>
      <c r="AG25" s="144">
        <f t="shared" si="3"/>
        <v>20536</v>
      </c>
      <c r="AH25" s="144">
        <f t="shared" si="4"/>
        <v>0</v>
      </c>
      <c r="AJ25" s="145">
        <f>SUM($AK$2:AK25)</f>
        <v>262262.44</v>
      </c>
      <c r="AK25" s="144">
        <f t="shared" si="5"/>
        <v>36107.120000000003</v>
      </c>
      <c r="AL25">
        <f t="shared" si="6"/>
        <v>4102</v>
      </c>
      <c r="AM25">
        <f t="shared" si="13"/>
        <v>4983</v>
      </c>
      <c r="AN25">
        <v>40000</v>
      </c>
      <c r="AO25">
        <f>体力消耗运算!$AB$20*金币投放!$N$8</f>
        <v>24526.854838709678</v>
      </c>
      <c r="AP25">
        <f>升级时间!K27</f>
        <v>0</v>
      </c>
      <c r="AQ25" t="e">
        <f t="shared" si="14"/>
        <v>#DIV/0!</v>
      </c>
      <c r="AS25">
        <f t="shared" si="20"/>
        <v>51.56</v>
      </c>
      <c r="AT25">
        <f t="shared" si="21"/>
        <v>74.660000000000011</v>
      </c>
      <c r="AX25" s="15" t="e">
        <f t="shared" si="8"/>
        <v>#DIV/0!</v>
      </c>
      <c r="AY25" s="15">
        <f t="shared" si="9"/>
        <v>134720</v>
      </c>
      <c r="BB25" s="15">
        <f>AY25*0.01*升级时间!K27</f>
        <v>0</v>
      </c>
      <c r="BC25" s="15">
        <v>112000</v>
      </c>
      <c r="BD25" s="15">
        <f t="shared" si="19"/>
        <v>22720</v>
      </c>
    </row>
    <row r="26" spans="1:56">
      <c r="A26">
        <v>25</v>
      </c>
      <c r="B26" s="15">
        <v>872000</v>
      </c>
      <c r="E26">
        <f>升级时间!K28*金币生产率曲线!B26</f>
        <v>0</v>
      </c>
      <c r="G26" s="15">
        <f>'[2]3、总属性战斗节奏拟合'!D29</f>
        <v>32929.667511496664</v>
      </c>
      <c r="H26" s="15">
        <f>'[2]3、总属性战斗节奏拟合'!E29</f>
        <v>3001.1848871237471</v>
      </c>
      <c r="I26" s="15">
        <f>'[2]3、总属性战斗节奏拟合'!F29</f>
        <v>1333.8599498327765</v>
      </c>
      <c r="J26">
        <f t="shared" si="10"/>
        <v>5652.23153741639</v>
      </c>
      <c r="K26">
        <f t="shared" si="15"/>
        <v>515.87306089465073</v>
      </c>
      <c r="L26">
        <f t="shared" si="23"/>
        <v>0</v>
      </c>
      <c r="M26" s="67">
        <f t="shared" si="24"/>
        <v>335</v>
      </c>
      <c r="N26">
        <f t="shared" si="22"/>
        <v>335</v>
      </c>
      <c r="X26">
        <v>25</v>
      </c>
      <c r="Y26">
        <f t="shared" si="16"/>
        <v>335</v>
      </c>
      <c r="Z26">
        <v>51.56</v>
      </c>
      <c r="AA26">
        <v>74.660000000000011</v>
      </c>
      <c r="AB26">
        <f>'[4]消耗&amp;价值&amp;分析'!$AT31</f>
        <v>100</v>
      </c>
      <c r="AC26">
        <f t="shared" si="12"/>
        <v>0</v>
      </c>
      <c r="AE26" s="144">
        <f t="shared" si="1"/>
        <v>17272.600000000002</v>
      </c>
      <c r="AF26" s="144">
        <f t="shared" si="2"/>
        <v>25011.100000000002</v>
      </c>
      <c r="AG26" s="144">
        <f t="shared" si="3"/>
        <v>33500</v>
      </c>
      <c r="AH26" s="144">
        <f t="shared" si="4"/>
        <v>0</v>
      </c>
      <c r="AJ26" s="146">
        <f>SUM($AK$2:AK26)</f>
        <v>313035.04000000004</v>
      </c>
      <c r="AK26" s="144">
        <f t="shared" si="5"/>
        <v>50772.600000000006</v>
      </c>
      <c r="AL26">
        <f t="shared" si="6"/>
        <v>1388</v>
      </c>
      <c r="AM26">
        <f t="shared" si="13"/>
        <v>0</v>
      </c>
      <c r="AN26">
        <v>40000</v>
      </c>
      <c r="AO26">
        <f>体力消耗运算!$AB$20*金币投放!$N$8</f>
        <v>24526.854838709678</v>
      </c>
      <c r="AP26">
        <f>升级时间!K28</f>
        <v>0</v>
      </c>
      <c r="AQ26" t="e">
        <f t="shared" si="14"/>
        <v>#DIV/0!</v>
      </c>
      <c r="AS26">
        <f t="shared" si="20"/>
        <v>51.56</v>
      </c>
      <c r="AT26">
        <f t="shared" si="21"/>
        <v>74.660000000000011</v>
      </c>
      <c r="AX26" s="15" t="e">
        <f t="shared" si="8"/>
        <v>#DIV/0!</v>
      </c>
      <c r="AY26" s="15">
        <f t="shared" si="9"/>
        <v>137500</v>
      </c>
      <c r="BB26" s="15">
        <f>AY26*0.01*升级时间!K28</f>
        <v>0</v>
      </c>
      <c r="BC26" s="15">
        <v>113000</v>
      </c>
      <c r="BD26" s="15">
        <f t="shared" si="19"/>
        <v>24500</v>
      </c>
    </row>
    <row r="27" spans="1:56">
      <c r="A27">
        <v>26</v>
      </c>
      <c r="B27" s="15">
        <v>900000</v>
      </c>
      <c r="E27">
        <f>升级时间!K29*金币生产率曲线!B27</f>
        <v>0</v>
      </c>
      <c r="G27" s="15">
        <f>'[2]3、总属性战斗节奏拟合'!D30</f>
        <v>37257.666363210708</v>
      </c>
      <c r="H27" s="15">
        <f>'[2]3、总属性战斗节奏拟合'!E30</f>
        <v>3310.1579197324422</v>
      </c>
      <c r="I27" s="15">
        <f>'[2]3、总属性战斗节奏拟合'!F30</f>
        <v>1471.1812976588633</v>
      </c>
      <c r="J27">
        <f t="shared" si="10"/>
        <v>6271.6458719197344</v>
      </c>
      <c r="K27">
        <f t="shared" si="15"/>
        <v>619.41433450334443</v>
      </c>
      <c r="L27">
        <f t="shared" si="23"/>
        <v>0</v>
      </c>
      <c r="M27" s="67">
        <f t="shared" si="24"/>
        <v>370</v>
      </c>
      <c r="N27">
        <f t="shared" si="22"/>
        <v>370</v>
      </c>
      <c r="X27">
        <v>26</v>
      </c>
      <c r="Y27">
        <f t="shared" si="16"/>
        <v>370</v>
      </c>
      <c r="Z27">
        <v>51.56</v>
      </c>
      <c r="AA27">
        <v>74.660000000000011</v>
      </c>
      <c r="AB27">
        <f>'[4]消耗&amp;价值&amp;分析'!$AT32</f>
        <v>52</v>
      </c>
      <c r="AC27">
        <f t="shared" si="12"/>
        <v>0</v>
      </c>
      <c r="AE27" s="144">
        <f t="shared" si="1"/>
        <v>19077.2</v>
      </c>
      <c r="AF27" s="144">
        <f t="shared" si="2"/>
        <v>27624.200000000004</v>
      </c>
      <c r="AG27" s="144">
        <f t="shared" si="3"/>
        <v>19240</v>
      </c>
      <c r="AH27" s="144">
        <f t="shared" si="4"/>
        <v>0</v>
      </c>
      <c r="AJ27" s="145">
        <f>SUM($AK$2:AK27)</f>
        <v>351352.24000000005</v>
      </c>
      <c r="AK27" s="144">
        <f t="shared" si="5"/>
        <v>38317.199999999997</v>
      </c>
      <c r="AL27">
        <f t="shared" si="6"/>
        <v>2914</v>
      </c>
      <c r="AM27">
        <f t="shared" si="13"/>
        <v>5155</v>
      </c>
      <c r="AN27">
        <v>40000</v>
      </c>
      <c r="AO27">
        <f>体力消耗运算!$AB$20*金币投放!$N$8</f>
        <v>24526.854838709678</v>
      </c>
      <c r="AP27">
        <f>升级时间!K29</f>
        <v>0</v>
      </c>
      <c r="AQ27" t="e">
        <f t="shared" si="14"/>
        <v>#DIV/0!</v>
      </c>
      <c r="AS27">
        <f t="shared" si="20"/>
        <v>51.56</v>
      </c>
      <c r="AT27">
        <f t="shared" si="21"/>
        <v>74.660000000000011</v>
      </c>
      <c r="AX27" s="15" t="e">
        <f t="shared" si="8"/>
        <v>#DIV/0!</v>
      </c>
      <c r="AY27" s="15">
        <f t="shared" si="9"/>
        <v>140320</v>
      </c>
      <c r="BB27" s="15">
        <f>AY27*0.01*升级时间!K29</f>
        <v>0</v>
      </c>
      <c r="BC27" s="15">
        <v>114000</v>
      </c>
      <c r="BD27" s="15">
        <f t="shared" si="19"/>
        <v>26320</v>
      </c>
    </row>
    <row r="28" spans="1:56">
      <c r="A28">
        <v>27</v>
      </c>
      <c r="B28" s="15">
        <v>928000</v>
      </c>
      <c r="E28">
        <f>升级时间!K30*金币生产率曲线!B28</f>
        <v>207203.47497988967</v>
      </c>
      <c r="G28" s="15">
        <f>'[2]3、总属性战斗节奏拟合'!D31</f>
        <v>41903.848113252519</v>
      </c>
      <c r="H28" s="15">
        <f>'[2]3、总属性战斗节奏拟合'!E31</f>
        <v>3631.5323352842815</v>
      </c>
      <c r="I28" s="15">
        <f>'[2]3、总属性战斗节奏拟合'!F31</f>
        <v>1614.0143712374586</v>
      </c>
      <c r="J28">
        <f t="shared" si="10"/>
        <v>6921.7006310518409</v>
      </c>
      <c r="K28">
        <f t="shared" si="15"/>
        <v>650.05475913210648</v>
      </c>
      <c r="L28">
        <f t="shared" si="23"/>
        <v>318.74772404793828</v>
      </c>
      <c r="M28" s="67">
        <f t="shared" si="24"/>
        <v>406</v>
      </c>
      <c r="N28">
        <f t="shared" si="22"/>
        <v>406</v>
      </c>
      <c r="X28">
        <v>27</v>
      </c>
      <c r="Y28">
        <f t="shared" si="16"/>
        <v>406</v>
      </c>
      <c r="Z28">
        <v>51.56</v>
      </c>
      <c r="AA28">
        <v>74.660000000000011</v>
      </c>
      <c r="AB28">
        <f>'[4]消耗&amp;价值&amp;分析'!$AT33</f>
        <v>102</v>
      </c>
      <c r="AC28">
        <f t="shared" si="12"/>
        <v>0</v>
      </c>
      <c r="AE28" s="144">
        <f t="shared" si="1"/>
        <v>20933.36</v>
      </c>
      <c r="AF28" s="144">
        <f t="shared" si="2"/>
        <v>30311.960000000003</v>
      </c>
      <c r="AG28" s="144">
        <f t="shared" si="3"/>
        <v>41412</v>
      </c>
      <c r="AH28" s="144">
        <f t="shared" si="4"/>
        <v>0</v>
      </c>
      <c r="AJ28" s="145">
        <f>SUM($AK$2:AK28)</f>
        <v>413697.60000000003</v>
      </c>
      <c r="AK28" s="144">
        <f t="shared" si="5"/>
        <v>62345.36</v>
      </c>
      <c r="AL28">
        <f t="shared" si="6"/>
        <v>1436</v>
      </c>
      <c r="AM28">
        <f t="shared" si="13"/>
        <v>0</v>
      </c>
      <c r="AN28">
        <v>40000</v>
      </c>
      <c r="AO28">
        <f>体力消耗运算!$AB$20*金币投放!$N$8</f>
        <v>24526.854838709678</v>
      </c>
      <c r="AP28">
        <f>升级时间!K30</f>
        <v>0.22327960665936386</v>
      </c>
      <c r="AQ28">
        <f t="shared" si="14"/>
        <v>208267.24808589611</v>
      </c>
      <c r="AS28">
        <f t="shared" si="20"/>
        <v>51.56</v>
      </c>
      <c r="AT28">
        <f t="shared" si="21"/>
        <v>74.660000000000011</v>
      </c>
      <c r="AX28" s="15">
        <f t="shared" si="8"/>
        <v>208267.24808589611</v>
      </c>
      <c r="AY28" s="15">
        <f t="shared" si="9"/>
        <v>143180</v>
      </c>
      <c r="BB28" s="15">
        <f>AY28*0.01*升级时间!K30</f>
        <v>319.69174081487716</v>
      </c>
      <c r="BC28" s="15">
        <v>115000</v>
      </c>
      <c r="BD28" s="66">
        <f t="shared" si="19"/>
        <v>27860.308259185123</v>
      </c>
    </row>
    <row r="29" spans="1:56">
      <c r="A29">
        <v>28</v>
      </c>
      <c r="B29" s="15">
        <v>956000</v>
      </c>
      <c r="E29">
        <f>升级时间!K31*金币生产率曲线!B29</f>
        <v>100347.58706651867</v>
      </c>
      <c r="G29" s="15">
        <f>'[2]3、总属性战斗节奏拟合'!D32</f>
        <v>46878.753937123758</v>
      </c>
      <c r="H29" s="15">
        <f>'[2]3、总属性战斗节奏拟合'!E32</f>
        <v>3965.3081337792655</v>
      </c>
      <c r="I29" s="15">
        <f>'[2]3、总属性战斗节奏拟合'!F32</f>
        <v>1762.3591705685624</v>
      </c>
      <c r="J29">
        <f t="shared" si="10"/>
        <v>7602.8174618327785</v>
      </c>
      <c r="K29">
        <f t="shared" si="15"/>
        <v>681.11683078093756</v>
      </c>
      <c r="L29">
        <f t="shared" si="23"/>
        <v>147.32800972112918</v>
      </c>
      <c r="M29" s="67">
        <f t="shared" si="24"/>
        <v>443</v>
      </c>
      <c r="N29">
        <f t="shared" si="22"/>
        <v>443</v>
      </c>
      <c r="X29">
        <v>28</v>
      </c>
      <c r="Y29">
        <f t="shared" si="16"/>
        <v>443</v>
      </c>
      <c r="Z29">
        <v>51.56</v>
      </c>
      <c r="AA29">
        <v>74.660000000000011</v>
      </c>
      <c r="AB29">
        <f>'[4]消耗&amp;价值&amp;分析'!$AT34</f>
        <v>79</v>
      </c>
      <c r="AC29">
        <f t="shared" si="12"/>
        <v>0</v>
      </c>
      <c r="AE29" s="144">
        <f t="shared" si="1"/>
        <v>22841.08</v>
      </c>
      <c r="AF29" s="144">
        <f t="shared" si="2"/>
        <v>33074.380000000005</v>
      </c>
      <c r="AG29" s="144">
        <f t="shared" si="3"/>
        <v>34997</v>
      </c>
      <c r="AH29" s="144">
        <f t="shared" si="4"/>
        <v>0</v>
      </c>
      <c r="AJ29" s="145">
        <f>SUM($AK$2:AK29)</f>
        <v>471535.68000000005</v>
      </c>
      <c r="AK29" s="144">
        <f t="shared" si="5"/>
        <v>57838.080000000002</v>
      </c>
      <c r="AL29">
        <f t="shared" si="6"/>
        <v>6520</v>
      </c>
      <c r="AM29">
        <f t="shared" si="13"/>
        <v>5327</v>
      </c>
      <c r="AN29">
        <v>40000</v>
      </c>
      <c r="AO29">
        <f>体力消耗运算!$AB$20*金币投放!$N$8</f>
        <v>24526.854838709678</v>
      </c>
      <c r="AP29">
        <f>升级时间!K31</f>
        <v>0.10496609525786471</v>
      </c>
      <c r="AQ29">
        <f t="shared" si="14"/>
        <v>373624.91109119484</v>
      </c>
      <c r="AS29">
        <f t="shared" si="20"/>
        <v>51.56</v>
      </c>
      <c r="AT29">
        <f t="shared" si="21"/>
        <v>74.660000000000011</v>
      </c>
      <c r="AX29" s="15">
        <f t="shared" si="8"/>
        <v>373624.91109119484</v>
      </c>
      <c r="AY29" s="15">
        <f t="shared" si="9"/>
        <v>146080</v>
      </c>
      <c r="BB29" s="15">
        <f>AY29*0.01*升级时间!K31</f>
        <v>153.33447195268877</v>
      </c>
      <c r="BC29" s="15">
        <v>116000</v>
      </c>
      <c r="BD29" s="15">
        <f t="shared" si="19"/>
        <v>29926.66552804731</v>
      </c>
    </row>
    <row r="30" spans="1:56">
      <c r="A30">
        <v>29</v>
      </c>
      <c r="B30" s="15">
        <v>984000</v>
      </c>
      <c r="E30">
        <f>升级时间!K32*金币生产率曲线!B30</f>
        <v>198742.52270263576</v>
      </c>
      <c r="G30" s="15">
        <f>'[2]3、总属性战斗节奏拟合'!D33</f>
        <v>52192.925010326107</v>
      </c>
      <c r="H30" s="15">
        <f>'[2]3、总属性战斗节奏拟合'!E33</f>
        <v>4311.4853152173928</v>
      </c>
      <c r="I30" s="15">
        <f>'[2]3、总属性战斗节奏拟合'!F33</f>
        <v>1916.2156956521749</v>
      </c>
      <c r="J30">
        <f t="shared" si="10"/>
        <v>8315.4180112826107</v>
      </c>
      <c r="K30">
        <f t="shared" si="15"/>
        <v>712.60054944983222</v>
      </c>
      <c r="L30">
        <f t="shared" si="23"/>
        <v>278.89751538372542</v>
      </c>
      <c r="M30" s="67">
        <f t="shared" si="24"/>
        <v>482</v>
      </c>
      <c r="N30">
        <f t="shared" si="22"/>
        <v>482</v>
      </c>
      <c r="X30">
        <v>29</v>
      </c>
      <c r="Y30">
        <f t="shared" si="16"/>
        <v>482</v>
      </c>
      <c r="Z30">
        <v>51.56</v>
      </c>
      <c r="AA30">
        <v>74.660000000000011</v>
      </c>
      <c r="AB30">
        <f>'[4]消耗&amp;价值&amp;分析'!$AT35</f>
        <v>71</v>
      </c>
      <c r="AC30">
        <f t="shared" si="12"/>
        <v>0</v>
      </c>
      <c r="AE30" s="144">
        <f t="shared" si="1"/>
        <v>24851.920000000002</v>
      </c>
      <c r="AF30" s="144">
        <f t="shared" si="2"/>
        <v>35986.120000000003</v>
      </c>
      <c r="AG30" s="144">
        <f t="shared" si="3"/>
        <v>34222</v>
      </c>
      <c r="AH30" s="144">
        <f t="shared" si="4"/>
        <v>0</v>
      </c>
      <c r="AJ30" s="145">
        <f>SUM($AK$2:AK30)</f>
        <v>530609.60000000009</v>
      </c>
      <c r="AK30" s="144">
        <f t="shared" si="5"/>
        <v>59073.919999999998</v>
      </c>
      <c r="AL30">
        <f t="shared" si="6"/>
        <v>5350</v>
      </c>
      <c r="AM30">
        <f t="shared" si="13"/>
        <v>5413</v>
      </c>
      <c r="AN30">
        <v>40000</v>
      </c>
      <c r="AO30">
        <f>体力消耗运算!$AB$20*金币投放!$N$8</f>
        <v>24526.854838709678</v>
      </c>
      <c r="AP30">
        <f>升级时间!K32</f>
        <v>0.20197410843763797</v>
      </c>
      <c r="AQ30">
        <f t="shared" si="14"/>
        <v>174666.77435320528</v>
      </c>
      <c r="AS30">
        <f t="shared" si="20"/>
        <v>51.56</v>
      </c>
      <c r="AT30">
        <f t="shared" si="21"/>
        <v>74.660000000000011</v>
      </c>
      <c r="AX30" s="15">
        <f t="shared" si="8"/>
        <v>174666.77435320528</v>
      </c>
      <c r="AY30" s="15">
        <f t="shared" si="9"/>
        <v>149020</v>
      </c>
      <c r="BB30" s="15">
        <f>AY30*0.01*升级时间!K32</f>
        <v>300.9818163937681</v>
      </c>
      <c r="BC30" s="15">
        <v>117000</v>
      </c>
      <c r="BD30" s="15">
        <f t="shared" si="19"/>
        <v>31719.018183606233</v>
      </c>
    </row>
    <row r="31" spans="1:56">
      <c r="A31">
        <v>30</v>
      </c>
      <c r="B31" s="15">
        <v>1012000</v>
      </c>
      <c r="E31">
        <f>升级时间!K33*金币生产率曲线!B31</f>
        <v>250023.75135061136</v>
      </c>
      <c r="G31" s="15">
        <f>'[2]3、总属性战斗节奏拟合'!D34</f>
        <v>58580.113789715739</v>
      </c>
      <c r="H31" s="15">
        <f>'[2]3、总属性战斗节奏拟合'!E34</f>
        <v>4728.4396780936477</v>
      </c>
      <c r="I31" s="15">
        <f>'[2]3、总属性战斗节奏拟合'!F34</f>
        <v>2101.5287458193989</v>
      </c>
      <c r="J31">
        <f t="shared" si="10"/>
        <v>9173.172975501675</v>
      </c>
      <c r="K31">
        <f t="shared" si="15"/>
        <v>857.75496421906428</v>
      </c>
      <c r="L31">
        <f t="shared" si="23"/>
        <v>291.48621900223378</v>
      </c>
      <c r="M31" s="67">
        <f t="shared" si="24"/>
        <v>522</v>
      </c>
      <c r="N31">
        <f t="shared" si="22"/>
        <v>522</v>
      </c>
      <c r="X31">
        <v>30</v>
      </c>
      <c r="Y31">
        <f t="shared" si="16"/>
        <v>522</v>
      </c>
      <c r="Z31">
        <v>51.56</v>
      </c>
      <c r="AA31">
        <v>74.660000000000011</v>
      </c>
      <c r="AB31">
        <f>'[4]消耗&amp;价值&amp;分析'!$AT36</f>
        <v>115</v>
      </c>
      <c r="AC31">
        <f t="shared" si="12"/>
        <v>0</v>
      </c>
      <c r="AE31" s="144">
        <f t="shared" si="1"/>
        <v>26914.32</v>
      </c>
      <c r="AF31" s="144">
        <f t="shared" si="2"/>
        <v>38972.520000000004</v>
      </c>
      <c r="AG31" s="144">
        <f t="shared" si="3"/>
        <v>60030</v>
      </c>
      <c r="AH31" s="144">
        <f t="shared" si="4"/>
        <v>0</v>
      </c>
      <c r="AJ31" s="146">
        <f>SUM($AK$2:AK31)</f>
        <v>617553.92000000016</v>
      </c>
      <c r="AK31" s="144">
        <f t="shared" si="5"/>
        <v>86944.320000000007</v>
      </c>
      <c r="AL31">
        <f t="shared" si="6"/>
        <v>5792</v>
      </c>
      <c r="AM31">
        <f t="shared" si="13"/>
        <v>5499</v>
      </c>
      <c r="AN31">
        <v>40000</v>
      </c>
      <c r="AO31">
        <f>体力消耗运算!$AB$20*金币投放!$N$8</f>
        <v>24526.854838709678</v>
      </c>
      <c r="AP31">
        <f>升级时间!K33</f>
        <v>0.24705904283657248</v>
      </c>
      <c r="AQ31">
        <f t="shared" si="14"/>
        <v>241688.69238999087</v>
      </c>
      <c r="AS31">
        <f t="shared" si="20"/>
        <v>51.56</v>
      </c>
      <c r="AT31">
        <f t="shared" si="21"/>
        <v>74.660000000000011</v>
      </c>
      <c r="AX31" s="15">
        <f t="shared" si="8"/>
        <v>241688.69238999087</v>
      </c>
      <c r="AY31" s="15">
        <f t="shared" si="9"/>
        <v>152000</v>
      </c>
      <c r="BB31" s="15">
        <f>AY31*0.01*升级时间!K33</f>
        <v>375.52974511159016</v>
      </c>
      <c r="BC31" s="15">
        <v>118000</v>
      </c>
      <c r="BD31" s="15">
        <f t="shared" si="19"/>
        <v>33624.470254888409</v>
      </c>
    </row>
    <row r="32" spans="1:56">
      <c r="A32">
        <v>31</v>
      </c>
      <c r="B32" s="15">
        <v>1040000</v>
      </c>
      <c r="E32">
        <f>升级时间!K34*金币生产率曲线!B32</f>
        <v>366095.75911778188</v>
      </c>
      <c r="G32" s="15">
        <f>'[2]3、总属性战斗节奏拟合'!D35</f>
        <v>65439.306328846171</v>
      </c>
      <c r="H32" s="15">
        <f>'[2]3、总属性战斗节奏拟合'!E35</f>
        <v>5163.9961153846161</v>
      </c>
      <c r="I32" s="15">
        <f>'[2]3、总属性战斗节奏拟合'!F35</f>
        <v>2295.1093846153849</v>
      </c>
      <c r="J32">
        <f t="shared" si="10"/>
        <v>10076.677753153848</v>
      </c>
      <c r="K32">
        <f t="shared" si="15"/>
        <v>903.50477765217329</v>
      </c>
      <c r="L32">
        <f t="shared" si="23"/>
        <v>405.19515576786421</v>
      </c>
      <c r="M32" s="67">
        <f t="shared" si="24"/>
        <v>563</v>
      </c>
      <c r="N32">
        <f t="shared" si="22"/>
        <v>563</v>
      </c>
      <c r="X32">
        <v>31</v>
      </c>
      <c r="Y32">
        <f t="shared" si="16"/>
        <v>563</v>
      </c>
      <c r="Z32">
        <v>104.36000000000001</v>
      </c>
      <c r="AA32">
        <v>151.28</v>
      </c>
      <c r="AB32">
        <f>'[4]消耗&amp;价值&amp;分析'!$AT37</f>
        <v>94</v>
      </c>
      <c r="AC32">
        <f t="shared" si="12"/>
        <v>0</v>
      </c>
      <c r="AE32" s="144">
        <f t="shared" si="1"/>
        <v>58754.680000000008</v>
      </c>
      <c r="AF32" s="144">
        <f t="shared" si="2"/>
        <v>85170.64</v>
      </c>
      <c r="AG32" s="144">
        <f t="shared" si="3"/>
        <v>52922</v>
      </c>
      <c r="AH32" s="144">
        <f t="shared" si="4"/>
        <v>0</v>
      </c>
      <c r="AJ32" s="145">
        <f>SUM($AK$2:AK32)</f>
        <v>729230.60000000021</v>
      </c>
      <c r="AK32" s="144">
        <f t="shared" si="5"/>
        <v>111676.68000000001</v>
      </c>
      <c r="AL32">
        <f t="shared" si="6"/>
        <v>3838</v>
      </c>
      <c r="AM32">
        <f t="shared" si="13"/>
        <v>5585</v>
      </c>
      <c r="AN32">
        <v>40000</v>
      </c>
      <c r="AO32">
        <f>体力消耗运算!$AB$20*金币投放!$N$8</f>
        <v>24526.854838709678</v>
      </c>
      <c r="AP32">
        <f>升级时间!K34</f>
        <v>0.35201515299786718</v>
      </c>
      <c r="AQ32">
        <f t="shared" si="14"/>
        <v>225954.04954616367</v>
      </c>
      <c r="AS32">
        <f>SUM([5]强化辅助表!$Q$96:$Q$101)</f>
        <v>104.36000000000001</v>
      </c>
      <c r="AT32">
        <f>SUM([5]强化辅助表!$Q$102:$Q$107)</f>
        <v>151.28</v>
      </c>
      <c r="AX32" s="15">
        <f t="shared" si="8"/>
        <v>225954.04954616367</v>
      </c>
      <c r="AY32" s="15">
        <f t="shared" si="9"/>
        <v>155020</v>
      </c>
      <c r="BB32" s="15">
        <f>AY32*0.01*升级时间!K34</f>
        <v>545.69389017729372</v>
      </c>
      <c r="BC32" s="15">
        <v>119000</v>
      </c>
      <c r="BD32" s="15">
        <f t="shared" si="19"/>
        <v>35474.306109822704</v>
      </c>
    </row>
    <row r="33" spans="1:56">
      <c r="A33">
        <v>32</v>
      </c>
      <c r="B33" s="15">
        <v>1068000</v>
      </c>
      <c r="E33">
        <f>升级时间!K35*金币生产率曲线!B33</f>
        <v>495561.1316551902</v>
      </c>
      <c r="G33" s="15">
        <f>'[2]3、总属性战斗节奏拟合'!D36</f>
        <v>72812.7775214047</v>
      </c>
      <c r="H33" s="15">
        <f>'[2]3、总属性战斗节奏拟合'!E36</f>
        <v>5620.1972357859549</v>
      </c>
      <c r="I33" s="15">
        <f>'[2]3、总属性战斗节奏拟合'!F36</f>
        <v>2497.8654381270912</v>
      </c>
      <c r="J33">
        <f t="shared" si="10"/>
        <v>11030.573774769235</v>
      </c>
      <c r="K33">
        <f t="shared" si="15"/>
        <v>953.89602161538642</v>
      </c>
      <c r="L33">
        <f t="shared" si="23"/>
        <v>519.51273558723562</v>
      </c>
      <c r="M33" s="67">
        <f t="shared" si="24"/>
        <v>606</v>
      </c>
      <c r="N33">
        <f t="shared" si="22"/>
        <v>606</v>
      </c>
      <c r="X33">
        <v>32</v>
      </c>
      <c r="Y33">
        <f t="shared" si="16"/>
        <v>606</v>
      </c>
      <c r="Z33">
        <v>104.36000000000001</v>
      </c>
      <c r="AA33">
        <v>151.28</v>
      </c>
      <c r="AB33">
        <f>'[4]消耗&amp;价值&amp;分析'!$AT38</f>
        <v>116</v>
      </c>
      <c r="AC33">
        <f t="shared" si="12"/>
        <v>0</v>
      </c>
      <c r="AE33" s="144">
        <f t="shared" si="1"/>
        <v>63242.160000000011</v>
      </c>
      <c r="AF33" s="144">
        <f t="shared" si="2"/>
        <v>91675.680000000008</v>
      </c>
      <c r="AG33" s="144">
        <f t="shared" si="3"/>
        <v>70296</v>
      </c>
      <c r="AH33" s="144">
        <f t="shared" si="4"/>
        <v>0</v>
      </c>
      <c r="AJ33" s="145">
        <f>SUM($AK$2:AK33)</f>
        <v>862768.76000000024</v>
      </c>
      <c r="AK33" s="144">
        <f t="shared" si="5"/>
        <v>133538.16</v>
      </c>
      <c r="AL33">
        <f t="shared" si="6"/>
        <v>1628</v>
      </c>
      <c r="AM33">
        <f t="shared" si="13"/>
        <v>0</v>
      </c>
      <c r="AN33">
        <v>40000</v>
      </c>
      <c r="AO33">
        <f>体力消耗运算!$AB$20*金币投放!$N$8</f>
        <v>24526.854838709678</v>
      </c>
      <c r="AP33">
        <f>升级时间!K35</f>
        <v>0.46400855023894211</v>
      </c>
      <c r="AQ33">
        <f t="shared" si="14"/>
        <v>219757.04452493912</v>
      </c>
      <c r="AS33">
        <f>AS32</f>
        <v>104.36000000000001</v>
      </c>
      <c r="AT33">
        <f>AT32</f>
        <v>151.28</v>
      </c>
      <c r="AX33" s="15">
        <f t="shared" si="8"/>
        <v>219757.04452493912</v>
      </c>
      <c r="AY33" s="15">
        <f t="shared" si="9"/>
        <v>158080</v>
      </c>
      <c r="BB33" s="15">
        <f>AY33*0.01*升级时间!K35</f>
        <v>733.50471621771965</v>
      </c>
      <c r="BC33" s="15">
        <v>120000</v>
      </c>
      <c r="BD33" s="15">
        <f t="shared" si="19"/>
        <v>37346.495283782278</v>
      </c>
    </row>
    <row r="34" spans="1:56">
      <c r="A34">
        <v>33</v>
      </c>
      <c r="B34" s="15">
        <v>1096000</v>
      </c>
      <c r="E34">
        <f>升级时间!K36*金币生产率曲线!B34</f>
        <v>450431.41174324945</v>
      </c>
      <c r="G34" s="15">
        <f>'[2]3、总属性战斗节奏拟合'!D37</f>
        <v>80692.898434991686</v>
      </c>
      <c r="H34" s="15">
        <f>'[2]3、总属性战斗节奏拟合'!E37</f>
        <v>6095.1413001672272</v>
      </c>
      <c r="I34" s="15">
        <f>'[2]3、总属性战斗节奏拟合'!F37</f>
        <v>2708.9516889632123</v>
      </c>
      <c r="J34">
        <f t="shared" si="10"/>
        <v>12031.808926530108</v>
      </c>
      <c r="K34">
        <f t="shared" si="15"/>
        <v>1001.2351517608731</v>
      </c>
      <c r="L34">
        <f t="shared" si="23"/>
        <v>449.87574692226428</v>
      </c>
      <c r="M34" s="67">
        <f t="shared" si="24"/>
        <v>651</v>
      </c>
      <c r="N34">
        <f t="shared" si="22"/>
        <v>651</v>
      </c>
      <c r="X34">
        <v>33</v>
      </c>
      <c r="Y34">
        <f t="shared" si="16"/>
        <v>651</v>
      </c>
      <c r="Z34">
        <v>104.36000000000001</v>
      </c>
      <c r="AA34">
        <v>151.28</v>
      </c>
      <c r="AB34">
        <f>'[4]消耗&amp;价值&amp;分析'!$AT39</f>
        <v>98</v>
      </c>
      <c r="AC34">
        <f t="shared" si="12"/>
        <v>0</v>
      </c>
      <c r="AE34" s="144">
        <f t="shared" ref="AE34:AE65" si="25">$Y34*Z34</f>
        <v>67938.360000000015</v>
      </c>
      <c r="AF34" s="144">
        <f t="shared" ref="AF34:AF65" si="26">$Y34*AA34</f>
        <v>98483.28</v>
      </c>
      <c r="AG34" s="144">
        <f t="shared" ref="AG34:AG65" si="27">$Y34*AB34</f>
        <v>63798</v>
      </c>
      <c r="AH34" s="144">
        <f t="shared" ref="AH34:AH65" si="28">$Y34*AC34</f>
        <v>0</v>
      </c>
      <c r="AJ34" s="145">
        <f>SUM($AK$2:AK34)</f>
        <v>994505.12000000023</v>
      </c>
      <c r="AK34" s="144">
        <f t="shared" ref="AK34:AK65" si="29">AE34+AG34+AH34</f>
        <v>131736.36000000002</v>
      </c>
      <c r="AL34">
        <f t="shared" ref="AL34:AL65" si="30">SUMIF($B$172:$B$347,A34,$C$172:$C$347)</f>
        <v>6694</v>
      </c>
      <c r="AM34">
        <f t="shared" si="13"/>
        <v>5757</v>
      </c>
      <c r="AN34">
        <v>40000</v>
      </c>
      <c r="AO34">
        <f>体力消耗运算!$AB$20*金币投放!$N$8</f>
        <v>24526.854838709678</v>
      </c>
      <c r="AP34">
        <f>升级时间!K36</f>
        <v>0.41097756545916919</v>
      </c>
      <c r="AQ34">
        <f t="shared" si="14"/>
        <v>225721.00788033471</v>
      </c>
      <c r="AS34">
        <f t="shared" ref="AS34:AS46" si="31">AS33</f>
        <v>104.36000000000001</v>
      </c>
      <c r="AT34">
        <f t="shared" ref="AT34:AT46" si="32">AT33</f>
        <v>151.28</v>
      </c>
      <c r="AX34" s="15">
        <f t="shared" ref="AX34:AX65" si="33">AQ34</f>
        <v>225721.00788033471</v>
      </c>
      <c r="AY34" s="15">
        <f t="shared" ref="AY34:AY65" si="34">$BA$3*($BA$4+$BA$5*A34+$BA$6*A34^2)</f>
        <v>161180</v>
      </c>
      <c r="BB34" s="15">
        <f>AY34*0.01*升级时间!K36</f>
        <v>662.41364000708893</v>
      </c>
      <c r="BC34" s="15">
        <v>121000</v>
      </c>
      <c r="BD34" s="15">
        <f t="shared" si="19"/>
        <v>39517.586359992914</v>
      </c>
    </row>
    <row r="35" spans="1:56">
      <c r="A35">
        <v>34</v>
      </c>
      <c r="B35" s="15">
        <v>1124000</v>
      </c>
      <c r="E35">
        <f>升级时间!K37*金币生产率曲线!B35</f>
        <v>660647.03967164992</v>
      </c>
      <c r="G35" s="15">
        <f>'[2]3、总属性战斗节奏拟合'!D38</f>
        <v>89095.600571989969</v>
      </c>
      <c r="H35" s="15">
        <f>'[2]3、总属性战斗节奏拟合'!E38</f>
        <v>6588.8283085284293</v>
      </c>
      <c r="I35" s="15">
        <f>'[2]3、总属性战斗节奏拟合'!F38</f>
        <v>2928.3681371237462</v>
      </c>
      <c r="J35">
        <f t="shared" si="10"/>
        <v>13081.020468531773</v>
      </c>
      <c r="K35">
        <f t="shared" si="15"/>
        <v>1049.2115420016653</v>
      </c>
      <c r="L35">
        <f t="shared" si="23"/>
        <v>629.66047667687724</v>
      </c>
      <c r="M35" s="67">
        <f t="shared" si="24"/>
        <v>696</v>
      </c>
      <c r="N35">
        <f t="shared" si="22"/>
        <v>696</v>
      </c>
      <c r="X35">
        <v>34</v>
      </c>
      <c r="Y35">
        <f t="shared" si="16"/>
        <v>696</v>
      </c>
      <c r="Z35">
        <v>104.36000000000001</v>
      </c>
      <c r="AA35">
        <v>151.28</v>
      </c>
      <c r="AB35">
        <f>'[4]消耗&amp;价值&amp;分析'!$AT40</f>
        <v>104</v>
      </c>
      <c r="AC35">
        <f t="shared" si="12"/>
        <v>0</v>
      </c>
      <c r="AE35" s="144">
        <f t="shared" si="25"/>
        <v>72634.560000000012</v>
      </c>
      <c r="AF35" s="144">
        <f t="shared" si="26"/>
        <v>105290.88</v>
      </c>
      <c r="AG35" s="144">
        <f t="shared" si="27"/>
        <v>72384</v>
      </c>
      <c r="AH35" s="144">
        <f t="shared" si="28"/>
        <v>0</v>
      </c>
      <c r="AJ35" s="145">
        <f>SUM($AK$2:AK35)</f>
        <v>1139523.6800000002</v>
      </c>
      <c r="AK35" s="144">
        <f t="shared" si="29"/>
        <v>145018.56</v>
      </c>
      <c r="AL35">
        <f t="shared" si="30"/>
        <v>1856</v>
      </c>
      <c r="AM35">
        <f t="shared" si="13"/>
        <v>0</v>
      </c>
      <c r="AN35">
        <v>40000</v>
      </c>
      <c r="AO35">
        <f>体力消耗运算!$AB$20*金币投放!$N$8</f>
        <v>24526.854838709678</v>
      </c>
      <c r="AP35">
        <f>升级时间!K37</f>
        <v>0.58776427017050703</v>
      </c>
      <c r="AQ35">
        <f t="shared" si="14"/>
        <v>179044.53468870983</v>
      </c>
      <c r="AS35">
        <f t="shared" si="31"/>
        <v>104.36000000000001</v>
      </c>
      <c r="AT35">
        <f t="shared" si="32"/>
        <v>151.28</v>
      </c>
      <c r="AX35" s="15">
        <f t="shared" si="33"/>
        <v>179044.53468870983</v>
      </c>
      <c r="AY35" s="15">
        <f t="shared" si="34"/>
        <v>164320</v>
      </c>
      <c r="BB35" s="15">
        <f>AY35*0.01*升级时间!K37</f>
        <v>965.81424874417723</v>
      </c>
      <c r="BC35" s="15">
        <v>122000</v>
      </c>
      <c r="BD35" s="15">
        <f t="shared" si="19"/>
        <v>41354.18575125582</v>
      </c>
    </row>
    <row r="36" spans="1:56">
      <c r="A36">
        <v>35</v>
      </c>
      <c r="B36" s="15">
        <v>1152000</v>
      </c>
      <c r="E36">
        <f>升级时间!K38*金币生产率曲线!B36</f>
        <v>652210.31894705829</v>
      </c>
      <c r="G36" s="15">
        <f>'[2]3、总属性战斗节奏拟合'!D39</f>
        <v>98036.81543478262</v>
      </c>
      <c r="H36" s="15">
        <f>'[2]3、总属性战斗节奏拟合'!E39</f>
        <v>7101.2582608695666</v>
      </c>
      <c r="I36" s="15">
        <f>'[2]3、总属性战斗节奏拟合'!F39</f>
        <v>3156.1147826086963</v>
      </c>
      <c r="J36">
        <f t="shared" si="10"/>
        <v>14178.845660869567</v>
      </c>
      <c r="K36">
        <f t="shared" si="15"/>
        <v>1097.8251923377939</v>
      </c>
      <c r="L36">
        <f t="shared" si="23"/>
        <v>594.09305188031908</v>
      </c>
      <c r="M36" s="67">
        <f t="shared" si="24"/>
        <v>743</v>
      </c>
      <c r="N36">
        <f t="shared" si="22"/>
        <v>743</v>
      </c>
      <c r="X36">
        <v>35</v>
      </c>
      <c r="Y36">
        <f t="shared" si="16"/>
        <v>743</v>
      </c>
      <c r="Z36">
        <v>104.36000000000001</v>
      </c>
      <c r="AA36">
        <v>151.28</v>
      </c>
      <c r="AB36">
        <f>'[4]消耗&amp;价值&amp;分析'!$AT41</f>
        <v>136</v>
      </c>
      <c r="AC36">
        <f t="shared" si="12"/>
        <v>0</v>
      </c>
      <c r="AE36" s="144">
        <f t="shared" si="25"/>
        <v>77539.48000000001</v>
      </c>
      <c r="AF36" s="144">
        <f t="shared" si="26"/>
        <v>112401.04</v>
      </c>
      <c r="AG36" s="144">
        <f t="shared" si="27"/>
        <v>101048</v>
      </c>
      <c r="AH36" s="144">
        <f t="shared" si="28"/>
        <v>0</v>
      </c>
      <c r="AJ36" s="145">
        <f>SUM($AK$2:AK36)</f>
        <v>1318111.1600000001</v>
      </c>
      <c r="AK36" s="144">
        <f t="shared" si="29"/>
        <v>178587.48</v>
      </c>
      <c r="AL36">
        <f t="shared" si="30"/>
        <v>4632</v>
      </c>
      <c r="AM36">
        <f t="shared" si="13"/>
        <v>5929</v>
      </c>
      <c r="AN36">
        <v>40000</v>
      </c>
      <c r="AO36">
        <f>体力消耗运算!$AB$20*金币投放!$N$8</f>
        <v>24526.854838709678</v>
      </c>
      <c r="AP36">
        <f>升级时间!K38</f>
        <v>0.56615479075265474</v>
      </c>
      <c r="AQ36">
        <f t="shared" si="14"/>
        <v>232258.55216389304</v>
      </c>
      <c r="AS36">
        <f t="shared" si="31"/>
        <v>104.36000000000001</v>
      </c>
      <c r="AT36">
        <f t="shared" si="32"/>
        <v>151.28</v>
      </c>
      <c r="AU36">
        <f>CHOOSE(1,0,SUM([5]升星辅助表!$AU$165:$AU$170)*10/40)</f>
        <v>0</v>
      </c>
      <c r="AX36" s="15">
        <f t="shared" si="33"/>
        <v>232258.55216389304</v>
      </c>
      <c r="AY36" s="15">
        <f t="shared" si="34"/>
        <v>167500</v>
      </c>
      <c r="BB36" s="15">
        <f>AY36*0.01*升级时间!K38</f>
        <v>948.3092745106967</v>
      </c>
      <c r="BC36" s="15">
        <v>123000</v>
      </c>
      <c r="BD36" s="15">
        <f t="shared" si="19"/>
        <v>43551.690725489301</v>
      </c>
    </row>
    <row r="37" spans="1:56">
      <c r="A37">
        <v>36</v>
      </c>
      <c r="B37" s="15">
        <v>1180000</v>
      </c>
      <c r="E37">
        <f>升级时间!K39*金币生产率曲线!B37</f>
        <v>817600.5822899061</v>
      </c>
      <c r="G37" s="15">
        <f>'[2]3、总属性战斗节奏拟合'!D40</f>
        <v>107532.47452575252</v>
      </c>
      <c r="H37" s="15">
        <f>'[2]3、总属性战斗节奏拟合'!E40</f>
        <v>7632.4311571906364</v>
      </c>
      <c r="I37" s="15">
        <f>'[2]3、总属性战斗节奏拟合'!F40</f>
        <v>3392.191625418061</v>
      </c>
      <c r="J37">
        <f t="shared" si="10"/>
        <v>15325.921763638798</v>
      </c>
      <c r="K37">
        <f t="shared" si="15"/>
        <v>1147.0761027692315</v>
      </c>
      <c r="L37">
        <f t="shared" si="23"/>
        <v>712.76925769448337</v>
      </c>
      <c r="M37" s="67">
        <f t="shared" si="24"/>
        <v>791</v>
      </c>
      <c r="N37">
        <f t="shared" si="22"/>
        <v>791</v>
      </c>
      <c r="X37">
        <v>36</v>
      </c>
      <c r="Y37">
        <f t="shared" si="16"/>
        <v>791</v>
      </c>
      <c r="Z37">
        <v>104.36000000000001</v>
      </c>
      <c r="AA37">
        <v>151.28</v>
      </c>
      <c r="AB37">
        <f>'[4]消耗&amp;价值&amp;分析'!$AT42</f>
        <v>130</v>
      </c>
      <c r="AC37">
        <f t="shared" si="12"/>
        <v>0</v>
      </c>
      <c r="AE37" s="144">
        <f t="shared" si="25"/>
        <v>82548.760000000009</v>
      </c>
      <c r="AF37" s="144">
        <f t="shared" si="26"/>
        <v>119662.48</v>
      </c>
      <c r="AG37" s="144">
        <f t="shared" si="27"/>
        <v>102830</v>
      </c>
      <c r="AH37" s="144">
        <f t="shared" si="28"/>
        <v>0</v>
      </c>
      <c r="AJ37" s="145">
        <f>SUM($AK$2:AK37)</f>
        <v>1503489.9200000002</v>
      </c>
      <c r="AK37" s="144">
        <f t="shared" si="29"/>
        <v>185378.76</v>
      </c>
      <c r="AL37">
        <f t="shared" si="30"/>
        <v>2108</v>
      </c>
      <c r="AM37">
        <f t="shared" si="13"/>
        <v>0</v>
      </c>
      <c r="AN37">
        <v>40000</v>
      </c>
      <c r="AO37">
        <f>体力消耗运算!$AB$20*金币投放!$N$8</f>
        <v>24526.854838709678</v>
      </c>
      <c r="AP37">
        <f>升级时间!K39</f>
        <v>0.6928818493982255</v>
      </c>
      <c r="AQ37">
        <f t="shared" si="14"/>
        <v>199978.21216394371</v>
      </c>
      <c r="AS37">
        <f t="shared" si="31"/>
        <v>104.36000000000001</v>
      </c>
      <c r="AT37">
        <f t="shared" si="32"/>
        <v>151.28</v>
      </c>
      <c r="AU37">
        <f>CHOOSE(1,0,SUM([5]升星辅助表!$AU$165:$AU$170)*10/40)</f>
        <v>0</v>
      </c>
      <c r="AX37" s="15">
        <f t="shared" si="33"/>
        <v>199978.21216394371</v>
      </c>
      <c r="AY37" s="15">
        <f t="shared" si="34"/>
        <v>170720</v>
      </c>
      <c r="BB37" s="15">
        <f>AY37*0.01*升级时间!K39</f>
        <v>1182.8878932926507</v>
      </c>
      <c r="BC37" s="15">
        <v>124000</v>
      </c>
      <c r="BD37" s="15">
        <f t="shared" si="19"/>
        <v>45537.112106707347</v>
      </c>
    </row>
    <row r="38" spans="1:56">
      <c r="A38">
        <v>37</v>
      </c>
      <c r="B38" s="15">
        <v>1208000</v>
      </c>
      <c r="E38">
        <f>升级时间!K40*金币生产率曲线!B38</f>
        <v>716498.7002616917</v>
      </c>
      <c r="G38" s="15">
        <f>'[2]3、总属性战斗节奏拟合'!D41</f>
        <v>117598.50934728263</v>
      </c>
      <c r="H38" s="15">
        <f>'[2]3、总属性战斗节奏拟合'!E41</f>
        <v>8182.3469974916397</v>
      </c>
      <c r="I38" s="15">
        <f>'[2]3、总属性战斗节奏拟合'!F41</f>
        <v>3636.59866555184</v>
      </c>
      <c r="J38">
        <f t="shared" si="10"/>
        <v>16522.886036934786</v>
      </c>
      <c r="K38">
        <f t="shared" si="15"/>
        <v>1196.9642732959874</v>
      </c>
      <c r="L38">
        <f t="shared" si="23"/>
        <v>598.59656319459305</v>
      </c>
      <c r="M38" s="67">
        <f t="shared" si="24"/>
        <v>841</v>
      </c>
      <c r="N38">
        <f t="shared" si="22"/>
        <v>841</v>
      </c>
      <c r="X38">
        <v>37</v>
      </c>
      <c r="Y38">
        <f t="shared" si="16"/>
        <v>841</v>
      </c>
      <c r="Z38">
        <v>104.36000000000001</v>
      </c>
      <c r="AA38">
        <v>151.28</v>
      </c>
      <c r="AB38">
        <f>'[4]消耗&amp;价值&amp;分析'!$AT43</f>
        <v>123</v>
      </c>
      <c r="AC38">
        <f t="shared" si="12"/>
        <v>0</v>
      </c>
      <c r="AE38" s="144">
        <f t="shared" si="25"/>
        <v>87766.760000000009</v>
      </c>
      <c r="AF38" s="144">
        <f t="shared" si="26"/>
        <v>127226.48</v>
      </c>
      <c r="AG38" s="144">
        <f t="shared" si="27"/>
        <v>103443</v>
      </c>
      <c r="AH38" s="144">
        <f t="shared" si="28"/>
        <v>0</v>
      </c>
      <c r="AJ38" s="145">
        <f>SUM($AK$2:AK38)</f>
        <v>1694699.6800000002</v>
      </c>
      <c r="AK38" s="144">
        <f t="shared" si="29"/>
        <v>191209.76</v>
      </c>
      <c r="AL38">
        <f t="shared" si="30"/>
        <v>10936</v>
      </c>
      <c r="AM38">
        <f t="shared" si="13"/>
        <v>6101</v>
      </c>
      <c r="AN38">
        <v>40000</v>
      </c>
      <c r="AO38">
        <f>体力消耗运算!$AB$20*金币投放!$N$8</f>
        <v>24526.854838709678</v>
      </c>
      <c r="AP38">
        <f>升级时间!K40</f>
        <v>0.59312806313053945</v>
      </c>
      <c r="AQ38">
        <f t="shared" si="14"/>
        <v>229124.33253002379</v>
      </c>
      <c r="AS38">
        <f t="shared" si="31"/>
        <v>104.36000000000001</v>
      </c>
      <c r="AT38">
        <f t="shared" si="32"/>
        <v>151.28</v>
      </c>
      <c r="AU38">
        <f>CHOOSE(1,0,SUM([5]升星辅助表!$AU$165:$AU$170)*10/40)</f>
        <v>0</v>
      </c>
      <c r="AX38" s="15">
        <f t="shared" si="33"/>
        <v>229124.33253002379</v>
      </c>
      <c r="AY38" s="15">
        <f t="shared" si="34"/>
        <v>173980</v>
      </c>
      <c r="BB38" s="15">
        <f>AY38*0.01*升级时间!K40</f>
        <v>1031.9242042345124</v>
      </c>
      <c r="BC38" s="15">
        <v>125000</v>
      </c>
      <c r="BD38" s="66">
        <f t="shared" si="19"/>
        <v>47948.075795765486</v>
      </c>
    </row>
    <row r="39" spans="1:56">
      <c r="A39">
        <v>38</v>
      </c>
      <c r="B39" s="15">
        <v>1236000</v>
      </c>
      <c r="E39">
        <f>升级时间!K41*金币生产率曲线!B39</f>
        <v>976363.74921716016</v>
      </c>
      <c r="G39" s="15">
        <f>'[2]3、总属性战斗节奏拟合'!D42</f>
        <v>128250.85140175585</v>
      </c>
      <c r="H39" s="15">
        <f>'[2]3、总属性战斗节奏拟合'!E42</f>
        <v>8751.0057817725756</v>
      </c>
      <c r="I39" s="15">
        <f>'[2]3、总属性战斗节奏拟合'!F42</f>
        <v>3889.3359030100337</v>
      </c>
      <c r="J39">
        <f t="shared" si="10"/>
        <v>17770.375740852844</v>
      </c>
      <c r="K39">
        <f t="shared" si="15"/>
        <v>1247.4897039180578</v>
      </c>
      <c r="L39">
        <f t="shared" si="23"/>
        <v>782.66277160496168</v>
      </c>
      <c r="M39" s="67">
        <f t="shared" si="24"/>
        <v>892</v>
      </c>
      <c r="N39">
        <f t="shared" si="22"/>
        <v>892</v>
      </c>
      <c r="X39">
        <v>38</v>
      </c>
      <c r="Y39">
        <f t="shared" si="16"/>
        <v>892</v>
      </c>
      <c r="Z39">
        <v>104.36000000000001</v>
      </c>
      <c r="AA39">
        <v>151.28</v>
      </c>
      <c r="AB39">
        <f>'[4]消耗&amp;价值&amp;分析'!$AT44</f>
        <v>131</v>
      </c>
      <c r="AC39">
        <f t="shared" si="12"/>
        <v>0</v>
      </c>
      <c r="AE39" s="144">
        <f t="shared" si="25"/>
        <v>93089.12000000001</v>
      </c>
      <c r="AF39" s="144">
        <f t="shared" si="26"/>
        <v>134941.76000000001</v>
      </c>
      <c r="AG39" s="144">
        <f t="shared" si="27"/>
        <v>116852</v>
      </c>
      <c r="AH39" s="144">
        <f t="shared" si="28"/>
        <v>0</v>
      </c>
      <c r="AJ39" s="145">
        <f>SUM($AK$2:AK39)</f>
        <v>1904640.8000000003</v>
      </c>
      <c r="AK39" s="144">
        <f t="shared" si="29"/>
        <v>209941.12</v>
      </c>
      <c r="AL39">
        <f t="shared" si="30"/>
        <v>5534</v>
      </c>
      <c r="AM39">
        <f t="shared" si="13"/>
        <v>6187</v>
      </c>
      <c r="AN39">
        <v>40000</v>
      </c>
      <c r="AO39">
        <f>体力消耗运算!$AB$20*金币投放!$N$8</f>
        <v>24526.854838709678</v>
      </c>
      <c r="AP39">
        <f>升级时间!K41</f>
        <v>0.78993830842812307</v>
      </c>
      <c r="AQ39">
        <f t="shared" si="14"/>
        <v>186404.28482766866</v>
      </c>
      <c r="AS39">
        <f t="shared" si="31"/>
        <v>104.36000000000001</v>
      </c>
      <c r="AT39">
        <f t="shared" si="32"/>
        <v>151.28</v>
      </c>
      <c r="AU39">
        <f>CHOOSE(1,0,SUM([5]升星辅助表!$AU$165:$AU$170)*10/40)</f>
        <v>0</v>
      </c>
      <c r="AX39" s="15">
        <f t="shared" si="33"/>
        <v>186404.28482766866</v>
      </c>
      <c r="AY39" s="15">
        <f t="shared" si="34"/>
        <v>177280</v>
      </c>
      <c r="BB39" s="15">
        <f>AY39*0.01*升级时间!K41</f>
        <v>1400.4026331813766</v>
      </c>
      <c r="BC39" s="15">
        <v>126000</v>
      </c>
      <c r="BD39" s="15">
        <f t="shared" si="19"/>
        <v>49879.59736681862</v>
      </c>
    </row>
    <row r="40" spans="1:56">
      <c r="A40">
        <v>39</v>
      </c>
      <c r="B40" s="15">
        <v>1264000</v>
      </c>
      <c r="E40">
        <f>升级时间!K42*金币生产率曲线!B40</f>
        <v>1018400.2218937095</v>
      </c>
      <c r="G40" s="15">
        <f>'[2]3、总属性战斗节奏拟合'!D43</f>
        <v>139505.43219155521</v>
      </c>
      <c r="H40" s="15">
        <f>'[2]3、总属性战斗节奏拟合'!E43</f>
        <v>9338.4075100334449</v>
      </c>
      <c r="I40" s="15">
        <f>'[2]3、总属性战斗节奏拟合'!F43</f>
        <v>4150.4033377926426</v>
      </c>
      <c r="J40">
        <f t="shared" si="10"/>
        <v>19069.028135488297</v>
      </c>
      <c r="K40">
        <f t="shared" si="15"/>
        <v>1298.6523946354537</v>
      </c>
      <c r="L40">
        <f t="shared" si="23"/>
        <v>784.19770070926938</v>
      </c>
      <c r="M40" s="67">
        <f t="shared" si="24"/>
        <v>944</v>
      </c>
      <c r="N40">
        <f t="shared" si="22"/>
        <v>944</v>
      </c>
      <c r="X40">
        <v>39</v>
      </c>
      <c r="Y40">
        <f t="shared" si="16"/>
        <v>944</v>
      </c>
      <c r="Z40">
        <v>104.36000000000001</v>
      </c>
      <c r="AA40">
        <v>151.28</v>
      </c>
      <c r="AB40">
        <f>'[4]消耗&amp;价值&amp;分析'!$AT45</f>
        <v>162</v>
      </c>
      <c r="AC40">
        <f t="shared" si="12"/>
        <v>0</v>
      </c>
      <c r="AE40" s="144">
        <f t="shared" si="25"/>
        <v>98515.840000000011</v>
      </c>
      <c r="AF40" s="144">
        <f t="shared" si="26"/>
        <v>142808.32000000001</v>
      </c>
      <c r="AG40" s="144">
        <f t="shared" si="27"/>
        <v>152928</v>
      </c>
      <c r="AH40" s="144">
        <f t="shared" si="28"/>
        <v>0</v>
      </c>
      <c r="AJ40" s="145">
        <f>SUM($AK$2:AK40)</f>
        <v>2156084.64</v>
      </c>
      <c r="AK40" s="144">
        <f t="shared" si="29"/>
        <v>251443.84000000003</v>
      </c>
      <c r="AL40">
        <f t="shared" si="30"/>
        <v>9230</v>
      </c>
      <c r="AM40">
        <f t="shared" si="13"/>
        <v>6272</v>
      </c>
      <c r="AN40">
        <v>40000</v>
      </c>
      <c r="AO40">
        <f>体力消耗运算!$AB$20*金币投放!$N$8</f>
        <v>24526.854838709678</v>
      </c>
      <c r="AP40">
        <f>升级时间!K42</f>
        <v>0.80569637808046635</v>
      </c>
      <c r="AQ40">
        <f t="shared" si="14"/>
        <v>228315.27082917574</v>
      </c>
      <c r="AS40">
        <f t="shared" si="31"/>
        <v>104.36000000000001</v>
      </c>
      <c r="AT40">
        <f t="shared" si="32"/>
        <v>151.28</v>
      </c>
      <c r="AU40">
        <f>CHOOSE(1,0,SUM([5]升星辅助表!$AU$165:$AU$170)*10/40)</f>
        <v>0</v>
      </c>
      <c r="AX40" s="15">
        <f t="shared" si="33"/>
        <v>228315.27082917574</v>
      </c>
      <c r="AY40" s="15">
        <f t="shared" si="34"/>
        <v>180620</v>
      </c>
      <c r="BB40" s="15">
        <f>AY40*0.01*升级时间!K42</f>
        <v>1455.2487980889384</v>
      </c>
      <c r="BC40" s="15">
        <v>127000</v>
      </c>
      <c r="BD40" s="15">
        <f t="shared" si="19"/>
        <v>52164.751201911058</v>
      </c>
    </row>
    <row r="41" spans="1:56">
      <c r="A41">
        <v>40</v>
      </c>
      <c r="B41" s="15">
        <v>1292000</v>
      </c>
      <c r="E41">
        <f>升级时间!K43*金币生产率曲线!B41</f>
        <v>1241104.2328035869</v>
      </c>
      <c r="G41" s="15">
        <f>'[2]3、总属性战斗节奏拟合'!D44</f>
        <v>152741.95063545156</v>
      </c>
      <c r="H41" s="15">
        <f>'[2]3、总属性战斗节奏拟合'!E44</f>
        <v>10034.14274247492</v>
      </c>
      <c r="I41" s="15">
        <f>'[2]3、总属性战斗节奏拟合'!F44</f>
        <v>4459.6189966555203</v>
      </c>
      <c r="J41">
        <f t="shared" si="10"/>
        <v>20603.439764548504</v>
      </c>
      <c r="K41">
        <f t="shared" si="15"/>
        <v>1534.4116290602069</v>
      </c>
      <c r="L41">
        <f t="shared" si="23"/>
        <v>808.846993400158</v>
      </c>
      <c r="M41" s="67">
        <f t="shared" si="24"/>
        <v>998</v>
      </c>
      <c r="N41">
        <f t="shared" si="22"/>
        <v>998</v>
      </c>
      <c r="X41">
        <v>40</v>
      </c>
      <c r="Y41">
        <f t="shared" si="16"/>
        <v>998</v>
      </c>
      <c r="Z41">
        <v>104.36000000000001</v>
      </c>
      <c r="AA41">
        <v>151.28</v>
      </c>
      <c r="AB41">
        <f>'[4]消耗&amp;价值&amp;分析'!$AT46</f>
        <v>126</v>
      </c>
      <c r="AC41">
        <f t="shared" si="12"/>
        <v>0</v>
      </c>
      <c r="AE41" s="144">
        <f t="shared" si="25"/>
        <v>104151.28000000001</v>
      </c>
      <c r="AF41" s="144">
        <f t="shared" si="26"/>
        <v>150977.44</v>
      </c>
      <c r="AG41" s="144">
        <f t="shared" si="27"/>
        <v>125748</v>
      </c>
      <c r="AH41" s="144">
        <f t="shared" si="28"/>
        <v>0</v>
      </c>
      <c r="AJ41" s="145">
        <f>SUM($AK$2:AK41)</f>
        <v>2385983.92</v>
      </c>
      <c r="AK41" s="144">
        <f t="shared" si="29"/>
        <v>229899.28000000003</v>
      </c>
      <c r="AL41">
        <f t="shared" si="30"/>
        <v>6230</v>
      </c>
      <c r="AM41">
        <f t="shared" si="13"/>
        <v>6358</v>
      </c>
      <c r="AN41">
        <v>40000</v>
      </c>
      <c r="AO41">
        <f>体力消耗运算!$AB$20*金币投放!$N$8</f>
        <v>24526.854838709678</v>
      </c>
      <c r="AP41">
        <f>升级时间!K43</f>
        <v>0.96060699133404548</v>
      </c>
      <c r="AQ41">
        <f t="shared" si="14"/>
        <v>161696.02502832984</v>
      </c>
      <c r="AS41">
        <f t="shared" si="31"/>
        <v>104.36000000000001</v>
      </c>
      <c r="AT41">
        <f t="shared" si="32"/>
        <v>151.28</v>
      </c>
      <c r="AU41">
        <f>CHOOSE(1,0,SUM([5]升星辅助表!$AU$165:$AU$170)*10/40)</f>
        <v>0</v>
      </c>
      <c r="AX41" s="15">
        <f t="shared" si="33"/>
        <v>161696.02502832984</v>
      </c>
      <c r="AY41" s="15">
        <f t="shared" si="34"/>
        <v>184000</v>
      </c>
      <c r="BB41" s="15">
        <f>AY41*0.01*升级时间!K43</f>
        <v>1767.5168640546437</v>
      </c>
      <c r="BC41" s="15">
        <v>128000</v>
      </c>
      <c r="BD41" s="15">
        <f t="shared" si="19"/>
        <v>54232.483135945353</v>
      </c>
    </row>
    <row r="42" spans="1:56">
      <c r="A42">
        <v>41</v>
      </c>
      <c r="B42" s="15">
        <v>1320000</v>
      </c>
      <c r="E42">
        <f>升级时间!K44*金币生产率曲线!B42</f>
        <v>1501613.2161417173</v>
      </c>
      <c r="G42" s="15">
        <f>'[2]3、总属性战斗节奏拟合'!D45</f>
        <v>166760.21205660541</v>
      </c>
      <c r="H42" s="15">
        <f>'[2]3、总属性战斗节奏拟合'!E45</f>
        <v>10754.868566889636</v>
      </c>
      <c r="I42" s="15">
        <f>'[2]3、总属性战斗节奏拟合'!F45</f>
        <v>4779.9415852842822</v>
      </c>
      <c r="J42">
        <f t="shared" si="10"/>
        <v>22205.218634438137</v>
      </c>
      <c r="K42">
        <f t="shared" si="15"/>
        <v>1601.7788698896329</v>
      </c>
      <c r="L42">
        <f t="shared" si="23"/>
        <v>937.46599132324843</v>
      </c>
      <c r="M42" s="67">
        <f t="shared" si="24"/>
        <v>1053</v>
      </c>
      <c r="N42">
        <f t="shared" si="22"/>
        <v>1053</v>
      </c>
      <c r="X42">
        <v>41</v>
      </c>
      <c r="Y42">
        <f t="shared" si="16"/>
        <v>1053</v>
      </c>
      <c r="Z42">
        <v>104.36000000000001</v>
      </c>
      <c r="AA42">
        <v>151.28</v>
      </c>
      <c r="AB42">
        <f>'[4]消耗&amp;价值&amp;分析'!$AT47</f>
        <v>150</v>
      </c>
      <c r="AC42">
        <f t="shared" si="12"/>
        <v>0</v>
      </c>
      <c r="AE42" s="144">
        <f t="shared" si="25"/>
        <v>109891.08000000002</v>
      </c>
      <c r="AF42" s="144">
        <f t="shared" si="26"/>
        <v>159297.84</v>
      </c>
      <c r="AG42" s="144">
        <f t="shared" si="27"/>
        <v>157950</v>
      </c>
      <c r="AH42" s="144">
        <f t="shared" si="28"/>
        <v>0</v>
      </c>
      <c r="AJ42" s="145">
        <f>SUM($AK$2:AK42)</f>
        <v>2653825</v>
      </c>
      <c r="AK42" s="144">
        <f t="shared" si="29"/>
        <v>267841.08</v>
      </c>
      <c r="AL42">
        <f t="shared" si="30"/>
        <v>2828</v>
      </c>
      <c r="AM42">
        <f t="shared" si="13"/>
        <v>0</v>
      </c>
      <c r="AN42">
        <v>40000</v>
      </c>
      <c r="AO42">
        <f>体力消耗运算!$AB$20*金币投放!$N$8</f>
        <v>24526.854838709678</v>
      </c>
      <c r="AP42">
        <f>升级时间!K44</f>
        <v>1.1375857698043312</v>
      </c>
      <c r="AQ42">
        <f t="shared" si="14"/>
        <v>168434.11130064633</v>
      </c>
      <c r="AS42">
        <f t="shared" si="31"/>
        <v>104.36000000000001</v>
      </c>
      <c r="AT42">
        <f t="shared" si="32"/>
        <v>151.28</v>
      </c>
      <c r="AU42">
        <f>CHOOSE(1,0,SUM([5]升星辅助表!$AU$165:$AU$170)*10/40)</f>
        <v>0</v>
      </c>
      <c r="AX42" s="15">
        <f t="shared" si="33"/>
        <v>168434.11130064633</v>
      </c>
      <c r="AY42" s="15">
        <f t="shared" si="34"/>
        <v>187420</v>
      </c>
      <c r="BB42" s="15">
        <f>AY42*0.01*升级时间!K44</f>
        <v>2132.0632497672777</v>
      </c>
      <c r="BC42" s="15">
        <v>129000</v>
      </c>
      <c r="BD42" s="15">
        <f t="shared" si="19"/>
        <v>56287.936750232722</v>
      </c>
    </row>
    <row r="43" spans="1:56">
      <c r="A43">
        <v>42</v>
      </c>
      <c r="B43" s="15">
        <v>1348000</v>
      </c>
      <c r="E43">
        <f>升级时间!K45*金币生产率曲线!B43</f>
        <v>1456235.2338778644</v>
      </c>
      <c r="G43" s="15">
        <f>'[2]3、总属性战斗节奏拟合'!D46</f>
        <v>181581.45845819404</v>
      </c>
      <c r="H43" s="15">
        <f>'[2]3、总属性战斗节奏拟合'!E46</f>
        <v>11500.584983277597</v>
      </c>
      <c r="I43" s="15">
        <f>'[2]3、总属性战斗节奏拟合'!F46</f>
        <v>5111.3711036789318</v>
      </c>
      <c r="J43">
        <f t="shared" si="10"/>
        <v>23875.214425284292</v>
      </c>
      <c r="K43">
        <f t="shared" si="15"/>
        <v>1669.9957908461547</v>
      </c>
      <c r="L43">
        <f t="shared" si="23"/>
        <v>871.99934386662017</v>
      </c>
      <c r="M43" s="67">
        <f t="shared" si="24"/>
        <v>1110</v>
      </c>
      <c r="N43">
        <f t="shared" si="22"/>
        <v>1110</v>
      </c>
      <c r="X43">
        <v>42</v>
      </c>
      <c r="Y43">
        <f t="shared" si="16"/>
        <v>1110</v>
      </c>
      <c r="Z43">
        <v>104.36000000000001</v>
      </c>
      <c r="AA43">
        <v>151.28</v>
      </c>
      <c r="AB43">
        <f>'[4]消耗&amp;价值&amp;分析'!$AT48</f>
        <v>141</v>
      </c>
      <c r="AC43">
        <f t="shared" si="12"/>
        <v>0</v>
      </c>
      <c r="AE43" s="144">
        <f t="shared" si="25"/>
        <v>115839.60000000002</v>
      </c>
      <c r="AF43" s="144">
        <f t="shared" si="26"/>
        <v>167920.8</v>
      </c>
      <c r="AG43" s="144">
        <f t="shared" si="27"/>
        <v>156510</v>
      </c>
      <c r="AH43" s="144">
        <f t="shared" si="28"/>
        <v>0</v>
      </c>
      <c r="AJ43" s="145">
        <f>SUM($AK$2:AK43)</f>
        <v>2926174.6</v>
      </c>
      <c r="AK43" s="144">
        <f t="shared" si="29"/>
        <v>272349.60000000003</v>
      </c>
      <c r="AL43">
        <f t="shared" si="30"/>
        <v>10526</v>
      </c>
      <c r="AM43">
        <f t="shared" si="13"/>
        <v>6530</v>
      </c>
      <c r="AN43">
        <v>40000</v>
      </c>
      <c r="AO43">
        <f>体力消耗运算!$AB$20*金币投放!$N$8</f>
        <v>24526.854838709678</v>
      </c>
      <c r="AP43">
        <f>升级时间!K45</f>
        <v>1.080293200206131</v>
      </c>
      <c r="AQ43">
        <f t="shared" si="14"/>
        <v>171791.95189939384</v>
      </c>
      <c r="AS43">
        <f t="shared" si="31"/>
        <v>104.36000000000001</v>
      </c>
      <c r="AT43">
        <f t="shared" si="32"/>
        <v>151.28</v>
      </c>
      <c r="AU43">
        <f>CHOOSE(1,0,SUM([5]升星辅助表!$AU$165:$AU$170)*10/40)</f>
        <v>0</v>
      </c>
      <c r="AX43" s="15">
        <f t="shared" si="33"/>
        <v>171791.95189939384</v>
      </c>
      <c r="AY43" s="15">
        <f t="shared" si="34"/>
        <v>190880</v>
      </c>
      <c r="BB43" s="15">
        <f>AY43*0.01*升级时间!K45</f>
        <v>2062.0636605534628</v>
      </c>
      <c r="BC43" s="15">
        <v>130000</v>
      </c>
      <c r="BD43" s="15">
        <f t="shared" si="19"/>
        <v>58817.93633944654</v>
      </c>
    </row>
    <row r="44" spans="1:56">
      <c r="A44">
        <v>43</v>
      </c>
      <c r="B44" s="15">
        <v>1376000</v>
      </c>
      <c r="E44">
        <f>升级时间!K46*金币生产率曲线!B44</f>
        <v>1867268.0926341529</v>
      </c>
      <c r="G44" s="15">
        <f>'[2]3、总属性战斗节奏拟合'!D47</f>
        <v>197226.93184339468</v>
      </c>
      <c r="H44" s="15">
        <f>'[2]3、总属性战斗节奏拟合'!E47</f>
        <v>12271.291991638798</v>
      </c>
      <c r="I44" s="15">
        <f>'[2]3、总属性战斗节奏拟合'!F47</f>
        <v>5453.9075518394666</v>
      </c>
      <c r="J44">
        <f t="shared" si="10"/>
        <v>25614.276817214053</v>
      </c>
      <c r="K44">
        <f t="shared" si="15"/>
        <v>1739.0623919297614</v>
      </c>
      <c r="L44">
        <f t="shared" si="23"/>
        <v>1073.7211622189859</v>
      </c>
      <c r="M44" s="67">
        <f t="shared" si="24"/>
        <v>1167</v>
      </c>
      <c r="N44">
        <f t="shared" si="22"/>
        <v>1167</v>
      </c>
      <c r="X44">
        <v>43</v>
      </c>
      <c r="Y44">
        <f t="shared" si="16"/>
        <v>1167</v>
      </c>
      <c r="Z44">
        <v>104.36000000000001</v>
      </c>
      <c r="AA44">
        <v>151.28</v>
      </c>
      <c r="AB44">
        <f>'[4]消耗&amp;价值&amp;分析'!$AT49</f>
        <v>180</v>
      </c>
      <c r="AC44">
        <f t="shared" si="12"/>
        <v>0</v>
      </c>
      <c r="AE44" s="144">
        <f t="shared" si="25"/>
        <v>121788.12000000001</v>
      </c>
      <c r="AF44" s="144">
        <f t="shared" si="26"/>
        <v>176543.76</v>
      </c>
      <c r="AG44" s="144">
        <f t="shared" si="27"/>
        <v>210060</v>
      </c>
      <c r="AH44" s="144">
        <f t="shared" si="28"/>
        <v>0</v>
      </c>
      <c r="AJ44" s="145">
        <f>SUM($AK$2:AK44)</f>
        <v>3258022.72</v>
      </c>
      <c r="AK44" s="144">
        <f t="shared" si="29"/>
        <v>331848.12</v>
      </c>
      <c r="AL44">
        <f t="shared" si="30"/>
        <v>3152</v>
      </c>
      <c r="AM44">
        <f t="shared" si="13"/>
        <v>0</v>
      </c>
      <c r="AN44">
        <v>40000</v>
      </c>
      <c r="AO44">
        <f>体力消耗运算!$AB$20*金币投放!$N$8</f>
        <v>24526.854838709678</v>
      </c>
      <c r="AP44">
        <f>升级时间!K46</f>
        <v>1.3570262301120297</v>
      </c>
      <c r="AQ44">
        <f t="shared" si="14"/>
        <v>177691.10138522004</v>
      </c>
      <c r="AS44">
        <f t="shared" si="31"/>
        <v>104.36000000000001</v>
      </c>
      <c r="AT44">
        <f t="shared" si="32"/>
        <v>151.28</v>
      </c>
      <c r="AU44">
        <f>CHOOSE(1,0,SUM([5]升星辅助表!$AU$165:$AU$170)*10/40)</f>
        <v>0</v>
      </c>
      <c r="AX44" s="15">
        <f t="shared" si="33"/>
        <v>177691.10138522004</v>
      </c>
      <c r="AY44" s="15">
        <f t="shared" si="34"/>
        <v>194380</v>
      </c>
      <c r="BB44" s="15">
        <f>AY44*0.01*升级时间!K46</f>
        <v>2637.7875860917634</v>
      </c>
      <c r="BC44" s="15">
        <v>131000</v>
      </c>
      <c r="BD44" s="15">
        <f t="shared" si="19"/>
        <v>60742.212413908237</v>
      </c>
    </row>
    <row r="45" spans="1:56">
      <c r="A45">
        <v>44</v>
      </c>
      <c r="B45" s="15">
        <v>1404000</v>
      </c>
      <c r="E45">
        <f>升级时间!K47*金币生产率曲线!B45</f>
        <v>1950756.1664450469</v>
      </c>
      <c r="G45" s="15">
        <f>'[2]3、总属性战斗节奏拟合'!D48</f>
        <v>213717.87421538465</v>
      </c>
      <c r="H45" s="15">
        <f>'[2]3、总属性战斗节奏拟合'!E48</f>
        <v>13066.989591973246</v>
      </c>
      <c r="I45" s="15">
        <f>'[2]3、总属性战斗节奏拟合'!F48</f>
        <v>5807.5509297658873</v>
      </c>
      <c r="J45">
        <f t="shared" si="10"/>
        <v>27423.255490354517</v>
      </c>
      <c r="K45">
        <f t="shared" si="15"/>
        <v>1808.9786731404638</v>
      </c>
      <c r="L45">
        <f t="shared" si="23"/>
        <v>1078.3743310021734</v>
      </c>
      <c r="M45" s="67">
        <f t="shared" si="24"/>
        <v>1226</v>
      </c>
      <c r="N45">
        <f t="shared" si="22"/>
        <v>1226</v>
      </c>
      <c r="X45">
        <v>44</v>
      </c>
      <c r="Y45">
        <f t="shared" si="16"/>
        <v>1226</v>
      </c>
      <c r="Z45">
        <v>104.36000000000001</v>
      </c>
      <c r="AA45">
        <v>151.28</v>
      </c>
      <c r="AB45">
        <f>'[4]消耗&amp;价值&amp;分析'!$AT50</f>
        <v>206</v>
      </c>
      <c r="AC45">
        <f t="shared" si="12"/>
        <v>0</v>
      </c>
      <c r="AE45" s="144">
        <f t="shared" si="25"/>
        <v>127945.36000000002</v>
      </c>
      <c r="AF45" s="144">
        <f t="shared" si="26"/>
        <v>185469.28</v>
      </c>
      <c r="AG45" s="144">
        <f t="shared" si="27"/>
        <v>252556</v>
      </c>
      <c r="AH45" s="144">
        <f t="shared" si="28"/>
        <v>0</v>
      </c>
      <c r="AJ45" s="145">
        <f>SUM($AK$2:AK45)</f>
        <v>3638524.08</v>
      </c>
      <c r="AK45" s="144">
        <f t="shared" si="29"/>
        <v>380501.36</v>
      </c>
      <c r="AL45">
        <f t="shared" si="30"/>
        <v>7310</v>
      </c>
      <c r="AM45">
        <f t="shared" si="13"/>
        <v>6702</v>
      </c>
      <c r="AN45">
        <v>40000</v>
      </c>
      <c r="AO45">
        <f>体力消耗运算!$AB$20*金币投放!$N$8</f>
        <v>24526.854838709678</v>
      </c>
      <c r="AP45">
        <f>升级时间!K47</f>
        <v>1.3894274689779536</v>
      </c>
      <c r="AQ45">
        <f t="shared" si="14"/>
        <v>199243.20022547102</v>
      </c>
      <c r="AS45">
        <f t="shared" si="31"/>
        <v>104.36000000000001</v>
      </c>
      <c r="AT45">
        <f t="shared" si="32"/>
        <v>151.28</v>
      </c>
      <c r="AU45">
        <f>CHOOSE(1,0,SUM([5]升星辅助表!$AU$165:$AU$170)*10/40)</f>
        <v>0</v>
      </c>
      <c r="AX45" s="15">
        <f t="shared" si="33"/>
        <v>199243.20022547102</v>
      </c>
      <c r="AY45" s="15">
        <f t="shared" si="34"/>
        <v>197920</v>
      </c>
      <c r="BB45" s="15">
        <f>AY45*0.01*升级时间!K47</f>
        <v>2749.9548466011656</v>
      </c>
      <c r="BC45" s="15">
        <v>132000</v>
      </c>
      <c r="BD45" s="15">
        <f t="shared" si="19"/>
        <v>63170.045153398838</v>
      </c>
    </row>
    <row r="46" spans="1:56">
      <c r="A46">
        <v>45</v>
      </c>
      <c r="B46" s="15">
        <v>1432000</v>
      </c>
      <c r="E46">
        <f>升级时间!K48*金币生产率曲线!B46</f>
        <v>2303763.6019263947</v>
      </c>
      <c r="G46" s="15">
        <f>'[2]3、总属性战斗节奏拟合'!D49</f>
        <v>231075.52757734121</v>
      </c>
      <c r="H46" s="15">
        <f>'[2]3、总属性战斗节奏拟合'!E49</f>
        <v>13887.677784280941</v>
      </c>
      <c r="I46" s="15">
        <f>'[2]3、总属性战斗节奏拟合'!F49</f>
        <v>6172.3012374581958</v>
      </c>
      <c r="J46">
        <f t="shared" si="10"/>
        <v>29303.000124832783</v>
      </c>
      <c r="K46">
        <f t="shared" si="15"/>
        <v>1879.7446344782657</v>
      </c>
      <c r="L46">
        <f t="shared" si="23"/>
        <v>1225.5726441085537</v>
      </c>
      <c r="M46" s="67">
        <f t="shared" si="24"/>
        <v>1287</v>
      </c>
      <c r="N46">
        <f t="shared" si="22"/>
        <v>1287</v>
      </c>
      <c r="X46">
        <v>45</v>
      </c>
      <c r="Y46">
        <f t="shared" si="16"/>
        <v>1287</v>
      </c>
      <c r="Z46">
        <v>104.36000000000001</v>
      </c>
      <c r="AA46">
        <v>151.28</v>
      </c>
      <c r="AB46">
        <f>'[4]消耗&amp;价值&amp;分析'!$AT51</f>
        <v>160</v>
      </c>
      <c r="AC46">
        <f t="shared" si="12"/>
        <v>0</v>
      </c>
      <c r="AE46" s="144">
        <f t="shared" si="25"/>
        <v>134311.32</v>
      </c>
      <c r="AF46" s="144">
        <f t="shared" si="26"/>
        <v>194697.36000000002</v>
      </c>
      <c r="AG46" s="144">
        <f t="shared" si="27"/>
        <v>205920</v>
      </c>
      <c r="AH46" s="144">
        <f t="shared" si="28"/>
        <v>0</v>
      </c>
      <c r="AJ46" s="145">
        <f>SUM($AK$2:AK46)</f>
        <v>3978755.4</v>
      </c>
      <c r="AK46" s="144">
        <f t="shared" si="29"/>
        <v>340231.32</v>
      </c>
      <c r="AL46">
        <f t="shared" si="30"/>
        <v>3504</v>
      </c>
      <c r="AM46">
        <f t="shared" si="13"/>
        <v>0</v>
      </c>
      <c r="AN46">
        <v>40000</v>
      </c>
      <c r="AO46">
        <f>体力消耗运算!$AB$20*金币投放!$N$8</f>
        <v>24526.854838709678</v>
      </c>
      <c r="AP46">
        <f>升级时间!K48</f>
        <v>1.6087734650323986</v>
      </c>
      <c r="AQ46">
        <f t="shared" si="14"/>
        <v>144780.00365874745</v>
      </c>
      <c r="AS46">
        <f t="shared" si="31"/>
        <v>104.36000000000001</v>
      </c>
      <c r="AT46">
        <f t="shared" si="32"/>
        <v>151.28</v>
      </c>
      <c r="AU46">
        <f>CHOOSE(1,0,SUM([5]升星辅助表!$AU$165:$AU$170)*10/40)</f>
        <v>0</v>
      </c>
      <c r="AX46" s="15">
        <f t="shared" si="33"/>
        <v>144780.00365874745</v>
      </c>
      <c r="AY46" s="15">
        <f t="shared" si="34"/>
        <v>201500</v>
      </c>
      <c r="BB46" s="15">
        <f>AY46*0.01*升级时间!K48</f>
        <v>3241.6785320402832</v>
      </c>
      <c r="BC46" s="15">
        <v>133000</v>
      </c>
      <c r="BD46" s="15">
        <f t="shared" si="19"/>
        <v>65258.321467959715</v>
      </c>
    </row>
    <row r="47" spans="1:56">
      <c r="A47">
        <v>46</v>
      </c>
      <c r="B47" s="15">
        <v>1460000</v>
      </c>
      <c r="E47">
        <f>升级时间!K49*金币生产率曲线!B47</f>
        <v>2114900.6536113094</v>
      </c>
      <c r="G47" s="15">
        <f>'[2]3、总属性战斗节奏拟合'!D50</f>
        <v>249321.13393244156</v>
      </c>
      <c r="H47" s="15">
        <f>'[2]3、总属性战斗节奏拟合'!E50</f>
        <v>14733.356568561878</v>
      </c>
      <c r="I47" s="15">
        <f>'[2]3、总属性战斗节奏拟合'!F50</f>
        <v>6548.1584749163903</v>
      </c>
      <c r="J47">
        <f t="shared" si="10"/>
        <v>31254.360400775928</v>
      </c>
      <c r="K47">
        <f t="shared" si="15"/>
        <v>1951.3602759431451</v>
      </c>
      <c r="L47">
        <f t="shared" si="23"/>
        <v>1083.8083974980584</v>
      </c>
      <c r="M47" s="67">
        <f t="shared" si="24"/>
        <v>1349</v>
      </c>
      <c r="N47">
        <f t="shared" si="22"/>
        <v>1349</v>
      </c>
      <c r="X47">
        <v>46</v>
      </c>
      <c r="Y47">
        <f t="shared" si="16"/>
        <v>1349</v>
      </c>
      <c r="Z47">
        <v>155.92000000000002</v>
      </c>
      <c r="AA47">
        <v>225.60000000000002</v>
      </c>
      <c r="AB47">
        <f>'[4]消耗&amp;价值&amp;分析'!$AT52</f>
        <v>225</v>
      </c>
      <c r="AC47">
        <f t="shared" si="12"/>
        <v>0</v>
      </c>
      <c r="AE47" s="144">
        <f t="shared" si="25"/>
        <v>210336.08000000002</v>
      </c>
      <c r="AF47" s="144">
        <f t="shared" si="26"/>
        <v>304334.40000000002</v>
      </c>
      <c r="AG47" s="144">
        <f t="shared" si="27"/>
        <v>303525</v>
      </c>
      <c r="AH47" s="144">
        <f t="shared" si="28"/>
        <v>0</v>
      </c>
      <c r="AJ47" s="145">
        <f>SUM($AK$2:AK47)</f>
        <v>4492616.4799999995</v>
      </c>
      <c r="AK47" s="144">
        <f t="shared" si="29"/>
        <v>513861.08</v>
      </c>
      <c r="AL47">
        <f t="shared" si="30"/>
        <v>16540</v>
      </c>
      <c r="AM47">
        <f t="shared" si="13"/>
        <v>6874</v>
      </c>
      <c r="AN47">
        <v>40000</v>
      </c>
      <c r="AO47">
        <f>体力消耗运算!$AB$20*金币投放!$N$8</f>
        <v>24526.854838709678</v>
      </c>
      <c r="AP47">
        <f>升级时间!K49</f>
        <v>1.4485620915145954</v>
      </c>
      <c r="AQ47">
        <f t="shared" si="14"/>
        <v>274048.26242616068</v>
      </c>
      <c r="AS47">
        <f>SUM([5]强化辅助表!$Q$120:$Q$125)</f>
        <v>155.92000000000002</v>
      </c>
      <c r="AT47">
        <f>SUM([5]强化辅助表!$Q$126:$Q$131)</f>
        <v>225.60000000000002</v>
      </c>
      <c r="AU47">
        <f>CHOOSE(1,0,SUM([5]升星辅助表!$AU$165:$AU$170)*10/40)</f>
        <v>0</v>
      </c>
      <c r="AX47" s="15">
        <f t="shared" si="33"/>
        <v>274048.26242616068</v>
      </c>
      <c r="AY47" s="15">
        <f t="shared" si="34"/>
        <v>205120</v>
      </c>
      <c r="BB47" s="15">
        <f>AY47*0.01*升级时间!K49</f>
        <v>2971.2905621147379</v>
      </c>
      <c r="BC47" s="15">
        <v>134000</v>
      </c>
      <c r="BD47" s="15">
        <f t="shared" si="19"/>
        <v>68148.709437885263</v>
      </c>
    </row>
    <row r="48" spans="1:56">
      <c r="A48">
        <v>47</v>
      </c>
      <c r="B48" s="15">
        <v>1488000</v>
      </c>
      <c r="E48">
        <f>升级时间!K50*金币生产率曲线!B48</f>
        <v>2647781.630139641</v>
      </c>
      <c r="G48" s="15">
        <f>'[2]3、总属性战斗节奏拟合'!D51</f>
        <v>268475.93528386293</v>
      </c>
      <c r="H48" s="15">
        <f>'[2]3、总属性战斗节奏拟合'!E51</f>
        <v>15604.025944816058</v>
      </c>
      <c r="I48" s="15">
        <f>'[2]3、总属性战斗节奏拟合'!F51</f>
        <v>6935.1226421404708</v>
      </c>
      <c r="J48">
        <f t="shared" si="10"/>
        <v>33278.185998311048</v>
      </c>
      <c r="K48">
        <f t="shared" si="15"/>
        <v>2023.8255975351203</v>
      </c>
      <c r="L48">
        <f t="shared" si="23"/>
        <v>1308.3052380424756</v>
      </c>
      <c r="M48" s="67">
        <f t="shared" si="24"/>
        <v>1412</v>
      </c>
      <c r="N48">
        <f t="shared" si="22"/>
        <v>1412</v>
      </c>
      <c r="X48">
        <v>47</v>
      </c>
      <c r="Y48">
        <f t="shared" si="16"/>
        <v>1412</v>
      </c>
      <c r="Z48">
        <v>155.92000000000002</v>
      </c>
      <c r="AA48">
        <v>225.60000000000002</v>
      </c>
      <c r="AB48">
        <f>'[4]消耗&amp;价值&amp;分析'!$AT53</f>
        <v>265</v>
      </c>
      <c r="AC48">
        <f t="shared" si="12"/>
        <v>0</v>
      </c>
      <c r="AE48" s="144">
        <f t="shared" si="25"/>
        <v>220159.04</v>
      </c>
      <c r="AF48" s="144">
        <f t="shared" si="26"/>
        <v>318547.20000000001</v>
      </c>
      <c r="AG48" s="144">
        <f t="shared" si="27"/>
        <v>374180</v>
      </c>
      <c r="AH48" s="144">
        <f t="shared" si="28"/>
        <v>0</v>
      </c>
      <c r="AJ48" s="145">
        <f>SUM($AK$2:AK48)</f>
        <v>5086955.5199999996</v>
      </c>
      <c r="AK48" s="144">
        <f t="shared" si="29"/>
        <v>594339.04</v>
      </c>
      <c r="AL48">
        <f t="shared" si="30"/>
        <v>8468</v>
      </c>
      <c r="AM48">
        <f t="shared" si="13"/>
        <v>6960</v>
      </c>
      <c r="AN48">
        <v>40000</v>
      </c>
      <c r="AO48">
        <f>体力消耗运算!$AB$20*金币投放!$N$8</f>
        <v>24526.854838709678</v>
      </c>
      <c r="AP48">
        <f>升级时间!K50</f>
        <v>1.779423138534705</v>
      </c>
      <c r="AQ48">
        <f t="shared" si="14"/>
        <v>260809.50134507797</v>
      </c>
      <c r="AS48">
        <f>AS47</f>
        <v>155.92000000000002</v>
      </c>
      <c r="AT48">
        <f>AT47</f>
        <v>225.60000000000002</v>
      </c>
      <c r="AU48">
        <f>CHOOSE(1,0,SUM([5]升星辅助表!$AU$165:$AU$170)*10/40)</f>
        <v>0</v>
      </c>
      <c r="AX48" s="15">
        <f t="shared" si="33"/>
        <v>260809.50134507797</v>
      </c>
      <c r="AY48" s="15">
        <f t="shared" si="34"/>
        <v>208780</v>
      </c>
      <c r="BB48" s="15">
        <f>AY48*0.01*升级时间!K50</f>
        <v>3715.0796286327572</v>
      </c>
      <c r="BC48" s="15">
        <v>135000</v>
      </c>
      <c r="BD48" s="66">
        <f t="shared" si="19"/>
        <v>70064.920371367247</v>
      </c>
    </row>
    <row r="49" spans="1:56">
      <c r="A49">
        <v>48</v>
      </c>
      <c r="B49" s="15">
        <v>1516000</v>
      </c>
      <c r="E49">
        <f>升级时间!K51*金币生产率曲线!B49</f>
        <v>2739207.3462229134</v>
      </c>
      <c r="G49" s="15">
        <f>'[2]3、总属性战斗节奏拟合'!D52</f>
        <v>288561.17363478272</v>
      </c>
      <c r="H49" s="15">
        <f>'[2]3、总属性战斗节奏拟合'!E52</f>
        <v>16499.685913043486</v>
      </c>
      <c r="I49" s="15">
        <f>'[2]3、总属性战斗节奏拟合'!F52</f>
        <v>7333.1937391304382</v>
      </c>
      <c r="J49">
        <f t="shared" si="10"/>
        <v>35375.326597565232</v>
      </c>
      <c r="K49">
        <f t="shared" si="15"/>
        <v>2097.1405992541841</v>
      </c>
      <c r="L49">
        <f t="shared" si="23"/>
        <v>1306.1629473946909</v>
      </c>
      <c r="M49" s="67">
        <f t="shared" si="24"/>
        <v>1477</v>
      </c>
      <c r="N49">
        <f t="shared" si="22"/>
        <v>1477</v>
      </c>
      <c r="X49">
        <v>48</v>
      </c>
      <c r="Y49">
        <f t="shared" si="16"/>
        <v>1477</v>
      </c>
      <c r="Z49">
        <v>155.92000000000002</v>
      </c>
      <c r="AA49">
        <v>225.60000000000002</v>
      </c>
      <c r="AB49">
        <f>'[4]消耗&amp;价值&amp;分析'!$AT54</f>
        <v>114</v>
      </c>
      <c r="AC49">
        <f t="shared" si="12"/>
        <v>0</v>
      </c>
      <c r="AE49" s="144">
        <f t="shared" si="25"/>
        <v>230293.84000000003</v>
      </c>
      <c r="AF49" s="144">
        <f t="shared" si="26"/>
        <v>333211.2</v>
      </c>
      <c r="AG49" s="144">
        <f t="shared" si="27"/>
        <v>168378</v>
      </c>
      <c r="AH49" s="144">
        <f t="shared" si="28"/>
        <v>0</v>
      </c>
      <c r="AJ49" s="145">
        <f>SUM($AK$2:AK49)</f>
        <v>5485627.3599999994</v>
      </c>
      <c r="AK49" s="144">
        <f t="shared" si="29"/>
        <v>398671.84</v>
      </c>
      <c r="AL49">
        <f t="shared" si="30"/>
        <v>13734</v>
      </c>
      <c r="AM49">
        <f t="shared" si="13"/>
        <v>7046</v>
      </c>
      <c r="AN49">
        <v>40000</v>
      </c>
      <c r="AO49">
        <f>体力消耗运算!$AB$20*金币投放!$N$8</f>
        <v>24526.854838709678</v>
      </c>
      <c r="AP49">
        <f>升级时间!K51</f>
        <v>1.806865004104824</v>
      </c>
      <c r="AQ49">
        <f t="shared" si="14"/>
        <v>144615.41043374169</v>
      </c>
      <c r="AS49">
        <f t="shared" ref="AS49:AS61" si="35">AS48</f>
        <v>155.92000000000002</v>
      </c>
      <c r="AT49">
        <f t="shared" ref="AT49:AT61" si="36">AT48</f>
        <v>225.60000000000002</v>
      </c>
      <c r="AU49">
        <f>CHOOSE(1,0,SUM([5]升星辅助表!$AU$165:$AU$170)*10/40)</f>
        <v>0</v>
      </c>
      <c r="AX49" s="15">
        <f t="shared" si="33"/>
        <v>144615.41043374169</v>
      </c>
      <c r="AY49" s="15">
        <f t="shared" si="34"/>
        <v>212480</v>
      </c>
      <c r="BB49" s="15">
        <f>AY49*0.01*升级时间!K51</f>
        <v>3839.2267607219305</v>
      </c>
      <c r="BC49" s="15">
        <v>136000</v>
      </c>
      <c r="BD49" s="15">
        <f t="shared" si="19"/>
        <v>72640.773239278074</v>
      </c>
    </row>
    <row r="50" spans="1:56">
      <c r="A50">
        <v>49</v>
      </c>
      <c r="B50" s="15">
        <v>1544000</v>
      </c>
      <c r="E50">
        <f>升级时间!K52*金币生产率曲线!B50</f>
        <v>3195707.9282836453</v>
      </c>
      <c r="G50" s="15">
        <f>'[2]3、总属性战斗节奏拟合'!D53</f>
        <v>309598.0909883781</v>
      </c>
      <c r="H50" s="15">
        <f>'[2]3、总属性战斗节奏拟合'!E53</f>
        <v>17420.336473244155</v>
      </c>
      <c r="I50" s="15">
        <f>'[2]3、总属性战斗节奏拟合'!F53</f>
        <v>7742.3717658862915</v>
      </c>
      <c r="J50">
        <f t="shared" si="10"/>
        <v>37546.631878665576</v>
      </c>
      <c r="K50">
        <f t="shared" si="15"/>
        <v>2171.3052811003436</v>
      </c>
      <c r="L50">
        <f t="shared" si="23"/>
        <v>1471.7911645589372</v>
      </c>
      <c r="M50" s="67">
        <f t="shared" si="24"/>
        <v>1543</v>
      </c>
      <c r="N50">
        <f t="shared" si="22"/>
        <v>1543</v>
      </c>
      <c r="X50">
        <v>49</v>
      </c>
      <c r="Y50">
        <f t="shared" si="16"/>
        <v>1543</v>
      </c>
      <c r="Z50">
        <v>155.92000000000002</v>
      </c>
      <c r="AA50">
        <v>225.60000000000002</v>
      </c>
      <c r="AB50">
        <f>'[4]消耗&amp;价值&amp;分析'!$AT55</f>
        <v>259</v>
      </c>
      <c r="AC50">
        <f t="shared" si="12"/>
        <v>0</v>
      </c>
      <c r="AE50" s="144">
        <f t="shared" si="25"/>
        <v>240584.56000000003</v>
      </c>
      <c r="AF50" s="144">
        <f t="shared" si="26"/>
        <v>348100.80000000005</v>
      </c>
      <c r="AG50" s="144">
        <f t="shared" si="27"/>
        <v>399637</v>
      </c>
      <c r="AH50" s="144">
        <f t="shared" si="28"/>
        <v>0</v>
      </c>
      <c r="AJ50" s="145">
        <f>SUM($AK$2:AK50)</f>
        <v>6125848.9199999999</v>
      </c>
      <c r="AK50" s="144">
        <f t="shared" si="29"/>
        <v>640221.56000000006</v>
      </c>
      <c r="AL50">
        <f t="shared" si="30"/>
        <v>9344</v>
      </c>
      <c r="AM50">
        <f t="shared" si="13"/>
        <v>7132</v>
      </c>
      <c r="AN50">
        <v>40000</v>
      </c>
      <c r="AO50">
        <f>体力消耗运算!$AB$20*金币投放!$N$8</f>
        <v>24526.854838709678</v>
      </c>
      <c r="AP50">
        <f>升级时间!K52</f>
        <v>2.0697590209090966</v>
      </c>
      <c r="AQ50">
        <f t="shared" si="14"/>
        <v>236834.5856472622</v>
      </c>
      <c r="AS50">
        <f t="shared" si="35"/>
        <v>155.92000000000002</v>
      </c>
      <c r="AT50">
        <f t="shared" si="36"/>
        <v>225.60000000000002</v>
      </c>
      <c r="AU50">
        <f>CHOOSE(1,0,SUM([5]升星辅助表!$AU$165:$AU$170)*10/40)</f>
        <v>0</v>
      </c>
      <c r="AX50" s="15">
        <f t="shared" si="33"/>
        <v>236834.5856472622</v>
      </c>
      <c r="AY50" s="15">
        <f t="shared" si="34"/>
        <v>216220</v>
      </c>
      <c r="BB50" s="15">
        <f>AY50*0.01*升级时间!K52</f>
        <v>4475.2329550096483</v>
      </c>
      <c r="BC50" s="15">
        <v>137000</v>
      </c>
      <c r="BD50" s="15">
        <f t="shared" si="19"/>
        <v>74744.767044990353</v>
      </c>
    </row>
    <row r="51" spans="1:56">
      <c r="A51">
        <v>50</v>
      </c>
      <c r="B51" s="15">
        <v>1572000</v>
      </c>
      <c r="E51">
        <f>升级时间!K53*金币生产率曲线!B51</f>
        <v>3496235.1147427764</v>
      </c>
      <c r="G51" s="15">
        <f>'[2]3、总属性战斗节奏拟合'!D54</f>
        <v>333789.56046195666</v>
      </c>
      <c r="H51" s="15">
        <f>'[2]3、总属性战斗节奏拟合'!E54</f>
        <v>18486.806425585291</v>
      </c>
      <c r="I51" s="15">
        <f>'[2]3、总属性战斗节奏拟合'!F54</f>
        <v>8216.3584113712404</v>
      </c>
      <c r="J51">
        <f t="shared" si="10"/>
        <v>40054.747255434799</v>
      </c>
      <c r="K51">
        <f t="shared" si="15"/>
        <v>2508.1153767692231</v>
      </c>
      <c r="L51">
        <f t="shared" si="23"/>
        <v>1393.9690124010081</v>
      </c>
      <c r="M51" s="67">
        <f t="shared" si="24"/>
        <v>1610</v>
      </c>
      <c r="N51">
        <f t="shared" si="22"/>
        <v>1610</v>
      </c>
      <c r="X51">
        <v>50</v>
      </c>
      <c r="Y51">
        <f t="shared" si="16"/>
        <v>1610</v>
      </c>
      <c r="Z51">
        <v>155.92000000000002</v>
      </c>
      <c r="AA51">
        <v>225.60000000000002</v>
      </c>
      <c r="AB51">
        <f>'[4]消耗&amp;价值&amp;分析'!$AT56</f>
        <v>303</v>
      </c>
      <c r="AC51">
        <f t="shared" si="12"/>
        <v>0</v>
      </c>
      <c r="AE51" s="144">
        <f t="shared" si="25"/>
        <v>251031.2</v>
      </c>
      <c r="AF51" s="144">
        <f t="shared" si="26"/>
        <v>363216.00000000006</v>
      </c>
      <c r="AG51" s="144">
        <f t="shared" si="27"/>
        <v>487830</v>
      </c>
      <c r="AH51" s="144">
        <f t="shared" si="28"/>
        <v>0</v>
      </c>
      <c r="AJ51" s="145">
        <f>SUM($AK$2:AK51)</f>
        <v>6864710.1200000001</v>
      </c>
      <c r="AK51" s="144">
        <f t="shared" si="29"/>
        <v>738861.2</v>
      </c>
      <c r="AL51">
        <f t="shared" si="30"/>
        <v>9716</v>
      </c>
      <c r="AM51">
        <f t="shared" si="13"/>
        <v>7218</v>
      </c>
      <c r="AN51">
        <v>40000</v>
      </c>
      <c r="AO51">
        <f>体力消耗运算!$AB$20*金币投放!$N$8</f>
        <v>24526.854838709678</v>
      </c>
      <c r="AP51">
        <f>升级时间!K53</f>
        <v>2.2240681391493489</v>
      </c>
      <c r="AQ51">
        <f t="shared" si="14"/>
        <v>260070.75406194179</v>
      </c>
      <c r="AS51">
        <f t="shared" si="35"/>
        <v>155.92000000000002</v>
      </c>
      <c r="AT51">
        <f t="shared" si="36"/>
        <v>225.60000000000002</v>
      </c>
      <c r="AU51">
        <f>CHOOSE(1,0,SUM([5]升星辅助表!$AU$165:$AU$170)*10/40)</f>
        <v>0</v>
      </c>
      <c r="AX51" s="15">
        <f t="shared" si="33"/>
        <v>260070.75406194179</v>
      </c>
      <c r="AY51" s="15">
        <f t="shared" si="34"/>
        <v>220000</v>
      </c>
      <c r="BB51" s="15">
        <f>AY51*0.01*升级时间!K53</f>
        <v>4892.9499061285678</v>
      </c>
      <c r="BC51" s="15">
        <v>138000</v>
      </c>
      <c r="BD51" s="15">
        <f t="shared" si="19"/>
        <v>77107.050093871425</v>
      </c>
    </row>
    <row r="52" spans="1:56">
      <c r="A52">
        <v>51</v>
      </c>
      <c r="B52" s="15">
        <v>1600000</v>
      </c>
      <c r="E52">
        <f>升级时间!K54*金币生产率曲线!B52</f>
        <v>3577592.5333057591</v>
      </c>
      <c r="G52" s="15">
        <f>'[2]3、总属性战斗节奏拟合'!D55</f>
        <v>359158.23752035969</v>
      </c>
      <c r="H52" s="15">
        <f>'[2]3、总属性战斗节奏拟合'!E55</f>
        <v>19584.514617892979</v>
      </c>
      <c r="I52" s="15">
        <f>'[2]3、总属性战斗节奏拟合'!F55</f>
        <v>8704.228719063547</v>
      </c>
      <c r="J52">
        <f t="shared" si="10"/>
        <v>42655.072837770917</v>
      </c>
      <c r="K52">
        <f t="shared" si="15"/>
        <v>2600.3255823361178</v>
      </c>
      <c r="L52">
        <f t="shared" si="23"/>
        <v>1375.8248419383199</v>
      </c>
      <c r="M52" s="67">
        <f t="shared" si="24"/>
        <v>1679</v>
      </c>
      <c r="N52">
        <f t="shared" si="22"/>
        <v>1679</v>
      </c>
      <c r="X52">
        <v>51</v>
      </c>
      <c r="Y52">
        <f t="shared" si="16"/>
        <v>1679</v>
      </c>
      <c r="Z52">
        <v>155.92000000000002</v>
      </c>
      <c r="AA52">
        <v>225.60000000000002</v>
      </c>
      <c r="AB52">
        <f>'[4]消耗&amp;价值&amp;分析'!$AT57</f>
        <v>172</v>
      </c>
      <c r="AC52">
        <f t="shared" si="12"/>
        <v>0</v>
      </c>
      <c r="AE52" s="144">
        <f t="shared" si="25"/>
        <v>261789.68000000002</v>
      </c>
      <c r="AF52" s="144">
        <f t="shared" si="26"/>
        <v>378782.4</v>
      </c>
      <c r="AG52" s="144">
        <f t="shared" si="27"/>
        <v>288788</v>
      </c>
      <c r="AH52" s="144">
        <f t="shared" si="28"/>
        <v>0</v>
      </c>
      <c r="AJ52" s="145">
        <f>SUM($AK$2:AK52)</f>
        <v>7415287.7999999998</v>
      </c>
      <c r="AK52" s="144">
        <f t="shared" si="29"/>
        <v>550577.68000000005</v>
      </c>
      <c r="AL52">
        <f t="shared" si="30"/>
        <v>15684</v>
      </c>
      <c r="AM52">
        <f t="shared" si="13"/>
        <v>7304</v>
      </c>
      <c r="AN52">
        <v>40000</v>
      </c>
      <c r="AO52">
        <f>体力消耗运算!$AB$20*金币投放!$N$8</f>
        <v>24526.854838709678</v>
      </c>
      <c r="AP52">
        <f>升级时间!K54</f>
        <v>2.2359953333160996</v>
      </c>
      <c r="AQ52">
        <f t="shared" si="14"/>
        <v>171426.08841612111</v>
      </c>
      <c r="AS52">
        <f t="shared" si="35"/>
        <v>155.92000000000002</v>
      </c>
      <c r="AT52">
        <f t="shared" si="36"/>
        <v>225.60000000000002</v>
      </c>
      <c r="AU52">
        <f>CHOOSE(1,0,SUM([5]升星辅助表!$AU$165:$AU$170)*10/40)</f>
        <v>0</v>
      </c>
      <c r="AX52" s="15">
        <f t="shared" si="33"/>
        <v>171426.08841612111</v>
      </c>
      <c r="AY52" s="15">
        <f t="shared" si="34"/>
        <v>223820</v>
      </c>
      <c r="BB52" s="15">
        <f>AY52*0.01*升级时间!K54</f>
        <v>5004.6047550280946</v>
      </c>
      <c r="BC52" s="15">
        <v>139000</v>
      </c>
      <c r="BD52" s="15">
        <f t="shared" si="19"/>
        <v>79815.395244971907</v>
      </c>
    </row>
    <row r="53" spans="1:56">
      <c r="A53">
        <v>52</v>
      </c>
      <c r="B53" s="15">
        <v>1628000</v>
      </c>
      <c r="E53">
        <f>升级时间!K55*金币生产率曲线!B53</f>
        <v>3491077.2868400263</v>
      </c>
      <c r="G53" s="15">
        <f>'[2]3、总属性战斗节奏拟合'!D56</f>
        <v>385730.67466755857</v>
      </c>
      <c r="H53" s="15">
        <f>'[2]3、总属性战斗节奏拟合'!E56</f>
        <v>20713.461050167229</v>
      </c>
      <c r="I53" s="15">
        <f>'[2]3、总属性战斗节奏拟合'!F56</f>
        <v>9205.9826889632131</v>
      </c>
      <c r="J53">
        <f t="shared" si="10"/>
        <v>45348.670725832781</v>
      </c>
      <c r="K53">
        <f t="shared" si="15"/>
        <v>2693.5978880618641</v>
      </c>
      <c r="L53">
        <f t="shared" si="23"/>
        <v>1296.064754992801</v>
      </c>
      <c r="M53" s="67">
        <f t="shared" si="24"/>
        <v>1749</v>
      </c>
      <c r="N53">
        <f t="shared" si="22"/>
        <v>1749</v>
      </c>
      <c r="X53">
        <v>52</v>
      </c>
      <c r="Y53">
        <f t="shared" si="16"/>
        <v>1749</v>
      </c>
      <c r="Z53">
        <v>155.92000000000002</v>
      </c>
      <c r="AA53">
        <v>225.60000000000002</v>
      </c>
      <c r="AB53">
        <f>'[4]消耗&amp;价值&amp;分析'!$AT58</f>
        <v>255</v>
      </c>
      <c r="AC53">
        <f t="shared" si="12"/>
        <v>0</v>
      </c>
      <c r="AE53" s="144">
        <f t="shared" si="25"/>
        <v>272704.08</v>
      </c>
      <c r="AF53" s="144">
        <f t="shared" si="26"/>
        <v>394574.4</v>
      </c>
      <c r="AG53" s="144">
        <f t="shared" si="27"/>
        <v>445995</v>
      </c>
      <c r="AH53" s="144">
        <f t="shared" si="28"/>
        <v>0</v>
      </c>
      <c r="AJ53" s="145">
        <f>SUM($AK$2:AK53)</f>
        <v>8133986.8799999999</v>
      </c>
      <c r="AK53" s="144">
        <f t="shared" si="29"/>
        <v>718699.08000000007</v>
      </c>
      <c r="AL53">
        <f t="shared" si="30"/>
        <v>23836</v>
      </c>
      <c r="AM53">
        <f t="shared" si="13"/>
        <v>7390</v>
      </c>
      <c r="AN53">
        <v>40000</v>
      </c>
      <c r="AO53">
        <f>体力消耗运算!$AB$20*金币投放!$N$8</f>
        <v>24526.854838709678</v>
      </c>
      <c r="AP53">
        <f>升级时间!K55</f>
        <v>2.1443963678378539</v>
      </c>
      <c r="AQ53">
        <f t="shared" si="14"/>
        <v>256063.63407970031</v>
      </c>
      <c r="AS53">
        <f t="shared" si="35"/>
        <v>155.92000000000002</v>
      </c>
      <c r="AT53">
        <f t="shared" si="36"/>
        <v>225.60000000000002</v>
      </c>
      <c r="AU53">
        <f>CHOOSE(1,0,SUM([5]升星辅助表!$AU$165:$AU$170)*10/40)</f>
        <v>0</v>
      </c>
      <c r="AX53" s="15">
        <f t="shared" si="33"/>
        <v>256063.63407970031</v>
      </c>
      <c r="AY53" s="15">
        <f t="shared" si="34"/>
        <v>227680</v>
      </c>
      <c r="BB53" s="15">
        <f>AY53*0.01*升级时间!K55</f>
        <v>4882.3616502932264</v>
      </c>
      <c r="BC53" s="15">
        <v>140000</v>
      </c>
      <c r="BD53" s="15">
        <f t="shared" si="19"/>
        <v>82797.638349706773</v>
      </c>
    </row>
    <row r="54" spans="1:56">
      <c r="A54">
        <v>53</v>
      </c>
      <c r="B54" s="15">
        <v>1656000</v>
      </c>
      <c r="E54">
        <f>升级时间!K56*金币生产率曲线!B54</f>
        <v>4542049.0251591727</v>
      </c>
      <c r="G54" s="15">
        <f>'[2]3、总属性战斗节奏拟合'!D57</f>
        <v>413533.42440752522</v>
      </c>
      <c r="H54" s="15">
        <f>'[2]3、总属性战斗节奏拟合'!E57</f>
        <v>21873.645722408033</v>
      </c>
      <c r="I54" s="15">
        <f>'[2]3、总属性战斗节奏拟合'!F57</f>
        <v>9721.620321070237</v>
      </c>
      <c r="J54">
        <f t="shared" si="10"/>
        <v>48136.603019779279</v>
      </c>
      <c r="K54">
        <f t="shared" si="15"/>
        <v>2787.9322939464982</v>
      </c>
      <c r="L54">
        <f t="shared" si="23"/>
        <v>1629.1819693833413</v>
      </c>
      <c r="M54" s="67">
        <f t="shared" si="24"/>
        <v>1820</v>
      </c>
      <c r="N54">
        <f t="shared" si="22"/>
        <v>1820</v>
      </c>
      <c r="X54">
        <v>53</v>
      </c>
      <c r="Y54">
        <f t="shared" si="16"/>
        <v>1820</v>
      </c>
      <c r="Z54">
        <v>155.92000000000002</v>
      </c>
      <c r="AA54">
        <v>225.60000000000002</v>
      </c>
      <c r="AB54">
        <f>'[4]消耗&amp;价值&amp;分析'!$AT59</f>
        <v>373</v>
      </c>
      <c r="AC54">
        <f t="shared" si="12"/>
        <v>0</v>
      </c>
      <c r="AE54" s="144">
        <f t="shared" si="25"/>
        <v>283774.40000000002</v>
      </c>
      <c r="AF54" s="144">
        <f t="shared" si="26"/>
        <v>410592.00000000006</v>
      </c>
      <c r="AG54" s="144">
        <f t="shared" si="27"/>
        <v>678860</v>
      </c>
      <c r="AH54" s="144">
        <f t="shared" si="28"/>
        <v>0</v>
      </c>
      <c r="AJ54" s="145">
        <f>SUM($AK$2:AK54)</f>
        <v>9096621.2799999993</v>
      </c>
      <c r="AK54" s="144">
        <f t="shared" si="29"/>
        <v>962634.4</v>
      </c>
      <c r="AL54">
        <f t="shared" si="30"/>
        <v>11056</v>
      </c>
      <c r="AM54">
        <f t="shared" si="13"/>
        <v>7475</v>
      </c>
      <c r="AN54">
        <v>40000</v>
      </c>
      <c r="AO54">
        <f>体力消耗运算!$AB$20*金币投放!$N$8</f>
        <v>24526.854838709678</v>
      </c>
      <c r="AP54">
        <f>升级时间!K56</f>
        <v>2.7427832277531237</v>
      </c>
      <c r="AQ54">
        <f t="shared" si="14"/>
        <v>279686.78568781691</v>
      </c>
      <c r="AS54">
        <f t="shared" si="35"/>
        <v>155.92000000000002</v>
      </c>
      <c r="AT54">
        <f t="shared" si="36"/>
        <v>225.60000000000002</v>
      </c>
      <c r="AU54">
        <f>CHOOSE(1,0,SUM([5]升星辅助表!$AU$165:$AU$170)*10/40)</f>
        <v>0</v>
      </c>
      <c r="AX54" s="15">
        <f t="shared" si="33"/>
        <v>279686.78568781691</v>
      </c>
      <c r="AY54" s="15">
        <f t="shared" si="34"/>
        <v>231580</v>
      </c>
      <c r="BB54" s="15">
        <f>AY54*0.01*升级时间!K56</f>
        <v>6351.7373988306845</v>
      </c>
      <c r="BC54" s="15">
        <v>141000</v>
      </c>
      <c r="BD54" s="15">
        <f t="shared" si="19"/>
        <v>84228.262601169321</v>
      </c>
    </row>
    <row r="55" spans="1:56">
      <c r="A55">
        <v>54</v>
      </c>
      <c r="B55" s="15">
        <v>1684000</v>
      </c>
      <c r="E55">
        <f>升级时间!K57*金币生产率曲线!B55</f>
        <v>4945294.1655941</v>
      </c>
      <c r="G55" s="15">
        <f>'[2]3、总属性战斗节奏拟合'!D58</f>
        <v>442593.03924423084</v>
      </c>
      <c r="H55" s="15">
        <f>'[2]3、总属性战斗节奏拟合'!E58</f>
        <v>23065.068634615389</v>
      </c>
      <c r="I55" s="15">
        <f>'[2]3、总属性战斗节奏拟合'!F58</f>
        <v>10251.141615384618</v>
      </c>
      <c r="J55">
        <f t="shared" si="10"/>
        <v>51019.931819769248</v>
      </c>
      <c r="K55">
        <f t="shared" si="15"/>
        <v>2883.3287999899694</v>
      </c>
      <c r="L55">
        <f t="shared" si="23"/>
        <v>1715.1336211157409</v>
      </c>
      <c r="M55" s="67">
        <f t="shared" si="24"/>
        <v>1893</v>
      </c>
      <c r="N55">
        <f t="shared" si="22"/>
        <v>1893</v>
      </c>
      <c r="X55">
        <v>54</v>
      </c>
      <c r="Y55">
        <f t="shared" si="16"/>
        <v>1893</v>
      </c>
      <c r="Z55">
        <v>155.92000000000002</v>
      </c>
      <c r="AA55">
        <v>225.60000000000002</v>
      </c>
      <c r="AB55">
        <f>'[4]消耗&amp;价值&amp;分析'!$AT60</f>
        <v>219</v>
      </c>
      <c r="AC55">
        <f t="shared" si="12"/>
        <v>0</v>
      </c>
      <c r="AE55" s="144">
        <f t="shared" si="25"/>
        <v>295156.56000000006</v>
      </c>
      <c r="AF55" s="144">
        <f t="shared" si="26"/>
        <v>427060.80000000005</v>
      </c>
      <c r="AG55" s="144">
        <f t="shared" si="27"/>
        <v>414567</v>
      </c>
      <c r="AH55" s="144">
        <f t="shared" si="28"/>
        <v>0</v>
      </c>
      <c r="AJ55" s="145">
        <f>SUM($AK$2:AK55)</f>
        <v>9806344.8399999999</v>
      </c>
      <c r="AK55" s="144">
        <f t="shared" si="29"/>
        <v>709723.56</v>
      </c>
      <c r="AL55">
        <f t="shared" si="30"/>
        <v>11466</v>
      </c>
      <c r="AM55">
        <f t="shared" si="13"/>
        <v>7561</v>
      </c>
      <c r="AN55">
        <v>40000</v>
      </c>
      <c r="AO55">
        <f>体力消耗运算!$AB$20*金币投放!$N$8</f>
        <v>24526.854838709678</v>
      </c>
      <c r="AP55">
        <f>升级时间!K57</f>
        <v>2.9366354902577791</v>
      </c>
      <c r="AQ55">
        <f t="shared" si="14"/>
        <v>170673.10861993887</v>
      </c>
      <c r="AS55">
        <f t="shared" si="35"/>
        <v>155.92000000000002</v>
      </c>
      <c r="AT55">
        <f t="shared" si="36"/>
        <v>225.60000000000002</v>
      </c>
      <c r="AU55">
        <f>CHOOSE(1,0,SUM([5]升星辅助表!$AU$165:$AU$170)*10/40)</f>
        <v>0</v>
      </c>
      <c r="AX55" s="15">
        <f t="shared" si="33"/>
        <v>170673.10861993887</v>
      </c>
      <c r="AY55" s="15">
        <f t="shared" si="34"/>
        <v>235520</v>
      </c>
      <c r="BB55" s="15">
        <f>AY55*0.01*升级时间!K57</f>
        <v>6916.3639066551223</v>
      </c>
      <c r="BC55" s="15">
        <v>142000</v>
      </c>
      <c r="BD55" s="15">
        <f t="shared" si="19"/>
        <v>86603.636093344874</v>
      </c>
    </row>
    <row r="56" spans="1:56">
      <c r="A56">
        <v>55</v>
      </c>
      <c r="B56" s="15">
        <v>1712000</v>
      </c>
      <c r="E56">
        <f>升级时间!K58*金币生产率曲线!B56</f>
        <v>5377554.5394211141</v>
      </c>
      <c r="G56" s="15">
        <f>'[2]3、总属性战斗节奏拟合'!D59</f>
        <v>472936.07168164715</v>
      </c>
      <c r="H56" s="15">
        <f>'[2]3、总属性战斗节奏拟合'!E59</f>
        <v>24287.729786789299</v>
      </c>
      <c r="I56" s="15">
        <f>'[2]3、总属性战斗节奏拟合'!F59</f>
        <v>10794.546571906356</v>
      </c>
      <c r="J56">
        <f t="shared" si="10"/>
        <v>53999.719225961548</v>
      </c>
      <c r="K56">
        <f t="shared" si="15"/>
        <v>2979.7874061922994</v>
      </c>
      <c r="L56">
        <f t="shared" si="23"/>
        <v>1804.6772492044272</v>
      </c>
      <c r="M56" s="67">
        <f t="shared" si="24"/>
        <v>1967</v>
      </c>
      <c r="N56">
        <f t="shared" si="22"/>
        <v>1967</v>
      </c>
      <c r="X56">
        <v>55</v>
      </c>
      <c r="Y56">
        <f t="shared" si="16"/>
        <v>1967</v>
      </c>
      <c r="Z56">
        <v>155.92000000000002</v>
      </c>
      <c r="AA56">
        <v>225.60000000000002</v>
      </c>
      <c r="AB56">
        <f>'[4]消耗&amp;价值&amp;分析'!$AT61</f>
        <v>243</v>
      </c>
      <c r="AC56">
        <f t="shared" si="12"/>
        <v>0</v>
      </c>
      <c r="AE56" s="144">
        <f t="shared" si="25"/>
        <v>306694.64</v>
      </c>
      <c r="AF56" s="144">
        <f t="shared" si="26"/>
        <v>443755.20000000007</v>
      </c>
      <c r="AG56" s="144">
        <f t="shared" si="27"/>
        <v>477981</v>
      </c>
      <c r="AH56" s="144">
        <f t="shared" si="28"/>
        <v>0</v>
      </c>
      <c r="AJ56" s="145">
        <f>SUM($AK$2:AK56)</f>
        <v>10591020.48</v>
      </c>
      <c r="AK56" s="144">
        <f t="shared" si="29"/>
        <v>784675.64</v>
      </c>
      <c r="AL56">
        <f t="shared" si="30"/>
        <v>11876</v>
      </c>
      <c r="AM56">
        <f t="shared" si="13"/>
        <v>7647</v>
      </c>
      <c r="AN56">
        <v>40000</v>
      </c>
      <c r="AO56">
        <f>体力消耗运算!$AB$20*金币投放!$N$8</f>
        <v>24526.854838709678</v>
      </c>
      <c r="AP56">
        <f>升级时间!K58</f>
        <v>3.141094941250651</v>
      </c>
      <c r="AQ56">
        <f t="shared" si="14"/>
        <v>179067.38675888706</v>
      </c>
      <c r="AS56">
        <f t="shared" si="35"/>
        <v>155.92000000000002</v>
      </c>
      <c r="AT56">
        <f t="shared" si="36"/>
        <v>225.60000000000002</v>
      </c>
      <c r="AU56">
        <f>CHOOSE(1,0,SUM([5]升星辅助表!$AU$165:$AU$170)*10/40)</f>
        <v>0</v>
      </c>
      <c r="AX56" s="15">
        <f t="shared" si="33"/>
        <v>179067.38675888706</v>
      </c>
      <c r="AY56" s="15">
        <f t="shared" si="34"/>
        <v>239500</v>
      </c>
      <c r="BB56" s="15">
        <f>AY56*0.01*升级时间!K58</f>
        <v>7522.9223842953088</v>
      </c>
      <c r="BC56" s="15">
        <v>143000</v>
      </c>
      <c r="BD56" s="15">
        <f t="shared" si="19"/>
        <v>88977.077615704693</v>
      </c>
    </row>
    <row r="57" spans="1:56">
      <c r="A57">
        <v>56</v>
      </c>
      <c r="B57" s="15">
        <v>1740000</v>
      </c>
      <c r="E57">
        <f>升级时间!K59*金币生产率曲线!B57</f>
        <v>5799362.9197132606</v>
      </c>
      <c r="G57" s="15">
        <f>'[2]3、总属性战斗节奏拟合'!D60</f>
        <v>504589.07422374596</v>
      </c>
      <c r="H57" s="15">
        <f>'[2]3、总属性战斗节奏拟合'!E60</f>
        <v>25541.629178929772</v>
      </c>
      <c r="I57" s="15">
        <f>'[2]3、总属性战斗节奏拟合'!F60</f>
        <v>11351.835190635455</v>
      </c>
      <c r="J57">
        <f t="shared" si="10"/>
        <v>57077.027338515065</v>
      </c>
      <c r="K57">
        <f t="shared" si="15"/>
        <v>3077.3081125535173</v>
      </c>
      <c r="L57">
        <f t="shared" si="23"/>
        <v>1884.5571218739651</v>
      </c>
      <c r="M57" s="67">
        <f t="shared" si="24"/>
        <v>2042</v>
      </c>
      <c r="N57">
        <f t="shared" si="22"/>
        <v>2042</v>
      </c>
      <c r="X57">
        <v>56</v>
      </c>
      <c r="Y57">
        <f t="shared" si="16"/>
        <v>2042</v>
      </c>
      <c r="Z57">
        <v>155.92000000000002</v>
      </c>
      <c r="AA57">
        <v>225.60000000000002</v>
      </c>
      <c r="AB57">
        <f>'[4]消耗&amp;价值&amp;分析'!$AT62</f>
        <v>343</v>
      </c>
      <c r="AC57">
        <f t="shared" si="12"/>
        <v>0</v>
      </c>
      <c r="AE57" s="144">
        <f t="shared" si="25"/>
        <v>318388.64</v>
      </c>
      <c r="AF57" s="144">
        <f t="shared" si="26"/>
        <v>460675.20000000007</v>
      </c>
      <c r="AG57" s="144">
        <f t="shared" si="27"/>
        <v>700406</v>
      </c>
      <c r="AH57" s="144">
        <f t="shared" si="28"/>
        <v>0</v>
      </c>
      <c r="AJ57" s="145">
        <f>SUM($AK$2:AK57)</f>
        <v>11609815.120000001</v>
      </c>
      <c r="AK57" s="144">
        <f t="shared" si="29"/>
        <v>1018794.64</v>
      </c>
      <c r="AL57">
        <f t="shared" si="30"/>
        <v>12680</v>
      </c>
      <c r="AM57">
        <f t="shared" si="13"/>
        <v>7733</v>
      </c>
      <c r="AN57">
        <v>40000</v>
      </c>
      <c r="AO57">
        <f>体力消耗运算!$AB$20*金币投放!$N$8</f>
        <v>24526.854838709678</v>
      </c>
      <c r="AP57">
        <f>升级时间!K59</f>
        <v>3.3329671952375062</v>
      </c>
      <c r="AQ57">
        <f t="shared" si="14"/>
        <v>235020.53987510348</v>
      </c>
      <c r="AS57">
        <f t="shared" si="35"/>
        <v>155.92000000000002</v>
      </c>
      <c r="AT57">
        <f t="shared" si="36"/>
        <v>225.60000000000002</v>
      </c>
      <c r="AU57">
        <f>CHOOSE(1,0,SUM([5]升星辅助表!$AU$165:$AU$170)*10/40)</f>
        <v>0</v>
      </c>
      <c r="AX57" s="15">
        <f t="shared" si="33"/>
        <v>235020.53987510348</v>
      </c>
      <c r="AY57" s="15">
        <f t="shared" si="34"/>
        <v>243520</v>
      </c>
      <c r="BB57" s="15">
        <f>AY57*0.01*升级时间!K59</f>
        <v>8116.441713842376</v>
      </c>
      <c r="BC57" s="15">
        <v>144000</v>
      </c>
      <c r="BD57" s="15">
        <f t="shared" si="19"/>
        <v>91403.558286157626</v>
      </c>
    </row>
    <row r="58" spans="1:56">
      <c r="A58">
        <v>57</v>
      </c>
      <c r="B58" s="15">
        <v>1768000</v>
      </c>
      <c r="E58">
        <f>升级时间!K60*金币生产率曲线!B58</f>
        <v>6285259.4614206124</v>
      </c>
      <c r="G58" s="15">
        <f>'[2]3、总属性战斗节奏拟合'!D61</f>
        <v>537578.59937449847</v>
      </c>
      <c r="H58" s="15">
        <f>'[2]3、总属性战斗节奏拟合'!E61</f>
        <v>26826.766811036796</v>
      </c>
      <c r="I58" s="15">
        <f>'[2]3、总属性战斗节奏拟合'!F61</f>
        <v>11923.007471571909</v>
      </c>
      <c r="J58">
        <f t="shared" si="10"/>
        <v>60252.918257588644</v>
      </c>
      <c r="K58">
        <f t="shared" si="15"/>
        <v>3175.8909190735794</v>
      </c>
      <c r="L58">
        <f t="shared" si="23"/>
        <v>1979.0539478774192</v>
      </c>
      <c r="M58" s="67">
        <f t="shared" si="24"/>
        <v>2119</v>
      </c>
      <c r="N58">
        <f t="shared" si="22"/>
        <v>2119</v>
      </c>
      <c r="X58">
        <v>57</v>
      </c>
      <c r="Y58">
        <f t="shared" si="16"/>
        <v>2119</v>
      </c>
      <c r="Z58">
        <v>155.92000000000002</v>
      </c>
      <c r="AA58">
        <v>225.60000000000002</v>
      </c>
      <c r="AB58">
        <f>'[4]消耗&amp;价值&amp;分析'!$AT63</f>
        <v>334</v>
      </c>
      <c r="AC58">
        <f t="shared" si="12"/>
        <v>0</v>
      </c>
      <c r="AE58" s="144">
        <f t="shared" si="25"/>
        <v>330394.48000000004</v>
      </c>
      <c r="AF58" s="144">
        <f t="shared" si="26"/>
        <v>478046.4</v>
      </c>
      <c r="AG58" s="144">
        <f t="shared" si="27"/>
        <v>707746</v>
      </c>
      <c r="AH58" s="144">
        <f t="shared" si="28"/>
        <v>0</v>
      </c>
      <c r="AJ58" s="145">
        <f>SUM($AK$2:AK58)</f>
        <v>12647955.600000001</v>
      </c>
      <c r="AK58" s="144">
        <f t="shared" si="29"/>
        <v>1038140.48</v>
      </c>
      <c r="AL58">
        <f t="shared" si="30"/>
        <v>13118</v>
      </c>
      <c r="AM58">
        <f t="shared" si="13"/>
        <v>7819</v>
      </c>
      <c r="AN58">
        <v>40000</v>
      </c>
      <c r="AO58">
        <f>体力消耗运算!$AB$20*金币投放!$N$8</f>
        <v>24526.854838709678</v>
      </c>
      <c r="AP58">
        <f>升级时间!K60</f>
        <v>3.5550110075908443</v>
      </c>
      <c r="AQ58">
        <f t="shared" si="14"/>
        <v>221605.44625065805</v>
      </c>
      <c r="AS58">
        <f t="shared" si="35"/>
        <v>155.92000000000002</v>
      </c>
      <c r="AT58">
        <f t="shared" si="36"/>
        <v>225.60000000000002</v>
      </c>
      <c r="AU58">
        <f>CHOOSE(1,0,SUM([5]升星辅助表!$AU$165:$AU$170)*10/40)</f>
        <v>0</v>
      </c>
      <c r="AX58" s="15">
        <f t="shared" si="33"/>
        <v>221605.44625065805</v>
      </c>
      <c r="AY58" s="15">
        <f t="shared" si="34"/>
        <v>247580</v>
      </c>
      <c r="BB58" s="15">
        <f>AY58*0.01*升级时间!K60</f>
        <v>8801.4962525934134</v>
      </c>
      <c r="BC58" s="15">
        <v>145000</v>
      </c>
      <c r="BD58" s="66">
        <f t="shared" si="19"/>
        <v>93778.50374740659</v>
      </c>
    </row>
    <row r="59" spans="1:56">
      <c r="A59">
        <v>58</v>
      </c>
      <c r="B59" s="15">
        <v>1796000</v>
      </c>
      <c r="E59">
        <f>升级时间!K61*金币生产率曲线!B59</f>
        <v>6804503.6837292397</v>
      </c>
      <c r="G59" s="15">
        <f>'[2]3、总属性战斗节奏拟合'!D62</f>
        <v>571931.19963787636</v>
      </c>
      <c r="H59" s="15">
        <f>'[2]3、总属性战斗节奏拟合'!E62</f>
        <v>28143.142683110374</v>
      </c>
      <c r="I59" s="15">
        <f>'[2]3、总属性战斗节奏拟合'!F62</f>
        <v>12508.063414715723</v>
      </c>
      <c r="J59">
        <f t="shared" si="10"/>
        <v>63528.454083341159</v>
      </c>
      <c r="K59">
        <f t="shared" si="15"/>
        <v>3275.5358257525149</v>
      </c>
      <c r="L59">
        <f t="shared" si="23"/>
        <v>2077.3711678656382</v>
      </c>
      <c r="M59" s="67">
        <f t="shared" si="24"/>
        <v>2198</v>
      </c>
      <c r="N59">
        <f t="shared" si="22"/>
        <v>2198</v>
      </c>
      <c r="X59">
        <v>58</v>
      </c>
      <c r="Y59">
        <f t="shared" si="16"/>
        <v>2198</v>
      </c>
      <c r="Z59">
        <v>155.92000000000002</v>
      </c>
      <c r="AA59">
        <v>225.60000000000002</v>
      </c>
      <c r="AB59">
        <f>'[4]消耗&amp;价值&amp;分析'!$AT64</f>
        <v>369</v>
      </c>
      <c r="AC59">
        <f t="shared" si="12"/>
        <v>0</v>
      </c>
      <c r="AE59" s="144">
        <f t="shared" si="25"/>
        <v>342712.16000000003</v>
      </c>
      <c r="AF59" s="144">
        <f t="shared" si="26"/>
        <v>495868.80000000005</v>
      </c>
      <c r="AG59" s="144">
        <f t="shared" si="27"/>
        <v>811062</v>
      </c>
      <c r="AH59" s="144">
        <f t="shared" si="28"/>
        <v>0</v>
      </c>
      <c r="AJ59" s="145">
        <f>SUM($AK$2:AK59)</f>
        <v>13801729.760000002</v>
      </c>
      <c r="AK59" s="144">
        <f t="shared" si="29"/>
        <v>1153774.1600000001</v>
      </c>
      <c r="AL59">
        <f t="shared" si="30"/>
        <v>13564</v>
      </c>
      <c r="AM59">
        <f t="shared" si="13"/>
        <v>7905</v>
      </c>
      <c r="AN59">
        <v>40000</v>
      </c>
      <c r="AO59">
        <f>体力消耗运算!$AB$20*金币投放!$N$8</f>
        <v>24526.854838709678</v>
      </c>
      <c r="AP59">
        <f>升级时间!K61</f>
        <v>3.7886991557512468</v>
      </c>
      <c r="AQ59">
        <f t="shared" si="14"/>
        <v>234336.98033309609</v>
      </c>
      <c r="AS59">
        <f t="shared" si="35"/>
        <v>155.92000000000002</v>
      </c>
      <c r="AT59">
        <f t="shared" si="36"/>
        <v>225.60000000000002</v>
      </c>
      <c r="AU59">
        <f>CHOOSE(1,0,SUM([5]升星辅助表!$AU$165:$AU$170)*10/40)</f>
        <v>0</v>
      </c>
      <c r="AX59" s="15">
        <f t="shared" si="33"/>
        <v>234336.98033309609</v>
      </c>
      <c r="AY59" s="15">
        <f t="shared" si="34"/>
        <v>251680</v>
      </c>
      <c r="BB59" s="15">
        <f>AY59*0.01*升级时间!K61</f>
        <v>9535.3980351947394</v>
      </c>
      <c r="BC59" s="15">
        <v>146000</v>
      </c>
      <c r="BD59" s="15">
        <f t="shared" si="19"/>
        <v>96144.601964805261</v>
      </c>
    </row>
    <row r="60" spans="1:56">
      <c r="A60">
        <v>59</v>
      </c>
      <c r="B60" s="15">
        <v>1824000</v>
      </c>
      <c r="E60">
        <f>升级时间!K62*金币生产率曲线!B60</f>
        <v>6842999.9521935154</v>
      </c>
      <c r="G60" s="15">
        <f>'[2]3、总属性战斗节奏拟合'!D63</f>
        <v>607673.42751785135</v>
      </c>
      <c r="H60" s="15">
        <f>'[2]3、总属性战斗节奏拟合'!E63</f>
        <v>29490.756795150512</v>
      </c>
      <c r="I60" s="15">
        <f>'[2]3、总属性战斗节奏拟合'!F63</f>
        <v>13107.003020066893</v>
      </c>
      <c r="J60">
        <f t="shared" si="10"/>
        <v>66904.696915931461</v>
      </c>
      <c r="K60">
        <f t="shared" si="15"/>
        <v>3376.242832590302</v>
      </c>
      <c r="L60">
        <f t="shared" si="23"/>
        <v>2026.8091756135525</v>
      </c>
      <c r="M60" s="67">
        <f t="shared" si="24"/>
        <v>2277</v>
      </c>
      <c r="N60">
        <f t="shared" si="22"/>
        <v>2277</v>
      </c>
      <c r="X60">
        <v>59</v>
      </c>
      <c r="Y60">
        <f t="shared" si="16"/>
        <v>2277</v>
      </c>
      <c r="Z60">
        <v>155.92000000000002</v>
      </c>
      <c r="AA60">
        <v>225.60000000000002</v>
      </c>
      <c r="AB60">
        <f>'[4]消耗&amp;价值&amp;分析'!$AT65</f>
        <v>299</v>
      </c>
      <c r="AC60">
        <f t="shared" si="12"/>
        <v>0</v>
      </c>
      <c r="AE60" s="144">
        <f t="shared" si="25"/>
        <v>355029.84</v>
      </c>
      <c r="AF60" s="144">
        <f t="shared" si="26"/>
        <v>513691.20000000007</v>
      </c>
      <c r="AG60" s="144">
        <f t="shared" si="27"/>
        <v>680823</v>
      </c>
      <c r="AH60" s="144">
        <f t="shared" si="28"/>
        <v>0</v>
      </c>
      <c r="AJ60" s="145">
        <f>SUM($AK$2:AK60)</f>
        <v>14837582.600000001</v>
      </c>
      <c r="AK60" s="144">
        <f t="shared" si="29"/>
        <v>1035852.8400000001</v>
      </c>
      <c r="AL60">
        <f t="shared" si="30"/>
        <v>21686</v>
      </c>
      <c r="AM60">
        <f t="shared" si="13"/>
        <v>7991</v>
      </c>
      <c r="AN60">
        <v>40000</v>
      </c>
      <c r="AO60">
        <f>体力消耗运算!$AB$20*金币投放!$N$8</f>
        <v>24526.854838709678</v>
      </c>
      <c r="AP60">
        <f>升级时间!K62</f>
        <v>3.7516447106324096</v>
      </c>
      <c r="AQ60">
        <f t="shared" si="14"/>
        <v>203669.07457550996</v>
      </c>
      <c r="AS60">
        <f t="shared" si="35"/>
        <v>155.92000000000002</v>
      </c>
      <c r="AT60">
        <f t="shared" si="36"/>
        <v>225.60000000000002</v>
      </c>
      <c r="AU60">
        <f>CHOOSE(1,0,SUM([5]升星辅助表!$AU$165:$AU$170)*10/40)</f>
        <v>0</v>
      </c>
      <c r="AX60" s="15">
        <f t="shared" si="33"/>
        <v>203669.07457550996</v>
      </c>
      <c r="AY60" s="15">
        <f t="shared" si="34"/>
        <v>255820</v>
      </c>
      <c r="BB60" s="15">
        <f>AY60*0.01*升级时间!K62</f>
        <v>9597.4574987398319</v>
      </c>
      <c r="BC60" s="15">
        <v>147000</v>
      </c>
      <c r="BD60" s="15">
        <f t="shared" si="19"/>
        <v>99222.542501260163</v>
      </c>
    </row>
    <row r="61" spans="1:56">
      <c r="A61">
        <v>60</v>
      </c>
      <c r="B61" s="15">
        <v>1852000</v>
      </c>
      <c r="E61">
        <f>升级时间!K63*金币生产率曲线!B61</f>
        <v>7908896.812158986</v>
      </c>
      <c r="G61" s="15">
        <f>'[2]3、总属性战斗节奏拟合'!D64</f>
        <v>648008.34702341165</v>
      </c>
      <c r="H61" s="15">
        <f>'[2]3、总属性战斗节奏拟合'!E64</f>
        <v>31021.676187290985</v>
      </c>
      <c r="I61" s="15">
        <f>'[2]3、总属性战斗节奏拟合'!F64</f>
        <v>13787.411638795993</v>
      </c>
      <c r="J61">
        <f t="shared" si="10"/>
        <v>70729.421707023444</v>
      </c>
      <c r="K61">
        <f t="shared" si="15"/>
        <v>3824.7247910919832</v>
      </c>
      <c r="L61">
        <f t="shared" si="23"/>
        <v>2067.8342218450039</v>
      </c>
      <c r="M61" s="67">
        <f t="shared" si="24"/>
        <v>2358</v>
      </c>
      <c r="N61">
        <f t="shared" si="22"/>
        <v>2358</v>
      </c>
      <c r="X61">
        <v>60</v>
      </c>
      <c r="Y61">
        <f t="shared" si="16"/>
        <v>2358</v>
      </c>
      <c r="Z61">
        <v>155.92000000000002</v>
      </c>
      <c r="AA61">
        <v>225.60000000000002</v>
      </c>
      <c r="AB61">
        <f>'[4]消耗&amp;价值&amp;分析'!$AT66</f>
        <v>420</v>
      </c>
      <c r="AC61">
        <f t="shared" si="12"/>
        <v>0</v>
      </c>
      <c r="AE61" s="144">
        <f t="shared" si="25"/>
        <v>367659.36000000004</v>
      </c>
      <c r="AF61" s="144">
        <f t="shared" si="26"/>
        <v>531964.80000000005</v>
      </c>
      <c r="AG61" s="144">
        <f t="shared" si="27"/>
        <v>990360</v>
      </c>
      <c r="AH61" s="144">
        <f t="shared" si="28"/>
        <v>0</v>
      </c>
      <c r="AJ61" s="145">
        <f>SUM($AK$2:AK61)</f>
        <v>16195601.960000001</v>
      </c>
      <c r="AK61" s="144">
        <f t="shared" si="29"/>
        <v>1358019.36</v>
      </c>
      <c r="AL61">
        <f t="shared" si="30"/>
        <v>14684</v>
      </c>
      <c r="AM61">
        <f t="shared" si="13"/>
        <v>8077</v>
      </c>
      <c r="AN61">
        <v>40000</v>
      </c>
      <c r="AO61">
        <f>体力消耗运算!$AB$20*金币投放!$N$8</f>
        <v>24526.854838709678</v>
      </c>
      <c r="AP61">
        <f>升级时间!K63</f>
        <v>4.2704626415545279</v>
      </c>
      <c r="AQ61">
        <f t="shared" si="14"/>
        <v>248146.14386803962</v>
      </c>
      <c r="AS61">
        <f t="shared" si="35"/>
        <v>155.92000000000002</v>
      </c>
      <c r="AT61">
        <f t="shared" si="36"/>
        <v>225.60000000000002</v>
      </c>
      <c r="AU61">
        <f>CHOOSE(1,0,SUM([5]升星辅助表!$AU$165:$AU$170)*10/40)</f>
        <v>0</v>
      </c>
      <c r="AX61" s="15">
        <f t="shared" si="33"/>
        <v>248146.14386803962</v>
      </c>
      <c r="AY61" s="15">
        <f t="shared" si="34"/>
        <v>260000</v>
      </c>
      <c r="BB61" s="15">
        <f>AY61*0.01*升级时间!K63</f>
        <v>11103.202868041773</v>
      </c>
      <c r="BC61" s="15">
        <v>148000</v>
      </c>
      <c r="BD61" s="15">
        <f t="shared" si="19"/>
        <v>100896.79713195823</v>
      </c>
    </row>
    <row r="62" spans="1:56">
      <c r="A62">
        <v>61</v>
      </c>
      <c r="B62" s="15">
        <v>1880000</v>
      </c>
      <c r="E62">
        <f>升级时间!K64*金币生产率曲线!B62</f>
        <v>7829253.0320960255</v>
      </c>
      <c r="G62" s="15">
        <f>'[2]3、总属性战斗节奏拟合'!D65</f>
        <v>690004.44706793502</v>
      </c>
      <c r="H62" s="15">
        <f>'[2]3、总属性战斗节奏拟合'!E65</f>
        <v>32590.081467391312</v>
      </c>
      <c r="I62" s="15">
        <f>'[2]3、总属性战斗节奏拟合'!F65</f>
        <v>14484.480652173917</v>
      </c>
      <c r="J62">
        <f t="shared" si="10"/>
        <v>74674.740002282633</v>
      </c>
      <c r="K62">
        <f t="shared" si="15"/>
        <v>3945.3182952591887</v>
      </c>
      <c r="L62">
        <f t="shared" si="23"/>
        <v>1984.4414179469088</v>
      </c>
      <c r="M62" s="67">
        <f t="shared" si="24"/>
        <v>2440</v>
      </c>
      <c r="N62">
        <f t="shared" si="22"/>
        <v>2440</v>
      </c>
      <c r="X62">
        <v>61</v>
      </c>
      <c r="Y62">
        <f t="shared" si="16"/>
        <v>2440</v>
      </c>
      <c r="Z62">
        <v>209.74</v>
      </c>
      <c r="AA62">
        <v>302.92</v>
      </c>
      <c r="AB62">
        <f>'[4]消耗&amp;价值&amp;分析'!$AT67</f>
        <v>387</v>
      </c>
      <c r="AC62">
        <f t="shared" si="12"/>
        <v>0</v>
      </c>
      <c r="AE62" s="144">
        <f t="shared" si="25"/>
        <v>511765.60000000003</v>
      </c>
      <c r="AF62" s="144">
        <f t="shared" si="26"/>
        <v>739124.8</v>
      </c>
      <c r="AG62" s="144">
        <f t="shared" si="27"/>
        <v>944280</v>
      </c>
      <c r="AH62" s="144">
        <f t="shared" si="28"/>
        <v>0</v>
      </c>
      <c r="AJ62" s="145">
        <f>SUM($AK$2:AK62)</f>
        <v>17651647.560000002</v>
      </c>
      <c r="AK62" s="144">
        <f t="shared" si="29"/>
        <v>1456045.6</v>
      </c>
      <c r="AL62">
        <f t="shared" si="30"/>
        <v>24098</v>
      </c>
      <c r="AM62">
        <f t="shared" si="13"/>
        <v>8163</v>
      </c>
      <c r="AN62">
        <v>40000</v>
      </c>
      <c r="AO62">
        <f>体力消耗运算!$AB$20*金币投放!$N$8</f>
        <v>24526.854838709678</v>
      </c>
      <c r="AP62">
        <f>升级时间!K64</f>
        <v>4.1644962936680985</v>
      </c>
      <c r="AQ62">
        <f t="shared" si="14"/>
        <v>277359.53419825283</v>
      </c>
      <c r="AS62">
        <f>SUM([5]强化辅助表!$Q$144:$Q$149)</f>
        <v>209.74</v>
      </c>
      <c r="AT62">
        <f>SUM([5]强化辅助表!$Q$150:$Q$155)</f>
        <v>302.92</v>
      </c>
      <c r="AU62">
        <f>CHOOSE(1,0,SUM([5]升星辅助表!$AU$165:$AU$170)*10/40)</f>
        <v>0</v>
      </c>
      <c r="AX62" s="15">
        <f t="shared" si="33"/>
        <v>277359.53419825283</v>
      </c>
      <c r="AY62" s="15">
        <f t="shared" si="34"/>
        <v>264220</v>
      </c>
      <c r="BB62" s="15">
        <f>AY62*0.01*升级时间!K64</f>
        <v>11003.432107129851</v>
      </c>
      <c r="BC62" s="15">
        <v>149000</v>
      </c>
      <c r="BD62" s="15">
        <f t="shared" si="19"/>
        <v>104216.56789287015</v>
      </c>
    </row>
    <row r="63" spans="1:56">
      <c r="A63">
        <v>62</v>
      </c>
      <c r="B63" s="15">
        <v>1908000</v>
      </c>
      <c r="E63">
        <f>升级时间!K65*金币生产率曲线!B63</f>
        <v>9205287.9828976784</v>
      </c>
      <c r="G63" s="15">
        <f>'[2]3、总属性战斗节奏拟合'!D66</f>
        <v>733693.59065618762</v>
      </c>
      <c r="H63" s="15">
        <f>'[2]3、总属性战斗节奏拟合'!E66</f>
        <v>34195.972635451515</v>
      </c>
      <c r="I63" s="15">
        <f>'[2]3、总属性战斗节奏拟合'!F66</f>
        <v>15198.210060200676</v>
      </c>
      <c r="J63">
        <f t="shared" si="10"/>
        <v>78741.926321899693</v>
      </c>
      <c r="K63">
        <f t="shared" si="15"/>
        <v>4067.1863196170598</v>
      </c>
      <c r="L63">
        <f t="shared" si="23"/>
        <v>2263.3061924156918</v>
      </c>
      <c r="M63" s="67">
        <f t="shared" si="24"/>
        <v>2524</v>
      </c>
      <c r="N63">
        <f t="shared" si="22"/>
        <v>2524</v>
      </c>
      <c r="X63">
        <v>62</v>
      </c>
      <c r="Y63">
        <f t="shared" si="16"/>
        <v>2524</v>
      </c>
      <c r="Z63">
        <v>209.74</v>
      </c>
      <c r="AA63">
        <v>302.92</v>
      </c>
      <c r="AB63">
        <f>'[4]消耗&amp;价值&amp;分析'!$AT68</f>
        <v>460</v>
      </c>
      <c r="AC63">
        <f t="shared" si="12"/>
        <v>0</v>
      </c>
      <c r="AE63" s="144">
        <f t="shared" si="25"/>
        <v>529383.76</v>
      </c>
      <c r="AF63" s="144">
        <f t="shared" si="26"/>
        <v>764570.08000000007</v>
      </c>
      <c r="AG63" s="144">
        <f t="shared" si="27"/>
        <v>1161040</v>
      </c>
      <c r="AH63" s="144">
        <f t="shared" si="28"/>
        <v>0</v>
      </c>
      <c r="AJ63" s="145">
        <f>SUM($AK$2:AK63)</f>
        <v>19342071.320000004</v>
      </c>
      <c r="AK63" s="144">
        <f t="shared" si="29"/>
        <v>1690423.76</v>
      </c>
      <c r="AL63">
        <f t="shared" si="30"/>
        <v>15634</v>
      </c>
      <c r="AM63">
        <f t="shared" si="13"/>
        <v>8249</v>
      </c>
      <c r="AN63">
        <v>40000</v>
      </c>
      <c r="AO63">
        <f>体力消耗运算!$AB$20*金币投放!$N$8</f>
        <v>24526.854838709678</v>
      </c>
      <c r="AP63">
        <f>升级时间!K65</f>
        <v>4.8245744145166034</v>
      </c>
      <c r="AQ63">
        <f t="shared" si="14"/>
        <v>280900.66203937301</v>
      </c>
      <c r="AS63">
        <f>AS62</f>
        <v>209.74</v>
      </c>
      <c r="AT63">
        <f>SUM([5]强化辅助表!$Q$150:$Q$155)</f>
        <v>302.92</v>
      </c>
      <c r="AU63">
        <f>CHOOSE(1,0,SUM([5]升星辅助表!$AU$165:$AU$170)*10/40)</f>
        <v>0</v>
      </c>
      <c r="AX63" s="15">
        <f t="shared" si="33"/>
        <v>280900.66203937301</v>
      </c>
      <c r="AY63" s="15">
        <f t="shared" si="34"/>
        <v>268480</v>
      </c>
      <c r="BB63" s="15">
        <f>AY63*0.01*升级时间!K65</f>
        <v>12953.017388094178</v>
      </c>
      <c r="BC63" s="15">
        <v>150000</v>
      </c>
      <c r="BD63" s="15">
        <f t="shared" si="19"/>
        <v>105526.98261190583</v>
      </c>
    </row>
    <row r="64" spans="1:56">
      <c r="A64">
        <v>63</v>
      </c>
      <c r="B64" s="15">
        <v>1936000</v>
      </c>
      <c r="E64">
        <f>升级时间!K66*金币生产率曲线!B64</f>
        <v>9915563.6614394523</v>
      </c>
      <c r="G64" s="15">
        <f>'[2]3、总属性战斗节奏拟合'!D67</f>
        <v>779107.64079293516</v>
      </c>
      <c r="H64" s="15">
        <f>'[2]3、总属性战斗节奏拟合'!E67</f>
        <v>35839.349691471587</v>
      </c>
      <c r="I64" s="15">
        <f>'[2]3、总属性战斗节奏拟合'!F67</f>
        <v>15928.599862876261</v>
      </c>
      <c r="J64">
        <f t="shared" si="10"/>
        <v>82932.255186065246</v>
      </c>
      <c r="K64">
        <f t="shared" si="15"/>
        <v>4190.3288641655527</v>
      </c>
      <c r="L64">
        <f t="shared" si="23"/>
        <v>2366.2972484652473</v>
      </c>
      <c r="M64" s="67">
        <f t="shared" si="24"/>
        <v>2609</v>
      </c>
      <c r="N64">
        <f t="shared" si="22"/>
        <v>2609</v>
      </c>
      <c r="X64">
        <v>63</v>
      </c>
      <c r="Y64">
        <f t="shared" si="16"/>
        <v>2609</v>
      </c>
      <c r="Z64">
        <v>209.74</v>
      </c>
      <c r="AA64">
        <v>302.92</v>
      </c>
      <c r="AB64">
        <f>'[4]消耗&amp;价值&amp;分析'!$AT69</f>
        <v>364</v>
      </c>
      <c r="AC64">
        <f t="shared" si="12"/>
        <v>0</v>
      </c>
      <c r="AE64" s="144">
        <f t="shared" si="25"/>
        <v>547211.66</v>
      </c>
      <c r="AF64" s="144">
        <f t="shared" si="26"/>
        <v>790318.28</v>
      </c>
      <c r="AG64" s="144">
        <f t="shared" si="27"/>
        <v>949676</v>
      </c>
      <c r="AH64" s="144">
        <f t="shared" si="28"/>
        <v>0</v>
      </c>
      <c r="AJ64" s="145">
        <f>SUM($AK$2:AK64)</f>
        <v>20838958.980000004</v>
      </c>
      <c r="AK64" s="144">
        <f t="shared" si="29"/>
        <v>1496887.6600000001</v>
      </c>
      <c r="AL64">
        <f t="shared" si="30"/>
        <v>16124</v>
      </c>
      <c r="AM64">
        <f t="shared" si="13"/>
        <v>8335</v>
      </c>
      <c r="AN64">
        <v>40000</v>
      </c>
      <c r="AO64">
        <f>体力消耗运算!$AB$20*金币投放!$N$8</f>
        <v>24526.854838709678</v>
      </c>
      <c r="AP64">
        <f>升级时间!K66</f>
        <v>5.1216754449583952</v>
      </c>
      <c r="AQ64">
        <f t="shared" si="14"/>
        <v>222962.79104453532</v>
      </c>
      <c r="AS64">
        <f t="shared" ref="AS64:AS71" si="37">AS63</f>
        <v>209.74</v>
      </c>
      <c r="AT64">
        <f>SUM([5]强化辅助表!$Q$150:$Q$155)</f>
        <v>302.92</v>
      </c>
      <c r="AU64">
        <f>CHOOSE(1,0,SUM([5]升星辅助表!$AU$165:$AU$170)*10/40)</f>
        <v>0</v>
      </c>
      <c r="AX64" s="15">
        <f t="shared" si="33"/>
        <v>222962.79104453532</v>
      </c>
      <c r="AY64" s="15">
        <f t="shared" si="34"/>
        <v>272780</v>
      </c>
      <c r="BB64" s="15">
        <f>AY64*0.01*升级时间!K66</f>
        <v>13970.906278757511</v>
      </c>
      <c r="BC64" s="15">
        <v>151000</v>
      </c>
      <c r="BD64" s="15">
        <f t="shared" si="19"/>
        <v>107809.09372124249</v>
      </c>
    </row>
    <row r="65" spans="1:56">
      <c r="A65">
        <v>64</v>
      </c>
      <c r="B65" s="15">
        <v>1964000</v>
      </c>
      <c r="E65">
        <f>升级时间!K67*金币生产率曲线!B65</f>
        <v>10656061.958771935</v>
      </c>
      <c r="G65" s="15">
        <f>'[2]3、总属性战斗节奏拟合'!D68</f>
        <v>826278.46048294357</v>
      </c>
      <c r="H65" s="15">
        <f>'[2]3、总属性战斗节奏拟合'!E68</f>
        <v>37520.21263545152</v>
      </c>
      <c r="I65" s="15">
        <f>'[2]3、总属性战斗节奏拟合'!F68</f>
        <v>16675.650060200678</v>
      </c>
      <c r="J65">
        <f t="shared" si="10"/>
        <v>87247.001114969957</v>
      </c>
      <c r="K65">
        <f t="shared" si="15"/>
        <v>4314.745928904711</v>
      </c>
      <c r="L65">
        <f t="shared" si="23"/>
        <v>2469.6846892852745</v>
      </c>
      <c r="M65" s="67">
        <f t="shared" si="24"/>
        <v>2695</v>
      </c>
      <c r="N65">
        <f t="shared" si="22"/>
        <v>2695</v>
      </c>
      <c r="X65">
        <v>64</v>
      </c>
      <c r="Y65">
        <f t="shared" si="16"/>
        <v>2695</v>
      </c>
      <c r="Z65">
        <v>209.74</v>
      </c>
      <c r="AA65">
        <v>302.92</v>
      </c>
      <c r="AB65">
        <f>'[4]消耗&amp;价值&amp;分析'!$AT70</f>
        <v>522</v>
      </c>
      <c r="AC65">
        <f t="shared" si="12"/>
        <v>0</v>
      </c>
      <c r="AE65" s="144">
        <f t="shared" si="25"/>
        <v>565249.30000000005</v>
      </c>
      <c r="AF65" s="144">
        <f t="shared" si="26"/>
        <v>816369.4</v>
      </c>
      <c r="AG65" s="144">
        <f t="shared" si="27"/>
        <v>1406790</v>
      </c>
      <c r="AH65" s="144">
        <f t="shared" si="28"/>
        <v>0</v>
      </c>
      <c r="AJ65" s="145">
        <f>SUM($AK$2:AK65)</f>
        <v>22810998.280000005</v>
      </c>
      <c r="AK65" s="144">
        <f t="shared" si="29"/>
        <v>1972039.3</v>
      </c>
      <c r="AL65">
        <f t="shared" si="30"/>
        <v>16620</v>
      </c>
      <c r="AM65">
        <f t="shared" si="13"/>
        <v>8421</v>
      </c>
      <c r="AN65">
        <v>40000</v>
      </c>
      <c r="AO65">
        <f>体力消耗运算!$AB$20*金币投放!$N$8</f>
        <v>24526.854838709678</v>
      </c>
      <c r="AP65">
        <f>升级时间!K67</f>
        <v>5.425693461696504</v>
      </c>
      <c r="AQ65">
        <f t="shared" si="14"/>
        <v>294320.97055819602</v>
      </c>
      <c r="AS65">
        <f t="shared" si="37"/>
        <v>209.74</v>
      </c>
      <c r="AT65">
        <f>SUM([5]强化辅助表!$Q$150:$Q$155)</f>
        <v>302.92</v>
      </c>
      <c r="AU65">
        <f>CHOOSE(1,0,SUM([5]升星辅助表!$AU$165:$AU$170)*10/40)</f>
        <v>0</v>
      </c>
      <c r="AX65" s="15">
        <f t="shared" si="33"/>
        <v>294320.97055819602</v>
      </c>
      <c r="AY65" s="15">
        <f t="shared" si="34"/>
        <v>277120</v>
      </c>
      <c r="BB65" s="15">
        <f>AY65*0.01*升级时间!K67</f>
        <v>15035.681721053354</v>
      </c>
      <c r="BC65" s="15">
        <v>152000</v>
      </c>
      <c r="BD65" s="15">
        <f t="shared" si="19"/>
        <v>110084.31827894665</v>
      </c>
    </row>
    <row r="66" spans="1:56">
      <c r="A66">
        <v>65</v>
      </c>
      <c r="B66" s="15">
        <v>1992000</v>
      </c>
      <c r="E66">
        <f>升级时间!K68*金币生产率曲线!B66</f>
        <v>11376373.572723392</v>
      </c>
      <c r="G66" s="15">
        <f>'[2]3、总属性战斗节奏拟合'!D69</f>
        <v>875237.91273097834</v>
      </c>
      <c r="H66" s="15">
        <f>'[2]3、总属性战斗节奏拟合'!E69</f>
        <v>39238.561467391308</v>
      </c>
      <c r="I66" s="15">
        <f>'[2]3、总属性战斗节奏拟合'!F69</f>
        <v>17439.360652173917</v>
      </c>
      <c r="J66">
        <f t="shared" si="10"/>
        <v>91687.438628804361</v>
      </c>
      <c r="K66">
        <f t="shared" si="15"/>
        <v>4440.4375138344039</v>
      </c>
      <c r="L66">
        <f t="shared" si="23"/>
        <v>2561.9938434624369</v>
      </c>
      <c r="M66" s="67">
        <f t="shared" si="24"/>
        <v>2783</v>
      </c>
      <c r="N66">
        <f t="shared" si="22"/>
        <v>2783</v>
      </c>
      <c r="X66">
        <v>65</v>
      </c>
      <c r="Y66">
        <f t="shared" si="16"/>
        <v>2783</v>
      </c>
      <c r="Z66">
        <v>209.74</v>
      </c>
      <c r="AA66">
        <v>302.92</v>
      </c>
      <c r="AB66">
        <f>'[4]消耗&amp;价值&amp;分析'!$AT71</f>
        <v>446</v>
      </c>
      <c r="AC66">
        <f t="shared" si="12"/>
        <v>0</v>
      </c>
      <c r="AE66" s="144">
        <f t="shared" ref="AE66:AE81" si="38">$Y66*Z66</f>
        <v>583706.42000000004</v>
      </c>
      <c r="AF66" s="144">
        <f t="shared" ref="AF66:AF81" si="39">$Y66*AA66</f>
        <v>843026.3600000001</v>
      </c>
      <c r="AG66" s="144">
        <f t="shared" ref="AG66:AG81" si="40">$Y66*AB66</f>
        <v>1241218</v>
      </c>
      <c r="AH66" s="144">
        <f t="shared" ref="AH66:AH81" si="41">$Y66*AC66</f>
        <v>0</v>
      </c>
      <c r="AJ66" s="145">
        <f>SUM($AK$2:AK66)</f>
        <v>24635922.700000003</v>
      </c>
      <c r="AK66" s="144">
        <f t="shared" ref="AK66:AK81" si="42">AE66+AG66+AH66</f>
        <v>1824924.42</v>
      </c>
      <c r="AL66">
        <f t="shared" ref="AL66:AL81" si="43">SUMIF($B$172:$B$347,A66,$C$172:$C$347)</f>
        <v>17344</v>
      </c>
      <c r="AM66">
        <f t="shared" si="13"/>
        <v>8507</v>
      </c>
      <c r="AN66">
        <v>40000</v>
      </c>
      <c r="AO66">
        <f>体力消耗运算!$AB$20*金币投放!$N$8</f>
        <v>24526.854838709678</v>
      </c>
      <c r="AP66">
        <f>升级时间!K68</f>
        <v>5.7110309100017034</v>
      </c>
      <c r="AQ66">
        <f t="shared" si="14"/>
        <v>250490.42458964899</v>
      </c>
      <c r="AS66">
        <f t="shared" si="37"/>
        <v>209.74</v>
      </c>
      <c r="AT66">
        <f>SUM([5]强化辅助表!$Q$150:$Q$155)</f>
        <v>302.92</v>
      </c>
      <c r="AU66">
        <f>CHOOSE(1,0,SUM([5]升星辅助表!$AU$165:$AU$170)*10/40)</f>
        <v>0</v>
      </c>
      <c r="AX66" s="15">
        <f t="shared" ref="AX66:AX81" si="44">AQ66</f>
        <v>250490.42458964899</v>
      </c>
      <c r="AY66" s="15">
        <f t="shared" ref="AY66:AY81" si="45">$BA$3*($BA$4+$BA$5*A66+$BA$6*A66^2)</f>
        <v>281500</v>
      </c>
      <c r="BB66" s="15">
        <f>AY66*0.01*升级时间!K68</f>
        <v>16076.552011654794</v>
      </c>
      <c r="BC66" s="15">
        <v>153000</v>
      </c>
      <c r="BD66" s="15">
        <f t="shared" si="19"/>
        <v>112423.4479883452</v>
      </c>
    </row>
    <row r="67" spans="1:56">
      <c r="A67">
        <v>66</v>
      </c>
      <c r="B67" s="15">
        <v>2020000</v>
      </c>
      <c r="E67">
        <f>升级时间!K69*金币生产率曲线!B67</f>
        <v>12189939.525378507</v>
      </c>
      <c r="G67" s="15">
        <f>'[2]3、总属性战斗节奏拟合'!D70</f>
        <v>926017.86054180656</v>
      </c>
      <c r="H67" s="15">
        <f>'[2]3、总属性战斗节奏拟合'!E70</f>
        <v>40994.396187290993</v>
      </c>
      <c r="I67" s="15">
        <f>'[2]3、总属性战斗节奏拟合'!F70</f>
        <v>18219.731638795998</v>
      </c>
      <c r="J67">
        <f t="shared" ref="J67:J81" si="46">SUMPRODUCT(G67:I67,$T$7:$V$7)</f>
        <v>96254.842247759269</v>
      </c>
      <c r="K67">
        <f t="shared" si="15"/>
        <v>4567.4036189549079</v>
      </c>
      <c r="L67">
        <f t="shared" ref="L67:L81" si="47">E67/K67</f>
        <v>2668.8991257067296</v>
      </c>
      <c r="M67" s="67">
        <f t="shared" si="24"/>
        <v>2872</v>
      </c>
      <c r="N67">
        <f t="shared" ref="N67:N101" si="48">M67</f>
        <v>2872</v>
      </c>
      <c r="X67">
        <v>66</v>
      </c>
      <c r="Y67">
        <f t="shared" si="16"/>
        <v>2872</v>
      </c>
      <c r="Z67">
        <v>209.74</v>
      </c>
      <c r="AA67">
        <v>302.92</v>
      </c>
      <c r="AB67">
        <f>'[4]消耗&amp;价值&amp;分析'!$AT72</f>
        <v>505</v>
      </c>
      <c r="AC67">
        <f t="shared" ref="AC67:AC81" si="49">AU67</f>
        <v>0</v>
      </c>
      <c r="AE67" s="144">
        <f t="shared" si="38"/>
        <v>602373.28</v>
      </c>
      <c r="AF67" s="144">
        <f t="shared" si="39"/>
        <v>869986.24</v>
      </c>
      <c r="AG67" s="144">
        <f t="shared" si="40"/>
        <v>1450360</v>
      </c>
      <c r="AH67" s="144">
        <f t="shared" si="41"/>
        <v>0</v>
      </c>
      <c r="AJ67" s="145">
        <f>SUM($AK$2:AK67)</f>
        <v>26688655.980000004</v>
      </c>
      <c r="AK67" s="144">
        <f t="shared" si="42"/>
        <v>2052733.28</v>
      </c>
      <c r="AL67">
        <f t="shared" si="43"/>
        <v>17862</v>
      </c>
      <c r="AM67">
        <f t="shared" ref="AM67:AM81" si="50">IFERROR(VLOOKUP(A67,$B$172:$E$347,4,0),0)</f>
        <v>8593</v>
      </c>
      <c r="AN67">
        <v>40000</v>
      </c>
      <c r="AO67">
        <f>体力消耗运算!$AB$20*金币投放!$N$8</f>
        <v>24526.854838709678</v>
      </c>
      <c r="AP67">
        <f>升级时间!K69</f>
        <v>6.0346235274151026</v>
      </c>
      <c r="AQ67">
        <f t="shared" ref="AQ67:AQ81" si="51">(AK67-AL67-AM67)/AP67-AN67-AO67</f>
        <v>271248.57022213831</v>
      </c>
      <c r="AS67">
        <f t="shared" si="37"/>
        <v>209.74</v>
      </c>
      <c r="AT67">
        <f>SUM([5]强化辅助表!$Q$150:$Q$155)</f>
        <v>302.92</v>
      </c>
      <c r="AU67">
        <f>CHOOSE(1,0,SUM([5]升星辅助表!$AU$165:$AU$170)*10/40)</f>
        <v>0</v>
      </c>
      <c r="AX67" s="15">
        <f t="shared" si="44"/>
        <v>271248.57022213831</v>
      </c>
      <c r="AY67" s="15">
        <f t="shared" si="45"/>
        <v>285920</v>
      </c>
      <c r="BB67" s="15">
        <f>AY67*0.01*升级时间!K69</f>
        <v>17254.195589585262</v>
      </c>
      <c r="BC67" s="15">
        <v>154000</v>
      </c>
      <c r="BD67" s="15">
        <f t="shared" ref="BD67:BD81" si="52">AY67-BC67-BB67</f>
        <v>114665.80441041474</v>
      </c>
    </row>
    <row r="68" spans="1:56">
      <c r="A68">
        <v>67</v>
      </c>
      <c r="B68" s="15">
        <v>2048000</v>
      </c>
      <c r="E68">
        <f>升级时间!K70*金币生产率曲线!B68</f>
        <v>13052656.923894649</v>
      </c>
      <c r="G68" s="15">
        <f>'[2]3、总属性战斗节奏拟合'!D71</f>
        <v>978650.16692019301</v>
      </c>
      <c r="H68" s="15">
        <f>'[2]3、总属性战斗节奏拟合'!E71</f>
        <v>42787.716795150533</v>
      </c>
      <c r="I68" s="15">
        <f>'[2]3、总属性战斗节奏拟合'!F71</f>
        <v>19016.763020066905</v>
      </c>
      <c r="J68">
        <f t="shared" si="46"/>
        <v>100950.48649202516</v>
      </c>
      <c r="K68">
        <f t="shared" ref="K68:K81" si="53">J68-J67</f>
        <v>4695.6442442658881</v>
      </c>
      <c r="L68">
        <f t="shared" si="47"/>
        <v>2779.7371872526273</v>
      </c>
      <c r="M68" s="67">
        <f t="shared" si="24"/>
        <v>2963</v>
      </c>
      <c r="N68">
        <f t="shared" si="48"/>
        <v>2963</v>
      </c>
      <c r="X68">
        <v>67</v>
      </c>
      <c r="Y68">
        <f t="shared" ref="Y68:Y81" si="54">M68</f>
        <v>2963</v>
      </c>
      <c r="Z68">
        <v>209.74</v>
      </c>
      <c r="AA68">
        <v>302.92</v>
      </c>
      <c r="AB68">
        <f>'[4]消耗&amp;价值&amp;分析'!$AT73</f>
        <v>426</v>
      </c>
      <c r="AC68">
        <f t="shared" si="49"/>
        <v>0</v>
      </c>
      <c r="AE68" s="144">
        <f t="shared" si="38"/>
        <v>621459.62</v>
      </c>
      <c r="AF68" s="144">
        <f t="shared" si="39"/>
        <v>897551.96000000008</v>
      </c>
      <c r="AG68" s="144">
        <f t="shared" si="40"/>
        <v>1262238</v>
      </c>
      <c r="AH68" s="144">
        <f t="shared" si="41"/>
        <v>0</v>
      </c>
      <c r="AJ68" s="145">
        <f>SUM($AK$2:AK68)</f>
        <v>28572353.600000005</v>
      </c>
      <c r="AK68" s="144">
        <f t="shared" si="42"/>
        <v>1883697.62</v>
      </c>
      <c r="AL68">
        <f t="shared" si="43"/>
        <v>18384</v>
      </c>
      <c r="AM68">
        <f t="shared" si="50"/>
        <v>8679</v>
      </c>
      <c r="AN68">
        <v>40000</v>
      </c>
      <c r="AO68">
        <f>体力消耗运算!$AB$20*金币投放!$N$8</f>
        <v>24526.854838709678</v>
      </c>
      <c r="AP68">
        <f>升级时间!K70</f>
        <v>6.3733676386204339</v>
      </c>
      <c r="AQ68">
        <f t="shared" si="51"/>
        <v>226784.54052932587</v>
      </c>
      <c r="AS68">
        <f t="shared" si="37"/>
        <v>209.74</v>
      </c>
      <c r="AT68">
        <f>SUM([5]强化辅助表!$Q$150:$Q$155)</f>
        <v>302.92</v>
      </c>
      <c r="AU68">
        <f>CHOOSE(1,0,SUM([5]升星辅助表!$AU$165:$AU$170)*10/40)</f>
        <v>0</v>
      </c>
      <c r="AX68" s="15">
        <f t="shared" si="44"/>
        <v>226784.54052932587</v>
      </c>
      <c r="AY68" s="15">
        <f t="shared" si="45"/>
        <v>290380</v>
      </c>
      <c r="BB68" s="15">
        <f>AY68*0.01*升级时间!K70</f>
        <v>18506.984949026017</v>
      </c>
      <c r="BC68" s="15">
        <v>155000</v>
      </c>
      <c r="BD68" s="66">
        <f t="shared" si="52"/>
        <v>116873.01505097398</v>
      </c>
    </row>
    <row r="69" spans="1:56">
      <c r="A69">
        <v>68</v>
      </c>
      <c r="B69" s="15">
        <v>2076000</v>
      </c>
      <c r="E69">
        <f>升级时间!K71*金币生产率曲线!B69</f>
        <v>13966482.287252774</v>
      </c>
      <c r="G69" s="15">
        <f>'[2]3、总属性战斗节奏拟合'!D72</f>
        <v>1033166.6948709039</v>
      </c>
      <c r="H69" s="15">
        <f>'[2]3、总属性战斗节奏拟合'!E72</f>
        <v>44618.523290969941</v>
      </c>
      <c r="I69" s="15">
        <f>'[2]3、总属性战斗节奏拟合'!F72</f>
        <v>19830.45479598664</v>
      </c>
      <c r="J69">
        <f t="shared" si="46"/>
        <v>105775.64588179273</v>
      </c>
      <c r="K69">
        <f t="shared" si="53"/>
        <v>4825.1593897675775</v>
      </c>
      <c r="L69">
        <f t="shared" si="47"/>
        <v>2894.5121101845143</v>
      </c>
      <c r="M69" s="67">
        <f t="shared" si="24"/>
        <v>3054</v>
      </c>
      <c r="N69">
        <f t="shared" si="48"/>
        <v>3054</v>
      </c>
      <c r="X69">
        <v>68</v>
      </c>
      <c r="Y69">
        <f t="shared" si="54"/>
        <v>3054</v>
      </c>
      <c r="Z69">
        <v>209.74</v>
      </c>
      <c r="AA69">
        <v>302.92</v>
      </c>
      <c r="AB69">
        <f>'[4]消耗&amp;价值&amp;分析'!$AT74</f>
        <v>648</v>
      </c>
      <c r="AC69">
        <f t="shared" si="49"/>
        <v>0</v>
      </c>
      <c r="AE69" s="144">
        <f t="shared" si="38"/>
        <v>640545.96000000008</v>
      </c>
      <c r="AF69" s="144">
        <f t="shared" si="39"/>
        <v>925117.68</v>
      </c>
      <c r="AG69" s="144">
        <f t="shared" si="40"/>
        <v>1978992</v>
      </c>
      <c r="AH69" s="144">
        <f t="shared" si="41"/>
        <v>0</v>
      </c>
      <c r="AJ69" s="145">
        <f>SUM($AK$2:AK69)</f>
        <v>31191891.560000006</v>
      </c>
      <c r="AK69" s="144">
        <f t="shared" si="42"/>
        <v>2619537.96</v>
      </c>
      <c r="AL69">
        <f t="shared" si="43"/>
        <v>18914</v>
      </c>
      <c r="AM69">
        <f t="shared" si="50"/>
        <v>8764</v>
      </c>
      <c r="AN69">
        <v>40000</v>
      </c>
      <c r="AO69">
        <f>体力消耗运算!$AB$20*金币投放!$N$8</f>
        <v>24526.854838709678</v>
      </c>
      <c r="AP69">
        <f>升级时间!K71</f>
        <v>6.7275926239175217</v>
      </c>
      <c r="AQ69">
        <f t="shared" si="51"/>
        <v>320731.30582719919</v>
      </c>
      <c r="AS69">
        <f t="shared" si="37"/>
        <v>209.74</v>
      </c>
      <c r="AT69">
        <f>SUM([5]强化辅助表!$Q$150:$Q$155)</f>
        <v>302.92</v>
      </c>
      <c r="AU69">
        <f>CHOOSE(1,0,SUM([5]升星辅助表!$AU$165:$AU$170)*10/40)</f>
        <v>0</v>
      </c>
      <c r="AX69" s="15">
        <f t="shared" si="44"/>
        <v>320731.30582719919</v>
      </c>
      <c r="AY69" s="15">
        <f t="shared" si="45"/>
        <v>294880</v>
      </c>
      <c r="BB69" s="15">
        <f>AY69*0.01*升级时间!K71</f>
        <v>19838.325129407989</v>
      </c>
      <c r="BC69" s="15">
        <v>156000</v>
      </c>
      <c r="BD69" s="15">
        <f t="shared" si="52"/>
        <v>119041.67487059202</v>
      </c>
    </row>
    <row r="70" spans="1:56">
      <c r="A70">
        <v>69</v>
      </c>
      <c r="B70" s="15">
        <v>2104000</v>
      </c>
      <c r="E70">
        <f>升级时间!K72*金币生产率曲线!B70</f>
        <v>14933706.031949209</v>
      </c>
      <c r="G70" s="15">
        <f>'[2]3、总属性战斗节奏拟合'!D73</f>
        <v>1089599.307398705</v>
      </c>
      <c r="H70" s="15">
        <f>'[2]3、总属性战斗节奏拟合'!E73</f>
        <v>46486.815674749203</v>
      </c>
      <c r="I70" s="15">
        <f>'[2]3、总属性战斗节奏拟合'!F73</f>
        <v>20660.806966555203</v>
      </c>
      <c r="J70">
        <f t="shared" si="46"/>
        <v>110731.59493725261</v>
      </c>
      <c r="K70">
        <f t="shared" si="53"/>
        <v>4955.9490554598742</v>
      </c>
      <c r="L70">
        <f t="shared" si="47"/>
        <v>3013.288850396279</v>
      </c>
      <c r="M70" s="67">
        <f t="shared" si="24"/>
        <v>3147</v>
      </c>
      <c r="N70">
        <f t="shared" si="48"/>
        <v>3147</v>
      </c>
      <c r="X70">
        <v>69</v>
      </c>
      <c r="Y70">
        <f t="shared" si="54"/>
        <v>3147</v>
      </c>
      <c r="Z70">
        <v>209.74</v>
      </c>
      <c r="AA70">
        <v>302.92</v>
      </c>
      <c r="AB70">
        <f>'[4]消耗&amp;价值&amp;分析'!$AT75</f>
        <v>523</v>
      </c>
      <c r="AC70">
        <f t="shared" si="49"/>
        <v>0</v>
      </c>
      <c r="AE70" s="144">
        <f t="shared" si="38"/>
        <v>660051.78</v>
      </c>
      <c r="AF70" s="144">
        <f t="shared" si="39"/>
        <v>953289.24000000011</v>
      </c>
      <c r="AG70" s="144">
        <f t="shared" si="40"/>
        <v>1645881</v>
      </c>
      <c r="AH70" s="144">
        <f t="shared" si="41"/>
        <v>0</v>
      </c>
      <c r="AJ70" s="145">
        <f>SUM($AK$2:AK70)</f>
        <v>33497824.340000007</v>
      </c>
      <c r="AK70" s="144">
        <f t="shared" si="42"/>
        <v>2305932.7800000003</v>
      </c>
      <c r="AL70">
        <f t="shared" si="43"/>
        <v>19454</v>
      </c>
      <c r="AM70">
        <f t="shared" si="50"/>
        <v>8850</v>
      </c>
      <c r="AN70">
        <v>40000</v>
      </c>
      <c r="AO70">
        <f>体力消耗运算!$AB$20*金币投放!$N$8</f>
        <v>24526.854838709678</v>
      </c>
      <c r="AP70">
        <f>升级时间!K72</f>
        <v>7.0977690265918296</v>
      </c>
      <c r="AQ70">
        <f t="shared" si="51"/>
        <v>256366.76278491996</v>
      </c>
      <c r="AS70">
        <f t="shared" si="37"/>
        <v>209.74</v>
      </c>
      <c r="AT70">
        <f>SUM([5]强化辅助表!$Q$150:$Q$155)</f>
        <v>302.92</v>
      </c>
      <c r="AU70">
        <f>CHOOSE(1,0,SUM([5]升星辅助表!$AU$165:$AU$170)*10/40)</f>
        <v>0</v>
      </c>
      <c r="AX70" s="15">
        <f t="shared" si="44"/>
        <v>256366.76278491996</v>
      </c>
      <c r="AY70" s="15">
        <f t="shared" si="45"/>
        <v>299420</v>
      </c>
      <c r="BB70" s="15">
        <f>AY70*0.01*升级时间!K72</f>
        <v>21252.140019421258</v>
      </c>
      <c r="BC70" s="15">
        <v>157000</v>
      </c>
      <c r="BD70" s="15">
        <f t="shared" si="52"/>
        <v>121167.85998057874</v>
      </c>
    </row>
    <row r="71" spans="1:56">
      <c r="A71">
        <v>70</v>
      </c>
      <c r="B71" s="15">
        <v>2132000</v>
      </c>
      <c r="E71">
        <f>升级时间!K73*金币生产率曲线!B71</f>
        <v>14775083.662561506</v>
      </c>
      <c r="G71" s="15">
        <f>'[2]3、总属性战斗节奏拟合'!D74</f>
        <v>1152328.276097409</v>
      </c>
      <c r="H71" s="15">
        <f>'[2]3、总属性战斗节奏拟合'!E74</f>
        <v>48575.89922658867</v>
      </c>
      <c r="I71" s="15">
        <f>'[2]3、总属性战斗节奏拟合'!F74</f>
        <v>21589.288545150521</v>
      </c>
      <c r="J71">
        <f t="shared" si="46"/>
        <v>116258.31881563555</v>
      </c>
      <c r="K71">
        <f t="shared" si="53"/>
        <v>5526.723878382938</v>
      </c>
      <c r="L71">
        <f t="shared" si="47"/>
        <v>2673.3891519987683</v>
      </c>
      <c r="M71" s="67">
        <f t="shared" si="24"/>
        <v>3242</v>
      </c>
      <c r="N71">
        <f t="shared" si="48"/>
        <v>3242</v>
      </c>
      <c r="X71">
        <v>70</v>
      </c>
      <c r="Y71">
        <f t="shared" si="54"/>
        <v>3242</v>
      </c>
      <c r="Z71">
        <v>209.74</v>
      </c>
      <c r="AA71">
        <v>302.92</v>
      </c>
      <c r="AB71">
        <f>'[4]消耗&amp;价值&amp;分析'!$AT76</f>
        <v>595</v>
      </c>
      <c r="AC71">
        <f t="shared" si="49"/>
        <v>0</v>
      </c>
      <c r="AE71" s="144">
        <f t="shared" si="38"/>
        <v>679977.08000000007</v>
      </c>
      <c r="AF71" s="144">
        <f t="shared" si="39"/>
        <v>982066.64</v>
      </c>
      <c r="AG71" s="144">
        <f t="shared" si="40"/>
        <v>1928990</v>
      </c>
      <c r="AH71" s="144">
        <f t="shared" si="41"/>
        <v>0</v>
      </c>
      <c r="AJ71" s="145">
        <f>SUM($AK$2:AK71)</f>
        <v>36106791.420000009</v>
      </c>
      <c r="AK71" s="144">
        <f t="shared" si="42"/>
        <v>2608967.08</v>
      </c>
      <c r="AL71">
        <f t="shared" si="43"/>
        <v>30558</v>
      </c>
      <c r="AM71">
        <f t="shared" si="50"/>
        <v>8936</v>
      </c>
      <c r="AN71">
        <v>40000</v>
      </c>
      <c r="AO71">
        <f>体力消耗运算!$AB$20*金币投放!$N$8</f>
        <v>24526.854838709678</v>
      </c>
      <c r="AP71">
        <f>升级时间!K73</f>
        <v>6.9301518117080239</v>
      </c>
      <c r="AQ71">
        <f t="shared" si="51"/>
        <v>306240.35918668128</v>
      </c>
      <c r="AS71">
        <f t="shared" si="37"/>
        <v>209.74</v>
      </c>
      <c r="AT71">
        <f>SUM([5]强化辅助表!$Q$150:$Q$155)</f>
        <v>302.92</v>
      </c>
      <c r="AU71">
        <f>CHOOSE(1,0,SUM([5]升星辅助表!$AU$165:$AU$170)*10/40)</f>
        <v>0</v>
      </c>
      <c r="AX71" s="15">
        <f t="shared" si="44"/>
        <v>306240.35918668128</v>
      </c>
      <c r="AY71" s="15">
        <f t="shared" si="45"/>
        <v>304000</v>
      </c>
      <c r="BB71" s="15">
        <f>AY71*0.01*升级时间!K73</f>
        <v>21067.661507592391</v>
      </c>
      <c r="BC71" s="15">
        <v>158000</v>
      </c>
      <c r="BD71" s="15">
        <f t="shared" si="52"/>
        <v>124932.33849240761</v>
      </c>
    </row>
    <row r="72" spans="1:56">
      <c r="A72">
        <v>71</v>
      </c>
      <c r="B72" s="15">
        <v>2160000</v>
      </c>
      <c r="E72">
        <f>升级时间!K74*金币生产率曲线!B72</f>
        <v>16954535.602460198</v>
      </c>
      <c r="G72" s="15">
        <f>'[2]3、总属性战斗节奏拟合'!D75</f>
        <v>1217290.9066357866</v>
      </c>
      <c r="H72" s="15">
        <f>'[2]3、总属性战斗节奏拟合'!E75</f>
        <v>50708.716314381301</v>
      </c>
      <c r="I72" s="15">
        <f>'[2]3、总属性战斗节奏拟合'!F75</f>
        <v>22537.207250836134</v>
      </c>
      <c r="J72">
        <f t="shared" si="46"/>
        <v>121937.5598306489</v>
      </c>
      <c r="K72">
        <f t="shared" si="53"/>
        <v>5679.241015013351</v>
      </c>
      <c r="L72">
        <f t="shared" si="47"/>
        <v>2985.3523662123257</v>
      </c>
      <c r="M72" s="67">
        <f t="shared" si="24"/>
        <v>3338</v>
      </c>
      <c r="N72">
        <f t="shared" si="48"/>
        <v>3338</v>
      </c>
      <c r="X72">
        <v>71</v>
      </c>
      <c r="Y72">
        <f t="shared" si="54"/>
        <v>3338</v>
      </c>
      <c r="Z72">
        <v>260.27999999999997</v>
      </c>
      <c r="AA72">
        <v>377.91999999999996</v>
      </c>
      <c r="AB72">
        <f>'[4]消耗&amp;价值&amp;分析'!$AT77</f>
        <v>748</v>
      </c>
      <c r="AC72">
        <f t="shared" si="49"/>
        <v>0</v>
      </c>
      <c r="AE72" s="144">
        <f t="shared" si="38"/>
        <v>868814.6399999999</v>
      </c>
      <c r="AF72" s="144">
        <f t="shared" si="39"/>
        <v>1261496.96</v>
      </c>
      <c r="AG72" s="144">
        <f t="shared" si="40"/>
        <v>2496824</v>
      </c>
      <c r="AH72" s="144">
        <f t="shared" si="41"/>
        <v>0</v>
      </c>
      <c r="AJ72" s="145">
        <f>SUM($AK$2:AK72)</f>
        <v>39472430.06000001</v>
      </c>
      <c r="AK72" s="144">
        <f t="shared" si="42"/>
        <v>3365638.6399999997</v>
      </c>
      <c r="AL72">
        <f t="shared" si="43"/>
        <v>20800</v>
      </c>
      <c r="AM72">
        <f t="shared" si="50"/>
        <v>9022</v>
      </c>
      <c r="AN72">
        <v>40000</v>
      </c>
      <c r="AO72">
        <f>体力消耗运算!$AB$20*金币投放!$N$8</f>
        <v>24526.854838709678</v>
      </c>
      <c r="AP72">
        <f>升级时间!K74</f>
        <v>7.8493220381760178</v>
      </c>
      <c r="AQ72">
        <f t="shared" si="51"/>
        <v>360454.64340736793</v>
      </c>
      <c r="AS72">
        <f>SUM([5]强化辅助表!$Q$168:$Q$173)</f>
        <v>260.27999999999997</v>
      </c>
      <c r="AT72">
        <f>SUM([5]强化辅助表!$Q$174:$Q$179)</f>
        <v>377.91999999999996</v>
      </c>
      <c r="AU72">
        <f>CHOOSE(1,0,SUM([5]升星辅助表!$AU$165:$AU$170)*10/40)</f>
        <v>0</v>
      </c>
      <c r="AX72" s="15">
        <f t="shared" si="44"/>
        <v>360454.64340736793</v>
      </c>
      <c r="AY72" s="15">
        <f t="shared" si="45"/>
        <v>308620</v>
      </c>
      <c r="BB72" s="15">
        <f>AY72*0.01*升级时间!K74</f>
        <v>24224.577674218828</v>
      </c>
      <c r="BC72" s="15">
        <v>159000</v>
      </c>
      <c r="BD72" s="15">
        <f t="shared" si="52"/>
        <v>125395.42232578117</v>
      </c>
    </row>
    <row r="73" spans="1:56">
      <c r="A73">
        <v>72</v>
      </c>
      <c r="B73" s="15">
        <v>2188000</v>
      </c>
      <c r="E73">
        <f>升级时间!K75*金币生产率曲线!B73</f>
        <v>18041417.785315752</v>
      </c>
      <c r="G73" s="15">
        <f>'[2]3、总属性战斗节奏拟合'!D76</f>
        <v>1284524.3725193988</v>
      </c>
      <c r="H73" s="15">
        <f>'[2]3、总属性战斗节奏拟合'!E76</f>
        <v>52885.266938127126</v>
      </c>
      <c r="I73" s="15">
        <f>'[2]3、总属性战斗节奏拟合'!F76</f>
        <v>23504.563083612054</v>
      </c>
      <c r="J73">
        <f t="shared" si="46"/>
        <v>127770.80492251513</v>
      </c>
      <c r="K73">
        <f t="shared" si="53"/>
        <v>5833.2450918662362</v>
      </c>
      <c r="L73">
        <f t="shared" si="47"/>
        <v>3092.8612635310583</v>
      </c>
      <c r="M73" s="67">
        <f t="shared" si="24"/>
        <v>3435</v>
      </c>
      <c r="N73">
        <f t="shared" si="48"/>
        <v>3435</v>
      </c>
      <c r="X73">
        <v>72</v>
      </c>
      <c r="Y73">
        <f t="shared" si="54"/>
        <v>3435</v>
      </c>
      <c r="Z73">
        <v>260.27999999999997</v>
      </c>
      <c r="AA73">
        <v>377.91999999999996</v>
      </c>
      <c r="AB73">
        <f>'[4]消耗&amp;价值&amp;分析'!$AT78</f>
        <v>487</v>
      </c>
      <c r="AC73">
        <f t="shared" si="49"/>
        <v>0</v>
      </c>
      <c r="AE73" s="144">
        <f t="shared" si="38"/>
        <v>894061.79999999993</v>
      </c>
      <c r="AF73" s="144">
        <f t="shared" si="39"/>
        <v>1298155.2</v>
      </c>
      <c r="AG73" s="144">
        <f t="shared" si="40"/>
        <v>1672845</v>
      </c>
      <c r="AH73" s="144">
        <f t="shared" si="41"/>
        <v>0</v>
      </c>
      <c r="AJ73" s="145">
        <f>SUM($AK$2:AK73)</f>
        <v>42039336.860000007</v>
      </c>
      <c r="AK73" s="144">
        <f t="shared" si="42"/>
        <v>2566906.7999999998</v>
      </c>
      <c r="AL73">
        <f t="shared" si="43"/>
        <v>21368</v>
      </c>
      <c r="AM73">
        <f t="shared" si="50"/>
        <v>9108</v>
      </c>
      <c r="AN73">
        <v>40000</v>
      </c>
      <c r="AO73">
        <f>体力消耗运算!$AB$20*金币投放!$N$8</f>
        <v>24526.854838709678</v>
      </c>
      <c r="AP73">
        <f>升级时间!K75</f>
        <v>8.2456205600163397</v>
      </c>
      <c r="AQ73">
        <f t="shared" si="51"/>
        <v>243082.5945093905</v>
      </c>
      <c r="AS73">
        <f>AS72</f>
        <v>260.27999999999997</v>
      </c>
      <c r="AT73">
        <f>SUM([5]强化辅助表!$Q$174:$Q$179)</f>
        <v>377.91999999999996</v>
      </c>
      <c r="AU73">
        <f>CHOOSE(1,0,SUM([5]升星辅助表!$AU$165:$AU$170)*10/40)</f>
        <v>0</v>
      </c>
      <c r="AX73" s="15">
        <f t="shared" si="44"/>
        <v>243082.5945093905</v>
      </c>
      <c r="AY73" s="15">
        <f t="shared" si="45"/>
        <v>313280</v>
      </c>
      <c r="BB73" s="15">
        <f>AY73*0.01*升级时间!K75</f>
        <v>25831.880090419192</v>
      </c>
      <c r="BC73" s="15">
        <v>160000</v>
      </c>
      <c r="BD73" s="15">
        <f t="shared" si="52"/>
        <v>127448.11990958081</v>
      </c>
    </row>
    <row r="74" spans="1:56">
      <c r="A74">
        <v>73</v>
      </c>
      <c r="B74" s="15">
        <v>2216000</v>
      </c>
      <c r="E74">
        <f>升级时间!K76*金币生产率曲线!B74</f>
        <v>19189521.373667564</v>
      </c>
      <c r="G74" s="15">
        <f>'[2]3、总属性战斗节奏拟合'!D77</f>
        <v>1354065.8472538053</v>
      </c>
      <c r="H74" s="15">
        <f>'[2]3、总属性战斗节奏拟合'!E77</f>
        <v>55105.551097826123</v>
      </c>
      <c r="I74" s="15">
        <f>'[2]3、总属性战斗节奏拟合'!F77</f>
        <v>24491.356043478278</v>
      </c>
      <c r="J74">
        <f t="shared" si="46"/>
        <v>133759.54103145661</v>
      </c>
      <c r="K74">
        <f t="shared" si="53"/>
        <v>5988.7361089414771</v>
      </c>
      <c r="L74">
        <f t="shared" si="47"/>
        <v>3204.2689850729384</v>
      </c>
      <c r="M74" s="67">
        <f t="shared" si="24"/>
        <v>3534</v>
      </c>
      <c r="N74">
        <f t="shared" si="48"/>
        <v>3534</v>
      </c>
      <c r="X74">
        <v>73</v>
      </c>
      <c r="Y74">
        <f t="shared" si="54"/>
        <v>3534</v>
      </c>
      <c r="Z74">
        <v>260.27999999999997</v>
      </c>
      <c r="AA74">
        <v>377.91999999999996</v>
      </c>
      <c r="AB74">
        <f>'[4]消耗&amp;价值&amp;分析'!$AT79</f>
        <v>683</v>
      </c>
      <c r="AC74">
        <f t="shared" si="49"/>
        <v>0</v>
      </c>
      <c r="AE74" s="144">
        <f t="shared" si="38"/>
        <v>919829.5199999999</v>
      </c>
      <c r="AF74" s="144">
        <f t="shared" si="39"/>
        <v>1335569.2799999998</v>
      </c>
      <c r="AG74" s="144">
        <f t="shared" si="40"/>
        <v>2413722</v>
      </c>
      <c r="AH74" s="144">
        <f t="shared" si="41"/>
        <v>0</v>
      </c>
      <c r="AJ74" s="145">
        <f>SUM($AK$2:AK74)</f>
        <v>45372888.38000001</v>
      </c>
      <c r="AK74" s="144">
        <f t="shared" si="42"/>
        <v>3333551.52</v>
      </c>
      <c r="AL74">
        <f t="shared" si="43"/>
        <v>21942</v>
      </c>
      <c r="AM74">
        <f t="shared" si="50"/>
        <v>9194</v>
      </c>
      <c r="AN74">
        <v>40000</v>
      </c>
      <c r="AO74">
        <f>体力消耗运算!$AB$20*金币投放!$N$8</f>
        <v>24526.854838709678</v>
      </c>
      <c r="AP74">
        <f>升级时间!K76</f>
        <v>8.659531305806663</v>
      </c>
      <c r="AQ74">
        <f t="shared" si="51"/>
        <v>316835.06919354823</v>
      </c>
      <c r="AS74">
        <f t="shared" ref="AS74:AS81" si="55">AS73</f>
        <v>260.27999999999997</v>
      </c>
      <c r="AT74">
        <f>SUM([5]强化辅助表!$Q$174:$Q$179)</f>
        <v>377.91999999999996</v>
      </c>
      <c r="AU74">
        <f>CHOOSE(1,0,SUM([5]升星辅助表!$AU$165:$AU$170)*10/40)</f>
        <v>0</v>
      </c>
      <c r="AX74" s="15">
        <f t="shared" si="44"/>
        <v>316835.06919354823</v>
      </c>
      <c r="AY74" s="15">
        <f t="shared" si="45"/>
        <v>317980</v>
      </c>
      <c r="BB74" s="15">
        <f>AY74*0.01*升级时间!K76</f>
        <v>27535.577646204027</v>
      </c>
      <c r="BC74" s="15">
        <v>161000</v>
      </c>
      <c r="BD74" s="15">
        <f t="shared" si="52"/>
        <v>129444.42235379598</v>
      </c>
    </row>
    <row r="75" spans="1:56">
      <c r="A75">
        <v>74</v>
      </c>
      <c r="B75" s="15">
        <v>2244000</v>
      </c>
      <c r="E75">
        <f>升级时间!K77*金币生产率曲线!B75</f>
        <v>20385570.97759109</v>
      </c>
      <c r="G75" s="15">
        <f>'[2]3、总属性战斗节奏拟合'!D78</f>
        <v>1425952.504344566</v>
      </c>
      <c r="H75" s="15">
        <f>'[2]3、总属性战斗节奏拟合'!E78</f>
        <v>57369.568793478291</v>
      </c>
      <c r="I75" s="15">
        <f>'[2]3、总属性战斗节奏拟合'!F78</f>
        <v>25497.586130434796</v>
      </c>
      <c r="J75">
        <f t="shared" si="46"/>
        <v>139905.25509769574</v>
      </c>
      <c r="K75">
        <f t="shared" si="53"/>
        <v>6145.7140662391321</v>
      </c>
      <c r="L75">
        <f t="shared" si="47"/>
        <v>3317.0386317803482</v>
      </c>
      <c r="M75" s="67">
        <f t="shared" si="24"/>
        <v>3634</v>
      </c>
      <c r="N75">
        <f t="shared" si="48"/>
        <v>3634</v>
      </c>
      <c r="X75">
        <v>74</v>
      </c>
      <c r="Y75">
        <f t="shared" si="54"/>
        <v>3634</v>
      </c>
      <c r="Z75">
        <v>260.27999999999997</v>
      </c>
      <c r="AA75">
        <v>377.91999999999996</v>
      </c>
      <c r="AB75">
        <f>'[4]消耗&amp;价值&amp;分析'!$AT80</f>
        <v>928</v>
      </c>
      <c r="AC75">
        <f t="shared" si="49"/>
        <v>0</v>
      </c>
      <c r="AE75" s="144">
        <f t="shared" si="38"/>
        <v>945857.5199999999</v>
      </c>
      <c r="AF75" s="144">
        <f t="shared" si="39"/>
        <v>1373361.2799999998</v>
      </c>
      <c r="AG75" s="144">
        <f t="shared" si="40"/>
        <v>3372352</v>
      </c>
      <c r="AH75" s="144">
        <f t="shared" si="41"/>
        <v>0</v>
      </c>
      <c r="AJ75" s="145">
        <f>SUM($AK$2:AK75)</f>
        <v>49691097.900000006</v>
      </c>
      <c r="AK75" s="144">
        <f t="shared" si="42"/>
        <v>4318209.5199999996</v>
      </c>
      <c r="AL75">
        <f t="shared" si="43"/>
        <v>22528</v>
      </c>
      <c r="AM75">
        <f t="shared" si="50"/>
        <v>0</v>
      </c>
      <c r="AN75">
        <v>40000</v>
      </c>
      <c r="AO75">
        <f>体力消耗运算!$AB$20*金币投放!$N$8</f>
        <v>24526.854838709678</v>
      </c>
      <c r="AP75">
        <f>升级时间!K77</f>
        <v>9.084479045272321</v>
      </c>
      <c r="AQ75">
        <f t="shared" si="51"/>
        <v>408332.56820498448</v>
      </c>
      <c r="AS75">
        <f t="shared" si="55"/>
        <v>260.27999999999997</v>
      </c>
      <c r="AT75">
        <f>SUM([5]强化辅助表!$Q$174:$Q$179)</f>
        <v>377.91999999999996</v>
      </c>
      <c r="AU75">
        <f>CHOOSE(1,0,SUM([5]升星辅助表!$AU$165:$AU$170)*10/40)</f>
        <v>0</v>
      </c>
      <c r="AX75" s="15">
        <f t="shared" si="44"/>
        <v>408332.56820498448</v>
      </c>
      <c r="AY75" s="15">
        <f t="shared" si="45"/>
        <v>322720</v>
      </c>
      <c r="BB75" s="15">
        <f>AY75*0.01*升级时间!K77</f>
        <v>29317.430774902838</v>
      </c>
      <c r="BC75" s="15">
        <v>162000</v>
      </c>
      <c r="BD75" s="15">
        <f t="shared" si="52"/>
        <v>131402.56922509716</v>
      </c>
    </row>
    <row r="76" spans="1:56">
      <c r="A76">
        <v>75</v>
      </c>
      <c r="B76" s="15">
        <v>2272000</v>
      </c>
      <c r="E76">
        <f>升级时间!K78*金币生产率曲线!B76</f>
        <v>23354765.559776332</v>
      </c>
      <c r="G76" s="15">
        <f>'[2]3、总属性战斗节奏拟合'!D79</f>
        <v>1500221.5172972416</v>
      </c>
      <c r="H76" s="15">
        <f>'[2]3、总属性战斗节奏拟合'!E79</f>
        <v>59677.320025083645</v>
      </c>
      <c r="I76" s="15">
        <f>'[2]3、总属性战斗节奏拟合'!F79</f>
        <v>26523.253344481622</v>
      </c>
      <c r="J76">
        <f t="shared" si="46"/>
        <v>146209.43406145493</v>
      </c>
      <c r="K76">
        <f t="shared" si="53"/>
        <v>6304.1789637591864</v>
      </c>
      <c r="L76">
        <f t="shared" si="47"/>
        <v>3704.6482490480994</v>
      </c>
      <c r="M76" s="67">
        <f t="shared" si="24"/>
        <v>3735</v>
      </c>
      <c r="N76">
        <f t="shared" si="48"/>
        <v>3735</v>
      </c>
      <c r="X76">
        <v>75</v>
      </c>
      <c r="Y76">
        <f t="shared" si="54"/>
        <v>3735</v>
      </c>
      <c r="Z76">
        <v>260.27999999999997</v>
      </c>
      <c r="AA76">
        <v>377.91999999999996</v>
      </c>
      <c r="AB76">
        <f>'[4]消耗&amp;价值&amp;分析'!$AT81</f>
        <v>485</v>
      </c>
      <c r="AC76">
        <f t="shared" si="49"/>
        <v>0</v>
      </c>
      <c r="AE76" s="144">
        <f t="shared" si="38"/>
        <v>972145.79999999993</v>
      </c>
      <c r="AF76" s="144">
        <f t="shared" si="39"/>
        <v>1411531.2</v>
      </c>
      <c r="AG76" s="144">
        <f t="shared" si="40"/>
        <v>1811475</v>
      </c>
      <c r="AH76" s="144">
        <f t="shared" si="41"/>
        <v>0</v>
      </c>
      <c r="AJ76" s="145">
        <f>SUM($AK$2:AK76)</f>
        <v>52474718.700000003</v>
      </c>
      <c r="AK76" s="144">
        <f t="shared" si="42"/>
        <v>2783620.8</v>
      </c>
      <c r="AL76">
        <f t="shared" si="43"/>
        <v>11336</v>
      </c>
      <c r="AM76">
        <f t="shared" si="50"/>
        <v>0</v>
      </c>
      <c r="AN76">
        <v>40000</v>
      </c>
      <c r="AO76">
        <f>体力消耗运算!$AB$20*金币投放!$N$8</f>
        <v>24526.854838709678</v>
      </c>
      <c r="AP76">
        <f>升级时间!K78</f>
        <v>10.279386249901554</v>
      </c>
      <c r="AQ76">
        <f t="shared" si="51"/>
        <v>205166.75649207868</v>
      </c>
      <c r="AS76">
        <f t="shared" si="55"/>
        <v>260.27999999999997</v>
      </c>
      <c r="AT76">
        <f>SUM([5]强化辅助表!$Q$174:$Q$179)</f>
        <v>377.91999999999996</v>
      </c>
      <c r="AU76">
        <f>CHOOSE(1,0,SUM([5]升星辅助表!$AU$165:$AU$170)*10/40)</f>
        <v>0</v>
      </c>
      <c r="AX76" s="15">
        <f t="shared" si="44"/>
        <v>205166.75649207868</v>
      </c>
      <c r="AY76" s="15">
        <f t="shared" si="45"/>
        <v>327500</v>
      </c>
      <c r="BB76" s="15">
        <f>AY76*0.01*升级时间!K78</f>
        <v>33664.989968427588</v>
      </c>
      <c r="BC76" s="15">
        <v>163000</v>
      </c>
      <c r="BD76" s="15">
        <f t="shared" si="52"/>
        <v>130835.01003157241</v>
      </c>
    </row>
    <row r="77" spans="1:56">
      <c r="A77">
        <v>76</v>
      </c>
      <c r="B77" s="15">
        <v>2300000</v>
      </c>
      <c r="E77">
        <f>升级时间!K79*金币生产率曲线!B77</f>
        <v>24814191.084672164</v>
      </c>
      <c r="G77" s="15">
        <f>'[2]3、总属性战斗节奏拟合'!D80</f>
        <v>1576910.059617392</v>
      </c>
      <c r="H77" s="15">
        <f>'[2]3、总属性战斗节奏拟合'!E80</f>
        <v>62028.804792642171</v>
      </c>
      <c r="I77" s="15">
        <f>'[2]3、总属性战斗节奏拟合'!F80</f>
        <v>27568.357685618743</v>
      </c>
      <c r="J77">
        <f t="shared" si="46"/>
        <v>152673.56486295658</v>
      </c>
      <c r="K77">
        <f t="shared" si="53"/>
        <v>6464.1308015016548</v>
      </c>
      <c r="L77">
        <f t="shared" si="47"/>
        <v>3838.7513877206329</v>
      </c>
      <c r="M77" s="67">
        <f t="shared" si="24"/>
        <v>3838</v>
      </c>
      <c r="N77">
        <f t="shared" si="48"/>
        <v>3838</v>
      </c>
      <c r="X77">
        <v>76</v>
      </c>
      <c r="Y77">
        <f t="shared" si="54"/>
        <v>3838</v>
      </c>
      <c r="Z77">
        <v>260.27999999999997</v>
      </c>
      <c r="AA77">
        <v>377.91999999999996</v>
      </c>
      <c r="AB77">
        <f>'[4]消耗&amp;价值&amp;分析'!$AT82</f>
        <v>780</v>
      </c>
      <c r="AC77">
        <f t="shared" si="49"/>
        <v>0</v>
      </c>
      <c r="AE77" s="144">
        <f t="shared" si="38"/>
        <v>998954.6399999999</v>
      </c>
      <c r="AF77" s="144">
        <f t="shared" si="39"/>
        <v>1450456.9599999997</v>
      </c>
      <c r="AG77" s="144">
        <f t="shared" si="40"/>
        <v>2993640</v>
      </c>
      <c r="AH77" s="144">
        <f t="shared" si="41"/>
        <v>0</v>
      </c>
      <c r="AJ77" s="145">
        <f>SUM($AK$2:AK77)</f>
        <v>56467313.340000004</v>
      </c>
      <c r="AK77" s="144">
        <f t="shared" si="42"/>
        <v>3992594.6399999997</v>
      </c>
      <c r="AL77">
        <f t="shared" si="43"/>
        <v>11680</v>
      </c>
      <c r="AM77">
        <f t="shared" si="50"/>
        <v>0</v>
      </c>
      <c r="AN77">
        <v>40000</v>
      </c>
      <c r="AO77">
        <f>体力消耗运算!$AB$20*金币投放!$N$8</f>
        <v>24526.854838709678</v>
      </c>
      <c r="AP77">
        <f>升级时间!K79</f>
        <v>10.788778732466158</v>
      </c>
      <c r="AQ77">
        <f t="shared" si="51"/>
        <v>304459.73193968285</v>
      </c>
      <c r="AS77">
        <f t="shared" si="55"/>
        <v>260.27999999999997</v>
      </c>
      <c r="AT77">
        <f>SUM([5]强化辅助表!$Q$174:$Q$179)</f>
        <v>377.91999999999996</v>
      </c>
      <c r="AU77">
        <f>CHOOSE(1,0,SUM([5]升星辅助表!$AU$165:$AU$170)*10/40)</f>
        <v>0</v>
      </c>
      <c r="AX77" s="15">
        <f t="shared" si="44"/>
        <v>304459.73193968285</v>
      </c>
      <c r="AY77" s="15">
        <f t="shared" si="45"/>
        <v>332320</v>
      </c>
      <c r="BB77" s="15">
        <f>AY77*0.01*升级时间!K79</f>
        <v>35853.269483731536</v>
      </c>
      <c r="BC77" s="15">
        <v>164000</v>
      </c>
      <c r="BD77" s="15">
        <f t="shared" si="52"/>
        <v>132466.73051626846</v>
      </c>
    </row>
    <row r="78" spans="1:56">
      <c r="A78">
        <v>77</v>
      </c>
      <c r="B78" s="15">
        <v>2328000</v>
      </c>
      <c r="E78">
        <f>升级时间!K80*金币生产率曲线!B78</f>
        <v>26347407.976712201</v>
      </c>
      <c r="G78" s="15">
        <f>'[2]3、总属性战斗节奏拟合'!D81</f>
        <v>1656055.3048105778</v>
      </c>
      <c r="H78" s="15">
        <f>'[2]3、总属性战斗节奏拟合'!E81</f>
        <v>64424.023096153876</v>
      </c>
      <c r="I78" s="15">
        <f>'[2]3、总属性战斗节奏拟合'!F81</f>
        <v>28632.899153846167</v>
      </c>
      <c r="J78">
        <f t="shared" si="46"/>
        <v>159299.13444242315</v>
      </c>
      <c r="K78">
        <f t="shared" si="53"/>
        <v>6625.5695794665662</v>
      </c>
      <c r="L78">
        <f t="shared" si="47"/>
        <v>3976.6253543493035</v>
      </c>
      <c r="M78" s="67">
        <f t="shared" si="24"/>
        <v>3942</v>
      </c>
      <c r="N78">
        <f t="shared" si="48"/>
        <v>3942</v>
      </c>
      <c r="X78">
        <v>77</v>
      </c>
      <c r="Y78">
        <f t="shared" si="54"/>
        <v>3942</v>
      </c>
      <c r="Z78">
        <v>260.27999999999997</v>
      </c>
      <c r="AA78">
        <v>377.91999999999996</v>
      </c>
      <c r="AB78">
        <f>'[4]消耗&amp;价值&amp;分析'!$AT83</f>
        <v>1216</v>
      </c>
      <c r="AC78">
        <f t="shared" si="49"/>
        <v>0</v>
      </c>
      <c r="AE78" s="144">
        <f t="shared" si="38"/>
        <v>1026023.7599999999</v>
      </c>
      <c r="AF78" s="144">
        <f t="shared" si="39"/>
        <v>1489760.64</v>
      </c>
      <c r="AG78" s="144">
        <f t="shared" si="40"/>
        <v>4793472</v>
      </c>
      <c r="AH78" s="144">
        <f t="shared" si="41"/>
        <v>0</v>
      </c>
      <c r="AJ78" s="145">
        <f>SUM($AK$2:AK78)</f>
        <v>62286809.100000001</v>
      </c>
      <c r="AK78" s="144">
        <f t="shared" si="42"/>
        <v>5819495.7599999998</v>
      </c>
      <c r="AL78">
        <f t="shared" si="43"/>
        <v>12032</v>
      </c>
      <c r="AM78">
        <f t="shared" si="50"/>
        <v>0</v>
      </c>
      <c r="AN78">
        <v>40000</v>
      </c>
      <c r="AO78">
        <f>体力消耗运算!$AB$20*金币投放!$N$8</f>
        <v>24526.854838709678</v>
      </c>
      <c r="AP78">
        <f>升级时间!K80</f>
        <v>11.317615110271564</v>
      </c>
      <c r="AQ78">
        <f t="shared" si="51"/>
        <v>448608.08599606931</v>
      </c>
      <c r="AS78">
        <f t="shared" si="55"/>
        <v>260.27999999999997</v>
      </c>
      <c r="AT78">
        <f>SUM([5]强化辅助表!$Q$174:$Q$179)</f>
        <v>377.91999999999996</v>
      </c>
      <c r="AU78">
        <f>CHOOSE(1,0,SUM([5]升星辅助表!$AU$165:$AU$170)*10/40)</f>
        <v>0</v>
      </c>
      <c r="AX78" s="15">
        <f t="shared" si="44"/>
        <v>448608.08599606931</v>
      </c>
      <c r="AY78" s="15">
        <f t="shared" si="45"/>
        <v>337180</v>
      </c>
      <c r="BB78" s="15">
        <f>AY78*0.01*升级时间!K80</f>
        <v>38160.734628813661</v>
      </c>
      <c r="BC78" s="15">
        <v>165000</v>
      </c>
      <c r="BD78" s="15">
        <f t="shared" si="52"/>
        <v>134019.26537118634</v>
      </c>
    </row>
    <row r="79" spans="1:56">
      <c r="A79">
        <v>78</v>
      </c>
      <c r="B79" s="15">
        <v>2356000</v>
      </c>
      <c r="E79">
        <f>升级时间!K81*金币生产率曲线!B79</f>
        <v>27957045.3886877</v>
      </c>
      <c r="G79" s="15">
        <f>'[2]3、总属性战斗节奏拟合'!D82</f>
        <v>1737694.4263823582</v>
      </c>
      <c r="H79" s="15">
        <f>'[2]3、总属性战斗节奏拟合'!E82</f>
        <v>66862.974935618739</v>
      </c>
      <c r="I79" s="15">
        <f>'[2]3、总属性战斗节奏拟合'!F82</f>
        <v>29716.877749163887</v>
      </c>
      <c r="J79">
        <f t="shared" si="46"/>
        <v>166087.62974007695</v>
      </c>
      <c r="K79">
        <f t="shared" si="53"/>
        <v>6788.4952976538043</v>
      </c>
      <c r="L79">
        <f t="shared" si="47"/>
        <v>4118.2978204831388</v>
      </c>
      <c r="M79" s="67">
        <f t="shared" si="24"/>
        <v>4047</v>
      </c>
      <c r="N79">
        <f t="shared" si="48"/>
        <v>4047</v>
      </c>
      <c r="X79">
        <v>78</v>
      </c>
      <c r="Y79">
        <f t="shared" si="54"/>
        <v>4047</v>
      </c>
      <c r="Z79">
        <v>260.27999999999997</v>
      </c>
      <c r="AA79">
        <v>377.91999999999996</v>
      </c>
      <c r="AB79">
        <f>'[4]消耗&amp;价值&amp;分析'!$AT84</f>
        <v>405</v>
      </c>
      <c r="AC79">
        <f t="shared" si="49"/>
        <v>0</v>
      </c>
      <c r="AE79" s="144">
        <f t="shared" si="38"/>
        <v>1053353.1599999999</v>
      </c>
      <c r="AF79" s="144">
        <f t="shared" si="39"/>
        <v>1529442.2399999998</v>
      </c>
      <c r="AG79" s="144">
        <f t="shared" si="40"/>
        <v>1639035</v>
      </c>
      <c r="AH79" s="144">
        <f t="shared" si="41"/>
        <v>0</v>
      </c>
      <c r="AJ79" s="145">
        <f>SUM($AK$2:AK79)</f>
        <v>64979197.260000005</v>
      </c>
      <c r="AK79" s="144">
        <f t="shared" si="42"/>
        <v>2692388.16</v>
      </c>
      <c r="AL79">
        <f t="shared" si="43"/>
        <v>12388</v>
      </c>
      <c r="AM79">
        <f t="shared" si="50"/>
        <v>0</v>
      </c>
      <c r="AN79">
        <v>40000</v>
      </c>
      <c r="AO79">
        <f>体力消耗运算!$AB$20*金币投放!$N$8</f>
        <v>24526.854838709678</v>
      </c>
      <c r="AP79">
        <f>升级时间!K81</f>
        <v>11.866318076692572</v>
      </c>
      <c r="AQ79">
        <f t="shared" si="51"/>
        <v>161322.48972453506</v>
      </c>
      <c r="AS79">
        <f t="shared" si="55"/>
        <v>260.27999999999997</v>
      </c>
      <c r="AT79">
        <f>SUM([5]强化辅助表!$Q$174:$Q$179)</f>
        <v>377.91999999999996</v>
      </c>
      <c r="AU79">
        <f>CHOOSE(1,0,SUM([5]升星辅助表!$AU$165:$AU$170)*10/40)</f>
        <v>0</v>
      </c>
      <c r="AX79" s="15">
        <f t="shared" si="44"/>
        <v>161322.48972453506</v>
      </c>
      <c r="AY79" s="15">
        <f t="shared" si="45"/>
        <v>342080</v>
      </c>
      <c r="BB79" s="15">
        <f>AY79*0.01*升级时间!K81</f>
        <v>40592.300876749956</v>
      </c>
      <c r="BC79" s="15">
        <v>166000</v>
      </c>
      <c r="BD79" s="15">
        <f t="shared" si="52"/>
        <v>135487.69912325003</v>
      </c>
    </row>
    <row r="80" spans="1:56">
      <c r="A80">
        <v>79</v>
      </c>
      <c r="B80" s="15">
        <v>2384000</v>
      </c>
      <c r="E80">
        <f>升级时间!K82*金币生产率曲线!B80</f>
        <v>29646003.748604685</v>
      </c>
      <c r="G80" s="15">
        <f>'[2]3、总属性战斗节奏拟合'!D83</f>
        <v>1821864.5978382952</v>
      </c>
      <c r="H80" s="15">
        <f>'[2]3、总属性战斗节奏拟合'!E83</f>
        <v>69345.660311036816</v>
      </c>
      <c r="I80" s="15">
        <f>'[2]3、总属性战斗节奏拟合'!F83</f>
        <v>30820.29347157192</v>
      </c>
      <c r="J80">
        <f t="shared" si="46"/>
        <v>173040.53769614056</v>
      </c>
      <c r="K80">
        <f t="shared" si="53"/>
        <v>6952.9079560636019</v>
      </c>
      <c r="L80">
        <f t="shared" si="47"/>
        <v>4263.8280178512259</v>
      </c>
      <c r="M80" s="67">
        <f t="shared" si="24"/>
        <v>4154</v>
      </c>
      <c r="N80">
        <f t="shared" si="48"/>
        <v>4154</v>
      </c>
      <c r="X80">
        <v>79</v>
      </c>
      <c r="Y80">
        <f t="shared" si="54"/>
        <v>4154</v>
      </c>
      <c r="Z80">
        <v>260.27999999999997</v>
      </c>
      <c r="AA80">
        <v>377.91999999999996</v>
      </c>
      <c r="AB80">
        <f>'[4]消耗&amp;价值&amp;分析'!$AT85</f>
        <v>894</v>
      </c>
      <c r="AC80">
        <f t="shared" si="49"/>
        <v>0</v>
      </c>
      <c r="AE80" s="144">
        <f t="shared" si="38"/>
        <v>1081203.1199999999</v>
      </c>
      <c r="AF80" s="144">
        <f t="shared" si="39"/>
        <v>1569879.68</v>
      </c>
      <c r="AG80" s="144">
        <f t="shared" si="40"/>
        <v>3713676</v>
      </c>
      <c r="AH80" s="144">
        <f t="shared" si="41"/>
        <v>0</v>
      </c>
      <c r="AJ80" s="145">
        <f>SUM($AK$2:AK80)</f>
        <v>69774076.38000001</v>
      </c>
      <c r="AK80" s="144">
        <f t="shared" si="42"/>
        <v>4794879.12</v>
      </c>
      <c r="AL80">
        <f t="shared" si="43"/>
        <v>12752</v>
      </c>
      <c r="AM80">
        <f t="shared" si="50"/>
        <v>0</v>
      </c>
      <c r="AN80">
        <v>40000</v>
      </c>
      <c r="AO80">
        <f>体力消耗运算!$AB$20*金币投放!$N$8</f>
        <v>24526.854838709678</v>
      </c>
      <c r="AP80">
        <f>升级时间!K82</f>
        <v>12.435404256965052</v>
      </c>
      <c r="AQ80">
        <f t="shared" si="51"/>
        <v>320030.57660317828</v>
      </c>
      <c r="AS80">
        <f t="shared" si="55"/>
        <v>260.27999999999997</v>
      </c>
      <c r="AT80">
        <f>SUM([5]强化辅助表!$Q$174:$Q$179)</f>
        <v>377.91999999999996</v>
      </c>
      <c r="AU80">
        <f>CHOOSE(1,0,SUM([5]升星辅助表!$AU$165:$AU$170)*10/40)</f>
        <v>0</v>
      </c>
      <c r="AX80" s="15">
        <f t="shared" si="44"/>
        <v>320030.57660317828</v>
      </c>
      <c r="AY80" s="15">
        <f t="shared" si="45"/>
        <v>347020</v>
      </c>
      <c r="BB80" s="15">
        <f>AY80*0.01*升级时间!K82</f>
        <v>43153.339852520126</v>
      </c>
      <c r="BC80" s="15">
        <v>167000</v>
      </c>
      <c r="BD80" s="15">
        <f t="shared" si="52"/>
        <v>136866.66014747988</v>
      </c>
    </row>
    <row r="81" spans="1:56">
      <c r="A81">
        <v>80</v>
      </c>
      <c r="B81" s="15">
        <v>2412000</v>
      </c>
      <c r="E81">
        <f>升级时间!K83*金币生产率曲线!B81</f>
        <v>31358217.35036207</v>
      </c>
      <c r="G81" s="15">
        <f>'[2]3、总属性战斗节奏拟合'!D84</f>
        <v>1914300.3150501673</v>
      </c>
      <c r="H81" s="15">
        <f>'[2]3、总属性战斗节奏拟合'!E84</f>
        <v>72086.622742474923</v>
      </c>
      <c r="I81" s="15">
        <f>'[2]3、总属性战斗节奏拟合'!F84</f>
        <v>32038.498996655522</v>
      </c>
      <c r="J81">
        <f t="shared" si="46"/>
        <v>180697.13434113713</v>
      </c>
      <c r="K81">
        <f t="shared" si="53"/>
        <v>7656.5966449965781</v>
      </c>
      <c r="L81">
        <f t="shared" si="47"/>
        <v>4095.5817322379121</v>
      </c>
      <c r="M81" s="67">
        <f t="shared" si="24"/>
        <v>4262</v>
      </c>
      <c r="N81">
        <f t="shared" si="48"/>
        <v>4262</v>
      </c>
      <c r="X81">
        <v>80</v>
      </c>
      <c r="Y81">
        <f t="shared" si="54"/>
        <v>4262</v>
      </c>
      <c r="Z81">
        <v>260.27999999999997</v>
      </c>
      <c r="AA81">
        <v>377.91999999999996</v>
      </c>
      <c r="AB81">
        <f>'[4]消耗&amp;价值&amp;分析'!$AT86</f>
        <v>1392</v>
      </c>
      <c r="AC81">
        <f t="shared" si="49"/>
        <v>0</v>
      </c>
      <c r="AE81" s="144">
        <f t="shared" si="38"/>
        <v>1109313.3599999999</v>
      </c>
      <c r="AF81" s="144">
        <f t="shared" si="39"/>
        <v>1610695.0399999998</v>
      </c>
      <c r="AG81" s="144">
        <f t="shared" si="40"/>
        <v>5932704</v>
      </c>
      <c r="AH81" s="144">
        <f t="shared" si="41"/>
        <v>0</v>
      </c>
      <c r="AJ81" s="145">
        <f>SUM($AK$2:AK81)</f>
        <v>76816093.74000001</v>
      </c>
      <c r="AK81" s="144">
        <f t="shared" si="42"/>
        <v>7042017.3599999994</v>
      </c>
      <c r="AL81">
        <f t="shared" si="43"/>
        <v>13116</v>
      </c>
      <c r="AM81">
        <f t="shared" si="50"/>
        <v>0</v>
      </c>
      <c r="AN81">
        <v>40000</v>
      </c>
      <c r="AO81">
        <f>体力消耗运算!$AB$20*金币投放!$N$8</f>
        <v>24526.854838709678</v>
      </c>
      <c r="AP81">
        <f>升级时间!K83</f>
        <v>13.000919299486762</v>
      </c>
      <c r="AQ81">
        <f t="shared" si="51"/>
        <v>476119.63315829518</v>
      </c>
      <c r="AS81">
        <f t="shared" si="55"/>
        <v>260.27999999999997</v>
      </c>
      <c r="AT81">
        <f>SUM([5]强化辅助表!$Q$174:$Q$179)</f>
        <v>377.91999999999996</v>
      </c>
      <c r="AU81">
        <f>CHOOSE(1,0,SUM([5]升星辅助表!$AU$165:$AU$170)*10/40)</f>
        <v>0</v>
      </c>
      <c r="AX81" s="15">
        <f t="shared" si="44"/>
        <v>476119.63315829518</v>
      </c>
      <c r="AY81" s="15">
        <f t="shared" si="45"/>
        <v>352000</v>
      </c>
      <c r="BB81" s="15">
        <f>AY81*0.01*升级时间!K83</f>
        <v>45763.235934193406</v>
      </c>
      <c r="BC81" s="15">
        <v>168000</v>
      </c>
      <c r="BD81" s="15">
        <f t="shared" si="52"/>
        <v>138236.76406580658</v>
      </c>
    </row>
    <row r="82" spans="1:56">
      <c r="A82">
        <v>81</v>
      </c>
      <c r="M82" s="67">
        <f t="shared" si="24"/>
        <v>4371</v>
      </c>
      <c r="N82">
        <f t="shared" si="48"/>
        <v>4371</v>
      </c>
      <c r="AL82">
        <f>SUM(AL2:AL81)</f>
        <v>702292</v>
      </c>
    </row>
    <row r="83" spans="1:56">
      <c r="A83">
        <v>82</v>
      </c>
      <c r="M83" s="67">
        <f t="shared" si="24"/>
        <v>4482</v>
      </c>
      <c r="N83">
        <f t="shared" si="48"/>
        <v>4482</v>
      </c>
    </row>
    <row r="84" spans="1:56">
      <c r="A84">
        <v>83</v>
      </c>
      <c r="M84" s="67">
        <f t="shared" si="24"/>
        <v>4595</v>
      </c>
      <c r="N84">
        <f t="shared" si="48"/>
        <v>4595</v>
      </c>
    </row>
    <row r="85" spans="1:56">
      <c r="A85">
        <v>84</v>
      </c>
      <c r="M85" s="67">
        <f t="shared" si="24"/>
        <v>4708</v>
      </c>
      <c r="N85">
        <f t="shared" si="48"/>
        <v>4708</v>
      </c>
    </row>
    <row r="86" spans="1:56">
      <c r="A86">
        <v>85</v>
      </c>
      <c r="M86" s="67">
        <f t="shared" ref="M86:M101" si="56">ROUND($P$21*($P$22+$P$23*A86+$P$24*A86^2),0)</f>
        <v>4823</v>
      </c>
      <c r="N86">
        <f t="shared" si="48"/>
        <v>4823</v>
      </c>
    </row>
    <row r="87" spans="1:56">
      <c r="A87">
        <v>86</v>
      </c>
      <c r="M87" s="67">
        <f t="shared" si="56"/>
        <v>4939</v>
      </c>
      <c r="N87">
        <f t="shared" si="48"/>
        <v>4939</v>
      </c>
    </row>
    <row r="88" spans="1:56">
      <c r="A88">
        <v>87</v>
      </c>
      <c r="M88" s="67">
        <f t="shared" si="56"/>
        <v>5057</v>
      </c>
      <c r="N88">
        <f t="shared" si="48"/>
        <v>5057</v>
      </c>
    </row>
    <row r="89" spans="1:56">
      <c r="A89">
        <v>88</v>
      </c>
      <c r="M89" s="67">
        <f t="shared" si="56"/>
        <v>5176</v>
      </c>
      <c r="N89">
        <f t="shared" si="48"/>
        <v>5176</v>
      </c>
    </row>
    <row r="90" spans="1:56">
      <c r="A90">
        <v>89</v>
      </c>
      <c r="M90" s="67">
        <f t="shared" si="56"/>
        <v>5296</v>
      </c>
      <c r="N90">
        <f t="shared" si="48"/>
        <v>5296</v>
      </c>
    </row>
    <row r="91" spans="1:56">
      <c r="A91">
        <v>90</v>
      </c>
      <c r="M91" s="67">
        <f t="shared" si="56"/>
        <v>5418</v>
      </c>
      <c r="N91">
        <f t="shared" si="48"/>
        <v>5418</v>
      </c>
    </row>
    <row r="92" spans="1:56">
      <c r="A92">
        <v>91</v>
      </c>
      <c r="M92" s="67">
        <f t="shared" si="56"/>
        <v>5541</v>
      </c>
      <c r="N92">
        <f t="shared" si="48"/>
        <v>5541</v>
      </c>
    </row>
    <row r="93" spans="1:56">
      <c r="A93">
        <v>92</v>
      </c>
      <c r="M93" s="67">
        <f t="shared" si="56"/>
        <v>5666</v>
      </c>
      <c r="N93">
        <f t="shared" si="48"/>
        <v>5666</v>
      </c>
    </row>
    <row r="94" spans="1:56">
      <c r="A94">
        <v>93</v>
      </c>
      <c r="M94" s="67">
        <f t="shared" si="56"/>
        <v>5791</v>
      </c>
      <c r="N94">
        <f t="shared" si="48"/>
        <v>5791</v>
      </c>
    </row>
    <row r="95" spans="1:56">
      <c r="A95">
        <v>94</v>
      </c>
      <c r="M95" s="67">
        <f t="shared" si="56"/>
        <v>5918</v>
      </c>
      <c r="N95">
        <f t="shared" si="48"/>
        <v>5918</v>
      </c>
    </row>
    <row r="96" spans="1:56">
      <c r="A96">
        <v>95</v>
      </c>
      <c r="M96" s="67">
        <f t="shared" si="56"/>
        <v>6047</v>
      </c>
      <c r="N96">
        <f t="shared" si="48"/>
        <v>6047</v>
      </c>
    </row>
    <row r="97" spans="1:14">
      <c r="A97">
        <v>96</v>
      </c>
      <c r="M97" s="67">
        <f t="shared" si="56"/>
        <v>6177</v>
      </c>
      <c r="N97">
        <f t="shared" si="48"/>
        <v>6177</v>
      </c>
    </row>
    <row r="98" spans="1:14">
      <c r="A98">
        <v>97</v>
      </c>
      <c r="M98" s="67">
        <f t="shared" si="56"/>
        <v>6308</v>
      </c>
      <c r="N98">
        <f t="shared" si="48"/>
        <v>6308</v>
      </c>
    </row>
    <row r="99" spans="1:14">
      <c r="A99">
        <v>98</v>
      </c>
      <c r="M99" s="67">
        <f t="shared" si="56"/>
        <v>6441</v>
      </c>
      <c r="N99">
        <f t="shared" si="48"/>
        <v>6441</v>
      </c>
    </row>
    <row r="100" spans="1:14">
      <c r="A100">
        <v>99</v>
      </c>
      <c r="M100" s="67">
        <f t="shared" si="56"/>
        <v>6575</v>
      </c>
      <c r="N100">
        <f t="shared" si="48"/>
        <v>6575</v>
      </c>
    </row>
    <row r="101" spans="1:14">
      <c r="A101">
        <v>100</v>
      </c>
      <c r="M101" s="67">
        <f t="shared" si="56"/>
        <v>6710</v>
      </c>
      <c r="N101">
        <f t="shared" si="48"/>
        <v>6710</v>
      </c>
    </row>
    <row r="171" spans="1:5">
      <c r="A171" s="115" t="s">
        <v>1188</v>
      </c>
      <c r="B171" s="115" t="s">
        <v>1189</v>
      </c>
      <c r="C171" s="115" t="s">
        <v>1327</v>
      </c>
      <c r="D171" s="115" t="s">
        <v>1328</v>
      </c>
      <c r="E171" s="115" t="s">
        <v>1329</v>
      </c>
    </row>
    <row r="172" spans="1:5">
      <c r="A172">
        <f>[3]任务经验掉落配置表!$C4</f>
        <v>1001</v>
      </c>
      <c r="B172">
        <f>[3]任务经验掉落配置表!$N4</f>
        <v>1</v>
      </c>
      <c r="C172">
        <f>[3]任务经验掉落配置表!$U4</f>
        <v>1000</v>
      </c>
      <c r="D172">
        <f>IFERROR(VLOOKUP(A172,[3]任务经验掉落配置表!$C$4:$P$200,14,0),0)</f>
        <v>1010</v>
      </c>
      <c r="E172">
        <f>IFERROR(VLOOKUP(D172,[3]D_成就任务!$G$8:$K$79,5,0),0)</f>
        <v>0</v>
      </c>
    </row>
    <row r="173" spans="1:5">
      <c r="A173">
        <f>[3]任务经验掉落配置表!$C5</f>
        <v>1002</v>
      </c>
      <c r="B173">
        <f>[3]任务经验掉落配置表!$N5</f>
        <v>1</v>
      </c>
      <c r="C173">
        <f>[3]任务经验掉落配置表!$U5</f>
        <v>336</v>
      </c>
      <c r="D173" t="str">
        <f>IFERROR(VLOOKUP(A173,[3]任务经验掉落配置表!$C$4:$P$200,14,0),0)</f>
        <v/>
      </c>
      <c r="E173">
        <f>IFERROR(VLOOKUP(D173,[3]D_成就任务!$G$8:$K$79,5,0),0)</f>
        <v>0</v>
      </c>
    </row>
    <row r="174" spans="1:5">
      <c r="A174">
        <f>[3]任务经验掉落配置表!$C6</f>
        <v>1003</v>
      </c>
      <c r="B174">
        <f>[3]任务经验掉落配置表!$N6</f>
        <v>3</v>
      </c>
      <c r="C174">
        <f>[3]任务经验掉落配置表!$U6</f>
        <v>348</v>
      </c>
      <c r="D174">
        <f>IFERROR(VLOOKUP(A174,[3]任务经验掉落配置表!$C$4:$P$200,14,0),0)</f>
        <v>1002</v>
      </c>
      <c r="E174">
        <f>IFERROR(VLOOKUP(D174,[3]D_成就任务!$G$8:$K$79,5,0),0)</f>
        <v>3179</v>
      </c>
    </row>
    <row r="175" spans="1:5">
      <c r="A175">
        <f>[3]任务经验掉落配置表!$C7</f>
        <v>1004</v>
      </c>
      <c r="B175">
        <f>[3]任务经验掉落配置表!$N7</f>
        <v>3</v>
      </c>
      <c r="C175">
        <f>[3]任务经验掉落配置表!$U7</f>
        <v>312</v>
      </c>
      <c r="D175">
        <f>IFERROR(VLOOKUP(A175,[3]任务经验掉落配置表!$C$4:$P$200,14,0),0)</f>
        <v>0</v>
      </c>
      <c r="E175">
        <f>IFERROR(VLOOKUP(D175,[3]D_成就任务!$G$8:$K$79,5,0),0)</f>
        <v>0</v>
      </c>
    </row>
    <row r="176" spans="1:5">
      <c r="A176">
        <f>[3]任务经验掉落配置表!$C8</f>
        <v>1005</v>
      </c>
      <c r="B176">
        <f>[3]任务经验掉落配置表!$N8</f>
        <v>3</v>
      </c>
      <c r="C176">
        <f>[3]任务经验掉落配置表!$U8</f>
        <v>372</v>
      </c>
      <c r="D176" t="str">
        <f>IFERROR(VLOOKUP(A176,[3]任务经验掉落配置表!$C$4:$P$200,14,0),0)</f>
        <v/>
      </c>
      <c r="E176">
        <f>IFERROR(VLOOKUP(D176,[3]D_成就任务!$G$8:$K$79,5,0),0)</f>
        <v>0</v>
      </c>
    </row>
    <row r="177" spans="1:5">
      <c r="A177">
        <f>[3]任务经验掉落配置表!$C9</f>
        <v>1006</v>
      </c>
      <c r="B177">
        <f>[3]任务经验掉落配置表!$N9</f>
        <v>4</v>
      </c>
      <c r="C177">
        <f>[3]任务经验掉落配置表!$U9</f>
        <v>360</v>
      </c>
      <c r="D177">
        <f>IFERROR(VLOOKUP(A177,[3]任务经验掉落配置表!$C$4:$P$200,14,0),0)</f>
        <v>1003</v>
      </c>
      <c r="E177">
        <f>IFERROR(VLOOKUP(D177,[3]D_成就任务!$G$8:$K$79,5,0),0)</f>
        <v>3265</v>
      </c>
    </row>
    <row r="178" spans="1:5">
      <c r="A178">
        <f>[3]任务经验掉落配置表!$C10</f>
        <v>1008</v>
      </c>
      <c r="B178">
        <f>[3]任务经验掉落配置表!$N10</f>
        <v>6</v>
      </c>
      <c r="C178">
        <f>[3]任务经验掉落配置表!$U10</f>
        <v>384</v>
      </c>
      <c r="D178">
        <f>IFERROR(VLOOKUP(A178,[3]任务经验掉落配置表!$C$4:$P$200,14,0),0)</f>
        <v>1005</v>
      </c>
      <c r="E178">
        <f>IFERROR(VLOOKUP(D178,[3]D_成就任务!$G$8:$K$79,5,0),0)</f>
        <v>3437</v>
      </c>
    </row>
    <row r="179" spans="1:5">
      <c r="A179">
        <f>[3]任务经验掉落配置表!$C11</f>
        <v>1010</v>
      </c>
      <c r="B179">
        <f>[3]任务经验掉落配置表!$N11</f>
        <v>6</v>
      </c>
      <c r="C179">
        <f>[3]任务经验掉落配置表!$U11</f>
        <v>396</v>
      </c>
      <c r="D179" t="str">
        <f>IFERROR(VLOOKUP(A179,[3]任务经验掉落配置表!$C$4:$P$200,14,0),0)</f>
        <v/>
      </c>
      <c r="E179">
        <f>IFERROR(VLOOKUP(D179,[3]D_成就任务!$G$8:$K$79,5,0),0)</f>
        <v>0</v>
      </c>
    </row>
    <row r="180" spans="1:5">
      <c r="A180">
        <f>[3]任务经验掉落配置表!$C12</f>
        <v>1011</v>
      </c>
      <c r="B180">
        <f>[3]任务经验掉落配置表!$N12</f>
        <v>8</v>
      </c>
      <c r="C180">
        <f>[3]任务经验掉落配置表!$U12</f>
        <v>408</v>
      </c>
      <c r="D180">
        <f>IFERROR(VLOOKUP(A180,[3]任务经验掉落配置表!$C$4:$P$200,14,0),0)</f>
        <v>1007</v>
      </c>
      <c r="E180">
        <f>IFERROR(VLOOKUP(D180,[3]D_成就任务!$G$8:$K$79,5,0),0)</f>
        <v>3609</v>
      </c>
    </row>
    <row r="181" spans="1:5">
      <c r="A181">
        <f>[3]任务经验掉落配置表!$C13</f>
        <v>1012</v>
      </c>
      <c r="B181">
        <f>[3]任务经验掉落配置表!$N13</f>
        <v>10</v>
      </c>
      <c r="C181">
        <f>[3]任务经验掉落配置表!$U13</f>
        <v>420</v>
      </c>
      <c r="D181">
        <f>IFERROR(VLOOKUP(A181,[3]任务经验掉落配置表!$C$4:$P$200,14,0),0)</f>
        <v>1009</v>
      </c>
      <c r="E181">
        <f>IFERROR(VLOOKUP(D181,[3]D_成就任务!$G$8:$K$79,5,0),0)</f>
        <v>3780</v>
      </c>
    </row>
    <row r="182" spans="1:5">
      <c r="A182">
        <f>[3]任务经验掉落配置表!$C14</f>
        <v>1013</v>
      </c>
      <c r="B182">
        <f>[3]任务经验掉落配置表!$N14</f>
        <v>10</v>
      </c>
      <c r="C182">
        <f>[3]任务经验掉落配置表!$U14</f>
        <v>432</v>
      </c>
      <c r="D182" t="str">
        <f>IFERROR(VLOOKUP(A182,[3]任务经验掉落配置表!$C$4:$P$200,14,0),0)</f>
        <v/>
      </c>
      <c r="E182">
        <f>IFERROR(VLOOKUP(D182,[3]D_成就任务!$G$8:$K$79,5,0),0)</f>
        <v>0</v>
      </c>
    </row>
    <row r="183" spans="1:5">
      <c r="A183">
        <f>[3]任务经验掉落配置表!$C15</f>
        <v>1014</v>
      </c>
      <c r="B183">
        <f>[3]任务经验掉落配置表!$N15</f>
        <v>11</v>
      </c>
      <c r="C183">
        <f>[3]任务经验掉落配置表!$U15</f>
        <v>444</v>
      </c>
      <c r="D183">
        <f>IFERROR(VLOOKUP(A183,[3]任务经验掉落配置表!$C$4:$P$200,14,0),0)</f>
        <v>2001</v>
      </c>
      <c r="E183">
        <f>IFERROR(VLOOKUP(D183,[3]D_成就任务!$G$8:$K$79,5,0),0)</f>
        <v>3866</v>
      </c>
    </row>
    <row r="184" spans="1:5">
      <c r="A184">
        <f>[3]任务经验掉落配置表!$C16</f>
        <v>1015</v>
      </c>
      <c r="B184">
        <f>[3]任务经验掉落配置表!$N16</f>
        <v>12</v>
      </c>
      <c r="C184">
        <f>[3]任务经验掉落配置表!$U16</f>
        <v>456</v>
      </c>
      <c r="D184">
        <f>IFERROR(VLOOKUP(A184,[3]任务经验掉落配置表!$C$4:$P$200,14,0),0)</f>
        <v>2002</v>
      </c>
      <c r="E184">
        <f>IFERROR(VLOOKUP(D184,[3]D_成就任务!$G$8:$K$79,5,0),0)</f>
        <v>3952</v>
      </c>
    </row>
    <row r="185" spans="1:5">
      <c r="A185">
        <f>[3]任务经验掉落配置表!$C17</f>
        <v>1016</v>
      </c>
      <c r="B185">
        <f>[3]任务经验掉落配置表!$N17</f>
        <v>12</v>
      </c>
      <c r="C185">
        <f>[3]任务经验掉落配置表!$U17</f>
        <v>468</v>
      </c>
      <c r="D185" t="str">
        <f>IFERROR(VLOOKUP(A185,[3]任务经验掉落配置表!$C$4:$P$200,14,0),0)</f>
        <v/>
      </c>
      <c r="E185">
        <f>IFERROR(VLOOKUP(D185,[3]D_成就任务!$G$8:$K$79,5,0),0)</f>
        <v>0</v>
      </c>
    </row>
    <row r="186" spans="1:5">
      <c r="A186">
        <f>[3]任务经验掉落配置表!$C18</f>
        <v>1017</v>
      </c>
      <c r="B186">
        <f>[3]任务经验掉落配置表!$N18</f>
        <v>13</v>
      </c>
      <c r="C186">
        <f>[3]任务经验掉落配置表!$U18</f>
        <v>492</v>
      </c>
      <c r="D186">
        <f>IFERROR(VLOOKUP(A186,[3]任务经验掉落配置表!$C$4:$P$200,14,0),0)</f>
        <v>2003</v>
      </c>
      <c r="E186">
        <f>IFERROR(VLOOKUP(D186,[3]D_成就任务!$G$8:$K$79,5,0),0)</f>
        <v>4038</v>
      </c>
    </row>
    <row r="187" spans="1:5">
      <c r="A187">
        <f>[3]任务经验掉落配置表!$C19</f>
        <v>1018</v>
      </c>
      <c r="B187">
        <f>[3]任务经验掉落配置表!$N19</f>
        <v>13</v>
      </c>
      <c r="C187">
        <f>[3]任务经验掉落配置表!$U19</f>
        <v>504</v>
      </c>
      <c r="D187" t="str">
        <f>IFERROR(VLOOKUP(A187,[3]任务经验掉落配置表!$C$4:$P$200,14,0),0)</f>
        <v/>
      </c>
      <c r="E187">
        <f>IFERROR(VLOOKUP(D187,[3]D_成就任务!$G$8:$K$79,5,0),0)</f>
        <v>0</v>
      </c>
    </row>
    <row r="188" spans="1:5">
      <c r="A188">
        <f>[3]任务经验掉落配置表!$C20</f>
        <v>1019</v>
      </c>
      <c r="B188">
        <f>[3]任务经验掉落配置表!$N20</f>
        <v>15</v>
      </c>
      <c r="C188">
        <f>[3]任务经验掉落配置表!$U20</f>
        <v>516</v>
      </c>
      <c r="D188">
        <f>IFERROR(VLOOKUP(A188,[3]任务经验掉落配置表!$C$4:$P$200,14,0),0)</f>
        <v>2005</v>
      </c>
      <c r="E188">
        <f>IFERROR(VLOOKUP(D188,[3]D_成就任务!$G$8:$K$79,5,0),0)</f>
        <v>4210</v>
      </c>
    </row>
    <row r="189" spans="1:5">
      <c r="A189">
        <f>[3]任务经验掉落配置表!$C21</f>
        <v>1020</v>
      </c>
      <c r="B189">
        <f>[3]任务经验掉落配置表!$N21</f>
        <v>15</v>
      </c>
      <c r="C189">
        <f>[3]任务经验掉落配置表!$U21</f>
        <v>564</v>
      </c>
      <c r="D189" t="str">
        <f>IFERROR(VLOOKUP(A189,[3]任务经验掉落配置表!$C$4:$P$200,14,0),0)</f>
        <v/>
      </c>
      <c r="E189">
        <f>IFERROR(VLOOKUP(D189,[3]D_成就任务!$G$8:$K$79,5,0),0)</f>
        <v>0</v>
      </c>
    </row>
    <row r="190" spans="1:5">
      <c r="A190">
        <f>[3]任务经验掉落配置表!$C22</f>
        <v>1021</v>
      </c>
      <c r="B190">
        <f>[3]任务经验掉落配置表!$N22</f>
        <v>17</v>
      </c>
      <c r="C190">
        <f>[3]任务经验掉落配置表!$U22</f>
        <v>620</v>
      </c>
      <c r="D190">
        <f>IFERROR(VLOOKUP(A190,[3]任务经验掉落配置表!$C$4:$P$200,14,0),0)</f>
        <v>2007</v>
      </c>
      <c r="E190">
        <f>IFERROR(VLOOKUP(D190,[3]D_成就任务!$G$8:$K$79,5,0),0)</f>
        <v>4382</v>
      </c>
    </row>
    <row r="191" spans="1:5">
      <c r="A191">
        <f>[3]任务经验掉落配置表!$C23</f>
        <v>1022</v>
      </c>
      <c r="B191">
        <f>[3]任务经验掉落配置表!$N23</f>
        <v>19</v>
      </c>
      <c r="C191">
        <f>[3]任务经验掉落配置表!$U23</f>
        <v>678</v>
      </c>
      <c r="D191">
        <f>IFERROR(VLOOKUP(A191,[3]任务经验掉落配置表!$C$4:$P$200,14,0),0)</f>
        <v>2009</v>
      </c>
      <c r="E191">
        <f>IFERROR(VLOOKUP(D191,[3]D_成就任务!$G$8:$K$79,5,0),0)</f>
        <v>4554</v>
      </c>
    </row>
    <row r="192" spans="1:5">
      <c r="A192">
        <f>[3]任务经验掉落配置表!$C24</f>
        <v>1023</v>
      </c>
      <c r="B192">
        <f>[3]任务经验掉落配置表!$N24</f>
        <v>19</v>
      </c>
      <c r="C192">
        <f>[3]任务经验掉落配置表!$U24</f>
        <v>740</v>
      </c>
      <c r="D192" t="str">
        <f>IFERROR(VLOOKUP(A192,[3]任务经验掉落配置表!$C$4:$P$200,14,0),0)</f>
        <v/>
      </c>
      <c r="E192">
        <f>IFERROR(VLOOKUP(D192,[3]D_成就任务!$G$8:$K$79,5,0),0)</f>
        <v>0</v>
      </c>
    </row>
    <row r="193" spans="1:5">
      <c r="A193">
        <f>[3]任务经验掉落配置表!$C25</f>
        <v>1024</v>
      </c>
      <c r="B193">
        <f>[3]任务经验掉落配置表!$N25</f>
        <v>19</v>
      </c>
      <c r="C193">
        <f>[3]任务经验掉落配置表!$U25</f>
        <v>804</v>
      </c>
      <c r="D193" t="str">
        <f>IFERROR(VLOOKUP(A193,[3]任务经验掉落配置表!$C$4:$P$200,14,0),0)</f>
        <v/>
      </c>
      <c r="E193">
        <f>IFERROR(VLOOKUP(D193,[3]D_成就任务!$G$8:$K$79,5,0),0)</f>
        <v>0</v>
      </c>
    </row>
    <row r="194" spans="1:5">
      <c r="A194">
        <f>[3]任务经验掉落配置表!$C26</f>
        <v>1025</v>
      </c>
      <c r="B194">
        <f>[3]任务经验掉落配置表!$N26</f>
        <v>20</v>
      </c>
      <c r="C194">
        <f>[3]任务经验掉落配置表!$U26</f>
        <v>870</v>
      </c>
      <c r="D194">
        <f>IFERROR(VLOOKUP(A194,[3]任务经验掉落配置表!$C$4:$P$200,14,0),0)</f>
        <v>3001</v>
      </c>
      <c r="E194">
        <f>IFERROR(VLOOKUP(D194,[3]D_成就任务!$G$8:$K$79,5,0),0)</f>
        <v>4640</v>
      </c>
    </row>
    <row r="195" spans="1:5">
      <c r="A195">
        <f>[3]任务经验掉落配置表!$C27</f>
        <v>1026</v>
      </c>
      <c r="B195">
        <f>[3]任务经验掉落配置表!$N27</f>
        <v>20</v>
      </c>
      <c r="C195">
        <f>[3]任务经验掉落配置表!$U27</f>
        <v>940</v>
      </c>
      <c r="D195" t="str">
        <f>IFERROR(VLOOKUP(A195,[3]任务经验掉落配置表!$C$4:$P$200,14,0),0)</f>
        <v/>
      </c>
      <c r="E195">
        <f>IFERROR(VLOOKUP(D195,[3]D_成就任务!$G$8:$K$79,5,0),0)</f>
        <v>0</v>
      </c>
    </row>
    <row r="196" spans="1:5">
      <c r="A196">
        <f>[3]任务经验掉落配置表!$C28</f>
        <v>1027</v>
      </c>
      <c r="B196">
        <f>[3]任务经验掉落配置表!$N28</f>
        <v>21</v>
      </c>
      <c r="C196">
        <f>[3]任务经验掉落配置表!$U28</f>
        <v>1012</v>
      </c>
      <c r="D196">
        <f>IFERROR(VLOOKUP(A196,[3]任务经验掉落配置表!$C$4:$P$200,14,0),0)</f>
        <v>3002</v>
      </c>
      <c r="E196">
        <f>IFERROR(VLOOKUP(D196,[3]D_成就任务!$G$8:$K$79,5,0),0)</f>
        <v>4726</v>
      </c>
    </row>
    <row r="197" spans="1:5">
      <c r="A197">
        <f>[3]任务经验掉落配置表!$C29</f>
        <v>1028</v>
      </c>
      <c r="B197">
        <f>[3]任务经验掉落配置表!$N29</f>
        <v>21</v>
      </c>
      <c r="C197">
        <f>[3]任务经验掉落配置表!$U29</f>
        <v>1086</v>
      </c>
      <c r="D197" t="str">
        <f>IFERROR(VLOOKUP(A197,[3]任务经验掉落配置表!$C$4:$P$200,14,0),0)</f>
        <v/>
      </c>
      <c r="E197">
        <f>IFERROR(VLOOKUP(D197,[3]D_成就任务!$G$8:$K$79,5,0),0)</f>
        <v>0</v>
      </c>
    </row>
    <row r="198" spans="1:5">
      <c r="A198">
        <f>[3]任务经验掉落配置表!$C30</f>
        <v>1029</v>
      </c>
      <c r="B198">
        <f>[3]任务经验掉落配置表!$N30</f>
        <v>22</v>
      </c>
      <c r="C198">
        <f>[3]任务经验掉落配置表!$U30</f>
        <v>1244</v>
      </c>
      <c r="D198">
        <f>IFERROR(VLOOKUP(A198,[3]任务经验掉落配置表!$C$4:$P$200,14,0),0)</f>
        <v>3003</v>
      </c>
      <c r="E198">
        <f>IFERROR(VLOOKUP(D198,[3]D_成就任务!$G$8:$K$79,5,0),0)</f>
        <v>4812</v>
      </c>
    </row>
    <row r="199" spans="1:5">
      <c r="A199">
        <f>[3]任务经验掉落配置表!$C31</f>
        <v>1030</v>
      </c>
      <c r="B199">
        <f>[3]任务经验掉落配置表!$N31</f>
        <v>24</v>
      </c>
      <c r="C199">
        <f>[3]任务经验掉落配置表!$U31</f>
        <v>1326</v>
      </c>
      <c r="D199">
        <f>IFERROR(VLOOKUP(A199,[3]任务经验掉落配置表!$C$4:$P$200,14,0),0)</f>
        <v>3005</v>
      </c>
      <c r="E199">
        <f>IFERROR(VLOOKUP(D199,[3]D_成就任务!$G$8:$K$79,5,0),0)</f>
        <v>4983</v>
      </c>
    </row>
    <row r="200" spans="1:5">
      <c r="A200">
        <f>[3]任务经验掉落配置表!$C32</f>
        <v>1031</v>
      </c>
      <c r="B200">
        <f>[3]任务经验掉落配置表!$N32</f>
        <v>24</v>
      </c>
      <c r="C200">
        <f>[3]任务经验掉落配置表!$U32</f>
        <v>1412</v>
      </c>
      <c r="D200" t="str">
        <f>IFERROR(VLOOKUP(A200,[3]任务经验掉落配置表!$C$4:$P$200,14,0),0)</f>
        <v/>
      </c>
      <c r="E200">
        <f>IFERROR(VLOOKUP(D200,[3]D_成就任务!$G$8:$K$79,5,0),0)</f>
        <v>0</v>
      </c>
    </row>
    <row r="201" spans="1:5">
      <c r="A201">
        <f>[3]任务经验掉落配置表!$C33</f>
        <v>1032</v>
      </c>
      <c r="B201">
        <f>[3]任务经验掉落配置表!$N33</f>
        <v>26</v>
      </c>
      <c r="C201">
        <f>[3]任务经验掉落配置表!$U33</f>
        <v>1502</v>
      </c>
      <c r="D201">
        <f>IFERROR(VLOOKUP(A201,[3]任务经验掉落配置表!$C$4:$P$200,14,0),0)</f>
        <v>3007</v>
      </c>
      <c r="E201">
        <f>IFERROR(VLOOKUP(D201,[3]D_成就任务!$G$8:$K$79,5,0),0)</f>
        <v>5155</v>
      </c>
    </row>
    <row r="202" spans="1:5">
      <c r="A202">
        <f>[3]任务经验掉落配置表!$C34</f>
        <v>1033</v>
      </c>
      <c r="B202">
        <f>[3]任务经验掉落配置表!$N34</f>
        <v>28</v>
      </c>
      <c r="C202">
        <f>[3]任务经验掉落配置表!$U34</f>
        <v>1592</v>
      </c>
      <c r="D202">
        <f>IFERROR(VLOOKUP(A202,[3]任务经验掉落配置表!$C$4:$P$200,14,0),0)</f>
        <v>3009</v>
      </c>
      <c r="E202">
        <f>IFERROR(VLOOKUP(D202,[3]D_成就任务!$G$8:$K$79,5,0),0)</f>
        <v>5327</v>
      </c>
    </row>
    <row r="203" spans="1:5">
      <c r="A203">
        <f>[3]任务经验掉落配置表!$C35</f>
        <v>1034</v>
      </c>
      <c r="B203">
        <f>[3]任务经验掉落配置表!$N35</f>
        <v>28</v>
      </c>
      <c r="C203">
        <f>[3]任务经验掉落配置表!$U35</f>
        <v>1686</v>
      </c>
      <c r="D203" t="str">
        <f>IFERROR(VLOOKUP(A203,[3]任务经验掉落配置表!$C$4:$P$200,14,0),0)</f>
        <v/>
      </c>
      <c r="E203">
        <f>IFERROR(VLOOKUP(D203,[3]D_成就任务!$G$8:$K$79,5,0),0)</f>
        <v>0</v>
      </c>
    </row>
    <row r="204" spans="1:5">
      <c r="A204">
        <f>[3]任务经验掉落配置表!$C36</f>
        <v>1035</v>
      </c>
      <c r="B204">
        <f>[3]任务经验掉落配置表!$N36</f>
        <v>28</v>
      </c>
      <c r="C204">
        <f>[3]任务经验掉落配置表!$U36</f>
        <v>1782</v>
      </c>
      <c r="D204" t="str">
        <f>IFERROR(VLOOKUP(A204,[3]任务经验掉落配置表!$C$4:$P$200,14,0),0)</f>
        <v/>
      </c>
      <c r="E204">
        <f>IFERROR(VLOOKUP(D204,[3]D_成就任务!$G$8:$K$79,5,0),0)</f>
        <v>0</v>
      </c>
    </row>
    <row r="205" spans="1:5">
      <c r="A205">
        <f>[3]任务经验掉落配置表!$C37</f>
        <v>1036</v>
      </c>
      <c r="B205">
        <f>[3]任务经验掉落配置表!$N37</f>
        <v>29</v>
      </c>
      <c r="C205">
        <f>[3]任务经验掉落配置表!$U37</f>
        <v>1882</v>
      </c>
      <c r="D205">
        <f>IFERROR(VLOOKUP(A205,[3]任务经验掉落配置表!$C$4:$P$200,14,0),0)</f>
        <v>4001</v>
      </c>
      <c r="E205">
        <f>IFERROR(VLOOKUP(D205,[3]D_成就任务!$G$8:$K$79,5,0),0)</f>
        <v>5413</v>
      </c>
    </row>
    <row r="206" spans="1:5">
      <c r="A206">
        <f>[3]任务经验掉落配置表!$C38</f>
        <v>1037</v>
      </c>
      <c r="B206">
        <f>[3]任务经验掉落配置表!$N38</f>
        <v>29</v>
      </c>
      <c r="C206">
        <f>[3]任务经验掉落配置表!$U38</f>
        <v>1984</v>
      </c>
      <c r="D206" t="str">
        <f>IFERROR(VLOOKUP(A206,[3]任务经验掉落配置表!$C$4:$P$200,14,0),0)</f>
        <v/>
      </c>
      <c r="E206">
        <f>IFERROR(VLOOKUP(D206,[3]D_成就任务!$G$8:$K$79,5,0),0)</f>
        <v>0</v>
      </c>
    </row>
    <row r="207" spans="1:5">
      <c r="A207">
        <f>[3]任务经验掉落配置表!$C39</f>
        <v>1038</v>
      </c>
      <c r="B207">
        <f>[3]任务经验掉落配置表!$N39</f>
        <v>30</v>
      </c>
      <c r="C207">
        <f>[3]任务经验掉落配置表!$U39</f>
        <v>2088</v>
      </c>
      <c r="D207">
        <f>IFERROR(VLOOKUP(A207,[3]任务经验掉落配置表!$C$4:$P$200,14,0),0)</f>
        <v>4002</v>
      </c>
      <c r="E207">
        <f>IFERROR(VLOOKUP(D207,[3]D_成就任务!$G$8:$K$79,5,0),0)</f>
        <v>5499</v>
      </c>
    </row>
    <row r="208" spans="1:5">
      <c r="A208">
        <f>[3]任务经验掉落配置表!$C40</f>
        <v>1039</v>
      </c>
      <c r="B208">
        <f>[3]任务经验掉落配置表!$N40</f>
        <v>30</v>
      </c>
      <c r="C208">
        <f>[3]任务经验掉落配置表!$U40</f>
        <v>2196</v>
      </c>
      <c r="D208" t="str">
        <f>IFERROR(VLOOKUP(A208,[3]任务经验掉落配置表!$C$4:$P$200,14,0),0)</f>
        <v/>
      </c>
      <c r="E208">
        <f>IFERROR(VLOOKUP(D208,[3]D_成就任务!$G$8:$K$79,5,0),0)</f>
        <v>0</v>
      </c>
    </row>
    <row r="209" spans="1:5">
      <c r="A209">
        <f>[3]任务经验掉落配置表!$C41</f>
        <v>1040</v>
      </c>
      <c r="B209">
        <f>[3]任务经验掉落配置表!$N41</f>
        <v>31</v>
      </c>
      <c r="C209">
        <f>[3]任务经验掉落配置表!$U41</f>
        <v>2306</v>
      </c>
      <c r="D209">
        <f>IFERROR(VLOOKUP(A209,[3]任务经验掉落配置表!$C$4:$P$200,14,0),0)</f>
        <v>4003</v>
      </c>
      <c r="E209">
        <f>IFERROR(VLOOKUP(D209,[3]D_成就任务!$G$8:$K$79,5,0),0)</f>
        <v>5585</v>
      </c>
    </row>
    <row r="210" spans="1:5">
      <c r="A210">
        <f>[3]任务经验掉落配置表!$C42</f>
        <v>1041</v>
      </c>
      <c r="B210">
        <f>[3]任务经验掉落配置表!$N42</f>
        <v>33</v>
      </c>
      <c r="C210">
        <f>[3]任务经验掉落配置表!$U42</f>
        <v>2420</v>
      </c>
      <c r="D210">
        <f>IFERROR(VLOOKUP(A210,[3]任务经验掉落配置表!$C$4:$P$200,14,0),0)</f>
        <v>4005</v>
      </c>
      <c r="E210">
        <f>IFERROR(VLOOKUP(D210,[3]D_成就任务!$G$8:$K$79,5,0),0)</f>
        <v>5757</v>
      </c>
    </row>
    <row r="211" spans="1:5">
      <c r="A211">
        <f>[3]任务经验掉落配置表!$C43</f>
        <v>1042</v>
      </c>
      <c r="B211">
        <f>[3]任务经验掉落配置表!$N43</f>
        <v>33</v>
      </c>
      <c r="C211">
        <f>[3]任务经验掉落配置表!$U43</f>
        <v>2534</v>
      </c>
      <c r="D211" t="str">
        <f>IFERROR(VLOOKUP(A211,[3]任务经验掉落配置表!$C$4:$P$200,14,0),0)</f>
        <v/>
      </c>
      <c r="E211">
        <f>IFERROR(VLOOKUP(D211,[3]D_成就任务!$G$8:$K$79,5,0),0)</f>
        <v>0</v>
      </c>
    </row>
    <row r="212" spans="1:5">
      <c r="A212">
        <f>[3]任务经验掉落配置表!$C44</f>
        <v>1043</v>
      </c>
      <c r="B212">
        <f>[3]任务经验掉落配置表!$N44</f>
        <v>35</v>
      </c>
      <c r="C212">
        <f>[3]任务经验掉落配置表!$U44</f>
        <v>2652</v>
      </c>
      <c r="D212">
        <f>IFERROR(VLOOKUP(A212,[3]任务经验掉落配置表!$C$4:$P$200,14,0),0)</f>
        <v>4007</v>
      </c>
      <c r="E212">
        <f>IFERROR(VLOOKUP(D212,[3]D_成就任务!$G$8:$K$79,5,0),0)</f>
        <v>5929</v>
      </c>
    </row>
    <row r="213" spans="1:5">
      <c r="A213">
        <f>[3]任务经验掉落配置表!$C45</f>
        <v>1044</v>
      </c>
      <c r="B213">
        <f>[3]任务经验掉落配置表!$N45</f>
        <v>37</v>
      </c>
      <c r="C213">
        <f>[3]任务经验掉落配置表!$U45</f>
        <v>2774</v>
      </c>
      <c r="D213">
        <f>IFERROR(VLOOKUP(A213,[3]任务经验掉落配置表!$C$4:$P$200,14,0),0)</f>
        <v>4009</v>
      </c>
      <c r="E213">
        <f>IFERROR(VLOOKUP(D213,[3]D_成就任务!$G$8:$K$79,5,0),0)</f>
        <v>6101</v>
      </c>
    </row>
    <row r="214" spans="1:5">
      <c r="A214">
        <f>[3]任务经验掉落配置表!$C46</f>
        <v>1045</v>
      </c>
      <c r="B214">
        <f>[3]任务经验掉落配置表!$N46</f>
        <v>37</v>
      </c>
      <c r="C214">
        <f>[3]任务经验掉落配置表!$U46</f>
        <v>2898</v>
      </c>
      <c r="D214" t="str">
        <f>IFERROR(VLOOKUP(A214,[3]任务经验掉落配置表!$C$4:$P$200,14,0),0)</f>
        <v/>
      </c>
      <c r="E214">
        <f>IFERROR(VLOOKUP(D214,[3]D_成就任务!$G$8:$K$79,5,0),0)</f>
        <v>0</v>
      </c>
    </row>
    <row r="215" spans="1:5">
      <c r="A215">
        <f>[3]任务经验掉落配置表!$C47</f>
        <v>1046</v>
      </c>
      <c r="B215">
        <f>[3]任务经验掉落配置表!$N47</f>
        <v>37</v>
      </c>
      <c r="C215">
        <f>[3]任务经验掉落配置表!$U47</f>
        <v>3024</v>
      </c>
      <c r="D215" t="str">
        <f>IFERROR(VLOOKUP(A215,[3]任务经验掉落配置表!$C$4:$P$200,14,0),0)</f>
        <v/>
      </c>
      <c r="E215">
        <f>IFERROR(VLOOKUP(D215,[3]D_成就任务!$G$8:$K$79,5,0),0)</f>
        <v>0</v>
      </c>
    </row>
    <row r="216" spans="1:5">
      <c r="A216">
        <f>[3]任务经验掉落配置表!$C48</f>
        <v>1047</v>
      </c>
      <c r="B216">
        <f>[3]任务经验掉落配置表!$N48</f>
        <v>38</v>
      </c>
      <c r="C216">
        <f>[3]任务经验掉落配置表!$U48</f>
        <v>3154</v>
      </c>
      <c r="D216">
        <f>IFERROR(VLOOKUP(A216,[3]任务经验掉落配置表!$C$4:$P$200,14,0),0)</f>
        <v>5001</v>
      </c>
      <c r="E216">
        <f>IFERROR(VLOOKUP(D216,[3]D_成就任务!$G$8:$K$79,5,0),0)</f>
        <v>6187</v>
      </c>
    </row>
    <row r="217" spans="1:5">
      <c r="A217">
        <f>[3]任务经验掉落配置表!$C49</f>
        <v>1048</v>
      </c>
      <c r="B217">
        <f>[3]任务经验掉落配置表!$N49</f>
        <v>39</v>
      </c>
      <c r="C217">
        <f>[3]任务经验掉落配置表!$U49</f>
        <v>3286</v>
      </c>
      <c r="D217">
        <f>IFERROR(VLOOKUP(A217,[3]任务经验掉落配置表!$C$4:$P$200,14,0),0)</f>
        <v>5002</v>
      </c>
      <c r="E217">
        <f>IFERROR(VLOOKUP(D217,[3]D_成就任务!$G$8:$K$79,5,0),0)</f>
        <v>6272</v>
      </c>
    </row>
    <row r="218" spans="1:5">
      <c r="A218">
        <f>[3]任务经验掉落配置表!$C50</f>
        <v>1049</v>
      </c>
      <c r="B218">
        <f>[3]任务经验掉落配置表!$N50</f>
        <v>39</v>
      </c>
      <c r="C218">
        <f>[3]任务经验掉落配置表!$U50</f>
        <v>3420</v>
      </c>
      <c r="D218" t="str">
        <f>IFERROR(VLOOKUP(A218,[3]任务经验掉落配置表!$C$4:$P$200,14,0),0)</f>
        <v/>
      </c>
      <c r="E218">
        <f>IFERROR(VLOOKUP(D218,[3]D_成就任务!$G$8:$K$79,5,0),0)</f>
        <v>0</v>
      </c>
    </row>
    <row r="219" spans="1:5">
      <c r="A219">
        <f>[3]任务经验掉落配置表!$C51</f>
        <v>1050</v>
      </c>
      <c r="B219">
        <f>[3]任务经验掉落配置表!$N51</f>
        <v>40</v>
      </c>
      <c r="C219">
        <f>[3]任务经验掉落配置表!$U51</f>
        <v>3558</v>
      </c>
      <c r="D219">
        <f>IFERROR(VLOOKUP(A219,[3]任务经验掉落配置表!$C$4:$P$200,14,0),0)</f>
        <v>5003</v>
      </c>
      <c r="E219">
        <f>IFERROR(VLOOKUP(D219,[3]D_成就任务!$G$8:$K$79,5,0),0)</f>
        <v>6358</v>
      </c>
    </row>
    <row r="220" spans="1:5">
      <c r="A220">
        <f>[3]任务经验掉落配置表!$C52</f>
        <v>1051</v>
      </c>
      <c r="B220">
        <f>[3]任务经验掉落配置表!$N52</f>
        <v>42</v>
      </c>
      <c r="C220">
        <f>[3]任务经验掉落配置表!$U52</f>
        <v>3698</v>
      </c>
      <c r="D220">
        <f>IFERROR(VLOOKUP(A220,[3]任务经验掉落配置表!$C$4:$P$200,14,0),0)</f>
        <v>5005</v>
      </c>
      <c r="E220">
        <f>IFERROR(VLOOKUP(D220,[3]D_成就任务!$G$8:$K$79,5,0),0)</f>
        <v>6530</v>
      </c>
    </row>
    <row r="221" spans="1:5">
      <c r="A221">
        <f>[3]任务经验掉落配置表!$C53</f>
        <v>1052</v>
      </c>
      <c r="B221">
        <f>[3]任务经验掉落配置表!$N53</f>
        <v>42</v>
      </c>
      <c r="C221">
        <f>[3]任务经验掉落配置表!$U53</f>
        <v>3840</v>
      </c>
      <c r="D221" t="str">
        <f>IFERROR(VLOOKUP(A221,[3]任务经验掉落配置表!$C$4:$P$200,14,0),0)</f>
        <v/>
      </c>
      <c r="E221">
        <f>IFERROR(VLOOKUP(D221,[3]D_成就任务!$G$8:$K$79,5,0),0)</f>
        <v>0</v>
      </c>
    </row>
    <row r="222" spans="1:5">
      <c r="A222">
        <f>[3]任务经验掉落配置表!$C54</f>
        <v>1053</v>
      </c>
      <c r="B222">
        <f>[3]任务经验掉落配置表!$N54</f>
        <v>44</v>
      </c>
      <c r="C222">
        <f>[3]任务经验掉落配置表!$U54</f>
        <v>3986</v>
      </c>
      <c r="D222">
        <f>IFERROR(VLOOKUP(A222,[3]任务经验掉落配置表!$C$4:$P$200,14,0),0)</f>
        <v>5007</v>
      </c>
      <c r="E222">
        <f>IFERROR(VLOOKUP(D222,[3]D_成就任务!$G$8:$K$79,5,0),0)</f>
        <v>6702</v>
      </c>
    </row>
    <row r="223" spans="1:5">
      <c r="A223">
        <f>[3]任务经验掉落配置表!$C55</f>
        <v>1054</v>
      </c>
      <c r="B223">
        <f>[3]任务经验掉落配置表!$N55</f>
        <v>46</v>
      </c>
      <c r="C223">
        <f>[3]任务经验掉落配置表!$U55</f>
        <v>4134</v>
      </c>
      <c r="D223">
        <f>IFERROR(VLOOKUP(A223,[3]任务经验掉落配置表!$C$4:$P$200,14,0),0)</f>
        <v>5009</v>
      </c>
      <c r="E223">
        <f>IFERROR(VLOOKUP(D223,[3]D_成就任务!$G$8:$K$79,5,0),0)</f>
        <v>6874</v>
      </c>
    </row>
    <row r="224" spans="1:5">
      <c r="A224">
        <f>[3]任务经验掉落配置表!$C56</f>
        <v>1055</v>
      </c>
      <c r="B224">
        <f>[3]任务经验掉落配置表!$N56</f>
        <v>46</v>
      </c>
      <c r="C224">
        <f>[3]任务经验掉落配置表!$U56</f>
        <v>4284</v>
      </c>
      <c r="D224" t="str">
        <f>IFERROR(VLOOKUP(A224,[3]任务经验掉落配置表!$C$4:$P$200,14,0),0)</f>
        <v/>
      </c>
      <c r="E224">
        <f>IFERROR(VLOOKUP(D224,[3]D_成就任务!$G$8:$K$79,5,0),0)</f>
        <v>0</v>
      </c>
    </row>
    <row r="225" spans="1:5">
      <c r="A225">
        <f>[3]任务经验掉落配置表!$C57</f>
        <v>1056</v>
      </c>
      <c r="B225">
        <f>[3]任务经验掉落配置表!$N57</f>
        <v>46</v>
      </c>
      <c r="C225">
        <f>[3]任务经验掉落配置表!$U57</f>
        <v>4438</v>
      </c>
      <c r="D225" t="str">
        <f>IFERROR(VLOOKUP(A225,[3]任务经验掉落配置表!$C$4:$P$200,14,0),0)</f>
        <v/>
      </c>
      <c r="E225">
        <f>IFERROR(VLOOKUP(D225,[3]D_成就任务!$G$8:$K$79,5,0),0)</f>
        <v>0</v>
      </c>
    </row>
    <row r="226" spans="1:5">
      <c r="A226">
        <f>[3]任务经验掉落配置表!$C58</f>
        <v>1057</v>
      </c>
      <c r="B226">
        <f>[3]任务经验掉落配置表!$N58</f>
        <v>47</v>
      </c>
      <c r="C226">
        <f>[3]任务经验掉落配置表!$U58</f>
        <v>4596</v>
      </c>
      <c r="D226">
        <f>IFERROR(VLOOKUP(A226,[3]任务经验掉落配置表!$C$4:$P$200,14,0),0)</f>
        <v>6001</v>
      </c>
      <c r="E226">
        <f>IFERROR(VLOOKUP(D226,[3]D_成就任务!$G$8:$K$79,5,0),0)</f>
        <v>6960</v>
      </c>
    </row>
    <row r="227" spans="1:5">
      <c r="A227">
        <f>[3]任务经验掉落配置表!$C59</f>
        <v>1058</v>
      </c>
      <c r="B227">
        <f>[3]任务经验掉落配置表!$N59</f>
        <v>48</v>
      </c>
      <c r="C227">
        <f>[3]任务经验掉落配置表!$U59</f>
        <v>4754</v>
      </c>
      <c r="D227">
        <f>IFERROR(VLOOKUP(A227,[3]任务经验掉落配置表!$C$4:$P$200,14,0),0)</f>
        <v>6002</v>
      </c>
      <c r="E227">
        <f>IFERROR(VLOOKUP(D227,[3]D_成就任务!$G$8:$K$79,5,0),0)</f>
        <v>7046</v>
      </c>
    </row>
    <row r="228" spans="1:5">
      <c r="A228">
        <f>[3]任务经验掉落配置表!$C60</f>
        <v>1059</v>
      </c>
      <c r="B228">
        <f>[3]任务经验掉落配置表!$N60</f>
        <v>48</v>
      </c>
      <c r="C228">
        <f>[3]任务经验掉落配置表!$U60</f>
        <v>4916</v>
      </c>
      <c r="D228" t="str">
        <f>IFERROR(VLOOKUP(A228,[3]任务经验掉落配置表!$C$4:$P$200,14,0),0)</f>
        <v/>
      </c>
      <c r="E228">
        <f>IFERROR(VLOOKUP(D228,[3]D_成就任务!$G$8:$K$79,5,0),0)</f>
        <v>0</v>
      </c>
    </row>
    <row r="229" spans="1:5">
      <c r="A229">
        <f>[3]任务经验掉落配置表!$C61</f>
        <v>1060</v>
      </c>
      <c r="B229">
        <f>[3]任务经验掉落配置表!$N61</f>
        <v>49</v>
      </c>
      <c r="C229">
        <f>[3]任务经验掉落配置表!$U61</f>
        <v>5080</v>
      </c>
      <c r="D229">
        <f>IFERROR(VLOOKUP(A229,[3]任务经验掉落配置表!$C$4:$P$200,14,0),0)</f>
        <v>6003</v>
      </c>
      <c r="E229">
        <f>IFERROR(VLOOKUP(D229,[3]D_成就任务!$G$8:$K$79,5,0),0)</f>
        <v>7132</v>
      </c>
    </row>
    <row r="230" spans="1:5">
      <c r="A230">
        <f>[3]任务经验掉落配置表!$C62</f>
        <v>1061</v>
      </c>
      <c r="B230">
        <f>[3]任务经验掉落配置表!$N62</f>
        <v>50</v>
      </c>
      <c r="C230">
        <f>[3]任务经验掉落配置表!$U62</f>
        <v>5248</v>
      </c>
      <c r="D230">
        <f>IFERROR(VLOOKUP(A230,[3]任务经验掉落配置表!$C$4:$P$200,14,0),0)</f>
        <v>6004</v>
      </c>
      <c r="E230">
        <f>IFERROR(VLOOKUP(D230,[3]D_成就任务!$G$8:$K$79,5,0),0)</f>
        <v>7218</v>
      </c>
    </row>
    <row r="231" spans="1:5">
      <c r="A231">
        <f>[3]任务经验掉落配置表!$C63</f>
        <v>1062</v>
      </c>
      <c r="B231">
        <f>[3]任务经验掉落配置表!$N63</f>
        <v>51</v>
      </c>
      <c r="C231">
        <f>[3]任务经验掉落配置表!$U63</f>
        <v>5418</v>
      </c>
      <c r="D231">
        <f>IFERROR(VLOOKUP(A231,[3]任务经验掉落配置表!$C$4:$P$200,14,0),0)</f>
        <v>6005</v>
      </c>
      <c r="E231">
        <f>IFERROR(VLOOKUP(D231,[3]D_成就任务!$G$8:$K$79,5,0),0)</f>
        <v>7304</v>
      </c>
    </row>
    <row r="232" spans="1:5">
      <c r="A232">
        <f>[3]任务经验掉落配置表!$C64</f>
        <v>1063</v>
      </c>
      <c r="B232">
        <f>[3]任务经验掉落配置表!$N64</f>
        <v>51</v>
      </c>
      <c r="C232">
        <f>[3]任务经验掉落配置表!$U64</f>
        <v>5590</v>
      </c>
      <c r="D232" t="str">
        <f>IFERROR(VLOOKUP(A232,[3]任务经验掉落配置表!$C$4:$P$200,14,0),0)</f>
        <v/>
      </c>
      <c r="E232">
        <f>IFERROR(VLOOKUP(D232,[3]D_成就任务!$G$8:$K$79,5,0),0)</f>
        <v>0</v>
      </c>
    </row>
    <row r="233" spans="1:5">
      <c r="A233">
        <f>[3]任务经验掉落配置表!$C65</f>
        <v>1064</v>
      </c>
      <c r="B233">
        <f>[3]任务经验掉落配置表!$N65</f>
        <v>52</v>
      </c>
      <c r="C233">
        <f>[3]任务经验掉落配置表!$U65</f>
        <v>5766</v>
      </c>
      <c r="D233">
        <f>IFERROR(VLOOKUP(A233,[3]任务经验掉落配置表!$C$4:$P$200,14,0),0)</f>
        <v>6006</v>
      </c>
      <c r="E233">
        <f>IFERROR(VLOOKUP(D233,[3]D_成就任务!$G$8:$K$79,5,0),0)</f>
        <v>7390</v>
      </c>
    </row>
    <row r="234" spans="1:5">
      <c r="A234">
        <f>[3]任务经验掉落配置表!$C66</f>
        <v>1065</v>
      </c>
      <c r="B234">
        <f>[3]任务经验掉落配置表!$N66</f>
        <v>52</v>
      </c>
      <c r="C234">
        <f>[3]任务经验掉落配置表!$U66</f>
        <v>6494</v>
      </c>
      <c r="D234" t="str">
        <f>IFERROR(VLOOKUP(A234,[3]任务经验掉落配置表!$C$4:$P$200,14,0),0)</f>
        <v/>
      </c>
      <c r="E234">
        <f>IFERROR(VLOOKUP(D234,[3]D_成就任务!$G$8:$K$79,5,0),0)</f>
        <v>0</v>
      </c>
    </row>
    <row r="235" spans="1:5">
      <c r="A235">
        <f>[3]任务经验掉落配置表!$C67</f>
        <v>1066</v>
      </c>
      <c r="B235">
        <f>[3]任务经验掉落配置表!$N67</f>
        <v>52</v>
      </c>
      <c r="C235">
        <f>[3]任务经验掉落配置表!$U67</f>
        <v>6684</v>
      </c>
      <c r="D235" t="str">
        <f>IFERROR(VLOOKUP(A235,[3]任务经验掉落配置表!$C$4:$P$200,14,0),0)</f>
        <v/>
      </c>
      <c r="E235">
        <f>IFERROR(VLOOKUP(D235,[3]D_成就任务!$G$8:$K$79,5,0),0)</f>
        <v>0</v>
      </c>
    </row>
    <row r="236" spans="1:5">
      <c r="A236">
        <f>[3]任务经验掉落配置表!$C68</f>
        <v>1067</v>
      </c>
      <c r="B236">
        <f>[3]任务经验掉落配置表!$N68</f>
        <v>56</v>
      </c>
      <c r="C236">
        <f>[3]任务经验掉落配置表!$U68</f>
        <v>6876</v>
      </c>
      <c r="D236">
        <f>IFERROR(VLOOKUP(A236,[3]任务经验掉落配置表!$C$4:$P$200,14,0),0)</f>
        <v>7001</v>
      </c>
      <c r="E236">
        <f>IFERROR(VLOOKUP(D236,[3]D_成就任务!$G$8:$K$79,5,0),0)</f>
        <v>7733</v>
      </c>
    </row>
    <row r="237" spans="1:5">
      <c r="A237">
        <f>[3]任务经验掉落配置表!$C69</f>
        <v>1068</v>
      </c>
      <c r="B237">
        <f>[3]任务经验掉落配置表!$N69</f>
        <v>57</v>
      </c>
      <c r="C237">
        <f>[3]任务经验掉落配置表!$U69</f>
        <v>7070</v>
      </c>
      <c r="D237">
        <f>IFERROR(VLOOKUP(A237,[3]任务经验掉落配置表!$C$4:$P$200,14,0),0)</f>
        <v>7002</v>
      </c>
      <c r="E237">
        <f>IFERROR(VLOOKUP(D237,[3]D_成就任务!$G$8:$K$79,5,0),0)</f>
        <v>7819</v>
      </c>
    </row>
    <row r="238" spans="1:5">
      <c r="A238">
        <f>[3]任务经验掉落配置表!$C70</f>
        <v>1069</v>
      </c>
      <c r="B238">
        <f>[3]任务经验掉落配置表!$N70</f>
        <v>58</v>
      </c>
      <c r="C238">
        <f>[3]任务经验掉落配置表!$U70</f>
        <v>7268</v>
      </c>
      <c r="D238">
        <f>IFERROR(VLOOKUP(A238,[3]任务经验掉落配置表!$C$4:$P$200,14,0),0)</f>
        <v>7003</v>
      </c>
      <c r="E238">
        <f>IFERROR(VLOOKUP(D238,[3]D_成就任务!$G$8:$K$79,5,0),0)</f>
        <v>7905</v>
      </c>
    </row>
    <row r="239" spans="1:5">
      <c r="A239">
        <f>[3]任务经验掉落配置表!$C71</f>
        <v>1070</v>
      </c>
      <c r="B239">
        <f>[3]任务经验掉落配置表!$N71</f>
        <v>59</v>
      </c>
      <c r="C239">
        <f>[3]任务经验掉落配置表!$U71</f>
        <v>7468</v>
      </c>
      <c r="D239">
        <f>IFERROR(VLOOKUP(A239,[3]任务经验掉落配置表!$C$4:$P$200,14,0),0)</f>
        <v>7004</v>
      </c>
      <c r="E239">
        <f>IFERROR(VLOOKUP(D239,[3]D_成就任务!$G$8:$K$79,5,0),0)</f>
        <v>7991</v>
      </c>
    </row>
    <row r="240" spans="1:5">
      <c r="A240">
        <f>[3]任务经验掉落配置表!$C72</f>
        <v>1071</v>
      </c>
      <c r="B240">
        <f>[3]任务经验掉落配置表!$N72</f>
        <v>59</v>
      </c>
      <c r="C240">
        <f>[3]任务经验掉落配置表!$U72</f>
        <v>7670</v>
      </c>
      <c r="D240" t="str">
        <f>IFERROR(VLOOKUP(A240,[3]任务经验掉落配置表!$C$4:$P$200,14,0),0)</f>
        <v/>
      </c>
      <c r="E240">
        <f>IFERROR(VLOOKUP(D240,[3]D_成就任务!$G$8:$K$79,5,0),0)</f>
        <v>0</v>
      </c>
    </row>
    <row r="241" spans="1:5">
      <c r="A241">
        <f>[3]任务经验掉落配置表!$C73</f>
        <v>1072</v>
      </c>
      <c r="B241">
        <f>[3]任务经验掉落配置表!$N73</f>
        <v>60</v>
      </c>
      <c r="C241">
        <f>[3]任务经验掉落配置表!$U73</f>
        <v>7876</v>
      </c>
      <c r="D241">
        <f>IFERROR(VLOOKUP(A241,[3]任务经验掉落配置表!$C$4:$P$200,14,0),0)</f>
        <v>7005</v>
      </c>
      <c r="E241">
        <f>IFERROR(VLOOKUP(D241,[3]D_成就任务!$G$8:$K$79,5,0),0)</f>
        <v>8077</v>
      </c>
    </row>
    <row r="242" spans="1:5">
      <c r="A242">
        <f>[3]任务经验掉落配置表!$C74</f>
        <v>1073</v>
      </c>
      <c r="B242">
        <f>[3]任务经验掉落配置表!$N74</f>
        <v>61</v>
      </c>
      <c r="C242">
        <f>[3]任务经验掉落配置表!$U74</f>
        <v>8084</v>
      </c>
      <c r="D242">
        <f>IFERROR(VLOOKUP(A242,[3]任务经验掉落配置表!$C$4:$P$200,14,0),0)</f>
        <v>7006</v>
      </c>
      <c r="E242">
        <f>IFERROR(VLOOKUP(D242,[3]D_成就任务!$G$8:$K$79,5,0),0)</f>
        <v>8163</v>
      </c>
    </row>
    <row r="243" spans="1:5">
      <c r="A243">
        <f>[3]任务经验掉落配置表!$C75</f>
        <v>1074</v>
      </c>
      <c r="B243">
        <f>[3]任务经验掉落配置表!$N75</f>
        <v>61</v>
      </c>
      <c r="C243">
        <f>[3]任务经验掉落配置表!$U75</f>
        <v>8942</v>
      </c>
      <c r="D243" t="str">
        <f>IFERROR(VLOOKUP(A243,[3]任务经验掉落配置表!$C$4:$P$200,14,0),0)</f>
        <v/>
      </c>
      <c r="E243">
        <f>IFERROR(VLOOKUP(D243,[3]D_成就任务!$G$8:$K$79,5,0),0)</f>
        <v>0</v>
      </c>
    </row>
    <row r="244" spans="1:5">
      <c r="A244">
        <f>[3]任务经验掉落配置表!$C76</f>
        <v>1075</v>
      </c>
      <c r="B244">
        <f>[3]任务经验掉落配置表!$N76</f>
        <v>65</v>
      </c>
      <c r="C244">
        <f>[3]任务经验掉落配置表!$U76</f>
        <v>9164</v>
      </c>
      <c r="D244">
        <f>IFERROR(VLOOKUP(A244,[3]任务经验掉落配置表!$C$4:$P$200,14,0),0)</f>
        <v>8001</v>
      </c>
      <c r="E244">
        <f>IFERROR(VLOOKUP(D244,[3]D_成就任务!$G$8:$K$79,5,0),0)</f>
        <v>8507</v>
      </c>
    </row>
    <row r="245" spans="1:5">
      <c r="A245">
        <f>[3]任务经验掉落配置表!$C77</f>
        <v>1076</v>
      </c>
      <c r="B245">
        <f>[3]任务经验掉落配置表!$N77</f>
        <v>66</v>
      </c>
      <c r="C245">
        <f>[3]任务经验掉落配置表!$U77</f>
        <v>9390</v>
      </c>
      <c r="D245">
        <f>IFERROR(VLOOKUP(A245,[3]任务经验掉落配置表!$C$4:$P$200,14,0),0)</f>
        <v>8002</v>
      </c>
      <c r="E245">
        <f>IFERROR(VLOOKUP(D245,[3]D_成就任务!$G$8:$K$79,5,0),0)</f>
        <v>8593</v>
      </c>
    </row>
    <row r="246" spans="1:5">
      <c r="A246">
        <f>[3]任务经验掉落配置表!$C78</f>
        <v>1077</v>
      </c>
      <c r="B246">
        <f>[3]任务经验掉落配置表!$N78</f>
        <v>70</v>
      </c>
      <c r="C246">
        <f>[3]任务经验掉落配置表!$U78</f>
        <v>10314</v>
      </c>
      <c r="D246">
        <f>IFERROR(VLOOKUP(A246,[3]任务经验掉落配置表!$C$4:$P$200,14,0),0)</f>
        <v>8006</v>
      </c>
      <c r="E246">
        <f>IFERROR(VLOOKUP(D246,[3]D_成就任务!$G$8:$K$79,5,0),0)</f>
        <v>8936</v>
      </c>
    </row>
    <row r="247" spans="1:5">
      <c r="A247">
        <f>[3]任务经验掉落配置表!$C79</f>
        <v>1078</v>
      </c>
      <c r="B247">
        <f>[3]任务经验掉落配置表!$N79</f>
        <v>70</v>
      </c>
      <c r="C247">
        <f>[3]任务经验掉落配置表!$U79</f>
        <v>10552</v>
      </c>
      <c r="D247" t="str">
        <f>IFERROR(VLOOKUP(A247,[3]任务经验掉落配置表!$C$4:$P$200,14,0),0)</f>
        <v/>
      </c>
      <c r="E247">
        <f>IFERROR(VLOOKUP(D247,[3]D_成就任务!$G$8:$K$79,5,0),0)</f>
        <v>0</v>
      </c>
    </row>
    <row r="248" spans="1:5">
      <c r="A248">
        <f>[3]任务经验掉落配置表!$C80</f>
        <v>1079</v>
      </c>
      <c r="B248">
        <f>[3]任务经验掉落配置表!$N80</f>
        <v>71</v>
      </c>
      <c r="C248">
        <f>[3]任务经验掉落配置表!$U80</f>
        <v>10792</v>
      </c>
      <c r="D248">
        <f>IFERROR(VLOOKUP(A248,[3]任务经验掉落配置表!$C$4:$P$200,14,0),0)</f>
        <v>8007</v>
      </c>
      <c r="E248">
        <f>IFERROR(VLOOKUP(D248,[3]D_成就任务!$G$8:$K$79,5,0),0)</f>
        <v>9022</v>
      </c>
    </row>
    <row r="249" spans="1:5">
      <c r="A249">
        <f>[3]任务经验掉落配置表!$C81</f>
        <v>1080</v>
      </c>
      <c r="B249">
        <f>[3]任务经验掉落配置表!$N81</f>
        <v>72</v>
      </c>
      <c r="C249">
        <f>[3]任务经验掉落配置表!$U81</f>
        <v>11036</v>
      </c>
      <c r="D249">
        <f>IFERROR(VLOOKUP(A249,[3]任务经验掉落配置表!$C$4:$P$200,14,0),0)</f>
        <v>8008</v>
      </c>
      <c r="E249">
        <f>IFERROR(VLOOKUP(D249,[3]D_成就任务!$G$8:$K$79,5,0),0)</f>
        <v>9108</v>
      </c>
    </row>
    <row r="250" spans="1:5">
      <c r="A250">
        <f>[3]任务经验掉落配置表!$C82</f>
        <v>1081</v>
      </c>
      <c r="B250">
        <f>[3]任务经验掉落配置表!$N82</f>
        <v>73</v>
      </c>
      <c r="C250">
        <f>[3]任务经验掉落配置表!$U82</f>
        <v>11282</v>
      </c>
      <c r="D250">
        <f>IFERROR(VLOOKUP(A250,[3]任务经验掉落配置表!$C$4:$P$200,14,0),0)</f>
        <v>8009</v>
      </c>
      <c r="E250">
        <f>IFERROR(VLOOKUP(D250,[3]D_成就任务!$G$8:$K$79,5,0),0)</f>
        <v>9194</v>
      </c>
    </row>
    <row r="251" spans="1:5">
      <c r="A251">
        <f>[3]任务经验掉落配置表!$C83</f>
        <v>2201</v>
      </c>
      <c r="B251">
        <f>[3]任务经验掉落配置表!$N83</f>
        <v>13</v>
      </c>
      <c r="C251">
        <f>[3]任务经验掉落配置表!$U83</f>
        <v>804</v>
      </c>
      <c r="D251">
        <f>IFERROR(VLOOKUP(A251,[3]任务经验掉落配置表!$C$4:$P$200,14,0),0)</f>
        <v>1201</v>
      </c>
      <c r="E251">
        <f>IFERROR(VLOOKUP(D251,[3]D_成就任务!$G$8:$K$79,5,0),0)</f>
        <v>0</v>
      </c>
    </row>
    <row r="252" spans="1:5">
      <c r="A252">
        <f>[3]任务经验掉落配置表!$C84</f>
        <v>3001</v>
      </c>
      <c r="B252">
        <f>[3]任务经验掉落配置表!$N84</f>
        <v>2</v>
      </c>
      <c r="C252">
        <f>[3]任务经验掉落配置表!$U84</f>
        <v>324</v>
      </c>
      <c r="D252">
        <f>IFERROR(VLOOKUP(A252,[3]任务经验掉落配置表!$C$4:$P$200,14,0),0)</f>
        <v>1001</v>
      </c>
      <c r="E252">
        <f>IFERROR(VLOOKUP(D252,[3]D_成就任务!$G$8:$K$79,5,0),0)</f>
        <v>3093</v>
      </c>
    </row>
    <row r="253" spans="1:5">
      <c r="A253">
        <f>[3]任务经验掉落配置表!$C85</f>
        <v>3003</v>
      </c>
      <c r="B253">
        <f>[3]任务经验掉落配置表!$N85</f>
        <v>22</v>
      </c>
      <c r="C253">
        <f>[3]任务经验掉落配置表!$U85</f>
        <v>1164</v>
      </c>
      <c r="D253" t="str">
        <f>IFERROR(VLOOKUP(A253,[3]任务经验掉落配置表!$C$4:$P$200,14,0),0)</f>
        <v/>
      </c>
      <c r="E253">
        <f>IFERROR(VLOOKUP(D253,[3]D_成就任务!$G$8:$K$79,5,0),0)</f>
        <v>0</v>
      </c>
    </row>
    <row r="254" spans="1:5">
      <c r="A254">
        <f>[3]任务经验掉落配置表!$C86</f>
        <v>9999</v>
      </c>
      <c r="B254">
        <f>[3]任务经验掉落配置表!$N86</f>
        <v>74</v>
      </c>
      <c r="C254">
        <f>[3]任务经验掉落配置表!$U86</f>
        <v>11532</v>
      </c>
      <c r="D254" t="str">
        <f>IFERROR(VLOOKUP(A254,[3]任务经验掉落配置表!$C$4:$P$200,14,0),0)</f>
        <v/>
      </c>
      <c r="E254">
        <f>IFERROR(VLOOKUP(D254,[3]D_成就任务!$G$8:$K$79,5,0),0)</f>
        <v>0</v>
      </c>
    </row>
    <row r="255" spans="1:5">
      <c r="A255">
        <f>[3]任务经验掉落配置表!$C87</f>
        <v>3004</v>
      </c>
      <c r="B255">
        <f>[3]任务经验掉落配置表!$N87</f>
        <v>13</v>
      </c>
      <c r="C255">
        <f>[3]任务经验掉落配置表!$U87</f>
        <v>480</v>
      </c>
      <c r="D255">
        <f>IFERROR(VLOOKUP(A255,[3]任务经验掉落配置表!$C$4:$P$200,14,0),0)</f>
        <v>0</v>
      </c>
      <c r="E255">
        <f>IFERROR(VLOOKUP(D255,[3]D_成就任务!$G$8:$K$79,5,0),0)</f>
        <v>0</v>
      </c>
    </row>
    <row r="256" spans="1:5">
      <c r="A256">
        <f>[3]任务经验掉落配置表!$C88</f>
        <v>3005</v>
      </c>
      <c r="B256">
        <f>[3]任务经验掉落配置表!$N88</f>
        <v>53</v>
      </c>
      <c r="C256">
        <f>[3]任务经验掉落配置表!$U88</f>
        <v>5944</v>
      </c>
      <c r="D256">
        <f>IFERROR(VLOOKUP(A256,[3]任务经验掉落配置表!$C$4:$P$200,14,0),0)</f>
        <v>6007</v>
      </c>
      <c r="E256">
        <f>IFERROR(VLOOKUP(D256,[3]D_成就任务!$G$8:$K$79,5,0),0)</f>
        <v>7475</v>
      </c>
    </row>
    <row r="257" spans="1:5">
      <c r="A257">
        <f>[3]任务经验掉落配置表!$C89</f>
        <v>3006</v>
      </c>
      <c r="B257">
        <f>[3]任务经验掉落配置表!$N89</f>
        <v>54</v>
      </c>
      <c r="C257">
        <f>[3]任务经验掉落配置表!$U89</f>
        <v>6126</v>
      </c>
      <c r="D257">
        <f>IFERROR(VLOOKUP(A257,[3]任务经验掉落配置表!$C$4:$P$200,14,0),0)</f>
        <v>6008</v>
      </c>
      <c r="E257">
        <f>IFERROR(VLOOKUP(D257,[3]D_成就任务!$G$8:$K$79,5,0),0)</f>
        <v>7561</v>
      </c>
    </row>
    <row r="258" spans="1:5">
      <c r="A258">
        <f>[3]任务经验掉落配置表!$C90</f>
        <v>3007</v>
      </c>
      <c r="B258">
        <f>[3]任务经验掉落配置表!$N90</f>
        <v>55</v>
      </c>
      <c r="C258">
        <f>[3]任务经验掉落配置表!$U90</f>
        <v>6308</v>
      </c>
      <c r="D258">
        <f>IFERROR(VLOOKUP(A258,[3]任务经验掉落配置表!$C$4:$P$200,14,0),0)</f>
        <v>6009</v>
      </c>
      <c r="E258">
        <f>IFERROR(VLOOKUP(D258,[3]D_成就任务!$G$8:$K$79,5,0),0)</f>
        <v>7647</v>
      </c>
    </row>
    <row r="259" spans="1:5">
      <c r="A259">
        <f>[3]任务经验掉落配置表!$C91</f>
        <v>3008</v>
      </c>
      <c r="B259">
        <f>[3]任务经验掉落配置表!$N91</f>
        <v>62</v>
      </c>
      <c r="C259">
        <f>[3]任务经验掉落配置表!$U91</f>
        <v>8294</v>
      </c>
      <c r="D259">
        <f>IFERROR(VLOOKUP(A259,[3]任务经验掉落配置表!$C$4:$P$200,14,0),0)</f>
        <v>7007</v>
      </c>
      <c r="E259">
        <f>IFERROR(VLOOKUP(D259,[3]D_成就任务!$G$8:$K$79,5,0),0)</f>
        <v>8249</v>
      </c>
    </row>
    <row r="260" spans="1:5">
      <c r="A260">
        <f>[3]任务经验掉落配置表!$C92</f>
        <v>3009</v>
      </c>
      <c r="B260">
        <f>[3]任务经验掉落配置表!$N92</f>
        <v>63</v>
      </c>
      <c r="C260">
        <f>[3]任务经验掉落配置表!$U92</f>
        <v>8508</v>
      </c>
      <c r="D260">
        <f>IFERROR(VLOOKUP(A260,[3]任务经验掉落配置表!$C$4:$P$200,14,0),0)</f>
        <v>7008</v>
      </c>
      <c r="E260">
        <f>IFERROR(VLOOKUP(D260,[3]D_成就任务!$G$8:$K$79,5,0),0)</f>
        <v>8335</v>
      </c>
    </row>
    <row r="261" spans="1:5">
      <c r="A261">
        <f>[3]任务经验掉落配置表!$C93</f>
        <v>3010</v>
      </c>
      <c r="B261">
        <f>[3]任务经验掉落配置表!$N93</f>
        <v>64</v>
      </c>
      <c r="C261">
        <f>[3]任务经验掉落配置表!$U93</f>
        <v>8724</v>
      </c>
      <c r="D261">
        <f>IFERROR(VLOOKUP(A261,[3]任务经验掉落配置表!$C$4:$P$200,14,0),0)</f>
        <v>7009</v>
      </c>
      <c r="E261">
        <f>IFERROR(VLOOKUP(D261,[3]D_成就任务!$G$8:$K$79,5,0),0)</f>
        <v>8421</v>
      </c>
    </row>
    <row r="262" spans="1:5">
      <c r="A262">
        <f>[3]任务经验掉落配置表!$C94</f>
        <v>3011</v>
      </c>
      <c r="B262">
        <f>[3]任务经验掉落配置表!$N94</f>
        <v>67</v>
      </c>
      <c r="C262">
        <f>[3]任务经验掉落配置表!$U94</f>
        <v>9616</v>
      </c>
      <c r="D262">
        <f>IFERROR(VLOOKUP(A262,[3]任务经验掉落配置表!$C$4:$P$200,14,0),0)</f>
        <v>8003</v>
      </c>
      <c r="E262">
        <f>IFERROR(VLOOKUP(D262,[3]D_成就任务!$G$8:$K$79,5,0),0)</f>
        <v>8679</v>
      </c>
    </row>
    <row r="263" spans="1:5">
      <c r="A263">
        <f>[3]任务经验掉落配置表!$C95</f>
        <v>3012</v>
      </c>
      <c r="B263">
        <f>[3]任务经验掉落配置表!$N95</f>
        <v>68</v>
      </c>
      <c r="C263">
        <f>[3]任务经验掉落配置表!$U95</f>
        <v>9846</v>
      </c>
      <c r="D263">
        <f>IFERROR(VLOOKUP(A263,[3]任务经验掉落配置表!$C$4:$P$200,14,0),0)</f>
        <v>8004</v>
      </c>
      <c r="E263">
        <f>IFERROR(VLOOKUP(D263,[3]D_成就任务!$G$8:$K$79,5,0),0)</f>
        <v>8764</v>
      </c>
    </row>
    <row r="264" spans="1:5">
      <c r="A264">
        <f>[3]任务经验掉落配置表!$C96</f>
        <v>3013</v>
      </c>
      <c r="B264">
        <f>[3]任务经验掉落配置表!$N96</f>
        <v>69</v>
      </c>
      <c r="C264">
        <f>[3]任务经验掉落配置表!$U96</f>
        <v>10078</v>
      </c>
      <c r="D264">
        <f>IFERROR(VLOOKUP(A264,[3]任务经验掉落配置表!$C$4:$P$200,14,0),0)</f>
        <v>8005</v>
      </c>
      <c r="E264">
        <f>IFERROR(VLOOKUP(D264,[3]D_成就任务!$G$8:$K$79,5,0),0)</f>
        <v>8850</v>
      </c>
    </row>
    <row r="265" spans="1:5">
      <c r="A265">
        <f>[3]任务经验掉落配置表!$C97</f>
        <v>10001</v>
      </c>
      <c r="B265">
        <f>[3]任务经验掉落配置表!$N97</f>
        <v>13</v>
      </c>
      <c r="C265">
        <f>[3]任务经验掉落配置表!$U97</f>
        <v>1100</v>
      </c>
      <c r="D265">
        <f>IFERROR(VLOOKUP(A265,[3]任务经验掉落配置表!$C$4:$P$200,14,0),0)</f>
        <v>1201</v>
      </c>
      <c r="E265">
        <f>IFERROR(VLOOKUP(D265,[3]D_成就任务!$G$8:$K$79,5,0),0)</f>
        <v>0</v>
      </c>
    </row>
    <row r="266" spans="1:5">
      <c r="A266">
        <f>[3]任务经验掉落配置表!$C98</f>
        <v>10002</v>
      </c>
      <c r="B266">
        <f>[3]任务经验掉落配置表!$N98</f>
        <v>14</v>
      </c>
      <c r="C266">
        <f>[3]任务经验掉落配置表!$U98</f>
        <v>1124</v>
      </c>
      <c r="D266">
        <f>IFERROR(VLOOKUP(A266,[3]任务经验掉落配置表!$C$4:$P$200,14,0),0)</f>
        <v>1202</v>
      </c>
      <c r="E266">
        <f>IFERROR(VLOOKUP(D266,[3]D_成就任务!$G$8:$K$79,5,0),0)</f>
        <v>0</v>
      </c>
    </row>
    <row r="267" spans="1:5">
      <c r="A267">
        <f>[3]任务经验掉落配置表!$C99</f>
        <v>10003</v>
      </c>
      <c r="B267">
        <f>[3]任务经验掉落配置表!$N99</f>
        <v>15</v>
      </c>
      <c r="C267">
        <f>[3]任务经验掉落配置表!$U99</f>
        <v>1148</v>
      </c>
      <c r="D267">
        <f>IFERROR(VLOOKUP(A267,[3]任务经验掉落配置表!$C$4:$P$200,14,0),0)</f>
        <v>1203</v>
      </c>
      <c r="E267">
        <f>IFERROR(VLOOKUP(D267,[3]D_成就任务!$G$8:$K$79,5,0),0)</f>
        <v>0</v>
      </c>
    </row>
    <row r="268" spans="1:5">
      <c r="A268">
        <f>[3]任务经验掉落配置表!$C100</f>
        <v>10004</v>
      </c>
      <c r="B268">
        <f>[3]任务经验掉落配置表!$N100</f>
        <v>16</v>
      </c>
      <c r="C268">
        <f>[3]任务经验掉落配置表!$U100</f>
        <v>1172</v>
      </c>
      <c r="D268">
        <f>IFERROR(VLOOKUP(A268,[3]任务经验掉落配置表!$C$4:$P$200,14,0),0)</f>
        <v>1204</v>
      </c>
      <c r="E268">
        <f>IFERROR(VLOOKUP(D268,[3]D_成就任务!$G$8:$K$79,5,0),0)</f>
        <v>0</v>
      </c>
    </row>
    <row r="269" spans="1:5">
      <c r="A269">
        <f>[3]任务经验掉落配置表!$C101</f>
        <v>10005</v>
      </c>
      <c r="B269">
        <f>[3]任务经验掉落配置表!$N101</f>
        <v>17</v>
      </c>
      <c r="C269">
        <f>[3]任务经验掉落配置表!$U101</f>
        <v>1196</v>
      </c>
      <c r="D269">
        <f>IFERROR(VLOOKUP(A269,[3]任务经验掉落配置表!$C$4:$P$200,14,0),0)</f>
        <v>1205</v>
      </c>
      <c r="E269">
        <f>IFERROR(VLOOKUP(D269,[3]D_成就任务!$G$8:$K$79,5,0),0)</f>
        <v>0</v>
      </c>
    </row>
    <row r="270" spans="1:5">
      <c r="A270">
        <f>[3]任务经验掉落配置表!$C102</f>
        <v>10006</v>
      </c>
      <c r="B270">
        <f>[3]任务经验掉落配置表!$N102</f>
        <v>18</v>
      </c>
      <c r="C270">
        <f>[3]任务经验掉落配置表!$U102</f>
        <v>1220</v>
      </c>
      <c r="D270">
        <f>IFERROR(VLOOKUP(A270,[3]任务经验掉落配置表!$C$4:$P$200,14,0),0)</f>
        <v>1206</v>
      </c>
      <c r="E270">
        <f>IFERROR(VLOOKUP(D270,[3]D_成就任务!$G$8:$K$79,5,0),0)</f>
        <v>0</v>
      </c>
    </row>
    <row r="271" spans="1:5">
      <c r="A271">
        <f>[3]任务经验掉落配置表!$C103</f>
        <v>10007</v>
      </c>
      <c r="B271">
        <f>[3]任务经验掉落配置表!$N103</f>
        <v>19</v>
      </c>
      <c r="C271">
        <f>[3]任务经验掉落配置表!$U103</f>
        <v>1244</v>
      </c>
      <c r="D271">
        <f>IFERROR(VLOOKUP(A271,[3]任务经验掉落配置表!$C$4:$P$200,14,0),0)</f>
        <v>1207</v>
      </c>
      <c r="E271">
        <f>IFERROR(VLOOKUP(D271,[3]D_成就任务!$G$8:$K$79,5,0),0)</f>
        <v>0</v>
      </c>
    </row>
    <row r="272" spans="1:5">
      <c r="A272">
        <f>[3]任务经验掉落配置表!$C104</f>
        <v>10008</v>
      </c>
      <c r="B272">
        <f>[3]任务经验掉落配置表!$N104</f>
        <v>20</v>
      </c>
      <c r="C272">
        <f>[3]任务经验掉落配置表!$U104</f>
        <v>1268</v>
      </c>
      <c r="D272">
        <f>IFERROR(VLOOKUP(A272,[3]任务经验掉落配置表!$C$4:$P$200,14,0),0)</f>
        <v>1208</v>
      </c>
      <c r="E272">
        <f>IFERROR(VLOOKUP(D272,[3]D_成就任务!$G$8:$K$79,5,0),0)</f>
        <v>0</v>
      </c>
    </row>
    <row r="273" spans="1:5">
      <c r="A273">
        <f>[3]任务经验掉落配置表!$C105</f>
        <v>10009</v>
      </c>
      <c r="B273">
        <f>[3]任务经验掉落配置表!$N105</f>
        <v>21</v>
      </c>
      <c r="C273">
        <f>[3]任务经验掉落配置表!$U105</f>
        <v>1292</v>
      </c>
      <c r="D273">
        <f>IFERROR(VLOOKUP(A273,[3]任务经验掉落配置表!$C$4:$P$200,14,0),0)</f>
        <v>1209</v>
      </c>
      <c r="E273">
        <f>IFERROR(VLOOKUP(D273,[3]D_成就任务!$G$8:$K$79,5,0),0)</f>
        <v>0</v>
      </c>
    </row>
    <row r="274" spans="1:5">
      <c r="A274">
        <f>[3]任务经验掉落配置表!$C106</f>
        <v>10010</v>
      </c>
      <c r="B274">
        <f>[3]任务经验掉落配置表!$N106</f>
        <v>22</v>
      </c>
      <c r="C274">
        <f>[3]任务经验掉落配置表!$U106</f>
        <v>1316</v>
      </c>
      <c r="D274">
        <f>IFERROR(VLOOKUP(A274,[3]任务经验掉落配置表!$C$4:$P$200,14,0),0)</f>
        <v>2201</v>
      </c>
      <c r="E274">
        <f>IFERROR(VLOOKUP(D274,[3]D_成就任务!$G$8:$K$79,5,0),0)</f>
        <v>0</v>
      </c>
    </row>
    <row r="275" spans="1:5">
      <c r="A275">
        <f>[3]任务经验掉落配置表!$C107</f>
        <v>10011</v>
      </c>
      <c r="B275">
        <f>[3]任务经验掉落配置表!$N107</f>
        <v>23</v>
      </c>
      <c r="C275">
        <f>[3]任务经验掉落配置表!$U107</f>
        <v>1340</v>
      </c>
      <c r="D275">
        <f>IFERROR(VLOOKUP(A275,[3]任务经验掉落配置表!$C$4:$P$200,14,0),0)</f>
        <v>2202</v>
      </c>
      <c r="E275">
        <f>IFERROR(VLOOKUP(D275,[3]D_成就任务!$G$8:$K$79,5,0),0)</f>
        <v>0</v>
      </c>
    </row>
    <row r="276" spans="1:5">
      <c r="A276">
        <f>[3]任务经验掉落配置表!$C108</f>
        <v>10012</v>
      </c>
      <c r="B276">
        <f>[3]任务经验掉落配置表!$N108</f>
        <v>24</v>
      </c>
      <c r="C276">
        <f>[3]任务经验掉落配置表!$U108</f>
        <v>1364</v>
      </c>
      <c r="D276">
        <f>IFERROR(VLOOKUP(A276,[3]任务经验掉落配置表!$C$4:$P$200,14,0),0)</f>
        <v>2203</v>
      </c>
      <c r="E276">
        <f>IFERROR(VLOOKUP(D276,[3]D_成就任务!$G$8:$K$79,5,0),0)</f>
        <v>0</v>
      </c>
    </row>
    <row r="277" spans="1:5">
      <c r="A277">
        <f>[3]任务经验掉落配置表!$C109</f>
        <v>10013</v>
      </c>
      <c r="B277">
        <f>[3]任务经验掉落配置表!$N109</f>
        <v>25</v>
      </c>
      <c r="C277">
        <f>[3]任务经验掉落配置表!$U109</f>
        <v>1388</v>
      </c>
      <c r="D277">
        <f>IFERROR(VLOOKUP(A277,[3]任务经验掉落配置表!$C$4:$P$200,14,0),0)</f>
        <v>2204</v>
      </c>
      <c r="E277">
        <f>IFERROR(VLOOKUP(D277,[3]D_成就任务!$G$8:$K$79,5,0),0)</f>
        <v>0</v>
      </c>
    </row>
    <row r="278" spans="1:5">
      <c r="A278">
        <f>[3]任务经验掉落配置表!$C110</f>
        <v>10014</v>
      </c>
      <c r="B278">
        <f>[3]任务经验掉落配置表!$N110</f>
        <v>26</v>
      </c>
      <c r="C278">
        <f>[3]任务经验掉落配置表!$U110</f>
        <v>1412</v>
      </c>
      <c r="D278">
        <f>IFERROR(VLOOKUP(A278,[3]任务经验掉落配置表!$C$4:$P$200,14,0),0)</f>
        <v>2205</v>
      </c>
      <c r="E278">
        <f>IFERROR(VLOOKUP(D278,[3]D_成就任务!$G$8:$K$79,5,0),0)</f>
        <v>0</v>
      </c>
    </row>
    <row r="279" spans="1:5">
      <c r="A279">
        <f>[3]任务经验掉落配置表!$C111</f>
        <v>10015</v>
      </c>
      <c r="B279">
        <f>[3]任务经验掉落配置表!$N111</f>
        <v>27</v>
      </c>
      <c r="C279">
        <f>[3]任务经验掉落配置表!$U111</f>
        <v>1436</v>
      </c>
      <c r="D279">
        <f>IFERROR(VLOOKUP(A279,[3]任务经验掉落配置表!$C$4:$P$200,14,0),0)</f>
        <v>2206</v>
      </c>
      <c r="E279">
        <f>IFERROR(VLOOKUP(D279,[3]D_成就任务!$G$8:$K$79,5,0),0)</f>
        <v>0</v>
      </c>
    </row>
    <row r="280" spans="1:5">
      <c r="A280">
        <f>[3]任务经验掉落配置表!$C112</f>
        <v>10016</v>
      </c>
      <c r="B280">
        <f>[3]任务经验掉落配置表!$N112</f>
        <v>28</v>
      </c>
      <c r="C280">
        <f>[3]任务经验掉落配置表!$U112</f>
        <v>1460</v>
      </c>
      <c r="D280">
        <f>IFERROR(VLOOKUP(A280,[3]任务经验掉落配置表!$C$4:$P$200,14,0),0)</f>
        <v>2207</v>
      </c>
      <c r="E280">
        <f>IFERROR(VLOOKUP(D280,[3]D_成就任务!$G$8:$K$79,5,0),0)</f>
        <v>0</v>
      </c>
    </row>
    <row r="281" spans="1:5">
      <c r="A281">
        <f>[3]任务经验掉落配置表!$C113</f>
        <v>10017</v>
      </c>
      <c r="B281">
        <f>[3]任务经验掉落配置表!$N113</f>
        <v>29</v>
      </c>
      <c r="C281">
        <f>[3]任务经验掉落配置表!$U113</f>
        <v>1484</v>
      </c>
      <c r="D281">
        <f>IFERROR(VLOOKUP(A281,[3]任务经验掉落配置表!$C$4:$P$200,14,0),0)</f>
        <v>2208</v>
      </c>
      <c r="E281">
        <f>IFERROR(VLOOKUP(D281,[3]D_成就任务!$G$8:$K$79,5,0),0)</f>
        <v>0</v>
      </c>
    </row>
    <row r="282" spans="1:5">
      <c r="A282">
        <f>[3]任务经验掉落配置表!$C114</f>
        <v>10018</v>
      </c>
      <c r="B282">
        <f>[3]任务经验掉落配置表!$N114</f>
        <v>30</v>
      </c>
      <c r="C282">
        <f>[3]任务经验掉落配置表!$U114</f>
        <v>1508</v>
      </c>
      <c r="D282">
        <f>IFERROR(VLOOKUP(A282,[3]任务经验掉落配置表!$C$4:$P$200,14,0),0)</f>
        <v>2209</v>
      </c>
      <c r="E282">
        <f>IFERROR(VLOOKUP(D282,[3]D_成就任务!$G$8:$K$79,5,0),0)</f>
        <v>0</v>
      </c>
    </row>
    <row r="283" spans="1:5">
      <c r="A283">
        <f>[3]任务经验掉落配置表!$C115</f>
        <v>10019</v>
      </c>
      <c r="B283">
        <f>[3]任务经验掉落配置表!$N115</f>
        <v>31</v>
      </c>
      <c r="C283">
        <f>[3]任务经验掉落配置表!$U115</f>
        <v>1532</v>
      </c>
      <c r="D283">
        <f>IFERROR(VLOOKUP(A283,[3]任务经验掉落配置表!$C$4:$P$200,14,0),0)</f>
        <v>3201</v>
      </c>
      <c r="E283">
        <f>IFERROR(VLOOKUP(D283,[3]D_成就任务!$G$8:$K$79,5,0),0)</f>
        <v>0</v>
      </c>
    </row>
    <row r="284" spans="1:5">
      <c r="A284">
        <f>[3]任务经验掉落配置表!$C116</f>
        <v>10020</v>
      </c>
      <c r="B284">
        <f>[3]任务经验掉落配置表!$N116</f>
        <v>32</v>
      </c>
      <c r="C284">
        <f>[3]任务经验掉落配置表!$U116</f>
        <v>1628</v>
      </c>
      <c r="D284">
        <f>IFERROR(VLOOKUP(A284,[3]任务经验掉落配置表!$C$4:$P$200,14,0),0)</f>
        <v>3202</v>
      </c>
      <c r="E284">
        <f>IFERROR(VLOOKUP(D284,[3]D_成就任务!$G$8:$K$79,5,0),0)</f>
        <v>0</v>
      </c>
    </row>
    <row r="285" spans="1:5">
      <c r="A285">
        <f>[3]任务经验掉落配置表!$C117</f>
        <v>10021</v>
      </c>
      <c r="B285">
        <f>[3]任务经验掉落配置表!$N117</f>
        <v>33</v>
      </c>
      <c r="C285">
        <f>[3]任务经验掉落配置表!$U117</f>
        <v>1740</v>
      </c>
      <c r="D285">
        <f>IFERROR(VLOOKUP(A285,[3]任务经验掉落配置表!$C$4:$P$200,14,0),0)</f>
        <v>3203</v>
      </c>
      <c r="E285">
        <f>IFERROR(VLOOKUP(D285,[3]D_成就任务!$G$8:$K$79,5,0),0)</f>
        <v>0</v>
      </c>
    </row>
    <row r="286" spans="1:5">
      <c r="A286">
        <f>[3]任务经验掉落配置表!$C118</f>
        <v>10022</v>
      </c>
      <c r="B286">
        <f>[3]任务经验掉落配置表!$N118</f>
        <v>34</v>
      </c>
      <c r="C286">
        <f>[3]任务经验掉落配置表!$U118</f>
        <v>1856</v>
      </c>
      <c r="D286">
        <f>IFERROR(VLOOKUP(A286,[3]任务经验掉落配置表!$C$4:$P$200,14,0),0)</f>
        <v>3204</v>
      </c>
      <c r="E286">
        <f>IFERROR(VLOOKUP(D286,[3]D_成就任务!$G$8:$K$79,5,0),0)</f>
        <v>0</v>
      </c>
    </row>
    <row r="287" spans="1:5">
      <c r="A287">
        <f>[3]任务经验掉落配置表!$C119</f>
        <v>10023</v>
      </c>
      <c r="B287">
        <f>[3]任务经验掉落配置表!$N119</f>
        <v>35</v>
      </c>
      <c r="C287">
        <f>[3]任务经验掉落配置表!$U119</f>
        <v>1980</v>
      </c>
      <c r="D287">
        <f>IFERROR(VLOOKUP(A287,[3]任务经验掉落配置表!$C$4:$P$200,14,0),0)</f>
        <v>3205</v>
      </c>
      <c r="E287">
        <f>IFERROR(VLOOKUP(D287,[3]D_成就任务!$G$8:$K$79,5,0),0)</f>
        <v>0</v>
      </c>
    </row>
    <row r="288" spans="1:5">
      <c r="A288">
        <f>[3]任务经验掉落配置表!$C120</f>
        <v>10024</v>
      </c>
      <c r="B288">
        <f>[3]任务经验掉落配置表!$N120</f>
        <v>36</v>
      </c>
      <c r="C288">
        <f>[3]任务经验掉落配置表!$U120</f>
        <v>2108</v>
      </c>
      <c r="D288">
        <f>IFERROR(VLOOKUP(A288,[3]任务经验掉落配置表!$C$4:$P$200,14,0),0)</f>
        <v>3206</v>
      </c>
      <c r="E288">
        <f>IFERROR(VLOOKUP(D288,[3]D_成就任务!$G$8:$K$79,5,0),0)</f>
        <v>0</v>
      </c>
    </row>
    <row r="289" spans="1:5">
      <c r="A289">
        <f>[3]任务经验掉落配置表!$C121</f>
        <v>10025</v>
      </c>
      <c r="B289">
        <f>[3]任务经验掉落配置表!$N121</f>
        <v>37</v>
      </c>
      <c r="C289">
        <f>[3]任务经验掉落配置表!$U121</f>
        <v>2240</v>
      </c>
      <c r="D289">
        <f>IFERROR(VLOOKUP(A289,[3]任务经验掉落配置表!$C$4:$P$200,14,0),0)</f>
        <v>3207</v>
      </c>
      <c r="E289">
        <f>IFERROR(VLOOKUP(D289,[3]D_成就任务!$G$8:$K$79,5,0),0)</f>
        <v>0</v>
      </c>
    </row>
    <row r="290" spans="1:5">
      <c r="A290">
        <f>[3]任务经验掉落配置表!$C122</f>
        <v>10026</v>
      </c>
      <c r="B290">
        <f>[3]任务经验掉落配置表!$N122</f>
        <v>38</v>
      </c>
      <c r="C290">
        <f>[3]任务经验掉落配置表!$U122</f>
        <v>2380</v>
      </c>
      <c r="D290">
        <f>IFERROR(VLOOKUP(A290,[3]任务经验掉落配置表!$C$4:$P$200,14,0),0)</f>
        <v>3208</v>
      </c>
      <c r="E290">
        <f>IFERROR(VLOOKUP(D290,[3]D_成就任务!$G$8:$K$79,5,0),0)</f>
        <v>0</v>
      </c>
    </row>
    <row r="291" spans="1:5">
      <c r="A291">
        <f>[3]任务经验掉落配置表!$C123</f>
        <v>10027</v>
      </c>
      <c r="B291">
        <f>[3]任务经验掉落配置表!$N123</f>
        <v>39</v>
      </c>
      <c r="C291">
        <f>[3]任务经验掉落配置表!$U123</f>
        <v>2524</v>
      </c>
      <c r="D291">
        <f>IFERROR(VLOOKUP(A291,[3]任务经验掉落配置表!$C$4:$P$200,14,0),0)</f>
        <v>3209</v>
      </c>
      <c r="E291">
        <f>IFERROR(VLOOKUP(D291,[3]D_成就任务!$G$8:$K$79,5,0),0)</f>
        <v>0</v>
      </c>
    </row>
    <row r="292" spans="1:5">
      <c r="A292">
        <f>[3]任务经验掉落配置表!$C124</f>
        <v>10028</v>
      </c>
      <c r="B292">
        <f>[3]任务经验掉落配置表!$N124</f>
        <v>40</v>
      </c>
      <c r="C292">
        <f>[3]任务经验掉落配置表!$U124</f>
        <v>2672</v>
      </c>
      <c r="D292">
        <f>IFERROR(VLOOKUP(A292,[3]任务经验掉落配置表!$C$4:$P$200,14,0),0)</f>
        <v>4201</v>
      </c>
      <c r="E292">
        <f>IFERROR(VLOOKUP(D292,[3]D_成就任务!$G$8:$K$79,5,0),0)</f>
        <v>0</v>
      </c>
    </row>
    <row r="293" spans="1:5">
      <c r="A293">
        <f>[3]任务经验掉落配置表!$C125</f>
        <v>10029</v>
      </c>
      <c r="B293">
        <f>[3]任务经验掉落配置表!$N125</f>
        <v>41</v>
      </c>
      <c r="C293">
        <f>[3]任务经验掉落配置表!$U125</f>
        <v>2828</v>
      </c>
      <c r="D293">
        <f>IFERROR(VLOOKUP(A293,[3]任务经验掉落配置表!$C$4:$P$200,14,0),0)</f>
        <v>4202</v>
      </c>
      <c r="E293">
        <f>IFERROR(VLOOKUP(D293,[3]D_成就任务!$G$8:$K$79,5,0),0)</f>
        <v>0</v>
      </c>
    </row>
    <row r="294" spans="1:5">
      <c r="A294">
        <f>[3]任务经验掉落配置表!$C126</f>
        <v>10030</v>
      </c>
      <c r="B294">
        <f>[3]任务经验掉落配置表!$N126</f>
        <v>42</v>
      </c>
      <c r="C294">
        <f>[3]任务经验掉落配置表!$U126</f>
        <v>2988</v>
      </c>
      <c r="D294">
        <f>IFERROR(VLOOKUP(A294,[3]任务经验掉落配置表!$C$4:$P$200,14,0),0)</f>
        <v>4203</v>
      </c>
      <c r="E294">
        <f>IFERROR(VLOOKUP(D294,[3]D_成就任务!$G$8:$K$79,5,0),0)</f>
        <v>0</v>
      </c>
    </row>
    <row r="295" spans="1:5">
      <c r="A295">
        <f>[3]任务经验掉落配置表!$C127</f>
        <v>10031</v>
      </c>
      <c r="B295">
        <f>[3]任务经验掉落配置表!$N127</f>
        <v>43</v>
      </c>
      <c r="C295">
        <f>[3]任务经验掉落配置表!$U127</f>
        <v>3152</v>
      </c>
      <c r="D295">
        <f>IFERROR(VLOOKUP(A295,[3]任务经验掉落配置表!$C$4:$P$200,14,0),0)</f>
        <v>4204</v>
      </c>
      <c r="E295">
        <f>IFERROR(VLOOKUP(D295,[3]D_成就任务!$G$8:$K$79,5,0),0)</f>
        <v>0</v>
      </c>
    </row>
    <row r="296" spans="1:5">
      <c r="A296">
        <f>[3]任务经验掉落配置表!$C128</f>
        <v>10032</v>
      </c>
      <c r="B296">
        <f>[3]任务经验掉落配置表!$N128</f>
        <v>44</v>
      </c>
      <c r="C296">
        <f>[3]任务经验掉落配置表!$U128</f>
        <v>3324</v>
      </c>
      <c r="D296">
        <f>IFERROR(VLOOKUP(A296,[3]任务经验掉落配置表!$C$4:$P$200,14,0),0)</f>
        <v>4205</v>
      </c>
      <c r="E296">
        <f>IFERROR(VLOOKUP(D296,[3]D_成就任务!$G$8:$K$79,5,0),0)</f>
        <v>0</v>
      </c>
    </row>
    <row r="297" spans="1:5">
      <c r="A297">
        <f>[3]任务经验掉落配置表!$C129</f>
        <v>10033</v>
      </c>
      <c r="B297">
        <f>[3]任务经验掉落配置表!$N129</f>
        <v>45</v>
      </c>
      <c r="C297">
        <f>[3]任务经验掉落配置表!$U129</f>
        <v>3504</v>
      </c>
      <c r="D297">
        <f>IFERROR(VLOOKUP(A297,[3]任务经验掉落配置表!$C$4:$P$200,14,0),0)</f>
        <v>4206</v>
      </c>
      <c r="E297">
        <f>IFERROR(VLOOKUP(D297,[3]D_成就任务!$G$8:$K$79,5,0),0)</f>
        <v>0</v>
      </c>
    </row>
    <row r="298" spans="1:5">
      <c r="A298">
        <f>[3]任务经验掉落配置表!$C130</f>
        <v>10034</v>
      </c>
      <c r="B298">
        <f>[3]任务经验掉落配置表!$N130</f>
        <v>46</v>
      </c>
      <c r="C298">
        <f>[3]任务经验掉落配置表!$U130</f>
        <v>3684</v>
      </c>
      <c r="D298">
        <f>IFERROR(VLOOKUP(A298,[3]任务经验掉落配置表!$C$4:$P$200,14,0),0)</f>
        <v>4207</v>
      </c>
      <c r="E298">
        <f>IFERROR(VLOOKUP(D298,[3]D_成就任务!$G$8:$K$79,5,0),0)</f>
        <v>0</v>
      </c>
    </row>
    <row r="299" spans="1:5">
      <c r="A299">
        <f>[3]任务经验掉落配置表!$C131</f>
        <v>10035</v>
      </c>
      <c r="B299">
        <f>[3]任务经验掉落配置表!$N131</f>
        <v>47</v>
      </c>
      <c r="C299">
        <f>[3]任务经验掉落配置表!$U131</f>
        <v>3872</v>
      </c>
      <c r="D299">
        <f>IFERROR(VLOOKUP(A299,[3]任务经验掉落配置表!$C$4:$P$200,14,0),0)</f>
        <v>4208</v>
      </c>
      <c r="E299">
        <f>IFERROR(VLOOKUP(D299,[3]D_成就任务!$G$8:$K$79,5,0),0)</f>
        <v>0</v>
      </c>
    </row>
    <row r="300" spans="1:5">
      <c r="A300">
        <f>[3]任务经验掉落配置表!$C132</f>
        <v>10036</v>
      </c>
      <c r="B300">
        <f>[3]任务经验掉落配置表!$N132</f>
        <v>48</v>
      </c>
      <c r="C300">
        <f>[3]任务经验掉落配置表!$U132</f>
        <v>4064</v>
      </c>
      <c r="D300">
        <f>IFERROR(VLOOKUP(A300,[3]任务经验掉落配置表!$C$4:$P$200,14,0),0)</f>
        <v>4209</v>
      </c>
      <c r="E300">
        <f>IFERROR(VLOOKUP(D300,[3]D_成就任务!$G$8:$K$79,5,0),0)</f>
        <v>0</v>
      </c>
    </row>
    <row r="301" spans="1:5">
      <c r="A301">
        <f>[3]任务经验掉落配置表!$C133</f>
        <v>10037</v>
      </c>
      <c r="B301">
        <f>[3]任务经验掉落配置表!$N133</f>
        <v>49</v>
      </c>
      <c r="C301">
        <f>[3]任务经验掉落配置表!$U133</f>
        <v>4264</v>
      </c>
      <c r="D301">
        <f>IFERROR(VLOOKUP(A301,[3]任务经验掉落配置表!$C$4:$P$200,14,0),0)</f>
        <v>5201</v>
      </c>
      <c r="E301">
        <f>IFERROR(VLOOKUP(D301,[3]D_成就任务!$G$8:$K$79,5,0),0)</f>
        <v>0</v>
      </c>
    </row>
    <row r="302" spans="1:5">
      <c r="A302">
        <f>[3]任务经验掉落配置表!$C134</f>
        <v>10038</v>
      </c>
      <c r="B302">
        <f>[3]任务经验掉落配置表!$N134</f>
        <v>50</v>
      </c>
      <c r="C302">
        <f>[3]任务经验掉落配置表!$U134</f>
        <v>4468</v>
      </c>
      <c r="D302">
        <f>IFERROR(VLOOKUP(A302,[3]任务经验掉落配置表!$C$4:$P$200,14,0),0)</f>
        <v>5202</v>
      </c>
      <c r="E302">
        <f>IFERROR(VLOOKUP(D302,[3]D_成就任务!$G$8:$K$79,5,0),0)</f>
        <v>0</v>
      </c>
    </row>
    <row r="303" spans="1:5">
      <c r="A303">
        <f>[3]任务经验掉落配置表!$C135</f>
        <v>10039</v>
      </c>
      <c r="B303">
        <f>[3]任务经验掉落配置表!$N135</f>
        <v>51</v>
      </c>
      <c r="C303">
        <f>[3]任务经验掉落配置表!$U135</f>
        <v>4676</v>
      </c>
      <c r="D303">
        <f>IFERROR(VLOOKUP(A303,[3]任务经验掉落配置表!$C$4:$P$200,14,0),0)</f>
        <v>5203</v>
      </c>
      <c r="E303">
        <f>IFERROR(VLOOKUP(D303,[3]D_成就任务!$G$8:$K$79,5,0),0)</f>
        <v>0</v>
      </c>
    </row>
    <row r="304" spans="1:5">
      <c r="A304">
        <f>[3]任务经验掉落配置表!$C136</f>
        <v>10040</v>
      </c>
      <c r="B304">
        <f>[3]任务经验掉落配置表!$N136</f>
        <v>52</v>
      </c>
      <c r="C304">
        <f>[3]任务经验掉落配置表!$U136</f>
        <v>4892</v>
      </c>
      <c r="D304">
        <f>IFERROR(VLOOKUP(A304,[3]任务经验掉落配置表!$C$4:$P$200,14,0),0)</f>
        <v>5204</v>
      </c>
      <c r="E304">
        <f>IFERROR(VLOOKUP(D304,[3]D_成就任务!$G$8:$K$79,5,0),0)</f>
        <v>0</v>
      </c>
    </row>
    <row r="305" spans="1:5">
      <c r="A305">
        <f>[3]任务经验掉落配置表!$C137</f>
        <v>10041</v>
      </c>
      <c r="B305">
        <f>[3]任务经验掉落配置表!$N137</f>
        <v>53</v>
      </c>
      <c r="C305">
        <f>[3]任务经验掉落配置表!$U137</f>
        <v>5112</v>
      </c>
      <c r="D305">
        <f>IFERROR(VLOOKUP(A305,[3]任务经验掉落配置表!$C$4:$P$200,14,0),0)</f>
        <v>5205</v>
      </c>
      <c r="E305">
        <f>IFERROR(VLOOKUP(D305,[3]D_成就任务!$G$8:$K$79,5,0),0)</f>
        <v>0</v>
      </c>
    </row>
    <row r="306" spans="1:5">
      <c r="A306">
        <f>[3]任务经验掉落配置表!$C138</f>
        <v>10042</v>
      </c>
      <c r="B306">
        <f>[3]任务经验掉落配置表!$N138</f>
        <v>54</v>
      </c>
      <c r="C306">
        <f>[3]任务经验掉落配置表!$U138</f>
        <v>5340</v>
      </c>
      <c r="D306">
        <f>IFERROR(VLOOKUP(A306,[3]任务经验掉落配置表!$C$4:$P$200,14,0),0)</f>
        <v>5206</v>
      </c>
      <c r="E306">
        <f>IFERROR(VLOOKUP(D306,[3]D_成就任务!$G$8:$K$79,5,0),0)</f>
        <v>0</v>
      </c>
    </row>
    <row r="307" spans="1:5">
      <c r="A307">
        <f>[3]任务经验掉落配置表!$C139</f>
        <v>10043</v>
      </c>
      <c r="B307">
        <f>[3]任务经验掉落配置表!$N139</f>
        <v>55</v>
      </c>
      <c r="C307">
        <f>[3]任务经验掉落配置表!$U139</f>
        <v>5568</v>
      </c>
      <c r="D307">
        <f>IFERROR(VLOOKUP(A307,[3]任务经验掉落配置表!$C$4:$P$200,14,0),0)</f>
        <v>5207</v>
      </c>
      <c r="E307">
        <f>IFERROR(VLOOKUP(D307,[3]D_成就任务!$G$8:$K$79,5,0),0)</f>
        <v>0</v>
      </c>
    </row>
    <row r="308" spans="1:5">
      <c r="A308">
        <f>[3]任务经验掉落配置表!$C140</f>
        <v>10044</v>
      </c>
      <c r="B308">
        <f>[3]任务经验掉落配置表!$N140</f>
        <v>56</v>
      </c>
      <c r="C308">
        <f>[3]任务经验掉落配置表!$U140</f>
        <v>5804</v>
      </c>
      <c r="D308">
        <f>IFERROR(VLOOKUP(A308,[3]任务经验掉落配置表!$C$4:$P$200,14,0),0)</f>
        <v>5208</v>
      </c>
      <c r="E308">
        <f>IFERROR(VLOOKUP(D308,[3]D_成就任务!$G$8:$K$79,5,0),0)</f>
        <v>0</v>
      </c>
    </row>
    <row r="309" spans="1:5">
      <c r="A309">
        <f>[3]任务经验掉落配置表!$C141</f>
        <v>10045</v>
      </c>
      <c r="B309">
        <f>[3]任务经验掉落配置表!$N141</f>
        <v>57</v>
      </c>
      <c r="C309">
        <f>[3]任务经验掉落配置表!$U141</f>
        <v>6048</v>
      </c>
      <c r="D309">
        <f>IFERROR(VLOOKUP(A309,[3]任务经验掉落配置表!$C$4:$P$200,14,0),0)</f>
        <v>5209</v>
      </c>
      <c r="E309">
        <f>IFERROR(VLOOKUP(D309,[3]D_成就任务!$G$8:$K$79,5,0),0)</f>
        <v>0</v>
      </c>
    </row>
    <row r="310" spans="1:5">
      <c r="A310">
        <f>[3]任务经验掉落配置表!$C142</f>
        <v>10046</v>
      </c>
      <c r="B310">
        <f>[3]任务经验掉落配置表!$N142</f>
        <v>58</v>
      </c>
      <c r="C310">
        <f>[3]任务经验掉落配置表!$U142</f>
        <v>6296</v>
      </c>
      <c r="D310">
        <f>IFERROR(VLOOKUP(A310,[3]任务经验掉落配置表!$C$4:$P$200,14,0),0)</f>
        <v>6201</v>
      </c>
      <c r="E310">
        <f>IFERROR(VLOOKUP(D310,[3]D_成就任务!$G$8:$K$79,5,0),0)</f>
        <v>0</v>
      </c>
    </row>
    <row r="311" spans="1:5">
      <c r="A311">
        <f>[3]任务经验掉落配置表!$C143</f>
        <v>10047</v>
      </c>
      <c r="B311">
        <f>[3]任务经验掉落配置表!$N143</f>
        <v>59</v>
      </c>
      <c r="C311">
        <f>[3]任务经验掉落配置表!$U143</f>
        <v>6548</v>
      </c>
      <c r="D311">
        <f>IFERROR(VLOOKUP(A311,[3]任务经验掉落配置表!$C$4:$P$200,14,0),0)</f>
        <v>6202</v>
      </c>
      <c r="E311">
        <f>IFERROR(VLOOKUP(D311,[3]D_成就任务!$G$8:$K$79,5,0),0)</f>
        <v>0</v>
      </c>
    </row>
    <row r="312" spans="1:5">
      <c r="A312">
        <f>[3]任务经验掉落配置表!$C144</f>
        <v>10048</v>
      </c>
      <c r="B312">
        <f>[3]任务经验掉落配置表!$N144</f>
        <v>60</v>
      </c>
      <c r="C312">
        <f>[3]任务经验掉落配置表!$U144</f>
        <v>6808</v>
      </c>
      <c r="D312">
        <f>IFERROR(VLOOKUP(A312,[3]任务经验掉落配置表!$C$4:$P$200,14,0),0)</f>
        <v>6203</v>
      </c>
      <c r="E312">
        <f>IFERROR(VLOOKUP(D312,[3]D_成就任务!$G$8:$K$79,5,0),0)</f>
        <v>0</v>
      </c>
    </row>
    <row r="313" spans="1:5">
      <c r="A313">
        <f>[3]任务经验掉落配置表!$C145</f>
        <v>10049</v>
      </c>
      <c r="B313">
        <f>[3]任务经验掉落配置表!$N145</f>
        <v>61</v>
      </c>
      <c r="C313">
        <f>[3]任务经验掉落配置表!$U145</f>
        <v>7072</v>
      </c>
      <c r="D313">
        <f>IFERROR(VLOOKUP(A313,[3]任务经验掉落配置表!$C$4:$P$200,14,0),0)</f>
        <v>6204</v>
      </c>
      <c r="E313">
        <f>IFERROR(VLOOKUP(D313,[3]D_成就任务!$G$8:$K$79,5,0),0)</f>
        <v>0</v>
      </c>
    </row>
    <row r="314" spans="1:5">
      <c r="A314">
        <f>[3]任务经验掉落配置表!$C146</f>
        <v>10050</v>
      </c>
      <c r="B314">
        <f>[3]任务经验掉落配置表!$N146</f>
        <v>62</v>
      </c>
      <c r="C314">
        <f>[3]任务经验掉落配置表!$U146</f>
        <v>7340</v>
      </c>
      <c r="D314">
        <f>IFERROR(VLOOKUP(A314,[3]任务经验掉落配置表!$C$4:$P$200,14,0),0)</f>
        <v>6205</v>
      </c>
      <c r="E314">
        <f>IFERROR(VLOOKUP(D314,[3]D_成就任务!$G$8:$K$79,5,0),0)</f>
        <v>0</v>
      </c>
    </row>
    <row r="315" spans="1:5">
      <c r="A315">
        <f>[3]任务经验掉落配置表!$C147</f>
        <v>10051</v>
      </c>
      <c r="B315">
        <f>[3]任务经验掉落配置表!$N147</f>
        <v>63</v>
      </c>
      <c r="C315">
        <f>[3]任务经验掉落配置表!$U147</f>
        <v>7616</v>
      </c>
      <c r="D315">
        <f>IFERROR(VLOOKUP(A315,[3]任务经验掉落配置表!$C$4:$P$200,14,0),0)</f>
        <v>6206</v>
      </c>
      <c r="E315">
        <f>IFERROR(VLOOKUP(D315,[3]D_成就任务!$G$8:$K$79,5,0),0)</f>
        <v>0</v>
      </c>
    </row>
    <row r="316" spans="1:5">
      <c r="A316">
        <f>[3]任务经验掉落配置表!$C148</f>
        <v>10052</v>
      </c>
      <c r="B316">
        <f>[3]任务经验掉落配置表!$N148</f>
        <v>64</v>
      </c>
      <c r="C316">
        <f>[3]任务经验掉落配置表!$U148</f>
        <v>7896</v>
      </c>
      <c r="D316">
        <f>IFERROR(VLOOKUP(A316,[3]任务经验掉落配置表!$C$4:$P$200,14,0),0)</f>
        <v>6207</v>
      </c>
      <c r="E316">
        <f>IFERROR(VLOOKUP(D316,[3]D_成就任务!$G$8:$K$79,5,0),0)</f>
        <v>0</v>
      </c>
    </row>
    <row r="317" spans="1:5">
      <c r="A317">
        <f>[3]任务经验掉落配置表!$C149</f>
        <v>10053</v>
      </c>
      <c r="B317">
        <f>[3]任务经验掉落配置表!$N149</f>
        <v>65</v>
      </c>
      <c r="C317">
        <f>[3]任务经验掉落配置表!$U149</f>
        <v>8180</v>
      </c>
      <c r="D317">
        <f>IFERROR(VLOOKUP(A317,[3]任务经验掉落配置表!$C$4:$P$200,14,0),0)</f>
        <v>6208</v>
      </c>
      <c r="E317">
        <f>IFERROR(VLOOKUP(D317,[3]D_成就任务!$G$8:$K$79,5,0),0)</f>
        <v>0</v>
      </c>
    </row>
    <row r="318" spans="1:5">
      <c r="A318">
        <f>[3]任务经验掉落配置表!$C150</f>
        <v>10054</v>
      </c>
      <c r="B318">
        <f>[3]任务经验掉落配置表!$N150</f>
        <v>66</v>
      </c>
      <c r="C318">
        <f>[3]任务经验掉落配置表!$U150</f>
        <v>8472</v>
      </c>
      <c r="D318">
        <f>IFERROR(VLOOKUP(A318,[3]任务经验掉落配置表!$C$4:$P$200,14,0),0)</f>
        <v>6209</v>
      </c>
      <c r="E318">
        <f>IFERROR(VLOOKUP(D318,[3]D_成就任务!$G$8:$K$79,5,0),0)</f>
        <v>0</v>
      </c>
    </row>
    <row r="319" spans="1:5">
      <c r="A319">
        <f>[3]任务经验掉落配置表!$C151</f>
        <v>10055</v>
      </c>
      <c r="B319">
        <f>[3]任务经验掉落配置表!$N151</f>
        <v>67</v>
      </c>
      <c r="C319">
        <f>[3]任务经验掉落配置表!$U151</f>
        <v>8768</v>
      </c>
      <c r="D319">
        <f>IFERROR(VLOOKUP(A319,[3]任务经验掉落配置表!$C$4:$P$200,14,0),0)</f>
        <v>7201</v>
      </c>
      <c r="E319">
        <f>IFERROR(VLOOKUP(D319,[3]D_成就任务!$G$8:$K$79,5,0),0)</f>
        <v>0</v>
      </c>
    </row>
    <row r="320" spans="1:5">
      <c r="A320">
        <f>[3]任务经验掉落配置表!$C152</f>
        <v>10056</v>
      </c>
      <c r="B320">
        <f>[3]任务经验掉落配置表!$N152</f>
        <v>68</v>
      </c>
      <c r="C320">
        <f>[3]任务经验掉落配置表!$U152</f>
        <v>9068</v>
      </c>
      <c r="D320">
        <f>IFERROR(VLOOKUP(A320,[3]任务经验掉落配置表!$C$4:$P$200,14,0),0)</f>
        <v>7202</v>
      </c>
      <c r="E320">
        <f>IFERROR(VLOOKUP(D320,[3]D_成就任务!$G$8:$K$79,5,0),0)</f>
        <v>0</v>
      </c>
    </row>
    <row r="321" spans="1:5">
      <c r="A321">
        <f>[3]任务经验掉落配置表!$C153</f>
        <v>10057</v>
      </c>
      <c r="B321">
        <f>[3]任务经验掉落配置表!$N153</f>
        <v>69</v>
      </c>
      <c r="C321">
        <f>[3]任务经验掉落配置表!$U153</f>
        <v>9376</v>
      </c>
      <c r="D321">
        <f>IFERROR(VLOOKUP(A321,[3]任务经验掉落配置表!$C$4:$P$200,14,0),0)</f>
        <v>7203</v>
      </c>
      <c r="E321">
        <f>IFERROR(VLOOKUP(D321,[3]D_成就任务!$G$8:$K$79,5,0),0)</f>
        <v>0</v>
      </c>
    </row>
    <row r="322" spans="1:5">
      <c r="A322">
        <f>[3]任务经验掉落配置表!$C154</f>
        <v>10058</v>
      </c>
      <c r="B322">
        <f>[3]任务经验掉落配置表!$N154</f>
        <v>70</v>
      </c>
      <c r="C322">
        <f>[3]任务经验掉落配置表!$U154</f>
        <v>9692</v>
      </c>
      <c r="D322">
        <f>IFERROR(VLOOKUP(A322,[3]任务经验掉落配置表!$C$4:$P$200,14,0),0)</f>
        <v>7204</v>
      </c>
      <c r="E322">
        <f>IFERROR(VLOOKUP(D322,[3]D_成就任务!$G$8:$K$79,5,0),0)</f>
        <v>0</v>
      </c>
    </row>
    <row r="323" spans="1:5">
      <c r="A323">
        <f>[3]任务经验掉落配置表!$C155</f>
        <v>10059</v>
      </c>
      <c r="B323">
        <f>[3]任务经验掉落配置表!$N155</f>
        <v>71</v>
      </c>
      <c r="C323">
        <f>[3]任务经验掉落配置表!$U155</f>
        <v>10008</v>
      </c>
      <c r="D323">
        <f>IFERROR(VLOOKUP(A323,[3]任务经验掉落配置表!$C$4:$P$200,14,0),0)</f>
        <v>7205</v>
      </c>
      <c r="E323">
        <f>IFERROR(VLOOKUP(D323,[3]D_成就任务!$G$8:$K$79,5,0),0)</f>
        <v>0</v>
      </c>
    </row>
    <row r="324" spans="1:5">
      <c r="A324">
        <f>[3]任务经验掉落配置表!$C156</f>
        <v>10060</v>
      </c>
      <c r="B324">
        <f>[3]任务经验掉落配置表!$N156</f>
        <v>72</v>
      </c>
      <c r="C324">
        <f>[3]任务经验掉落配置表!$U156</f>
        <v>10332</v>
      </c>
      <c r="D324">
        <f>IFERROR(VLOOKUP(A324,[3]任务经验掉落配置表!$C$4:$P$200,14,0),0)</f>
        <v>7206</v>
      </c>
      <c r="E324">
        <f>IFERROR(VLOOKUP(D324,[3]D_成就任务!$G$8:$K$79,5,0),0)</f>
        <v>0</v>
      </c>
    </row>
    <row r="325" spans="1:5">
      <c r="A325">
        <f>[3]任务经验掉落配置表!$C157</f>
        <v>10061</v>
      </c>
      <c r="B325">
        <f>[3]任务经验掉落配置表!$N157</f>
        <v>73</v>
      </c>
      <c r="C325">
        <f>[3]任务经验掉落配置表!$U157</f>
        <v>10660</v>
      </c>
      <c r="D325">
        <f>IFERROR(VLOOKUP(A325,[3]任务经验掉落配置表!$C$4:$P$200,14,0),0)</f>
        <v>7207</v>
      </c>
      <c r="E325">
        <f>IFERROR(VLOOKUP(D325,[3]D_成就任务!$G$8:$K$79,5,0),0)</f>
        <v>0</v>
      </c>
    </row>
    <row r="326" spans="1:5">
      <c r="A326">
        <f>[3]任务经验掉落配置表!$C158</f>
        <v>10062</v>
      </c>
      <c r="B326">
        <f>[3]任务经验掉落配置表!$N158</f>
        <v>74</v>
      </c>
      <c r="C326">
        <f>[3]任务经验掉落配置表!$U158</f>
        <v>10996</v>
      </c>
      <c r="D326">
        <f>IFERROR(VLOOKUP(A326,[3]任务经验掉落配置表!$C$4:$P$200,14,0),0)</f>
        <v>7208</v>
      </c>
      <c r="E326">
        <f>IFERROR(VLOOKUP(D326,[3]D_成就任务!$G$8:$K$79,5,0),0)</f>
        <v>0</v>
      </c>
    </row>
    <row r="327" spans="1:5">
      <c r="A327">
        <f>[3]任务经验掉落配置表!$C159</f>
        <v>10063</v>
      </c>
      <c r="B327">
        <f>[3]任务经验掉落配置表!$N159</f>
        <v>75</v>
      </c>
      <c r="C327">
        <f>[3]任务经验掉落配置表!$U159</f>
        <v>11336</v>
      </c>
      <c r="D327">
        <f>IFERROR(VLOOKUP(A327,[3]任务经验掉落配置表!$C$4:$P$200,14,0),0)</f>
        <v>7209</v>
      </c>
      <c r="E327">
        <f>IFERROR(VLOOKUP(D327,[3]D_成就任务!$G$8:$K$79,5,0),0)</f>
        <v>0</v>
      </c>
    </row>
    <row r="328" spans="1:5">
      <c r="A328">
        <f>[3]任务经验掉落配置表!$C160</f>
        <v>10064</v>
      </c>
      <c r="B328">
        <f>[3]任务经验掉落配置表!$N160</f>
        <v>76</v>
      </c>
      <c r="C328">
        <f>[3]任务经验掉落配置表!$U160</f>
        <v>11680</v>
      </c>
      <c r="D328">
        <f>IFERROR(VLOOKUP(A328,[3]任务经验掉落配置表!$C$4:$P$200,14,0),0)</f>
        <v>8201</v>
      </c>
      <c r="E328">
        <f>IFERROR(VLOOKUP(D328,[3]D_成就任务!$G$8:$K$79,5,0),0)</f>
        <v>0</v>
      </c>
    </row>
    <row r="329" spans="1:5">
      <c r="A329">
        <f>[3]任务经验掉落配置表!$C161</f>
        <v>10065</v>
      </c>
      <c r="B329">
        <f>[3]任务经验掉落配置表!$N161</f>
        <v>77</v>
      </c>
      <c r="C329">
        <f>[3]任务经验掉落配置表!$U161</f>
        <v>12032</v>
      </c>
      <c r="D329">
        <f>IFERROR(VLOOKUP(A329,[3]任务经验掉落配置表!$C$4:$P$200,14,0),0)</f>
        <v>8202</v>
      </c>
      <c r="E329">
        <f>IFERROR(VLOOKUP(D329,[3]D_成就任务!$G$8:$K$79,5,0),0)</f>
        <v>0</v>
      </c>
    </row>
    <row r="330" spans="1:5">
      <c r="A330">
        <f>[3]任务经验掉落配置表!$C162</f>
        <v>10066</v>
      </c>
      <c r="B330">
        <f>[3]任务经验掉落配置表!$N162</f>
        <v>78</v>
      </c>
      <c r="C330">
        <f>[3]任务经验掉落配置表!$U162</f>
        <v>12388</v>
      </c>
      <c r="D330">
        <f>IFERROR(VLOOKUP(A330,[3]任务经验掉落配置表!$C$4:$P$200,14,0),0)</f>
        <v>8203</v>
      </c>
      <c r="E330">
        <f>IFERROR(VLOOKUP(D330,[3]D_成就任务!$G$8:$K$79,5,0),0)</f>
        <v>0</v>
      </c>
    </row>
    <row r="331" spans="1:5">
      <c r="A331">
        <f>[3]任务经验掉落配置表!$C163</f>
        <v>10067</v>
      </c>
      <c r="B331">
        <f>[3]任务经验掉落配置表!$N163</f>
        <v>79</v>
      </c>
      <c r="C331">
        <f>[3]任务经验掉落配置表!$U163</f>
        <v>12752</v>
      </c>
      <c r="D331">
        <f>IFERROR(VLOOKUP(A331,[3]任务经验掉落配置表!$C$4:$P$200,14,0),0)</f>
        <v>8204</v>
      </c>
      <c r="E331">
        <f>IFERROR(VLOOKUP(D331,[3]D_成就任务!$G$8:$K$79,5,0),0)</f>
        <v>0</v>
      </c>
    </row>
    <row r="332" spans="1:5">
      <c r="A332">
        <f>[3]任务经验掉落配置表!$C164</f>
        <v>10068</v>
      </c>
      <c r="B332">
        <f>[3]任务经验掉落配置表!$N164</f>
        <v>80</v>
      </c>
      <c r="C332">
        <f>[3]任务经验掉落配置表!$U164</f>
        <v>13116</v>
      </c>
      <c r="D332">
        <f>IFERROR(VLOOKUP(A332,[3]任务经验掉落配置表!$C$4:$P$200,14,0),0)</f>
        <v>8205</v>
      </c>
      <c r="E332">
        <f>IFERROR(VLOOKUP(D332,[3]D_成就任务!$G$8:$K$79,5,0),0)</f>
        <v>0</v>
      </c>
    </row>
    <row r="333" spans="1:5">
      <c r="A333">
        <f>[3]任务经验掉落配置表!$C165</f>
        <v>10069</v>
      </c>
      <c r="B333">
        <f>[3]任务经验掉落配置表!$N165</f>
        <v>81</v>
      </c>
      <c r="C333">
        <f>[3]任务经验掉落配置表!$U165</f>
        <v>13488</v>
      </c>
      <c r="D333">
        <f>IFERROR(VLOOKUP(A333,[3]任务经验掉落配置表!$C$4:$P$200,14,0),0)</f>
        <v>8206</v>
      </c>
      <c r="E333">
        <f>IFERROR(VLOOKUP(D333,[3]D_成就任务!$G$8:$K$79,5,0),0)</f>
        <v>0</v>
      </c>
    </row>
    <row r="334" spans="1:5">
      <c r="A334">
        <f>[3]任务经验掉落配置表!$C166</f>
        <v>10070</v>
      </c>
      <c r="B334">
        <f>[3]任务经验掉落配置表!$N166</f>
        <v>82</v>
      </c>
      <c r="C334">
        <f>[3]任务经验掉落配置表!$U166</f>
        <v>13868</v>
      </c>
      <c r="D334">
        <f>IFERROR(VLOOKUP(A334,[3]任务经验掉落配置表!$C$4:$P$200,14,0),0)</f>
        <v>8207</v>
      </c>
      <c r="E334">
        <f>IFERROR(VLOOKUP(D334,[3]D_成就任务!$G$8:$K$79,5,0),0)</f>
        <v>0</v>
      </c>
    </row>
    <row r="335" spans="1:5">
      <c r="A335">
        <f>[3]任务经验掉落配置表!$C167</f>
        <v>10071</v>
      </c>
      <c r="B335">
        <f>[3]任务经验掉落配置表!$N167</f>
        <v>83</v>
      </c>
      <c r="C335">
        <f>[3]任务经验掉落配置表!$U167</f>
        <v>14252</v>
      </c>
      <c r="D335">
        <f>IFERROR(VLOOKUP(A335,[3]任务经验掉落配置表!$C$4:$P$200,14,0),0)</f>
        <v>8208</v>
      </c>
      <c r="E335">
        <f>IFERROR(VLOOKUP(D335,[3]D_成就任务!$G$8:$K$79,5,0),0)</f>
        <v>0</v>
      </c>
    </row>
    <row r="336" spans="1:5">
      <c r="A336">
        <f>[3]任务经验掉落配置表!$C168</f>
        <v>10072</v>
      </c>
      <c r="B336">
        <f>[3]任务经验掉落配置表!$N168</f>
        <v>84</v>
      </c>
      <c r="C336">
        <f>[3]任务经验掉落配置表!$U168</f>
        <v>14640</v>
      </c>
      <c r="D336">
        <f>IFERROR(VLOOKUP(A336,[3]任务经验掉落配置表!$C$4:$P$200,14,0),0)</f>
        <v>8209</v>
      </c>
      <c r="E336">
        <f>IFERROR(VLOOKUP(D336,[3]D_成就任务!$G$8:$K$79,5,0),0)</f>
        <v>0</v>
      </c>
    </row>
    <row r="337" spans="1:5">
      <c r="A337">
        <f>[3]任务经验掉落配置表!$C169</f>
        <v>0</v>
      </c>
      <c r="B337">
        <f>[3]任务经验掉落配置表!$N169</f>
        <v>84</v>
      </c>
      <c r="C337">
        <f>[3]任务经验掉落配置表!$U169</f>
        <v>0</v>
      </c>
      <c r="D337">
        <f>IFERROR(VLOOKUP(A337,[3]任务经验掉落配置表!$C$4:$P$200,14,0),0)</f>
        <v>0</v>
      </c>
      <c r="E337">
        <f>IFERROR(VLOOKUP(D337,[3]D_成就任务!$G$8:$K$79,5,0),0)</f>
        <v>0</v>
      </c>
    </row>
    <row r="338" spans="1:5">
      <c r="A338">
        <f>[3]任务经验掉落配置表!$C170</f>
        <v>0</v>
      </c>
      <c r="B338">
        <f>[3]任务经验掉落配置表!$N170</f>
        <v>84</v>
      </c>
      <c r="C338">
        <f>[3]任务经验掉落配置表!$U170</f>
        <v>0</v>
      </c>
      <c r="D338">
        <f>IFERROR(VLOOKUP(A338,[3]任务经验掉落配置表!$C$4:$P$200,14,0),0)</f>
        <v>0</v>
      </c>
      <c r="E338">
        <f>IFERROR(VLOOKUP(D338,[3]D_成就任务!$G$8:$K$79,5,0),0)</f>
        <v>0</v>
      </c>
    </row>
    <row r="339" spans="1:5">
      <c r="A339">
        <f>[3]任务经验掉落配置表!$C171</f>
        <v>0</v>
      </c>
      <c r="B339">
        <f>[3]任务经验掉落配置表!$N171</f>
        <v>84</v>
      </c>
      <c r="C339">
        <f>[3]任务经验掉落配置表!$U171</f>
        <v>0</v>
      </c>
      <c r="D339">
        <f>IFERROR(VLOOKUP(A339,[3]任务经验掉落配置表!$C$4:$P$200,14,0),0)</f>
        <v>0</v>
      </c>
      <c r="E339">
        <f>IFERROR(VLOOKUP(D339,[3]D_成就任务!$G$8:$K$79,5,0),0)</f>
        <v>0</v>
      </c>
    </row>
    <row r="340" spans="1:5">
      <c r="A340">
        <f>[3]任务经验掉落配置表!$C172</f>
        <v>0</v>
      </c>
      <c r="B340">
        <f>[3]任务经验掉落配置表!$N172</f>
        <v>84</v>
      </c>
      <c r="C340">
        <f>[3]任务经验掉落配置表!$U172</f>
        <v>0</v>
      </c>
      <c r="D340">
        <f>IFERROR(VLOOKUP(A340,[3]任务经验掉落配置表!$C$4:$P$200,14,0),0)</f>
        <v>0</v>
      </c>
      <c r="E340">
        <f>IFERROR(VLOOKUP(D340,[3]D_成就任务!$G$8:$K$79,5,0),0)</f>
        <v>0</v>
      </c>
    </row>
    <row r="341" spans="1:5">
      <c r="A341">
        <f>[3]任务经验掉落配置表!$C173</f>
        <v>0</v>
      </c>
      <c r="B341">
        <f>[3]任务经验掉落配置表!$N173</f>
        <v>84</v>
      </c>
      <c r="C341">
        <f>[3]任务经验掉落配置表!$U173</f>
        <v>0</v>
      </c>
      <c r="D341">
        <f>IFERROR(VLOOKUP(A341,[3]任务经验掉落配置表!$C$4:$P$200,14,0),0)</f>
        <v>0</v>
      </c>
      <c r="E341">
        <f>IFERROR(VLOOKUP(D341,[3]D_成就任务!$G$8:$K$79,5,0),0)</f>
        <v>0</v>
      </c>
    </row>
    <row r="342" spans="1:5">
      <c r="A342">
        <f>[3]任务经验掉落配置表!$C174</f>
        <v>0</v>
      </c>
      <c r="B342">
        <f>[3]任务经验掉落配置表!$N174</f>
        <v>84</v>
      </c>
      <c r="C342">
        <f>[3]任务经验掉落配置表!$U174</f>
        <v>0</v>
      </c>
      <c r="D342">
        <f>IFERROR(VLOOKUP(A342,[3]任务经验掉落配置表!$C$4:$P$200,14,0),0)</f>
        <v>0</v>
      </c>
      <c r="E342">
        <f>IFERROR(VLOOKUP(D342,[3]D_成就任务!$G$8:$K$79,5,0),0)</f>
        <v>0</v>
      </c>
    </row>
    <row r="343" spans="1:5">
      <c r="A343">
        <f>[3]任务经验掉落配置表!$C175</f>
        <v>0</v>
      </c>
      <c r="B343">
        <f>[3]任务经验掉落配置表!$N175</f>
        <v>84</v>
      </c>
      <c r="C343">
        <f>[3]任务经验掉落配置表!$U175</f>
        <v>0</v>
      </c>
      <c r="D343">
        <f>IFERROR(VLOOKUP(A343,[3]任务经验掉落配置表!$C$4:$P$200,14,0),0)</f>
        <v>0</v>
      </c>
      <c r="E343">
        <f>IFERROR(VLOOKUP(D343,[3]D_成就任务!$G$8:$K$79,5,0),0)</f>
        <v>0</v>
      </c>
    </row>
    <row r="344" spans="1:5">
      <c r="A344">
        <f>[3]任务经验掉落配置表!$C176</f>
        <v>0</v>
      </c>
      <c r="B344">
        <f>[3]任务经验掉落配置表!$N176</f>
        <v>84</v>
      </c>
      <c r="C344">
        <f>[3]任务经验掉落配置表!$U176</f>
        <v>0</v>
      </c>
      <c r="D344">
        <f>IFERROR(VLOOKUP(A344,[3]任务经验掉落配置表!$C$4:$P$200,14,0),0)</f>
        <v>0</v>
      </c>
      <c r="E344">
        <f>IFERROR(VLOOKUP(D344,[3]D_成就任务!$G$8:$K$79,5,0),0)</f>
        <v>0</v>
      </c>
    </row>
    <row r="345" spans="1:5">
      <c r="A345">
        <f>[3]任务经验掉落配置表!$C177</f>
        <v>0</v>
      </c>
      <c r="B345">
        <f>[3]任务经验掉落配置表!$N177</f>
        <v>84</v>
      </c>
      <c r="C345">
        <f>[3]任务经验掉落配置表!$U177</f>
        <v>0</v>
      </c>
      <c r="D345">
        <f>IFERROR(VLOOKUP(A345,[3]任务经验掉落配置表!$C$4:$P$200,14,0),0)</f>
        <v>0</v>
      </c>
      <c r="E345">
        <f>IFERROR(VLOOKUP(D345,[3]D_成就任务!$G$8:$K$79,5,0),0)</f>
        <v>0</v>
      </c>
    </row>
    <row r="346" spans="1:5">
      <c r="A346">
        <f>[3]任务经验掉落配置表!$C178</f>
        <v>0</v>
      </c>
      <c r="B346">
        <f>[3]任务经验掉落配置表!$N178</f>
        <v>84</v>
      </c>
      <c r="C346">
        <f>[3]任务经验掉落配置表!$U178</f>
        <v>0</v>
      </c>
      <c r="D346">
        <f>IFERROR(VLOOKUP(A346,[3]任务经验掉落配置表!$C$4:$P$200,14,0),0)</f>
        <v>0</v>
      </c>
      <c r="E346">
        <f>IFERROR(VLOOKUP(D346,[3]D_成就任务!$G$8:$K$79,5,0),0)</f>
        <v>0</v>
      </c>
    </row>
    <row r="347" spans="1:5">
      <c r="A347">
        <f>[3]任务经验掉落配置表!$C179</f>
        <v>0</v>
      </c>
      <c r="B347">
        <f>[3]任务经验掉落配置表!$N179</f>
        <v>84</v>
      </c>
      <c r="C347">
        <f>[3]任务经验掉落配置表!$U179</f>
        <v>0</v>
      </c>
      <c r="D347">
        <f>IFERROR(VLOOKUP(A347,[3]任务经验掉落配置表!$C$4:$P$200,14,0),0)</f>
        <v>0</v>
      </c>
      <c r="E347">
        <f>IFERROR(VLOOKUP(D347,[3]D_成就任务!$G$8:$K$79,5,0),0)</f>
        <v>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N84"/>
  <sheetViews>
    <sheetView workbookViewId="0">
      <selection activeCell="A40" sqref="A40"/>
    </sheetView>
  </sheetViews>
  <sheetFormatPr defaultRowHeight="13.5"/>
  <cols>
    <col min="1" max="3" width="9.5" bestFit="1" customWidth="1"/>
    <col min="4" max="7" width="15" bestFit="1" customWidth="1"/>
    <col min="8" max="8" width="9.5" bestFit="1" customWidth="1"/>
    <col min="9" max="12" width="15" bestFit="1" customWidth="1"/>
    <col min="13" max="13" width="11.625" bestFit="1" customWidth="1"/>
    <col min="14" max="14" width="12.75" bestFit="1" customWidth="1"/>
  </cols>
  <sheetData>
    <row r="3" spans="1:14">
      <c r="C3" s="14">
        <v>1</v>
      </c>
      <c r="D3" s="14" t="s">
        <v>36</v>
      </c>
      <c r="E3" s="14" t="s">
        <v>37</v>
      </c>
      <c r="F3" s="14" t="s">
        <v>38</v>
      </c>
      <c r="G3" s="14" t="s">
        <v>39</v>
      </c>
      <c r="H3" s="14" t="s">
        <v>40</v>
      </c>
      <c r="I3" s="14" t="s">
        <v>41</v>
      </c>
      <c r="J3" s="14" t="s">
        <v>42</v>
      </c>
      <c r="K3" s="14" t="s">
        <v>43</v>
      </c>
      <c r="L3" s="14" t="s">
        <v>44</v>
      </c>
    </row>
    <row r="4" spans="1:14">
      <c r="A4" s="2" t="s">
        <v>45</v>
      </c>
      <c r="B4" s="2" t="s">
        <v>46</v>
      </c>
      <c r="C4" s="2" t="s">
        <v>645</v>
      </c>
      <c r="D4" s="2" t="s">
        <v>646</v>
      </c>
      <c r="E4" s="2" t="s">
        <v>647</v>
      </c>
      <c r="F4" s="2" t="s">
        <v>648</v>
      </c>
      <c r="G4" s="2" t="s">
        <v>649</v>
      </c>
      <c r="H4" s="2" t="s">
        <v>650</v>
      </c>
      <c r="I4" s="2" t="s">
        <v>651</v>
      </c>
      <c r="J4" s="2" t="s">
        <v>652</v>
      </c>
      <c r="K4" s="2" t="s">
        <v>653</v>
      </c>
      <c r="L4" s="2" t="s">
        <v>654</v>
      </c>
      <c r="M4" s="2" t="s">
        <v>47</v>
      </c>
      <c r="N4" s="4" t="s">
        <v>48</v>
      </c>
    </row>
    <row r="5" spans="1:14">
      <c r="A5">
        <v>1</v>
      </c>
      <c r="B5">
        <v>1</v>
      </c>
      <c r="C5">
        <f t="array" ref="C5">IFERROR(VLOOKUP(C$4&amp;$A5,IF({1,0},#REF!&amp;#REF!,#REF!),2,FALSE),0)</f>
        <v>0</v>
      </c>
      <c r="D5">
        <f t="array" ref="D5">IFERROR(VLOOKUP(D$4&amp;$A5,IF({1,0},#REF!&amp;#REF!,#REF!),2,FALSE),0)</f>
        <v>0</v>
      </c>
      <c r="E5">
        <f t="array" ref="E5">IFERROR(VLOOKUP(E$4&amp;$A5,IF({1,0},#REF!&amp;#REF!,#REF!),2,FALSE),0)</f>
        <v>0</v>
      </c>
      <c r="F5">
        <f t="array" ref="F5">IFERROR(VLOOKUP(F$4&amp;$A5,IF({1,0},#REF!&amp;#REF!,#REF!),2,FALSE),0)</f>
        <v>0</v>
      </c>
      <c r="G5">
        <f t="array" ref="G5">IFERROR(VLOOKUP(G$4&amp;$A5,IF({1,0},#REF!&amp;#REF!,#REF!),2,FALSE),0)</f>
        <v>0</v>
      </c>
      <c r="H5">
        <f t="array" ref="H5">IFERROR(VLOOKUP(H$4&amp;$A5,IF({1,0},#REF!&amp;#REF!,#REF!),2,FALSE),0)</f>
        <v>0</v>
      </c>
      <c r="I5">
        <f t="array" ref="I5">IFERROR(VLOOKUP(I$4&amp;$A5,IF({1,0},#REF!&amp;#REF!,#REF!),2,FALSE),0)</f>
        <v>0</v>
      </c>
      <c r="J5">
        <f t="array" ref="J5">IFERROR(VLOOKUP(J$4&amp;$A5,IF({1,0},#REF!&amp;#REF!,#REF!),2,FALSE),0)</f>
        <v>0</v>
      </c>
      <c r="K5">
        <f t="array" ref="K5">IFERROR(VLOOKUP(K$4&amp;$A5,IF({1,0},#REF!&amp;#REF!,#REF!),2,FALSE),0)</f>
        <v>0</v>
      </c>
      <c r="L5">
        <f t="array" ref="L5">IFERROR(VLOOKUP(L$4&amp;$A5,IF({1,0},#REF!&amp;#REF!,#REF!),2,FALSE),0)</f>
        <v>0</v>
      </c>
      <c r="M5" s="15">
        <f>SUM(C5:L5)</f>
        <v>0</v>
      </c>
      <c r="N5" s="15">
        <f>SUM($K$3:M5)</f>
        <v>0</v>
      </c>
    </row>
    <row r="6" spans="1:14">
      <c r="A6">
        <v>2</v>
      </c>
      <c r="B6">
        <v>1</v>
      </c>
      <c r="C6">
        <f t="array" ref="C6">IFERROR(VLOOKUP(C$4&amp;$A6,IF({1,0},#REF!&amp;#REF!,#REF!),2,FALSE),0)</f>
        <v>0</v>
      </c>
      <c r="D6">
        <f t="array" ref="D6">IFERROR(VLOOKUP(D$4&amp;$A6,IF({1,0},#REF!&amp;#REF!,#REF!),2,FALSE),0)</f>
        <v>0</v>
      </c>
      <c r="E6">
        <f t="array" ref="E6">IFERROR(VLOOKUP(E$4&amp;$A6,IF({1,0},#REF!&amp;#REF!,#REF!),2,FALSE),0)</f>
        <v>0</v>
      </c>
      <c r="F6">
        <f t="array" ref="F6">IFERROR(VLOOKUP(F$4&amp;$A6,IF({1,0},#REF!&amp;#REF!,#REF!),2,FALSE),0)</f>
        <v>0</v>
      </c>
      <c r="G6">
        <f t="array" ref="G6">IFERROR(VLOOKUP(G$4&amp;$A6,IF({1,0},#REF!&amp;#REF!,#REF!),2,FALSE),0)</f>
        <v>0</v>
      </c>
      <c r="H6">
        <f t="array" ref="H6">IFERROR(VLOOKUP(H$4&amp;$A6,IF({1,0},#REF!&amp;#REF!,#REF!),2,FALSE),0)</f>
        <v>0</v>
      </c>
      <c r="I6">
        <f t="array" ref="I6">IFERROR(VLOOKUP(I$4&amp;$A6,IF({1,0},#REF!&amp;#REF!,#REF!),2,FALSE),0)</f>
        <v>0</v>
      </c>
      <c r="J6">
        <f t="array" ref="J6">IFERROR(VLOOKUP(J$4&amp;$A6,IF({1,0},#REF!&amp;#REF!,#REF!),2,FALSE),0)</f>
        <v>0</v>
      </c>
      <c r="K6">
        <f t="array" ref="K6">IFERROR(VLOOKUP(K$4&amp;$A6,IF({1,0},#REF!&amp;#REF!,#REF!),2,FALSE),0)</f>
        <v>0</v>
      </c>
      <c r="L6">
        <f t="array" ref="L6">IFERROR(VLOOKUP(L$4&amp;$A6,IF({1,0},#REF!&amp;#REF!,#REF!),2,FALSE),0)</f>
        <v>0</v>
      </c>
      <c r="M6" s="15">
        <f t="shared" ref="M6:M69" si="0">SUM(C6:L6)</f>
        <v>0</v>
      </c>
      <c r="N6" s="15">
        <f>SUM($M$5:M6)</f>
        <v>0</v>
      </c>
    </row>
    <row r="7" spans="1:14">
      <c r="A7">
        <v>3</v>
      </c>
      <c r="B7">
        <v>1</v>
      </c>
      <c r="C7">
        <f t="array" ref="C7">IFERROR(VLOOKUP(C$4&amp;$A7,IF({1,0},#REF!&amp;#REF!,#REF!),2,FALSE),0)</f>
        <v>0</v>
      </c>
      <c r="D7">
        <f t="array" ref="D7">IFERROR(VLOOKUP(D$4&amp;$A7,IF({1,0},#REF!&amp;#REF!,#REF!),2,FALSE),0)</f>
        <v>0</v>
      </c>
      <c r="E7">
        <f t="array" ref="E7">IFERROR(VLOOKUP(E$4&amp;$A7,IF({1,0},#REF!&amp;#REF!,#REF!),2,FALSE),0)</f>
        <v>0</v>
      </c>
      <c r="F7">
        <f t="array" ref="F7">IFERROR(VLOOKUP(F$4&amp;$A7,IF({1,0},#REF!&amp;#REF!,#REF!),2,FALSE),0)</f>
        <v>0</v>
      </c>
      <c r="G7">
        <f t="array" ref="G7">IFERROR(VLOOKUP(G$4&amp;$A7,IF({1,0},#REF!&amp;#REF!,#REF!),2,FALSE),0)</f>
        <v>0</v>
      </c>
      <c r="H7">
        <f t="array" ref="H7">IFERROR(VLOOKUP(H$4&amp;$A7,IF({1,0},#REF!&amp;#REF!,#REF!),2,FALSE),0)</f>
        <v>0</v>
      </c>
      <c r="I7">
        <f t="array" ref="I7">IFERROR(VLOOKUP(I$4&amp;$A7,IF({1,0},#REF!&amp;#REF!,#REF!),2,FALSE),0)</f>
        <v>0</v>
      </c>
      <c r="J7">
        <f t="array" ref="J7">IFERROR(VLOOKUP(J$4&amp;$A7,IF({1,0},#REF!&amp;#REF!,#REF!),2,FALSE),0)</f>
        <v>0</v>
      </c>
      <c r="K7">
        <f t="array" ref="K7">IFERROR(VLOOKUP(K$4&amp;$A7,IF({1,0},#REF!&amp;#REF!,#REF!),2,FALSE),0)</f>
        <v>0</v>
      </c>
      <c r="L7">
        <f t="array" ref="L7">IFERROR(VLOOKUP(L$4&amp;$A7,IF({1,0},#REF!&amp;#REF!,#REF!),2,FALSE),0)</f>
        <v>0</v>
      </c>
      <c r="M7" s="15">
        <f t="shared" si="0"/>
        <v>0</v>
      </c>
      <c r="N7" s="15">
        <f>SUM($M$5:M7)</f>
        <v>0</v>
      </c>
    </row>
    <row r="8" spans="1:14">
      <c r="A8">
        <v>4</v>
      </c>
      <c r="B8">
        <v>1</v>
      </c>
      <c r="C8">
        <f t="array" ref="C8">IFERROR(VLOOKUP(C$4&amp;$A8,IF({1,0},#REF!&amp;#REF!,#REF!),2,FALSE),0)</f>
        <v>0</v>
      </c>
      <c r="D8">
        <f t="array" ref="D8">IFERROR(VLOOKUP(D$4&amp;$A8,IF({1,0},#REF!&amp;#REF!,#REF!),2,FALSE),0)</f>
        <v>0</v>
      </c>
      <c r="E8">
        <f t="array" ref="E8">IFERROR(VLOOKUP(E$4&amp;$A8,IF({1,0},#REF!&amp;#REF!,#REF!),2,FALSE),0)</f>
        <v>0</v>
      </c>
      <c r="F8">
        <f t="array" ref="F8">IFERROR(VLOOKUP(F$4&amp;$A8,IF({1,0},#REF!&amp;#REF!,#REF!),2,FALSE),0)</f>
        <v>0</v>
      </c>
      <c r="G8">
        <f t="array" ref="G8">IFERROR(VLOOKUP(G$4&amp;$A8,IF({1,0},#REF!&amp;#REF!,#REF!),2,FALSE),0)</f>
        <v>0</v>
      </c>
      <c r="H8">
        <f t="array" ref="H8">IFERROR(VLOOKUP(H$4&amp;$A8,IF({1,0},#REF!&amp;#REF!,#REF!),2,FALSE),0)</f>
        <v>0</v>
      </c>
      <c r="I8">
        <f t="array" ref="I8">IFERROR(VLOOKUP(I$4&amp;$A8,IF({1,0},#REF!&amp;#REF!,#REF!),2,FALSE),0)</f>
        <v>0</v>
      </c>
      <c r="J8">
        <f t="array" ref="J8">IFERROR(VLOOKUP(J$4&amp;$A8,IF({1,0},#REF!&amp;#REF!,#REF!),2,FALSE),0)</f>
        <v>0</v>
      </c>
      <c r="K8">
        <f t="array" ref="K8">IFERROR(VLOOKUP(K$4&amp;$A8,IF({1,0},#REF!&amp;#REF!,#REF!),2,FALSE),0)</f>
        <v>0</v>
      </c>
      <c r="L8">
        <f t="array" ref="L8">IFERROR(VLOOKUP(L$4&amp;$A8,IF({1,0},#REF!&amp;#REF!,#REF!),2,FALSE),0)</f>
        <v>0</v>
      </c>
      <c r="M8" s="15">
        <f t="shared" si="0"/>
        <v>0</v>
      </c>
      <c r="N8" s="15">
        <f>SUM($M$5:M8)</f>
        <v>0</v>
      </c>
    </row>
    <row r="9" spans="1:14">
      <c r="A9">
        <v>5</v>
      </c>
      <c r="B9">
        <v>1</v>
      </c>
      <c r="C9">
        <f t="array" ref="C9">IFERROR(VLOOKUP(C$4&amp;$A9,IF({1,0},#REF!&amp;#REF!,#REF!),2,FALSE),0)</f>
        <v>0</v>
      </c>
      <c r="D9">
        <f t="array" ref="D9">IFERROR(VLOOKUP(D$4&amp;$A9,IF({1,0},#REF!&amp;#REF!,#REF!),2,FALSE),0)</f>
        <v>0</v>
      </c>
      <c r="E9">
        <f t="array" ref="E9">IFERROR(VLOOKUP(E$4&amp;$A9,IF({1,0},#REF!&amp;#REF!,#REF!),2,FALSE),0)</f>
        <v>0</v>
      </c>
      <c r="F9">
        <f t="array" ref="F9">IFERROR(VLOOKUP(F$4&amp;$A9,IF({1,0},#REF!&amp;#REF!,#REF!),2,FALSE),0)</f>
        <v>0</v>
      </c>
      <c r="G9">
        <f t="array" ref="G9">IFERROR(VLOOKUP(G$4&amp;$A9,IF({1,0},#REF!&amp;#REF!,#REF!),2,FALSE),0)</f>
        <v>0</v>
      </c>
      <c r="H9">
        <f t="array" ref="H9">IFERROR(VLOOKUP(H$4&amp;$A9,IF({1,0},#REF!&amp;#REF!,#REF!),2,FALSE),0)</f>
        <v>0</v>
      </c>
      <c r="I9">
        <f t="array" ref="I9">IFERROR(VLOOKUP(I$4&amp;$A9,IF({1,0},#REF!&amp;#REF!,#REF!),2,FALSE),0)</f>
        <v>0</v>
      </c>
      <c r="J9">
        <f t="array" ref="J9">IFERROR(VLOOKUP(J$4&amp;$A9,IF({1,0},#REF!&amp;#REF!,#REF!),2,FALSE),0)</f>
        <v>0</v>
      </c>
      <c r="K9">
        <f t="array" ref="K9">IFERROR(VLOOKUP(K$4&amp;$A9,IF({1,0},#REF!&amp;#REF!,#REF!),2,FALSE),0)</f>
        <v>0</v>
      </c>
      <c r="L9">
        <f t="array" ref="L9">IFERROR(VLOOKUP(L$4&amp;$A9,IF({1,0},#REF!&amp;#REF!,#REF!),2,FALSE),0)</f>
        <v>0</v>
      </c>
      <c r="M9" s="15">
        <f t="shared" si="0"/>
        <v>0</v>
      </c>
      <c r="N9" s="15">
        <f>SUM($M$5:M9)</f>
        <v>0</v>
      </c>
    </row>
    <row r="10" spans="1:14">
      <c r="A10">
        <v>6</v>
      </c>
      <c r="B10">
        <v>1</v>
      </c>
      <c r="C10">
        <f t="array" ref="C10">IFERROR(VLOOKUP(C$4&amp;$A10,IF({1,0},#REF!&amp;#REF!,#REF!),2,FALSE),0)</f>
        <v>0</v>
      </c>
      <c r="D10">
        <f t="array" ref="D10">IFERROR(VLOOKUP(D$4&amp;$A10,IF({1,0},#REF!&amp;#REF!,#REF!),2,FALSE),0)</f>
        <v>0</v>
      </c>
      <c r="E10">
        <f t="array" ref="E10">IFERROR(VLOOKUP(E$4&amp;$A10,IF({1,0},#REF!&amp;#REF!,#REF!),2,FALSE),0)</f>
        <v>0</v>
      </c>
      <c r="F10">
        <f t="array" ref="F10">IFERROR(VLOOKUP(F$4&amp;$A10,IF({1,0},#REF!&amp;#REF!,#REF!),2,FALSE),0)</f>
        <v>0</v>
      </c>
      <c r="G10">
        <f t="array" ref="G10">IFERROR(VLOOKUP(G$4&amp;$A10,IF({1,0},#REF!&amp;#REF!,#REF!),2,FALSE),0)</f>
        <v>0</v>
      </c>
      <c r="H10">
        <f t="array" ref="H10">IFERROR(VLOOKUP(H$4&amp;$A10,IF({1,0},#REF!&amp;#REF!,#REF!),2,FALSE),0)</f>
        <v>0</v>
      </c>
      <c r="I10">
        <f t="array" ref="I10">IFERROR(VLOOKUP(I$4&amp;$A10,IF({1,0},#REF!&amp;#REF!,#REF!),2,FALSE),0)</f>
        <v>0</v>
      </c>
      <c r="J10">
        <f t="array" ref="J10">IFERROR(VLOOKUP(J$4&amp;$A10,IF({1,0},#REF!&amp;#REF!,#REF!),2,FALSE),0)</f>
        <v>0</v>
      </c>
      <c r="K10">
        <f t="array" ref="K10">IFERROR(VLOOKUP(K$4&amp;$A10,IF({1,0},#REF!&amp;#REF!,#REF!),2,FALSE),0)</f>
        <v>0</v>
      </c>
      <c r="L10">
        <f t="array" ref="L10">IFERROR(VLOOKUP(L$4&amp;$A10,IF({1,0},#REF!&amp;#REF!,#REF!),2,FALSE),0)</f>
        <v>0</v>
      </c>
      <c r="M10" s="15">
        <f t="shared" si="0"/>
        <v>0</v>
      </c>
      <c r="N10" s="15">
        <f>SUM($M$5:M10)</f>
        <v>0</v>
      </c>
    </row>
    <row r="11" spans="1:14">
      <c r="A11">
        <v>7</v>
      </c>
      <c r="B11">
        <v>1</v>
      </c>
      <c r="C11">
        <f t="array" ref="C11">IFERROR(VLOOKUP(C$4&amp;$A11,IF({1,0},#REF!&amp;#REF!,#REF!),2,FALSE),0)</f>
        <v>0</v>
      </c>
      <c r="D11">
        <f t="array" ref="D11">IFERROR(VLOOKUP(D$4&amp;$A11,IF({1,0},#REF!&amp;#REF!,#REF!),2,FALSE),0)</f>
        <v>0</v>
      </c>
      <c r="E11">
        <f t="array" ref="E11">IFERROR(VLOOKUP(E$4&amp;$A11,IF({1,0},#REF!&amp;#REF!,#REF!),2,FALSE),0)</f>
        <v>0</v>
      </c>
      <c r="F11">
        <f t="array" ref="F11">IFERROR(VLOOKUP(F$4&amp;$A11,IF({1,0},#REF!&amp;#REF!,#REF!),2,FALSE),0)</f>
        <v>0</v>
      </c>
      <c r="G11">
        <f t="array" ref="G11">IFERROR(VLOOKUP(G$4&amp;$A11,IF({1,0},#REF!&amp;#REF!,#REF!),2,FALSE),0)</f>
        <v>0</v>
      </c>
      <c r="H11">
        <f t="array" ref="H11">IFERROR(VLOOKUP(H$4&amp;$A11,IF({1,0},#REF!&amp;#REF!,#REF!),2,FALSE),0)</f>
        <v>0</v>
      </c>
      <c r="I11">
        <f t="array" ref="I11">IFERROR(VLOOKUP(I$4&amp;$A11,IF({1,0},#REF!&amp;#REF!,#REF!),2,FALSE),0)</f>
        <v>0</v>
      </c>
      <c r="J11">
        <f t="array" ref="J11">IFERROR(VLOOKUP(J$4&amp;$A11,IF({1,0},#REF!&amp;#REF!,#REF!),2,FALSE),0)</f>
        <v>0</v>
      </c>
      <c r="K11">
        <f t="array" ref="K11">IFERROR(VLOOKUP(K$4&amp;$A11,IF({1,0},#REF!&amp;#REF!,#REF!),2,FALSE),0)</f>
        <v>0</v>
      </c>
      <c r="L11">
        <f t="array" ref="L11">IFERROR(VLOOKUP(L$4&amp;$A11,IF({1,0},#REF!&amp;#REF!,#REF!),2,FALSE),0)</f>
        <v>0</v>
      </c>
      <c r="M11" s="15">
        <f t="shared" si="0"/>
        <v>0</v>
      </c>
      <c r="N11" s="15">
        <f>SUM($M$5:M11)</f>
        <v>0</v>
      </c>
    </row>
    <row r="12" spans="1:14">
      <c r="A12">
        <v>8</v>
      </c>
      <c r="B12">
        <v>1</v>
      </c>
      <c r="C12">
        <f t="array" ref="C12">IFERROR(VLOOKUP(C$4&amp;$A12,IF({1,0},#REF!&amp;#REF!,#REF!),2,FALSE),0)</f>
        <v>0</v>
      </c>
      <c r="D12">
        <f t="array" ref="D12">IFERROR(VLOOKUP(D$4&amp;$A12,IF({1,0},#REF!&amp;#REF!,#REF!),2,FALSE),0)</f>
        <v>0</v>
      </c>
      <c r="E12">
        <f t="array" ref="E12">IFERROR(VLOOKUP(E$4&amp;$A12,IF({1,0},#REF!&amp;#REF!,#REF!),2,FALSE),0)</f>
        <v>0</v>
      </c>
      <c r="F12">
        <f t="array" ref="F12">IFERROR(VLOOKUP(F$4&amp;$A12,IF({1,0},#REF!&amp;#REF!,#REF!),2,FALSE),0)</f>
        <v>0</v>
      </c>
      <c r="G12">
        <f t="array" ref="G12">IFERROR(VLOOKUP(G$4&amp;$A12,IF({1,0},#REF!&amp;#REF!,#REF!),2,FALSE),0)</f>
        <v>0</v>
      </c>
      <c r="H12">
        <f t="array" ref="H12">IFERROR(VLOOKUP(H$4&amp;$A12,IF({1,0},#REF!&amp;#REF!,#REF!),2,FALSE),0)</f>
        <v>0</v>
      </c>
      <c r="I12">
        <f t="array" ref="I12">IFERROR(VLOOKUP(I$4&amp;$A12,IF({1,0},#REF!&amp;#REF!,#REF!),2,FALSE),0)</f>
        <v>0</v>
      </c>
      <c r="J12">
        <f t="array" ref="J12">IFERROR(VLOOKUP(J$4&amp;$A12,IF({1,0},#REF!&amp;#REF!,#REF!),2,FALSE),0)</f>
        <v>0</v>
      </c>
      <c r="K12">
        <f t="array" ref="K12">IFERROR(VLOOKUP(K$4&amp;$A12,IF({1,0},#REF!&amp;#REF!,#REF!),2,FALSE),0)</f>
        <v>0</v>
      </c>
      <c r="L12">
        <f t="array" ref="L12">IFERROR(VLOOKUP(L$4&amp;$A12,IF({1,0},#REF!&amp;#REF!,#REF!),2,FALSE),0)</f>
        <v>0</v>
      </c>
      <c r="M12" s="15">
        <f t="shared" si="0"/>
        <v>0</v>
      </c>
      <c r="N12" s="15">
        <f>SUM($M$5:M12)</f>
        <v>0</v>
      </c>
    </row>
    <row r="13" spans="1:14">
      <c r="A13">
        <v>9</v>
      </c>
      <c r="B13">
        <v>1</v>
      </c>
      <c r="C13">
        <f t="array" ref="C13">IFERROR(VLOOKUP(C$4&amp;$A13,IF({1,0},#REF!&amp;#REF!,#REF!),2,FALSE),0)</f>
        <v>0</v>
      </c>
      <c r="D13">
        <f t="array" ref="D13">IFERROR(VLOOKUP(D$4&amp;$A13,IF({1,0},#REF!&amp;#REF!,#REF!),2,FALSE),0)</f>
        <v>0</v>
      </c>
      <c r="E13">
        <f t="array" ref="E13">IFERROR(VLOOKUP(E$4&amp;$A13,IF({1,0},#REF!&amp;#REF!,#REF!),2,FALSE),0)</f>
        <v>0</v>
      </c>
      <c r="F13">
        <f t="array" ref="F13">IFERROR(VLOOKUP(F$4&amp;$A13,IF({1,0},#REF!&amp;#REF!,#REF!),2,FALSE),0)</f>
        <v>0</v>
      </c>
      <c r="G13">
        <f t="array" ref="G13">IFERROR(VLOOKUP(G$4&amp;$A13,IF({1,0},#REF!&amp;#REF!,#REF!),2,FALSE),0)</f>
        <v>0</v>
      </c>
      <c r="H13">
        <f t="array" ref="H13">IFERROR(VLOOKUP(H$4&amp;$A13,IF({1,0},#REF!&amp;#REF!,#REF!),2,FALSE),0)</f>
        <v>0</v>
      </c>
      <c r="I13">
        <f t="array" ref="I13">IFERROR(VLOOKUP(I$4&amp;$A13,IF({1,0},#REF!&amp;#REF!,#REF!),2,FALSE),0)</f>
        <v>0</v>
      </c>
      <c r="J13">
        <f t="array" ref="J13">IFERROR(VLOOKUP(J$4&amp;$A13,IF({1,0},#REF!&amp;#REF!,#REF!),2,FALSE),0)</f>
        <v>0</v>
      </c>
      <c r="K13">
        <f t="array" ref="K13">IFERROR(VLOOKUP(K$4&amp;$A13,IF({1,0},#REF!&amp;#REF!,#REF!),2,FALSE),0)</f>
        <v>0</v>
      </c>
      <c r="L13">
        <f t="array" ref="L13">IFERROR(VLOOKUP(L$4&amp;$A13,IF({1,0},#REF!&amp;#REF!,#REF!),2,FALSE),0)</f>
        <v>0</v>
      </c>
      <c r="M13" s="15">
        <f t="shared" si="0"/>
        <v>0</v>
      </c>
      <c r="N13" s="15">
        <f>SUM($M$5:M13)</f>
        <v>0</v>
      </c>
    </row>
    <row r="14" spans="1:14">
      <c r="A14">
        <v>10</v>
      </c>
      <c r="B14">
        <v>1</v>
      </c>
      <c r="C14">
        <f t="array" ref="C14">IFERROR(VLOOKUP(C$4&amp;$A14,IF({1,0},#REF!&amp;#REF!,#REF!),2,FALSE),0)</f>
        <v>0</v>
      </c>
      <c r="D14">
        <f t="array" ref="D14">IFERROR(VLOOKUP(D$4&amp;$A14,IF({1,0},#REF!&amp;#REF!,#REF!),2,FALSE),0)</f>
        <v>0</v>
      </c>
      <c r="E14">
        <f t="array" ref="E14">IFERROR(VLOOKUP(E$4&amp;$A14,IF({1,0},#REF!&amp;#REF!,#REF!),2,FALSE),0)</f>
        <v>0</v>
      </c>
      <c r="F14">
        <f t="array" ref="F14">IFERROR(VLOOKUP(F$4&amp;$A14,IF({1,0},#REF!&amp;#REF!,#REF!),2,FALSE),0)</f>
        <v>0</v>
      </c>
      <c r="G14">
        <f t="array" ref="G14">IFERROR(VLOOKUP(G$4&amp;$A14,IF({1,0},#REF!&amp;#REF!,#REF!),2,FALSE),0)</f>
        <v>0</v>
      </c>
      <c r="H14">
        <f t="array" ref="H14">IFERROR(VLOOKUP(H$4&amp;$A14,IF({1,0},#REF!&amp;#REF!,#REF!),2,FALSE),0)</f>
        <v>0</v>
      </c>
      <c r="I14">
        <f t="array" ref="I14">IFERROR(VLOOKUP(I$4&amp;$A14,IF({1,0},#REF!&amp;#REF!,#REF!),2,FALSE),0)</f>
        <v>0</v>
      </c>
      <c r="J14">
        <f t="array" ref="J14">IFERROR(VLOOKUP(J$4&amp;$A14,IF({1,0},#REF!&amp;#REF!,#REF!),2,FALSE),0)</f>
        <v>0</v>
      </c>
      <c r="K14">
        <f t="array" ref="K14">IFERROR(VLOOKUP(K$4&amp;$A14,IF({1,0},#REF!&amp;#REF!,#REF!),2,FALSE),0)</f>
        <v>0</v>
      </c>
      <c r="L14">
        <f t="array" ref="L14">IFERROR(VLOOKUP(L$4&amp;$A14,IF({1,0},#REF!&amp;#REF!,#REF!),2,FALSE),0)</f>
        <v>0</v>
      </c>
      <c r="M14" s="15">
        <f t="shared" si="0"/>
        <v>0</v>
      </c>
      <c r="N14" s="15">
        <f>SUM($M$5:M14)</f>
        <v>0</v>
      </c>
    </row>
    <row r="15" spans="1:14">
      <c r="A15">
        <v>11</v>
      </c>
      <c r="B15">
        <v>1</v>
      </c>
      <c r="C15">
        <f t="array" ref="C15">IFERROR(VLOOKUP(C$4&amp;$A15,IF({1,0},#REF!&amp;#REF!,#REF!),2,FALSE),0)</f>
        <v>0</v>
      </c>
      <c r="D15">
        <f t="array" ref="D15">IFERROR(VLOOKUP(D$4&amp;$A15,IF({1,0},#REF!&amp;#REF!,#REF!),2,FALSE),0)</f>
        <v>0</v>
      </c>
      <c r="E15">
        <f t="array" ref="E15">IFERROR(VLOOKUP(E$4&amp;$A15,IF({1,0},#REF!&amp;#REF!,#REF!),2,FALSE),0)</f>
        <v>0</v>
      </c>
      <c r="F15">
        <f t="array" ref="F15">IFERROR(VLOOKUP(F$4&amp;$A15,IF({1,0},#REF!&amp;#REF!,#REF!),2,FALSE),0)</f>
        <v>0</v>
      </c>
      <c r="G15">
        <f t="array" ref="G15">IFERROR(VLOOKUP(G$4&amp;$A15,IF({1,0},#REF!&amp;#REF!,#REF!),2,FALSE),0)</f>
        <v>0</v>
      </c>
      <c r="H15">
        <f t="array" ref="H15">IFERROR(VLOOKUP(H$4&amp;$A15,IF({1,0},#REF!&amp;#REF!,#REF!),2,FALSE),0)</f>
        <v>0</v>
      </c>
      <c r="I15">
        <f t="array" ref="I15">IFERROR(VLOOKUP(I$4&amp;$A15,IF({1,0},#REF!&amp;#REF!,#REF!),2,FALSE),0)</f>
        <v>0</v>
      </c>
      <c r="J15">
        <f t="array" ref="J15">IFERROR(VLOOKUP(J$4&amp;$A15,IF({1,0},#REF!&amp;#REF!,#REF!),2,FALSE),0)</f>
        <v>0</v>
      </c>
      <c r="K15">
        <f t="array" ref="K15">IFERROR(VLOOKUP(K$4&amp;$A15,IF({1,0},#REF!&amp;#REF!,#REF!),2,FALSE),0)</f>
        <v>0</v>
      </c>
      <c r="L15">
        <f t="array" ref="L15">IFERROR(VLOOKUP(L$4&amp;$A15,IF({1,0},#REF!&amp;#REF!,#REF!),2,FALSE),0)</f>
        <v>0</v>
      </c>
      <c r="M15" s="15">
        <f t="shared" si="0"/>
        <v>0</v>
      </c>
      <c r="N15" s="15">
        <f>SUM($M$5:M15)</f>
        <v>0</v>
      </c>
    </row>
    <row r="16" spans="1:14">
      <c r="A16">
        <v>12</v>
      </c>
      <c r="B16">
        <v>1</v>
      </c>
      <c r="C16">
        <f t="array" ref="C16">IFERROR(VLOOKUP(C$4&amp;$A16,IF({1,0},#REF!&amp;#REF!,#REF!),2,FALSE),0)</f>
        <v>0</v>
      </c>
      <c r="D16">
        <f t="array" ref="D16">IFERROR(VLOOKUP(D$4&amp;$A16,IF({1,0},#REF!&amp;#REF!,#REF!),2,FALSE),0)</f>
        <v>0</v>
      </c>
      <c r="E16">
        <f t="array" ref="E16">IFERROR(VLOOKUP(E$4&amp;$A16,IF({1,0},#REF!&amp;#REF!,#REF!),2,FALSE),0)</f>
        <v>0</v>
      </c>
      <c r="F16">
        <f t="array" ref="F16">IFERROR(VLOOKUP(F$4&amp;$A16,IF({1,0},#REF!&amp;#REF!,#REF!),2,FALSE),0)</f>
        <v>0</v>
      </c>
      <c r="G16">
        <f t="array" ref="G16">IFERROR(VLOOKUP(G$4&amp;$A16,IF({1,0},#REF!&amp;#REF!,#REF!),2,FALSE),0)</f>
        <v>0</v>
      </c>
      <c r="H16">
        <f t="array" ref="H16">IFERROR(VLOOKUP(H$4&amp;$A16,IF({1,0},#REF!&amp;#REF!,#REF!),2,FALSE),0)</f>
        <v>0</v>
      </c>
      <c r="I16">
        <f t="array" ref="I16">IFERROR(VLOOKUP(I$4&amp;$A16,IF({1,0},#REF!&amp;#REF!,#REF!),2,FALSE),0)</f>
        <v>0</v>
      </c>
      <c r="J16">
        <f t="array" ref="J16">IFERROR(VLOOKUP(J$4&amp;$A16,IF({1,0},#REF!&amp;#REF!,#REF!),2,FALSE),0)</f>
        <v>0</v>
      </c>
      <c r="K16">
        <f t="array" ref="K16">IFERROR(VLOOKUP(K$4&amp;$A16,IF({1,0},#REF!&amp;#REF!,#REF!),2,FALSE),0)</f>
        <v>0</v>
      </c>
      <c r="L16">
        <f t="array" ref="L16">IFERROR(VLOOKUP(L$4&amp;$A16,IF({1,0},#REF!&amp;#REF!,#REF!),2,FALSE),0)</f>
        <v>0</v>
      </c>
      <c r="M16" s="15">
        <f t="shared" si="0"/>
        <v>0</v>
      </c>
      <c r="N16" s="15">
        <f>SUM($M$5:M16)</f>
        <v>0</v>
      </c>
    </row>
    <row r="17" spans="1:14">
      <c r="A17">
        <v>13</v>
      </c>
      <c r="B17">
        <v>1</v>
      </c>
      <c r="C17">
        <f t="array" ref="C17">IFERROR(VLOOKUP(C$4&amp;$A17,IF({1,0},#REF!&amp;#REF!,#REF!),2,FALSE),0)</f>
        <v>0</v>
      </c>
      <c r="D17">
        <f t="array" ref="D17">IFERROR(VLOOKUP(D$4&amp;$A17,IF({1,0},#REF!&amp;#REF!,#REF!),2,FALSE),0)</f>
        <v>0</v>
      </c>
      <c r="E17">
        <f t="array" ref="E17">IFERROR(VLOOKUP(E$4&amp;$A17,IF({1,0},#REF!&amp;#REF!,#REF!),2,FALSE),0)</f>
        <v>0</v>
      </c>
      <c r="F17">
        <f t="array" ref="F17">IFERROR(VLOOKUP(F$4&amp;$A17,IF({1,0},#REF!&amp;#REF!,#REF!),2,FALSE),0)</f>
        <v>0</v>
      </c>
      <c r="G17">
        <f t="array" ref="G17">IFERROR(VLOOKUP(G$4&amp;$A17,IF({1,0},#REF!&amp;#REF!,#REF!),2,FALSE),0)</f>
        <v>0</v>
      </c>
      <c r="H17">
        <f t="array" ref="H17">IFERROR(VLOOKUP(H$4&amp;$A17,IF({1,0},#REF!&amp;#REF!,#REF!),2,FALSE),0)</f>
        <v>0</v>
      </c>
      <c r="I17">
        <f t="array" ref="I17">IFERROR(VLOOKUP(I$4&amp;$A17,IF({1,0},#REF!&amp;#REF!,#REF!),2,FALSE),0)</f>
        <v>0</v>
      </c>
      <c r="J17">
        <f t="array" ref="J17">IFERROR(VLOOKUP(J$4&amp;$A17,IF({1,0},#REF!&amp;#REF!,#REF!),2,FALSE),0)</f>
        <v>0</v>
      </c>
      <c r="K17">
        <f t="array" ref="K17">IFERROR(VLOOKUP(K$4&amp;$A17,IF({1,0},#REF!&amp;#REF!,#REF!),2,FALSE),0)</f>
        <v>0</v>
      </c>
      <c r="L17">
        <f t="array" ref="L17">IFERROR(VLOOKUP(L$4&amp;$A17,IF({1,0},#REF!&amp;#REF!,#REF!),2,FALSE),0)</f>
        <v>0</v>
      </c>
      <c r="M17" s="15">
        <f t="shared" si="0"/>
        <v>0</v>
      </c>
      <c r="N17" s="15">
        <f>SUM($M$5:M17)</f>
        <v>0</v>
      </c>
    </row>
    <row r="18" spans="1:14">
      <c r="A18">
        <v>14</v>
      </c>
      <c r="B18">
        <v>1</v>
      </c>
      <c r="C18">
        <f t="array" ref="C18">IFERROR(VLOOKUP(C$4&amp;$A18,IF({1,0},#REF!&amp;#REF!,#REF!),2,FALSE),0)</f>
        <v>0</v>
      </c>
      <c r="D18">
        <f t="array" ref="D18">IFERROR(VLOOKUP(D$4&amp;$A18,IF({1,0},#REF!&amp;#REF!,#REF!),2,FALSE),0)</f>
        <v>0</v>
      </c>
      <c r="E18">
        <f t="array" ref="E18">IFERROR(VLOOKUP(E$4&amp;$A18,IF({1,0},#REF!&amp;#REF!,#REF!),2,FALSE),0)</f>
        <v>0</v>
      </c>
      <c r="F18">
        <f t="array" ref="F18">IFERROR(VLOOKUP(F$4&amp;$A18,IF({1,0},#REF!&amp;#REF!,#REF!),2,FALSE),0)</f>
        <v>0</v>
      </c>
      <c r="G18">
        <f t="array" ref="G18">IFERROR(VLOOKUP(G$4&amp;$A18,IF({1,0},#REF!&amp;#REF!,#REF!),2,FALSE),0)</f>
        <v>0</v>
      </c>
      <c r="H18">
        <f t="array" ref="H18">IFERROR(VLOOKUP(H$4&amp;$A18,IF({1,0},#REF!&amp;#REF!,#REF!),2,FALSE),0)</f>
        <v>0</v>
      </c>
      <c r="I18">
        <f t="array" ref="I18">IFERROR(VLOOKUP(I$4&amp;$A18,IF({1,0},#REF!&amp;#REF!,#REF!),2,FALSE),0)</f>
        <v>0</v>
      </c>
      <c r="J18">
        <f t="array" ref="J18">IFERROR(VLOOKUP(J$4&amp;$A18,IF({1,0},#REF!&amp;#REF!,#REF!),2,FALSE),0)</f>
        <v>0</v>
      </c>
      <c r="K18">
        <f t="array" ref="K18">IFERROR(VLOOKUP(K$4&amp;$A18,IF({1,0},#REF!&amp;#REF!,#REF!),2,FALSE),0)</f>
        <v>0</v>
      </c>
      <c r="L18">
        <f t="array" ref="L18">IFERROR(VLOOKUP(L$4&amp;$A18,IF({1,0},#REF!&amp;#REF!,#REF!),2,FALSE),0)</f>
        <v>0</v>
      </c>
      <c r="M18" s="15">
        <f t="shared" si="0"/>
        <v>0</v>
      </c>
      <c r="N18" s="15">
        <f>SUM($M$5:M18)</f>
        <v>0</v>
      </c>
    </row>
    <row r="19" spans="1:14">
      <c r="A19">
        <v>15</v>
      </c>
      <c r="B19">
        <v>1</v>
      </c>
      <c r="C19">
        <f t="array" ref="C19">IFERROR(VLOOKUP(C$4&amp;$A19,IF({1,0},#REF!&amp;#REF!,#REF!),2,FALSE),0)</f>
        <v>0</v>
      </c>
      <c r="D19">
        <f t="array" ref="D19">IFERROR(VLOOKUP(D$4&amp;$A19,IF({1,0},#REF!&amp;#REF!,#REF!),2,FALSE),0)</f>
        <v>0</v>
      </c>
      <c r="E19">
        <f t="array" ref="E19">IFERROR(VLOOKUP(E$4&amp;$A19,IF({1,0},#REF!&amp;#REF!,#REF!),2,FALSE),0)</f>
        <v>0</v>
      </c>
      <c r="F19">
        <f t="array" ref="F19">IFERROR(VLOOKUP(F$4&amp;$A19,IF({1,0},#REF!&amp;#REF!,#REF!),2,FALSE),0)</f>
        <v>0</v>
      </c>
      <c r="G19">
        <f t="array" ref="G19">IFERROR(VLOOKUP(G$4&amp;$A19,IF({1,0},#REF!&amp;#REF!,#REF!),2,FALSE),0)</f>
        <v>0</v>
      </c>
      <c r="H19">
        <f t="array" ref="H19">IFERROR(VLOOKUP(H$4&amp;$A19,IF({1,0},#REF!&amp;#REF!,#REF!),2,FALSE),0)</f>
        <v>0</v>
      </c>
      <c r="I19">
        <f t="array" ref="I19">IFERROR(VLOOKUP(I$4&amp;$A19,IF({1,0},#REF!&amp;#REF!,#REF!),2,FALSE),0)</f>
        <v>0</v>
      </c>
      <c r="J19">
        <f t="array" ref="J19">IFERROR(VLOOKUP(J$4&amp;$A19,IF({1,0},#REF!&amp;#REF!,#REF!),2,FALSE),0)</f>
        <v>0</v>
      </c>
      <c r="K19">
        <f t="array" ref="K19">IFERROR(VLOOKUP(K$4&amp;$A19,IF({1,0},#REF!&amp;#REF!,#REF!),2,FALSE),0)</f>
        <v>0</v>
      </c>
      <c r="L19">
        <f t="array" ref="L19">IFERROR(VLOOKUP(L$4&amp;$A19,IF({1,0},#REF!&amp;#REF!,#REF!),2,FALSE),0)</f>
        <v>0</v>
      </c>
      <c r="M19" s="15">
        <f t="shared" si="0"/>
        <v>0</v>
      </c>
      <c r="N19" s="15">
        <f>SUM($M$5:M19)</f>
        <v>0</v>
      </c>
    </row>
    <row r="20" spans="1:14">
      <c r="A20">
        <v>16</v>
      </c>
      <c r="B20">
        <v>1</v>
      </c>
      <c r="C20">
        <f t="array" ref="C20">IFERROR(VLOOKUP(C$4&amp;$A20,IF({1,0},#REF!&amp;#REF!,#REF!),2,FALSE),0)</f>
        <v>0</v>
      </c>
      <c r="D20">
        <f t="array" ref="D20">IFERROR(VLOOKUP(D$4&amp;$A20,IF({1,0},#REF!&amp;#REF!,#REF!),2,FALSE),0)</f>
        <v>0</v>
      </c>
      <c r="E20">
        <f t="array" ref="E20">IFERROR(VLOOKUP(E$4&amp;$A20,IF({1,0},#REF!&amp;#REF!,#REF!),2,FALSE),0)</f>
        <v>0</v>
      </c>
      <c r="F20">
        <f t="array" ref="F20">IFERROR(VLOOKUP(F$4&amp;$A20,IF({1,0},#REF!&amp;#REF!,#REF!),2,FALSE),0)</f>
        <v>0</v>
      </c>
      <c r="G20">
        <f t="array" ref="G20">IFERROR(VLOOKUP(G$4&amp;$A20,IF({1,0},#REF!&amp;#REF!,#REF!),2,FALSE),0)</f>
        <v>0</v>
      </c>
      <c r="H20">
        <f t="array" ref="H20">IFERROR(VLOOKUP(H$4&amp;$A20,IF({1,0},#REF!&amp;#REF!,#REF!),2,FALSE),0)</f>
        <v>0</v>
      </c>
      <c r="I20">
        <f t="array" ref="I20">IFERROR(VLOOKUP(I$4&amp;$A20,IF({1,0},#REF!&amp;#REF!,#REF!),2,FALSE),0)</f>
        <v>0</v>
      </c>
      <c r="J20">
        <f t="array" ref="J20">IFERROR(VLOOKUP(J$4&amp;$A20,IF({1,0},#REF!&amp;#REF!,#REF!),2,FALSE),0)</f>
        <v>0</v>
      </c>
      <c r="K20">
        <f t="array" ref="K20">IFERROR(VLOOKUP(K$4&amp;$A20,IF({1,0},#REF!&amp;#REF!,#REF!),2,FALSE),0)</f>
        <v>0</v>
      </c>
      <c r="L20">
        <f t="array" ref="L20">IFERROR(VLOOKUP(L$4&amp;$A20,IF({1,0},#REF!&amp;#REF!,#REF!),2,FALSE),0)</f>
        <v>0</v>
      </c>
      <c r="M20" s="15">
        <f t="shared" si="0"/>
        <v>0</v>
      </c>
      <c r="N20" s="15">
        <f>SUM($M$5:M20)</f>
        <v>0</v>
      </c>
    </row>
    <row r="21" spans="1:14">
      <c r="A21">
        <v>17</v>
      </c>
      <c r="B21">
        <v>1</v>
      </c>
      <c r="C21">
        <f t="array" ref="C21">IFERROR(VLOOKUP(C$4&amp;$A21,IF({1,0},#REF!&amp;#REF!,#REF!),2,FALSE),0)</f>
        <v>0</v>
      </c>
      <c r="D21">
        <f t="array" ref="D21">IFERROR(VLOOKUP(D$4&amp;$A21,IF({1,0},#REF!&amp;#REF!,#REF!),2,FALSE),0)</f>
        <v>0</v>
      </c>
      <c r="E21">
        <f t="array" ref="E21">IFERROR(VLOOKUP(E$4&amp;$A21,IF({1,0},#REF!&amp;#REF!,#REF!),2,FALSE),0)</f>
        <v>0</v>
      </c>
      <c r="F21">
        <f t="array" ref="F21">IFERROR(VLOOKUP(F$4&amp;$A21,IF({1,0},#REF!&amp;#REF!,#REF!),2,FALSE),0)</f>
        <v>0</v>
      </c>
      <c r="G21">
        <f t="array" ref="G21">IFERROR(VLOOKUP(G$4&amp;$A21,IF({1,0},#REF!&amp;#REF!,#REF!),2,FALSE),0)</f>
        <v>0</v>
      </c>
      <c r="H21">
        <f t="array" ref="H21">IFERROR(VLOOKUP(H$4&amp;$A21,IF({1,0},#REF!&amp;#REF!,#REF!),2,FALSE),0)</f>
        <v>0</v>
      </c>
      <c r="I21">
        <f t="array" ref="I21">IFERROR(VLOOKUP(I$4&amp;$A21,IF({1,0},#REF!&amp;#REF!,#REF!),2,FALSE),0)</f>
        <v>0</v>
      </c>
      <c r="J21">
        <f t="array" ref="J21">IFERROR(VLOOKUP(J$4&amp;$A21,IF({1,0},#REF!&amp;#REF!,#REF!),2,FALSE),0)</f>
        <v>0</v>
      </c>
      <c r="K21">
        <f t="array" ref="K21">IFERROR(VLOOKUP(K$4&amp;$A21,IF({1,0},#REF!&amp;#REF!,#REF!),2,FALSE),0)</f>
        <v>0</v>
      </c>
      <c r="L21">
        <f t="array" ref="L21">IFERROR(VLOOKUP(L$4&amp;$A21,IF({1,0},#REF!&amp;#REF!,#REF!),2,FALSE),0)</f>
        <v>0</v>
      </c>
      <c r="M21" s="15">
        <f t="shared" si="0"/>
        <v>0</v>
      </c>
      <c r="N21" s="15">
        <f>SUM($M$5:M21)</f>
        <v>0</v>
      </c>
    </row>
    <row r="22" spans="1:14">
      <c r="A22">
        <v>18</v>
      </c>
      <c r="B22">
        <v>1</v>
      </c>
      <c r="C22">
        <f t="array" ref="C22">IFERROR(VLOOKUP(C$4&amp;$A22,IF({1,0},#REF!&amp;#REF!,#REF!),2,FALSE),0)</f>
        <v>0</v>
      </c>
      <c r="D22">
        <f t="array" ref="D22">IFERROR(VLOOKUP(D$4&amp;$A22,IF({1,0},#REF!&amp;#REF!,#REF!),2,FALSE),0)</f>
        <v>0</v>
      </c>
      <c r="E22">
        <f t="array" ref="E22">IFERROR(VLOOKUP(E$4&amp;$A22,IF({1,0},#REF!&amp;#REF!,#REF!),2,FALSE),0)</f>
        <v>0</v>
      </c>
      <c r="F22">
        <f t="array" ref="F22">IFERROR(VLOOKUP(F$4&amp;$A22,IF({1,0},#REF!&amp;#REF!,#REF!),2,FALSE),0)</f>
        <v>0</v>
      </c>
      <c r="G22">
        <f t="array" ref="G22">IFERROR(VLOOKUP(G$4&amp;$A22,IF({1,0},#REF!&amp;#REF!,#REF!),2,FALSE),0)</f>
        <v>0</v>
      </c>
      <c r="H22">
        <f t="array" ref="H22">IFERROR(VLOOKUP(H$4&amp;$A22,IF({1,0},#REF!&amp;#REF!,#REF!),2,FALSE),0)</f>
        <v>0</v>
      </c>
      <c r="I22">
        <f t="array" ref="I22">IFERROR(VLOOKUP(I$4&amp;$A22,IF({1,0},#REF!&amp;#REF!,#REF!),2,FALSE),0)</f>
        <v>0</v>
      </c>
      <c r="J22">
        <f t="array" ref="J22">IFERROR(VLOOKUP(J$4&amp;$A22,IF({1,0},#REF!&amp;#REF!,#REF!),2,FALSE),0)</f>
        <v>0</v>
      </c>
      <c r="K22">
        <f t="array" ref="K22">IFERROR(VLOOKUP(K$4&amp;$A22,IF({1,0},#REF!&amp;#REF!,#REF!),2,FALSE),0)</f>
        <v>0</v>
      </c>
      <c r="L22">
        <f t="array" ref="L22">IFERROR(VLOOKUP(L$4&amp;$A22,IF({1,0},#REF!&amp;#REF!,#REF!),2,FALSE),0)</f>
        <v>0</v>
      </c>
      <c r="M22" s="15">
        <f t="shared" si="0"/>
        <v>0</v>
      </c>
      <c r="N22" s="15">
        <f>SUM($M$5:M22)</f>
        <v>0</v>
      </c>
    </row>
    <row r="23" spans="1:14">
      <c r="A23">
        <v>19</v>
      </c>
      <c r="B23">
        <v>1</v>
      </c>
      <c r="C23">
        <f t="array" ref="C23">IFERROR(VLOOKUP(C$4&amp;$A23,IF({1,0},#REF!&amp;#REF!,#REF!),2,FALSE),0)</f>
        <v>0</v>
      </c>
      <c r="D23">
        <f t="array" ref="D23">IFERROR(VLOOKUP(D$4&amp;$A23,IF({1,0},#REF!&amp;#REF!,#REF!),2,FALSE),0)</f>
        <v>0</v>
      </c>
      <c r="E23">
        <f t="array" ref="E23">IFERROR(VLOOKUP(E$4&amp;$A23,IF({1,0},#REF!&amp;#REF!,#REF!),2,FALSE),0)</f>
        <v>0</v>
      </c>
      <c r="F23">
        <f t="array" ref="F23">IFERROR(VLOOKUP(F$4&amp;$A23,IF({1,0},#REF!&amp;#REF!,#REF!),2,FALSE),0)</f>
        <v>0</v>
      </c>
      <c r="G23">
        <f t="array" ref="G23">IFERROR(VLOOKUP(G$4&amp;$A23,IF({1,0},#REF!&amp;#REF!,#REF!),2,FALSE),0)</f>
        <v>0</v>
      </c>
      <c r="H23">
        <f t="array" ref="H23">IFERROR(VLOOKUP(H$4&amp;$A23,IF({1,0},#REF!&amp;#REF!,#REF!),2,FALSE),0)</f>
        <v>0</v>
      </c>
      <c r="I23">
        <f t="array" ref="I23">IFERROR(VLOOKUP(I$4&amp;$A23,IF({1,0},#REF!&amp;#REF!,#REF!),2,FALSE),0)</f>
        <v>0</v>
      </c>
      <c r="J23">
        <f t="array" ref="J23">IFERROR(VLOOKUP(J$4&amp;$A23,IF({1,0},#REF!&amp;#REF!,#REF!),2,FALSE),0)</f>
        <v>0</v>
      </c>
      <c r="K23">
        <f t="array" ref="K23">IFERROR(VLOOKUP(K$4&amp;$A23,IF({1,0},#REF!&amp;#REF!,#REF!),2,FALSE),0)</f>
        <v>0</v>
      </c>
      <c r="L23">
        <f t="array" ref="L23">IFERROR(VLOOKUP(L$4&amp;$A23,IF({1,0},#REF!&amp;#REF!,#REF!),2,FALSE),0)</f>
        <v>0</v>
      </c>
      <c r="M23" s="15">
        <f t="shared" si="0"/>
        <v>0</v>
      </c>
      <c r="N23" s="15">
        <f>SUM($M$5:M23)</f>
        <v>0</v>
      </c>
    </row>
    <row r="24" spans="1:14">
      <c r="A24">
        <v>20</v>
      </c>
      <c r="B24">
        <v>1</v>
      </c>
      <c r="C24">
        <f t="array" ref="C24">IFERROR(VLOOKUP(C$4&amp;$A24,IF({1,0},#REF!&amp;#REF!,#REF!),2,FALSE),0)</f>
        <v>0</v>
      </c>
      <c r="D24">
        <f t="array" ref="D24">IFERROR(VLOOKUP(D$4&amp;$A24,IF({1,0},#REF!&amp;#REF!,#REF!),2,FALSE),0)</f>
        <v>0</v>
      </c>
      <c r="E24">
        <f t="array" ref="E24">IFERROR(VLOOKUP(E$4&amp;$A24,IF({1,0},#REF!&amp;#REF!,#REF!),2,FALSE),0)</f>
        <v>0</v>
      </c>
      <c r="F24">
        <f t="array" ref="F24">IFERROR(VLOOKUP(F$4&amp;$A24,IF({1,0},#REF!&amp;#REF!,#REF!),2,FALSE),0)</f>
        <v>0</v>
      </c>
      <c r="G24">
        <f t="array" ref="G24">IFERROR(VLOOKUP(G$4&amp;$A24,IF({1,0},#REF!&amp;#REF!,#REF!),2,FALSE),0)</f>
        <v>0</v>
      </c>
      <c r="H24">
        <f t="array" ref="H24">IFERROR(VLOOKUP(H$4&amp;$A24,IF({1,0},#REF!&amp;#REF!,#REF!),2,FALSE),0)</f>
        <v>0</v>
      </c>
      <c r="I24">
        <f t="array" ref="I24">IFERROR(VLOOKUP(I$4&amp;$A24,IF({1,0},#REF!&amp;#REF!,#REF!),2,FALSE),0)</f>
        <v>0</v>
      </c>
      <c r="J24">
        <f t="array" ref="J24">IFERROR(VLOOKUP(J$4&amp;$A24,IF({1,0},#REF!&amp;#REF!,#REF!),2,FALSE),0)</f>
        <v>0</v>
      </c>
      <c r="K24">
        <f t="array" ref="K24">IFERROR(VLOOKUP(K$4&amp;$A24,IF({1,0},#REF!&amp;#REF!,#REF!),2,FALSE),0)</f>
        <v>0</v>
      </c>
      <c r="L24">
        <f t="array" ref="L24">IFERROR(VLOOKUP(L$4&amp;$A24,IF({1,0},#REF!&amp;#REF!,#REF!),2,FALSE),0)</f>
        <v>0</v>
      </c>
      <c r="M24" s="15">
        <f t="shared" si="0"/>
        <v>0</v>
      </c>
      <c r="N24" s="15">
        <f>SUM($M$5:M24)</f>
        <v>0</v>
      </c>
    </row>
    <row r="25" spans="1:14">
      <c r="A25">
        <v>21</v>
      </c>
      <c r="B25">
        <v>1</v>
      </c>
      <c r="C25">
        <f t="array" ref="C25">IFERROR(VLOOKUP(C$4&amp;$A25,IF({1,0},#REF!&amp;#REF!,#REF!),2,FALSE),0)</f>
        <v>0</v>
      </c>
      <c r="D25">
        <f t="array" ref="D25">IFERROR(VLOOKUP(D$4&amp;$A25,IF({1,0},#REF!&amp;#REF!,#REF!),2,FALSE),0)</f>
        <v>0</v>
      </c>
      <c r="E25">
        <f t="array" ref="E25">IFERROR(VLOOKUP(E$4&amp;$A25,IF({1,0},#REF!&amp;#REF!,#REF!),2,FALSE),0)</f>
        <v>0</v>
      </c>
      <c r="F25">
        <f t="array" ref="F25">IFERROR(VLOOKUP(F$4&amp;$A25,IF({1,0},#REF!&amp;#REF!,#REF!),2,FALSE),0)</f>
        <v>0</v>
      </c>
      <c r="G25">
        <f t="array" ref="G25">IFERROR(VLOOKUP(G$4&amp;$A25,IF({1,0},#REF!&amp;#REF!,#REF!),2,FALSE),0)</f>
        <v>0</v>
      </c>
      <c r="H25">
        <f t="array" ref="H25">IFERROR(VLOOKUP(H$4&amp;$A25,IF({1,0},#REF!&amp;#REF!,#REF!),2,FALSE),0)</f>
        <v>0</v>
      </c>
      <c r="I25">
        <f t="array" ref="I25">IFERROR(VLOOKUP(I$4&amp;$A25,IF({1,0},#REF!&amp;#REF!,#REF!),2,FALSE),0)</f>
        <v>0</v>
      </c>
      <c r="J25">
        <f t="array" ref="J25">IFERROR(VLOOKUP(J$4&amp;$A25,IF({1,0},#REF!&amp;#REF!,#REF!),2,FALSE),0)</f>
        <v>0</v>
      </c>
      <c r="K25">
        <f t="array" ref="K25">IFERROR(VLOOKUP(K$4&amp;$A25,IF({1,0},#REF!&amp;#REF!,#REF!),2,FALSE),0)</f>
        <v>0</v>
      </c>
      <c r="L25">
        <f t="array" ref="L25">IFERROR(VLOOKUP(L$4&amp;$A25,IF({1,0},#REF!&amp;#REF!,#REF!),2,FALSE),0)</f>
        <v>0</v>
      </c>
      <c r="M25" s="15">
        <f t="shared" si="0"/>
        <v>0</v>
      </c>
      <c r="N25" s="15">
        <f>SUM($M$5:M25)</f>
        <v>0</v>
      </c>
    </row>
    <row r="26" spans="1:14">
      <c r="A26">
        <v>22</v>
      </c>
      <c r="B26">
        <v>1</v>
      </c>
      <c r="C26">
        <f t="array" ref="C26">IFERROR(VLOOKUP(C$4&amp;$A26,IF({1,0},#REF!&amp;#REF!,#REF!),2,FALSE),0)</f>
        <v>0</v>
      </c>
      <c r="D26">
        <f t="array" ref="D26">IFERROR(VLOOKUP(D$4&amp;$A26,IF({1,0},#REF!&amp;#REF!,#REF!),2,FALSE),0)</f>
        <v>0</v>
      </c>
      <c r="E26">
        <f t="array" ref="E26">IFERROR(VLOOKUP(E$4&amp;$A26,IF({1,0},#REF!&amp;#REF!,#REF!),2,FALSE),0)</f>
        <v>0</v>
      </c>
      <c r="F26">
        <f t="array" ref="F26">IFERROR(VLOOKUP(F$4&amp;$A26,IF({1,0},#REF!&amp;#REF!,#REF!),2,FALSE),0)</f>
        <v>0</v>
      </c>
      <c r="G26">
        <f t="array" ref="G26">IFERROR(VLOOKUP(G$4&amp;$A26,IF({1,0},#REF!&amp;#REF!,#REF!),2,FALSE),0)</f>
        <v>0</v>
      </c>
      <c r="H26">
        <f t="array" ref="H26">IFERROR(VLOOKUP(H$4&amp;$A26,IF({1,0},#REF!&amp;#REF!,#REF!),2,FALSE),0)</f>
        <v>0</v>
      </c>
      <c r="I26">
        <f t="array" ref="I26">IFERROR(VLOOKUP(I$4&amp;$A26,IF({1,0},#REF!&amp;#REF!,#REF!),2,FALSE),0)</f>
        <v>0</v>
      </c>
      <c r="J26">
        <f t="array" ref="J26">IFERROR(VLOOKUP(J$4&amp;$A26,IF({1,0},#REF!&amp;#REF!,#REF!),2,FALSE),0)</f>
        <v>0</v>
      </c>
      <c r="K26">
        <f t="array" ref="K26">IFERROR(VLOOKUP(K$4&amp;$A26,IF({1,0},#REF!&amp;#REF!,#REF!),2,FALSE),0)</f>
        <v>0</v>
      </c>
      <c r="L26">
        <f t="array" ref="L26">IFERROR(VLOOKUP(L$4&amp;$A26,IF({1,0},#REF!&amp;#REF!,#REF!),2,FALSE),0)</f>
        <v>0</v>
      </c>
      <c r="M26" s="15">
        <f t="shared" si="0"/>
        <v>0</v>
      </c>
      <c r="N26" s="15">
        <f>SUM($M$5:M26)</f>
        <v>0</v>
      </c>
    </row>
    <row r="27" spans="1:14">
      <c r="A27">
        <v>23</v>
      </c>
      <c r="B27">
        <v>1</v>
      </c>
      <c r="C27">
        <f t="array" ref="C27">IFERROR(VLOOKUP(C$4&amp;$A27,IF({1,0},#REF!&amp;#REF!,#REF!),2,FALSE),0)</f>
        <v>0</v>
      </c>
      <c r="D27">
        <f t="array" ref="D27">IFERROR(VLOOKUP(D$4&amp;$A27,IF({1,0},#REF!&amp;#REF!,#REF!),2,FALSE),0)</f>
        <v>0</v>
      </c>
      <c r="E27">
        <f t="array" ref="E27">IFERROR(VLOOKUP(E$4&amp;$A27,IF({1,0},#REF!&amp;#REF!,#REF!),2,FALSE),0)</f>
        <v>0</v>
      </c>
      <c r="F27">
        <f t="array" ref="F27">IFERROR(VLOOKUP(F$4&amp;$A27,IF({1,0},#REF!&amp;#REF!,#REF!),2,FALSE),0)</f>
        <v>0</v>
      </c>
      <c r="G27">
        <f t="array" ref="G27">IFERROR(VLOOKUP(G$4&amp;$A27,IF({1,0},#REF!&amp;#REF!,#REF!),2,FALSE),0)</f>
        <v>0</v>
      </c>
      <c r="H27">
        <f t="array" ref="H27">IFERROR(VLOOKUP(H$4&amp;$A27,IF({1,0},#REF!&amp;#REF!,#REF!),2,FALSE),0)</f>
        <v>0</v>
      </c>
      <c r="I27">
        <f t="array" ref="I27">IFERROR(VLOOKUP(I$4&amp;$A27,IF({1,0},#REF!&amp;#REF!,#REF!),2,FALSE),0)</f>
        <v>0</v>
      </c>
      <c r="J27">
        <f t="array" ref="J27">IFERROR(VLOOKUP(J$4&amp;$A27,IF({1,0},#REF!&amp;#REF!,#REF!),2,FALSE),0)</f>
        <v>0</v>
      </c>
      <c r="K27">
        <f t="array" ref="K27">IFERROR(VLOOKUP(K$4&amp;$A27,IF({1,0},#REF!&amp;#REF!,#REF!),2,FALSE),0)</f>
        <v>0</v>
      </c>
      <c r="L27">
        <f t="array" ref="L27">IFERROR(VLOOKUP(L$4&amp;$A27,IF({1,0},#REF!&amp;#REF!,#REF!),2,FALSE),0)</f>
        <v>0</v>
      </c>
      <c r="M27" s="15">
        <f t="shared" si="0"/>
        <v>0</v>
      </c>
      <c r="N27" s="15">
        <f>SUM($M$5:M27)</f>
        <v>0</v>
      </c>
    </row>
    <row r="28" spans="1:14">
      <c r="A28">
        <v>24</v>
      </c>
      <c r="B28">
        <v>1</v>
      </c>
      <c r="C28">
        <f t="array" ref="C28">IFERROR(VLOOKUP(C$4&amp;$A28,IF({1,0},#REF!&amp;#REF!,#REF!),2,FALSE),0)</f>
        <v>0</v>
      </c>
      <c r="D28">
        <f t="array" ref="D28">IFERROR(VLOOKUP(D$4&amp;$A28,IF({1,0},#REF!&amp;#REF!,#REF!),2,FALSE),0)</f>
        <v>0</v>
      </c>
      <c r="E28">
        <f t="array" ref="E28">IFERROR(VLOOKUP(E$4&amp;$A28,IF({1,0},#REF!&amp;#REF!,#REF!),2,FALSE),0)</f>
        <v>0</v>
      </c>
      <c r="F28">
        <f t="array" ref="F28">IFERROR(VLOOKUP(F$4&amp;$A28,IF({1,0},#REF!&amp;#REF!,#REF!),2,FALSE),0)</f>
        <v>0</v>
      </c>
      <c r="G28">
        <f t="array" ref="G28">IFERROR(VLOOKUP(G$4&amp;$A28,IF({1,0},#REF!&amp;#REF!,#REF!),2,FALSE),0)</f>
        <v>0</v>
      </c>
      <c r="H28">
        <f t="array" ref="H28">IFERROR(VLOOKUP(H$4&amp;$A28,IF({1,0},#REF!&amp;#REF!,#REF!),2,FALSE),0)</f>
        <v>0</v>
      </c>
      <c r="I28">
        <f t="array" ref="I28">IFERROR(VLOOKUP(I$4&amp;$A28,IF({1,0},#REF!&amp;#REF!,#REF!),2,FALSE),0)</f>
        <v>0</v>
      </c>
      <c r="J28">
        <f t="array" ref="J28">IFERROR(VLOOKUP(J$4&amp;$A28,IF({1,0},#REF!&amp;#REF!,#REF!),2,FALSE),0)</f>
        <v>0</v>
      </c>
      <c r="K28">
        <f t="array" ref="K28">IFERROR(VLOOKUP(K$4&amp;$A28,IF({1,0},#REF!&amp;#REF!,#REF!),2,FALSE),0)</f>
        <v>0</v>
      </c>
      <c r="L28">
        <f t="array" ref="L28">IFERROR(VLOOKUP(L$4&amp;$A28,IF({1,0},#REF!&amp;#REF!,#REF!),2,FALSE),0)</f>
        <v>0</v>
      </c>
      <c r="M28" s="15">
        <f t="shared" si="0"/>
        <v>0</v>
      </c>
      <c r="N28" s="15">
        <f>SUM($M$5:M28)</f>
        <v>0</v>
      </c>
    </row>
    <row r="29" spans="1:14">
      <c r="A29">
        <v>25</v>
      </c>
      <c r="B29">
        <v>1</v>
      </c>
      <c r="C29">
        <f t="array" ref="C29">IFERROR(VLOOKUP(C$4&amp;$A29,IF({1,0},#REF!&amp;#REF!,#REF!),2,FALSE),0)</f>
        <v>0</v>
      </c>
      <c r="D29">
        <f t="array" ref="D29">IFERROR(VLOOKUP(D$4&amp;$A29,IF({1,0},#REF!&amp;#REF!,#REF!),2,FALSE),0)</f>
        <v>0</v>
      </c>
      <c r="E29">
        <f t="array" ref="E29">IFERROR(VLOOKUP(E$4&amp;$A29,IF({1,0},#REF!&amp;#REF!,#REF!),2,FALSE),0)</f>
        <v>0</v>
      </c>
      <c r="F29">
        <f t="array" ref="F29">IFERROR(VLOOKUP(F$4&amp;$A29,IF({1,0},#REF!&amp;#REF!,#REF!),2,FALSE),0)</f>
        <v>0</v>
      </c>
      <c r="G29">
        <f t="array" ref="G29">IFERROR(VLOOKUP(G$4&amp;$A29,IF({1,0},#REF!&amp;#REF!,#REF!),2,FALSE),0)</f>
        <v>0</v>
      </c>
      <c r="H29">
        <f t="array" ref="H29">IFERROR(VLOOKUP(H$4&amp;$A29,IF({1,0},#REF!&amp;#REF!,#REF!),2,FALSE),0)</f>
        <v>0</v>
      </c>
      <c r="I29">
        <f t="array" ref="I29">IFERROR(VLOOKUP(I$4&amp;$A29,IF({1,0},#REF!&amp;#REF!,#REF!),2,FALSE),0)</f>
        <v>0</v>
      </c>
      <c r="J29">
        <f t="array" ref="J29">IFERROR(VLOOKUP(J$4&amp;$A29,IF({1,0},#REF!&amp;#REF!,#REF!),2,FALSE),0)</f>
        <v>0</v>
      </c>
      <c r="K29">
        <f t="array" ref="K29">IFERROR(VLOOKUP(K$4&amp;$A29,IF({1,0},#REF!&amp;#REF!,#REF!),2,FALSE),0)</f>
        <v>0</v>
      </c>
      <c r="L29">
        <f t="array" ref="L29">IFERROR(VLOOKUP(L$4&amp;$A29,IF({1,0},#REF!&amp;#REF!,#REF!),2,FALSE),0)</f>
        <v>0</v>
      </c>
      <c r="M29" s="15">
        <f t="shared" si="0"/>
        <v>0</v>
      </c>
      <c r="N29" s="15">
        <f>SUM($M$5:M29)</f>
        <v>0</v>
      </c>
    </row>
    <row r="30" spans="1:14">
      <c r="A30">
        <v>26</v>
      </c>
      <c r="B30">
        <v>1</v>
      </c>
      <c r="C30">
        <f t="array" ref="C30">IFERROR(VLOOKUP(C$4&amp;$A30,IF({1,0},#REF!&amp;#REF!,#REF!),2,FALSE),0)</f>
        <v>0</v>
      </c>
      <c r="D30">
        <f t="array" ref="D30">IFERROR(VLOOKUP(D$4&amp;$A30,IF({1,0},#REF!&amp;#REF!,#REF!),2,FALSE),0)</f>
        <v>0</v>
      </c>
      <c r="E30">
        <f t="array" ref="E30">IFERROR(VLOOKUP(E$4&amp;$A30,IF({1,0},#REF!&amp;#REF!,#REF!),2,FALSE),0)</f>
        <v>0</v>
      </c>
      <c r="F30">
        <f t="array" ref="F30">IFERROR(VLOOKUP(F$4&amp;$A30,IF({1,0},#REF!&amp;#REF!,#REF!),2,FALSE),0)</f>
        <v>0</v>
      </c>
      <c r="G30">
        <f t="array" ref="G30">IFERROR(VLOOKUP(G$4&amp;$A30,IF({1,0},#REF!&amp;#REF!,#REF!),2,FALSE),0)</f>
        <v>0</v>
      </c>
      <c r="H30">
        <f t="array" ref="H30">IFERROR(VLOOKUP(H$4&amp;$A30,IF({1,0},#REF!&amp;#REF!,#REF!),2,FALSE),0)</f>
        <v>0</v>
      </c>
      <c r="I30">
        <f t="array" ref="I30">IFERROR(VLOOKUP(I$4&amp;$A30,IF({1,0},#REF!&amp;#REF!,#REF!),2,FALSE),0)</f>
        <v>0</v>
      </c>
      <c r="J30">
        <f t="array" ref="J30">IFERROR(VLOOKUP(J$4&amp;$A30,IF({1,0},#REF!&amp;#REF!,#REF!),2,FALSE),0)</f>
        <v>0</v>
      </c>
      <c r="K30">
        <f t="array" ref="K30">IFERROR(VLOOKUP(K$4&amp;$A30,IF({1,0},#REF!&amp;#REF!,#REF!),2,FALSE),0)</f>
        <v>0</v>
      </c>
      <c r="L30">
        <f t="array" ref="L30">IFERROR(VLOOKUP(L$4&amp;$A30,IF({1,0},#REF!&amp;#REF!,#REF!),2,FALSE),0)</f>
        <v>0</v>
      </c>
      <c r="M30" s="15">
        <f t="shared" si="0"/>
        <v>0</v>
      </c>
      <c r="N30" s="15">
        <f>SUM($M$5:M30)</f>
        <v>0</v>
      </c>
    </row>
    <row r="31" spans="1:14">
      <c r="A31">
        <v>27</v>
      </c>
      <c r="B31">
        <v>1</v>
      </c>
      <c r="C31">
        <f t="array" ref="C31">IFERROR(VLOOKUP(C$4&amp;$A31,IF({1,0},#REF!&amp;#REF!,#REF!),2,FALSE),0)</f>
        <v>0</v>
      </c>
      <c r="D31">
        <f t="array" ref="D31">IFERROR(VLOOKUP(D$4&amp;$A31,IF({1,0},#REF!&amp;#REF!,#REF!),2,FALSE),0)</f>
        <v>0</v>
      </c>
      <c r="E31">
        <f t="array" ref="E31">IFERROR(VLOOKUP(E$4&amp;$A31,IF({1,0},#REF!&amp;#REF!,#REF!),2,FALSE),0)</f>
        <v>0</v>
      </c>
      <c r="F31">
        <f t="array" ref="F31">IFERROR(VLOOKUP(F$4&amp;$A31,IF({1,0},#REF!&amp;#REF!,#REF!),2,FALSE),0)</f>
        <v>0</v>
      </c>
      <c r="G31">
        <f t="array" ref="G31">IFERROR(VLOOKUP(G$4&amp;$A31,IF({1,0},#REF!&amp;#REF!,#REF!),2,FALSE),0)</f>
        <v>0</v>
      </c>
      <c r="H31">
        <f t="array" ref="H31">IFERROR(VLOOKUP(H$4&amp;$A31,IF({1,0},#REF!&amp;#REF!,#REF!),2,FALSE),0)</f>
        <v>0</v>
      </c>
      <c r="I31">
        <f t="array" ref="I31">IFERROR(VLOOKUP(I$4&amp;$A31,IF({1,0},#REF!&amp;#REF!,#REF!),2,FALSE),0)</f>
        <v>0</v>
      </c>
      <c r="J31">
        <f t="array" ref="J31">IFERROR(VLOOKUP(J$4&amp;$A31,IF({1,0},#REF!&amp;#REF!,#REF!),2,FALSE),0)</f>
        <v>0</v>
      </c>
      <c r="K31">
        <f t="array" ref="K31">IFERROR(VLOOKUP(K$4&amp;$A31,IF({1,0},#REF!&amp;#REF!,#REF!),2,FALSE),0)</f>
        <v>0</v>
      </c>
      <c r="L31">
        <f t="array" ref="L31">IFERROR(VLOOKUP(L$4&amp;$A31,IF({1,0},#REF!&amp;#REF!,#REF!),2,FALSE),0)</f>
        <v>0</v>
      </c>
      <c r="M31" s="15">
        <f t="shared" si="0"/>
        <v>0</v>
      </c>
      <c r="N31" s="15">
        <f>SUM($M$5:M31)</f>
        <v>0</v>
      </c>
    </row>
    <row r="32" spans="1:14">
      <c r="A32">
        <v>28</v>
      </c>
      <c r="B32">
        <v>1</v>
      </c>
      <c r="C32">
        <f t="array" ref="C32">IFERROR(VLOOKUP(C$4&amp;$A32,IF({1,0},#REF!&amp;#REF!,#REF!),2,FALSE),0)</f>
        <v>0</v>
      </c>
      <c r="D32">
        <f t="array" ref="D32">IFERROR(VLOOKUP(D$4&amp;$A32,IF({1,0},#REF!&amp;#REF!,#REF!),2,FALSE),0)</f>
        <v>0</v>
      </c>
      <c r="E32">
        <f t="array" ref="E32">IFERROR(VLOOKUP(E$4&amp;$A32,IF({1,0},#REF!&amp;#REF!,#REF!),2,FALSE),0)</f>
        <v>0</v>
      </c>
      <c r="F32">
        <f t="array" ref="F32">IFERROR(VLOOKUP(F$4&amp;$A32,IF({1,0},#REF!&amp;#REF!,#REF!),2,FALSE),0)</f>
        <v>0</v>
      </c>
      <c r="G32">
        <f t="array" ref="G32">IFERROR(VLOOKUP(G$4&amp;$A32,IF({1,0},#REF!&amp;#REF!,#REF!),2,FALSE),0)</f>
        <v>0</v>
      </c>
      <c r="H32">
        <f t="array" ref="H32">IFERROR(VLOOKUP(H$4&amp;$A32,IF({1,0},#REF!&amp;#REF!,#REF!),2,FALSE),0)</f>
        <v>0</v>
      </c>
      <c r="I32">
        <f t="array" ref="I32">IFERROR(VLOOKUP(I$4&amp;$A32,IF({1,0},#REF!&amp;#REF!,#REF!),2,FALSE),0)</f>
        <v>0</v>
      </c>
      <c r="J32">
        <f t="array" ref="J32">IFERROR(VLOOKUP(J$4&amp;$A32,IF({1,0},#REF!&amp;#REF!,#REF!),2,FALSE),0)</f>
        <v>0</v>
      </c>
      <c r="K32">
        <f t="array" ref="K32">IFERROR(VLOOKUP(K$4&amp;$A32,IF({1,0},#REF!&amp;#REF!,#REF!),2,FALSE),0)</f>
        <v>0</v>
      </c>
      <c r="L32">
        <f t="array" ref="L32">IFERROR(VLOOKUP(L$4&amp;$A32,IF({1,0},#REF!&amp;#REF!,#REF!),2,FALSE),0)</f>
        <v>0</v>
      </c>
      <c r="M32" s="15">
        <f t="shared" si="0"/>
        <v>0</v>
      </c>
      <c r="N32" s="15">
        <f>SUM($M$5:M32)</f>
        <v>0</v>
      </c>
    </row>
    <row r="33" spans="1:14">
      <c r="A33">
        <v>29</v>
      </c>
      <c r="B33">
        <v>1</v>
      </c>
      <c r="C33">
        <f t="array" ref="C33">IFERROR(VLOOKUP(C$4&amp;$A33,IF({1,0},#REF!&amp;#REF!,#REF!),2,FALSE),0)</f>
        <v>0</v>
      </c>
      <c r="D33">
        <f t="array" ref="D33">IFERROR(VLOOKUP(D$4&amp;$A33,IF({1,0},#REF!&amp;#REF!,#REF!),2,FALSE),0)</f>
        <v>0</v>
      </c>
      <c r="E33">
        <f t="array" ref="E33">IFERROR(VLOOKUP(E$4&amp;$A33,IF({1,0},#REF!&amp;#REF!,#REF!),2,FALSE),0)</f>
        <v>0</v>
      </c>
      <c r="F33">
        <f t="array" ref="F33">IFERROR(VLOOKUP(F$4&amp;$A33,IF({1,0},#REF!&amp;#REF!,#REF!),2,FALSE),0)</f>
        <v>0</v>
      </c>
      <c r="G33">
        <f t="array" ref="G33">IFERROR(VLOOKUP(G$4&amp;$A33,IF({1,0},#REF!&amp;#REF!,#REF!),2,FALSE),0)</f>
        <v>0</v>
      </c>
      <c r="H33">
        <f t="array" ref="H33">IFERROR(VLOOKUP(H$4&amp;$A33,IF({1,0},#REF!&amp;#REF!,#REF!),2,FALSE),0)</f>
        <v>0</v>
      </c>
      <c r="I33">
        <f t="array" ref="I33">IFERROR(VLOOKUP(I$4&amp;$A33,IF({1,0},#REF!&amp;#REF!,#REF!),2,FALSE),0)</f>
        <v>0</v>
      </c>
      <c r="J33">
        <f t="array" ref="J33">IFERROR(VLOOKUP(J$4&amp;$A33,IF({1,0},#REF!&amp;#REF!,#REF!),2,FALSE),0)</f>
        <v>0</v>
      </c>
      <c r="K33">
        <f t="array" ref="K33">IFERROR(VLOOKUP(K$4&amp;$A33,IF({1,0},#REF!&amp;#REF!,#REF!),2,FALSE),0)</f>
        <v>0</v>
      </c>
      <c r="L33">
        <f t="array" ref="L33">IFERROR(VLOOKUP(L$4&amp;$A33,IF({1,0},#REF!&amp;#REF!,#REF!),2,FALSE),0)</f>
        <v>0</v>
      </c>
      <c r="M33" s="15">
        <f t="shared" si="0"/>
        <v>0</v>
      </c>
      <c r="N33" s="15">
        <f>SUM($M$5:M33)</f>
        <v>0</v>
      </c>
    </row>
    <row r="34" spans="1:14">
      <c r="A34">
        <v>30</v>
      </c>
      <c r="B34">
        <v>1</v>
      </c>
      <c r="C34">
        <f t="array" ref="C34">IFERROR(VLOOKUP(C$4&amp;$A34,IF({1,0},#REF!&amp;#REF!,#REF!),2,FALSE),0)</f>
        <v>0</v>
      </c>
      <c r="D34">
        <f t="array" ref="D34">IFERROR(VLOOKUP(D$4&amp;$A34,IF({1,0},#REF!&amp;#REF!,#REF!),2,FALSE),0)</f>
        <v>0</v>
      </c>
      <c r="E34">
        <f t="array" ref="E34">IFERROR(VLOOKUP(E$4&amp;$A34,IF({1,0},#REF!&amp;#REF!,#REF!),2,FALSE),0)</f>
        <v>0</v>
      </c>
      <c r="F34">
        <f t="array" ref="F34">IFERROR(VLOOKUP(F$4&amp;$A34,IF({1,0},#REF!&amp;#REF!,#REF!),2,FALSE),0)</f>
        <v>0</v>
      </c>
      <c r="G34">
        <f t="array" ref="G34">IFERROR(VLOOKUP(G$4&amp;$A34,IF({1,0},#REF!&amp;#REF!,#REF!),2,FALSE),0)</f>
        <v>0</v>
      </c>
      <c r="H34">
        <f t="array" ref="H34">IFERROR(VLOOKUP(H$4&amp;$A34,IF({1,0},#REF!&amp;#REF!,#REF!),2,FALSE),0)</f>
        <v>0</v>
      </c>
      <c r="I34">
        <f t="array" ref="I34">IFERROR(VLOOKUP(I$4&amp;$A34,IF({1,0},#REF!&amp;#REF!,#REF!),2,FALSE),0)</f>
        <v>0</v>
      </c>
      <c r="J34">
        <f t="array" ref="J34">IFERROR(VLOOKUP(J$4&amp;$A34,IF({1,0},#REF!&amp;#REF!,#REF!),2,FALSE),0)</f>
        <v>0</v>
      </c>
      <c r="K34">
        <f t="array" ref="K34">IFERROR(VLOOKUP(K$4&amp;$A34,IF({1,0},#REF!&amp;#REF!,#REF!),2,FALSE),0)</f>
        <v>0</v>
      </c>
      <c r="L34">
        <f t="array" ref="L34">IFERROR(VLOOKUP(L$4&amp;$A34,IF({1,0},#REF!&amp;#REF!,#REF!),2,FALSE),0)</f>
        <v>0</v>
      </c>
      <c r="M34" s="15">
        <f t="shared" si="0"/>
        <v>0</v>
      </c>
      <c r="N34" s="15">
        <f>SUM($M$5:M34)</f>
        <v>0</v>
      </c>
    </row>
    <row r="35" spans="1:14">
      <c r="A35">
        <v>31</v>
      </c>
      <c r="B35">
        <v>1</v>
      </c>
      <c r="C35">
        <f t="array" ref="C35">IFERROR(VLOOKUP(C$4&amp;$A35,IF({1,0},#REF!&amp;#REF!,#REF!),2,FALSE),0)</f>
        <v>0</v>
      </c>
      <c r="D35">
        <f t="array" ref="D35">IFERROR(VLOOKUP(D$4&amp;$A35,IF({1,0},#REF!&amp;#REF!,#REF!),2,FALSE),0)</f>
        <v>0</v>
      </c>
      <c r="E35">
        <f t="array" ref="E35">IFERROR(VLOOKUP(E$4&amp;$A35,IF({1,0},#REF!&amp;#REF!,#REF!),2,FALSE),0)</f>
        <v>0</v>
      </c>
      <c r="F35">
        <f t="array" ref="F35">IFERROR(VLOOKUP(F$4&amp;$A35,IF({1,0},#REF!&amp;#REF!,#REF!),2,FALSE),0)</f>
        <v>0</v>
      </c>
      <c r="G35">
        <f t="array" ref="G35">IFERROR(VLOOKUP(G$4&amp;$A35,IF({1,0},#REF!&amp;#REF!,#REF!),2,FALSE),0)</f>
        <v>0</v>
      </c>
      <c r="H35">
        <f t="array" ref="H35">IFERROR(VLOOKUP(H$4&amp;$A35,IF({1,0},#REF!&amp;#REF!,#REF!),2,FALSE),0)</f>
        <v>0</v>
      </c>
      <c r="I35">
        <f t="array" ref="I35">IFERROR(VLOOKUP(I$4&amp;$A35,IF({1,0},#REF!&amp;#REF!,#REF!),2,FALSE),0)</f>
        <v>0</v>
      </c>
      <c r="J35">
        <f t="array" ref="J35">IFERROR(VLOOKUP(J$4&amp;$A35,IF({1,0},#REF!&amp;#REF!,#REF!),2,FALSE),0)</f>
        <v>0</v>
      </c>
      <c r="K35">
        <f t="array" ref="K35">IFERROR(VLOOKUP(K$4&amp;$A35,IF({1,0},#REF!&amp;#REF!,#REF!),2,FALSE),0)</f>
        <v>0</v>
      </c>
      <c r="L35">
        <f t="array" ref="L35">IFERROR(VLOOKUP(L$4&amp;$A35,IF({1,0},#REF!&amp;#REF!,#REF!),2,FALSE),0)</f>
        <v>0</v>
      </c>
      <c r="M35" s="15">
        <f t="shared" si="0"/>
        <v>0</v>
      </c>
      <c r="N35" s="15">
        <f>SUM($M$5:M35)</f>
        <v>0</v>
      </c>
    </row>
    <row r="36" spans="1:14">
      <c r="A36">
        <v>32</v>
      </c>
      <c r="B36">
        <v>1</v>
      </c>
      <c r="C36">
        <f t="array" ref="C36">IFERROR(VLOOKUP(C$4&amp;$A36,IF({1,0},#REF!&amp;#REF!,#REF!),2,FALSE),0)</f>
        <v>0</v>
      </c>
      <c r="D36">
        <f t="array" ref="D36">IFERROR(VLOOKUP(D$4&amp;$A36,IF({1,0},#REF!&amp;#REF!,#REF!),2,FALSE),0)</f>
        <v>0</v>
      </c>
      <c r="E36">
        <f t="array" ref="E36">IFERROR(VLOOKUP(E$4&amp;$A36,IF({1,0},#REF!&amp;#REF!,#REF!),2,FALSE),0)</f>
        <v>0</v>
      </c>
      <c r="F36">
        <f t="array" ref="F36">IFERROR(VLOOKUP(F$4&amp;$A36,IF({1,0},#REF!&amp;#REF!,#REF!),2,FALSE),0)</f>
        <v>0</v>
      </c>
      <c r="G36">
        <f t="array" ref="G36">IFERROR(VLOOKUP(G$4&amp;$A36,IF({1,0},#REF!&amp;#REF!,#REF!),2,FALSE),0)</f>
        <v>0</v>
      </c>
      <c r="H36">
        <f t="array" ref="H36">IFERROR(VLOOKUP(H$4&amp;$A36,IF({1,0},#REF!&amp;#REF!,#REF!),2,FALSE),0)</f>
        <v>0</v>
      </c>
      <c r="I36">
        <f t="array" ref="I36">IFERROR(VLOOKUP(I$4&amp;$A36,IF({1,0},#REF!&amp;#REF!,#REF!),2,FALSE),0)</f>
        <v>0</v>
      </c>
      <c r="J36">
        <f t="array" ref="J36">IFERROR(VLOOKUP(J$4&amp;$A36,IF({1,0},#REF!&amp;#REF!,#REF!),2,FALSE),0)</f>
        <v>0</v>
      </c>
      <c r="K36">
        <f t="array" ref="K36">IFERROR(VLOOKUP(K$4&amp;$A36,IF({1,0},#REF!&amp;#REF!,#REF!),2,FALSE),0)</f>
        <v>0</v>
      </c>
      <c r="L36">
        <f t="array" ref="L36">IFERROR(VLOOKUP(L$4&amp;$A36,IF({1,0},#REF!&amp;#REF!,#REF!),2,FALSE),0)</f>
        <v>0</v>
      </c>
      <c r="M36" s="15">
        <f t="shared" si="0"/>
        <v>0</v>
      </c>
      <c r="N36" s="15">
        <f>SUM($M$5:M36)</f>
        <v>0</v>
      </c>
    </row>
    <row r="37" spans="1:14">
      <c r="A37">
        <v>33</v>
      </c>
      <c r="B37">
        <v>1</v>
      </c>
      <c r="C37">
        <f t="array" ref="C37">IFERROR(VLOOKUP(C$4&amp;$A37,IF({1,0},#REF!&amp;#REF!,#REF!),2,FALSE),0)</f>
        <v>0</v>
      </c>
      <c r="D37">
        <f t="array" ref="D37">IFERROR(VLOOKUP(D$4&amp;$A37,IF({1,0},#REF!&amp;#REF!,#REF!),2,FALSE),0)</f>
        <v>0</v>
      </c>
      <c r="E37">
        <f t="array" ref="E37">IFERROR(VLOOKUP(E$4&amp;$A37,IF({1,0},#REF!&amp;#REF!,#REF!),2,FALSE),0)</f>
        <v>0</v>
      </c>
      <c r="F37">
        <f t="array" ref="F37">IFERROR(VLOOKUP(F$4&amp;$A37,IF({1,0},#REF!&amp;#REF!,#REF!),2,FALSE),0)</f>
        <v>0</v>
      </c>
      <c r="G37">
        <f t="array" ref="G37">IFERROR(VLOOKUP(G$4&amp;$A37,IF({1,0},#REF!&amp;#REF!,#REF!),2,FALSE),0)</f>
        <v>0</v>
      </c>
      <c r="H37">
        <f t="array" ref="H37">IFERROR(VLOOKUP(H$4&amp;$A37,IF({1,0},#REF!&amp;#REF!,#REF!),2,FALSE),0)</f>
        <v>0</v>
      </c>
      <c r="I37">
        <f t="array" ref="I37">IFERROR(VLOOKUP(I$4&amp;$A37,IF({1,0},#REF!&amp;#REF!,#REF!),2,FALSE),0)</f>
        <v>0</v>
      </c>
      <c r="J37">
        <f t="array" ref="J37">IFERROR(VLOOKUP(J$4&amp;$A37,IF({1,0},#REF!&amp;#REF!,#REF!),2,FALSE),0)</f>
        <v>0</v>
      </c>
      <c r="K37">
        <f t="array" ref="K37">IFERROR(VLOOKUP(K$4&amp;$A37,IF({1,0},#REF!&amp;#REF!,#REF!),2,FALSE),0)</f>
        <v>0</v>
      </c>
      <c r="L37">
        <f t="array" ref="L37">IFERROR(VLOOKUP(L$4&amp;$A37,IF({1,0},#REF!&amp;#REF!,#REF!),2,FALSE),0)</f>
        <v>0</v>
      </c>
      <c r="M37" s="15">
        <f t="shared" si="0"/>
        <v>0</v>
      </c>
      <c r="N37" s="15">
        <f>SUM($M$5:M37)</f>
        <v>0</v>
      </c>
    </row>
    <row r="38" spans="1:14">
      <c r="A38">
        <v>34</v>
      </c>
      <c r="B38">
        <v>1</v>
      </c>
      <c r="C38">
        <f t="array" ref="C38">IFERROR(VLOOKUP(C$4&amp;$A38,IF({1,0},#REF!&amp;#REF!,#REF!),2,FALSE),0)</f>
        <v>0</v>
      </c>
      <c r="D38">
        <f t="array" ref="D38">IFERROR(VLOOKUP(D$4&amp;$A38,IF({1,0},#REF!&amp;#REF!,#REF!),2,FALSE),0)</f>
        <v>0</v>
      </c>
      <c r="E38">
        <f t="array" ref="E38">IFERROR(VLOOKUP(E$4&amp;$A38,IF({1,0},#REF!&amp;#REF!,#REF!),2,FALSE),0)</f>
        <v>0</v>
      </c>
      <c r="F38">
        <f t="array" ref="F38">IFERROR(VLOOKUP(F$4&amp;$A38,IF({1,0},#REF!&amp;#REF!,#REF!),2,FALSE),0)</f>
        <v>0</v>
      </c>
      <c r="G38">
        <f t="array" ref="G38">IFERROR(VLOOKUP(G$4&amp;$A38,IF({1,0},#REF!&amp;#REF!,#REF!),2,FALSE),0)</f>
        <v>0</v>
      </c>
      <c r="H38">
        <f t="array" ref="H38">IFERROR(VLOOKUP(H$4&amp;$A38,IF({1,0},#REF!&amp;#REF!,#REF!),2,FALSE),0)</f>
        <v>0</v>
      </c>
      <c r="I38">
        <f t="array" ref="I38">IFERROR(VLOOKUP(I$4&amp;$A38,IF({1,0},#REF!&amp;#REF!,#REF!),2,FALSE),0)</f>
        <v>0</v>
      </c>
      <c r="J38">
        <f t="array" ref="J38">IFERROR(VLOOKUP(J$4&amp;$A38,IF({1,0},#REF!&amp;#REF!,#REF!),2,FALSE),0)</f>
        <v>0</v>
      </c>
      <c r="K38">
        <f t="array" ref="K38">IFERROR(VLOOKUP(K$4&amp;$A38,IF({1,0},#REF!&amp;#REF!,#REF!),2,FALSE),0)</f>
        <v>0</v>
      </c>
      <c r="L38">
        <f t="array" ref="L38">IFERROR(VLOOKUP(L$4&amp;$A38,IF({1,0},#REF!&amp;#REF!,#REF!),2,FALSE),0)</f>
        <v>0</v>
      </c>
      <c r="M38" s="15">
        <f t="shared" si="0"/>
        <v>0</v>
      </c>
      <c r="N38" s="15">
        <f>SUM($M$5:M38)</f>
        <v>0</v>
      </c>
    </row>
    <row r="39" spans="1:14">
      <c r="A39">
        <v>35</v>
      </c>
      <c r="B39">
        <v>1</v>
      </c>
      <c r="C39">
        <f t="array" ref="C39">IFERROR(VLOOKUP(C$4&amp;$A39,IF({1,0},#REF!&amp;#REF!,#REF!),2,FALSE),0)</f>
        <v>0</v>
      </c>
      <c r="D39">
        <f t="array" ref="D39">IFERROR(VLOOKUP(D$4&amp;$A39,IF({1,0},#REF!&amp;#REF!,#REF!),2,FALSE),0)</f>
        <v>0</v>
      </c>
      <c r="E39">
        <f t="array" ref="E39">IFERROR(VLOOKUP(E$4&amp;$A39,IF({1,0},#REF!&amp;#REF!,#REF!),2,FALSE),0)</f>
        <v>0</v>
      </c>
      <c r="F39">
        <f t="array" ref="F39">IFERROR(VLOOKUP(F$4&amp;$A39,IF({1,0},#REF!&amp;#REF!,#REF!),2,FALSE),0)</f>
        <v>0</v>
      </c>
      <c r="G39">
        <f t="array" ref="G39">IFERROR(VLOOKUP(G$4&amp;$A39,IF({1,0},#REF!&amp;#REF!,#REF!),2,FALSE),0)</f>
        <v>0</v>
      </c>
      <c r="H39">
        <f t="array" ref="H39">IFERROR(VLOOKUP(H$4&amp;$A39,IF({1,0},#REF!&amp;#REF!,#REF!),2,FALSE),0)</f>
        <v>0</v>
      </c>
      <c r="I39">
        <f t="array" ref="I39">IFERROR(VLOOKUP(I$4&amp;$A39,IF({1,0},#REF!&amp;#REF!,#REF!),2,FALSE),0)</f>
        <v>0</v>
      </c>
      <c r="J39">
        <f t="array" ref="J39">IFERROR(VLOOKUP(J$4&amp;$A39,IF({1,0},#REF!&amp;#REF!,#REF!),2,FALSE),0)</f>
        <v>0</v>
      </c>
      <c r="K39">
        <f t="array" ref="K39">IFERROR(VLOOKUP(K$4&amp;$A39,IF({1,0},#REF!&amp;#REF!,#REF!),2,FALSE),0)</f>
        <v>0</v>
      </c>
      <c r="L39">
        <f t="array" ref="L39">IFERROR(VLOOKUP(L$4&amp;$A39,IF({1,0},#REF!&amp;#REF!,#REF!),2,FALSE),0)</f>
        <v>0</v>
      </c>
      <c r="M39" s="15">
        <f t="shared" si="0"/>
        <v>0</v>
      </c>
      <c r="N39" s="15">
        <f>SUM($M$5:M39)</f>
        <v>0</v>
      </c>
    </row>
    <row r="40" spans="1:14">
      <c r="A40">
        <v>36</v>
      </c>
      <c r="B40">
        <v>1</v>
      </c>
      <c r="C40">
        <f t="array" ref="C40">IFERROR(VLOOKUP(C$4&amp;$A40,IF({1,0},#REF!&amp;#REF!,#REF!),2,FALSE),0)</f>
        <v>0</v>
      </c>
      <c r="D40">
        <f t="array" ref="D40">IFERROR(VLOOKUP(D$4&amp;$A40,IF({1,0},#REF!&amp;#REF!,#REF!),2,FALSE),0)</f>
        <v>0</v>
      </c>
      <c r="E40">
        <f t="array" ref="E40">IFERROR(VLOOKUP(E$4&amp;$A40,IF({1,0},#REF!&amp;#REF!,#REF!),2,FALSE),0)</f>
        <v>0</v>
      </c>
      <c r="F40">
        <f t="array" ref="F40">IFERROR(VLOOKUP(F$4&amp;$A40,IF({1,0},#REF!&amp;#REF!,#REF!),2,FALSE),0)</f>
        <v>0</v>
      </c>
      <c r="G40">
        <f t="array" ref="G40">IFERROR(VLOOKUP(G$4&amp;$A40,IF({1,0},#REF!&amp;#REF!,#REF!),2,FALSE),0)</f>
        <v>0</v>
      </c>
      <c r="H40">
        <f t="array" ref="H40">IFERROR(VLOOKUP(H$4&amp;$A40,IF({1,0},#REF!&amp;#REF!,#REF!),2,FALSE),0)</f>
        <v>0</v>
      </c>
      <c r="I40">
        <f t="array" ref="I40">IFERROR(VLOOKUP(I$4&amp;$A40,IF({1,0},#REF!&amp;#REF!,#REF!),2,FALSE),0)</f>
        <v>0</v>
      </c>
      <c r="J40">
        <f t="array" ref="J40">IFERROR(VLOOKUP(J$4&amp;$A40,IF({1,0},#REF!&amp;#REF!,#REF!),2,FALSE),0)</f>
        <v>0</v>
      </c>
      <c r="K40">
        <f t="array" ref="K40">IFERROR(VLOOKUP(K$4&amp;$A40,IF({1,0},#REF!&amp;#REF!,#REF!),2,FALSE),0)</f>
        <v>0</v>
      </c>
      <c r="L40">
        <f t="array" ref="L40">IFERROR(VLOOKUP(L$4&amp;$A40,IF({1,0},#REF!&amp;#REF!,#REF!),2,FALSE),0)</f>
        <v>0</v>
      </c>
      <c r="M40" s="15">
        <f t="shared" si="0"/>
        <v>0</v>
      </c>
      <c r="N40" s="15">
        <f>SUM($M$5:M40)</f>
        <v>0</v>
      </c>
    </row>
    <row r="41" spans="1:14">
      <c r="A41">
        <v>37</v>
      </c>
      <c r="B41">
        <v>1</v>
      </c>
      <c r="C41">
        <f t="array" ref="C41">IFERROR(VLOOKUP(C$4&amp;$A41,IF({1,0},#REF!&amp;#REF!,#REF!),2,FALSE),0)</f>
        <v>0</v>
      </c>
      <c r="D41">
        <f t="array" ref="D41">IFERROR(VLOOKUP(D$4&amp;$A41,IF({1,0},#REF!&amp;#REF!,#REF!),2,FALSE),0)</f>
        <v>0</v>
      </c>
      <c r="E41">
        <f t="array" ref="E41">IFERROR(VLOOKUP(E$4&amp;$A41,IF({1,0},#REF!&amp;#REF!,#REF!),2,FALSE),0)</f>
        <v>0</v>
      </c>
      <c r="F41">
        <f t="array" ref="F41">IFERROR(VLOOKUP(F$4&amp;$A41,IF({1,0},#REF!&amp;#REF!,#REF!),2,FALSE),0)</f>
        <v>0</v>
      </c>
      <c r="G41">
        <f t="array" ref="G41">IFERROR(VLOOKUP(G$4&amp;$A41,IF({1,0},#REF!&amp;#REF!,#REF!),2,FALSE),0)</f>
        <v>0</v>
      </c>
      <c r="H41">
        <f t="array" ref="H41">IFERROR(VLOOKUP(H$4&amp;$A41,IF({1,0},#REF!&amp;#REF!,#REF!),2,FALSE),0)</f>
        <v>0</v>
      </c>
      <c r="I41">
        <f t="array" ref="I41">IFERROR(VLOOKUP(I$4&amp;$A41,IF({1,0},#REF!&amp;#REF!,#REF!),2,FALSE),0)</f>
        <v>0</v>
      </c>
      <c r="J41">
        <f t="array" ref="J41">IFERROR(VLOOKUP(J$4&amp;$A41,IF({1,0},#REF!&amp;#REF!,#REF!),2,FALSE),0)</f>
        <v>0</v>
      </c>
      <c r="K41">
        <f t="array" ref="K41">IFERROR(VLOOKUP(K$4&amp;$A41,IF({1,0},#REF!&amp;#REF!,#REF!),2,FALSE),0)</f>
        <v>0</v>
      </c>
      <c r="L41">
        <f t="array" ref="L41">IFERROR(VLOOKUP(L$4&amp;$A41,IF({1,0},#REF!&amp;#REF!,#REF!),2,FALSE),0)</f>
        <v>0</v>
      </c>
      <c r="M41" s="15">
        <f t="shared" si="0"/>
        <v>0</v>
      </c>
      <c r="N41" s="15">
        <f>SUM($M$5:M41)</f>
        <v>0</v>
      </c>
    </row>
    <row r="42" spans="1:14">
      <c r="A42">
        <v>38</v>
      </c>
      <c r="B42">
        <v>1</v>
      </c>
      <c r="C42">
        <f t="array" ref="C42">IFERROR(VLOOKUP(C$4&amp;$A42,IF({1,0},#REF!&amp;#REF!,#REF!),2,FALSE),0)</f>
        <v>0</v>
      </c>
      <c r="D42">
        <f t="array" ref="D42">IFERROR(VLOOKUP(D$4&amp;$A42,IF({1,0},#REF!&amp;#REF!,#REF!),2,FALSE),0)</f>
        <v>0</v>
      </c>
      <c r="E42">
        <f t="array" ref="E42">IFERROR(VLOOKUP(E$4&amp;$A42,IF({1,0},#REF!&amp;#REF!,#REF!),2,FALSE),0)</f>
        <v>0</v>
      </c>
      <c r="F42">
        <f t="array" ref="F42">IFERROR(VLOOKUP(F$4&amp;$A42,IF({1,0},#REF!&amp;#REF!,#REF!),2,FALSE),0)</f>
        <v>0</v>
      </c>
      <c r="G42">
        <f t="array" ref="G42">IFERROR(VLOOKUP(G$4&amp;$A42,IF({1,0},#REF!&amp;#REF!,#REF!),2,FALSE),0)</f>
        <v>0</v>
      </c>
      <c r="H42">
        <f t="array" ref="H42">IFERROR(VLOOKUP(H$4&amp;$A42,IF({1,0},#REF!&amp;#REF!,#REF!),2,FALSE),0)</f>
        <v>0</v>
      </c>
      <c r="I42">
        <f t="array" ref="I42">IFERROR(VLOOKUP(I$4&amp;$A42,IF({1,0},#REF!&amp;#REF!,#REF!),2,FALSE),0)</f>
        <v>0</v>
      </c>
      <c r="J42">
        <f t="array" ref="J42">IFERROR(VLOOKUP(J$4&amp;$A42,IF({1,0},#REF!&amp;#REF!,#REF!),2,FALSE),0)</f>
        <v>0</v>
      </c>
      <c r="K42">
        <f t="array" ref="K42">IFERROR(VLOOKUP(K$4&amp;$A42,IF({1,0},#REF!&amp;#REF!,#REF!),2,FALSE),0)</f>
        <v>0</v>
      </c>
      <c r="L42">
        <f t="array" ref="L42">IFERROR(VLOOKUP(L$4&amp;$A42,IF({1,0},#REF!&amp;#REF!,#REF!),2,FALSE),0)</f>
        <v>0</v>
      </c>
      <c r="M42" s="15">
        <f t="shared" si="0"/>
        <v>0</v>
      </c>
      <c r="N42" s="15">
        <f>SUM($M$5:M42)</f>
        <v>0</v>
      </c>
    </row>
    <row r="43" spans="1:14">
      <c r="A43">
        <v>39</v>
      </c>
      <c r="B43">
        <v>1</v>
      </c>
      <c r="C43">
        <f t="array" ref="C43">IFERROR(VLOOKUP(C$4&amp;$A43,IF({1,0},#REF!&amp;#REF!,#REF!),2,FALSE),0)</f>
        <v>0</v>
      </c>
      <c r="D43">
        <f t="array" ref="D43">IFERROR(VLOOKUP(D$4&amp;$A43,IF({1,0},#REF!&amp;#REF!,#REF!),2,FALSE),0)</f>
        <v>0</v>
      </c>
      <c r="E43">
        <f t="array" ref="E43">IFERROR(VLOOKUP(E$4&amp;$A43,IF({1,0},#REF!&amp;#REF!,#REF!),2,FALSE),0)</f>
        <v>0</v>
      </c>
      <c r="F43">
        <f t="array" ref="F43">IFERROR(VLOOKUP(F$4&amp;$A43,IF({1,0},#REF!&amp;#REF!,#REF!),2,FALSE),0)</f>
        <v>0</v>
      </c>
      <c r="G43">
        <f t="array" ref="G43">IFERROR(VLOOKUP(G$4&amp;$A43,IF({1,0},#REF!&amp;#REF!,#REF!),2,FALSE),0)</f>
        <v>0</v>
      </c>
      <c r="H43">
        <f t="array" ref="H43">IFERROR(VLOOKUP(H$4&amp;$A43,IF({1,0},#REF!&amp;#REF!,#REF!),2,FALSE),0)</f>
        <v>0</v>
      </c>
      <c r="I43">
        <f t="array" ref="I43">IFERROR(VLOOKUP(I$4&amp;$A43,IF({1,0},#REF!&amp;#REF!,#REF!),2,FALSE),0)</f>
        <v>0</v>
      </c>
      <c r="J43">
        <f t="array" ref="J43">IFERROR(VLOOKUP(J$4&amp;$A43,IF({1,0},#REF!&amp;#REF!,#REF!),2,FALSE),0)</f>
        <v>0</v>
      </c>
      <c r="K43">
        <f t="array" ref="K43">IFERROR(VLOOKUP(K$4&amp;$A43,IF({1,0},#REF!&amp;#REF!,#REF!),2,FALSE),0)</f>
        <v>0</v>
      </c>
      <c r="L43">
        <f t="array" ref="L43">IFERROR(VLOOKUP(L$4&amp;$A43,IF({1,0},#REF!&amp;#REF!,#REF!),2,FALSE),0)</f>
        <v>0</v>
      </c>
      <c r="M43" s="15">
        <f t="shared" si="0"/>
        <v>0</v>
      </c>
      <c r="N43" s="15">
        <f>SUM($M$5:M43)</f>
        <v>0</v>
      </c>
    </row>
    <row r="44" spans="1:14">
      <c r="A44">
        <v>40</v>
      </c>
      <c r="B44">
        <v>1</v>
      </c>
      <c r="C44">
        <f t="array" ref="C44">IFERROR(VLOOKUP(C$4&amp;$A44,IF({1,0},#REF!&amp;#REF!,#REF!),2,FALSE),0)</f>
        <v>0</v>
      </c>
      <c r="D44">
        <f t="array" ref="D44">IFERROR(VLOOKUP(D$4&amp;$A44,IF({1,0},#REF!&amp;#REF!,#REF!),2,FALSE),0)</f>
        <v>0</v>
      </c>
      <c r="E44">
        <f t="array" ref="E44">IFERROR(VLOOKUP(E$4&amp;$A44,IF({1,0},#REF!&amp;#REF!,#REF!),2,FALSE),0)</f>
        <v>0</v>
      </c>
      <c r="F44">
        <f t="array" ref="F44">IFERROR(VLOOKUP(F$4&amp;$A44,IF({1,0},#REF!&amp;#REF!,#REF!),2,FALSE),0)</f>
        <v>0</v>
      </c>
      <c r="G44">
        <f t="array" ref="G44">IFERROR(VLOOKUP(G$4&amp;$A44,IF({1,0},#REF!&amp;#REF!,#REF!),2,FALSE),0)</f>
        <v>0</v>
      </c>
      <c r="H44">
        <f t="array" ref="H44">IFERROR(VLOOKUP(H$4&amp;$A44,IF({1,0},#REF!&amp;#REF!,#REF!),2,FALSE),0)</f>
        <v>0</v>
      </c>
      <c r="I44">
        <f t="array" ref="I44">IFERROR(VLOOKUP(I$4&amp;$A44,IF({1,0},#REF!&amp;#REF!,#REF!),2,FALSE),0)</f>
        <v>0</v>
      </c>
      <c r="J44">
        <f t="array" ref="J44">IFERROR(VLOOKUP(J$4&amp;$A44,IF({1,0},#REF!&amp;#REF!,#REF!),2,FALSE),0)</f>
        <v>0</v>
      </c>
      <c r="K44">
        <f t="array" ref="K44">IFERROR(VLOOKUP(K$4&amp;$A44,IF({1,0},#REF!&amp;#REF!,#REF!),2,FALSE),0)</f>
        <v>0</v>
      </c>
      <c r="L44">
        <f t="array" ref="L44">IFERROR(VLOOKUP(L$4&amp;$A44,IF({1,0},#REF!&amp;#REF!,#REF!),2,FALSE),0)</f>
        <v>0</v>
      </c>
      <c r="M44" s="15">
        <f t="shared" si="0"/>
        <v>0</v>
      </c>
      <c r="N44" s="15">
        <f>SUM($M$5:M44)</f>
        <v>0</v>
      </c>
    </row>
    <row r="45" spans="1:14">
      <c r="A45">
        <v>41</v>
      </c>
      <c r="B45">
        <v>1</v>
      </c>
      <c r="C45">
        <f t="array" ref="C45">IFERROR(VLOOKUP(C$4&amp;$A45,IF({1,0},#REF!&amp;#REF!,#REF!),2,FALSE),0)</f>
        <v>0</v>
      </c>
      <c r="D45">
        <f t="array" ref="D45">IFERROR(VLOOKUP(D$4&amp;$A45,IF({1,0},#REF!&amp;#REF!,#REF!),2,FALSE),0)</f>
        <v>0</v>
      </c>
      <c r="E45">
        <f t="array" ref="E45">IFERROR(VLOOKUP(E$4&amp;$A45,IF({1,0},#REF!&amp;#REF!,#REF!),2,FALSE),0)</f>
        <v>0</v>
      </c>
      <c r="F45">
        <f t="array" ref="F45">IFERROR(VLOOKUP(F$4&amp;$A45,IF({1,0},#REF!&amp;#REF!,#REF!),2,FALSE),0)</f>
        <v>0</v>
      </c>
      <c r="G45">
        <f t="array" ref="G45">IFERROR(VLOOKUP(G$4&amp;$A45,IF({1,0},#REF!&amp;#REF!,#REF!),2,FALSE),0)</f>
        <v>0</v>
      </c>
      <c r="H45">
        <f t="array" ref="H45">IFERROR(VLOOKUP(H$4&amp;$A45,IF({1,0},#REF!&amp;#REF!,#REF!),2,FALSE),0)</f>
        <v>0</v>
      </c>
      <c r="I45">
        <f t="array" ref="I45">IFERROR(VLOOKUP(I$4&amp;$A45,IF({1,0},#REF!&amp;#REF!,#REF!),2,FALSE),0)</f>
        <v>0</v>
      </c>
      <c r="J45">
        <f t="array" ref="J45">IFERROR(VLOOKUP(J$4&amp;$A45,IF({1,0},#REF!&amp;#REF!,#REF!),2,FALSE),0)</f>
        <v>0</v>
      </c>
      <c r="K45">
        <f t="array" ref="K45">IFERROR(VLOOKUP(K$4&amp;$A45,IF({1,0},#REF!&amp;#REF!,#REF!),2,FALSE),0)</f>
        <v>0</v>
      </c>
      <c r="L45">
        <f t="array" ref="L45">IFERROR(VLOOKUP(L$4&amp;$A45,IF({1,0},#REF!&amp;#REF!,#REF!),2,FALSE),0)</f>
        <v>0</v>
      </c>
      <c r="M45" s="15">
        <f t="shared" si="0"/>
        <v>0</v>
      </c>
      <c r="N45" s="15">
        <f>SUM($M$5:M45)</f>
        <v>0</v>
      </c>
    </row>
    <row r="46" spans="1:14">
      <c r="A46">
        <v>42</v>
      </c>
      <c r="B46">
        <v>1</v>
      </c>
      <c r="C46">
        <f t="array" ref="C46">IFERROR(VLOOKUP(C$4&amp;$A46,IF({1,0},#REF!&amp;#REF!,#REF!),2,FALSE),0)</f>
        <v>0</v>
      </c>
      <c r="D46">
        <f t="array" ref="D46">IFERROR(VLOOKUP(D$4&amp;$A46,IF({1,0},#REF!&amp;#REF!,#REF!),2,FALSE),0)</f>
        <v>0</v>
      </c>
      <c r="E46">
        <f t="array" ref="E46">IFERROR(VLOOKUP(E$4&amp;$A46,IF({1,0},#REF!&amp;#REF!,#REF!),2,FALSE),0)</f>
        <v>0</v>
      </c>
      <c r="F46">
        <f t="array" ref="F46">IFERROR(VLOOKUP(F$4&amp;$A46,IF({1,0},#REF!&amp;#REF!,#REF!),2,FALSE),0)</f>
        <v>0</v>
      </c>
      <c r="G46">
        <f t="array" ref="G46">IFERROR(VLOOKUP(G$4&amp;$A46,IF({1,0},#REF!&amp;#REF!,#REF!),2,FALSE),0)</f>
        <v>0</v>
      </c>
      <c r="H46">
        <f t="array" ref="H46">IFERROR(VLOOKUP(H$4&amp;$A46,IF({1,0},#REF!&amp;#REF!,#REF!),2,FALSE),0)</f>
        <v>0</v>
      </c>
      <c r="I46">
        <f t="array" ref="I46">IFERROR(VLOOKUP(I$4&amp;$A46,IF({1,0},#REF!&amp;#REF!,#REF!),2,FALSE),0)</f>
        <v>0</v>
      </c>
      <c r="J46">
        <f t="array" ref="J46">IFERROR(VLOOKUP(J$4&amp;$A46,IF({1,0},#REF!&amp;#REF!,#REF!),2,FALSE),0)</f>
        <v>0</v>
      </c>
      <c r="K46">
        <f t="array" ref="K46">IFERROR(VLOOKUP(K$4&amp;$A46,IF({1,0},#REF!&amp;#REF!,#REF!),2,FALSE),0)</f>
        <v>0</v>
      </c>
      <c r="L46">
        <f t="array" ref="L46">IFERROR(VLOOKUP(L$4&amp;$A46,IF({1,0},#REF!&amp;#REF!,#REF!),2,FALSE),0)</f>
        <v>0</v>
      </c>
      <c r="M46" s="15">
        <f t="shared" si="0"/>
        <v>0</v>
      </c>
      <c r="N46" s="15">
        <f>SUM($M$5:M46)</f>
        <v>0</v>
      </c>
    </row>
    <row r="47" spans="1:14">
      <c r="A47">
        <v>43</v>
      </c>
      <c r="B47">
        <v>1</v>
      </c>
      <c r="C47">
        <f t="array" ref="C47">IFERROR(VLOOKUP(C$4&amp;$A47,IF({1,0},#REF!&amp;#REF!,#REF!),2,FALSE),0)</f>
        <v>0</v>
      </c>
      <c r="D47">
        <f t="array" ref="D47">IFERROR(VLOOKUP(D$4&amp;$A47,IF({1,0},#REF!&amp;#REF!,#REF!),2,FALSE),0)</f>
        <v>0</v>
      </c>
      <c r="E47">
        <f t="array" ref="E47">IFERROR(VLOOKUP(E$4&amp;$A47,IF({1,0},#REF!&amp;#REF!,#REF!),2,FALSE),0)</f>
        <v>0</v>
      </c>
      <c r="F47">
        <f t="array" ref="F47">IFERROR(VLOOKUP(F$4&amp;$A47,IF({1,0},#REF!&amp;#REF!,#REF!),2,FALSE),0)</f>
        <v>0</v>
      </c>
      <c r="G47">
        <f t="array" ref="G47">IFERROR(VLOOKUP(G$4&amp;$A47,IF({1,0},#REF!&amp;#REF!,#REF!),2,FALSE),0)</f>
        <v>0</v>
      </c>
      <c r="H47">
        <f t="array" ref="H47">IFERROR(VLOOKUP(H$4&amp;$A47,IF({1,0},#REF!&amp;#REF!,#REF!),2,FALSE),0)</f>
        <v>0</v>
      </c>
      <c r="I47">
        <f t="array" ref="I47">IFERROR(VLOOKUP(I$4&amp;$A47,IF({1,0},#REF!&amp;#REF!,#REF!),2,FALSE),0)</f>
        <v>0</v>
      </c>
      <c r="J47">
        <f t="array" ref="J47">IFERROR(VLOOKUP(J$4&amp;$A47,IF({1,0},#REF!&amp;#REF!,#REF!),2,FALSE),0)</f>
        <v>0</v>
      </c>
      <c r="K47">
        <f t="array" ref="K47">IFERROR(VLOOKUP(K$4&amp;$A47,IF({1,0},#REF!&amp;#REF!,#REF!),2,FALSE),0)</f>
        <v>0</v>
      </c>
      <c r="L47">
        <f t="array" ref="L47">IFERROR(VLOOKUP(L$4&amp;$A47,IF({1,0},#REF!&amp;#REF!,#REF!),2,FALSE),0)</f>
        <v>0</v>
      </c>
      <c r="M47" s="15">
        <f t="shared" si="0"/>
        <v>0</v>
      </c>
      <c r="N47" s="15">
        <f>SUM($M$5:M47)</f>
        <v>0</v>
      </c>
    </row>
    <row r="48" spans="1:14">
      <c r="A48">
        <v>44</v>
      </c>
      <c r="B48">
        <v>1</v>
      </c>
      <c r="C48">
        <f t="array" ref="C48">IFERROR(VLOOKUP(C$4&amp;$A48,IF({1,0},#REF!&amp;#REF!,#REF!),2,FALSE),0)</f>
        <v>0</v>
      </c>
      <c r="D48">
        <f t="array" ref="D48">IFERROR(VLOOKUP(D$4&amp;$A48,IF({1,0},#REF!&amp;#REF!,#REF!),2,FALSE),0)</f>
        <v>0</v>
      </c>
      <c r="E48">
        <f t="array" ref="E48">IFERROR(VLOOKUP(E$4&amp;$A48,IF({1,0},#REF!&amp;#REF!,#REF!),2,FALSE),0)</f>
        <v>0</v>
      </c>
      <c r="F48">
        <f t="array" ref="F48">IFERROR(VLOOKUP(F$4&amp;$A48,IF({1,0},#REF!&amp;#REF!,#REF!),2,FALSE),0)</f>
        <v>0</v>
      </c>
      <c r="G48">
        <f t="array" ref="G48">IFERROR(VLOOKUP(G$4&amp;$A48,IF({1,0},#REF!&amp;#REF!,#REF!),2,FALSE),0)</f>
        <v>0</v>
      </c>
      <c r="H48">
        <f t="array" ref="H48">IFERROR(VLOOKUP(H$4&amp;$A48,IF({1,0},#REF!&amp;#REF!,#REF!),2,FALSE),0)</f>
        <v>0</v>
      </c>
      <c r="I48">
        <f t="array" ref="I48">IFERROR(VLOOKUP(I$4&amp;$A48,IF({1,0},#REF!&amp;#REF!,#REF!),2,FALSE),0)</f>
        <v>0</v>
      </c>
      <c r="J48">
        <f t="array" ref="J48">IFERROR(VLOOKUP(J$4&amp;$A48,IF({1,0},#REF!&amp;#REF!,#REF!),2,FALSE),0)</f>
        <v>0</v>
      </c>
      <c r="K48">
        <f t="array" ref="K48">IFERROR(VLOOKUP(K$4&amp;$A48,IF({1,0},#REF!&amp;#REF!,#REF!),2,FALSE),0)</f>
        <v>0</v>
      </c>
      <c r="L48">
        <f t="array" ref="L48">IFERROR(VLOOKUP(L$4&amp;$A48,IF({1,0},#REF!&amp;#REF!,#REF!),2,FALSE),0)</f>
        <v>0</v>
      </c>
      <c r="M48" s="15">
        <f t="shared" si="0"/>
        <v>0</v>
      </c>
      <c r="N48" s="15">
        <f>SUM($M$5:M48)</f>
        <v>0</v>
      </c>
    </row>
    <row r="49" spans="1:14">
      <c r="A49">
        <v>45</v>
      </c>
      <c r="B49">
        <v>1</v>
      </c>
      <c r="C49">
        <f t="array" ref="C49">IFERROR(VLOOKUP(C$4&amp;$A49,IF({1,0},#REF!&amp;#REF!,#REF!),2,FALSE),0)</f>
        <v>0</v>
      </c>
      <c r="D49">
        <f t="array" ref="D49">IFERROR(VLOOKUP(D$4&amp;$A49,IF({1,0},#REF!&amp;#REF!,#REF!),2,FALSE),0)</f>
        <v>0</v>
      </c>
      <c r="E49">
        <f t="array" ref="E49">IFERROR(VLOOKUP(E$4&amp;$A49,IF({1,0},#REF!&amp;#REF!,#REF!),2,FALSE),0)</f>
        <v>0</v>
      </c>
      <c r="F49">
        <f t="array" ref="F49">IFERROR(VLOOKUP(F$4&amp;$A49,IF({1,0},#REF!&amp;#REF!,#REF!),2,FALSE),0)</f>
        <v>0</v>
      </c>
      <c r="G49">
        <f t="array" ref="G49">IFERROR(VLOOKUP(G$4&amp;$A49,IF({1,0},#REF!&amp;#REF!,#REF!),2,FALSE),0)</f>
        <v>0</v>
      </c>
      <c r="H49">
        <f t="array" ref="H49">IFERROR(VLOOKUP(H$4&amp;$A49,IF({1,0},#REF!&amp;#REF!,#REF!),2,FALSE),0)</f>
        <v>0</v>
      </c>
      <c r="I49">
        <f t="array" ref="I49">IFERROR(VLOOKUP(I$4&amp;$A49,IF({1,0},#REF!&amp;#REF!,#REF!),2,FALSE),0)</f>
        <v>0</v>
      </c>
      <c r="J49">
        <f t="array" ref="J49">IFERROR(VLOOKUP(J$4&amp;$A49,IF({1,0},#REF!&amp;#REF!,#REF!),2,FALSE),0)</f>
        <v>0</v>
      </c>
      <c r="K49">
        <f t="array" ref="K49">IFERROR(VLOOKUP(K$4&amp;$A49,IF({1,0},#REF!&amp;#REF!,#REF!),2,FALSE),0)</f>
        <v>0</v>
      </c>
      <c r="L49">
        <f t="array" ref="L49">IFERROR(VLOOKUP(L$4&amp;$A49,IF({1,0},#REF!&amp;#REF!,#REF!),2,FALSE),0)</f>
        <v>0</v>
      </c>
      <c r="M49" s="15">
        <f t="shared" si="0"/>
        <v>0</v>
      </c>
      <c r="N49" s="15">
        <f>SUM($M$5:M49)</f>
        <v>0</v>
      </c>
    </row>
    <row r="50" spans="1:14">
      <c r="A50">
        <v>46</v>
      </c>
      <c r="B50">
        <v>1</v>
      </c>
      <c r="C50">
        <f t="array" ref="C50">IFERROR(VLOOKUP(C$4&amp;$A50,IF({1,0},#REF!&amp;#REF!,#REF!),2,FALSE),0)</f>
        <v>0</v>
      </c>
      <c r="D50">
        <f t="array" ref="D50">IFERROR(VLOOKUP(D$4&amp;$A50,IF({1,0},#REF!&amp;#REF!,#REF!),2,FALSE),0)</f>
        <v>0</v>
      </c>
      <c r="E50">
        <f t="array" ref="E50">IFERROR(VLOOKUP(E$4&amp;$A50,IF({1,0},#REF!&amp;#REF!,#REF!),2,FALSE),0)</f>
        <v>0</v>
      </c>
      <c r="F50">
        <f t="array" ref="F50">IFERROR(VLOOKUP(F$4&amp;$A50,IF({1,0},#REF!&amp;#REF!,#REF!),2,FALSE),0)</f>
        <v>0</v>
      </c>
      <c r="G50">
        <f t="array" ref="G50">IFERROR(VLOOKUP(G$4&amp;$A50,IF({1,0},#REF!&amp;#REF!,#REF!),2,FALSE),0)</f>
        <v>0</v>
      </c>
      <c r="H50">
        <f t="array" ref="H50">IFERROR(VLOOKUP(H$4&amp;$A50,IF({1,0},#REF!&amp;#REF!,#REF!),2,FALSE),0)</f>
        <v>0</v>
      </c>
      <c r="I50">
        <f t="array" ref="I50">IFERROR(VLOOKUP(I$4&amp;$A50,IF({1,0},#REF!&amp;#REF!,#REF!),2,FALSE),0)</f>
        <v>0</v>
      </c>
      <c r="J50">
        <f t="array" ref="J50">IFERROR(VLOOKUP(J$4&amp;$A50,IF({1,0},#REF!&amp;#REF!,#REF!),2,FALSE),0)</f>
        <v>0</v>
      </c>
      <c r="K50">
        <f t="array" ref="K50">IFERROR(VLOOKUP(K$4&amp;$A50,IF({1,0},#REF!&amp;#REF!,#REF!),2,FALSE),0)</f>
        <v>0</v>
      </c>
      <c r="L50">
        <f t="array" ref="L50">IFERROR(VLOOKUP(L$4&amp;$A50,IF({1,0},#REF!&amp;#REF!,#REF!),2,FALSE),0)</f>
        <v>0</v>
      </c>
      <c r="M50" s="15">
        <f t="shared" si="0"/>
        <v>0</v>
      </c>
      <c r="N50" s="15">
        <f>SUM($M$5:M50)</f>
        <v>0</v>
      </c>
    </row>
    <row r="51" spans="1:14">
      <c r="A51">
        <v>47</v>
      </c>
      <c r="B51">
        <v>1</v>
      </c>
      <c r="C51">
        <f t="array" ref="C51">IFERROR(VLOOKUP(C$4&amp;$A51,IF({1,0},#REF!&amp;#REF!,#REF!),2,FALSE),0)</f>
        <v>0</v>
      </c>
      <c r="D51">
        <f t="array" ref="D51">IFERROR(VLOOKUP(D$4&amp;$A51,IF({1,0},#REF!&amp;#REF!,#REF!),2,FALSE),0)</f>
        <v>0</v>
      </c>
      <c r="E51">
        <f t="array" ref="E51">IFERROR(VLOOKUP(E$4&amp;$A51,IF({1,0},#REF!&amp;#REF!,#REF!),2,FALSE),0)</f>
        <v>0</v>
      </c>
      <c r="F51">
        <f t="array" ref="F51">IFERROR(VLOOKUP(F$4&amp;$A51,IF({1,0},#REF!&amp;#REF!,#REF!),2,FALSE),0)</f>
        <v>0</v>
      </c>
      <c r="G51">
        <f t="array" ref="G51">IFERROR(VLOOKUP(G$4&amp;$A51,IF({1,0},#REF!&amp;#REF!,#REF!),2,FALSE),0)</f>
        <v>0</v>
      </c>
      <c r="H51">
        <f t="array" ref="H51">IFERROR(VLOOKUP(H$4&amp;$A51,IF({1,0},#REF!&amp;#REF!,#REF!),2,FALSE),0)</f>
        <v>0</v>
      </c>
      <c r="I51">
        <f t="array" ref="I51">IFERROR(VLOOKUP(I$4&amp;$A51,IF({1,0},#REF!&amp;#REF!,#REF!),2,FALSE),0)</f>
        <v>0</v>
      </c>
      <c r="J51">
        <f t="array" ref="J51">IFERROR(VLOOKUP(J$4&amp;$A51,IF({1,0},#REF!&amp;#REF!,#REF!),2,FALSE),0)</f>
        <v>0</v>
      </c>
      <c r="K51">
        <f t="array" ref="K51">IFERROR(VLOOKUP(K$4&amp;$A51,IF({1,0},#REF!&amp;#REF!,#REF!),2,FALSE),0)</f>
        <v>0</v>
      </c>
      <c r="L51">
        <f t="array" ref="L51">IFERROR(VLOOKUP(L$4&amp;$A51,IF({1,0},#REF!&amp;#REF!,#REF!),2,FALSE),0)</f>
        <v>0</v>
      </c>
      <c r="M51" s="15">
        <f t="shared" si="0"/>
        <v>0</v>
      </c>
      <c r="N51" s="15">
        <f>SUM($M$5:M51)</f>
        <v>0</v>
      </c>
    </row>
    <row r="52" spans="1:14">
      <c r="A52">
        <v>48</v>
      </c>
      <c r="B52">
        <v>1</v>
      </c>
      <c r="C52">
        <f t="array" ref="C52">IFERROR(VLOOKUP(C$4&amp;$A52,IF({1,0},#REF!&amp;#REF!,#REF!),2,FALSE),0)</f>
        <v>0</v>
      </c>
      <c r="D52">
        <f t="array" ref="D52">IFERROR(VLOOKUP(D$4&amp;$A52,IF({1,0},#REF!&amp;#REF!,#REF!),2,FALSE),0)</f>
        <v>0</v>
      </c>
      <c r="E52">
        <f t="array" ref="E52">IFERROR(VLOOKUP(E$4&amp;$A52,IF({1,0},#REF!&amp;#REF!,#REF!),2,FALSE),0)</f>
        <v>0</v>
      </c>
      <c r="F52">
        <f t="array" ref="F52">IFERROR(VLOOKUP(F$4&amp;$A52,IF({1,0},#REF!&amp;#REF!,#REF!),2,FALSE),0)</f>
        <v>0</v>
      </c>
      <c r="G52">
        <f t="array" ref="G52">IFERROR(VLOOKUP(G$4&amp;$A52,IF({1,0},#REF!&amp;#REF!,#REF!),2,FALSE),0)</f>
        <v>0</v>
      </c>
      <c r="H52">
        <f t="array" ref="H52">IFERROR(VLOOKUP(H$4&amp;$A52,IF({1,0},#REF!&amp;#REF!,#REF!),2,FALSE),0)</f>
        <v>0</v>
      </c>
      <c r="I52">
        <f t="array" ref="I52">IFERROR(VLOOKUP(I$4&amp;$A52,IF({1,0},#REF!&amp;#REF!,#REF!),2,FALSE),0)</f>
        <v>0</v>
      </c>
      <c r="J52">
        <f t="array" ref="J52">IFERROR(VLOOKUP(J$4&amp;$A52,IF({1,0},#REF!&amp;#REF!,#REF!),2,FALSE),0)</f>
        <v>0</v>
      </c>
      <c r="K52">
        <f t="array" ref="K52">IFERROR(VLOOKUP(K$4&amp;$A52,IF({1,0},#REF!&amp;#REF!,#REF!),2,FALSE),0)</f>
        <v>0</v>
      </c>
      <c r="L52">
        <f t="array" ref="L52">IFERROR(VLOOKUP(L$4&amp;$A52,IF({1,0},#REF!&amp;#REF!,#REF!),2,FALSE),0)</f>
        <v>0</v>
      </c>
      <c r="M52" s="15">
        <f t="shared" si="0"/>
        <v>0</v>
      </c>
      <c r="N52" s="15">
        <f>SUM($M$5:M52)</f>
        <v>0</v>
      </c>
    </row>
    <row r="53" spans="1:14">
      <c r="A53">
        <v>49</v>
      </c>
      <c r="B53">
        <v>1</v>
      </c>
      <c r="C53">
        <f t="array" ref="C53">IFERROR(VLOOKUP(C$4&amp;$A53,IF({1,0},#REF!&amp;#REF!,#REF!),2,FALSE),0)</f>
        <v>0</v>
      </c>
      <c r="D53">
        <f t="array" ref="D53">IFERROR(VLOOKUP(D$4&amp;$A53,IF({1,0},#REF!&amp;#REF!,#REF!),2,FALSE),0)</f>
        <v>0</v>
      </c>
      <c r="E53">
        <f t="array" ref="E53">IFERROR(VLOOKUP(E$4&amp;$A53,IF({1,0},#REF!&amp;#REF!,#REF!),2,FALSE),0)</f>
        <v>0</v>
      </c>
      <c r="F53">
        <f t="array" ref="F53">IFERROR(VLOOKUP(F$4&amp;$A53,IF({1,0},#REF!&amp;#REF!,#REF!),2,FALSE),0)</f>
        <v>0</v>
      </c>
      <c r="G53">
        <f t="array" ref="G53">IFERROR(VLOOKUP(G$4&amp;$A53,IF({1,0},#REF!&amp;#REF!,#REF!),2,FALSE),0)</f>
        <v>0</v>
      </c>
      <c r="H53">
        <f t="array" ref="H53">IFERROR(VLOOKUP(H$4&amp;$A53,IF({1,0},#REF!&amp;#REF!,#REF!),2,FALSE),0)</f>
        <v>0</v>
      </c>
      <c r="I53">
        <f t="array" ref="I53">IFERROR(VLOOKUP(I$4&amp;$A53,IF({1,0},#REF!&amp;#REF!,#REF!),2,FALSE),0)</f>
        <v>0</v>
      </c>
      <c r="J53">
        <f t="array" ref="J53">IFERROR(VLOOKUP(J$4&amp;$A53,IF({1,0},#REF!&amp;#REF!,#REF!),2,FALSE),0)</f>
        <v>0</v>
      </c>
      <c r="K53">
        <f t="array" ref="K53">IFERROR(VLOOKUP(K$4&amp;$A53,IF({1,0},#REF!&amp;#REF!,#REF!),2,FALSE),0)</f>
        <v>0</v>
      </c>
      <c r="L53">
        <f t="array" ref="L53">IFERROR(VLOOKUP(L$4&amp;$A53,IF({1,0},#REF!&amp;#REF!,#REF!),2,FALSE),0)</f>
        <v>0</v>
      </c>
      <c r="M53" s="15">
        <f t="shared" si="0"/>
        <v>0</v>
      </c>
      <c r="N53" s="15">
        <f>SUM($M$5:M53)</f>
        <v>0</v>
      </c>
    </row>
    <row r="54" spans="1:14">
      <c r="A54">
        <v>50</v>
      </c>
      <c r="B54">
        <v>1</v>
      </c>
      <c r="C54">
        <f t="array" ref="C54">IFERROR(VLOOKUP(C$4&amp;$A54,IF({1,0},#REF!&amp;#REF!,#REF!),2,FALSE),0)</f>
        <v>0</v>
      </c>
      <c r="D54">
        <f t="array" ref="D54">IFERROR(VLOOKUP(D$4&amp;$A54,IF({1,0},#REF!&amp;#REF!,#REF!),2,FALSE),0)</f>
        <v>0</v>
      </c>
      <c r="E54">
        <f t="array" ref="E54">IFERROR(VLOOKUP(E$4&amp;$A54,IF({1,0},#REF!&amp;#REF!,#REF!),2,FALSE),0)</f>
        <v>0</v>
      </c>
      <c r="F54">
        <f t="array" ref="F54">IFERROR(VLOOKUP(F$4&amp;$A54,IF({1,0},#REF!&amp;#REF!,#REF!),2,FALSE),0)</f>
        <v>0</v>
      </c>
      <c r="G54">
        <f t="array" ref="G54">IFERROR(VLOOKUP(G$4&amp;$A54,IF({1,0},#REF!&amp;#REF!,#REF!),2,FALSE),0)</f>
        <v>0</v>
      </c>
      <c r="H54">
        <f t="array" ref="H54">IFERROR(VLOOKUP(H$4&amp;$A54,IF({1,0},#REF!&amp;#REF!,#REF!),2,FALSE),0)</f>
        <v>0</v>
      </c>
      <c r="I54">
        <f t="array" ref="I54">IFERROR(VLOOKUP(I$4&amp;$A54,IF({1,0},#REF!&amp;#REF!,#REF!),2,FALSE),0)</f>
        <v>0</v>
      </c>
      <c r="J54">
        <f t="array" ref="J54">IFERROR(VLOOKUP(J$4&amp;$A54,IF({1,0},#REF!&amp;#REF!,#REF!),2,FALSE),0)</f>
        <v>0</v>
      </c>
      <c r="K54">
        <f t="array" ref="K54">IFERROR(VLOOKUP(K$4&amp;$A54,IF({1,0},#REF!&amp;#REF!,#REF!),2,FALSE),0)</f>
        <v>0</v>
      </c>
      <c r="L54">
        <f t="array" ref="L54">IFERROR(VLOOKUP(L$4&amp;$A54,IF({1,0},#REF!&amp;#REF!,#REF!),2,FALSE),0)</f>
        <v>0</v>
      </c>
      <c r="M54" s="15">
        <f t="shared" si="0"/>
        <v>0</v>
      </c>
      <c r="N54" s="15">
        <f>SUM($M$5:M54)</f>
        <v>0</v>
      </c>
    </row>
    <row r="55" spans="1:14">
      <c r="A55">
        <v>51</v>
      </c>
      <c r="B55">
        <v>1</v>
      </c>
      <c r="C55">
        <f t="array" ref="C55">IFERROR(VLOOKUP(C$4&amp;$A55,IF({1,0},#REF!&amp;#REF!,#REF!),2,FALSE),0)</f>
        <v>0</v>
      </c>
      <c r="D55">
        <f t="array" ref="D55">IFERROR(VLOOKUP(D$4&amp;$A55,IF({1,0},#REF!&amp;#REF!,#REF!),2,FALSE),0)</f>
        <v>0</v>
      </c>
      <c r="E55">
        <f t="array" ref="E55">IFERROR(VLOOKUP(E$4&amp;$A55,IF({1,0},#REF!&amp;#REF!,#REF!),2,FALSE),0)</f>
        <v>0</v>
      </c>
      <c r="F55">
        <f t="array" ref="F55">IFERROR(VLOOKUP(F$4&amp;$A55,IF({1,0},#REF!&amp;#REF!,#REF!),2,FALSE),0)</f>
        <v>0</v>
      </c>
      <c r="G55">
        <f t="array" ref="G55">IFERROR(VLOOKUP(G$4&amp;$A55,IF({1,0},#REF!&amp;#REF!,#REF!),2,FALSE),0)</f>
        <v>0</v>
      </c>
      <c r="H55">
        <f t="array" ref="H55">IFERROR(VLOOKUP(H$4&amp;$A55,IF({1,0},#REF!&amp;#REF!,#REF!),2,FALSE),0)</f>
        <v>0</v>
      </c>
      <c r="I55">
        <f t="array" ref="I55">IFERROR(VLOOKUP(I$4&amp;$A55,IF({1,0},#REF!&amp;#REF!,#REF!),2,FALSE),0)</f>
        <v>0</v>
      </c>
      <c r="J55">
        <f t="array" ref="J55">IFERROR(VLOOKUP(J$4&amp;$A55,IF({1,0},#REF!&amp;#REF!,#REF!),2,FALSE),0)</f>
        <v>0</v>
      </c>
      <c r="K55">
        <f t="array" ref="K55">IFERROR(VLOOKUP(K$4&amp;$A55,IF({1,0},#REF!&amp;#REF!,#REF!),2,FALSE),0)</f>
        <v>0</v>
      </c>
      <c r="L55">
        <f t="array" ref="L55">IFERROR(VLOOKUP(L$4&amp;$A55,IF({1,0},#REF!&amp;#REF!,#REF!),2,FALSE),0)</f>
        <v>0</v>
      </c>
      <c r="M55" s="15">
        <f t="shared" si="0"/>
        <v>0</v>
      </c>
      <c r="N55" s="15">
        <f>SUM($M$5:M55)</f>
        <v>0</v>
      </c>
    </row>
    <row r="56" spans="1:14">
      <c r="A56">
        <v>52</v>
      </c>
      <c r="B56">
        <v>1</v>
      </c>
      <c r="C56">
        <f t="array" ref="C56">IFERROR(VLOOKUP(C$4&amp;$A56,IF({1,0},#REF!&amp;#REF!,#REF!),2,FALSE),0)</f>
        <v>0</v>
      </c>
      <c r="D56">
        <f t="array" ref="D56">IFERROR(VLOOKUP(D$4&amp;$A56,IF({1,0},#REF!&amp;#REF!,#REF!),2,FALSE),0)</f>
        <v>0</v>
      </c>
      <c r="E56">
        <f t="array" ref="E56">IFERROR(VLOOKUP(E$4&amp;$A56,IF({1,0},#REF!&amp;#REF!,#REF!),2,FALSE),0)</f>
        <v>0</v>
      </c>
      <c r="F56">
        <f t="array" ref="F56">IFERROR(VLOOKUP(F$4&amp;$A56,IF({1,0},#REF!&amp;#REF!,#REF!),2,FALSE),0)</f>
        <v>0</v>
      </c>
      <c r="G56">
        <f t="array" ref="G56">IFERROR(VLOOKUP(G$4&amp;$A56,IF({1,0},#REF!&amp;#REF!,#REF!),2,FALSE),0)</f>
        <v>0</v>
      </c>
      <c r="H56">
        <f t="array" ref="H56">IFERROR(VLOOKUP(H$4&amp;$A56,IF({1,0},#REF!&amp;#REF!,#REF!),2,FALSE),0)</f>
        <v>0</v>
      </c>
      <c r="I56">
        <f t="array" ref="I56">IFERROR(VLOOKUP(I$4&amp;$A56,IF({1,0},#REF!&amp;#REF!,#REF!),2,FALSE),0)</f>
        <v>0</v>
      </c>
      <c r="J56">
        <f t="array" ref="J56">IFERROR(VLOOKUP(J$4&amp;$A56,IF({1,0},#REF!&amp;#REF!,#REF!),2,FALSE),0)</f>
        <v>0</v>
      </c>
      <c r="K56">
        <f t="array" ref="K56">IFERROR(VLOOKUP(K$4&amp;$A56,IF({1,0},#REF!&amp;#REF!,#REF!),2,FALSE),0)</f>
        <v>0</v>
      </c>
      <c r="L56">
        <f t="array" ref="L56">IFERROR(VLOOKUP(L$4&amp;$A56,IF({1,0},#REF!&amp;#REF!,#REF!),2,FALSE),0)</f>
        <v>0</v>
      </c>
      <c r="M56" s="15">
        <f t="shared" si="0"/>
        <v>0</v>
      </c>
      <c r="N56" s="15">
        <f>SUM($M$5:M56)</f>
        <v>0</v>
      </c>
    </row>
    <row r="57" spans="1:14">
      <c r="A57">
        <v>53</v>
      </c>
      <c r="B57">
        <v>1</v>
      </c>
      <c r="C57">
        <f t="array" ref="C57">IFERROR(VLOOKUP(C$4&amp;$A57,IF({1,0},#REF!&amp;#REF!,#REF!),2,FALSE),0)</f>
        <v>0</v>
      </c>
      <c r="D57">
        <f t="array" ref="D57">IFERROR(VLOOKUP(D$4&amp;$A57,IF({1,0},#REF!&amp;#REF!,#REF!),2,FALSE),0)</f>
        <v>0</v>
      </c>
      <c r="E57">
        <f t="array" ref="E57">IFERROR(VLOOKUP(E$4&amp;$A57,IF({1,0},#REF!&amp;#REF!,#REF!),2,FALSE),0)</f>
        <v>0</v>
      </c>
      <c r="F57">
        <f t="array" ref="F57">IFERROR(VLOOKUP(F$4&amp;$A57,IF({1,0},#REF!&amp;#REF!,#REF!),2,FALSE),0)</f>
        <v>0</v>
      </c>
      <c r="G57">
        <f t="array" ref="G57">IFERROR(VLOOKUP(G$4&amp;$A57,IF({1,0},#REF!&amp;#REF!,#REF!),2,FALSE),0)</f>
        <v>0</v>
      </c>
      <c r="H57">
        <f t="array" ref="H57">IFERROR(VLOOKUP(H$4&amp;$A57,IF({1,0},#REF!&amp;#REF!,#REF!),2,FALSE),0)</f>
        <v>0</v>
      </c>
      <c r="I57">
        <f t="array" ref="I57">IFERROR(VLOOKUP(I$4&amp;$A57,IF({1,0},#REF!&amp;#REF!,#REF!),2,FALSE),0)</f>
        <v>0</v>
      </c>
      <c r="J57">
        <f t="array" ref="J57">IFERROR(VLOOKUP(J$4&amp;$A57,IF({1,0},#REF!&amp;#REF!,#REF!),2,FALSE),0)</f>
        <v>0</v>
      </c>
      <c r="K57">
        <f t="array" ref="K57">IFERROR(VLOOKUP(K$4&amp;$A57,IF({1,0},#REF!&amp;#REF!,#REF!),2,FALSE),0)</f>
        <v>0</v>
      </c>
      <c r="L57">
        <f t="array" ref="L57">IFERROR(VLOOKUP(L$4&amp;$A57,IF({1,0},#REF!&amp;#REF!,#REF!),2,FALSE),0)</f>
        <v>0</v>
      </c>
      <c r="M57" s="15">
        <f t="shared" si="0"/>
        <v>0</v>
      </c>
      <c r="N57" s="15">
        <f>SUM($M$5:M57)</f>
        <v>0</v>
      </c>
    </row>
    <row r="58" spans="1:14">
      <c r="A58">
        <v>54</v>
      </c>
      <c r="B58">
        <v>1</v>
      </c>
      <c r="C58">
        <f t="array" ref="C58">IFERROR(VLOOKUP(C$4&amp;$A58,IF({1,0},#REF!&amp;#REF!,#REF!),2,FALSE),0)</f>
        <v>0</v>
      </c>
      <c r="D58">
        <f t="array" ref="D58">IFERROR(VLOOKUP(D$4&amp;$A58,IF({1,0},#REF!&amp;#REF!,#REF!),2,FALSE),0)</f>
        <v>0</v>
      </c>
      <c r="E58">
        <f t="array" ref="E58">IFERROR(VLOOKUP(E$4&amp;$A58,IF({1,0},#REF!&amp;#REF!,#REF!),2,FALSE),0)</f>
        <v>0</v>
      </c>
      <c r="F58">
        <f t="array" ref="F58">IFERROR(VLOOKUP(F$4&amp;$A58,IF({1,0},#REF!&amp;#REF!,#REF!),2,FALSE),0)</f>
        <v>0</v>
      </c>
      <c r="G58">
        <f t="array" ref="G58">IFERROR(VLOOKUP(G$4&amp;$A58,IF({1,0},#REF!&amp;#REF!,#REF!),2,FALSE),0)</f>
        <v>0</v>
      </c>
      <c r="H58">
        <f t="array" ref="H58">IFERROR(VLOOKUP(H$4&amp;$A58,IF({1,0},#REF!&amp;#REF!,#REF!),2,FALSE),0)</f>
        <v>0</v>
      </c>
      <c r="I58">
        <f t="array" ref="I58">IFERROR(VLOOKUP(I$4&amp;$A58,IF({1,0},#REF!&amp;#REF!,#REF!),2,FALSE),0)</f>
        <v>0</v>
      </c>
      <c r="J58">
        <f t="array" ref="J58">IFERROR(VLOOKUP(J$4&amp;$A58,IF({1,0},#REF!&amp;#REF!,#REF!),2,FALSE),0)</f>
        <v>0</v>
      </c>
      <c r="K58">
        <f t="array" ref="K58">IFERROR(VLOOKUP(K$4&amp;$A58,IF({1,0},#REF!&amp;#REF!,#REF!),2,FALSE),0)</f>
        <v>0</v>
      </c>
      <c r="L58">
        <f t="array" ref="L58">IFERROR(VLOOKUP(L$4&amp;$A58,IF({1,0},#REF!&amp;#REF!,#REF!),2,FALSE),0)</f>
        <v>0</v>
      </c>
      <c r="M58" s="15">
        <f t="shared" si="0"/>
        <v>0</v>
      </c>
      <c r="N58" s="15">
        <f>SUM($M$5:M58)</f>
        <v>0</v>
      </c>
    </row>
    <row r="59" spans="1:14">
      <c r="A59">
        <v>55</v>
      </c>
      <c r="B59">
        <v>1</v>
      </c>
      <c r="C59">
        <f t="array" ref="C59">IFERROR(VLOOKUP(C$4&amp;$A59,IF({1,0},#REF!&amp;#REF!,#REF!),2,FALSE),0)</f>
        <v>0</v>
      </c>
      <c r="D59">
        <f t="array" ref="D59">IFERROR(VLOOKUP(D$4&amp;$A59,IF({1,0},#REF!&amp;#REF!,#REF!),2,FALSE),0)</f>
        <v>0</v>
      </c>
      <c r="E59">
        <f t="array" ref="E59">IFERROR(VLOOKUP(E$4&amp;$A59,IF({1,0},#REF!&amp;#REF!,#REF!),2,FALSE),0)</f>
        <v>0</v>
      </c>
      <c r="F59">
        <f t="array" ref="F59">IFERROR(VLOOKUP(F$4&amp;$A59,IF({1,0},#REF!&amp;#REF!,#REF!),2,FALSE),0)</f>
        <v>0</v>
      </c>
      <c r="G59">
        <f t="array" ref="G59">IFERROR(VLOOKUP(G$4&amp;$A59,IF({1,0},#REF!&amp;#REF!,#REF!),2,FALSE),0)</f>
        <v>0</v>
      </c>
      <c r="H59">
        <f t="array" ref="H59">IFERROR(VLOOKUP(H$4&amp;$A59,IF({1,0},#REF!&amp;#REF!,#REF!),2,FALSE),0)</f>
        <v>0</v>
      </c>
      <c r="I59">
        <f t="array" ref="I59">IFERROR(VLOOKUP(I$4&amp;$A59,IF({1,0},#REF!&amp;#REF!,#REF!),2,FALSE),0)</f>
        <v>0</v>
      </c>
      <c r="J59">
        <f t="array" ref="J59">IFERROR(VLOOKUP(J$4&amp;$A59,IF({1,0},#REF!&amp;#REF!,#REF!),2,FALSE),0)</f>
        <v>0</v>
      </c>
      <c r="K59">
        <f t="array" ref="K59">IFERROR(VLOOKUP(K$4&amp;$A59,IF({1,0},#REF!&amp;#REF!,#REF!),2,FALSE),0)</f>
        <v>0</v>
      </c>
      <c r="L59">
        <f t="array" ref="L59">IFERROR(VLOOKUP(L$4&amp;$A59,IF({1,0},#REF!&amp;#REF!,#REF!),2,FALSE),0)</f>
        <v>0</v>
      </c>
      <c r="M59" s="15">
        <f t="shared" si="0"/>
        <v>0</v>
      </c>
      <c r="N59" s="15">
        <f>SUM($M$5:M59)</f>
        <v>0</v>
      </c>
    </row>
    <row r="60" spans="1:14">
      <c r="A60">
        <v>56</v>
      </c>
      <c r="B60">
        <v>1</v>
      </c>
      <c r="C60">
        <f t="array" ref="C60">IFERROR(VLOOKUP(C$4&amp;$A60,IF({1,0},#REF!&amp;#REF!,#REF!),2,FALSE),0)</f>
        <v>0</v>
      </c>
      <c r="D60">
        <f t="array" ref="D60">IFERROR(VLOOKUP(D$4&amp;$A60,IF({1,0},#REF!&amp;#REF!,#REF!),2,FALSE),0)</f>
        <v>0</v>
      </c>
      <c r="E60">
        <f t="array" ref="E60">IFERROR(VLOOKUP(E$4&amp;$A60,IF({1,0},#REF!&amp;#REF!,#REF!),2,FALSE),0)</f>
        <v>0</v>
      </c>
      <c r="F60">
        <f t="array" ref="F60">IFERROR(VLOOKUP(F$4&amp;$A60,IF({1,0},#REF!&amp;#REF!,#REF!),2,FALSE),0)</f>
        <v>0</v>
      </c>
      <c r="G60">
        <f t="array" ref="G60">IFERROR(VLOOKUP(G$4&amp;$A60,IF({1,0},#REF!&amp;#REF!,#REF!),2,FALSE),0)</f>
        <v>0</v>
      </c>
      <c r="H60">
        <f t="array" ref="H60">IFERROR(VLOOKUP(H$4&amp;$A60,IF({1,0},#REF!&amp;#REF!,#REF!),2,FALSE),0)</f>
        <v>0</v>
      </c>
      <c r="I60">
        <f t="array" ref="I60">IFERROR(VLOOKUP(I$4&amp;$A60,IF({1,0},#REF!&amp;#REF!,#REF!),2,FALSE),0)</f>
        <v>0</v>
      </c>
      <c r="J60">
        <f t="array" ref="J60">IFERROR(VLOOKUP(J$4&amp;$A60,IF({1,0},#REF!&amp;#REF!,#REF!),2,FALSE),0)</f>
        <v>0</v>
      </c>
      <c r="K60">
        <f t="array" ref="K60">IFERROR(VLOOKUP(K$4&amp;$A60,IF({1,0},#REF!&amp;#REF!,#REF!),2,FALSE),0)</f>
        <v>0</v>
      </c>
      <c r="L60">
        <f t="array" ref="L60">IFERROR(VLOOKUP(L$4&amp;$A60,IF({1,0},#REF!&amp;#REF!,#REF!),2,FALSE),0)</f>
        <v>0</v>
      </c>
      <c r="M60" s="15">
        <f t="shared" si="0"/>
        <v>0</v>
      </c>
      <c r="N60" s="15">
        <f>SUM($M$5:M60)</f>
        <v>0</v>
      </c>
    </row>
    <row r="61" spans="1:14">
      <c r="A61">
        <v>57</v>
      </c>
      <c r="B61">
        <v>1</v>
      </c>
      <c r="C61">
        <f t="array" ref="C61">IFERROR(VLOOKUP(C$4&amp;$A61,IF({1,0},#REF!&amp;#REF!,#REF!),2,FALSE),0)</f>
        <v>0</v>
      </c>
      <c r="D61">
        <f t="array" ref="D61">IFERROR(VLOOKUP(D$4&amp;$A61,IF({1,0},#REF!&amp;#REF!,#REF!),2,FALSE),0)</f>
        <v>0</v>
      </c>
      <c r="E61">
        <f t="array" ref="E61">IFERROR(VLOOKUP(E$4&amp;$A61,IF({1,0},#REF!&amp;#REF!,#REF!),2,FALSE),0)</f>
        <v>0</v>
      </c>
      <c r="F61">
        <f t="array" ref="F61">IFERROR(VLOOKUP(F$4&amp;$A61,IF({1,0},#REF!&amp;#REF!,#REF!),2,FALSE),0)</f>
        <v>0</v>
      </c>
      <c r="G61">
        <f t="array" ref="G61">IFERROR(VLOOKUP(G$4&amp;$A61,IF({1,0},#REF!&amp;#REF!,#REF!),2,FALSE),0)</f>
        <v>0</v>
      </c>
      <c r="H61">
        <f t="array" ref="H61">IFERROR(VLOOKUP(H$4&amp;$A61,IF({1,0},#REF!&amp;#REF!,#REF!),2,FALSE),0)</f>
        <v>0</v>
      </c>
      <c r="I61">
        <f t="array" ref="I61">IFERROR(VLOOKUP(I$4&amp;$A61,IF({1,0},#REF!&amp;#REF!,#REF!),2,FALSE),0)</f>
        <v>0</v>
      </c>
      <c r="J61">
        <f t="array" ref="J61">IFERROR(VLOOKUP(J$4&amp;$A61,IF({1,0},#REF!&amp;#REF!,#REF!),2,FALSE),0)</f>
        <v>0</v>
      </c>
      <c r="K61">
        <f t="array" ref="K61">IFERROR(VLOOKUP(K$4&amp;$A61,IF({1,0},#REF!&amp;#REF!,#REF!),2,FALSE),0)</f>
        <v>0</v>
      </c>
      <c r="L61">
        <f t="array" ref="L61">IFERROR(VLOOKUP(L$4&amp;$A61,IF({1,0},#REF!&amp;#REF!,#REF!),2,FALSE),0)</f>
        <v>0</v>
      </c>
      <c r="M61" s="15">
        <f t="shared" si="0"/>
        <v>0</v>
      </c>
      <c r="N61" s="15">
        <f>SUM($M$5:M61)</f>
        <v>0</v>
      </c>
    </row>
    <row r="62" spans="1:14">
      <c r="A62">
        <v>58</v>
      </c>
      <c r="B62">
        <v>1</v>
      </c>
      <c r="C62">
        <f t="array" ref="C62">IFERROR(VLOOKUP(C$4&amp;$A62,IF({1,0},#REF!&amp;#REF!,#REF!),2,FALSE),0)</f>
        <v>0</v>
      </c>
      <c r="D62">
        <f t="array" ref="D62">IFERROR(VLOOKUP(D$4&amp;$A62,IF({1,0},#REF!&amp;#REF!,#REF!),2,FALSE),0)</f>
        <v>0</v>
      </c>
      <c r="E62">
        <f t="array" ref="E62">IFERROR(VLOOKUP(E$4&amp;$A62,IF({1,0},#REF!&amp;#REF!,#REF!),2,FALSE),0)</f>
        <v>0</v>
      </c>
      <c r="F62">
        <f t="array" ref="F62">IFERROR(VLOOKUP(F$4&amp;$A62,IF({1,0},#REF!&amp;#REF!,#REF!),2,FALSE),0)</f>
        <v>0</v>
      </c>
      <c r="G62">
        <f t="array" ref="G62">IFERROR(VLOOKUP(G$4&amp;$A62,IF({1,0},#REF!&amp;#REF!,#REF!),2,FALSE),0)</f>
        <v>0</v>
      </c>
      <c r="H62">
        <f t="array" ref="H62">IFERROR(VLOOKUP(H$4&amp;$A62,IF({1,0},#REF!&amp;#REF!,#REF!),2,FALSE),0)</f>
        <v>0</v>
      </c>
      <c r="I62">
        <f t="array" ref="I62">IFERROR(VLOOKUP(I$4&amp;$A62,IF({1,0},#REF!&amp;#REF!,#REF!),2,FALSE),0)</f>
        <v>0</v>
      </c>
      <c r="J62">
        <f t="array" ref="J62">IFERROR(VLOOKUP(J$4&amp;$A62,IF({1,0},#REF!&amp;#REF!,#REF!),2,FALSE),0)</f>
        <v>0</v>
      </c>
      <c r="K62">
        <f t="array" ref="K62">IFERROR(VLOOKUP(K$4&amp;$A62,IF({1,0},#REF!&amp;#REF!,#REF!),2,FALSE),0)</f>
        <v>0</v>
      </c>
      <c r="L62">
        <f t="array" ref="L62">IFERROR(VLOOKUP(L$4&amp;$A62,IF({1,0},#REF!&amp;#REF!,#REF!),2,FALSE),0)</f>
        <v>0</v>
      </c>
      <c r="M62" s="15">
        <f t="shared" si="0"/>
        <v>0</v>
      </c>
      <c r="N62" s="15">
        <f>SUM($M$5:M62)</f>
        <v>0</v>
      </c>
    </row>
    <row r="63" spans="1:14">
      <c r="A63">
        <v>59</v>
      </c>
      <c r="B63">
        <v>1</v>
      </c>
      <c r="C63">
        <f t="array" ref="C63">IFERROR(VLOOKUP(C$4&amp;$A63,IF({1,0},#REF!&amp;#REF!,#REF!),2,FALSE),0)</f>
        <v>0</v>
      </c>
      <c r="D63">
        <f t="array" ref="D63">IFERROR(VLOOKUP(D$4&amp;$A63,IF({1,0},#REF!&amp;#REF!,#REF!),2,FALSE),0)</f>
        <v>0</v>
      </c>
      <c r="E63">
        <f t="array" ref="E63">IFERROR(VLOOKUP(E$4&amp;$A63,IF({1,0},#REF!&amp;#REF!,#REF!),2,FALSE),0)</f>
        <v>0</v>
      </c>
      <c r="F63">
        <f t="array" ref="F63">IFERROR(VLOOKUP(F$4&amp;$A63,IF({1,0},#REF!&amp;#REF!,#REF!),2,FALSE),0)</f>
        <v>0</v>
      </c>
      <c r="G63">
        <f t="array" ref="G63">IFERROR(VLOOKUP(G$4&amp;$A63,IF({1,0},#REF!&amp;#REF!,#REF!),2,FALSE),0)</f>
        <v>0</v>
      </c>
      <c r="H63">
        <f t="array" ref="H63">IFERROR(VLOOKUP(H$4&amp;$A63,IF({1,0},#REF!&amp;#REF!,#REF!),2,FALSE),0)</f>
        <v>0</v>
      </c>
      <c r="I63">
        <f t="array" ref="I63">IFERROR(VLOOKUP(I$4&amp;$A63,IF({1,0},#REF!&amp;#REF!,#REF!),2,FALSE),0)</f>
        <v>0</v>
      </c>
      <c r="J63">
        <f t="array" ref="J63">IFERROR(VLOOKUP(J$4&amp;$A63,IF({1,0},#REF!&amp;#REF!,#REF!),2,FALSE),0)</f>
        <v>0</v>
      </c>
      <c r="K63">
        <f t="array" ref="K63">IFERROR(VLOOKUP(K$4&amp;$A63,IF({1,0},#REF!&amp;#REF!,#REF!),2,FALSE),0)</f>
        <v>0</v>
      </c>
      <c r="L63">
        <f t="array" ref="L63">IFERROR(VLOOKUP(L$4&amp;$A63,IF({1,0},#REF!&amp;#REF!,#REF!),2,FALSE),0)</f>
        <v>0</v>
      </c>
      <c r="M63" s="15">
        <f t="shared" si="0"/>
        <v>0</v>
      </c>
      <c r="N63" s="15">
        <f>SUM($M$5:M63)</f>
        <v>0</v>
      </c>
    </row>
    <row r="64" spans="1:14">
      <c r="A64">
        <v>60</v>
      </c>
      <c r="B64">
        <v>1</v>
      </c>
      <c r="C64">
        <f t="array" ref="C64">IFERROR(VLOOKUP(C$4&amp;$A64,IF({1,0},#REF!&amp;#REF!,#REF!),2,FALSE),0)</f>
        <v>0</v>
      </c>
      <c r="D64">
        <f t="array" ref="D64">IFERROR(VLOOKUP(D$4&amp;$A64,IF({1,0},#REF!&amp;#REF!,#REF!),2,FALSE),0)</f>
        <v>0</v>
      </c>
      <c r="E64">
        <f t="array" ref="E64">IFERROR(VLOOKUP(E$4&amp;$A64,IF({1,0},#REF!&amp;#REF!,#REF!),2,FALSE),0)</f>
        <v>0</v>
      </c>
      <c r="F64">
        <f t="array" ref="F64">IFERROR(VLOOKUP(F$4&amp;$A64,IF({1,0},#REF!&amp;#REF!,#REF!),2,FALSE),0)</f>
        <v>0</v>
      </c>
      <c r="G64">
        <f t="array" ref="G64">IFERROR(VLOOKUP(G$4&amp;$A64,IF({1,0},#REF!&amp;#REF!,#REF!),2,FALSE),0)</f>
        <v>0</v>
      </c>
      <c r="H64">
        <f t="array" ref="H64">IFERROR(VLOOKUP(H$4&amp;$A64,IF({1,0},#REF!&amp;#REF!,#REF!),2,FALSE),0)</f>
        <v>0</v>
      </c>
      <c r="I64">
        <f t="array" ref="I64">IFERROR(VLOOKUP(I$4&amp;$A64,IF({1,0},#REF!&amp;#REF!,#REF!),2,FALSE),0)</f>
        <v>0</v>
      </c>
      <c r="J64">
        <f t="array" ref="J64">IFERROR(VLOOKUP(J$4&amp;$A64,IF({1,0},#REF!&amp;#REF!,#REF!),2,FALSE),0)</f>
        <v>0</v>
      </c>
      <c r="K64">
        <f t="array" ref="K64">IFERROR(VLOOKUP(K$4&amp;$A64,IF({1,0},#REF!&amp;#REF!,#REF!),2,FALSE),0)</f>
        <v>0</v>
      </c>
      <c r="L64">
        <f t="array" ref="L64">IFERROR(VLOOKUP(L$4&amp;$A64,IF({1,0},#REF!&amp;#REF!,#REF!),2,FALSE),0)</f>
        <v>0</v>
      </c>
      <c r="M64" s="15">
        <f t="shared" si="0"/>
        <v>0</v>
      </c>
      <c r="N64" s="15">
        <f>SUM($M$5:M64)</f>
        <v>0</v>
      </c>
    </row>
    <row r="65" spans="1:14">
      <c r="A65">
        <v>61</v>
      </c>
      <c r="B65">
        <v>1</v>
      </c>
      <c r="C65">
        <f t="array" ref="C65">IFERROR(VLOOKUP(C$4&amp;$A65,IF({1,0},#REF!&amp;#REF!,#REF!),2,FALSE),0)</f>
        <v>0</v>
      </c>
      <c r="D65">
        <f t="array" ref="D65">IFERROR(VLOOKUP(D$4&amp;$A65,IF({1,0},#REF!&amp;#REF!,#REF!),2,FALSE),0)</f>
        <v>0</v>
      </c>
      <c r="E65">
        <f t="array" ref="E65">IFERROR(VLOOKUP(E$4&amp;$A65,IF({1,0},#REF!&amp;#REF!,#REF!),2,FALSE),0)</f>
        <v>0</v>
      </c>
      <c r="F65">
        <f t="array" ref="F65">IFERROR(VLOOKUP(F$4&amp;$A65,IF({1,0},#REF!&amp;#REF!,#REF!),2,FALSE),0)</f>
        <v>0</v>
      </c>
      <c r="G65">
        <f t="array" ref="G65">IFERROR(VLOOKUP(G$4&amp;$A65,IF({1,0},#REF!&amp;#REF!,#REF!),2,FALSE),0)</f>
        <v>0</v>
      </c>
      <c r="H65">
        <f t="array" ref="H65">IFERROR(VLOOKUP(H$4&amp;$A65,IF({1,0},#REF!&amp;#REF!,#REF!),2,FALSE),0)</f>
        <v>0</v>
      </c>
      <c r="I65">
        <f t="array" ref="I65">IFERROR(VLOOKUP(I$4&amp;$A65,IF({1,0},#REF!&amp;#REF!,#REF!),2,FALSE),0)</f>
        <v>0</v>
      </c>
      <c r="J65">
        <f t="array" ref="J65">IFERROR(VLOOKUP(J$4&amp;$A65,IF({1,0},#REF!&amp;#REF!,#REF!),2,FALSE),0)</f>
        <v>0</v>
      </c>
      <c r="K65">
        <f t="array" ref="K65">IFERROR(VLOOKUP(K$4&amp;$A65,IF({1,0},#REF!&amp;#REF!,#REF!),2,FALSE),0)</f>
        <v>0</v>
      </c>
      <c r="L65">
        <f t="array" ref="L65">IFERROR(VLOOKUP(L$4&amp;$A65,IF({1,0},#REF!&amp;#REF!,#REF!),2,FALSE),0)</f>
        <v>0</v>
      </c>
      <c r="M65" s="15">
        <f t="shared" si="0"/>
        <v>0</v>
      </c>
      <c r="N65" s="15">
        <f>SUM($M$5:M65)</f>
        <v>0</v>
      </c>
    </row>
    <row r="66" spans="1:14">
      <c r="A66">
        <v>62</v>
      </c>
      <c r="B66">
        <v>1</v>
      </c>
      <c r="C66">
        <f t="array" ref="C66">IFERROR(VLOOKUP(C$4&amp;$A66,IF({1,0},#REF!&amp;#REF!,#REF!),2,FALSE),0)</f>
        <v>0</v>
      </c>
      <c r="D66">
        <f t="array" ref="D66">IFERROR(VLOOKUP(D$4&amp;$A66,IF({1,0},#REF!&amp;#REF!,#REF!),2,FALSE),0)</f>
        <v>0</v>
      </c>
      <c r="E66">
        <f t="array" ref="E66">IFERROR(VLOOKUP(E$4&amp;$A66,IF({1,0},#REF!&amp;#REF!,#REF!),2,FALSE),0)</f>
        <v>0</v>
      </c>
      <c r="F66">
        <f t="array" ref="F66">IFERROR(VLOOKUP(F$4&amp;$A66,IF({1,0},#REF!&amp;#REF!,#REF!),2,FALSE),0)</f>
        <v>0</v>
      </c>
      <c r="G66">
        <f t="array" ref="G66">IFERROR(VLOOKUP(G$4&amp;$A66,IF({1,0},#REF!&amp;#REF!,#REF!),2,FALSE),0)</f>
        <v>0</v>
      </c>
      <c r="H66">
        <f t="array" ref="H66">IFERROR(VLOOKUP(H$4&amp;$A66,IF({1,0},#REF!&amp;#REF!,#REF!),2,FALSE),0)</f>
        <v>0</v>
      </c>
      <c r="I66">
        <f t="array" ref="I66">IFERROR(VLOOKUP(I$4&amp;$A66,IF({1,0},#REF!&amp;#REF!,#REF!),2,FALSE),0)</f>
        <v>0</v>
      </c>
      <c r="J66">
        <f t="array" ref="J66">IFERROR(VLOOKUP(J$4&amp;$A66,IF({1,0},#REF!&amp;#REF!,#REF!),2,FALSE),0)</f>
        <v>0</v>
      </c>
      <c r="K66">
        <f t="array" ref="K66">IFERROR(VLOOKUP(K$4&amp;$A66,IF({1,0},#REF!&amp;#REF!,#REF!),2,FALSE),0)</f>
        <v>0</v>
      </c>
      <c r="L66">
        <f t="array" ref="L66">IFERROR(VLOOKUP(L$4&amp;$A66,IF({1,0},#REF!&amp;#REF!,#REF!),2,FALSE),0)</f>
        <v>0</v>
      </c>
      <c r="M66" s="15">
        <f t="shared" si="0"/>
        <v>0</v>
      </c>
      <c r="N66" s="15">
        <f>SUM($M$5:M66)</f>
        <v>0</v>
      </c>
    </row>
    <row r="67" spans="1:14">
      <c r="A67">
        <v>63</v>
      </c>
      <c r="B67">
        <v>1</v>
      </c>
      <c r="C67">
        <f t="array" ref="C67">IFERROR(VLOOKUP(C$4&amp;$A67,IF({1,0},#REF!&amp;#REF!,#REF!),2,FALSE),0)</f>
        <v>0</v>
      </c>
      <c r="D67">
        <f t="array" ref="D67">IFERROR(VLOOKUP(D$4&amp;$A67,IF({1,0},#REF!&amp;#REF!,#REF!),2,FALSE),0)</f>
        <v>0</v>
      </c>
      <c r="E67">
        <f t="array" ref="E67">IFERROR(VLOOKUP(E$4&amp;$A67,IF({1,0},#REF!&amp;#REF!,#REF!),2,FALSE),0)</f>
        <v>0</v>
      </c>
      <c r="F67">
        <f t="array" ref="F67">IFERROR(VLOOKUP(F$4&amp;$A67,IF({1,0},#REF!&amp;#REF!,#REF!),2,FALSE),0)</f>
        <v>0</v>
      </c>
      <c r="G67">
        <f t="array" ref="G67">IFERROR(VLOOKUP(G$4&amp;$A67,IF({1,0},#REF!&amp;#REF!,#REF!),2,FALSE),0)</f>
        <v>0</v>
      </c>
      <c r="H67">
        <f t="array" ref="H67">IFERROR(VLOOKUP(H$4&amp;$A67,IF({1,0},#REF!&amp;#REF!,#REF!),2,FALSE),0)</f>
        <v>0</v>
      </c>
      <c r="I67">
        <f t="array" ref="I67">IFERROR(VLOOKUP(I$4&amp;$A67,IF({1,0},#REF!&amp;#REF!,#REF!),2,FALSE),0)</f>
        <v>0</v>
      </c>
      <c r="J67">
        <f t="array" ref="J67">IFERROR(VLOOKUP(J$4&amp;$A67,IF({1,0},#REF!&amp;#REF!,#REF!),2,FALSE),0)</f>
        <v>0</v>
      </c>
      <c r="K67">
        <f t="array" ref="K67">IFERROR(VLOOKUP(K$4&amp;$A67,IF({1,0},#REF!&amp;#REF!,#REF!),2,FALSE),0)</f>
        <v>0</v>
      </c>
      <c r="L67">
        <f t="array" ref="L67">IFERROR(VLOOKUP(L$4&amp;$A67,IF({1,0},#REF!&amp;#REF!,#REF!),2,FALSE),0)</f>
        <v>0</v>
      </c>
      <c r="M67" s="15">
        <f t="shared" si="0"/>
        <v>0</v>
      </c>
      <c r="N67" s="15">
        <f>SUM($M$5:M67)</f>
        <v>0</v>
      </c>
    </row>
    <row r="68" spans="1:14">
      <c r="A68">
        <v>64</v>
      </c>
      <c r="B68">
        <v>1</v>
      </c>
      <c r="C68">
        <f t="array" ref="C68">IFERROR(VLOOKUP(C$4&amp;$A68,IF({1,0},#REF!&amp;#REF!,#REF!),2,FALSE),0)</f>
        <v>0</v>
      </c>
      <c r="D68">
        <f t="array" ref="D68">IFERROR(VLOOKUP(D$4&amp;$A68,IF({1,0},#REF!&amp;#REF!,#REF!),2,FALSE),0)</f>
        <v>0</v>
      </c>
      <c r="E68">
        <f t="array" ref="E68">IFERROR(VLOOKUP(E$4&amp;$A68,IF({1,0},#REF!&amp;#REF!,#REF!),2,FALSE),0)</f>
        <v>0</v>
      </c>
      <c r="F68">
        <f t="array" ref="F68">IFERROR(VLOOKUP(F$4&amp;$A68,IF({1,0},#REF!&amp;#REF!,#REF!),2,FALSE),0)</f>
        <v>0</v>
      </c>
      <c r="G68">
        <f t="array" ref="G68">IFERROR(VLOOKUP(G$4&amp;$A68,IF({1,0},#REF!&amp;#REF!,#REF!),2,FALSE),0)</f>
        <v>0</v>
      </c>
      <c r="H68">
        <f t="array" ref="H68">IFERROR(VLOOKUP(H$4&amp;$A68,IF({1,0},#REF!&amp;#REF!,#REF!),2,FALSE),0)</f>
        <v>0</v>
      </c>
      <c r="I68">
        <f t="array" ref="I68">IFERROR(VLOOKUP(I$4&amp;$A68,IF({1,0},#REF!&amp;#REF!,#REF!),2,FALSE),0)</f>
        <v>0</v>
      </c>
      <c r="J68">
        <f t="array" ref="J68">IFERROR(VLOOKUP(J$4&amp;$A68,IF({1,0},#REF!&amp;#REF!,#REF!),2,FALSE),0)</f>
        <v>0</v>
      </c>
      <c r="K68">
        <f t="array" ref="K68">IFERROR(VLOOKUP(K$4&amp;$A68,IF({1,0},#REF!&amp;#REF!,#REF!),2,FALSE),0)</f>
        <v>0</v>
      </c>
      <c r="L68">
        <f t="array" ref="L68">IFERROR(VLOOKUP(L$4&amp;$A68,IF({1,0},#REF!&amp;#REF!,#REF!),2,FALSE),0)</f>
        <v>0</v>
      </c>
      <c r="M68" s="15">
        <f t="shared" si="0"/>
        <v>0</v>
      </c>
      <c r="N68" s="15">
        <f>SUM($M$5:M68)</f>
        <v>0</v>
      </c>
    </row>
    <row r="69" spans="1:14">
      <c r="A69">
        <v>65</v>
      </c>
      <c r="B69">
        <v>1</v>
      </c>
      <c r="C69">
        <f t="array" ref="C69">IFERROR(VLOOKUP(C$4&amp;$A69,IF({1,0},#REF!&amp;#REF!,#REF!),2,FALSE),0)</f>
        <v>0</v>
      </c>
      <c r="D69">
        <f t="array" ref="D69">IFERROR(VLOOKUP(D$4&amp;$A69,IF({1,0},#REF!&amp;#REF!,#REF!),2,FALSE),0)</f>
        <v>0</v>
      </c>
      <c r="E69">
        <f t="array" ref="E69">IFERROR(VLOOKUP(E$4&amp;$A69,IF({1,0},#REF!&amp;#REF!,#REF!),2,FALSE),0)</f>
        <v>0</v>
      </c>
      <c r="F69">
        <f t="array" ref="F69">IFERROR(VLOOKUP(F$4&amp;$A69,IF({1,0},#REF!&amp;#REF!,#REF!),2,FALSE),0)</f>
        <v>0</v>
      </c>
      <c r="G69">
        <f t="array" ref="G69">IFERROR(VLOOKUP(G$4&amp;$A69,IF({1,0},#REF!&amp;#REF!,#REF!),2,FALSE),0)</f>
        <v>0</v>
      </c>
      <c r="H69">
        <f t="array" ref="H69">IFERROR(VLOOKUP(H$4&amp;$A69,IF({1,0},#REF!&amp;#REF!,#REF!),2,FALSE),0)</f>
        <v>0</v>
      </c>
      <c r="I69">
        <f t="array" ref="I69">IFERROR(VLOOKUP(I$4&amp;$A69,IF({1,0},#REF!&amp;#REF!,#REF!),2,FALSE),0)</f>
        <v>0</v>
      </c>
      <c r="J69">
        <f t="array" ref="J69">IFERROR(VLOOKUP(J$4&amp;$A69,IF({1,0},#REF!&amp;#REF!,#REF!),2,FALSE),0)</f>
        <v>0</v>
      </c>
      <c r="K69">
        <f t="array" ref="K69">IFERROR(VLOOKUP(K$4&amp;$A69,IF({1,0},#REF!&amp;#REF!,#REF!),2,FALSE),0)</f>
        <v>0</v>
      </c>
      <c r="L69">
        <f t="array" ref="L69">IFERROR(VLOOKUP(L$4&amp;$A69,IF({1,0},#REF!&amp;#REF!,#REF!),2,FALSE),0)</f>
        <v>0</v>
      </c>
      <c r="M69" s="15">
        <f t="shared" si="0"/>
        <v>0</v>
      </c>
      <c r="N69" s="15">
        <f>SUM($M$5:M69)</f>
        <v>0</v>
      </c>
    </row>
    <row r="70" spans="1:14">
      <c r="A70">
        <v>66</v>
      </c>
      <c r="B70">
        <v>1</v>
      </c>
      <c r="C70">
        <f t="array" ref="C70">IFERROR(VLOOKUP(C$4&amp;$A70,IF({1,0},#REF!&amp;#REF!,#REF!),2,FALSE),0)</f>
        <v>0</v>
      </c>
      <c r="D70">
        <f t="array" ref="D70">IFERROR(VLOOKUP(D$4&amp;$A70,IF({1,0},#REF!&amp;#REF!,#REF!),2,FALSE),0)</f>
        <v>0</v>
      </c>
      <c r="E70">
        <f t="array" ref="E70">IFERROR(VLOOKUP(E$4&amp;$A70,IF({1,0},#REF!&amp;#REF!,#REF!),2,FALSE),0)</f>
        <v>0</v>
      </c>
      <c r="F70">
        <f t="array" ref="F70">IFERROR(VLOOKUP(F$4&amp;$A70,IF({1,0},#REF!&amp;#REF!,#REF!),2,FALSE),0)</f>
        <v>0</v>
      </c>
      <c r="G70">
        <f t="array" ref="G70">IFERROR(VLOOKUP(G$4&amp;$A70,IF({1,0},#REF!&amp;#REF!,#REF!),2,FALSE),0)</f>
        <v>0</v>
      </c>
      <c r="H70">
        <f t="array" ref="H70">IFERROR(VLOOKUP(H$4&amp;$A70,IF({1,0},#REF!&amp;#REF!,#REF!),2,FALSE),0)</f>
        <v>0</v>
      </c>
      <c r="I70">
        <f t="array" ref="I70">IFERROR(VLOOKUP(I$4&amp;$A70,IF({1,0},#REF!&amp;#REF!,#REF!),2,FALSE),0)</f>
        <v>0</v>
      </c>
      <c r="J70">
        <f t="array" ref="J70">IFERROR(VLOOKUP(J$4&amp;$A70,IF({1,0},#REF!&amp;#REF!,#REF!),2,FALSE),0)</f>
        <v>0</v>
      </c>
      <c r="K70">
        <f t="array" ref="K70">IFERROR(VLOOKUP(K$4&amp;$A70,IF({1,0},#REF!&amp;#REF!,#REF!),2,FALSE),0)</f>
        <v>0</v>
      </c>
      <c r="L70">
        <f t="array" ref="L70">IFERROR(VLOOKUP(L$4&amp;$A70,IF({1,0},#REF!&amp;#REF!,#REF!),2,FALSE),0)</f>
        <v>0</v>
      </c>
      <c r="M70" s="15">
        <f t="shared" ref="M70:M84" si="1">SUM(C70:L70)</f>
        <v>0</v>
      </c>
      <c r="N70" s="15">
        <f>SUM($M$5:M70)</f>
        <v>0</v>
      </c>
    </row>
    <row r="71" spans="1:14">
      <c r="A71">
        <v>67</v>
      </c>
      <c r="B71">
        <v>1</v>
      </c>
      <c r="C71">
        <f t="array" ref="C71">IFERROR(VLOOKUP(C$4&amp;$A71,IF({1,0},#REF!&amp;#REF!,#REF!),2,FALSE),0)</f>
        <v>0</v>
      </c>
      <c r="D71">
        <f t="array" ref="D71">IFERROR(VLOOKUP(D$4&amp;$A71,IF({1,0},#REF!&amp;#REF!,#REF!),2,FALSE),0)</f>
        <v>0</v>
      </c>
      <c r="E71">
        <f t="array" ref="E71">IFERROR(VLOOKUP(E$4&amp;$A71,IF({1,0},#REF!&amp;#REF!,#REF!),2,FALSE),0)</f>
        <v>0</v>
      </c>
      <c r="F71">
        <f t="array" ref="F71">IFERROR(VLOOKUP(F$4&amp;$A71,IF({1,0},#REF!&amp;#REF!,#REF!),2,FALSE),0)</f>
        <v>0</v>
      </c>
      <c r="G71">
        <f t="array" ref="G71">IFERROR(VLOOKUP(G$4&amp;$A71,IF({1,0},#REF!&amp;#REF!,#REF!),2,FALSE),0)</f>
        <v>0</v>
      </c>
      <c r="H71">
        <f t="array" ref="H71">IFERROR(VLOOKUP(H$4&amp;$A71,IF({1,0},#REF!&amp;#REF!,#REF!),2,FALSE),0)</f>
        <v>0</v>
      </c>
      <c r="I71">
        <f t="array" ref="I71">IFERROR(VLOOKUP(I$4&amp;$A71,IF({1,0},#REF!&amp;#REF!,#REF!),2,FALSE),0)</f>
        <v>0</v>
      </c>
      <c r="J71">
        <f t="array" ref="J71">IFERROR(VLOOKUP(J$4&amp;$A71,IF({1,0},#REF!&amp;#REF!,#REF!),2,FALSE),0)</f>
        <v>0</v>
      </c>
      <c r="K71">
        <f t="array" ref="K71">IFERROR(VLOOKUP(K$4&amp;$A71,IF({1,0},#REF!&amp;#REF!,#REF!),2,FALSE),0)</f>
        <v>0</v>
      </c>
      <c r="L71">
        <f t="array" ref="L71">IFERROR(VLOOKUP(L$4&amp;$A71,IF({1,0},#REF!&amp;#REF!,#REF!),2,FALSE),0)</f>
        <v>0</v>
      </c>
      <c r="M71" s="15">
        <f t="shared" si="1"/>
        <v>0</v>
      </c>
      <c r="N71" s="15">
        <f>SUM($M$5:M71)</f>
        <v>0</v>
      </c>
    </row>
    <row r="72" spans="1:14">
      <c r="A72">
        <v>68</v>
      </c>
      <c r="B72">
        <v>1</v>
      </c>
      <c r="C72">
        <f t="array" ref="C72">IFERROR(VLOOKUP(C$4&amp;$A72,IF({1,0},#REF!&amp;#REF!,#REF!),2,FALSE),0)</f>
        <v>0</v>
      </c>
      <c r="D72">
        <f t="array" ref="D72">IFERROR(VLOOKUP(D$4&amp;$A72,IF({1,0},#REF!&amp;#REF!,#REF!),2,FALSE),0)</f>
        <v>0</v>
      </c>
      <c r="E72">
        <f t="array" ref="E72">IFERROR(VLOOKUP(E$4&amp;$A72,IF({1,0},#REF!&amp;#REF!,#REF!),2,FALSE),0)</f>
        <v>0</v>
      </c>
      <c r="F72">
        <f t="array" ref="F72">IFERROR(VLOOKUP(F$4&amp;$A72,IF({1,0},#REF!&amp;#REF!,#REF!),2,FALSE),0)</f>
        <v>0</v>
      </c>
      <c r="G72">
        <f t="array" ref="G72">IFERROR(VLOOKUP(G$4&amp;$A72,IF({1,0},#REF!&amp;#REF!,#REF!),2,FALSE),0)</f>
        <v>0</v>
      </c>
      <c r="H72">
        <f t="array" ref="H72">IFERROR(VLOOKUP(H$4&amp;$A72,IF({1,0},#REF!&amp;#REF!,#REF!),2,FALSE),0)</f>
        <v>0</v>
      </c>
      <c r="I72">
        <f t="array" ref="I72">IFERROR(VLOOKUP(I$4&amp;$A72,IF({1,0},#REF!&amp;#REF!,#REF!),2,FALSE),0)</f>
        <v>0</v>
      </c>
      <c r="J72">
        <f t="array" ref="J72">IFERROR(VLOOKUP(J$4&amp;$A72,IF({1,0},#REF!&amp;#REF!,#REF!),2,FALSE),0)</f>
        <v>0</v>
      </c>
      <c r="K72">
        <f t="array" ref="K72">IFERROR(VLOOKUP(K$4&amp;$A72,IF({1,0},#REF!&amp;#REF!,#REF!),2,FALSE),0)</f>
        <v>0</v>
      </c>
      <c r="L72">
        <f t="array" ref="L72">IFERROR(VLOOKUP(L$4&amp;$A72,IF({1,0},#REF!&amp;#REF!,#REF!),2,FALSE),0)</f>
        <v>0</v>
      </c>
      <c r="M72" s="15">
        <f t="shared" si="1"/>
        <v>0</v>
      </c>
      <c r="N72" s="15">
        <f>SUM($M$5:M72)</f>
        <v>0</v>
      </c>
    </row>
    <row r="73" spans="1:14">
      <c r="A73">
        <v>69</v>
      </c>
      <c r="B73">
        <v>1</v>
      </c>
      <c r="C73">
        <f t="array" ref="C73">IFERROR(VLOOKUP(C$4&amp;$A73,IF({1,0},#REF!&amp;#REF!,#REF!),2,FALSE),0)</f>
        <v>0</v>
      </c>
      <c r="D73">
        <f t="array" ref="D73">IFERROR(VLOOKUP(D$4&amp;$A73,IF({1,0},#REF!&amp;#REF!,#REF!),2,FALSE),0)</f>
        <v>0</v>
      </c>
      <c r="E73">
        <f t="array" ref="E73">IFERROR(VLOOKUP(E$4&amp;$A73,IF({1,0},#REF!&amp;#REF!,#REF!),2,FALSE),0)</f>
        <v>0</v>
      </c>
      <c r="F73">
        <f t="array" ref="F73">IFERROR(VLOOKUP(F$4&amp;$A73,IF({1,0},#REF!&amp;#REF!,#REF!),2,FALSE),0)</f>
        <v>0</v>
      </c>
      <c r="G73">
        <f t="array" ref="G73">IFERROR(VLOOKUP(G$4&amp;$A73,IF({1,0},#REF!&amp;#REF!,#REF!),2,FALSE),0)</f>
        <v>0</v>
      </c>
      <c r="H73">
        <f t="array" ref="H73">IFERROR(VLOOKUP(H$4&amp;$A73,IF({1,0},#REF!&amp;#REF!,#REF!),2,FALSE),0)</f>
        <v>0</v>
      </c>
      <c r="I73">
        <f t="array" ref="I73">IFERROR(VLOOKUP(I$4&amp;$A73,IF({1,0},#REF!&amp;#REF!,#REF!),2,FALSE),0)</f>
        <v>0</v>
      </c>
      <c r="J73">
        <f t="array" ref="J73">IFERROR(VLOOKUP(J$4&amp;$A73,IF({1,0},#REF!&amp;#REF!,#REF!),2,FALSE),0)</f>
        <v>0</v>
      </c>
      <c r="K73">
        <f t="array" ref="K73">IFERROR(VLOOKUP(K$4&amp;$A73,IF({1,0},#REF!&amp;#REF!,#REF!),2,FALSE),0)</f>
        <v>0</v>
      </c>
      <c r="L73">
        <f t="array" ref="L73">IFERROR(VLOOKUP(L$4&amp;$A73,IF({1,0},#REF!&amp;#REF!,#REF!),2,FALSE),0)</f>
        <v>0</v>
      </c>
      <c r="M73" s="15">
        <f t="shared" si="1"/>
        <v>0</v>
      </c>
      <c r="N73" s="15">
        <f>SUM($M$5:M73)</f>
        <v>0</v>
      </c>
    </row>
    <row r="74" spans="1:14">
      <c r="A74">
        <v>70</v>
      </c>
      <c r="B74">
        <v>1</v>
      </c>
      <c r="C74">
        <f t="array" ref="C74">IFERROR(VLOOKUP(C$4&amp;$A74,IF({1,0},#REF!&amp;#REF!,#REF!),2,FALSE),0)</f>
        <v>0</v>
      </c>
      <c r="D74">
        <f t="array" ref="D74">IFERROR(VLOOKUP(D$4&amp;$A74,IF({1,0},#REF!&amp;#REF!,#REF!),2,FALSE),0)</f>
        <v>0</v>
      </c>
      <c r="E74">
        <f t="array" ref="E74">IFERROR(VLOOKUP(E$4&amp;$A74,IF({1,0},#REF!&amp;#REF!,#REF!),2,FALSE),0)</f>
        <v>0</v>
      </c>
      <c r="F74">
        <f t="array" ref="F74">IFERROR(VLOOKUP(F$4&amp;$A74,IF({1,0},#REF!&amp;#REF!,#REF!),2,FALSE),0)</f>
        <v>0</v>
      </c>
      <c r="G74">
        <f t="array" ref="G74">IFERROR(VLOOKUP(G$4&amp;$A74,IF({1,0},#REF!&amp;#REF!,#REF!),2,FALSE),0)</f>
        <v>0</v>
      </c>
      <c r="H74">
        <f t="array" ref="H74">IFERROR(VLOOKUP(H$4&amp;$A74,IF({1,0},#REF!&amp;#REF!,#REF!),2,FALSE),0)</f>
        <v>0</v>
      </c>
      <c r="I74">
        <f t="array" ref="I74">IFERROR(VLOOKUP(I$4&amp;$A74,IF({1,0},#REF!&amp;#REF!,#REF!),2,FALSE),0)</f>
        <v>0</v>
      </c>
      <c r="J74">
        <f t="array" ref="J74">IFERROR(VLOOKUP(J$4&amp;$A74,IF({1,0},#REF!&amp;#REF!,#REF!),2,FALSE),0)</f>
        <v>0</v>
      </c>
      <c r="K74">
        <f t="array" ref="K74">IFERROR(VLOOKUP(K$4&amp;$A74,IF({1,0},#REF!&amp;#REF!,#REF!),2,FALSE),0)</f>
        <v>0</v>
      </c>
      <c r="L74">
        <f t="array" ref="L74">IFERROR(VLOOKUP(L$4&amp;$A74,IF({1,0},#REF!&amp;#REF!,#REF!),2,FALSE),0)</f>
        <v>0</v>
      </c>
      <c r="M74" s="15">
        <f t="shared" si="1"/>
        <v>0</v>
      </c>
      <c r="N74" s="15">
        <f>SUM($M$5:M74)</f>
        <v>0</v>
      </c>
    </row>
    <row r="75" spans="1:14">
      <c r="A75">
        <v>71</v>
      </c>
      <c r="B75">
        <v>1</v>
      </c>
      <c r="C75">
        <f t="array" ref="C75">IFERROR(VLOOKUP(C$4&amp;$A75,IF({1,0},#REF!&amp;#REF!,#REF!),2,FALSE),0)</f>
        <v>0</v>
      </c>
      <c r="D75">
        <f t="array" ref="D75">IFERROR(VLOOKUP(D$4&amp;$A75,IF({1,0},#REF!&amp;#REF!,#REF!),2,FALSE),0)</f>
        <v>0</v>
      </c>
      <c r="E75">
        <f t="array" ref="E75">IFERROR(VLOOKUP(E$4&amp;$A75,IF({1,0},#REF!&amp;#REF!,#REF!),2,FALSE),0)</f>
        <v>0</v>
      </c>
      <c r="F75">
        <f t="array" ref="F75">IFERROR(VLOOKUP(F$4&amp;$A75,IF({1,0},#REF!&amp;#REF!,#REF!),2,FALSE),0)</f>
        <v>0</v>
      </c>
      <c r="G75">
        <f t="array" ref="G75">IFERROR(VLOOKUP(G$4&amp;$A75,IF({1,0},#REF!&amp;#REF!,#REF!),2,FALSE),0)</f>
        <v>0</v>
      </c>
      <c r="H75">
        <f t="array" ref="H75">IFERROR(VLOOKUP(H$4&amp;$A75,IF({1,0},#REF!&amp;#REF!,#REF!),2,FALSE),0)</f>
        <v>0</v>
      </c>
      <c r="I75">
        <f t="array" ref="I75">IFERROR(VLOOKUP(I$4&amp;$A75,IF({1,0},#REF!&amp;#REF!,#REF!),2,FALSE),0)</f>
        <v>0</v>
      </c>
      <c r="J75">
        <f t="array" ref="J75">IFERROR(VLOOKUP(J$4&amp;$A75,IF({1,0},#REF!&amp;#REF!,#REF!),2,FALSE),0)</f>
        <v>0</v>
      </c>
      <c r="K75">
        <f t="array" ref="K75">IFERROR(VLOOKUP(K$4&amp;$A75,IF({1,0},#REF!&amp;#REF!,#REF!),2,FALSE),0)</f>
        <v>0</v>
      </c>
      <c r="L75">
        <f t="array" ref="L75">IFERROR(VLOOKUP(L$4&amp;$A75,IF({1,0},#REF!&amp;#REF!,#REF!),2,FALSE),0)</f>
        <v>0</v>
      </c>
      <c r="M75" s="15">
        <f t="shared" si="1"/>
        <v>0</v>
      </c>
      <c r="N75" s="15">
        <f>SUM($M$5:M75)</f>
        <v>0</v>
      </c>
    </row>
    <row r="76" spans="1:14">
      <c r="A76">
        <v>72</v>
      </c>
      <c r="B76">
        <v>1</v>
      </c>
      <c r="C76">
        <f t="array" ref="C76">IFERROR(VLOOKUP(C$4&amp;$A76,IF({1,0},#REF!&amp;#REF!,#REF!),2,FALSE),0)</f>
        <v>0</v>
      </c>
      <c r="D76">
        <f t="array" ref="D76">IFERROR(VLOOKUP(D$4&amp;$A76,IF({1,0},#REF!&amp;#REF!,#REF!),2,FALSE),0)</f>
        <v>0</v>
      </c>
      <c r="E76">
        <f t="array" ref="E76">IFERROR(VLOOKUP(E$4&amp;$A76,IF({1,0},#REF!&amp;#REF!,#REF!),2,FALSE),0)</f>
        <v>0</v>
      </c>
      <c r="F76">
        <f t="array" ref="F76">IFERROR(VLOOKUP(F$4&amp;$A76,IF({1,0},#REF!&amp;#REF!,#REF!),2,FALSE),0)</f>
        <v>0</v>
      </c>
      <c r="G76">
        <f t="array" ref="G76">IFERROR(VLOOKUP(G$4&amp;$A76,IF({1,0},#REF!&amp;#REF!,#REF!),2,FALSE),0)</f>
        <v>0</v>
      </c>
      <c r="H76">
        <f t="array" ref="H76">IFERROR(VLOOKUP(H$4&amp;$A76,IF({1,0},#REF!&amp;#REF!,#REF!),2,FALSE),0)</f>
        <v>0</v>
      </c>
      <c r="I76">
        <f t="array" ref="I76">IFERROR(VLOOKUP(I$4&amp;$A76,IF({1,0},#REF!&amp;#REF!,#REF!),2,FALSE),0)</f>
        <v>0</v>
      </c>
      <c r="J76">
        <f t="array" ref="J76">IFERROR(VLOOKUP(J$4&amp;$A76,IF({1,0},#REF!&amp;#REF!,#REF!),2,FALSE),0)</f>
        <v>0</v>
      </c>
      <c r="K76">
        <f t="array" ref="K76">IFERROR(VLOOKUP(K$4&amp;$A76,IF({1,0},#REF!&amp;#REF!,#REF!),2,FALSE),0)</f>
        <v>0</v>
      </c>
      <c r="L76">
        <f t="array" ref="L76">IFERROR(VLOOKUP(L$4&amp;$A76,IF({1,0},#REF!&amp;#REF!,#REF!),2,FALSE),0)</f>
        <v>0</v>
      </c>
      <c r="M76" s="15">
        <f t="shared" si="1"/>
        <v>0</v>
      </c>
      <c r="N76" s="15">
        <f>SUM($M$5:M76)</f>
        <v>0</v>
      </c>
    </row>
    <row r="77" spans="1:14">
      <c r="A77">
        <v>73</v>
      </c>
      <c r="B77">
        <v>1</v>
      </c>
      <c r="C77">
        <f t="array" ref="C77">IFERROR(VLOOKUP(C$4&amp;$A77,IF({1,0},#REF!&amp;#REF!,#REF!),2,FALSE),0)</f>
        <v>0</v>
      </c>
      <c r="D77">
        <f t="array" ref="D77">IFERROR(VLOOKUP(D$4&amp;$A77,IF({1,0},#REF!&amp;#REF!,#REF!),2,FALSE),0)</f>
        <v>0</v>
      </c>
      <c r="E77">
        <f t="array" ref="E77">IFERROR(VLOOKUP(E$4&amp;$A77,IF({1,0},#REF!&amp;#REF!,#REF!),2,FALSE),0)</f>
        <v>0</v>
      </c>
      <c r="F77">
        <f t="array" ref="F77">IFERROR(VLOOKUP(F$4&amp;$A77,IF({1,0},#REF!&amp;#REF!,#REF!),2,FALSE),0)</f>
        <v>0</v>
      </c>
      <c r="G77">
        <f t="array" ref="G77">IFERROR(VLOOKUP(G$4&amp;$A77,IF({1,0},#REF!&amp;#REF!,#REF!),2,FALSE),0)</f>
        <v>0</v>
      </c>
      <c r="H77">
        <f t="array" ref="H77">IFERROR(VLOOKUP(H$4&amp;$A77,IF({1,0},#REF!&amp;#REF!,#REF!),2,FALSE),0)</f>
        <v>0</v>
      </c>
      <c r="I77">
        <f t="array" ref="I77">IFERROR(VLOOKUP(I$4&amp;$A77,IF({1,0},#REF!&amp;#REF!,#REF!),2,FALSE),0)</f>
        <v>0</v>
      </c>
      <c r="J77">
        <f t="array" ref="J77">IFERROR(VLOOKUP(J$4&amp;$A77,IF({1,0},#REF!&amp;#REF!,#REF!),2,FALSE),0)</f>
        <v>0</v>
      </c>
      <c r="K77">
        <f t="array" ref="K77">IFERROR(VLOOKUP(K$4&amp;$A77,IF({1,0},#REF!&amp;#REF!,#REF!),2,FALSE),0)</f>
        <v>0</v>
      </c>
      <c r="L77">
        <f t="array" ref="L77">IFERROR(VLOOKUP(L$4&amp;$A77,IF({1,0},#REF!&amp;#REF!,#REF!),2,FALSE),0)</f>
        <v>0</v>
      </c>
      <c r="M77" s="15">
        <f t="shared" si="1"/>
        <v>0</v>
      </c>
      <c r="N77" s="15">
        <f>SUM($M$5:M77)</f>
        <v>0</v>
      </c>
    </row>
    <row r="78" spans="1:14">
      <c r="A78">
        <v>74</v>
      </c>
      <c r="B78">
        <v>1</v>
      </c>
      <c r="C78">
        <f t="array" ref="C78">IFERROR(VLOOKUP(C$4&amp;$A78,IF({1,0},#REF!&amp;#REF!,#REF!),2,FALSE),0)</f>
        <v>0</v>
      </c>
      <c r="D78">
        <f t="array" ref="D78">IFERROR(VLOOKUP(D$4&amp;$A78,IF({1,0},#REF!&amp;#REF!,#REF!),2,FALSE),0)</f>
        <v>0</v>
      </c>
      <c r="E78">
        <f t="array" ref="E78">IFERROR(VLOOKUP(E$4&amp;$A78,IF({1,0},#REF!&amp;#REF!,#REF!),2,FALSE),0)</f>
        <v>0</v>
      </c>
      <c r="F78">
        <f t="array" ref="F78">IFERROR(VLOOKUP(F$4&amp;$A78,IF({1,0},#REF!&amp;#REF!,#REF!),2,FALSE),0)</f>
        <v>0</v>
      </c>
      <c r="G78">
        <f t="array" ref="G78">IFERROR(VLOOKUP(G$4&amp;$A78,IF({1,0},#REF!&amp;#REF!,#REF!),2,FALSE),0)</f>
        <v>0</v>
      </c>
      <c r="H78">
        <f t="array" ref="H78">IFERROR(VLOOKUP(H$4&amp;$A78,IF({1,0},#REF!&amp;#REF!,#REF!),2,FALSE),0)</f>
        <v>0</v>
      </c>
      <c r="I78">
        <f t="array" ref="I78">IFERROR(VLOOKUP(I$4&amp;$A78,IF({1,0},#REF!&amp;#REF!,#REF!),2,FALSE),0)</f>
        <v>0</v>
      </c>
      <c r="J78">
        <f t="array" ref="J78">IFERROR(VLOOKUP(J$4&amp;$A78,IF({1,0},#REF!&amp;#REF!,#REF!),2,FALSE),0)</f>
        <v>0</v>
      </c>
      <c r="K78">
        <f t="array" ref="K78">IFERROR(VLOOKUP(K$4&amp;$A78,IF({1,0},#REF!&amp;#REF!,#REF!),2,FALSE),0)</f>
        <v>0</v>
      </c>
      <c r="L78">
        <f t="array" ref="L78">IFERROR(VLOOKUP(L$4&amp;$A78,IF({1,0},#REF!&amp;#REF!,#REF!),2,FALSE),0)</f>
        <v>0</v>
      </c>
      <c r="M78" s="15">
        <f t="shared" si="1"/>
        <v>0</v>
      </c>
      <c r="N78" s="15">
        <f>SUM($M$5:M78)</f>
        <v>0</v>
      </c>
    </row>
    <row r="79" spans="1:14">
      <c r="A79">
        <v>75</v>
      </c>
      <c r="B79">
        <v>1</v>
      </c>
      <c r="C79">
        <f t="array" ref="C79">IFERROR(VLOOKUP(C$4&amp;$A79,IF({1,0},#REF!&amp;#REF!,#REF!),2,FALSE),0)</f>
        <v>0</v>
      </c>
      <c r="D79">
        <f t="array" ref="D79">IFERROR(VLOOKUP(D$4&amp;$A79,IF({1,0},#REF!&amp;#REF!,#REF!),2,FALSE),0)</f>
        <v>0</v>
      </c>
      <c r="E79">
        <f t="array" ref="E79">IFERROR(VLOOKUP(E$4&amp;$A79,IF({1,0},#REF!&amp;#REF!,#REF!),2,FALSE),0)</f>
        <v>0</v>
      </c>
      <c r="F79">
        <f t="array" ref="F79">IFERROR(VLOOKUP(F$4&amp;$A79,IF({1,0},#REF!&amp;#REF!,#REF!),2,FALSE),0)</f>
        <v>0</v>
      </c>
      <c r="G79">
        <f t="array" ref="G79">IFERROR(VLOOKUP(G$4&amp;$A79,IF({1,0},#REF!&amp;#REF!,#REF!),2,FALSE),0)</f>
        <v>0</v>
      </c>
      <c r="H79">
        <f t="array" ref="H79">IFERROR(VLOOKUP(H$4&amp;$A79,IF({1,0},#REF!&amp;#REF!,#REF!),2,FALSE),0)</f>
        <v>0</v>
      </c>
      <c r="I79">
        <f t="array" ref="I79">IFERROR(VLOOKUP(I$4&amp;$A79,IF({1,0},#REF!&amp;#REF!,#REF!),2,FALSE),0)</f>
        <v>0</v>
      </c>
      <c r="J79">
        <f t="array" ref="J79">IFERROR(VLOOKUP(J$4&amp;$A79,IF({1,0},#REF!&amp;#REF!,#REF!),2,FALSE),0)</f>
        <v>0</v>
      </c>
      <c r="K79">
        <f t="array" ref="K79">IFERROR(VLOOKUP(K$4&amp;$A79,IF({1,0},#REF!&amp;#REF!,#REF!),2,FALSE),0)</f>
        <v>0</v>
      </c>
      <c r="L79">
        <f t="array" ref="L79">IFERROR(VLOOKUP(L$4&amp;$A79,IF({1,0},#REF!&amp;#REF!,#REF!),2,FALSE),0)</f>
        <v>0</v>
      </c>
      <c r="M79" s="15">
        <f t="shared" si="1"/>
        <v>0</v>
      </c>
      <c r="N79" s="15">
        <f>SUM($M$5:M79)</f>
        <v>0</v>
      </c>
    </row>
    <row r="80" spans="1:14">
      <c r="A80">
        <v>76</v>
      </c>
      <c r="B80">
        <v>1</v>
      </c>
      <c r="C80">
        <f t="array" ref="C80">IFERROR(VLOOKUP(C$4&amp;$A80,IF({1,0},#REF!&amp;#REF!,#REF!),2,FALSE),0)</f>
        <v>0</v>
      </c>
      <c r="D80">
        <f t="array" ref="D80">IFERROR(VLOOKUP(D$4&amp;$A80,IF({1,0},#REF!&amp;#REF!,#REF!),2,FALSE),0)</f>
        <v>0</v>
      </c>
      <c r="E80">
        <f t="array" ref="E80">IFERROR(VLOOKUP(E$4&amp;$A80,IF({1,0},#REF!&amp;#REF!,#REF!),2,FALSE),0)</f>
        <v>0</v>
      </c>
      <c r="F80">
        <f t="array" ref="F80">IFERROR(VLOOKUP(F$4&amp;$A80,IF({1,0},#REF!&amp;#REF!,#REF!),2,FALSE),0)</f>
        <v>0</v>
      </c>
      <c r="G80">
        <f t="array" ref="G80">IFERROR(VLOOKUP(G$4&amp;$A80,IF({1,0},#REF!&amp;#REF!,#REF!),2,FALSE),0)</f>
        <v>0</v>
      </c>
      <c r="H80">
        <f t="array" ref="H80">IFERROR(VLOOKUP(H$4&amp;$A80,IF({1,0},#REF!&amp;#REF!,#REF!),2,FALSE),0)</f>
        <v>0</v>
      </c>
      <c r="I80">
        <f t="array" ref="I80">IFERROR(VLOOKUP(I$4&amp;$A80,IF({1,0},#REF!&amp;#REF!,#REF!),2,FALSE),0)</f>
        <v>0</v>
      </c>
      <c r="J80">
        <f t="array" ref="J80">IFERROR(VLOOKUP(J$4&amp;$A80,IF({1,0},#REF!&amp;#REF!,#REF!),2,FALSE),0)</f>
        <v>0</v>
      </c>
      <c r="K80">
        <f t="array" ref="K80">IFERROR(VLOOKUP(K$4&amp;$A80,IF({1,0},#REF!&amp;#REF!,#REF!),2,FALSE),0)</f>
        <v>0</v>
      </c>
      <c r="L80">
        <f t="array" ref="L80">IFERROR(VLOOKUP(L$4&amp;$A80,IF({1,0},#REF!&amp;#REF!,#REF!),2,FALSE),0)</f>
        <v>0</v>
      </c>
      <c r="M80" s="15">
        <f t="shared" si="1"/>
        <v>0</v>
      </c>
      <c r="N80" s="15">
        <f>SUM($M$5:M80)</f>
        <v>0</v>
      </c>
    </row>
    <row r="81" spans="1:14">
      <c r="A81">
        <v>77</v>
      </c>
      <c r="B81">
        <v>1</v>
      </c>
      <c r="C81">
        <f t="array" ref="C81">IFERROR(VLOOKUP(C$4&amp;$A81,IF({1,0},#REF!&amp;#REF!,#REF!),2,FALSE),0)</f>
        <v>0</v>
      </c>
      <c r="D81">
        <f t="array" ref="D81">IFERROR(VLOOKUP(D$4&amp;$A81,IF({1,0},#REF!&amp;#REF!,#REF!),2,FALSE),0)</f>
        <v>0</v>
      </c>
      <c r="E81">
        <f t="array" ref="E81">IFERROR(VLOOKUP(E$4&amp;$A81,IF({1,0},#REF!&amp;#REF!,#REF!),2,FALSE),0)</f>
        <v>0</v>
      </c>
      <c r="F81">
        <f t="array" ref="F81">IFERROR(VLOOKUP(F$4&amp;$A81,IF({1,0},#REF!&amp;#REF!,#REF!),2,FALSE),0)</f>
        <v>0</v>
      </c>
      <c r="G81">
        <f t="array" ref="G81">IFERROR(VLOOKUP(G$4&amp;$A81,IF({1,0},#REF!&amp;#REF!,#REF!),2,FALSE),0)</f>
        <v>0</v>
      </c>
      <c r="H81">
        <f t="array" ref="H81">IFERROR(VLOOKUP(H$4&amp;$A81,IF({1,0},#REF!&amp;#REF!,#REF!),2,FALSE),0)</f>
        <v>0</v>
      </c>
      <c r="I81">
        <f t="array" ref="I81">IFERROR(VLOOKUP(I$4&amp;$A81,IF({1,0},#REF!&amp;#REF!,#REF!),2,FALSE),0)</f>
        <v>0</v>
      </c>
      <c r="J81">
        <f t="array" ref="J81">IFERROR(VLOOKUP(J$4&amp;$A81,IF({1,0},#REF!&amp;#REF!,#REF!),2,FALSE),0)</f>
        <v>0</v>
      </c>
      <c r="K81">
        <f t="array" ref="K81">IFERROR(VLOOKUP(K$4&amp;$A81,IF({1,0},#REF!&amp;#REF!,#REF!),2,FALSE),0)</f>
        <v>0</v>
      </c>
      <c r="L81">
        <f t="array" ref="L81">IFERROR(VLOOKUP(L$4&amp;$A81,IF({1,0},#REF!&amp;#REF!,#REF!),2,FALSE),0)</f>
        <v>0</v>
      </c>
      <c r="M81" s="15">
        <f t="shared" si="1"/>
        <v>0</v>
      </c>
      <c r="N81" s="15">
        <f>SUM($M$5:M81)</f>
        <v>0</v>
      </c>
    </row>
    <row r="82" spans="1:14">
      <c r="A82">
        <v>78</v>
      </c>
      <c r="B82">
        <v>1</v>
      </c>
      <c r="C82">
        <f t="array" ref="C82">IFERROR(VLOOKUP(C$4&amp;$A82,IF({1,0},#REF!&amp;#REF!,#REF!),2,FALSE),0)</f>
        <v>0</v>
      </c>
      <c r="D82">
        <f t="array" ref="D82">IFERROR(VLOOKUP(D$4&amp;$A82,IF({1,0},#REF!&amp;#REF!,#REF!),2,FALSE),0)</f>
        <v>0</v>
      </c>
      <c r="E82">
        <f t="array" ref="E82">IFERROR(VLOOKUP(E$4&amp;$A82,IF({1,0},#REF!&amp;#REF!,#REF!),2,FALSE),0)</f>
        <v>0</v>
      </c>
      <c r="F82">
        <f t="array" ref="F82">IFERROR(VLOOKUP(F$4&amp;$A82,IF({1,0},#REF!&amp;#REF!,#REF!),2,FALSE),0)</f>
        <v>0</v>
      </c>
      <c r="G82">
        <f t="array" ref="G82">IFERROR(VLOOKUP(G$4&amp;$A82,IF({1,0},#REF!&amp;#REF!,#REF!),2,FALSE),0)</f>
        <v>0</v>
      </c>
      <c r="H82">
        <f t="array" ref="H82">IFERROR(VLOOKUP(H$4&amp;$A82,IF({1,0},#REF!&amp;#REF!,#REF!),2,FALSE),0)</f>
        <v>0</v>
      </c>
      <c r="I82">
        <f t="array" ref="I82">IFERROR(VLOOKUP(I$4&amp;$A82,IF({1,0},#REF!&amp;#REF!,#REF!),2,FALSE),0)</f>
        <v>0</v>
      </c>
      <c r="J82">
        <f t="array" ref="J82">IFERROR(VLOOKUP(J$4&amp;$A82,IF({1,0},#REF!&amp;#REF!,#REF!),2,FALSE),0)</f>
        <v>0</v>
      </c>
      <c r="K82">
        <f t="array" ref="K82">IFERROR(VLOOKUP(K$4&amp;$A82,IF({1,0},#REF!&amp;#REF!,#REF!),2,FALSE),0)</f>
        <v>0</v>
      </c>
      <c r="L82">
        <f t="array" ref="L82">IFERROR(VLOOKUP(L$4&amp;$A82,IF({1,0},#REF!&amp;#REF!,#REF!),2,FALSE),0)</f>
        <v>0</v>
      </c>
      <c r="M82" s="15">
        <f t="shared" si="1"/>
        <v>0</v>
      </c>
      <c r="N82" s="15">
        <f>SUM($M$5:M82)</f>
        <v>0</v>
      </c>
    </row>
    <row r="83" spans="1:14">
      <c r="A83">
        <v>79</v>
      </c>
      <c r="B83">
        <v>1</v>
      </c>
      <c r="C83">
        <f t="array" ref="C83">IFERROR(VLOOKUP(C$4&amp;$A83,IF({1,0},#REF!&amp;#REF!,#REF!),2,FALSE),0)</f>
        <v>0</v>
      </c>
      <c r="D83">
        <f t="array" ref="D83">IFERROR(VLOOKUP(D$4&amp;$A83,IF({1,0},#REF!&amp;#REF!,#REF!),2,FALSE),0)</f>
        <v>0</v>
      </c>
      <c r="E83">
        <f t="array" ref="E83">IFERROR(VLOOKUP(E$4&amp;$A83,IF({1,0},#REF!&amp;#REF!,#REF!),2,FALSE),0)</f>
        <v>0</v>
      </c>
      <c r="F83">
        <f t="array" ref="F83">IFERROR(VLOOKUP(F$4&amp;$A83,IF({1,0},#REF!&amp;#REF!,#REF!),2,FALSE),0)</f>
        <v>0</v>
      </c>
      <c r="G83">
        <f t="array" ref="G83">IFERROR(VLOOKUP(G$4&amp;$A83,IF({1,0},#REF!&amp;#REF!,#REF!),2,FALSE),0)</f>
        <v>0</v>
      </c>
      <c r="H83">
        <f t="array" ref="H83">IFERROR(VLOOKUP(H$4&amp;$A83,IF({1,0},#REF!&amp;#REF!,#REF!),2,FALSE),0)</f>
        <v>0</v>
      </c>
      <c r="I83">
        <f t="array" ref="I83">IFERROR(VLOOKUP(I$4&amp;$A83,IF({1,0},#REF!&amp;#REF!,#REF!),2,FALSE),0)</f>
        <v>0</v>
      </c>
      <c r="J83">
        <f t="array" ref="J83">IFERROR(VLOOKUP(J$4&amp;$A83,IF({1,0},#REF!&amp;#REF!,#REF!),2,FALSE),0)</f>
        <v>0</v>
      </c>
      <c r="K83">
        <f t="array" ref="K83">IFERROR(VLOOKUP(K$4&amp;$A83,IF({1,0},#REF!&amp;#REF!,#REF!),2,FALSE),0)</f>
        <v>0</v>
      </c>
      <c r="L83">
        <f t="array" ref="L83">IFERROR(VLOOKUP(L$4&amp;$A83,IF({1,0},#REF!&amp;#REF!,#REF!),2,FALSE),0)</f>
        <v>0</v>
      </c>
      <c r="M83" s="15">
        <f t="shared" si="1"/>
        <v>0</v>
      </c>
      <c r="N83" s="15">
        <f>SUM($M$5:M83)</f>
        <v>0</v>
      </c>
    </row>
    <row r="84" spans="1:14">
      <c r="A84">
        <v>80</v>
      </c>
      <c r="B84">
        <v>1</v>
      </c>
      <c r="C84">
        <f t="array" ref="C84">IFERROR(VLOOKUP(C$4&amp;$A84,IF({1,0},#REF!&amp;#REF!,#REF!),2,FALSE),0)</f>
        <v>0</v>
      </c>
      <c r="D84">
        <f t="array" ref="D84">IFERROR(VLOOKUP(D$4&amp;$A84,IF({1,0},#REF!&amp;#REF!,#REF!),2,FALSE),0)</f>
        <v>0</v>
      </c>
      <c r="E84">
        <f t="array" ref="E84">IFERROR(VLOOKUP(E$4&amp;$A84,IF({1,0},#REF!&amp;#REF!,#REF!),2,FALSE),0)</f>
        <v>0</v>
      </c>
      <c r="F84">
        <f t="array" ref="F84">IFERROR(VLOOKUP(F$4&amp;$A84,IF({1,0},#REF!&amp;#REF!,#REF!),2,FALSE),0)</f>
        <v>0</v>
      </c>
      <c r="G84">
        <f t="array" ref="G84">IFERROR(VLOOKUP(G$4&amp;$A84,IF({1,0},#REF!&amp;#REF!,#REF!),2,FALSE),0)</f>
        <v>0</v>
      </c>
      <c r="H84">
        <f t="array" ref="H84">IFERROR(VLOOKUP(H$4&amp;$A84,IF({1,0},#REF!&amp;#REF!,#REF!),2,FALSE),0)</f>
        <v>0</v>
      </c>
      <c r="I84">
        <f t="array" ref="I84">IFERROR(VLOOKUP(I$4&amp;$A84,IF({1,0},#REF!&amp;#REF!,#REF!),2,FALSE),0)</f>
        <v>0</v>
      </c>
      <c r="J84">
        <f t="array" ref="J84">IFERROR(VLOOKUP(J$4&amp;$A84,IF({1,0},#REF!&amp;#REF!,#REF!),2,FALSE),0)</f>
        <v>0</v>
      </c>
      <c r="K84">
        <f t="array" ref="K84">IFERROR(VLOOKUP(K$4&amp;$A84,IF({1,0},#REF!&amp;#REF!,#REF!),2,FALSE),0)</f>
        <v>0</v>
      </c>
      <c r="L84">
        <f t="array" ref="L84">IFERROR(VLOOKUP(L$4&amp;$A84,IF({1,0},#REF!&amp;#REF!,#REF!),2,FALSE),0)</f>
        <v>0</v>
      </c>
      <c r="M84" s="15">
        <f t="shared" si="1"/>
        <v>0</v>
      </c>
      <c r="N84" s="15">
        <f>SUM($M$5:M84)</f>
        <v>0</v>
      </c>
    </row>
  </sheetData>
  <phoneticPr fontId="1" type="noConversion"/>
  <conditionalFormatting sqref="C4:L4 N4">
    <cfRule type="expression" dxfId="55" priority="2">
      <formula>#REF!=4</formula>
    </cfRule>
    <cfRule type="expression" dxfId="54" priority="3">
      <formula>#REF!=3</formula>
    </cfRule>
    <cfRule type="expression" dxfId="53" priority="4">
      <formula>#REF!=2</formula>
    </cfRule>
    <cfRule type="expression" dxfId="52" priority="5">
      <formula>#REF!=1</formula>
    </cfRule>
  </conditionalFormatting>
  <conditionalFormatting sqref="A5:N84">
    <cfRule type="expression" dxfId="51" priority="1">
      <formula>MOD($A5,10)=0</formula>
    </cfRule>
  </conditionalFormatting>
  <conditionalFormatting sqref="C4:L4 N4">
    <cfRule type="expression" dxfId="50" priority="9">
      <formula>$C4=3</formula>
    </cfRule>
    <cfRule type="expression" dxfId="49" priority="10">
      <formula>$C4=2</formula>
    </cfRule>
    <cfRule type="expression" dxfId="48" priority="11">
      <formula>$C4=1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2:Q93"/>
  <sheetViews>
    <sheetView workbookViewId="0">
      <selection activeCell="G1" sqref="G1"/>
    </sheetView>
  </sheetViews>
  <sheetFormatPr defaultRowHeight="13.5"/>
  <cols>
    <col min="8" max="8" width="13.875" bestFit="1" customWidth="1"/>
    <col min="9" max="9" width="12.75" bestFit="1" customWidth="1"/>
    <col min="10" max="10" width="13.875" bestFit="1" customWidth="1"/>
    <col min="11" max="12" width="12.75" customWidth="1"/>
    <col min="14" max="15" width="13.875" bestFit="1" customWidth="1"/>
    <col min="16" max="17" width="12.75" bestFit="1" customWidth="1"/>
  </cols>
  <sheetData>
    <row r="2" spans="3:17">
      <c r="C2" s="168" t="s">
        <v>24</v>
      </c>
      <c r="D2" s="168"/>
      <c r="E2" s="168"/>
      <c r="F2" s="168"/>
      <c r="G2" s="168"/>
      <c r="H2" s="168" t="s">
        <v>25</v>
      </c>
      <c r="I2" s="168"/>
      <c r="J2" s="168"/>
      <c r="K2" s="168"/>
      <c r="L2" s="168"/>
      <c r="M2" s="168" t="s">
        <v>26</v>
      </c>
      <c r="N2" s="168"/>
      <c r="O2" s="168"/>
      <c r="P2" s="168"/>
      <c r="Q2" s="168"/>
    </row>
    <row r="3" spans="3:17">
      <c r="C3" s="2" t="s">
        <v>19</v>
      </c>
      <c r="D3" s="2" t="s">
        <v>20</v>
      </c>
      <c r="E3" s="2" t="s">
        <v>21</v>
      </c>
      <c r="F3" s="2" t="s">
        <v>22</v>
      </c>
      <c r="G3" s="13" t="s">
        <v>23</v>
      </c>
      <c r="H3" s="4" t="s">
        <v>30</v>
      </c>
      <c r="I3" s="4" t="s">
        <v>28</v>
      </c>
      <c r="J3" s="4" t="s">
        <v>29</v>
      </c>
      <c r="K3" s="4" t="s">
        <v>27</v>
      </c>
      <c r="L3" s="11" t="s">
        <v>31</v>
      </c>
      <c r="M3" s="4" t="s">
        <v>23</v>
      </c>
      <c r="N3" s="2" t="s">
        <v>32</v>
      </c>
      <c r="O3" s="2" t="s">
        <v>33</v>
      </c>
      <c r="P3" s="4" t="s">
        <v>34</v>
      </c>
      <c r="Q3" s="11" t="s">
        <v>35</v>
      </c>
    </row>
    <row r="4" spans="3:17">
      <c r="C4" s="10" t="str">
        <f>[5]装备属性计算表!A32</f>
        <v>500</v>
      </c>
      <c r="D4" s="10">
        <f>[5]装备属性计算表!B32</f>
        <v>0</v>
      </c>
      <c r="E4" s="10" t="str">
        <f>[5]装备属性计算表!C32</f>
        <v>武器</v>
      </c>
      <c r="F4" s="10">
        <f>[5]装备属性计算表!D32</f>
        <v>5</v>
      </c>
      <c r="G4" s="10">
        <f ca="1">[5]装备属性计算表!BJ32</f>
        <v>16.599081639928706</v>
      </c>
      <c r="H4" s="2">
        <f>[5]强化辅助表!Q36</f>
        <v>3.36</v>
      </c>
      <c r="I4" s="2">
        <f>[5]强化辅助表!R36</f>
        <v>168</v>
      </c>
      <c r="J4" s="2">
        <f>[5]强化辅助表!S36</f>
        <v>168</v>
      </c>
      <c r="K4" s="2">
        <f>[5]强化辅助表!T36</f>
        <v>2520</v>
      </c>
      <c r="L4" s="11">
        <f>[5]强化辅助表!U36</f>
        <v>1041.5999999999999</v>
      </c>
      <c r="M4" s="2">
        <f>[5]升星辅助表!AU33</f>
        <v>0</v>
      </c>
      <c r="N4" s="2">
        <f>[5]升星辅助表!AV33</f>
        <v>0</v>
      </c>
      <c r="O4" s="2">
        <f>[5]升星辅助表!AW33</f>
        <v>0</v>
      </c>
      <c r="P4" s="2">
        <f>[5]升星辅助表!AX33</f>
        <v>0</v>
      </c>
      <c r="Q4" s="11">
        <f>[5]升星辅助表!AU33</f>
        <v>0</v>
      </c>
    </row>
    <row r="5" spans="3:17">
      <c r="C5" s="10" t="str">
        <f>[5]装备属性计算表!A33</f>
        <v>501</v>
      </c>
      <c r="D5" s="10">
        <f>[5]装备属性计算表!B33</f>
        <v>0</v>
      </c>
      <c r="E5" s="10" t="str">
        <f>[5]装备属性计算表!C33</f>
        <v>衣服</v>
      </c>
      <c r="F5" s="10">
        <f>[5]装备属性计算表!D33</f>
        <v>5</v>
      </c>
      <c r="G5" s="10">
        <f ca="1">[5]装备属性计算表!BJ33</f>
        <v>14.569636415687212</v>
      </c>
      <c r="H5" s="2">
        <f>[5]强化辅助表!Q37</f>
        <v>2.44</v>
      </c>
      <c r="I5" s="2">
        <f>[5]强化辅助表!R37</f>
        <v>122</v>
      </c>
      <c r="J5" s="2">
        <f>[5]强化辅助表!S37</f>
        <v>122</v>
      </c>
      <c r="K5" s="2">
        <f>[5]强化辅助表!T37</f>
        <v>1830</v>
      </c>
      <c r="L5" s="11">
        <f>[5]强化辅助表!U37</f>
        <v>756.4</v>
      </c>
      <c r="M5" s="2">
        <f>[5]升星辅助表!AU34</f>
        <v>0</v>
      </c>
      <c r="N5" s="2">
        <f>[5]升星辅助表!AV34</f>
        <v>0</v>
      </c>
      <c r="O5" s="2">
        <f>[5]升星辅助表!AW34</f>
        <v>0</v>
      </c>
      <c r="P5" s="2">
        <f>[5]升星辅助表!AX34</f>
        <v>0</v>
      </c>
      <c r="Q5" s="11">
        <f>[5]升星辅助表!AU34</f>
        <v>0</v>
      </c>
    </row>
    <row r="6" spans="3:17">
      <c r="C6" s="10" t="str">
        <f>[5]装备属性计算表!A34</f>
        <v>502</v>
      </c>
      <c r="D6" s="10">
        <f>[5]装备属性计算表!B34</f>
        <v>0</v>
      </c>
      <c r="E6" s="10" t="str">
        <f>[5]装备属性计算表!C34</f>
        <v>裤子</v>
      </c>
      <c r="F6" s="10">
        <f>[5]装备属性计算表!D34</f>
        <v>5</v>
      </c>
      <c r="G6" s="10">
        <f ca="1">[5]装备属性计算表!BJ34</f>
        <v>5.2122187059503178</v>
      </c>
      <c r="H6" s="2">
        <f>[5]强化辅助表!Q38</f>
        <v>1.34</v>
      </c>
      <c r="I6" s="2">
        <f>[5]强化辅助表!R38</f>
        <v>67</v>
      </c>
      <c r="J6" s="2">
        <f>[5]强化辅助表!S38</f>
        <v>67</v>
      </c>
      <c r="K6" s="2">
        <f>[5]强化辅助表!T38</f>
        <v>1005</v>
      </c>
      <c r="L6" s="11">
        <f>[5]强化辅助表!U38</f>
        <v>415.40000000000003</v>
      </c>
      <c r="M6" s="2">
        <f>[5]升星辅助表!AU35</f>
        <v>0</v>
      </c>
      <c r="N6" s="2">
        <f>[5]升星辅助表!AV35</f>
        <v>0</v>
      </c>
      <c r="O6" s="2">
        <f>[5]升星辅助表!AW35</f>
        <v>0</v>
      </c>
      <c r="P6" s="2">
        <f>[5]升星辅助表!AX35</f>
        <v>0</v>
      </c>
      <c r="Q6" s="11">
        <f>[5]升星辅助表!AU35</f>
        <v>0</v>
      </c>
    </row>
    <row r="7" spans="3:17">
      <c r="C7" s="10" t="str">
        <f>[5]装备属性计算表!A35</f>
        <v>505</v>
      </c>
      <c r="D7" s="10">
        <f>[5]装备属性计算表!B35</f>
        <v>0</v>
      </c>
      <c r="E7" s="10" t="str">
        <f>[5]装备属性计算表!C35</f>
        <v>鞋子</v>
      </c>
      <c r="F7" s="10">
        <f>[5]装备属性计算表!D35</f>
        <v>5</v>
      </c>
      <c r="G7" s="10">
        <f ca="1">[5]装备属性计算表!BJ35</f>
        <v>6.677519452253911</v>
      </c>
      <c r="H7" s="2">
        <f>[5]强化辅助表!Q39</f>
        <v>1.1600000000000001</v>
      </c>
      <c r="I7" s="2">
        <f>[5]强化辅助表!R39</f>
        <v>58</v>
      </c>
      <c r="J7" s="2">
        <f>[5]强化辅助表!S39</f>
        <v>58</v>
      </c>
      <c r="K7" s="2">
        <f>[5]强化辅助表!T39</f>
        <v>870</v>
      </c>
      <c r="L7" s="11">
        <f>[5]强化辅助表!U39</f>
        <v>359.6</v>
      </c>
      <c r="M7" s="2">
        <f>[5]升星辅助表!AU36</f>
        <v>0</v>
      </c>
      <c r="N7" s="2">
        <f>[5]升星辅助表!AV36</f>
        <v>0</v>
      </c>
      <c r="O7" s="2">
        <f>[5]升星辅助表!AW36</f>
        <v>0</v>
      </c>
      <c r="P7" s="2">
        <f>[5]升星辅助表!AX36</f>
        <v>0</v>
      </c>
      <c r="Q7" s="11">
        <f>[5]升星辅助表!AU36</f>
        <v>0</v>
      </c>
    </row>
    <row r="8" spans="3:17">
      <c r="C8" s="10" t="str">
        <f>[5]装备属性计算表!A36</f>
        <v>504</v>
      </c>
      <c r="D8" s="10">
        <f>[5]装备属性计算表!B36</f>
        <v>0</v>
      </c>
      <c r="E8" s="10" t="str">
        <f>[5]装备属性计算表!C36</f>
        <v>腰带</v>
      </c>
      <c r="F8" s="10">
        <f>[5]装备属性计算表!D36</f>
        <v>5</v>
      </c>
      <c r="G8" s="10">
        <f ca="1">[5]装备属性计算表!BJ36</f>
        <v>4.8025194522539119</v>
      </c>
      <c r="H8" s="2">
        <f>[5]强化辅助表!Q40</f>
        <v>0.84</v>
      </c>
      <c r="I8" s="2">
        <f>[5]强化辅助表!R40</f>
        <v>42</v>
      </c>
      <c r="J8" s="2">
        <f>[5]强化辅助表!S40</f>
        <v>42</v>
      </c>
      <c r="K8" s="2">
        <f>[5]强化辅助表!T40</f>
        <v>630</v>
      </c>
      <c r="L8" s="11">
        <f>[5]强化辅助表!U40</f>
        <v>260.39999999999998</v>
      </c>
      <c r="M8" s="2">
        <f>[5]升星辅助表!AU37</f>
        <v>0</v>
      </c>
      <c r="N8" s="2">
        <f>[5]升星辅助表!AV37</f>
        <v>0</v>
      </c>
      <c r="O8" s="2">
        <f>[5]升星辅助表!AW37</f>
        <v>0</v>
      </c>
      <c r="P8" s="2">
        <f>[5]升星辅助表!AX37</f>
        <v>0</v>
      </c>
      <c r="Q8" s="11">
        <f>[5]升星辅助表!AU37</f>
        <v>0</v>
      </c>
    </row>
    <row r="9" spans="3:17">
      <c r="C9" s="10" t="str">
        <f>[5]装备属性计算表!A37</f>
        <v>503</v>
      </c>
      <c r="D9" s="10">
        <f>[5]装备属性计算表!B37</f>
        <v>0</v>
      </c>
      <c r="E9" s="10" t="str">
        <f>[5]装备属性计算表!C37</f>
        <v>项链</v>
      </c>
      <c r="F9" s="10">
        <f>[5]装备属性计算表!D37</f>
        <v>5</v>
      </c>
      <c r="G9" s="10">
        <f ca="1">[5]装备属性计算表!BJ37</f>
        <v>10.289971657754013</v>
      </c>
      <c r="H9" s="2">
        <f>[5]强化辅助表!Q41</f>
        <v>2.02</v>
      </c>
      <c r="I9" s="2">
        <f>[5]强化辅助表!R41</f>
        <v>101</v>
      </c>
      <c r="J9" s="2">
        <f>[5]强化辅助表!S41</f>
        <v>101</v>
      </c>
      <c r="K9" s="2">
        <f>[5]强化辅助表!T41</f>
        <v>1515</v>
      </c>
      <c r="L9" s="11">
        <f>[5]强化辅助表!U41</f>
        <v>626.20000000000005</v>
      </c>
      <c r="M9" s="2">
        <f>[5]升星辅助表!AU38</f>
        <v>0</v>
      </c>
      <c r="N9" s="2">
        <f>[5]升星辅助表!AV38</f>
        <v>0</v>
      </c>
      <c r="O9" s="2">
        <f>[5]升星辅助表!AW38</f>
        <v>0</v>
      </c>
      <c r="P9" s="2">
        <f>[5]升星辅助表!AX38</f>
        <v>0</v>
      </c>
      <c r="Q9" s="11">
        <f>[5]升星辅助表!AU38</f>
        <v>0</v>
      </c>
    </row>
    <row r="10" spans="3:17">
      <c r="C10" s="10" t="str">
        <f>[5]装备属性计算表!A38</f>
        <v>510</v>
      </c>
      <c r="D10" s="10">
        <f>[5]装备属性计算表!B38</f>
        <v>1</v>
      </c>
      <c r="E10" s="10" t="str">
        <f>[5]装备属性计算表!C38</f>
        <v>武器</v>
      </c>
      <c r="F10" s="10">
        <f>[5]装备属性计算表!D38</f>
        <v>5</v>
      </c>
      <c r="G10" s="10">
        <f ca="1">[5]装备属性计算表!BJ38</f>
        <v>27.271223842473059</v>
      </c>
      <c r="H10" s="2">
        <f>[5]强化辅助表!Q42</f>
        <v>4.54</v>
      </c>
      <c r="I10" s="2">
        <f>[5]强化辅助表!R42</f>
        <v>227</v>
      </c>
      <c r="J10" s="2">
        <f>[5]强化辅助表!S42</f>
        <v>227</v>
      </c>
      <c r="K10" s="2">
        <f>[5]强化辅助表!T42</f>
        <v>3405</v>
      </c>
      <c r="L10" s="11">
        <f>[5]强化辅助表!U42</f>
        <v>1407.4</v>
      </c>
      <c r="M10" s="2">
        <f>[5]升星辅助表!AU39</f>
        <v>9</v>
      </c>
      <c r="N10" s="2">
        <f>[5]升星辅助表!AV39</f>
        <v>450</v>
      </c>
      <c r="O10" s="2">
        <f>[5]升星辅助表!AW39</f>
        <v>450</v>
      </c>
      <c r="P10" s="2">
        <f>[5]升星辅助表!AX39</f>
        <v>24750</v>
      </c>
      <c r="Q10" s="11">
        <f>[5]升星辅助表!AU39</f>
        <v>9</v>
      </c>
    </row>
    <row r="11" spans="3:17">
      <c r="C11" s="10" t="str">
        <f>[5]装备属性计算表!A39</f>
        <v>511</v>
      </c>
      <c r="D11" s="10">
        <f>[5]装备属性计算表!B39</f>
        <v>1</v>
      </c>
      <c r="E11" s="10" t="str">
        <f>[5]装备属性计算表!C39</f>
        <v>衣服</v>
      </c>
      <c r="F11" s="10">
        <f>[5]装备属性计算表!D39</f>
        <v>5</v>
      </c>
      <c r="G11" s="10">
        <f ca="1">[5]装备属性计算表!BJ39</f>
        <v>23.526385910626644</v>
      </c>
      <c r="H11" s="2">
        <f>[5]强化辅助表!Q43</f>
        <v>4.12</v>
      </c>
      <c r="I11" s="2">
        <f>[5]强化辅助表!R43</f>
        <v>206</v>
      </c>
      <c r="J11" s="2">
        <f>[5]强化辅助表!S43</f>
        <v>206</v>
      </c>
      <c r="K11" s="2">
        <f>[5]强化辅助表!T43</f>
        <v>3090</v>
      </c>
      <c r="L11" s="11">
        <f>[5]强化辅助表!U43</f>
        <v>1277.2</v>
      </c>
      <c r="M11" s="2">
        <f>[5]升星辅助表!AU40</f>
        <v>3.92</v>
      </c>
      <c r="N11" s="2">
        <f>[5]升星辅助表!AV40</f>
        <v>196</v>
      </c>
      <c r="O11" s="2">
        <f>[5]升星辅助表!AW40</f>
        <v>196</v>
      </c>
      <c r="P11" s="2">
        <f>[5]升星辅助表!AX40</f>
        <v>10780</v>
      </c>
      <c r="Q11" s="11">
        <f>[5]升星辅助表!AU40</f>
        <v>3.92</v>
      </c>
    </row>
    <row r="12" spans="3:17">
      <c r="C12" s="10" t="str">
        <f>[5]装备属性计算表!A40</f>
        <v>512</v>
      </c>
      <c r="D12" s="10">
        <f>[5]装备属性计算表!B40</f>
        <v>1</v>
      </c>
      <c r="E12" s="10" t="str">
        <f>[5]装备属性计算表!C40</f>
        <v>裤子</v>
      </c>
      <c r="F12" s="10">
        <f>[5]装备属性计算表!D40</f>
        <v>5</v>
      </c>
      <c r="G12" s="10">
        <f ca="1">[5]装备属性计算表!BJ40</f>
        <v>8.6681045762457778</v>
      </c>
      <c r="H12" s="2">
        <f>[5]强化辅助表!Q44</f>
        <v>1.6800000000000002</v>
      </c>
      <c r="I12" s="2">
        <f>[5]强化辅助表!R44</f>
        <v>84</v>
      </c>
      <c r="J12" s="2">
        <f>[5]强化辅助表!S44</f>
        <v>84</v>
      </c>
      <c r="K12" s="2">
        <f>[5]强化辅助表!T44</f>
        <v>1260</v>
      </c>
      <c r="L12" s="11">
        <f>[5]强化辅助表!U44</f>
        <v>520.80000000000007</v>
      </c>
      <c r="M12" s="2">
        <f>[5]升星辅助表!AU41</f>
        <v>1.96</v>
      </c>
      <c r="N12" s="2">
        <f>[5]升星辅助表!AV41</f>
        <v>98</v>
      </c>
      <c r="O12" s="2">
        <f>[5]升星辅助表!AW41</f>
        <v>98</v>
      </c>
      <c r="P12" s="2">
        <f>[5]升星辅助表!AX41</f>
        <v>5390</v>
      </c>
      <c r="Q12" s="11">
        <f>[5]升星辅助表!AU41</f>
        <v>1.96</v>
      </c>
    </row>
    <row r="13" spans="3:17">
      <c r="C13" s="10" t="str">
        <f>[5]装备属性计算表!A41</f>
        <v>515</v>
      </c>
      <c r="D13" s="10">
        <f>[5]装备属性计算表!B41</f>
        <v>1</v>
      </c>
      <c r="E13" s="10" t="str">
        <f>[5]装备属性计算表!C41</f>
        <v>鞋子</v>
      </c>
      <c r="F13" s="10">
        <f>[5]装备属性计算表!D41</f>
        <v>5</v>
      </c>
      <c r="G13" s="10">
        <f ca="1">[5]装备属性计算表!BJ41</f>
        <v>11.042635776579273</v>
      </c>
      <c r="H13" s="2">
        <f>[5]强化辅助表!Q45</f>
        <v>1.74</v>
      </c>
      <c r="I13" s="2">
        <f>[5]强化辅助表!R45</f>
        <v>87</v>
      </c>
      <c r="J13" s="2">
        <f>[5]强化辅助表!S45</f>
        <v>87</v>
      </c>
      <c r="K13" s="2">
        <f>[5]强化辅助表!T45</f>
        <v>1305</v>
      </c>
      <c r="L13" s="11">
        <f>[5]强化辅助表!U45</f>
        <v>539.4</v>
      </c>
      <c r="M13" s="2">
        <f>[5]升星辅助表!AU42</f>
        <v>1.96</v>
      </c>
      <c r="N13" s="2">
        <f>[5]升星辅助表!AV42</f>
        <v>98</v>
      </c>
      <c r="O13" s="2">
        <f>[5]升星辅助表!AW42</f>
        <v>98</v>
      </c>
      <c r="P13" s="2">
        <f>[5]升星辅助表!AX42</f>
        <v>5390</v>
      </c>
      <c r="Q13" s="11">
        <f>[5]升星辅助表!AU42</f>
        <v>1.96</v>
      </c>
    </row>
    <row r="14" spans="3:17">
      <c r="C14" s="10" t="str">
        <f>[5]装备属性计算表!A42</f>
        <v>514</v>
      </c>
      <c r="D14" s="10">
        <f>[5]装备属性计算表!B42</f>
        <v>1</v>
      </c>
      <c r="E14" s="10" t="str">
        <f>[5]装备属性计算表!C42</f>
        <v>腰带</v>
      </c>
      <c r="F14" s="10">
        <f>[5]装备属性计算表!D42</f>
        <v>5</v>
      </c>
      <c r="G14" s="10">
        <f ca="1">[5]装备属性计算表!BJ42</f>
        <v>8.8834588928300544</v>
      </c>
      <c r="H14" s="2">
        <f>[5]强化辅助表!Q46</f>
        <v>1.26</v>
      </c>
      <c r="I14" s="2">
        <f>[5]强化辅助表!R46</f>
        <v>63</v>
      </c>
      <c r="J14" s="2">
        <f>[5]强化辅助表!S46</f>
        <v>63</v>
      </c>
      <c r="K14" s="2">
        <f>[5]强化辅助表!T46</f>
        <v>945</v>
      </c>
      <c r="L14" s="11">
        <f>[5]强化辅助表!U46</f>
        <v>390.6</v>
      </c>
      <c r="M14" s="2">
        <f>[5]升星辅助表!AU43</f>
        <v>3.92</v>
      </c>
      <c r="N14" s="2">
        <f>[5]升星辅助表!AV43</f>
        <v>196</v>
      </c>
      <c r="O14" s="2">
        <f>[5]升星辅助表!AW43</f>
        <v>196</v>
      </c>
      <c r="P14" s="2">
        <f>[5]升星辅助表!AX43</f>
        <v>10780</v>
      </c>
      <c r="Q14" s="11">
        <f>[5]升星辅助表!AU43</f>
        <v>3.92</v>
      </c>
    </row>
    <row r="15" spans="3:17">
      <c r="C15" s="10" t="str">
        <f>[5]装备属性计算表!A43</f>
        <v>513</v>
      </c>
      <c r="D15" s="10">
        <f>[5]装备属性计算表!B43</f>
        <v>1</v>
      </c>
      <c r="E15" s="10" t="str">
        <f>[5]装备属性计算表!C43</f>
        <v>项链</v>
      </c>
      <c r="F15" s="10">
        <f>[5]装备属性计算表!D43</f>
        <v>5</v>
      </c>
      <c r="G15" s="10">
        <f ca="1">[5]装备属性计算表!BJ43</f>
        <v>16.5572540855615</v>
      </c>
      <c r="H15" s="2">
        <f>[5]强化辅助表!Q47</f>
        <v>3.3600000000000003</v>
      </c>
      <c r="I15" s="2">
        <f>[5]强化辅助表!R47</f>
        <v>168</v>
      </c>
      <c r="J15" s="2">
        <f>[5]强化辅助表!S47</f>
        <v>168</v>
      </c>
      <c r="K15" s="2">
        <f>[5]强化辅助表!T47</f>
        <v>2520</v>
      </c>
      <c r="L15" s="11">
        <f>[5]强化辅助表!U47</f>
        <v>1041.6000000000001</v>
      </c>
      <c r="M15" s="2">
        <f>[5]升星辅助表!AU44</f>
        <v>3</v>
      </c>
      <c r="N15" s="2">
        <f>[5]升星辅助表!AV44</f>
        <v>150</v>
      </c>
      <c r="O15" s="2">
        <f>[5]升星辅助表!AW44</f>
        <v>150</v>
      </c>
      <c r="P15" s="2">
        <f>[5]升星辅助表!AX44</f>
        <v>8250</v>
      </c>
      <c r="Q15" s="11">
        <f>[5]升星辅助表!AU44</f>
        <v>3</v>
      </c>
    </row>
    <row r="16" spans="3:17">
      <c r="C16" s="10" t="str">
        <f>[5]装备属性计算表!A44</f>
        <v>1510</v>
      </c>
      <c r="D16" s="10">
        <f>[5]装备属性计算表!B44</f>
        <v>1</v>
      </c>
      <c r="E16" s="10" t="str">
        <f>[5]装备属性计算表!C44</f>
        <v>武器</v>
      </c>
      <c r="F16" s="10">
        <f>[5]装备属性计算表!D44</f>
        <v>15</v>
      </c>
      <c r="G16" s="10">
        <f ca="1">[5]装备属性计算表!BJ44</f>
        <v>54.542447684946119</v>
      </c>
      <c r="H16" s="2">
        <f>[5]强化辅助表!Q48</f>
        <v>7.9</v>
      </c>
      <c r="I16" s="2">
        <f>[5]强化辅助表!R48</f>
        <v>395</v>
      </c>
      <c r="J16" s="2">
        <f>[5]强化辅助表!S48</f>
        <v>395</v>
      </c>
      <c r="K16" s="2">
        <f>[5]强化辅助表!T48</f>
        <v>47400</v>
      </c>
      <c r="L16" s="11">
        <f>[5]强化辅助表!U48</f>
        <v>9860.4</v>
      </c>
      <c r="M16" s="2">
        <f>[5]升星辅助表!AU45</f>
        <v>18</v>
      </c>
      <c r="N16" s="2">
        <f>[5]升星辅助表!AV45</f>
        <v>900</v>
      </c>
      <c r="O16" s="2">
        <f>[5]升星辅助表!AW45</f>
        <v>900</v>
      </c>
      <c r="P16" s="2">
        <f>[5]升星辅助表!AX45</f>
        <v>49500</v>
      </c>
      <c r="Q16" s="11">
        <f>[5]升星辅助表!AU45</f>
        <v>18</v>
      </c>
    </row>
    <row r="17" spans="3:17">
      <c r="C17" s="10" t="str">
        <f>[5]装备属性计算表!A45</f>
        <v>1511</v>
      </c>
      <c r="D17" s="10">
        <f>[5]装备属性计算表!B45</f>
        <v>1</v>
      </c>
      <c r="E17" s="10" t="str">
        <f>[5]装备属性计算表!C45</f>
        <v>衣服</v>
      </c>
      <c r="F17" s="10">
        <f>[5]装备属性计算表!D45</f>
        <v>15</v>
      </c>
      <c r="G17" s="10">
        <f ca="1">[5]装备属性计算表!BJ45</f>
        <v>47.052771821253287</v>
      </c>
      <c r="H17" s="2">
        <f>[5]强化辅助表!Q49</f>
        <v>7.24</v>
      </c>
      <c r="I17" s="2">
        <f>[5]强化辅助表!R49</f>
        <v>362</v>
      </c>
      <c r="J17" s="2">
        <f>[5]强化辅助表!S49</f>
        <v>362</v>
      </c>
      <c r="K17" s="2">
        <f>[5]强化辅助表!T49</f>
        <v>43440</v>
      </c>
      <c r="L17" s="11">
        <f>[5]强化辅助表!U49</f>
        <v>9024.0000000000018</v>
      </c>
      <c r="M17" s="2">
        <f>[5]升星辅助表!AU46</f>
        <v>7.84</v>
      </c>
      <c r="N17" s="2">
        <f>[5]升星辅助表!AV46</f>
        <v>392</v>
      </c>
      <c r="O17" s="2">
        <f>[5]升星辅助表!AW46</f>
        <v>392</v>
      </c>
      <c r="P17" s="2">
        <f>[5]升星辅助表!AX46</f>
        <v>21560</v>
      </c>
      <c r="Q17" s="11">
        <f>[5]升星辅助表!AU46</f>
        <v>7.84</v>
      </c>
    </row>
    <row r="18" spans="3:17">
      <c r="C18" s="10" t="str">
        <f>[5]装备属性计算表!A46</f>
        <v>1512</v>
      </c>
      <c r="D18" s="10">
        <f>[5]装备属性计算表!B46</f>
        <v>1</v>
      </c>
      <c r="E18" s="10" t="str">
        <f>[5]装备属性计算表!C46</f>
        <v>裤子</v>
      </c>
      <c r="F18" s="10">
        <f>[5]装备属性计算表!D46</f>
        <v>15</v>
      </c>
      <c r="G18" s="10">
        <f ca="1">[5]装备属性计算表!BJ46</f>
        <v>17.336209152491556</v>
      </c>
      <c r="H18" s="2">
        <f>[5]强化辅助表!Q50</f>
        <v>3.02</v>
      </c>
      <c r="I18" s="2">
        <f>[5]强化辅助表!R50</f>
        <v>151</v>
      </c>
      <c r="J18" s="2">
        <f>[5]强化辅助表!S50</f>
        <v>151</v>
      </c>
      <c r="K18" s="2">
        <f>[5]强化辅助表!T50</f>
        <v>18120</v>
      </c>
      <c r="L18" s="11">
        <f>[5]强化辅助表!U50</f>
        <v>3752.2000000000007</v>
      </c>
      <c r="M18" s="2">
        <f>[5]升星辅助表!AU47</f>
        <v>3.92</v>
      </c>
      <c r="N18" s="2">
        <f>[5]升星辅助表!AV47</f>
        <v>196</v>
      </c>
      <c r="O18" s="2">
        <f>[5]升星辅助表!AW47</f>
        <v>196</v>
      </c>
      <c r="P18" s="2">
        <f>[5]升星辅助表!AX47</f>
        <v>10780</v>
      </c>
      <c r="Q18" s="11">
        <f>[5]升星辅助表!AU47</f>
        <v>3.92</v>
      </c>
    </row>
    <row r="19" spans="3:17">
      <c r="C19" s="10" t="str">
        <f>[5]装备属性计算表!A47</f>
        <v>1515</v>
      </c>
      <c r="D19" s="10">
        <f>[5]装备属性计算表!B47</f>
        <v>1</v>
      </c>
      <c r="E19" s="10" t="str">
        <f>[5]装备属性计算表!C47</f>
        <v>鞋子</v>
      </c>
      <c r="F19" s="10">
        <f>[5]装备属性计算表!D47</f>
        <v>15</v>
      </c>
      <c r="G19" s="10">
        <f ca="1">[5]装备属性计算表!BJ47</f>
        <v>22.085271553158545</v>
      </c>
      <c r="H19" s="2">
        <f>[5]强化辅助表!Q51</f>
        <v>3.14</v>
      </c>
      <c r="I19" s="2">
        <f>[5]强化辅助表!R51</f>
        <v>157</v>
      </c>
      <c r="J19" s="2">
        <f>[5]强化辅助表!S51</f>
        <v>157</v>
      </c>
      <c r="K19" s="2">
        <f>[5]强化辅助表!T51</f>
        <v>18840</v>
      </c>
      <c r="L19" s="11">
        <f>[5]强化辅助表!U51</f>
        <v>3899.2</v>
      </c>
      <c r="M19" s="2">
        <f>[5]升星辅助表!AU48</f>
        <v>3.92</v>
      </c>
      <c r="N19" s="2">
        <f>[5]升星辅助表!AV48</f>
        <v>196</v>
      </c>
      <c r="O19" s="2">
        <f>[5]升星辅助表!AW48</f>
        <v>196</v>
      </c>
      <c r="P19" s="2">
        <f>[5]升星辅助表!AX48</f>
        <v>10780</v>
      </c>
      <c r="Q19" s="11">
        <f>[5]升星辅助表!AU48</f>
        <v>3.92</v>
      </c>
    </row>
    <row r="20" spans="3:17">
      <c r="C20" s="10" t="str">
        <f>[5]装备属性计算表!A48</f>
        <v>1514</v>
      </c>
      <c r="D20" s="10">
        <f>[5]装备属性计算表!B48</f>
        <v>1</v>
      </c>
      <c r="E20" s="10" t="str">
        <f>[5]装备属性计算表!C48</f>
        <v>腰带</v>
      </c>
      <c r="F20" s="10">
        <f>[5]装备属性计算表!D48</f>
        <v>15</v>
      </c>
      <c r="G20" s="10">
        <f ca="1">[5]装备属性计算表!BJ48</f>
        <v>17.766917785660109</v>
      </c>
      <c r="H20" s="2">
        <f>[5]强化辅助表!Q52</f>
        <v>2.34</v>
      </c>
      <c r="I20" s="2">
        <f>[5]强化辅助表!R52</f>
        <v>117</v>
      </c>
      <c r="J20" s="2">
        <f>[5]强化辅助表!S52</f>
        <v>117</v>
      </c>
      <c r="K20" s="2">
        <f>[5]强化辅助表!T52</f>
        <v>14040</v>
      </c>
      <c r="L20" s="11">
        <f>[5]强化辅助表!U52</f>
        <v>2894.3999999999996</v>
      </c>
      <c r="M20" s="2">
        <f>[5]升星辅助表!AU49</f>
        <v>7.84</v>
      </c>
      <c r="N20" s="2">
        <f>[5]升星辅助表!AV49</f>
        <v>392</v>
      </c>
      <c r="O20" s="2">
        <f>[5]升星辅助表!AW49</f>
        <v>392</v>
      </c>
      <c r="P20" s="2">
        <f>[5]升星辅助表!AX49</f>
        <v>21560</v>
      </c>
      <c r="Q20" s="11">
        <f>[5]升星辅助表!AU49</f>
        <v>7.84</v>
      </c>
    </row>
    <row r="21" spans="3:17">
      <c r="C21" s="10" t="str">
        <f>[5]装备属性计算表!A49</f>
        <v>1513</v>
      </c>
      <c r="D21" s="10">
        <f>[5]装备属性计算表!B49</f>
        <v>1</v>
      </c>
      <c r="E21" s="10" t="str">
        <f>[5]装备属性计算表!C49</f>
        <v>项链</v>
      </c>
      <c r="F21" s="10">
        <f>[5]装备属性计算表!D49</f>
        <v>15</v>
      </c>
      <c r="G21" s="10">
        <f ca="1">[5]装备属性计算表!BJ49</f>
        <v>33.114508171122999</v>
      </c>
      <c r="H21" s="2">
        <f>[5]强化辅助表!Q53</f>
        <v>5.7200000000000006</v>
      </c>
      <c r="I21" s="2">
        <f>[5]强化辅助表!R53</f>
        <v>286</v>
      </c>
      <c r="J21" s="2">
        <f>[5]强化辅助表!S53</f>
        <v>286</v>
      </c>
      <c r="K21" s="2">
        <f>[5]强化辅助表!T53</f>
        <v>34320</v>
      </c>
      <c r="L21" s="11">
        <f>[5]强化辅助表!U53</f>
        <v>7162.0000000000018</v>
      </c>
      <c r="M21" s="2">
        <f>[5]升星辅助表!AU50</f>
        <v>6</v>
      </c>
      <c r="N21" s="2">
        <f>[5]升星辅助表!AV50</f>
        <v>300</v>
      </c>
      <c r="O21" s="2">
        <f>[5]升星辅助表!AW50</f>
        <v>300</v>
      </c>
      <c r="P21" s="2">
        <f>[5]升星辅助表!AX50</f>
        <v>16500</v>
      </c>
      <c r="Q21" s="11">
        <f>[5]升星辅助表!AU50</f>
        <v>6</v>
      </c>
    </row>
    <row r="22" spans="3:17">
      <c r="C22" s="10" t="str">
        <f>[5]装备属性计算表!A50</f>
        <v>1520</v>
      </c>
      <c r="D22" s="10">
        <f>[5]装备属性计算表!B50</f>
        <v>2</v>
      </c>
      <c r="E22" s="10" t="str">
        <f>[5]装备属性计算表!C50</f>
        <v>武器</v>
      </c>
      <c r="F22" s="10">
        <f>[5]装备属性计算表!D50</f>
        <v>15</v>
      </c>
      <c r="G22" s="10">
        <f ca="1">[5]装备属性计算表!BJ50</f>
        <v>78.44478193951754</v>
      </c>
      <c r="H22" s="2">
        <f>[5]强化辅助表!Q54</f>
        <v>11.08</v>
      </c>
      <c r="I22" s="2">
        <f>[5]强化辅助表!R54</f>
        <v>554</v>
      </c>
      <c r="J22" s="2">
        <f>[5]强化辅助表!S54</f>
        <v>554</v>
      </c>
      <c r="K22" s="2">
        <f>[5]强化辅助表!T54</f>
        <v>66480</v>
      </c>
      <c r="L22" s="11">
        <f>[5]强化辅助表!U54</f>
        <v>13262.999999999998</v>
      </c>
      <c r="M22" s="2">
        <f>[5]升星辅助表!AU51</f>
        <v>29</v>
      </c>
      <c r="N22" s="2">
        <f>[5]升星辅助表!AV51</f>
        <v>1450</v>
      </c>
      <c r="O22" s="2">
        <f>[5]升星辅助表!AW51</f>
        <v>1450</v>
      </c>
      <c r="P22" s="2">
        <f>[5]升星辅助表!AX51</f>
        <v>79750</v>
      </c>
      <c r="Q22" s="11">
        <f>[5]升星辅助表!AU51</f>
        <v>29</v>
      </c>
    </row>
    <row r="23" spans="3:17">
      <c r="C23" s="10" t="str">
        <f>[5]装备属性计算表!A51</f>
        <v>1521</v>
      </c>
      <c r="D23" s="10">
        <f>[5]装备属性计算表!B51</f>
        <v>2</v>
      </c>
      <c r="E23" s="10" t="str">
        <f>[5]装备属性计算表!C51</f>
        <v>衣服</v>
      </c>
      <c r="F23" s="10">
        <f>[5]装备属性计算表!D51</f>
        <v>15</v>
      </c>
      <c r="G23" s="10">
        <f ca="1">[5]装备属性计算表!BJ51</f>
        <v>66.481629457733803</v>
      </c>
      <c r="H23" s="2">
        <f>[5]强化辅助表!Q55</f>
        <v>9.120000000000001</v>
      </c>
      <c r="I23" s="2">
        <f>[5]强化辅助表!R55</f>
        <v>456</v>
      </c>
      <c r="J23" s="2">
        <f>[5]强化辅助表!S55</f>
        <v>456</v>
      </c>
      <c r="K23" s="2">
        <f>[5]强化辅助表!T55</f>
        <v>54720</v>
      </c>
      <c r="L23" s="11">
        <f>[5]强化辅助表!U55</f>
        <v>11035.600000000002</v>
      </c>
      <c r="M23" s="2">
        <f>[5]升星辅助表!AU52</f>
        <v>20.32</v>
      </c>
      <c r="N23" s="2">
        <f>[5]升星辅助表!AV52</f>
        <v>1016</v>
      </c>
      <c r="O23" s="2">
        <f>[5]升星辅助表!AW52</f>
        <v>1016</v>
      </c>
      <c r="P23" s="2">
        <f>[5]升星辅助表!AX52</f>
        <v>55880</v>
      </c>
      <c r="Q23" s="11">
        <f>[5]升星辅助表!AU52</f>
        <v>20.32</v>
      </c>
    </row>
    <row r="24" spans="3:17">
      <c r="C24" s="10" t="str">
        <f>[5]装备属性计算表!A52</f>
        <v>1522</v>
      </c>
      <c r="D24" s="10">
        <f>[5]装备属性计算表!B52</f>
        <v>2</v>
      </c>
      <c r="E24" s="10" t="str">
        <f>[5]装备属性计算表!C52</f>
        <v>裤子</v>
      </c>
      <c r="F24" s="10">
        <f>[5]装备属性计算表!D52</f>
        <v>15</v>
      </c>
      <c r="G24" s="10">
        <f ca="1">[5]装备属性计算表!BJ52</f>
        <v>25.23747283105687</v>
      </c>
      <c r="H24" s="2">
        <f>[5]强化辅助表!Q56</f>
        <v>3.02</v>
      </c>
      <c r="I24" s="2">
        <f>[5]强化辅助表!R56</f>
        <v>151</v>
      </c>
      <c r="J24" s="2">
        <f>[5]强化辅助表!S56</f>
        <v>151</v>
      </c>
      <c r="K24" s="2">
        <f>[5]强化辅助表!T56</f>
        <v>18120</v>
      </c>
      <c r="L24" s="11">
        <f>[5]强化辅助表!U56</f>
        <v>3752.2000000000007</v>
      </c>
      <c r="M24" s="2">
        <f>[5]升星辅助表!AU53</f>
        <v>8.68</v>
      </c>
      <c r="N24" s="2">
        <f>[5]升星辅助表!AV53</f>
        <v>434</v>
      </c>
      <c r="O24" s="2">
        <f>[5]升星辅助表!AW53</f>
        <v>434</v>
      </c>
      <c r="P24" s="2">
        <f>[5]升星辅助表!AX53</f>
        <v>23870</v>
      </c>
      <c r="Q24" s="11">
        <f>[5]升星辅助表!AU53</f>
        <v>8.68</v>
      </c>
    </row>
    <row r="25" spans="3:17">
      <c r="C25" s="10" t="str">
        <f>[5]装备属性计算表!A53</f>
        <v>1525</v>
      </c>
      <c r="D25" s="10">
        <f>[5]装备属性计算表!B53</f>
        <v>2</v>
      </c>
      <c r="E25" s="10" t="str">
        <f>[5]装备属性计算表!C53</f>
        <v>鞋子</v>
      </c>
      <c r="F25" s="10">
        <f>[5]装备属性计算表!D53</f>
        <v>15</v>
      </c>
      <c r="G25" s="10">
        <f ca="1">[5]装备属性计算表!BJ53</f>
        <v>31.972386208936598</v>
      </c>
      <c r="H25" s="2">
        <f>[5]强化辅助表!Q57</f>
        <v>4.42</v>
      </c>
      <c r="I25" s="2">
        <f>[5]强化辅助表!R57</f>
        <v>221</v>
      </c>
      <c r="J25" s="2">
        <f>[5]强化辅助表!S57</f>
        <v>221</v>
      </c>
      <c r="K25" s="2">
        <f>[5]强化辅助表!T57</f>
        <v>26520</v>
      </c>
      <c r="L25" s="11">
        <f>[5]强化辅助表!U57</f>
        <v>5268.7999999999993</v>
      </c>
      <c r="M25" s="2">
        <f>[5]升星辅助表!AU54</f>
        <v>10.440000000000001</v>
      </c>
      <c r="N25" s="2">
        <f>[5]升星辅助表!AV54</f>
        <v>522</v>
      </c>
      <c r="O25" s="2">
        <f>[5]升星辅助表!AW54</f>
        <v>522</v>
      </c>
      <c r="P25" s="2">
        <f>[5]升星辅助表!AX54</f>
        <v>28710</v>
      </c>
      <c r="Q25" s="11">
        <f>[5]升星辅助表!AU54</f>
        <v>10.440000000000001</v>
      </c>
    </row>
    <row r="26" spans="3:17">
      <c r="C26" s="10" t="str">
        <f>[5]装备属性计算表!A54</f>
        <v>1524</v>
      </c>
      <c r="D26" s="10">
        <f>[5]装备属性计算表!B54</f>
        <v>2</v>
      </c>
      <c r="E26" s="10" t="str">
        <f>[5]装备属性计算表!C54</f>
        <v>腰带</v>
      </c>
      <c r="F26" s="10">
        <f>[5]装备属性计算表!D54</f>
        <v>15</v>
      </c>
      <c r="G26" s="10">
        <f ca="1">[5]装备属性计算表!BJ54</f>
        <v>28.434641991718891</v>
      </c>
      <c r="H26" s="2">
        <f>[5]强化辅助表!Q58</f>
        <v>3.12</v>
      </c>
      <c r="I26" s="2">
        <f>[5]强化辅助表!R58</f>
        <v>156</v>
      </c>
      <c r="J26" s="2">
        <f>[5]强化辅助表!S58</f>
        <v>156</v>
      </c>
      <c r="K26" s="2">
        <f>[5]强化辅助表!T58</f>
        <v>18720</v>
      </c>
      <c r="L26" s="11">
        <f>[5]强化辅助表!U58</f>
        <v>3729.0000000000005</v>
      </c>
      <c r="M26" s="2">
        <f>[5]升星辅助表!AU55</f>
        <v>20.32</v>
      </c>
      <c r="N26" s="2">
        <f>[5]升星辅助表!AV55</f>
        <v>1016</v>
      </c>
      <c r="O26" s="2">
        <f>[5]升星辅助表!AW55</f>
        <v>1016</v>
      </c>
      <c r="P26" s="2">
        <f>[5]升星辅助表!AX55</f>
        <v>55880</v>
      </c>
      <c r="Q26" s="11">
        <f>[5]升星辅助表!AU55</f>
        <v>20.32</v>
      </c>
    </row>
    <row r="27" spans="3:17">
      <c r="C27" s="10" t="str">
        <f>[5]装备属性计算表!A55</f>
        <v>1523</v>
      </c>
      <c r="D27" s="10">
        <f>[5]装备属性计算表!B55</f>
        <v>2</v>
      </c>
      <c r="E27" s="10" t="str">
        <f>[5]装备属性计算表!C55</f>
        <v>项链</v>
      </c>
      <c r="F27" s="10">
        <f>[5]装备属性计算表!D55</f>
        <v>15</v>
      </c>
      <c r="G27" s="10">
        <f ca="1">[5]装备属性计算表!BJ55</f>
        <v>46.615269814616767</v>
      </c>
      <c r="H27" s="2">
        <f>[5]强化辅助表!Q59</f>
        <v>6.4</v>
      </c>
      <c r="I27" s="2">
        <f>[5]强化辅助表!R59</f>
        <v>320</v>
      </c>
      <c r="J27" s="2">
        <f>[5]强化辅助表!S59</f>
        <v>320</v>
      </c>
      <c r="K27" s="2">
        <f>[5]强化辅助表!T59</f>
        <v>38400</v>
      </c>
      <c r="L27" s="11">
        <f>[5]强化辅助表!U59</f>
        <v>7889.6</v>
      </c>
      <c r="M27" s="2">
        <f>[5]升星辅助表!AU56</f>
        <v>11.38</v>
      </c>
      <c r="N27" s="2">
        <f>[5]升星辅助表!AV56</f>
        <v>569</v>
      </c>
      <c r="O27" s="2">
        <f>[5]升星辅助表!AW56</f>
        <v>569</v>
      </c>
      <c r="P27" s="2">
        <f>[5]升星辅助表!AX56</f>
        <v>31295</v>
      </c>
      <c r="Q27" s="11">
        <f>[5]升星辅助表!AU56</f>
        <v>11.38</v>
      </c>
    </row>
    <row r="28" spans="3:17">
      <c r="C28" s="10" t="str">
        <f>[5]装备属性计算表!A68</f>
        <v>3010</v>
      </c>
      <c r="D28" s="10">
        <f>[5]装备属性计算表!B68</f>
        <v>1</v>
      </c>
      <c r="E28" s="10" t="str">
        <f>[5]装备属性计算表!C68</f>
        <v>武器</v>
      </c>
      <c r="F28" s="10">
        <f>[5]装备属性计算表!D68</f>
        <v>30</v>
      </c>
      <c r="G28" s="10">
        <f ca="1">[5]装备属性计算表!BJ68</f>
        <v>109.08489536989224</v>
      </c>
      <c r="H28" s="2">
        <f>[5]强化辅助表!Q72</f>
        <v>14.44</v>
      </c>
      <c r="I28" s="2">
        <f>[5]强化辅助表!R72</f>
        <v>722</v>
      </c>
      <c r="J28" s="2">
        <f>[5]强化辅助表!S72</f>
        <v>722</v>
      </c>
      <c r="K28" s="2">
        <f>[5]强化辅助表!T72</f>
        <v>335730</v>
      </c>
      <c r="L28" s="11">
        <f>[5]强化辅助表!U72</f>
        <v>72775.48</v>
      </c>
      <c r="M28" s="2">
        <f>[5]升星辅助表!AU69</f>
        <v>36</v>
      </c>
      <c r="N28" s="2">
        <f>[5]升星辅助表!AV69</f>
        <v>1800</v>
      </c>
      <c r="O28" s="2">
        <f>[5]升星辅助表!AW69</f>
        <v>1800</v>
      </c>
      <c r="P28" s="2">
        <f>[5]升星辅助表!AX69</f>
        <v>99000</v>
      </c>
      <c r="Q28" s="11">
        <f>[5]升星辅助表!AU69</f>
        <v>36</v>
      </c>
    </row>
    <row r="29" spans="3:17">
      <c r="C29" s="10" t="str">
        <f>[5]装备属性计算表!A69</f>
        <v>3011</v>
      </c>
      <c r="D29" s="10">
        <f>[5]装备属性计算表!B69</f>
        <v>1</v>
      </c>
      <c r="E29" s="10" t="str">
        <f>[5]装备属性计算表!C69</f>
        <v>衣服</v>
      </c>
      <c r="F29" s="10">
        <f>[5]装备属性计算表!D69</f>
        <v>30</v>
      </c>
      <c r="G29" s="10">
        <f ca="1">[5]装备属性计算表!BJ69</f>
        <v>94.105543642506575</v>
      </c>
      <c r="H29" s="2">
        <f>[5]强化辅助表!Q73</f>
        <v>13.48</v>
      </c>
      <c r="I29" s="2">
        <f>[5]强化辅助表!R73</f>
        <v>674</v>
      </c>
      <c r="J29" s="2">
        <f>[5]强化辅助表!S73</f>
        <v>674</v>
      </c>
      <c r="K29" s="2">
        <f>[5]强化辅助表!T73</f>
        <v>313410</v>
      </c>
      <c r="L29" s="11">
        <f>[5]强化辅助表!U73</f>
        <v>67756.360000000015</v>
      </c>
      <c r="M29" s="2">
        <f>[5]升星辅助表!AU70</f>
        <v>15.68</v>
      </c>
      <c r="N29" s="2">
        <f>[5]升星辅助表!AV70</f>
        <v>784</v>
      </c>
      <c r="O29" s="2">
        <f>[5]升星辅助表!AW70</f>
        <v>784</v>
      </c>
      <c r="P29" s="2">
        <f>[5]升星辅助表!AX70</f>
        <v>43120</v>
      </c>
      <c r="Q29" s="11">
        <f>[5]升星辅助表!AU70</f>
        <v>15.68</v>
      </c>
    </row>
    <row r="30" spans="3:17">
      <c r="C30" s="10" t="str">
        <f>[5]装备属性计算表!A70</f>
        <v>3012</v>
      </c>
      <c r="D30" s="10">
        <f>[5]装备属性计算表!B70</f>
        <v>1</v>
      </c>
      <c r="E30" s="10" t="str">
        <f>[5]装备属性计算表!C70</f>
        <v>裤子</v>
      </c>
      <c r="F30" s="10">
        <f>[5]装备属性计算表!D70</f>
        <v>30</v>
      </c>
      <c r="G30" s="10">
        <f ca="1">[5]装备属性计算表!BJ70</f>
        <v>34.672418304983111</v>
      </c>
      <c r="H30" s="2">
        <f>[5]强化辅助表!Q74</f>
        <v>4.7</v>
      </c>
      <c r="I30" s="2">
        <f>[5]强化辅助表!R74</f>
        <v>235</v>
      </c>
      <c r="J30" s="2">
        <f>[5]强化辅助表!S74</f>
        <v>235</v>
      </c>
      <c r="K30" s="2">
        <f>[5]强化辅助表!T74</f>
        <v>109275</v>
      </c>
      <c r="L30" s="11">
        <f>[5]强化辅助表!U74</f>
        <v>24230.100000000002</v>
      </c>
      <c r="M30" s="2">
        <f>[5]升星辅助表!AU71</f>
        <v>7.84</v>
      </c>
      <c r="N30" s="2">
        <f>[5]升星辅助表!AV71</f>
        <v>392</v>
      </c>
      <c r="O30" s="2">
        <f>[5]升星辅助表!AW71</f>
        <v>392</v>
      </c>
      <c r="P30" s="2">
        <f>[5]升星辅助表!AX71</f>
        <v>21560</v>
      </c>
      <c r="Q30" s="11">
        <f>[5]升星辅助表!AU71</f>
        <v>7.84</v>
      </c>
    </row>
    <row r="31" spans="3:17">
      <c r="C31" s="10" t="str">
        <f>[5]装备属性计算表!A71</f>
        <v>3015</v>
      </c>
      <c r="D31" s="10">
        <f>[5]装备属性计算表!B71</f>
        <v>1</v>
      </c>
      <c r="E31" s="10" t="str">
        <f>[5]装备属性计算表!C71</f>
        <v>鞋子</v>
      </c>
      <c r="F31" s="10">
        <f>[5]装备属性计算表!D71</f>
        <v>30</v>
      </c>
      <c r="G31" s="10">
        <f ca="1">[5]装备属性计算表!BJ71</f>
        <v>44.170543106317091</v>
      </c>
      <c r="H31" s="2">
        <f>[5]强化辅助表!Q75</f>
        <v>5.9</v>
      </c>
      <c r="I31" s="2">
        <f>[5]强化辅助表!R75</f>
        <v>295</v>
      </c>
      <c r="J31" s="2">
        <f>[5]强化辅助表!S75</f>
        <v>295</v>
      </c>
      <c r="K31" s="2">
        <f>[5]强化辅助表!T75</f>
        <v>137175</v>
      </c>
      <c r="L31" s="11">
        <f>[5]强化辅助表!U75</f>
        <v>29605.500000000004</v>
      </c>
      <c r="M31" s="2">
        <f>[5]升星辅助表!AU72</f>
        <v>7.84</v>
      </c>
      <c r="N31" s="2">
        <f>[5]升星辅助表!AV72</f>
        <v>392</v>
      </c>
      <c r="O31" s="2">
        <f>[5]升星辅助表!AW72</f>
        <v>392</v>
      </c>
      <c r="P31" s="2">
        <f>[5]升星辅助表!AX72</f>
        <v>21560</v>
      </c>
      <c r="Q31" s="11">
        <f>[5]升星辅助表!AU72</f>
        <v>7.84</v>
      </c>
    </row>
    <row r="32" spans="3:17">
      <c r="C32" s="10" t="str">
        <f>[5]装备属性计算表!A72</f>
        <v>3014</v>
      </c>
      <c r="D32" s="10">
        <f>[5]装备属性计算表!B72</f>
        <v>1</v>
      </c>
      <c r="E32" s="10" t="str">
        <f>[5]装备属性计算表!C72</f>
        <v>腰带</v>
      </c>
      <c r="F32" s="10">
        <f>[5]装备属性计算表!D72</f>
        <v>30</v>
      </c>
      <c r="G32" s="10">
        <f ca="1">[5]装备属性计算表!BJ72</f>
        <v>35.533835571320218</v>
      </c>
      <c r="H32" s="2">
        <f>[5]强化辅助表!Q76</f>
        <v>4.2799999999999994</v>
      </c>
      <c r="I32" s="2">
        <f>[5]强化辅助表!R76</f>
        <v>214</v>
      </c>
      <c r="J32" s="2">
        <f>[5]强化辅助表!S76</f>
        <v>214</v>
      </c>
      <c r="K32" s="2">
        <f>[5]强化辅助表!T76</f>
        <v>99510</v>
      </c>
      <c r="L32" s="11">
        <f>[5]强化辅助表!U76</f>
        <v>21542.36</v>
      </c>
      <c r="M32" s="2">
        <f>[5]升星辅助表!AU73</f>
        <v>15.68</v>
      </c>
      <c r="N32" s="2">
        <f>[5]升星辅助表!AV73</f>
        <v>784</v>
      </c>
      <c r="O32" s="2">
        <f>[5]升星辅助表!AW73</f>
        <v>784</v>
      </c>
      <c r="P32" s="2">
        <f>[5]升星辅助表!AX73</f>
        <v>43120</v>
      </c>
      <c r="Q32" s="11">
        <f>[5]升星辅助表!AU73</f>
        <v>15.68</v>
      </c>
    </row>
    <row r="33" spans="3:17">
      <c r="C33" s="10" t="str">
        <f>[5]装备属性计算表!A73</f>
        <v>3013</v>
      </c>
      <c r="D33" s="10">
        <f>[5]装备属性计算表!B73</f>
        <v>1</v>
      </c>
      <c r="E33" s="10" t="str">
        <f>[5]装备属性计算表!C73</f>
        <v>项链</v>
      </c>
      <c r="F33" s="10">
        <f>[5]装备属性计算表!D73</f>
        <v>30</v>
      </c>
      <c r="G33" s="10">
        <f ca="1">[5]装备属性计算表!BJ73</f>
        <v>66.229016342245998</v>
      </c>
      <c r="H33" s="2">
        <f>[5]强化辅助表!Q77</f>
        <v>8.7600000000000016</v>
      </c>
      <c r="I33" s="2">
        <f>[5]强化辅助表!R77</f>
        <v>438</v>
      </c>
      <c r="J33" s="2">
        <f>[5]强化辅助表!S77</f>
        <v>438</v>
      </c>
      <c r="K33" s="2">
        <f>[5]强化辅助表!T77</f>
        <v>203670</v>
      </c>
      <c r="L33" s="11">
        <f>[5]强化辅助表!U77</f>
        <v>45329.320000000007</v>
      </c>
      <c r="M33" s="2">
        <f>[5]升星辅助表!AU74</f>
        <v>12</v>
      </c>
      <c r="N33" s="2">
        <f>[5]升星辅助表!AV74</f>
        <v>600</v>
      </c>
      <c r="O33" s="2">
        <f>[5]升星辅助表!AW74</f>
        <v>600</v>
      </c>
      <c r="P33" s="2">
        <f>[5]升星辅助表!AX74</f>
        <v>33000</v>
      </c>
      <c r="Q33" s="11">
        <f>[5]升星辅助表!AU74</f>
        <v>12</v>
      </c>
    </row>
    <row r="34" spans="3:17">
      <c r="C34" s="10" t="str">
        <f>[5]装备属性计算表!A74</f>
        <v>3020</v>
      </c>
      <c r="D34" s="10">
        <f>[5]装备属性计算表!B74</f>
        <v>2</v>
      </c>
      <c r="E34" s="10" t="str">
        <f>[5]装备属性计算表!C74</f>
        <v>武器</v>
      </c>
      <c r="F34" s="10">
        <f>[5]装备属性计算表!D74</f>
        <v>30</v>
      </c>
      <c r="G34" s="10">
        <f ca="1">[5]装备属性计算表!BJ74</f>
        <v>156.88956387903508</v>
      </c>
      <c r="H34" s="2">
        <f>[5]强化辅助表!Q78</f>
        <v>21.16</v>
      </c>
      <c r="I34" s="2">
        <f>[5]强化辅助表!R78</f>
        <v>1058</v>
      </c>
      <c r="J34" s="2">
        <f>[5]强化辅助表!S78</f>
        <v>1058</v>
      </c>
      <c r="K34" s="2">
        <f>[5]强化辅助表!T78</f>
        <v>491970</v>
      </c>
      <c r="L34" s="11">
        <f>[5]强化辅助表!U78</f>
        <v>105457.12</v>
      </c>
      <c r="M34" s="2">
        <f>[5]升星辅助表!AU75</f>
        <v>58</v>
      </c>
      <c r="N34" s="2">
        <f>[5]升星辅助表!AV75</f>
        <v>2900</v>
      </c>
      <c r="O34" s="2">
        <f>[5]升星辅助表!AW75</f>
        <v>2900</v>
      </c>
      <c r="P34" s="2">
        <f>[5]升星辅助表!AX75</f>
        <v>159500</v>
      </c>
      <c r="Q34" s="11">
        <f>[5]升星辅助表!AU75</f>
        <v>58</v>
      </c>
    </row>
    <row r="35" spans="3:17">
      <c r="C35" s="10" t="str">
        <f>[5]装备属性计算表!A75</f>
        <v>3021</v>
      </c>
      <c r="D35" s="10">
        <f>[5]装备属性计算表!B75</f>
        <v>2</v>
      </c>
      <c r="E35" s="10" t="str">
        <f>[5]装备属性计算表!C75</f>
        <v>衣服</v>
      </c>
      <c r="F35" s="10">
        <f>[5]装备属性计算表!D75</f>
        <v>30</v>
      </c>
      <c r="G35" s="10">
        <f ca="1">[5]装备属性计算表!BJ75</f>
        <v>132.96325891546761</v>
      </c>
      <c r="H35" s="2">
        <f>[5]强化辅助表!Q79</f>
        <v>19.240000000000002</v>
      </c>
      <c r="I35" s="2">
        <f>[5]强化辅助表!R79</f>
        <v>962</v>
      </c>
      <c r="J35" s="2">
        <f>[5]强化辅助表!S79</f>
        <v>962</v>
      </c>
      <c r="K35" s="2">
        <f>[5]强化辅助表!T79</f>
        <v>447330</v>
      </c>
      <c r="L35" s="11">
        <f>[5]强化辅助表!U79</f>
        <v>94864.28</v>
      </c>
      <c r="M35" s="2">
        <f>[5]升星辅助表!AU76</f>
        <v>41.64</v>
      </c>
      <c r="N35" s="2">
        <f>[5]升星辅助表!AV76</f>
        <v>2082</v>
      </c>
      <c r="O35" s="2">
        <f>[5]升星辅助表!AW76</f>
        <v>2082</v>
      </c>
      <c r="P35" s="2">
        <f>[5]升星辅助表!AX76</f>
        <v>114510</v>
      </c>
      <c r="Q35" s="11">
        <f>[5]升星辅助表!AU76</f>
        <v>41.64</v>
      </c>
    </row>
    <row r="36" spans="3:17">
      <c r="C36" s="10" t="str">
        <f>[5]装备属性计算表!A76</f>
        <v>3022</v>
      </c>
      <c r="D36" s="10">
        <f>[5]装备属性计算表!B76</f>
        <v>2</v>
      </c>
      <c r="E36" s="10" t="str">
        <f>[5]装备属性计算表!C76</f>
        <v>裤子</v>
      </c>
      <c r="F36" s="10">
        <f>[5]装备属性计算表!D76</f>
        <v>30</v>
      </c>
      <c r="G36" s="10">
        <f ca="1">[5]装备属性计算表!BJ76</f>
        <v>50.47494566211374</v>
      </c>
      <c r="H36" s="2">
        <f>[5]强化辅助表!Q80</f>
        <v>6.3800000000000008</v>
      </c>
      <c r="I36" s="2">
        <f>[5]强化辅助表!R80</f>
        <v>319</v>
      </c>
      <c r="J36" s="2">
        <f>[5]强化辅助表!S80</f>
        <v>319</v>
      </c>
      <c r="K36" s="2">
        <f>[5]强化辅助表!T80</f>
        <v>148335</v>
      </c>
      <c r="L36" s="11">
        <f>[5]强化辅助表!U80</f>
        <v>31549.860000000004</v>
      </c>
      <c r="M36" s="2">
        <f>[5]升星辅助表!AU77</f>
        <v>17.32</v>
      </c>
      <c r="N36" s="2">
        <f>[5]升星辅助表!AV77</f>
        <v>866</v>
      </c>
      <c r="O36" s="2">
        <f>[5]升星辅助表!AW77</f>
        <v>866</v>
      </c>
      <c r="P36" s="2">
        <f>[5]升星辅助表!AX77</f>
        <v>47630</v>
      </c>
      <c r="Q36" s="11">
        <f>[5]升星辅助表!AU77</f>
        <v>17.32</v>
      </c>
    </row>
    <row r="37" spans="3:17">
      <c r="C37" s="10" t="str">
        <f>[5]装备属性计算表!A77</f>
        <v>3025</v>
      </c>
      <c r="D37" s="10">
        <f>[5]装备属性计算表!B77</f>
        <v>2</v>
      </c>
      <c r="E37" s="10" t="str">
        <f>[5]装备属性计算表!C77</f>
        <v>鞋子</v>
      </c>
      <c r="F37" s="10">
        <f>[5]装备属性计算表!D77</f>
        <v>30</v>
      </c>
      <c r="G37" s="10">
        <f ca="1">[5]装备属性计算表!BJ77</f>
        <v>63.944772417873196</v>
      </c>
      <c r="H37" s="2">
        <f>[5]强化辅助表!Q81</f>
        <v>8.84</v>
      </c>
      <c r="I37" s="2">
        <f>[5]强化辅助表!R81</f>
        <v>442</v>
      </c>
      <c r="J37" s="2">
        <f>[5]强化辅助表!S81</f>
        <v>442</v>
      </c>
      <c r="K37" s="2">
        <f>[5]强化辅助表!T81</f>
        <v>205530</v>
      </c>
      <c r="L37" s="11">
        <f>[5]强化辅助表!U81</f>
        <v>43784.680000000008</v>
      </c>
      <c r="M37" s="2">
        <f>[5]升星辅助表!AU78</f>
        <v>20.5</v>
      </c>
      <c r="N37" s="2">
        <f>[5]升星辅助表!AV78</f>
        <v>1025</v>
      </c>
      <c r="O37" s="2">
        <f>[5]升星辅助表!AW78</f>
        <v>1025</v>
      </c>
      <c r="P37" s="2">
        <f>[5]升星辅助表!AX78</f>
        <v>56375</v>
      </c>
      <c r="Q37" s="11">
        <f>[5]升星辅助表!AU78</f>
        <v>20.5</v>
      </c>
    </row>
    <row r="38" spans="3:17">
      <c r="C38" s="10" t="str">
        <f>[5]装备属性计算表!A78</f>
        <v>3024</v>
      </c>
      <c r="D38" s="10">
        <f>[5]装备属性计算表!B78</f>
        <v>2</v>
      </c>
      <c r="E38" s="10" t="str">
        <f>[5]装备属性计算表!C78</f>
        <v>腰带</v>
      </c>
      <c r="F38" s="10">
        <f>[5]装备属性计算表!D78</f>
        <v>30</v>
      </c>
      <c r="G38" s="10">
        <f ca="1">[5]装备属性计算表!BJ78</f>
        <v>56.869283983437782</v>
      </c>
      <c r="H38" s="2">
        <f>[5]强化辅助表!Q82</f>
        <v>6.24</v>
      </c>
      <c r="I38" s="2">
        <f>[5]强化辅助表!R82</f>
        <v>312</v>
      </c>
      <c r="J38" s="2">
        <f>[5]强化辅助表!S82</f>
        <v>312</v>
      </c>
      <c r="K38" s="2">
        <f>[5]强化辅助表!T82</f>
        <v>145080</v>
      </c>
      <c r="L38" s="11">
        <f>[5]强化辅助表!U82</f>
        <v>30916.680000000004</v>
      </c>
      <c r="M38" s="2">
        <f>[5]升星辅助表!AU79</f>
        <v>39.64</v>
      </c>
      <c r="N38" s="2">
        <f>[5]升星辅助表!AV79</f>
        <v>1982</v>
      </c>
      <c r="O38" s="2">
        <f>[5]升星辅助表!AW79</f>
        <v>1982</v>
      </c>
      <c r="P38" s="2">
        <f>[5]升星辅助表!AX79</f>
        <v>109010</v>
      </c>
      <c r="Q38" s="11">
        <f>[5]升星辅助表!AU79</f>
        <v>39.64</v>
      </c>
    </row>
    <row r="39" spans="3:17">
      <c r="C39" s="10" t="str">
        <f>[5]装备属性计算表!A79</f>
        <v>3023</v>
      </c>
      <c r="D39" s="10">
        <f>[5]装备属性计算表!B79</f>
        <v>2</v>
      </c>
      <c r="E39" s="10" t="str">
        <f>[5]装备属性计算表!C79</f>
        <v>项链</v>
      </c>
      <c r="F39" s="10">
        <f>[5]装备属性计算表!D79</f>
        <v>30</v>
      </c>
      <c r="G39" s="10">
        <f ca="1">[5]装备属性计算表!BJ79</f>
        <v>93.230539629233533</v>
      </c>
      <c r="H39" s="2">
        <f>[5]强化辅助表!Q83</f>
        <v>12.8</v>
      </c>
      <c r="I39" s="2">
        <f>[5]强化辅助表!R83</f>
        <v>640</v>
      </c>
      <c r="J39" s="2">
        <f>[5]强化辅助表!S83</f>
        <v>640</v>
      </c>
      <c r="K39" s="2">
        <f>[5]强化辅助表!T83</f>
        <v>297600</v>
      </c>
      <c r="L39" s="11">
        <f>[5]强化辅助表!U83</f>
        <v>63659.200000000004</v>
      </c>
      <c r="M39" s="2">
        <f>[5]升星辅助表!AU80</f>
        <v>21.76</v>
      </c>
      <c r="N39" s="2">
        <f>[5]升星辅助表!AV80</f>
        <v>1088</v>
      </c>
      <c r="O39" s="2">
        <f>[5]升星辅助表!AW80</f>
        <v>1088</v>
      </c>
      <c r="P39" s="2">
        <f>[5]升星辅助表!AX80</f>
        <v>59840</v>
      </c>
      <c r="Q39" s="11">
        <f>[5]升星辅助表!AU80</f>
        <v>21.76</v>
      </c>
    </row>
    <row r="40" spans="3:17">
      <c r="C40" s="10" t="str">
        <f>[5]装备属性计算表!A80</f>
        <v>3030</v>
      </c>
      <c r="D40" s="10">
        <f>[5]装备属性计算表!B80</f>
        <v>3</v>
      </c>
      <c r="E40" s="10" t="str">
        <f>[5]装备属性计算表!C80</f>
        <v>武器</v>
      </c>
      <c r="F40" s="10">
        <f>[5]装备属性计算表!D80</f>
        <v>30</v>
      </c>
      <c r="G40" s="10">
        <f ca="1">[5]装备属性计算表!BJ80</f>
        <v>204.27730487383371</v>
      </c>
      <c r="H40" s="2">
        <f>[5]强化辅助表!Q84</f>
        <v>27.88</v>
      </c>
      <c r="I40" s="2">
        <f>[5]强化辅助表!R84</f>
        <v>1394</v>
      </c>
      <c r="J40" s="2">
        <f>[5]强化辅助表!S84</f>
        <v>1394</v>
      </c>
      <c r="K40" s="2">
        <f>[5]强化辅助表!T84</f>
        <v>648210</v>
      </c>
      <c r="L40" s="11">
        <f>[5]强化辅助表!U84</f>
        <v>138331.36000000002</v>
      </c>
      <c r="M40" s="2">
        <f>[5]升星辅助表!AU81</f>
        <v>86.2</v>
      </c>
      <c r="N40" s="2">
        <f>[5]升星辅助表!AV81</f>
        <v>4310</v>
      </c>
      <c r="O40" s="2">
        <f>[5]升星辅助表!AW81</f>
        <v>4310</v>
      </c>
      <c r="P40" s="2">
        <f>[5]升星辅助表!AX81</f>
        <v>237050</v>
      </c>
      <c r="Q40" s="11">
        <f>[5]升星辅助表!AU81</f>
        <v>86.2</v>
      </c>
    </row>
    <row r="41" spans="3:17">
      <c r="C41" s="10" t="str">
        <f>[5]装备属性计算表!A81</f>
        <v>3031</v>
      </c>
      <c r="D41" s="10">
        <f>[5]装备属性计算表!B81</f>
        <v>3</v>
      </c>
      <c r="E41" s="10" t="str">
        <f>[5]装备属性计算表!C81</f>
        <v>衣服</v>
      </c>
      <c r="F41" s="10">
        <f>[5]装备属性计算表!D81</f>
        <v>30</v>
      </c>
      <c r="G41" s="10">
        <f ca="1">[5]装备属性计算表!BJ81</f>
        <v>169.99514600973615</v>
      </c>
      <c r="H41" s="2">
        <f>[5]强化辅助表!Q85</f>
        <v>25</v>
      </c>
      <c r="I41" s="2">
        <f>[5]强化辅助表!R85</f>
        <v>1250</v>
      </c>
      <c r="J41" s="2">
        <f>[5]强化辅助表!S85</f>
        <v>1250</v>
      </c>
      <c r="K41" s="2">
        <f>[5]强化辅助表!T85</f>
        <v>581250</v>
      </c>
      <c r="L41" s="11">
        <f>[5]强化辅助表!U85</f>
        <v>123042.2</v>
      </c>
      <c r="M41" s="2">
        <f>[5]升星辅助表!AU82</f>
        <v>59.72</v>
      </c>
      <c r="N41" s="2">
        <f>[5]升星辅助表!AV82</f>
        <v>2986</v>
      </c>
      <c r="O41" s="2">
        <f>[5]升星辅助表!AW82</f>
        <v>2986</v>
      </c>
      <c r="P41" s="2">
        <f>[5]升星辅助表!AX82</f>
        <v>164230</v>
      </c>
      <c r="Q41" s="11">
        <f>[5]升星辅助表!AU82</f>
        <v>59.72</v>
      </c>
    </row>
    <row r="42" spans="3:17">
      <c r="C42" s="10" t="str">
        <f>[5]装备属性计算表!A82</f>
        <v>3032</v>
      </c>
      <c r="D42" s="10">
        <f>[5]装备属性计算表!B82</f>
        <v>3</v>
      </c>
      <c r="E42" s="10" t="str">
        <f>[5]装备属性计算表!C82</f>
        <v>裤子</v>
      </c>
      <c r="F42" s="10">
        <f>[5]装备属性计算表!D82</f>
        <v>30</v>
      </c>
      <c r="G42" s="10">
        <f ca="1">[5]装备属性计算表!BJ82</f>
        <v>66.519050659876356</v>
      </c>
      <c r="H42" s="2">
        <f>[5]强化辅助表!Q86</f>
        <v>9.06</v>
      </c>
      <c r="I42" s="2">
        <f>[5]强化辅助表!R86</f>
        <v>453</v>
      </c>
      <c r="J42" s="2">
        <f>[5]强化辅助表!S86</f>
        <v>453</v>
      </c>
      <c r="K42" s="2">
        <f>[5]强化辅助表!T86</f>
        <v>210645</v>
      </c>
      <c r="L42" s="11">
        <f>[5]强化辅助表!U86</f>
        <v>44660.42</v>
      </c>
      <c r="M42" s="2">
        <f>[5]升星辅助表!AU83</f>
        <v>28.92</v>
      </c>
      <c r="N42" s="2">
        <f>[5]升星辅助表!AV83</f>
        <v>1446</v>
      </c>
      <c r="O42" s="2">
        <f>[5]升星辅助表!AW83</f>
        <v>1446</v>
      </c>
      <c r="P42" s="2">
        <f>[5]升星辅助表!AX83</f>
        <v>79530</v>
      </c>
      <c r="Q42" s="11">
        <f>[5]升星辅助表!AU83</f>
        <v>28.92</v>
      </c>
    </row>
    <row r="43" spans="3:17">
      <c r="C43" s="10" t="str">
        <f>[5]装备属性计算表!A83</f>
        <v>3035</v>
      </c>
      <c r="D43" s="10">
        <f>[5]装备属性计算表!B83</f>
        <v>3</v>
      </c>
      <c r="E43" s="10" t="str">
        <f>[5]装备属性计算表!C83</f>
        <v>鞋子</v>
      </c>
      <c r="F43" s="10">
        <f>[5]装备属性计算表!D83</f>
        <v>30</v>
      </c>
      <c r="G43" s="10">
        <f ca="1">[5]装备属性计算表!BJ83</f>
        <v>83.806925926266004</v>
      </c>
      <c r="H43" s="2">
        <f>[5]强化辅助表!Q87</f>
        <v>11.440000000000001</v>
      </c>
      <c r="I43" s="2">
        <f>[5]强化辅助表!R87</f>
        <v>572</v>
      </c>
      <c r="J43" s="2">
        <f>[5]强化辅助表!S87</f>
        <v>572</v>
      </c>
      <c r="K43" s="2">
        <f>[5]强化辅助表!T87</f>
        <v>265980</v>
      </c>
      <c r="L43" s="11">
        <f>[5]强化辅助表!U87</f>
        <v>56525.280000000013</v>
      </c>
      <c r="M43" s="2">
        <f>[5]升星辅助表!AU84</f>
        <v>36.900000000000006</v>
      </c>
      <c r="N43" s="2">
        <f>[5]升星辅助表!AV84</f>
        <v>1845</v>
      </c>
      <c r="O43" s="2">
        <f>[5]升星辅助表!AW84</f>
        <v>1845</v>
      </c>
      <c r="P43" s="2">
        <f>[5]升星辅助表!AX84</f>
        <v>101475</v>
      </c>
      <c r="Q43" s="11">
        <f>[5]升星辅助表!AU84</f>
        <v>36.900000000000006</v>
      </c>
    </row>
    <row r="44" spans="3:17">
      <c r="C44" s="10" t="str">
        <f>[5]装备属性计算表!A84</f>
        <v>3034</v>
      </c>
      <c r="D44" s="10">
        <f>[5]装备属性计算表!B84</f>
        <v>3</v>
      </c>
      <c r="E44" s="10" t="str">
        <f>[5]装备属性计算表!C84</f>
        <v>腰带</v>
      </c>
      <c r="F44" s="10">
        <f>[5]装备属性计算表!D84</f>
        <v>30</v>
      </c>
      <c r="G44" s="10">
        <f ca="1">[5]装备属性计算表!BJ84</f>
        <v>81.615583227950395</v>
      </c>
      <c r="H44" s="2">
        <f>[5]强化辅助表!Q88</f>
        <v>8.1999999999999993</v>
      </c>
      <c r="I44" s="2">
        <f>[5]强化辅助表!R88</f>
        <v>410</v>
      </c>
      <c r="J44" s="2">
        <f>[5]强化辅助表!S88</f>
        <v>410</v>
      </c>
      <c r="K44" s="2">
        <f>[5]强化辅助表!T88</f>
        <v>190650</v>
      </c>
      <c r="L44" s="11">
        <f>[5]强化辅助表!U88</f>
        <v>40526.399999999994</v>
      </c>
      <c r="M44" s="2">
        <f>[5]升星辅助表!AU85</f>
        <v>60.6</v>
      </c>
      <c r="N44" s="2">
        <f>[5]升星辅助表!AV85</f>
        <v>3030</v>
      </c>
      <c r="O44" s="2">
        <f>[5]升星辅助表!AW85</f>
        <v>3030</v>
      </c>
      <c r="P44" s="2">
        <f>[5]升星辅助表!AX85</f>
        <v>166650</v>
      </c>
      <c r="Q44" s="11">
        <f>[5]升星辅助表!AU85</f>
        <v>60.6</v>
      </c>
    </row>
    <row r="45" spans="3:17">
      <c r="C45" s="10" t="str">
        <f>[5]装备属性计算表!A85</f>
        <v>3033</v>
      </c>
      <c r="D45" s="10">
        <f>[5]装备属性计算表!B85</f>
        <v>3</v>
      </c>
      <c r="E45" s="10" t="str">
        <f>[5]装备属性计算表!C85</f>
        <v>项链</v>
      </c>
      <c r="F45" s="10">
        <f>[5]装备属性计算表!D85</f>
        <v>30</v>
      </c>
      <c r="G45" s="10">
        <f ca="1">[5]装备属性计算表!BJ85</f>
        <v>118.734465939394</v>
      </c>
      <c r="H45" s="2">
        <f>[5]强化辅助表!Q89</f>
        <v>17.18</v>
      </c>
      <c r="I45" s="2">
        <f>[5]强化辅助表!R89</f>
        <v>859</v>
      </c>
      <c r="J45" s="2">
        <f>[5]强化辅助表!S89</f>
        <v>859</v>
      </c>
      <c r="K45" s="2">
        <f>[5]强化辅助表!T89</f>
        <v>399435</v>
      </c>
      <c r="L45" s="11">
        <f>[5]强化辅助表!U89</f>
        <v>84904.260000000009</v>
      </c>
      <c r="M45" s="2">
        <f>[5]升星辅助表!AU86</f>
        <v>39.32</v>
      </c>
      <c r="N45" s="2">
        <f>[5]升星辅助表!AV86</f>
        <v>1966</v>
      </c>
      <c r="O45" s="2">
        <f>[5]升星辅助表!AW86</f>
        <v>1966</v>
      </c>
      <c r="P45" s="2">
        <f>[5]升星辅助表!AX86</f>
        <v>108130</v>
      </c>
      <c r="Q45" s="11">
        <f>[5]升星辅助表!AU86</f>
        <v>39.32</v>
      </c>
    </row>
    <row r="46" spans="3:17">
      <c r="C46" s="10" t="str">
        <f>[5]装备属性计算表!A86</f>
        <v>3040</v>
      </c>
      <c r="D46" s="10">
        <f>[5]装备属性计算表!B86</f>
        <v>4</v>
      </c>
      <c r="E46" s="10" t="str">
        <f>[5]装备属性计算表!C86</f>
        <v>武器</v>
      </c>
      <c r="F46" s="10">
        <f>[5]装备属性计算表!D86</f>
        <v>30</v>
      </c>
      <c r="G46" s="10">
        <f ca="1">[5]装备属性计算表!BJ86</f>
        <v>239.28392224217919</v>
      </c>
      <c r="H46" s="2">
        <f>[5]强化辅助表!Q90</f>
        <v>33.42</v>
      </c>
      <c r="I46" s="2">
        <f>[5]强化辅助表!R90</f>
        <v>1671</v>
      </c>
      <c r="J46" s="2">
        <f>[5]强化辅助表!S90</f>
        <v>1671</v>
      </c>
      <c r="K46" s="2">
        <f>[5]强化辅助表!T90</f>
        <v>777015</v>
      </c>
      <c r="L46" s="11">
        <f>[5]强化辅助表!U90</f>
        <v>164801.74</v>
      </c>
      <c r="M46" s="2">
        <f>[5]升星辅助表!AU87</f>
        <v>106.4</v>
      </c>
      <c r="N46" s="2">
        <f>[5]升星辅助表!AV87</f>
        <v>5320</v>
      </c>
      <c r="O46" s="2">
        <f>[5]升星辅助表!AW87</f>
        <v>5320</v>
      </c>
      <c r="P46" s="2">
        <f>[5]升星辅助表!AX87</f>
        <v>292600</v>
      </c>
      <c r="Q46" s="11">
        <f>[5]升星辅助表!AU87</f>
        <v>106.4</v>
      </c>
    </row>
    <row r="47" spans="3:17">
      <c r="C47" s="10" t="str">
        <f>[5]装备属性计算表!A87</f>
        <v>3041</v>
      </c>
      <c r="D47" s="10">
        <f>[5]装备属性计算表!B87</f>
        <v>4</v>
      </c>
      <c r="E47" s="10" t="str">
        <f>[5]装备属性计算表!C87</f>
        <v>衣服</v>
      </c>
      <c r="F47" s="10">
        <f>[5]装备属性计算表!D87</f>
        <v>30</v>
      </c>
      <c r="G47" s="10">
        <f ca="1">[5]装备属性计算表!BJ87</f>
        <v>195.42971897648789</v>
      </c>
      <c r="H47" s="2">
        <f>[5]强化辅助表!Q91</f>
        <v>28.8</v>
      </c>
      <c r="I47" s="2">
        <f>[5]强化辅助表!R91</f>
        <v>1440</v>
      </c>
      <c r="J47" s="2">
        <f>[5]强化辅助表!S91</f>
        <v>1440</v>
      </c>
      <c r="K47" s="2">
        <f>[5]强化辅助表!T91</f>
        <v>669600</v>
      </c>
      <c r="L47" s="11">
        <f>[5]强化辅助表!U91</f>
        <v>142166.80000000002</v>
      </c>
      <c r="M47" s="2">
        <f>[5]升星辅助表!AU88</f>
        <v>74.760000000000005</v>
      </c>
      <c r="N47" s="2">
        <f>[5]升星辅助表!AV88</f>
        <v>3738</v>
      </c>
      <c r="O47" s="2">
        <f>[5]升星辅助表!AW88</f>
        <v>3738</v>
      </c>
      <c r="P47" s="2">
        <f>[5]升星辅助表!AX88</f>
        <v>205590</v>
      </c>
      <c r="Q47" s="11">
        <f>[5]升星辅助表!AU88</f>
        <v>74.760000000000005</v>
      </c>
    </row>
    <row r="48" spans="3:17">
      <c r="C48" s="10" t="str">
        <f>[5]装备属性计算表!A88</f>
        <v>3042</v>
      </c>
      <c r="D48" s="10">
        <f>[5]装备属性计算表!B88</f>
        <v>4</v>
      </c>
      <c r="E48" s="10" t="str">
        <f>[5]装备属性计算表!C88</f>
        <v>裤子</v>
      </c>
      <c r="F48" s="10">
        <f>[5]装备属性计算表!D88</f>
        <v>30</v>
      </c>
      <c r="G48" s="10">
        <f ca="1">[5]装备属性计算表!BJ88</f>
        <v>78.861650760258101</v>
      </c>
      <c r="H48" s="2">
        <f>[5]强化辅助表!Q92</f>
        <v>10.4</v>
      </c>
      <c r="I48" s="2">
        <f>[5]强化辅助表!R92</f>
        <v>520</v>
      </c>
      <c r="J48" s="2">
        <f>[5]强化辅助表!S92</f>
        <v>520</v>
      </c>
      <c r="K48" s="2">
        <f>[5]强化辅助表!T92</f>
        <v>241800</v>
      </c>
      <c r="L48" s="11">
        <f>[5]强化辅助表!U92</f>
        <v>50862.600000000006</v>
      </c>
      <c r="M48" s="2">
        <f>[5]升星辅助表!AU89</f>
        <v>38.36</v>
      </c>
      <c r="N48" s="2">
        <f>[5]升星辅助表!AV89</f>
        <v>1918</v>
      </c>
      <c r="O48" s="2">
        <f>[5]升星辅助表!AW89</f>
        <v>1918</v>
      </c>
      <c r="P48" s="2">
        <f>[5]升星辅助表!AX89</f>
        <v>105490</v>
      </c>
      <c r="Q48" s="11">
        <f>[5]升星辅助表!AU89</f>
        <v>38.36</v>
      </c>
    </row>
    <row r="49" spans="3:17">
      <c r="C49" s="10" t="str">
        <f>[5]装备属性计算表!A89</f>
        <v>3045</v>
      </c>
      <c r="D49" s="10">
        <f>[5]装备属性计算表!B89</f>
        <v>4</v>
      </c>
      <c r="E49" s="10" t="str">
        <f>[5]装备属性计算表!C89</f>
        <v>鞋子</v>
      </c>
      <c r="F49" s="10">
        <f>[5]装备属性计算表!D89</f>
        <v>30</v>
      </c>
      <c r="G49" s="10">
        <f ca="1">[5]装备属性计算表!BJ89</f>
        <v>98.816193934757592</v>
      </c>
      <c r="H49" s="2">
        <f>[5]强化辅助表!Q93</f>
        <v>13.420000000000002</v>
      </c>
      <c r="I49" s="2">
        <f>[5]强化辅助表!R93</f>
        <v>671</v>
      </c>
      <c r="J49" s="2">
        <f>[5]强化辅助表!S93</f>
        <v>671</v>
      </c>
      <c r="K49" s="2">
        <f>[5]强化辅助表!T93</f>
        <v>312015</v>
      </c>
      <c r="L49" s="11">
        <f>[5]强化辅助表!U93</f>
        <v>65986.740000000005</v>
      </c>
      <c r="M49" s="2">
        <f>[5]升星辅助表!AU90</f>
        <v>45.78</v>
      </c>
      <c r="N49" s="2">
        <f>[5]升星辅助表!AV90</f>
        <v>2289</v>
      </c>
      <c r="O49" s="2">
        <f>[5]升星辅助表!AW90</f>
        <v>2289</v>
      </c>
      <c r="P49" s="2">
        <f>[5]升星辅助表!AX90</f>
        <v>125895</v>
      </c>
      <c r="Q49" s="11">
        <f>[5]升星辅助表!AU90</f>
        <v>45.78</v>
      </c>
    </row>
    <row r="50" spans="3:17">
      <c r="C50" s="10" t="str">
        <f>[5]装备属性计算表!A90</f>
        <v>3044</v>
      </c>
      <c r="D50" s="10">
        <f>[5]装备属性计算表!B90</f>
        <v>4</v>
      </c>
      <c r="E50" s="10" t="str">
        <f>[5]装备属性计算表!C90</f>
        <v>腰带</v>
      </c>
      <c r="F50" s="10">
        <f>[5]装备属性计算表!D90</f>
        <v>30</v>
      </c>
      <c r="G50" s="10">
        <f ca="1">[5]装备属性计算表!BJ90</f>
        <v>104.54546029034094</v>
      </c>
      <c r="H50" s="2">
        <f>[5]强化辅助表!Q94</f>
        <v>9.6999999999999993</v>
      </c>
      <c r="I50" s="2">
        <f>[5]强化辅助表!R94</f>
        <v>485</v>
      </c>
      <c r="J50" s="2">
        <f>[5]强化辅助表!S94</f>
        <v>485</v>
      </c>
      <c r="K50" s="2">
        <f>[5]强化辅助表!T94</f>
        <v>225525</v>
      </c>
      <c r="L50" s="11">
        <f>[5]强化辅助表!U94</f>
        <v>47725.299999999996</v>
      </c>
      <c r="M50" s="2">
        <f>[5]升星辅助表!AU91</f>
        <v>75.62</v>
      </c>
      <c r="N50" s="2">
        <f>[5]升星辅助表!AV91</f>
        <v>3781</v>
      </c>
      <c r="O50" s="2">
        <f>[5]升星辅助表!AW91</f>
        <v>3781</v>
      </c>
      <c r="P50" s="2">
        <f>[5]升星辅助表!AX91</f>
        <v>207955</v>
      </c>
      <c r="Q50" s="11">
        <f>[5]升星辅助表!AU91</f>
        <v>75.62</v>
      </c>
    </row>
    <row r="51" spans="3:17">
      <c r="C51" s="10" t="str">
        <f>[5]装备属性计算表!A91</f>
        <v>3043</v>
      </c>
      <c r="D51" s="10">
        <f>[5]装备属性计算表!B91</f>
        <v>4</v>
      </c>
      <c r="E51" s="10" t="str">
        <f>[5]装备属性计算表!C91</f>
        <v>项链</v>
      </c>
      <c r="F51" s="10">
        <f>[5]装备属性计算表!D91</f>
        <v>30</v>
      </c>
      <c r="G51" s="10">
        <f ca="1">[5]装备属性计算表!BJ91</f>
        <v>135.94361454545458</v>
      </c>
      <c r="H51" s="2">
        <f>[5]强化辅助表!Q95</f>
        <v>20.54</v>
      </c>
      <c r="I51" s="2">
        <f>[5]强化辅助表!R95</f>
        <v>1027</v>
      </c>
      <c r="J51" s="2">
        <f>[5]强化辅助表!S95</f>
        <v>1027</v>
      </c>
      <c r="K51" s="2">
        <f>[5]强化辅助表!T95</f>
        <v>477555</v>
      </c>
      <c r="L51" s="11">
        <f>[5]强化辅助表!U95</f>
        <v>101705.18000000001</v>
      </c>
      <c r="M51" s="2">
        <f>[5]升星辅助表!AU92</f>
        <v>50.54</v>
      </c>
      <c r="N51" s="2">
        <f>[5]升星辅助表!AV92</f>
        <v>2527</v>
      </c>
      <c r="O51" s="2">
        <f>[5]升星辅助表!AW92</f>
        <v>2527</v>
      </c>
      <c r="P51" s="2">
        <f>[5]升星辅助表!AX92</f>
        <v>138985</v>
      </c>
      <c r="Q51" s="11">
        <f>[5]升星辅助表!AU92</f>
        <v>50.54</v>
      </c>
    </row>
    <row r="52" spans="3:17">
      <c r="C52" s="10" t="str">
        <f>[5]装备属性计算表!A92</f>
        <v>4510</v>
      </c>
      <c r="D52" s="10">
        <f>[5]装备属性计算表!B92</f>
        <v>1</v>
      </c>
      <c r="E52" s="10" t="str">
        <f>[5]装备属性计算表!C92</f>
        <v>武器</v>
      </c>
      <c r="F52" s="10">
        <f>[5]装备属性计算表!D92</f>
        <v>45</v>
      </c>
      <c r="G52" s="10">
        <f ca="1">[5]装备属性计算表!BJ92</f>
        <v>218.16979073978447</v>
      </c>
      <c r="H52" s="2">
        <f>[5]强化辅助表!Q96</f>
        <v>30.06</v>
      </c>
      <c r="I52" s="2">
        <f>[5]强化辅助表!R96</f>
        <v>1503</v>
      </c>
      <c r="J52" s="2">
        <f>[5]强化辅助表!S96</f>
        <v>1503</v>
      </c>
      <c r="K52" s="2">
        <f>[5]强化辅助表!T96</f>
        <v>1555605</v>
      </c>
      <c r="L52" s="11">
        <f>[5]强化辅助表!U96</f>
        <v>480629.55999999994</v>
      </c>
      <c r="M52" s="2">
        <f>[5]升星辅助表!AU93</f>
        <v>72</v>
      </c>
      <c r="N52" s="2">
        <f>[5]升星辅助表!AV93</f>
        <v>3600</v>
      </c>
      <c r="O52" s="2">
        <f>[5]升星辅助表!AW93</f>
        <v>3600</v>
      </c>
      <c r="P52" s="2">
        <f>[5]升星辅助表!AX93</f>
        <v>198000</v>
      </c>
      <c r="Q52" s="11">
        <f>[5]升星辅助表!AU93</f>
        <v>72</v>
      </c>
    </row>
    <row r="53" spans="3:17">
      <c r="C53" s="10" t="str">
        <f>[5]装备属性计算表!A93</f>
        <v>4511</v>
      </c>
      <c r="D53" s="10">
        <f>[5]装备属性计算表!B93</f>
        <v>1</v>
      </c>
      <c r="E53" s="10" t="str">
        <f>[5]装备属性计算表!C93</f>
        <v>衣服</v>
      </c>
      <c r="F53" s="10">
        <f>[5]装备属性计算表!D93</f>
        <v>45</v>
      </c>
      <c r="G53" s="10">
        <f ca="1">[5]装备属性计算表!BJ93</f>
        <v>188.21108728501315</v>
      </c>
      <c r="H53" s="2">
        <f>[5]强化辅助表!Q97</f>
        <v>25.92</v>
      </c>
      <c r="I53" s="2">
        <f>[5]强化辅助表!R97</f>
        <v>1296</v>
      </c>
      <c r="J53" s="2">
        <f>[5]强化辅助表!S97</f>
        <v>1296</v>
      </c>
      <c r="K53" s="2">
        <f>[5]强化辅助表!T97</f>
        <v>1341360</v>
      </c>
      <c r="L53" s="11">
        <f>[5]强化辅助表!U97</f>
        <v>419438.92000000004</v>
      </c>
      <c r="M53" s="2">
        <f>[5]升星辅助表!AU94</f>
        <v>31.36</v>
      </c>
      <c r="N53" s="2">
        <f>[5]升星辅助表!AV94</f>
        <v>1568</v>
      </c>
      <c r="O53" s="2">
        <f>[5]升星辅助表!AW94</f>
        <v>1568</v>
      </c>
      <c r="P53" s="2">
        <f>[5]升星辅助表!AX94</f>
        <v>86240</v>
      </c>
      <c r="Q53" s="11">
        <f>[5]升星辅助表!AU94</f>
        <v>31.36</v>
      </c>
    </row>
    <row r="54" spans="3:17">
      <c r="C54" s="10" t="str">
        <f>[5]装备属性计算表!A94</f>
        <v>4512</v>
      </c>
      <c r="D54" s="10">
        <f>[5]装备属性计算表!B94</f>
        <v>1</v>
      </c>
      <c r="E54" s="10" t="str">
        <f>[5]装备属性计算表!C94</f>
        <v>裤子</v>
      </c>
      <c r="F54" s="10">
        <f>[5]装备属性计算表!D94</f>
        <v>45</v>
      </c>
      <c r="G54" s="10">
        <f ca="1">[5]装备属性计算表!BJ94</f>
        <v>69.344836609966222</v>
      </c>
      <c r="H54" s="2">
        <f>[5]强化辅助表!Q98</f>
        <v>9.06</v>
      </c>
      <c r="I54" s="2">
        <f>[5]强化辅助表!R98</f>
        <v>453</v>
      </c>
      <c r="J54" s="2">
        <f>[5]强化辅助表!S98</f>
        <v>453</v>
      </c>
      <c r="K54" s="2">
        <f>[5]强化辅助表!T98</f>
        <v>468855</v>
      </c>
      <c r="L54" s="11">
        <f>[5]强化辅助表!U98</f>
        <v>147156.18000000002</v>
      </c>
      <c r="M54" s="2">
        <f>[5]升星辅助表!AU95</f>
        <v>15.68</v>
      </c>
      <c r="N54" s="2">
        <f>[5]升星辅助表!AV95</f>
        <v>784</v>
      </c>
      <c r="O54" s="2">
        <f>[5]升星辅助表!AW95</f>
        <v>784</v>
      </c>
      <c r="P54" s="2">
        <f>[5]升星辅助表!AX95</f>
        <v>43120</v>
      </c>
      <c r="Q54" s="11">
        <f>[5]升星辅助表!AU95</f>
        <v>15.68</v>
      </c>
    </row>
    <row r="55" spans="3:17">
      <c r="C55" s="10" t="str">
        <f>[5]装备属性计算表!A95</f>
        <v>4515</v>
      </c>
      <c r="D55" s="10">
        <f>[5]装备属性计算表!B95</f>
        <v>1</v>
      </c>
      <c r="E55" s="10" t="str">
        <f>[5]装备属性计算表!C95</f>
        <v>鞋子</v>
      </c>
      <c r="F55" s="10">
        <f>[5]装备属性计算表!D95</f>
        <v>45</v>
      </c>
      <c r="G55" s="10">
        <f ca="1">[5]装备属性计算表!BJ95</f>
        <v>88.341086212634181</v>
      </c>
      <c r="H55" s="2">
        <f>[5]强化辅助表!Q99</f>
        <v>12.100000000000001</v>
      </c>
      <c r="I55" s="2">
        <f>[5]强化辅助表!R99</f>
        <v>605</v>
      </c>
      <c r="J55" s="2">
        <f>[5]强化辅助表!S99</f>
        <v>605</v>
      </c>
      <c r="K55" s="2">
        <f>[5]强化辅助表!T99</f>
        <v>626175</v>
      </c>
      <c r="L55" s="11">
        <f>[5]强化辅助表!U99</f>
        <v>193778.30000000002</v>
      </c>
      <c r="M55" s="2">
        <f>[5]升星辅助表!AU96</f>
        <v>15.68</v>
      </c>
      <c r="N55" s="2">
        <f>[5]升星辅助表!AV96</f>
        <v>784</v>
      </c>
      <c r="O55" s="2">
        <f>[5]升星辅助表!AW96</f>
        <v>784</v>
      </c>
      <c r="P55" s="2">
        <f>[5]升星辅助表!AX96</f>
        <v>43120</v>
      </c>
      <c r="Q55" s="11">
        <f>[5]升星辅助表!AU96</f>
        <v>15.68</v>
      </c>
    </row>
    <row r="56" spans="3:17">
      <c r="C56" s="10" t="str">
        <f>[5]装备属性计算表!A96</f>
        <v>4514</v>
      </c>
      <c r="D56" s="10">
        <f>[5]装备属性计算表!B96</f>
        <v>1</v>
      </c>
      <c r="E56" s="10" t="str">
        <f>[5]装备属性计算表!C96</f>
        <v>腰带</v>
      </c>
      <c r="F56" s="10">
        <f>[5]装备属性计算表!D96</f>
        <v>45</v>
      </c>
      <c r="G56" s="10">
        <f ca="1">[5]装备属性计算表!BJ96</f>
        <v>71.067671142640435</v>
      </c>
      <c r="H56" s="2">
        <f>[5]强化辅助表!Q100</f>
        <v>8.6999999999999993</v>
      </c>
      <c r="I56" s="2">
        <f>[5]强化辅助表!R100</f>
        <v>435</v>
      </c>
      <c r="J56" s="2">
        <f>[5]强化辅助表!S100</f>
        <v>435</v>
      </c>
      <c r="K56" s="2">
        <f>[5]强化辅助表!T100</f>
        <v>450225</v>
      </c>
      <c r="L56" s="11">
        <f>[5]强化辅助表!U100</f>
        <v>139583.96000000002</v>
      </c>
      <c r="M56" s="2">
        <f>[5]升星辅助表!AU97</f>
        <v>31.36</v>
      </c>
      <c r="N56" s="2">
        <f>[5]升星辅助表!AV97</f>
        <v>1568</v>
      </c>
      <c r="O56" s="2">
        <f>[5]升星辅助表!AW97</f>
        <v>1568</v>
      </c>
      <c r="P56" s="2">
        <f>[5]升星辅助表!AX97</f>
        <v>86240</v>
      </c>
      <c r="Q56" s="11">
        <f>[5]升星辅助表!AU97</f>
        <v>31.36</v>
      </c>
    </row>
    <row r="57" spans="3:17">
      <c r="C57" s="10" t="str">
        <f>[5]装备属性计算表!A97</f>
        <v>4513</v>
      </c>
      <c r="D57" s="10">
        <f>[5]装备属性计算表!B97</f>
        <v>1</v>
      </c>
      <c r="E57" s="10" t="str">
        <f>[5]装备属性计算表!C97</f>
        <v>项链</v>
      </c>
      <c r="F57" s="10">
        <f>[5]装备属性计算表!D97</f>
        <v>45</v>
      </c>
      <c r="G57" s="10">
        <f ca="1">[5]装备属性计算表!BJ97</f>
        <v>132.458032684492</v>
      </c>
      <c r="H57" s="2">
        <f>[5]强化辅助表!Q101</f>
        <v>18.520000000000003</v>
      </c>
      <c r="I57" s="2">
        <f>[5]强化辅助表!R101</f>
        <v>926</v>
      </c>
      <c r="J57" s="2">
        <f>[5]强化辅助表!S101</f>
        <v>926</v>
      </c>
      <c r="K57" s="2">
        <f>[5]强化辅助表!T101</f>
        <v>958410</v>
      </c>
      <c r="L57" s="11">
        <f>[5]强化辅助表!U101</f>
        <v>296608.68000000005</v>
      </c>
      <c r="M57" s="2">
        <f>[5]升星辅助表!AU98</f>
        <v>24</v>
      </c>
      <c r="N57" s="2">
        <f>[5]升星辅助表!AV98</f>
        <v>1200</v>
      </c>
      <c r="O57" s="2">
        <f>[5]升星辅助表!AW98</f>
        <v>1200</v>
      </c>
      <c r="P57" s="2">
        <f>[5]升星辅助表!AX98</f>
        <v>66000</v>
      </c>
      <c r="Q57" s="11">
        <f>[5]升星辅助表!AU98</f>
        <v>24</v>
      </c>
    </row>
    <row r="58" spans="3:17">
      <c r="C58" s="10" t="str">
        <f>[5]装备属性计算表!A98</f>
        <v>4520</v>
      </c>
      <c r="D58" s="10">
        <f>[5]装备属性计算表!B98</f>
        <v>2</v>
      </c>
      <c r="E58" s="10" t="str">
        <f>[5]装备属性计算表!C98</f>
        <v>武器</v>
      </c>
      <c r="F58" s="10">
        <f>[5]装备属性计算表!D98</f>
        <v>45</v>
      </c>
      <c r="G58" s="10">
        <f ca="1">[5]装备属性计算表!BJ98</f>
        <v>313.77912775807016</v>
      </c>
      <c r="H58" s="2">
        <f>[5]强化辅助表!Q102</f>
        <v>43.32</v>
      </c>
      <c r="I58" s="2">
        <f>[5]强化辅助表!R102</f>
        <v>2166</v>
      </c>
      <c r="J58" s="2">
        <f>[5]强化辅助表!S102</f>
        <v>2166</v>
      </c>
      <c r="K58" s="2">
        <f>[5]强化辅助表!T102</f>
        <v>2241810</v>
      </c>
      <c r="L58" s="11">
        <f>[5]强化辅助表!U102</f>
        <v>693222.88</v>
      </c>
      <c r="M58" s="2">
        <f>[5]升星辅助表!AU99</f>
        <v>116</v>
      </c>
      <c r="N58" s="2">
        <f>[5]升星辅助表!AV99</f>
        <v>5800</v>
      </c>
      <c r="O58" s="2">
        <f>[5]升星辅助表!AW99</f>
        <v>5800</v>
      </c>
      <c r="P58" s="2">
        <f>[5]升星辅助表!AX99</f>
        <v>319000</v>
      </c>
      <c r="Q58" s="11">
        <f>[5]升星辅助表!AU99</f>
        <v>116</v>
      </c>
    </row>
    <row r="59" spans="3:17">
      <c r="C59" s="10" t="str">
        <f>[5]装备属性计算表!A99</f>
        <v>4521</v>
      </c>
      <c r="D59" s="10">
        <f>[5]装备属性计算表!B99</f>
        <v>2</v>
      </c>
      <c r="E59" s="10" t="str">
        <f>[5]装备属性计算表!C99</f>
        <v>衣服</v>
      </c>
      <c r="F59" s="10">
        <f>[5]装备属性计算表!D99</f>
        <v>45</v>
      </c>
      <c r="G59" s="10">
        <f ca="1">[5]装备属性计算表!BJ99</f>
        <v>265.92651783093521</v>
      </c>
      <c r="H59" s="2">
        <f>[5]强化辅助表!Q103</f>
        <v>37.44</v>
      </c>
      <c r="I59" s="2">
        <f>[5]强化辅助表!R103</f>
        <v>1872</v>
      </c>
      <c r="J59" s="2">
        <f>[5]强化辅助表!S103</f>
        <v>1872</v>
      </c>
      <c r="K59" s="2">
        <f>[5]强化辅助表!T103</f>
        <v>1937520</v>
      </c>
      <c r="L59" s="11">
        <f>[5]强化辅助表!U103</f>
        <v>602850.19999999995</v>
      </c>
      <c r="M59" s="2">
        <f>[5]升星辅助表!AU100</f>
        <v>82.28</v>
      </c>
      <c r="N59" s="2">
        <f>[5]升星辅助表!AV100</f>
        <v>4114</v>
      </c>
      <c r="O59" s="2">
        <f>[5]升星辅助表!AW100</f>
        <v>4114</v>
      </c>
      <c r="P59" s="2">
        <f>[5]升星辅助表!AX100</f>
        <v>226270</v>
      </c>
      <c r="Q59" s="11">
        <f>[5]升星辅助表!AU100</f>
        <v>82.28</v>
      </c>
    </row>
    <row r="60" spans="3:17">
      <c r="C60" s="10" t="str">
        <f>[5]装备属性计算表!A100</f>
        <v>4522</v>
      </c>
      <c r="D60" s="10">
        <f>[5]装备属性计算表!B100</f>
        <v>2</v>
      </c>
      <c r="E60" s="10" t="str">
        <f>[5]装备属性计算表!C100</f>
        <v>裤子</v>
      </c>
      <c r="F60" s="10">
        <f>[5]装备属性计算表!D100</f>
        <v>45</v>
      </c>
      <c r="G60" s="10">
        <f ca="1">[5]装备属性计算表!BJ100</f>
        <v>100.94989132422748</v>
      </c>
      <c r="H60" s="2">
        <f>[5]强化辅助表!Q104</f>
        <v>13.760000000000002</v>
      </c>
      <c r="I60" s="2">
        <f>[5]强化辅助表!R104</f>
        <v>688</v>
      </c>
      <c r="J60" s="2">
        <f>[5]强化辅助表!S104</f>
        <v>688</v>
      </c>
      <c r="K60" s="2">
        <f>[5]强化辅助表!T104</f>
        <v>712080</v>
      </c>
      <c r="L60" s="11">
        <f>[5]强化辅助表!U104</f>
        <v>218245.54000000007</v>
      </c>
      <c r="M60" s="2">
        <f>[5]升星辅助表!AU101</f>
        <v>34.64</v>
      </c>
      <c r="N60" s="2">
        <f>[5]升星辅助表!AV101</f>
        <v>1732</v>
      </c>
      <c r="O60" s="2">
        <f>[5]升星辅助表!AW101</f>
        <v>1732</v>
      </c>
      <c r="P60" s="2">
        <f>[5]升星辅助表!AX101</f>
        <v>95260</v>
      </c>
      <c r="Q60" s="11">
        <f>[5]升星辅助表!AU101</f>
        <v>34.64</v>
      </c>
    </row>
    <row r="61" spans="3:17">
      <c r="C61" s="10" t="str">
        <f>[5]装备属性计算表!A101</f>
        <v>4525</v>
      </c>
      <c r="D61" s="10">
        <f>[5]装备属性计算表!B101</f>
        <v>2</v>
      </c>
      <c r="E61" s="10" t="str">
        <f>[5]装备属性计算表!C101</f>
        <v>鞋子</v>
      </c>
      <c r="F61" s="10">
        <f>[5]装备属性计算表!D101</f>
        <v>45</v>
      </c>
      <c r="G61" s="10">
        <f ca="1">[5]装备属性计算表!BJ101</f>
        <v>127.88954483574639</v>
      </c>
      <c r="H61" s="2">
        <f>[5]强化辅助表!Q105</f>
        <v>17.340000000000003</v>
      </c>
      <c r="I61" s="2">
        <f>[5]强化辅助表!R105</f>
        <v>867</v>
      </c>
      <c r="J61" s="2">
        <f>[5]强化辅助表!S105</f>
        <v>867</v>
      </c>
      <c r="K61" s="2">
        <f>[5]强化辅助表!T105</f>
        <v>897345</v>
      </c>
      <c r="L61" s="11">
        <f>[5]强化辅助表!U105</f>
        <v>279053.80000000005</v>
      </c>
      <c r="M61" s="2">
        <f>[5]升星辅助表!AU102</f>
        <v>41</v>
      </c>
      <c r="N61" s="2">
        <f>[5]升星辅助表!AV102</f>
        <v>2050</v>
      </c>
      <c r="O61" s="2">
        <f>[5]升星辅助表!AW102</f>
        <v>2050</v>
      </c>
      <c r="P61" s="2">
        <f>[5]升星辅助表!AX102</f>
        <v>112750</v>
      </c>
      <c r="Q61" s="11">
        <f>[5]升星辅助表!AU102</f>
        <v>41</v>
      </c>
    </row>
    <row r="62" spans="3:17">
      <c r="C62" s="10" t="str">
        <f>[5]装备属性计算表!A102</f>
        <v>4524</v>
      </c>
      <c r="D62" s="10">
        <f>[5]装备属性计算表!B102</f>
        <v>2</v>
      </c>
      <c r="E62" s="10" t="str">
        <f>[5]装备属性计算表!C102</f>
        <v>腰带</v>
      </c>
      <c r="F62" s="10">
        <f>[5]装备属性计算表!D102</f>
        <v>45</v>
      </c>
      <c r="G62" s="10">
        <f ca="1">[5]装备属性计算表!BJ102</f>
        <v>113.73856796687556</v>
      </c>
      <c r="H62" s="2">
        <f>[5]强化辅助表!Q106</f>
        <v>12.48</v>
      </c>
      <c r="I62" s="2">
        <f>[5]强化辅助表!R106</f>
        <v>624</v>
      </c>
      <c r="J62" s="2">
        <f>[5]强化辅助表!S106</f>
        <v>624</v>
      </c>
      <c r="K62" s="2">
        <f>[5]强化辅助表!T106</f>
        <v>645840</v>
      </c>
      <c r="L62" s="11">
        <f>[5]强化辅助表!U106</f>
        <v>200245.31999999998</v>
      </c>
      <c r="M62" s="2">
        <f>[5]升星辅助表!AU103</f>
        <v>80.28</v>
      </c>
      <c r="N62" s="2">
        <f>[5]升星辅助表!AV103</f>
        <v>4014</v>
      </c>
      <c r="O62" s="2">
        <f>[5]升星辅助表!AW103</f>
        <v>4014</v>
      </c>
      <c r="P62" s="2">
        <f>[5]升星辅助表!AX103</f>
        <v>220770</v>
      </c>
      <c r="Q62" s="11">
        <f>[5]升星辅助表!AU103</f>
        <v>80.28</v>
      </c>
    </row>
    <row r="63" spans="3:17">
      <c r="C63" s="10" t="str">
        <f>[5]装备属性计算表!A103</f>
        <v>4523</v>
      </c>
      <c r="D63" s="10">
        <f>[5]装备属性计算表!B103</f>
        <v>2</v>
      </c>
      <c r="E63" s="10" t="str">
        <f>[5]装备属性计算表!C103</f>
        <v>项链</v>
      </c>
      <c r="F63" s="10">
        <f>[5]装备属性计算表!D103</f>
        <v>45</v>
      </c>
      <c r="G63" s="10">
        <f ca="1">[5]装备属性计算表!BJ103</f>
        <v>186.46107925846707</v>
      </c>
      <c r="H63" s="2">
        <f>[5]强化辅助表!Q107</f>
        <v>26.94</v>
      </c>
      <c r="I63" s="2">
        <f>[5]强化辅助表!R107</f>
        <v>1347</v>
      </c>
      <c r="J63" s="2">
        <f>[5]强化辅助表!S107</f>
        <v>1347</v>
      </c>
      <c r="K63" s="2">
        <f>[5]强化辅助表!T107</f>
        <v>1394145</v>
      </c>
      <c r="L63" s="11">
        <f>[5]强化辅助表!U107</f>
        <v>429181.12000000005</v>
      </c>
      <c r="M63" s="2">
        <f>[5]升星辅助表!AU104</f>
        <v>44.18</v>
      </c>
      <c r="N63" s="2">
        <f>[5]升星辅助表!AV104</f>
        <v>2209</v>
      </c>
      <c r="O63" s="2">
        <f>[5]升星辅助表!AW104</f>
        <v>2209</v>
      </c>
      <c r="P63" s="2">
        <f>[5]升星辅助表!AX104</f>
        <v>121495</v>
      </c>
      <c r="Q63" s="11">
        <f>[5]升星辅助表!AU104</f>
        <v>44.18</v>
      </c>
    </row>
    <row r="64" spans="3:17">
      <c r="C64" s="10" t="str">
        <f>[5]装备属性计算表!A104</f>
        <v>4530</v>
      </c>
      <c r="D64" s="10">
        <f>[5]装备属性计算表!B104</f>
        <v>3</v>
      </c>
      <c r="E64" s="10" t="str">
        <f>[5]装备属性计算表!C104</f>
        <v>武器</v>
      </c>
      <c r="F64" s="10">
        <f>[5]装备属性计算表!D104</f>
        <v>45</v>
      </c>
      <c r="G64" s="10">
        <f ca="1">[5]装备属性计算表!BJ104</f>
        <v>408.55460974766743</v>
      </c>
      <c r="H64" s="2">
        <f>[5]强化辅助表!Q108</f>
        <v>56.58</v>
      </c>
      <c r="I64" s="2">
        <f>[5]强化辅助表!R108</f>
        <v>2829</v>
      </c>
      <c r="J64" s="2">
        <f>[5]强化辅助表!S108</f>
        <v>2829</v>
      </c>
      <c r="K64" s="2">
        <f>[5]强化辅助表!T108</f>
        <v>2928015</v>
      </c>
      <c r="L64" s="11">
        <f>[5]强化辅助表!U108</f>
        <v>906008.79999999993</v>
      </c>
      <c r="M64" s="2">
        <f>[5]升星辅助表!AU105</f>
        <v>171.06</v>
      </c>
      <c r="N64" s="2">
        <f>[5]升星辅助表!AV105</f>
        <v>8553</v>
      </c>
      <c r="O64" s="2">
        <f>[5]升星辅助表!AW105</f>
        <v>8553</v>
      </c>
      <c r="P64" s="2">
        <f>[5]升星辅助表!AX105</f>
        <v>470415</v>
      </c>
      <c r="Q64" s="11">
        <f>[5]升星辅助表!AU105</f>
        <v>171.06</v>
      </c>
    </row>
    <row r="65" spans="3:17">
      <c r="C65" s="10" t="str">
        <f>[5]装备属性计算表!A105</f>
        <v>4531</v>
      </c>
      <c r="D65" s="10">
        <f>[5]装备属性计算表!B105</f>
        <v>3</v>
      </c>
      <c r="E65" s="10" t="str">
        <f>[5]装备属性计算表!C105</f>
        <v>衣服</v>
      </c>
      <c r="F65" s="10">
        <f>[5]装备属性计算表!D105</f>
        <v>45</v>
      </c>
      <c r="G65" s="10">
        <f ca="1">[5]装备属性计算表!BJ105</f>
        <v>339.99029201947229</v>
      </c>
      <c r="H65" s="2">
        <f>[5]强化辅助表!Q109</f>
        <v>50</v>
      </c>
      <c r="I65" s="2">
        <f>[5]强化辅助表!R109</f>
        <v>2500</v>
      </c>
      <c r="J65" s="2">
        <f>[5]强化辅助表!S109</f>
        <v>2500</v>
      </c>
      <c r="K65" s="2">
        <f>[5]强化辅助表!T109</f>
        <v>2587500</v>
      </c>
      <c r="L65" s="11">
        <f>[5]强化辅助表!U109</f>
        <v>801442.2</v>
      </c>
      <c r="M65" s="2">
        <f>[5]升星辅助表!AU106</f>
        <v>120.14000000000001</v>
      </c>
      <c r="N65" s="2">
        <f>[5]升星辅助表!AV106</f>
        <v>6007</v>
      </c>
      <c r="O65" s="2">
        <f>[5]升星辅助表!AW106</f>
        <v>6007</v>
      </c>
      <c r="P65" s="2">
        <f>[5]升星辅助表!AX106</f>
        <v>330385</v>
      </c>
      <c r="Q65" s="11">
        <f>[5]升星辅助表!AU106</f>
        <v>120.14000000000001</v>
      </c>
    </row>
    <row r="66" spans="3:17">
      <c r="C66" s="10" t="str">
        <f>[5]装备属性计算表!A106</f>
        <v>4532</v>
      </c>
      <c r="D66" s="10">
        <f>[5]装备属性计算表!B106</f>
        <v>3</v>
      </c>
      <c r="E66" s="10" t="str">
        <f>[5]装备属性计算表!C106</f>
        <v>裤子</v>
      </c>
      <c r="F66" s="10">
        <f>[5]装备属性计算表!D106</f>
        <v>45</v>
      </c>
      <c r="G66" s="10">
        <f ca="1">[5]装备属性计算表!BJ106</f>
        <v>133.03810131975271</v>
      </c>
      <c r="H66" s="2">
        <f>[5]强化辅助表!Q110</f>
        <v>18.12</v>
      </c>
      <c r="I66" s="2">
        <f>[5]强化辅助表!R110</f>
        <v>906</v>
      </c>
      <c r="J66" s="2">
        <f>[5]强化辅助表!S110</f>
        <v>906</v>
      </c>
      <c r="K66" s="2">
        <f>[5]强化辅助表!T110</f>
        <v>937710</v>
      </c>
      <c r="L66" s="11">
        <f>[5]强化辅助表!U110</f>
        <v>290512.58</v>
      </c>
      <c r="M66" s="2">
        <f>[5]升星辅助表!AU107</f>
        <v>57.5</v>
      </c>
      <c r="N66" s="2">
        <f>[5]升星辅助表!AV107</f>
        <v>2875</v>
      </c>
      <c r="O66" s="2">
        <f>[5]升星辅助表!AW107</f>
        <v>2875</v>
      </c>
      <c r="P66" s="2">
        <f>[5]升星辅助表!AX107</f>
        <v>158125</v>
      </c>
      <c r="Q66" s="11">
        <f>[5]升星辅助表!AU107</f>
        <v>57.5</v>
      </c>
    </row>
    <row r="67" spans="3:17">
      <c r="C67" s="10" t="str">
        <f>[5]装备属性计算表!A107</f>
        <v>4535</v>
      </c>
      <c r="D67" s="10">
        <f>[5]装备属性计算表!B107</f>
        <v>3</v>
      </c>
      <c r="E67" s="10" t="str">
        <f>[5]装备属性计算表!C107</f>
        <v>鞋子</v>
      </c>
      <c r="F67" s="10">
        <f>[5]装备属性计算表!D107</f>
        <v>45</v>
      </c>
      <c r="G67" s="10">
        <f ca="1">[5]装备属性计算表!BJ107</f>
        <v>167.61385185253201</v>
      </c>
      <c r="H67" s="2">
        <f>[5]强化辅助表!Q111</f>
        <v>22.58</v>
      </c>
      <c r="I67" s="2">
        <f>[5]强化辅助表!R111</f>
        <v>1129</v>
      </c>
      <c r="J67" s="2">
        <f>[5]强化辅助表!S111</f>
        <v>1129</v>
      </c>
      <c r="K67" s="2">
        <f>[5]强化辅助表!T111</f>
        <v>1168515</v>
      </c>
      <c r="L67" s="11">
        <f>[5]强化辅助表!U111</f>
        <v>362890.72</v>
      </c>
      <c r="M67" s="2">
        <f>[5]升星辅助表!AU108</f>
        <v>73.800000000000011</v>
      </c>
      <c r="N67" s="2">
        <f>[5]升星辅助表!AV108</f>
        <v>3690</v>
      </c>
      <c r="O67" s="2">
        <f>[5]升星辅助表!AW108</f>
        <v>3690</v>
      </c>
      <c r="P67" s="2">
        <f>[5]升星辅助表!AX108</f>
        <v>202950</v>
      </c>
      <c r="Q67" s="11">
        <f>[5]升星辅助表!AU108</f>
        <v>73.800000000000011</v>
      </c>
    </row>
    <row r="68" spans="3:17">
      <c r="C68" s="10" t="str">
        <f>[5]装备属性计算表!A108</f>
        <v>4534</v>
      </c>
      <c r="D68" s="10">
        <f>[5]装备属性计算表!B108</f>
        <v>3</v>
      </c>
      <c r="E68" s="10" t="str">
        <f>[5]装备属性计算表!C108</f>
        <v>腰带</v>
      </c>
      <c r="F68" s="10">
        <f>[5]装备属性计算表!D108</f>
        <v>45</v>
      </c>
      <c r="G68" s="10">
        <f ca="1">[5]装备属性计算表!BJ108</f>
        <v>163.23116645590079</v>
      </c>
      <c r="H68" s="2">
        <f>[5]强化辅助表!Q112</f>
        <v>16.259999999999998</v>
      </c>
      <c r="I68" s="2">
        <f>[5]强化辅助表!R112</f>
        <v>813</v>
      </c>
      <c r="J68" s="2">
        <f>[5]强化辅助表!S112</f>
        <v>813</v>
      </c>
      <c r="K68" s="2">
        <f>[5]强化辅助表!T112</f>
        <v>841455</v>
      </c>
      <c r="L68" s="11">
        <f>[5]强化辅助表!U112</f>
        <v>261142.08</v>
      </c>
      <c r="M68" s="2">
        <f>[5]升星辅助表!AU109</f>
        <v>120.24000000000001</v>
      </c>
      <c r="N68" s="2">
        <f>[5]升星辅助表!AV109</f>
        <v>6012</v>
      </c>
      <c r="O68" s="2">
        <f>[5]升星辅助表!AW109</f>
        <v>6012</v>
      </c>
      <c r="P68" s="2">
        <f>[5]升星辅助表!AX109</f>
        <v>330660</v>
      </c>
      <c r="Q68" s="11">
        <f>[5]升星辅助表!AU109</f>
        <v>120.24000000000001</v>
      </c>
    </row>
    <row r="69" spans="3:17">
      <c r="C69" s="10" t="str">
        <f>[5]装备属性计算表!A109</f>
        <v>4533</v>
      </c>
      <c r="D69" s="10">
        <f>[5]装备属性计算表!B109</f>
        <v>3</v>
      </c>
      <c r="E69" s="10" t="str">
        <f>[5]装备属性计算表!C109</f>
        <v>项链</v>
      </c>
      <c r="F69" s="10">
        <f>[5]装备属性计算表!D109</f>
        <v>45</v>
      </c>
      <c r="G69" s="10">
        <f ca="1">[5]装备属性计算表!BJ109</f>
        <v>237.468931878788</v>
      </c>
      <c r="H69" s="2">
        <f>[5]强化辅助表!Q113</f>
        <v>35.019999999999996</v>
      </c>
      <c r="I69" s="2">
        <f>[5]强化辅助表!R113</f>
        <v>1751</v>
      </c>
      <c r="J69" s="2">
        <f>[5]强化辅助表!S113</f>
        <v>1751</v>
      </c>
      <c r="K69" s="2">
        <f>[5]强化辅助表!T113</f>
        <v>1812285</v>
      </c>
      <c r="L69" s="11">
        <f>[5]强化辅助表!U113</f>
        <v>560055.62</v>
      </c>
      <c r="M69" s="2">
        <f>[5]升星辅助表!AU110</f>
        <v>76.960000000000008</v>
      </c>
      <c r="N69" s="2">
        <f>[5]升星辅助表!AV110</f>
        <v>3848</v>
      </c>
      <c r="O69" s="2">
        <f>[5]升星辅助表!AW110</f>
        <v>3848</v>
      </c>
      <c r="P69" s="2">
        <f>[5]升星辅助表!AX110</f>
        <v>211640</v>
      </c>
      <c r="Q69" s="11">
        <f>[5]升星辅助表!AU110</f>
        <v>76.960000000000008</v>
      </c>
    </row>
    <row r="70" spans="3:17">
      <c r="C70" s="10" t="str">
        <f>[5]装备属性计算表!A110</f>
        <v>4540</v>
      </c>
      <c r="D70" s="10">
        <f>[5]装备属性计算表!B110</f>
        <v>4</v>
      </c>
      <c r="E70" s="10" t="str">
        <f>[5]装备属性计算表!C110</f>
        <v>武器</v>
      </c>
      <c r="F70" s="10">
        <f>[5]装备属性计算表!D110</f>
        <v>45</v>
      </c>
      <c r="G70" s="10">
        <f ca="1">[5]装备属性计算表!BJ110</f>
        <v>478.56784448435837</v>
      </c>
      <c r="H70" s="2">
        <f>[5]强化辅助表!Q114</f>
        <v>66.66</v>
      </c>
      <c r="I70" s="2">
        <f>[5]强化辅助表!R114</f>
        <v>3333</v>
      </c>
      <c r="J70" s="2">
        <f>[5]强化辅助表!S114</f>
        <v>3333</v>
      </c>
      <c r="K70" s="2">
        <f>[5]强化辅助表!T114</f>
        <v>3449655</v>
      </c>
      <c r="L70" s="11">
        <f>[5]强化辅助表!U114</f>
        <v>1069244.6200000001</v>
      </c>
      <c r="M70" s="2">
        <f>[5]升星辅助表!AU111</f>
        <v>210.28</v>
      </c>
      <c r="N70" s="2">
        <f>[5]升星辅助表!AV111</f>
        <v>10514</v>
      </c>
      <c r="O70" s="2">
        <f>[5]升星辅助表!AW111</f>
        <v>10514</v>
      </c>
      <c r="P70" s="2">
        <f>[5]升星辅助表!AX111</f>
        <v>578270</v>
      </c>
      <c r="Q70" s="11">
        <f>[5]升星辅助表!AU111</f>
        <v>210.28</v>
      </c>
    </row>
    <row r="71" spans="3:17">
      <c r="C71" s="10" t="str">
        <f>[5]装备属性计算表!A111</f>
        <v>4541</v>
      </c>
      <c r="D71" s="10">
        <f>[5]装备属性计算表!B111</f>
        <v>4</v>
      </c>
      <c r="E71" s="10" t="str">
        <f>[5]装备属性计算表!C111</f>
        <v>衣服</v>
      </c>
      <c r="F71" s="10">
        <f>[5]装备属性计算表!D111</f>
        <v>45</v>
      </c>
      <c r="G71" s="10">
        <f ca="1">[5]装备属性计算表!BJ111</f>
        <v>390.85943795297578</v>
      </c>
      <c r="H71" s="2">
        <f>[5]强化辅助表!Q115</f>
        <v>58.64</v>
      </c>
      <c r="I71" s="2">
        <f>[5]强化辅助表!R115</f>
        <v>2932</v>
      </c>
      <c r="J71" s="2">
        <f>[5]强化辅助表!S115</f>
        <v>2932</v>
      </c>
      <c r="K71" s="2">
        <f>[5]强化辅助表!T115</f>
        <v>3034620</v>
      </c>
      <c r="L71" s="11">
        <f>[5]强化辅助表!U115</f>
        <v>937794.32000000007</v>
      </c>
      <c r="M71" s="2">
        <f>[5]升星辅助表!AU112</f>
        <v>148.34</v>
      </c>
      <c r="N71" s="2">
        <f>[5]升星辅助表!AV112</f>
        <v>7417</v>
      </c>
      <c r="O71" s="2">
        <f>[5]升星辅助表!AW112</f>
        <v>7417</v>
      </c>
      <c r="P71" s="2">
        <f>[5]升星辅助表!AX112</f>
        <v>407935</v>
      </c>
      <c r="Q71" s="11">
        <f>[5]升星辅助表!AU112</f>
        <v>148.34</v>
      </c>
    </row>
    <row r="72" spans="3:17">
      <c r="C72" s="10" t="str">
        <f>[5]装备属性计算表!A112</f>
        <v>4542</v>
      </c>
      <c r="D72" s="10">
        <f>[5]装备属性计算表!B112</f>
        <v>4</v>
      </c>
      <c r="E72" s="10" t="str">
        <f>[5]装备属性计算表!C112</f>
        <v>裤子</v>
      </c>
      <c r="F72" s="10">
        <f>[5]装备属性计算表!D112</f>
        <v>45</v>
      </c>
      <c r="G72" s="10">
        <f ca="1">[5]装备属性计算表!BJ112</f>
        <v>157.7233015205162</v>
      </c>
      <c r="H72" s="2">
        <f>[5]强化辅助表!Q116</f>
        <v>21.14</v>
      </c>
      <c r="I72" s="2">
        <f>[5]强化辅助表!R116</f>
        <v>1057</v>
      </c>
      <c r="J72" s="2">
        <f>[5]强化辅助表!S116</f>
        <v>1057</v>
      </c>
      <c r="K72" s="2">
        <f>[5]强化辅助表!T116</f>
        <v>1093995</v>
      </c>
      <c r="L72" s="11">
        <f>[5]强化辅助表!U116</f>
        <v>337690.12</v>
      </c>
      <c r="M72" s="2">
        <f>[5]升星辅助表!AU113</f>
        <v>75.5</v>
      </c>
      <c r="N72" s="2">
        <f>[5]升星辅助表!AV113</f>
        <v>3775</v>
      </c>
      <c r="O72" s="2">
        <f>[5]升星辅助表!AW113</f>
        <v>3775</v>
      </c>
      <c r="P72" s="2">
        <f>[5]升星辅助表!AX113</f>
        <v>207625</v>
      </c>
      <c r="Q72" s="11">
        <f>[5]升星辅助表!AU113</f>
        <v>75.5</v>
      </c>
    </row>
    <row r="73" spans="3:17">
      <c r="C73" s="10" t="str">
        <f>[5]装备属性计算表!A113</f>
        <v>4545</v>
      </c>
      <c r="D73" s="10">
        <f>[5]装备属性计算表!B113</f>
        <v>4</v>
      </c>
      <c r="E73" s="10" t="str">
        <f>[5]装备属性计算表!C113</f>
        <v>鞋子</v>
      </c>
      <c r="F73" s="10">
        <f>[5]装备属性计算表!D113</f>
        <v>45</v>
      </c>
      <c r="G73" s="10">
        <f ca="1">[5]装备属性计算表!BJ113</f>
        <v>197.63238786951518</v>
      </c>
      <c r="H73" s="2">
        <f>[5]强化辅助表!Q117</f>
        <v>26.840000000000003</v>
      </c>
      <c r="I73" s="2">
        <f>[5]强化辅助表!R117</f>
        <v>1342</v>
      </c>
      <c r="J73" s="2">
        <f>[5]强化辅助表!S117</f>
        <v>1342</v>
      </c>
      <c r="K73" s="2">
        <f>[5]强化辅助表!T117</f>
        <v>1388970</v>
      </c>
      <c r="L73" s="11">
        <f>[5]强化辅助表!U117</f>
        <v>430151.86000000004</v>
      </c>
      <c r="M73" s="2">
        <f>[5]升星辅助表!AU114</f>
        <v>91.02000000000001</v>
      </c>
      <c r="N73" s="2">
        <f>[5]升星辅助表!AV114</f>
        <v>4551</v>
      </c>
      <c r="O73" s="2">
        <f>[5]升星辅助表!AW114</f>
        <v>4551</v>
      </c>
      <c r="P73" s="2">
        <f>[5]升星辅助表!AX114</f>
        <v>250305</v>
      </c>
      <c r="Q73" s="11">
        <f>[5]升星辅助表!AU114</f>
        <v>91.02000000000001</v>
      </c>
    </row>
    <row r="74" spans="3:17">
      <c r="C74" s="10" t="str">
        <f>[5]装备属性计算表!A114</f>
        <v>4544</v>
      </c>
      <c r="D74" s="10">
        <f>[5]装备属性计算表!B114</f>
        <v>4</v>
      </c>
      <c r="E74" s="10" t="str">
        <f>[5]装备属性计算表!C114</f>
        <v>腰带</v>
      </c>
      <c r="F74" s="10">
        <f>[5]装备属性计算表!D114</f>
        <v>45</v>
      </c>
      <c r="G74" s="10">
        <f ca="1">[5]装备属性计算表!BJ114</f>
        <v>209.09092058068188</v>
      </c>
      <c r="H74" s="2">
        <f>[5]强化辅助表!Q118</f>
        <v>19.22</v>
      </c>
      <c r="I74" s="2">
        <f>[5]强化辅助表!R118</f>
        <v>961</v>
      </c>
      <c r="J74" s="2">
        <f>[5]强化辅助表!S118</f>
        <v>961</v>
      </c>
      <c r="K74" s="2">
        <f>[5]强化辅助表!T118</f>
        <v>994635</v>
      </c>
      <c r="L74" s="11">
        <f>[5]强化辅助表!U118</f>
        <v>308502.25999999995</v>
      </c>
      <c r="M74" s="2">
        <f>[5]升星辅助表!AU115</f>
        <v>149.06</v>
      </c>
      <c r="N74" s="2">
        <f>[5]升星辅助表!AV115</f>
        <v>7453</v>
      </c>
      <c r="O74" s="2">
        <f>[5]升星辅助表!AW115</f>
        <v>7453</v>
      </c>
      <c r="P74" s="2">
        <f>[5]升星辅助表!AX115</f>
        <v>409915</v>
      </c>
      <c r="Q74" s="11">
        <f>[5]升星辅助表!AU115</f>
        <v>149.06</v>
      </c>
    </row>
    <row r="75" spans="3:17">
      <c r="C75" s="10" t="str">
        <f>[5]装备属性计算表!A115</f>
        <v>4543</v>
      </c>
      <c r="D75" s="10">
        <f>[5]装备属性计算表!B115</f>
        <v>4</v>
      </c>
      <c r="E75" s="10" t="str">
        <f>[5]装备属性计算表!C115</f>
        <v>项链</v>
      </c>
      <c r="F75" s="10">
        <f>[5]装备属性计算表!D115</f>
        <v>45</v>
      </c>
      <c r="G75" s="10">
        <f ca="1">[5]装备属性计算表!BJ115</f>
        <v>271.88722909090916</v>
      </c>
      <c r="H75" s="2">
        <f>[5]强化辅助表!Q119</f>
        <v>41.42</v>
      </c>
      <c r="I75" s="2">
        <f>[5]强化辅助表!R119</f>
        <v>2071</v>
      </c>
      <c r="J75" s="2">
        <f>[5]强化辅助表!S119</f>
        <v>2071</v>
      </c>
      <c r="K75" s="2">
        <f>[5]强化辅助表!T119</f>
        <v>2143485</v>
      </c>
      <c r="L75" s="11">
        <f>[5]强化辅助表!U119</f>
        <v>663691.74</v>
      </c>
      <c r="M75" s="2">
        <f>[5]升星辅助表!AU116</f>
        <v>99.56</v>
      </c>
      <c r="N75" s="2">
        <f>[5]升星辅助表!AV116</f>
        <v>4978</v>
      </c>
      <c r="O75" s="2">
        <f>[5]升星辅助表!AW116</f>
        <v>4978</v>
      </c>
      <c r="P75" s="2">
        <f>[5]升星辅助表!AX116</f>
        <v>273790</v>
      </c>
      <c r="Q75" s="11">
        <f>[5]升星辅助表!AU116</f>
        <v>99.56</v>
      </c>
    </row>
    <row r="76" spans="3:17">
      <c r="C76" s="10" t="str">
        <f>[5]装备属性计算表!A116</f>
        <v>6010</v>
      </c>
      <c r="D76" s="10">
        <f>[5]装备属性计算表!B116</f>
        <v>1</v>
      </c>
      <c r="E76" s="10" t="str">
        <f>[5]装备属性计算表!C116</f>
        <v>武器</v>
      </c>
      <c r="F76" s="10">
        <f>[5]装备属性计算表!D116</f>
        <v>60</v>
      </c>
      <c r="G76" s="10">
        <f ca="1">[5]装备属性计算表!BJ116</f>
        <v>327.2546861096767</v>
      </c>
      <c r="H76" s="2">
        <f>[5]强化辅助表!Q120</f>
        <v>44.5</v>
      </c>
      <c r="I76" s="2">
        <f>[5]强化辅助表!R120</f>
        <v>2225</v>
      </c>
      <c r="J76" s="2">
        <f>[5]强化辅助表!S120</f>
        <v>2225</v>
      </c>
      <c r="K76" s="2">
        <f>[5]强化辅助表!T120</f>
        <v>4071750</v>
      </c>
      <c r="L76" s="11">
        <f>[5]强化辅助表!U120</f>
        <v>1704068.06</v>
      </c>
      <c r="M76" s="2">
        <f>[5]升星辅助表!AU117</f>
        <v>108</v>
      </c>
      <c r="N76" s="2">
        <f>[5]升星辅助表!AV117</f>
        <v>5400</v>
      </c>
      <c r="O76" s="2">
        <f>[5]升星辅助表!AW117</f>
        <v>5400</v>
      </c>
      <c r="P76" s="2">
        <f>[5]升星辅助表!AX117</f>
        <v>297000</v>
      </c>
      <c r="Q76" s="11">
        <f>[5]升星辅助表!AU117</f>
        <v>108</v>
      </c>
    </row>
    <row r="77" spans="3:17">
      <c r="C77" s="10" t="str">
        <f>[5]装备属性计算表!A117</f>
        <v>6011</v>
      </c>
      <c r="D77" s="10">
        <f>[5]装备属性计算表!B117</f>
        <v>1</v>
      </c>
      <c r="E77" s="10" t="str">
        <f>[5]装备属性计算表!C117</f>
        <v>衣服</v>
      </c>
      <c r="F77" s="10">
        <f>[5]装备属性计算表!D117</f>
        <v>60</v>
      </c>
      <c r="G77" s="10">
        <f ca="1">[5]装备属性计算表!BJ117</f>
        <v>282.31663092751972</v>
      </c>
      <c r="H77" s="2">
        <f>[5]强化辅助表!Q121</f>
        <v>39.400000000000006</v>
      </c>
      <c r="I77" s="2">
        <f>[5]强化辅助表!R121</f>
        <v>1970</v>
      </c>
      <c r="J77" s="2">
        <f>[5]强化辅助表!S121</f>
        <v>1970</v>
      </c>
      <c r="K77" s="2">
        <f>[5]强化辅助表!T121</f>
        <v>3605100</v>
      </c>
      <c r="L77" s="11">
        <f>[5]强化辅助表!U121</f>
        <v>1502663.12</v>
      </c>
      <c r="M77" s="2">
        <f>[5]升星辅助表!AU118</f>
        <v>47.04</v>
      </c>
      <c r="N77" s="2">
        <f>[5]升星辅助表!AV118</f>
        <v>2352</v>
      </c>
      <c r="O77" s="2">
        <f>[5]升星辅助表!AW118</f>
        <v>2352</v>
      </c>
      <c r="P77" s="2">
        <f>[5]升星辅助表!AX118</f>
        <v>129360</v>
      </c>
      <c r="Q77" s="11">
        <f>[5]升星辅助表!AU118</f>
        <v>47.04</v>
      </c>
    </row>
    <row r="78" spans="3:17">
      <c r="C78" s="10" t="str">
        <f>[5]装备属性计算表!A118</f>
        <v>6012</v>
      </c>
      <c r="D78" s="10">
        <f>[5]装备属性计算表!B118</f>
        <v>1</v>
      </c>
      <c r="E78" s="10" t="str">
        <f>[5]装备属性计算表!C118</f>
        <v>裤子</v>
      </c>
      <c r="F78" s="10">
        <f>[5]装备属性计算表!D118</f>
        <v>60</v>
      </c>
      <c r="G78" s="10">
        <f ca="1">[5]装备属性计算表!BJ118</f>
        <v>104.01725491494935</v>
      </c>
      <c r="H78" s="2">
        <f>[5]强化辅助表!Q122</f>
        <v>13.760000000000002</v>
      </c>
      <c r="I78" s="2">
        <f>[5]强化辅助表!R122</f>
        <v>688</v>
      </c>
      <c r="J78" s="2">
        <f>[5]强化辅助表!S122</f>
        <v>688</v>
      </c>
      <c r="K78" s="2">
        <f>[5]强化辅助表!T122</f>
        <v>1259040</v>
      </c>
      <c r="L78" s="11">
        <f>[5]强化辅助表!U122</f>
        <v>525459.8600000001</v>
      </c>
      <c r="M78" s="2">
        <f>[5]升星辅助表!AU119</f>
        <v>23.52</v>
      </c>
      <c r="N78" s="2">
        <f>[5]升星辅助表!AV119</f>
        <v>1176</v>
      </c>
      <c r="O78" s="2">
        <f>[5]升星辅助表!AW119</f>
        <v>1176</v>
      </c>
      <c r="P78" s="2">
        <f>[5]升星辅助表!AX119</f>
        <v>64680</v>
      </c>
      <c r="Q78" s="11">
        <f>[5]升星辅助表!AU119</f>
        <v>23.52</v>
      </c>
    </row>
    <row r="79" spans="3:17">
      <c r="C79" s="10" t="str">
        <f>[5]装备属性计算表!A119</f>
        <v>6015</v>
      </c>
      <c r="D79" s="10">
        <f>[5]装备属性计算表!B119</f>
        <v>1</v>
      </c>
      <c r="E79" s="10" t="str">
        <f>[5]装备属性计算表!C119</f>
        <v>鞋子</v>
      </c>
      <c r="F79" s="10">
        <f>[5]装备属性计算表!D119</f>
        <v>60</v>
      </c>
      <c r="G79" s="10">
        <f ca="1">[5]装备属性计算表!BJ119</f>
        <v>132.51162931895126</v>
      </c>
      <c r="H79" s="2">
        <f>[5]强化辅助表!Q123</f>
        <v>18</v>
      </c>
      <c r="I79" s="2">
        <f>[5]强化辅助表!R123</f>
        <v>900</v>
      </c>
      <c r="J79" s="2">
        <f>[5]强化辅助表!S123</f>
        <v>900</v>
      </c>
      <c r="K79" s="2">
        <f>[5]强化辅助表!T123</f>
        <v>1647000</v>
      </c>
      <c r="L79" s="11">
        <f>[5]强化辅助表!U123</f>
        <v>688652.3</v>
      </c>
      <c r="M79" s="2">
        <f>[5]升星辅助表!AU120</f>
        <v>23.52</v>
      </c>
      <c r="N79" s="2">
        <f>[5]升星辅助表!AV120</f>
        <v>1176</v>
      </c>
      <c r="O79" s="2">
        <f>[5]升星辅助表!AW120</f>
        <v>1176</v>
      </c>
      <c r="P79" s="2">
        <f>[5]升星辅助表!AX120</f>
        <v>64680</v>
      </c>
      <c r="Q79" s="11">
        <f>[5]升星辅助表!AU120</f>
        <v>23.52</v>
      </c>
    </row>
    <row r="80" spans="3:17">
      <c r="C80" s="10" t="str">
        <f>[5]装备属性计算表!A120</f>
        <v>6014</v>
      </c>
      <c r="D80" s="10">
        <f>[5]装备属性计算表!B120</f>
        <v>1</v>
      </c>
      <c r="E80" s="10" t="str">
        <f>[5]装备属性计算表!C120</f>
        <v>腰带</v>
      </c>
      <c r="F80" s="10">
        <f>[5]装备属性计算表!D120</f>
        <v>60</v>
      </c>
      <c r="G80" s="10">
        <f ca="1">[5]装备属性计算表!BJ120</f>
        <v>106.60150671396066</v>
      </c>
      <c r="H80" s="2">
        <f>[5]强化辅助表!Q124</f>
        <v>12.98</v>
      </c>
      <c r="I80" s="2">
        <f>[5]强化辅助表!R124</f>
        <v>649</v>
      </c>
      <c r="J80" s="2">
        <f>[5]强化辅助表!S124</f>
        <v>649</v>
      </c>
      <c r="K80" s="2">
        <f>[5]强化辅助表!T124</f>
        <v>1187670</v>
      </c>
      <c r="L80" s="11">
        <f>[5]强化辅助表!U124</f>
        <v>496443.10000000003</v>
      </c>
      <c r="M80" s="2">
        <f>[5]升星辅助表!AU121</f>
        <v>47.04</v>
      </c>
      <c r="N80" s="2">
        <f>[5]升星辅助表!AV121</f>
        <v>2352</v>
      </c>
      <c r="O80" s="2">
        <f>[5]升星辅助表!AW121</f>
        <v>2352</v>
      </c>
      <c r="P80" s="2">
        <f>[5]升星辅助表!AX121</f>
        <v>129360</v>
      </c>
      <c r="Q80" s="11">
        <f>[5]升星辅助表!AU121</f>
        <v>47.04</v>
      </c>
    </row>
    <row r="81" spans="3:17">
      <c r="C81" s="10" t="str">
        <f>[5]装备属性计算表!A121</f>
        <v>6013</v>
      </c>
      <c r="D81" s="10">
        <f>[5]装备属性计算表!B121</f>
        <v>1</v>
      </c>
      <c r="E81" s="10" t="str">
        <f>[5]装备属性计算表!C121</f>
        <v>项链</v>
      </c>
      <c r="F81" s="10">
        <f>[5]装备属性计算表!D121</f>
        <v>60</v>
      </c>
      <c r="G81" s="10">
        <f ca="1">[5]装备属性计算表!BJ121</f>
        <v>198.68704902673798</v>
      </c>
      <c r="H81" s="2">
        <f>[5]强化辅助表!Q125</f>
        <v>27.28</v>
      </c>
      <c r="I81" s="2">
        <f>[5]强化辅助表!R125</f>
        <v>1364</v>
      </c>
      <c r="J81" s="2">
        <f>[5]强化辅助表!S125</f>
        <v>1364</v>
      </c>
      <c r="K81" s="2">
        <f>[5]强化辅助表!T125</f>
        <v>2496120</v>
      </c>
      <c r="L81" s="11">
        <f>[5]强化辅助表!U125</f>
        <v>1046617.72</v>
      </c>
      <c r="M81" s="2">
        <f>[5]升星辅助表!AU122</f>
        <v>36</v>
      </c>
      <c r="N81" s="2">
        <f>[5]升星辅助表!AV122</f>
        <v>1800</v>
      </c>
      <c r="O81" s="2">
        <f>[5]升星辅助表!AW122</f>
        <v>1800</v>
      </c>
      <c r="P81" s="2">
        <f>[5]升星辅助表!AX122</f>
        <v>99000</v>
      </c>
      <c r="Q81" s="11">
        <f>[5]升星辅助表!AU122</f>
        <v>36</v>
      </c>
    </row>
    <row r="82" spans="3:17">
      <c r="C82" s="10" t="str">
        <f>[5]装备属性计算表!A122</f>
        <v>6020</v>
      </c>
      <c r="D82" s="10">
        <f>[5]装备属性计算表!B122</f>
        <v>2</v>
      </c>
      <c r="E82" s="10" t="str">
        <f>[5]装备属性计算表!C122</f>
        <v>武器</v>
      </c>
      <c r="F82" s="10">
        <f>[5]装备属性计算表!D122</f>
        <v>60</v>
      </c>
      <c r="G82" s="10">
        <f ca="1">[5]装备属性计算表!BJ122</f>
        <v>470.66869163710521</v>
      </c>
      <c r="H82" s="2">
        <f>[5]强化辅助表!Q126</f>
        <v>64.48</v>
      </c>
      <c r="I82" s="2">
        <f>[5]强化辅助表!R126</f>
        <v>3224</v>
      </c>
      <c r="J82" s="2">
        <f>[5]强化辅助表!S126</f>
        <v>3224</v>
      </c>
      <c r="K82" s="2">
        <f>[5]强化辅助表!T126</f>
        <v>5899920</v>
      </c>
      <c r="L82" s="11">
        <f>[5]强化辅助表!U126</f>
        <v>2465971.52</v>
      </c>
      <c r="M82" s="2">
        <f>[5]升星辅助表!AU123</f>
        <v>174</v>
      </c>
      <c r="N82" s="2">
        <f>[5]升星辅助表!AV123</f>
        <v>8700</v>
      </c>
      <c r="O82" s="2">
        <f>[5]升星辅助表!AW123</f>
        <v>8700</v>
      </c>
      <c r="P82" s="2">
        <f>[5]升星辅助表!AX123</f>
        <v>478500</v>
      </c>
      <c r="Q82" s="11">
        <f>[5]升星辅助表!AU123</f>
        <v>174</v>
      </c>
    </row>
    <row r="83" spans="3:17">
      <c r="C83" s="10" t="str">
        <f>[5]装备属性计算表!A123</f>
        <v>6021</v>
      </c>
      <c r="D83" s="10">
        <f>[5]装备属性计算表!B123</f>
        <v>2</v>
      </c>
      <c r="E83" s="10" t="str">
        <f>[5]装备属性计算表!C123</f>
        <v>衣服</v>
      </c>
      <c r="F83" s="10">
        <f>[5]装备属性计算表!D123</f>
        <v>60</v>
      </c>
      <c r="G83" s="10">
        <f ca="1">[5]装备属性计算表!BJ123</f>
        <v>398.88977674640279</v>
      </c>
      <c r="H83" s="2">
        <f>[5]强化辅助表!Q127</f>
        <v>56.68</v>
      </c>
      <c r="I83" s="2">
        <f>[5]强化辅助表!R127</f>
        <v>2834</v>
      </c>
      <c r="J83" s="2">
        <f>[5]强化辅助表!S127</f>
        <v>2834</v>
      </c>
      <c r="K83" s="2">
        <f>[5]强化辅助表!T127</f>
        <v>5186220</v>
      </c>
      <c r="L83" s="11">
        <f>[5]强化辅助表!U127</f>
        <v>2161153.4400000004</v>
      </c>
      <c r="M83" s="2">
        <f>[5]升星辅助表!AU124</f>
        <v>123.96000000000001</v>
      </c>
      <c r="N83" s="2">
        <f>[5]升星辅助表!AV124</f>
        <v>6198</v>
      </c>
      <c r="O83" s="2">
        <f>[5]升星辅助表!AW124</f>
        <v>6198</v>
      </c>
      <c r="P83" s="2">
        <f>[5]升星辅助表!AX124</f>
        <v>340890</v>
      </c>
      <c r="Q83" s="11">
        <f>[5]升星辅助表!AU124</f>
        <v>123.96000000000001</v>
      </c>
    </row>
    <row r="84" spans="3:17">
      <c r="C84" s="10" t="str">
        <f>[5]装备属性计算表!A124</f>
        <v>6022</v>
      </c>
      <c r="D84" s="10">
        <f>[5]装备属性计算表!B124</f>
        <v>2</v>
      </c>
      <c r="E84" s="10" t="str">
        <f>[5]装备属性计算表!C124</f>
        <v>裤子</v>
      </c>
      <c r="F84" s="10">
        <f>[5]装备属性计算表!D124</f>
        <v>60</v>
      </c>
      <c r="G84" s="10">
        <f ca="1">[5]装备属性计算表!BJ124</f>
        <v>151.42483698634121</v>
      </c>
      <c r="H84" s="2">
        <f>[5]强化辅助表!Q128</f>
        <v>19.8</v>
      </c>
      <c r="I84" s="2">
        <f>[5]强化辅助表!R128</f>
        <v>990</v>
      </c>
      <c r="J84" s="2">
        <f>[5]强化辅助表!S128</f>
        <v>990</v>
      </c>
      <c r="K84" s="2">
        <f>[5]强化辅助表!T128</f>
        <v>1811700</v>
      </c>
      <c r="L84" s="11">
        <f>[5]强化辅助表!U128</f>
        <v>762606.94000000006</v>
      </c>
      <c r="M84" s="2">
        <f>[5]升星辅助表!AU125</f>
        <v>52.96</v>
      </c>
      <c r="N84" s="2">
        <f>[5]升星辅助表!AV125</f>
        <v>2648</v>
      </c>
      <c r="O84" s="2">
        <f>[5]升星辅助表!AW125</f>
        <v>2648</v>
      </c>
      <c r="P84" s="2">
        <f>[5]升星辅助表!AX125</f>
        <v>145640</v>
      </c>
      <c r="Q84" s="11">
        <f>[5]升星辅助表!AU125</f>
        <v>52.96</v>
      </c>
    </row>
    <row r="85" spans="3:17">
      <c r="C85" s="10" t="str">
        <f>[5]装备属性计算表!A125</f>
        <v>6025</v>
      </c>
      <c r="D85" s="10">
        <f>[5]装备属性计算表!B125</f>
        <v>2</v>
      </c>
      <c r="E85" s="10" t="str">
        <f>[5]装备属性计算表!C125</f>
        <v>鞋子</v>
      </c>
      <c r="F85" s="10">
        <f>[5]装备属性计算表!D125</f>
        <v>60</v>
      </c>
      <c r="G85" s="10">
        <f ca="1">[5]装备属性计算表!BJ125</f>
        <v>191.83431725361959</v>
      </c>
      <c r="H85" s="2">
        <f>[5]强化辅助表!Q129</f>
        <v>26.18</v>
      </c>
      <c r="I85" s="2">
        <f>[5]强化辅助表!R129</f>
        <v>1309</v>
      </c>
      <c r="J85" s="2">
        <f>[5]强化辅助表!S129</f>
        <v>1309</v>
      </c>
      <c r="K85" s="2">
        <f>[5]强化辅助表!T129</f>
        <v>2395470</v>
      </c>
      <c r="L85" s="11">
        <f>[5]强化辅助表!U129</f>
        <v>998820.53999999992</v>
      </c>
      <c r="M85" s="2">
        <f>[5]升星辅助表!AU126</f>
        <v>61.5</v>
      </c>
      <c r="N85" s="2">
        <f>[5]升星辅助表!AV126</f>
        <v>3075</v>
      </c>
      <c r="O85" s="2">
        <f>[5]升星辅助表!AW126</f>
        <v>3075</v>
      </c>
      <c r="P85" s="2">
        <f>[5]升星辅助表!AX126</f>
        <v>169125</v>
      </c>
      <c r="Q85" s="11">
        <f>[5]升星辅助表!AU126</f>
        <v>61.5</v>
      </c>
    </row>
    <row r="86" spans="3:17">
      <c r="C86" s="10" t="str">
        <f>[5]装备属性计算表!A126</f>
        <v>6024</v>
      </c>
      <c r="D86" s="10">
        <f>[5]装备属性计算表!B126</f>
        <v>2</v>
      </c>
      <c r="E86" s="10" t="str">
        <f>[5]装备属性计算表!C126</f>
        <v>腰带</v>
      </c>
      <c r="F86" s="10">
        <f>[5]装备属性计算表!D126</f>
        <v>60</v>
      </c>
      <c r="G86" s="10">
        <f ca="1">[5]装备属性计算表!BJ126</f>
        <v>170.60785195031335</v>
      </c>
      <c r="H86" s="2">
        <f>[5]强化辅助表!Q130</f>
        <v>18.72</v>
      </c>
      <c r="I86" s="2">
        <f>[5]强化辅助表!R130</f>
        <v>936</v>
      </c>
      <c r="J86" s="2">
        <f>[5]强化辅助表!S130</f>
        <v>936</v>
      </c>
      <c r="K86" s="2">
        <f>[5]强化辅助表!T130</f>
        <v>1712880</v>
      </c>
      <c r="L86" s="11">
        <f>[5]强化辅助表!U130</f>
        <v>714914.27999999991</v>
      </c>
      <c r="M86" s="2">
        <f>[5]升星辅助表!AU127</f>
        <v>119.96000000000001</v>
      </c>
      <c r="N86" s="2">
        <f>[5]升星辅助表!AV127</f>
        <v>5998</v>
      </c>
      <c r="O86" s="2">
        <f>[5]升星辅助表!AW127</f>
        <v>5998</v>
      </c>
      <c r="P86" s="2">
        <f>[5]升星辅助表!AX127</f>
        <v>329890</v>
      </c>
      <c r="Q86" s="11">
        <f>[5]升星辅助表!AU127</f>
        <v>119.96000000000001</v>
      </c>
    </row>
    <row r="87" spans="3:17">
      <c r="C87" s="10" t="str">
        <f>[5]装备属性计算表!A127</f>
        <v>6023</v>
      </c>
      <c r="D87" s="10">
        <f>[5]装备属性计算表!B127</f>
        <v>2</v>
      </c>
      <c r="E87" s="10" t="str">
        <f>[5]装备属性计算表!C127</f>
        <v>项链</v>
      </c>
      <c r="F87" s="10">
        <f>[5]装备属性计算表!D127</f>
        <v>60</v>
      </c>
      <c r="G87" s="10">
        <f ca="1">[5]装备属性计算表!BJ127</f>
        <v>279.6916188877006</v>
      </c>
      <c r="H87" s="2">
        <f>[5]强化辅助表!Q131</f>
        <v>39.74</v>
      </c>
      <c r="I87" s="2">
        <f>[5]强化辅助表!R131</f>
        <v>1987</v>
      </c>
      <c r="J87" s="2">
        <f>[5]强化辅助表!S131</f>
        <v>1987</v>
      </c>
      <c r="K87" s="2">
        <f>[5]强化辅助表!T131</f>
        <v>3636210</v>
      </c>
      <c r="L87" s="11">
        <f>[5]强化辅助表!U131</f>
        <v>1521752.94</v>
      </c>
      <c r="M87" s="2">
        <f>[5]升星辅助表!AU128</f>
        <v>65.94</v>
      </c>
      <c r="N87" s="2">
        <f>[5]升星辅助表!AV128</f>
        <v>3297</v>
      </c>
      <c r="O87" s="2">
        <f>[5]升星辅助表!AW128</f>
        <v>3297</v>
      </c>
      <c r="P87" s="2">
        <f>[5]升星辅助表!AX128</f>
        <v>181335</v>
      </c>
      <c r="Q87" s="11">
        <f>[5]升星辅助表!AU128</f>
        <v>65.94</v>
      </c>
    </row>
    <row r="88" spans="3:17">
      <c r="C88" s="10" t="str">
        <f>[5]装备属性计算表!A128</f>
        <v>6030</v>
      </c>
      <c r="D88" s="10">
        <f>[5]装备属性计算表!B128</f>
        <v>3</v>
      </c>
      <c r="E88" s="10" t="str">
        <f>[5]装备属性计算表!C128</f>
        <v>武器</v>
      </c>
      <c r="F88" s="10">
        <f>[5]装备属性计算表!D128</f>
        <v>60</v>
      </c>
      <c r="G88" s="10">
        <f ca="1">[5]装备属性计算表!BJ128</f>
        <v>612.83191462150103</v>
      </c>
      <c r="H88" s="2">
        <f>[5]强化辅助表!Q132</f>
        <v>84.46</v>
      </c>
      <c r="I88" s="2">
        <f>[5]强化辅助表!R132</f>
        <v>4223</v>
      </c>
      <c r="J88" s="2">
        <f>[5]强化辅助表!S132</f>
        <v>4223</v>
      </c>
      <c r="K88" s="2">
        <f>[5]强化辅助表!T132</f>
        <v>7728090</v>
      </c>
      <c r="L88" s="11">
        <f>[5]强化辅助表!U132</f>
        <v>3228067.5799999996</v>
      </c>
      <c r="M88" s="2">
        <f>[5]升星辅助表!AU129</f>
        <v>257.26</v>
      </c>
      <c r="N88" s="2">
        <f>[5]升星辅助表!AV129</f>
        <v>12863</v>
      </c>
      <c r="O88" s="2">
        <f>[5]升星辅助表!AW129</f>
        <v>12863</v>
      </c>
      <c r="P88" s="2">
        <f>[5]升星辅助表!AX129</f>
        <v>707465</v>
      </c>
      <c r="Q88" s="11">
        <f>[5]升星辅助表!AU129</f>
        <v>257.26</v>
      </c>
    </row>
    <row r="89" spans="3:17">
      <c r="C89" s="10" t="str">
        <f>[5]装备属性计算表!A129</f>
        <v>6031</v>
      </c>
      <c r="D89" s="10">
        <f>[5]装备属性计算表!B129</f>
        <v>3</v>
      </c>
      <c r="E89" s="10" t="str">
        <f>[5]装备属性计算表!C129</f>
        <v>衣服</v>
      </c>
      <c r="F89" s="10">
        <f>[5]装备属性计算表!D129</f>
        <v>60</v>
      </c>
      <c r="G89" s="10">
        <f ca="1">[5]装备属性计算表!BJ129</f>
        <v>509.98543802920847</v>
      </c>
      <c r="H89" s="2">
        <f>[5]强化辅助表!Q133</f>
        <v>73.960000000000008</v>
      </c>
      <c r="I89" s="2">
        <f>[5]强化辅助表!R133</f>
        <v>3698</v>
      </c>
      <c r="J89" s="2">
        <f>[5]强化辅助表!S133</f>
        <v>3698</v>
      </c>
      <c r="K89" s="2">
        <f>[5]强化辅助表!T133</f>
        <v>6767340</v>
      </c>
      <c r="L89" s="11">
        <f>[5]强化辅助表!U133</f>
        <v>2834824.4800000004</v>
      </c>
      <c r="M89" s="2">
        <f>[5]升星辅助表!AU130</f>
        <v>179.86</v>
      </c>
      <c r="N89" s="2">
        <f>[5]升星辅助表!AV130</f>
        <v>8993</v>
      </c>
      <c r="O89" s="2">
        <f>[5]升星辅助表!AW130</f>
        <v>8993</v>
      </c>
      <c r="P89" s="2">
        <f>[5]升星辅助表!AX130</f>
        <v>494615</v>
      </c>
      <c r="Q89" s="11">
        <f>[5]升星辅助表!AU130</f>
        <v>179.86</v>
      </c>
    </row>
    <row r="90" spans="3:17">
      <c r="C90" s="10" t="str">
        <f>[5]装备属性计算表!A130</f>
        <v>6032</v>
      </c>
      <c r="D90" s="10">
        <f>[5]装备属性计算表!B130</f>
        <v>3</v>
      </c>
      <c r="E90" s="10" t="str">
        <f>[5]装备属性计算表!C130</f>
        <v>裤子</v>
      </c>
      <c r="F90" s="10">
        <f>[5]装备属性计算表!D130</f>
        <v>60</v>
      </c>
      <c r="G90" s="10">
        <f ca="1">[5]装备属性计算表!BJ130</f>
        <v>199.55715197962905</v>
      </c>
      <c r="H90" s="2">
        <f>[5]强化辅助表!Q134</f>
        <v>27.18</v>
      </c>
      <c r="I90" s="2">
        <f>[5]强化辅助表!R134</f>
        <v>1359</v>
      </c>
      <c r="J90" s="2">
        <f>[5]强化辅助表!S134</f>
        <v>1359</v>
      </c>
      <c r="K90" s="2">
        <f>[5]强化辅助表!T134</f>
        <v>2486970</v>
      </c>
      <c r="L90" s="11">
        <f>[5]强化辅助表!U134</f>
        <v>1037772.3199999998</v>
      </c>
      <c r="M90" s="2">
        <f>[5]升星辅助表!AU131</f>
        <v>86.46</v>
      </c>
      <c r="N90" s="2">
        <f>[5]升星辅助表!AV131</f>
        <v>4323</v>
      </c>
      <c r="O90" s="2">
        <f>[5]升星辅助表!AW131</f>
        <v>4323</v>
      </c>
      <c r="P90" s="2">
        <f>[5]升星辅助表!AX131</f>
        <v>237765</v>
      </c>
      <c r="Q90" s="11">
        <f>[5]升星辅助表!AU131</f>
        <v>86.46</v>
      </c>
    </row>
    <row r="91" spans="3:17">
      <c r="C91" s="10" t="str">
        <f>[5]装备属性计算表!A131</f>
        <v>6035</v>
      </c>
      <c r="D91" s="10">
        <f>[5]装备属性计算表!B131</f>
        <v>3</v>
      </c>
      <c r="E91" s="10" t="str">
        <f>[5]装备属性计算表!C131</f>
        <v>鞋子</v>
      </c>
      <c r="F91" s="10">
        <f>[5]装备属性计算表!D131</f>
        <v>60</v>
      </c>
      <c r="G91" s="10">
        <f ca="1">[5]装备属性计算表!BJ131</f>
        <v>251.42077777879794</v>
      </c>
      <c r="H91" s="2">
        <f>[5]强化辅助表!Q135</f>
        <v>34.019999999999996</v>
      </c>
      <c r="I91" s="2">
        <f>[5]强化辅助表!R135</f>
        <v>1701</v>
      </c>
      <c r="J91" s="2">
        <f>[5]强化辅助表!S135</f>
        <v>1701</v>
      </c>
      <c r="K91" s="2">
        <f>[5]强化辅助表!T135</f>
        <v>3112830</v>
      </c>
      <c r="L91" s="11">
        <f>[5]强化辅助表!U135</f>
        <v>1298202.5799999996</v>
      </c>
      <c r="M91" s="2">
        <f>[5]升星辅助表!AU132</f>
        <v>110.74</v>
      </c>
      <c r="N91" s="2">
        <f>[5]升星辅助表!AV132</f>
        <v>5537</v>
      </c>
      <c r="O91" s="2">
        <f>[5]升星辅助表!AW132</f>
        <v>5537</v>
      </c>
      <c r="P91" s="2">
        <f>[5]升星辅助表!AX132</f>
        <v>304535</v>
      </c>
      <c r="Q91" s="11">
        <f>[5]升星辅助表!AU132</f>
        <v>110.74</v>
      </c>
    </row>
    <row r="92" spans="3:17">
      <c r="C92" s="10" t="str">
        <f>[5]装备属性计算表!A132</f>
        <v>6034</v>
      </c>
      <c r="D92" s="10">
        <f>[5]装备属性计算表!B132</f>
        <v>3</v>
      </c>
      <c r="E92" s="10" t="str">
        <f>[5]装备属性计算表!C132</f>
        <v>腰带</v>
      </c>
      <c r="F92" s="10">
        <f>[5]装备属性计算表!D132</f>
        <v>60</v>
      </c>
      <c r="G92" s="10">
        <f ca="1">[5]装备属性计算表!BJ132</f>
        <v>244.8467496838511</v>
      </c>
      <c r="H92" s="2">
        <f>[5]强化辅助表!Q136</f>
        <v>24.46</v>
      </c>
      <c r="I92" s="2">
        <f>[5]强化辅助表!R136</f>
        <v>1223</v>
      </c>
      <c r="J92" s="2">
        <f>[5]强化辅助表!S136</f>
        <v>1223</v>
      </c>
      <c r="K92" s="2">
        <f>[5]强化辅助表!T136</f>
        <v>2238090</v>
      </c>
      <c r="L92" s="11">
        <f>[5]强化辅助表!U136</f>
        <v>933620.86</v>
      </c>
      <c r="M92" s="2">
        <f>[5]升星辅助表!AU133</f>
        <v>180.84</v>
      </c>
      <c r="N92" s="2">
        <f>[5]升星辅助表!AV133</f>
        <v>9042</v>
      </c>
      <c r="O92" s="2">
        <f>[5]升星辅助表!AW133</f>
        <v>9042</v>
      </c>
      <c r="P92" s="2">
        <f>[5]升星辅助表!AX133</f>
        <v>497310</v>
      </c>
      <c r="Q92" s="11">
        <f>[5]升星辅助表!AU133</f>
        <v>180.84</v>
      </c>
    </row>
    <row r="93" spans="3:17">
      <c r="C93" s="10" t="str">
        <f>[5]装备属性计算表!A133</f>
        <v>6033</v>
      </c>
      <c r="D93" s="10">
        <f>[5]装备属性计算表!B133</f>
        <v>3</v>
      </c>
      <c r="E93" s="10" t="str">
        <f>[5]装备属性计算表!C133</f>
        <v>项链</v>
      </c>
      <c r="F93" s="10">
        <f>[5]装备属性计算表!D133</f>
        <v>60</v>
      </c>
      <c r="G93" s="10">
        <f ca="1">[5]装备属性计算表!BJ133</f>
        <v>356.20339781818188</v>
      </c>
      <c r="H93" s="2">
        <f>[5]强化辅助表!Q137</f>
        <v>52.2</v>
      </c>
      <c r="I93" s="2">
        <f>[5]强化辅助表!R137</f>
        <v>2610</v>
      </c>
      <c r="J93" s="2">
        <f>[5]强化辅助表!S137</f>
        <v>2610</v>
      </c>
      <c r="K93" s="2">
        <f>[5]强化辅助表!T137</f>
        <v>4776300</v>
      </c>
      <c r="L93" s="11">
        <f>[5]强化辅助表!U137</f>
        <v>1995190.2200000002</v>
      </c>
      <c r="M93" s="2">
        <f>[5]升星辅助表!AU134</f>
        <v>116.28</v>
      </c>
      <c r="N93" s="2">
        <f>[5]升星辅助表!AV134</f>
        <v>5814</v>
      </c>
      <c r="O93" s="2">
        <f>[5]升星辅助表!AW134</f>
        <v>5814</v>
      </c>
      <c r="P93" s="2">
        <f>[5]升星辅助表!AX134</f>
        <v>319770</v>
      </c>
      <c r="Q93" s="11">
        <f>[5]升星辅助表!AU134</f>
        <v>116.28</v>
      </c>
    </row>
  </sheetData>
  <mergeCells count="3">
    <mergeCell ref="C2:G2"/>
    <mergeCell ref="H2:L2"/>
    <mergeCell ref="M2:Q2"/>
  </mergeCells>
  <phoneticPr fontId="1" type="noConversion"/>
  <conditionalFormatting sqref="C4:G93">
    <cfRule type="expression" dxfId="47" priority="1">
      <formula>$D4=5</formula>
    </cfRule>
    <cfRule type="expression" dxfId="46" priority="2">
      <formula>$D4=4</formula>
    </cfRule>
    <cfRule type="expression" dxfId="45" priority="3">
      <formula>$D4=3</formula>
    </cfRule>
    <cfRule type="expression" dxfId="44" priority="4">
      <formula>$D4=2</formula>
    </cfRule>
    <cfRule type="expression" dxfId="43" priority="5">
      <formula>$D4=1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F32" sqref="F32:H34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K104"/>
  <sheetViews>
    <sheetView topLeftCell="B1" workbookViewId="0">
      <pane xSplit="4" ySplit="3" topLeftCell="V4" activePane="bottomRight" state="frozen"/>
      <selection activeCell="B1" sqref="B1"/>
      <selection pane="topRight" activeCell="E1" sqref="E1"/>
      <selection pane="bottomLeft" activeCell="B4" sqref="B4"/>
      <selection pane="bottomRight" activeCell="AA9" sqref="AA9"/>
    </sheetView>
  </sheetViews>
  <sheetFormatPr defaultRowHeight="13.5"/>
  <cols>
    <col min="4" max="4" width="17.875" customWidth="1"/>
    <col min="5" max="5" width="16.5" customWidth="1"/>
    <col min="6" max="7" width="12.75" customWidth="1"/>
    <col min="15" max="15" width="13.875" bestFit="1" customWidth="1"/>
    <col min="18" max="18" width="16.125" bestFit="1" customWidth="1"/>
    <col min="19" max="20" width="16.125" customWidth="1"/>
    <col min="21" max="21" width="12.75" bestFit="1" customWidth="1"/>
    <col min="22" max="22" width="16.125" bestFit="1" customWidth="1"/>
    <col min="23" max="23" width="11.625" bestFit="1" customWidth="1"/>
    <col min="24" max="24" width="14" customWidth="1"/>
    <col min="25" max="25" width="15.875" customWidth="1"/>
    <col min="26" max="26" width="13.875" bestFit="1" customWidth="1"/>
    <col min="27" max="27" width="29.25" bestFit="1" customWidth="1"/>
    <col min="28" max="28" width="12.75" bestFit="1" customWidth="1"/>
    <col min="29" max="29" width="20" customWidth="1"/>
    <col min="30" max="30" width="14.5" customWidth="1"/>
    <col min="32" max="32" width="23" customWidth="1"/>
    <col min="33" max="33" width="13.375" customWidth="1"/>
    <col min="34" max="34" width="15.5" customWidth="1"/>
  </cols>
  <sheetData>
    <row r="2" spans="2:37">
      <c r="K2">
        <v>6</v>
      </c>
      <c r="AA2" t="s">
        <v>59</v>
      </c>
    </row>
    <row r="3" spans="2:37">
      <c r="C3" s="2" t="s">
        <v>55</v>
      </c>
      <c r="D3" s="2" t="s">
        <v>83</v>
      </c>
      <c r="E3" s="2" t="s">
        <v>58</v>
      </c>
      <c r="F3" s="2" t="s">
        <v>141</v>
      </c>
      <c r="G3" s="2" t="s">
        <v>124</v>
      </c>
      <c r="H3" s="16" t="s">
        <v>17</v>
      </c>
      <c r="I3" s="16" t="s">
        <v>54</v>
      </c>
      <c r="J3" s="16" t="s">
        <v>18</v>
      </c>
      <c r="K3" s="12" t="s">
        <v>57</v>
      </c>
      <c r="L3" s="12" t="s">
        <v>49</v>
      </c>
      <c r="M3" s="12" t="s">
        <v>51</v>
      </c>
      <c r="N3" s="12" t="s">
        <v>52</v>
      </c>
      <c r="O3" s="12" t="s">
        <v>89</v>
      </c>
      <c r="P3" s="12" t="s">
        <v>53</v>
      </c>
      <c r="Q3" s="12" t="s">
        <v>50</v>
      </c>
      <c r="R3" s="12" t="s">
        <v>74</v>
      </c>
      <c r="S3" s="12" t="s">
        <v>102</v>
      </c>
      <c r="T3" s="12" t="s">
        <v>103</v>
      </c>
      <c r="U3" s="12" t="s">
        <v>66</v>
      </c>
      <c r="V3" s="12" t="s">
        <v>78</v>
      </c>
      <c r="W3" s="12" t="s">
        <v>110</v>
      </c>
      <c r="AA3" s="24" t="s">
        <v>61</v>
      </c>
      <c r="AB3" s="12" t="s">
        <v>60</v>
      </c>
      <c r="AC3" s="12" t="s">
        <v>64</v>
      </c>
      <c r="AD3" s="18"/>
    </row>
    <row r="4" spans="2:37">
      <c r="B4" s="2"/>
      <c r="C4" s="2">
        <v>1</v>
      </c>
      <c r="D4" s="9">
        <f>'1、经济推算'!F3</f>
        <v>198.13663151891618</v>
      </c>
      <c r="E4" s="9">
        <f>'1、经济推算'!U3</f>
        <v>200</v>
      </c>
      <c r="F4" s="9">
        <f>1/30</f>
        <v>3.3333333333333333E-2</v>
      </c>
      <c r="G4" s="31">
        <f>'1、经济推算'!S3</f>
        <v>2.0018004583053545E-2</v>
      </c>
      <c r="H4" s="2">
        <v>3</v>
      </c>
      <c r="I4" s="2"/>
      <c r="J4" s="2"/>
      <c r="K4" s="2">
        <v>3</v>
      </c>
      <c r="L4" s="2"/>
      <c r="M4" s="2"/>
      <c r="N4" s="2"/>
      <c r="O4" s="2"/>
      <c r="P4" s="2"/>
      <c r="Q4" s="2"/>
      <c r="R4" s="9">
        <f>E4/$AC$5</f>
        <v>10</v>
      </c>
      <c r="S4" s="9">
        <f t="shared" ref="S4:S35" si="0">E4*$AA$8</f>
        <v>120</v>
      </c>
      <c r="T4" s="9">
        <f t="shared" ref="T4:T35" si="1">E4*$AA$7</f>
        <v>80</v>
      </c>
      <c r="U4" s="2"/>
      <c r="V4" s="2">
        <f>5+INT(C4/10)</f>
        <v>5</v>
      </c>
      <c r="W4" s="2">
        <v>60</v>
      </c>
      <c r="Z4" s="2" t="s">
        <v>75</v>
      </c>
      <c r="AA4" s="9">
        <f>SUM(E4:E83)</f>
        <v>5120057</v>
      </c>
      <c r="AB4" s="23">
        <f>(AB20+120)*31*6+AC13</f>
        <v>108568</v>
      </c>
      <c r="AC4" s="2">
        <f>AA4/AB4</f>
        <v>47.159908997126223</v>
      </c>
    </row>
    <row r="5" spans="2:37">
      <c r="B5" s="2"/>
      <c r="C5" s="2">
        <v>2</v>
      </c>
      <c r="D5" s="9">
        <f>'1、经济推算'!F4</f>
        <v>218.10069305368208</v>
      </c>
      <c r="E5" s="9">
        <f>'1、经济推算'!U4</f>
        <v>203</v>
      </c>
      <c r="F5" s="9">
        <f t="shared" ref="F5:F32" si="2">1/30</f>
        <v>3.3333333333333333E-2</v>
      </c>
      <c r="G5" s="31">
        <f>'1、经济推算'!S4</f>
        <v>2.0147851361693975E-2</v>
      </c>
      <c r="H5" s="2">
        <v>3</v>
      </c>
      <c r="I5" s="2"/>
      <c r="J5" s="2"/>
      <c r="K5" s="2">
        <v>3</v>
      </c>
      <c r="L5" s="2"/>
      <c r="M5" s="2"/>
      <c r="N5" s="2"/>
      <c r="O5" s="2"/>
      <c r="P5" s="2"/>
      <c r="Q5" s="2"/>
      <c r="R5" s="9">
        <f t="shared" ref="R5:R68" si="3">E5/$AC$5</f>
        <v>10.15</v>
      </c>
      <c r="S5" s="9">
        <f t="shared" si="0"/>
        <v>121.8</v>
      </c>
      <c r="T5" s="9">
        <f t="shared" si="1"/>
        <v>81.2</v>
      </c>
      <c r="U5" s="2"/>
      <c r="V5" s="2">
        <f t="shared" ref="V5:V68" si="4">5+INT(C5/10)</f>
        <v>5</v>
      </c>
      <c r="W5" s="2">
        <f>ROUND(W4+V5*0.3,0)</f>
        <v>62</v>
      </c>
      <c r="Z5" s="2" t="s">
        <v>125</v>
      </c>
      <c r="AA5" s="9">
        <f>AA4*AA8</f>
        <v>3072034.1999999997</v>
      </c>
      <c r="AB5" s="23">
        <f>AB4</f>
        <v>108568</v>
      </c>
      <c r="AC5" s="40">
        <v>20</v>
      </c>
      <c r="AD5">
        <f>AA5/AB5</f>
        <v>28.295945398275734</v>
      </c>
      <c r="AF5">
        <f>12*16</f>
        <v>192</v>
      </c>
    </row>
    <row r="6" spans="2:37">
      <c r="B6" s="2"/>
      <c r="C6" s="2">
        <v>3</v>
      </c>
      <c r="D6" s="9">
        <f>'1、经济推算'!F5</f>
        <v>240.07631474220921</v>
      </c>
      <c r="E6" s="9">
        <f>'1、经济推算'!U5</f>
        <v>206</v>
      </c>
      <c r="F6" s="9">
        <f t="shared" si="2"/>
        <v>3.3333333333333333E-2</v>
      </c>
      <c r="G6" s="31">
        <f>'1、经济推算'!S5</f>
        <v>2.0511872948988649E-2</v>
      </c>
      <c r="H6" s="2">
        <v>3</v>
      </c>
      <c r="I6" s="2"/>
      <c r="J6" s="2"/>
      <c r="K6" s="2">
        <v>3</v>
      </c>
      <c r="L6" s="2"/>
      <c r="M6" s="2"/>
      <c r="N6" s="2"/>
      <c r="O6" s="2"/>
      <c r="P6" s="2"/>
      <c r="Q6" s="2"/>
      <c r="R6" s="9">
        <f t="shared" si="3"/>
        <v>10.3</v>
      </c>
      <c r="S6" s="9">
        <f t="shared" si="0"/>
        <v>123.6</v>
      </c>
      <c r="T6" s="9">
        <f t="shared" si="1"/>
        <v>82.4</v>
      </c>
      <c r="U6" s="2"/>
      <c r="V6" s="2">
        <f t="shared" si="4"/>
        <v>5</v>
      </c>
      <c r="W6" s="2">
        <f t="shared" ref="W6:W69" si="5">ROUND(W5+V6*0.3,0)</f>
        <v>64</v>
      </c>
    </row>
    <row r="7" spans="2:37">
      <c r="B7" s="2"/>
      <c r="C7" s="2">
        <v>4</v>
      </c>
      <c r="D7" s="9">
        <f>'1、经济推算'!F6</f>
        <v>264.26617950275812</v>
      </c>
      <c r="E7" s="9">
        <f>'1、经济推算'!U6</f>
        <v>214</v>
      </c>
      <c r="F7" s="9">
        <f t="shared" si="2"/>
        <v>3.3333333333333333E-2</v>
      </c>
      <c r="G7" s="31">
        <f>'1、经济推算'!S6</f>
        <v>2.1243846049801791E-2</v>
      </c>
      <c r="H7" s="2">
        <v>3</v>
      </c>
      <c r="I7" s="2"/>
      <c r="J7" s="2"/>
      <c r="K7" s="2">
        <v>3</v>
      </c>
      <c r="L7" s="2"/>
      <c r="M7" s="2"/>
      <c r="N7" s="2"/>
      <c r="O7" s="2"/>
      <c r="P7" s="2"/>
      <c r="Q7" s="2"/>
      <c r="R7" s="9">
        <f t="shared" si="3"/>
        <v>10.7</v>
      </c>
      <c r="S7" s="9">
        <f t="shared" si="0"/>
        <v>128.4</v>
      </c>
      <c r="T7" s="9">
        <f t="shared" si="1"/>
        <v>85.600000000000009</v>
      </c>
      <c r="U7" s="2"/>
      <c r="V7" s="2">
        <f t="shared" si="4"/>
        <v>5</v>
      </c>
      <c r="W7" s="2">
        <f t="shared" si="5"/>
        <v>66</v>
      </c>
      <c r="Z7" s="2" t="s">
        <v>76</v>
      </c>
      <c r="AA7" s="3">
        <v>0.4</v>
      </c>
    </row>
    <row r="8" spans="2:37">
      <c r="B8" s="2"/>
      <c r="C8" s="2">
        <v>5</v>
      </c>
      <c r="D8" s="9">
        <f>'1、经济推算'!F7</f>
        <v>290.89339239472082</v>
      </c>
      <c r="E8" s="9">
        <f>'1、经济推算'!U7</f>
        <v>226</v>
      </c>
      <c r="F8" s="9">
        <f t="shared" si="2"/>
        <v>3.3333333333333333E-2</v>
      </c>
      <c r="G8" s="31">
        <f>'1、经济推算'!S7</f>
        <v>2.2488991460794517E-2</v>
      </c>
      <c r="H8" s="2">
        <v>3</v>
      </c>
      <c r="I8" s="2"/>
      <c r="J8" s="2"/>
      <c r="K8" s="2">
        <v>3</v>
      </c>
      <c r="L8" s="2"/>
      <c r="M8" s="2"/>
      <c r="N8" s="2"/>
      <c r="O8" s="2"/>
      <c r="P8" s="2"/>
      <c r="Q8" s="2"/>
      <c r="R8" s="9">
        <f t="shared" si="3"/>
        <v>11.3</v>
      </c>
      <c r="S8" s="9">
        <f t="shared" si="0"/>
        <v>135.6</v>
      </c>
      <c r="T8" s="9">
        <f t="shared" si="1"/>
        <v>90.4</v>
      </c>
      <c r="U8" s="2"/>
      <c r="V8" s="2">
        <f t="shared" si="4"/>
        <v>5</v>
      </c>
      <c r="W8" s="2">
        <f t="shared" si="5"/>
        <v>68</v>
      </c>
      <c r="Z8" s="2" t="s">
        <v>77</v>
      </c>
      <c r="AA8" s="3">
        <v>0.6</v>
      </c>
      <c r="AC8">
        <f>AB20*AC5</f>
        <v>9200</v>
      </c>
      <c r="AE8" s="170" t="s">
        <v>86</v>
      </c>
      <c r="AF8" s="170"/>
      <c r="AG8" s="170"/>
      <c r="AH8" s="170"/>
      <c r="AI8" s="170"/>
      <c r="AJ8" s="170"/>
    </row>
    <row r="9" spans="2:37">
      <c r="B9" s="2"/>
      <c r="C9" s="2">
        <v>6</v>
      </c>
      <c r="D9" s="9">
        <f>'1、经济推算'!F8</f>
        <v>320.20353833444614</v>
      </c>
      <c r="E9" s="9">
        <f>'1、经济推算'!U8</f>
        <v>245</v>
      </c>
      <c r="F9" s="9">
        <f t="shared" si="2"/>
        <v>3.3333333333333333E-2</v>
      </c>
      <c r="G9" s="31">
        <f>'1、经济推算'!S8</f>
        <v>2.44039740704248E-2</v>
      </c>
      <c r="H9" s="2">
        <v>3</v>
      </c>
      <c r="I9" s="2"/>
      <c r="J9" s="2"/>
      <c r="K9" s="2">
        <v>3</v>
      </c>
      <c r="L9" s="2"/>
      <c r="M9" s="2"/>
      <c r="N9" s="2"/>
      <c r="O9" s="2"/>
      <c r="P9" s="2"/>
      <c r="Q9" s="2"/>
      <c r="R9" s="9">
        <f t="shared" si="3"/>
        <v>12.25</v>
      </c>
      <c r="S9" s="9">
        <f t="shared" si="0"/>
        <v>147</v>
      </c>
      <c r="T9" s="9">
        <f t="shared" si="1"/>
        <v>98</v>
      </c>
      <c r="U9" s="2"/>
      <c r="V9" s="2">
        <f t="shared" si="4"/>
        <v>5</v>
      </c>
      <c r="W9" s="2">
        <f t="shared" si="5"/>
        <v>70</v>
      </c>
      <c r="AE9" s="2" t="s">
        <v>90</v>
      </c>
      <c r="AF9" s="2"/>
      <c r="AG9" s="2"/>
      <c r="AH9" s="2"/>
      <c r="AI9" s="2"/>
      <c r="AJ9" s="9">
        <f>E50</f>
        <v>41999</v>
      </c>
      <c r="AK9" t="s">
        <v>58</v>
      </c>
    </row>
    <row r="10" spans="2:37">
      <c r="B10" s="2"/>
      <c r="C10" s="2">
        <v>7</v>
      </c>
      <c r="D10" s="9">
        <f>'1、经济推算'!F9</f>
        <v>352.46694714458505</v>
      </c>
      <c r="E10" s="9">
        <f>'1、经济推算'!U9</f>
        <v>273</v>
      </c>
      <c r="F10" s="9">
        <f t="shared" si="2"/>
        <v>3.3333333333333333E-2</v>
      </c>
      <c r="G10" s="31">
        <f>'1、经济推算'!S9</f>
        <v>2.7156902858947497E-2</v>
      </c>
      <c r="H10" s="2">
        <v>3</v>
      </c>
      <c r="I10" s="2"/>
      <c r="J10" s="2"/>
      <c r="K10" s="2">
        <v>3</v>
      </c>
      <c r="L10" s="2"/>
      <c r="M10" s="2"/>
      <c r="N10" s="2"/>
      <c r="O10" s="2"/>
      <c r="P10" s="2"/>
      <c r="Q10" s="2"/>
      <c r="R10" s="9">
        <f t="shared" si="3"/>
        <v>13.65</v>
      </c>
      <c r="S10" s="9">
        <f t="shared" si="0"/>
        <v>163.79999999999998</v>
      </c>
      <c r="T10" s="9">
        <f t="shared" si="1"/>
        <v>109.2</v>
      </c>
      <c r="U10" s="2"/>
      <c r="V10" s="2">
        <f t="shared" si="4"/>
        <v>5</v>
      </c>
      <c r="W10" s="2">
        <f t="shared" si="5"/>
        <v>72</v>
      </c>
      <c r="AA10" s="2" t="s">
        <v>73</v>
      </c>
      <c r="AB10" s="22">
        <v>120</v>
      </c>
      <c r="AE10" s="2"/>
      <c r="AF10" s="2"/>
      <c r="AG10" s="2"/>
      <c r="AH10" s="2"/>
      <c r="AI10" s="2"/>
      <c r="AJ10" s="2"/>
    </row>
    <row r="11" spans="2:37">
      <c r="B11" s="2"/>
      <c r="C11" s="2">
        <v>8</v>
      </c>
      <c r="D11" s="9">
        <f>'1、经济推算'!F10</f>
        <v>387.9811868276887</v>
      </c>
      <c r="E11" s="9">
        <f>'1、经济推算'!U10</f>
        <v>311</v>
      </c>
      <c r="F11" s="9">
        <f t="shared" si="2"/>
        <v>3.3333333333333333E-2</v>
      </c>
      <c r="G11" s="31">
        <f>'1、经济推算'!S10</f>
        <v>3.0927330898414339E-2</v>
      </c>
      <c r="H11" s="2">
        <v>3</v>
      </c>
      <c r="I11" s="2"/>
      <c r="J11" s="2"/>
      <c r="K11" s="2">
        <v>3</v>
      </c>
      <c r="L11" s="2"/>
      <c r="M11" s="2"/>
      <c r="N11" s="2"/>
      <c r="O11" s="2"/>
      <c r="P11" s="2"/>
      <c r="Q11" s="2"/>
      <c r="R11" s="9">
        <f t="shared" si="3"/>
        <v>15.55</v>
      </c>
      <c r="S11" s="9">
        <f t="shared" si="0"/>
        <v>186.6</v>
      </c>
      <c r="T11" s="9">
        <f t="shared" si="1"/>
        <v>124.4</v>
      </c>
      <c r="U11" s="2"/>
      <c r="V11" s="2">
        <f t="shared" si="4"/>
        <v>5</v>
      </c>
      <c r="W11" s="2">
        <f t="shared" si="5"/>
        <v>74</v>
      </c>
      <c r="AA11" s="2" t="s">
        <v>62</v>
      </c>
      <c r="AB11" s="2" t="s">
        <v>63</v>
      </c>
      <c r="AC11" s="2" t="s">
        <v>65</v>
      </c>
      <c r="AE11" s="170" t="s">
        <v>91</v>
      </c>
      <c r="AF11" s="170"/>
      <c r="AG11" s="2">
        <f>AB20+AB13</f>
        <v>700</v>
      </c>
      <c r="AH11" s="2" t="s">
        <v>92</v>
      </c>
      <c r="AI11" s="3">
        <f>AJ9/AG11</f>
        <v>59.998571428571431</v>
      </c>
      <c r="AJ11" s="2"/>
    </row>
    <row r="12" spans="2:37">
      <c r="B12" s="2"/>
      <c r="C12" s="2">
        <v>9</v>
      </c>
      <c r="D12" s="9">
        <f>'1、经济推算'!F11</f>
        <v>427.07380805971962</v>
      </c>
      <c r="E12" s="9">
        <f>'1、经济推算'!U11</f>
        <v>361</v>
      </c>
      <c r="F12" s="9">
        <f t="shared" si="2"/>
        <v>3.3333333333333333E-2</v>
      </c>
      <c r="G12" s="31">
        <f>'1、经济推算'!S11</f>
        <v>3.590625535267393E-2</v>
      </c>
      <c r="H12" s="2">
        <v>3</v>
      </c>
      <c r="I12" s="2"/>
      <c r="J12" s="2"/>
      <c r="K12" s="2">
        <v>3</v>
      </c>
      <c r="L12" s="2"/>
      <c r="M12" s="2"/>
      <c r="N12" s="2"/>
      <c r="O12" s="2"/>
      <c r="P12" s="2"/>
      <c r="Q12" s="2"/>
      <c r="R12" s="9">
        <f t="shared" si="3"/>
        <v>18.05</v>
      </c>
      <c r="S12" s="9">
        <f t="shared" si="0"/>
        <v>216.6</v>
      </c>
      <c r="T12" s="9">
        <f t="shared" si="1"/>
        <v>144.4</v>
      </c>
      <c r="U12" s="2"/>
      <c r="V12" s="2">
        <f t="shared" si="4"/>
        <v>5</v>
      </c>
      <c r="W12" s="2">
        <f t="shared" si="5"/>
        <v>76</v>
      </c>
      <c r="AA12" s="2">
        <v>11</v>
      </c>
      <c r="AB12" s="2">
        <v>2</v>
      </c>
      <c r="AC12" s="2"/>
      <c r="AE12" s="2"/>
      <c r="AF12" s="2"/>
      <c r="AG12" s="2" t="s">
        <v>93</v>
      </c>
      <c r="AH12" s="2"/>
      <c r="AI12" s="2"/>
      <c r="AJ12" s="2"/>
    </row>
    <row r="13" spans="2:37">
      <c r="B13" s="2"/>
      <c r="C13" s="2">
        <v>10</v>
      </c>
      <c r="D13" s="9">
        <f>'1、经济推算'!F12</f>
        <v>470.1053652161612</v>
      </c>
      <c r="E13" s="9">
        <f>'1、经济推算'!U12</f>
        <v>426</v>
      </c>
      <c r="F13" s="9">
        <f t="shared" si="2"/>
        <v>3.3333333333333333E-2</v>
      </c>
      <c r="G13" s="31">
        <f>'1、经济推算'!S12</f>
        <v>4.2296117477371761E-2</v>
      </c>
      <c r="H13" s="2">
        <v>3</v>
      </c>
      <c r="I13" s="2"/>
      <c r="J13" s="2"/>
      <c r="K13" s="2">
        <v>3</v>
      </c>
      <c r="L13" s="2"/>
      <c r="M13" s="2"/>
      <c r="N13" s="2"/>
      <c r="O13" s="2"/>
      <c r="P13" s="2"/>
      <c r="Q13" s="2"/>
      <c r="R13" s="9">
        <f t="shared" si="3"/>
        <v>21.3</v>
      </c>
      <c r="S13" s="9">
        <f t="shared" si="0"/>
        <v>255.6</v>
      </c>
      <c r="T13" s="9">
        <f t="shared" si="1"/>
        <v>170.4</v>
      </c>
      <c r="U13" s="2"/>
      <c r="V13" s="2">
        <f t="shared" si="4"/>
        <v>6</v>
      </c>
      <c r="W13" s="2">
        <f t="shared" si="5"/>
        <v>78</v>
      </c>
      <c r="AA13" s="2">
        <f>AA12*AB10</f>
        <v>1320</v>
      </c>
      <c r="AB13" s="2">
        <f>AB12*AB10</f>
        <v>240</v>
      </c>
      <c r="AC13" s="2">
        <f>SUM(V4:V83)</f>
        <v>688</v>
      </c>
    </row>
    <row r="14" spans="2:37">
      <c r="B14" s="2"/>
      <c r="C14" s="2">
        <v>11</v>
      </c>
      <c r="D14" s="9">
        <f>'1、经济推算'!F13</f>
        <v>517.47274179388921</v>
      </c>
      <c r="E14" s="9">
        <f>'1、经济推算'!U13</f>
        <v>507</v>
      </c>
      <c r="F14" s="9">
        <f t="shared" si="2"/>
        <v>3.3333333333333333E-2</v>
      </c>
      <c r="G14" s="31">
        <f>'1、经济推算'!S13</f>
        <v>5.0310802619950169E-2</v>
      </c>
      <c r="H14" s="2">
        <v>3</v>
      </c>
      <c r="I14" s="2"/>
      <c r="J14" s="2">
        <v>3</v>
      </c>
      <c r="K14" s="2">
        <v>3</v>
      </c>
      <c r="L14" s="2"/>
      <c r="M14" s="2"/>
      <c r="N14" s="2"/>
      <c r="O14" s="2"/>
      <c r="P14" s="2"/>
      <c r="Q14" s="2"/>
      <c r="R14" s="9">
        <f t="shared" si="3"/>
        <v>25.35</v>
      </c>
      <c r="S14" s="9">
        <f t="shared" si="0"/>
        <v>304.2</v>
      </c>
      <c r="T14" s="9">
        <f t="shared" si="1"/>
        <v>202.8</v>
      </c>
      <c r="U14" s="2"/>
      <c r="V14" s="2">
        <f t="shared" si="4"/>
        <v>6</v>
      </c>
      <c r="W14" s="2">
        <f t="shared" si="5"/>
        <v>80</v>
      </c>
    </row>
    <row r="15" spans="2:37">
      <c r="B15" s="2"/>
      <c r="C15" s="2">
        <v>12</v>
      </c>
      <c r="D15" s="9">
        <f>'1、经济推算'!F14</f>
        <v>569.61281089943952</v>
      </c>
      <c r="E15" s="9">
        <f>'1、经济推算'!U14</f>
        <v>606</v>
      </c>
      <c r="F15" s="9">
        <f t="shared" si="2"/>
        <v>3.3333333333333333E-2</v>
      </c>
      <c r="G15" s="31">
        <f>'1、经济推算'!S14</f>
        <v>6.0175640219648399E-2</v>
      </c>
      <c r="H15" s="2">
        <v>3</v>
      </c>
      <c r="I15" s="2"/>
      <c r="J15" s="2">
        <v>3</v>
      </c>
      <c r="K15" s="2">
        <v>3</v>
      </c>
      <c r="L15" s="2"/>
      <c r="M15" s="2"/>
      <c r="N15" s="2"/>
      <c r="O15" s="2"/>
      <c r="P15" s="2"/>
      <c r="Q15" s="2"/>
      <c r="R15" s="9">
        <f t="shared" si="3"/>
        <v>30.3</v>
      </c>
      <c r="S15" s="9">
        <f t="shared" si="0"/>
        <v>363.59999999999997</v>
      </c>
      <c r="T15" s="9">
        <f t="shared" si="1"/>
        <v>242.4</v>
      </c>
      <c r="U15" s="2"/>
      <c r="V15" s="2">
        <f t="shared" si="4"/>
        <v>6</v>
      </c>
      <c r="W15" s="2">
        <f t="shared" si="5"/>
        <v>82</v>
      </c>
      <c r="AA15" t="s">
        <v>1056</v>
      </c>
      <c r="AB15">
        <f>AB17*8*60*60</f>
        <v>80.000000000000014</v>
      </c>
      <c r="AG15" t="s">
        <v>1047</v>
      </c>
      <c r="AH15" t="s">
        <v>1046</v>
      </c>
      <c r="AI15" t="s">
        <v>1051</v>
      </c>
      <c r="AJ15" s="103" t="s">
        <v>1048</v>
      </c>
      <c r="AK15" s="103" t="s">
        <v>1049</v>
      </c>
    </row>
    <row r="16" spans="2:37">
      <c r="B16" s="2"/>
      <c r="C16" s="2">
        <v>13</v>
      </c>
      <c r="D16" s="9">
        <f>'1、经济推算'!F15</f>
        <v>627.00646456464619</v>
      </c>
      <c r="E16" s="9">
        <f>'1、经济推算'!U15</f>
        <v>727</v>
      </c>
      <c r="F16" s="9">
        <f t="shared" si="2"/>
        <v>3.3333333333333333E-2</v>
      </c>
      <c r="G16" s="31">
        <f>'1、经济推算'!S15</f>
        <v>7.2127403807502544E-2</v>
      </c>
      <c r="H16" s="2">
        <v>3</v>
      </c>
      <c r="I16" s="2"/>
      <c r="J16" s="2">
        <v>3</v>
      </c>
      <c r="K16" s="2">
        <v>3</v>
      </c>
      <c r="L16" s="2"/>
      <c r="M16" s="2"/>
      <c r="N16" s="2"/>
      <c r="O16" s="2"/>
      <c r="P16" s="2"/>
      <c r="Q16" s="2"/>
      <c r="R16" s="9">
        <f t="shared" si="3"/>
        <v>36.35</v>
      </c>
      <c r="S16" s="9">
        <f t="shared" si="0"/>
        <v>436.2</v>
      </c>
      <c r="T16" s="9">
        <f t="shared" si="1"/>
        <v>290.8</v>
      </c>
      <c r="U16" s="2"/>
      <c r="V16" s="2">
        <f t="shared" si="4"/>
        <v>6</v>
      </c>
      <c r="W16" s="2">
        <f t="shared" si="5"/>
        <v>84</v>
      </c>
      <c r="Y16" s="35"/>
      <c r="AA16" s="2" t="s">
        <v>10</v>
      </c>
      <c r="AB16" s="2">
        <f>24*60*60</f>
        <v>86400</v>
      </c>
      <c r="AF16" s="2" t="s">
        <v>1040</v>
      </c>
      <c r="AG16" s="2">
        <v>3</v>
      </c>
      <c r="AH16" s="2">
        <v>3</v>
      </c>
      <c r="AI16" s="2">
        <v>6</v>
      </c>
      <c r="AJ16" s="36">
        <f>AG16*AI16</f>
        <v>18</v>
      </c>
      <c r="AK16" s="36">
        <f>AH16*AI16</f>
        <v>18</v>
      </c>
    </row>
    <row r="17" spans="2:37">
      <c r="B17" s="2"/>
      <c r="C17" s="2">
        <v>14</v>
      </c>
      <c r="D17" s="9">
        <f>'1、经济推算'!F16</f>
        <v>690.18304905235391</v>
      </c>
      <c r="E17" s="9">
        <f>'1、经济推算'!U16</f>
        <v>871</v>
      </c>
      <c r="F17" s="9">
        <f t="shared" si="2"/>
        <v>3.3333333333333333E-2</v>
      </c>
      <c r="G17" s="31">
        <f>'1、经济推算'!S16</f>
        <v>8.6414311006345598E-2</v>
      </c>
      <c r="H17" s="2">
        <v>3</v>
      </c>
      <c r="I17" s="2"/>
      <c r="J17" s="2">
        <v>3</v>
      </c>
      <c r="K17" s="2">
        <v>3</v>
      </c>
      <c r="L17" s="2"/>
      <c r="M17" s="2"/>
      <c r="N17" s="2"/>
      <c r="O17" s="2"/>
      <c r="P17" s="2"/>
      <c r="Q17" s="2"/>
      <c r="R17" s="9">
        <f t="shared" si="3"/>
        <v>43.55</v>
      </c>
      <c r="S17" s="9">
        <f t="shared" si="0"/>
        <v>522.6</v>
      </c>
      <c r="T17" s="9">
        <f t="shared" si="1"/>
        <v>348.40000000000003</v>
      </c>
      <c r="U17" s="2"/>
      <c r="V17" s="2">
        <f t="shared" si="4"/>
        <v>6</v>
      </c>
      <c r="W17" s="2">
        <f t="shared" si="5"/>
        <v>86</v>
      </c>
      <c r="AA17" s="2" t="s">
        <v>8</v>
      </c>
      <c r="AB17" s="3">
        <f>'0、经济设定'!I3</f>
        <v>2.7777777777777779E-3</v>
      </c>
      <c r="AF17" s="2" t="s">
        <v>1041</v>
      </c>
      <c r="AG17" s="2">
        <v>10</v>
      </c>
      <c r="AH17" s="2">
        <v>15</v>
      </c>
      <c r="AI17" s="2">
        <v>10</v>
      </c>
      <c r="AJ17" s="36">
        <f t="shared" ref="AJ17:AJ22" si="6">AG17*AI17</f>
        <v>100</v>
      </c>
      <c r="AK17" s="36">
        <f t="shared" ref="AK17:AK22" si="7">AH17*AI17</f>
        <v>150</v>
      </c>
    </row>
    <row r="18" spans="2:37">
      <c r="B18" s="2"/>
      <c r="C18" s="2">
        <v>15</v>
      </c>
      <c r="D18" s="9">
        <f>'1、经济推算'!F17</f>
        <v>759.7252470593794</v>
      </c>
      <c r="E18" s="9">
        <f>'1、经济推算'!U17</f>
        <v>1041</v>
      </c>
      <c r="F18" s="9">
        <f t="shared" si="2"/>
        <v>3.3333333333333333E-2</v>
      </c>
      <c r="G18" s="31">
        <f>'1、经济推算'!S17</f>
        <v>0.10329602353080741</v>
      </c>
      <c r="H18" s="2">
        <v>3</v>
      </c>
      <c r="I18" s="2"/>
      <c r="J18" s="2">
        <v>3</v>
      </c>
      <c r="K18" s="2">
        <v>3</v>
      </c>
      <c r="L18" s="2"/>
      <c r="M18" s="2"/>
      <c r="N18" s="2"/>
      <c r="O18" s="2"/>
      <c r="P18" s="2"/>
      <c r="Q18" s="2"/>
      <c r="R18" s="9">
        <f t="shared" si="3"/>
        <v>52.05</v>
      </c>
      <c r="S18" s="9">
        <f t="shared" si="0"/>
        <v>624.6</v>
      </c>
      <c r="T18" s="9">
        <f t="shared" si="1"/>
        <v>416.40000000000003</v>
      </c>
      <c r="U18" s="2"/>
      <c r="V18" s="2">
        <f t="shared" si="4"/>
        <v>6</v>
      </c>
      <c r="W18" s="2">
        <f t="shared" si="5"/>
        <v>88</v>
      </c>
      <c r="AA18" s="4" t="s">
        <v>9</v>
      </c>
      <c r="AB18" s="2">
        <f>AB17*AB16</f>
        <v>240</v>
      </c>
      <c r="AF18" s="2" t="s">
        <v>1042</v>
      </c>
      <c r="AG18" s="2">
        <v>2</v>
      </c>
      <c r="AH18" s="2">
        <v>3</v>
      </c>
      <c r="AI18" s="2">
        <v>12</v>
      </c>
      <c r="AJ18" s="36">
        <f t="shared" si="6"/>
        <v>24</v>
      </c>
      <c r="AK18" s="36">
        <f t="shared" si="7"/>
        <v>36</v>
      </c>
    </row>
    <row r="19" spans="2:37">
      <c r="B19" s="2"/>
      <c r="C19" s="2">
        <v>16</v>
      </c>
      <c r="D19" s="9">
        <f>'1、经济推算'!F18</f>
        <v>836.27445184567694</v>
      </c>
      <c r="E19" s="9">
        <f>'1、经济推算'!U18</f>
        <v>1240</v>
      </c>
      <c r="F19" s="9">
        <f t="shared" si="2"/>
        <v>3.3333333333333333E-2</v>
      </c>
      <c r="G19" s="31">
        <f>'1、经济推算'!S18</f>
        <v>0.12304364718731473</v>
      </c>
      <c r="H19" s="2">
        <v>3</v>
      </c>
      <c r="I19" s="2">
        <v>3</v>
      </c>
      <c r="J19" s="2">
        <v>3</v>
      </c>
      <c r="K19" s="2">
        <v>3</v>
      </c>
      <c r="L19" s="2"/>
      <c r="M19" s="2">
        <v>3</v>
      </c>
      <c r="N19" s="2">
        <v>3</v>
      </c>
      <c r="O19" s="2"/>
      <c r="P19" s="2"/>
      <c r="Q19" s="2"/>
      <c r="R19" s="9">
        <f t="shared" si="3"/>
        <v>62</v>
      </c>
      <c r="S19" s="9">
        <f t="shared" si="0"/>
        <v>744</v>
      </c>
      <c r="T19" s="9">
        <f t="shared" si="1"/>
        <v>496</v>
      </c>
      <c r="U19" s="2"/>
      <c r="V19" s="2">
        <f t="shared" si="4"/>
        <v>6</v>
      </c>
      <c r="W19" s="2">
        <f t="shared" si="5"/>
        <v>90</v>
      </c>
      <c r="AA19" s="4" t="s">
        <v>72</v>
      </c>
      <c r="AB19" s="2">
        <f>AE27*2+AE26</f>
        <v>220</v>
      </c>
      <c r="AF19" s="2" t="s">
        <v>1043</v>
      </c>
      <c r="AG19" s="2">
        <v>2</v>
      </c>
      <c r="AH19" s="2">
        <v>3</v>
      </c>
      <c r="AI19" s="2">
        <v>12</v>
      </c>
      <c r="AJ19" s="36">
        <f t="shared" si="6"/>
        <v>24</v>
      </c>
      <c r="AK19" s="36">
        <f t="shared" si="7"/>
        <v>36</v>
      </c>
    </row>
    <row r="20" spans="2:37">
      <c r="B20" s="2"/>
      <c r="C20" s="2">
        <v>17</v>
      </c>
      <c r="D20" s="9">
        <f>'1、经济推算'!F19</f>
        <v>920.5366828557253</v>
      </c>
      <c r="E20" s="9">
        <f>'1、经济推算'!U19</f>
        <v>1471</v>
      </c>
      <c r="F20" s="9">
        <f t="shared" si="2"/>
        <v>3.3333333333333333E-2</v>
      </c>
      <c r="G20" s="31">
        <f>'1、经济推算'!S19</f>
        <v>0.14593973187409112</v>
      </c>
      <c r="H20" s="2">
        <v>3</v>
      </c>
      <c r="I20" s="2">
        <v>3</v>
      </c>
      <c r="J20" s="2">
        <v>3</v>
      </c>
      <c r="K20" s="2">
        <v>3</v>
      </c>
      <c r="L20" s="2"/>
      <c r="M20" s="2">
        <v>3</v>
      </c>
      <c r="N20" s="2">
        <v>3</v>
      </c>
      <c r="O20" s="2"/>
      <c r="P20" s="2"/>
      <c r="Q20" s="2"/>
      <c r="R20" s="9">
        <f t="shared" si="3"/>
        <v>73.55</v>
      </c>
      <c r="S20" s="9">
        <f t="shared" si="0"/>
        <v>882.6</v>
      </c>
      <c r="T20" s="9">
        <f t="shared" si="1"/>
        <v>588.4</v>
      </c>
      <c r="U20" s="2"/>
      <c r="V20" s="2">
        <f t="shared" si="4"/>
        <v>6</v>
      </c>
      <c r="W20" s="2">
        <f t="shared" si="5"/>
        <v>92</v>
      </c>
      <c r="AA20" s="4" t="s">
        <v>12</v>
      </c>
      <c r="AB20" s="2">
        <f>AB18+AB19</f>
        <v>460</v>
      </c>
      <c r="AF20" s="2" t="s">
        <v>1044</v>
      </c>
      <c r="AG20" s="2">
        <v>2</v>
      </c>
      <c r="AH20" s="2">
        <v>3</v>
      </c>
      <c r="AI20" s="2">
        <v>12</v>
      </c>
      <c r="AJ20" s="36">
        <f t="shared" si="6"/>
        <v>24</v>
      </c>
      <c r="AK20" s="36">
        <f t="shared" si="7"/>
        <v>36</v>
      </c>
    </row>
    <row r="21" spans="2:37">
      <c r="B21" s="2"/>
      <c r="C21" s="2">
        <v>18</v>
      </c>
      <c r="D21" s="9">
        <f>'1、经济推算'!F20</f>
        <v>1013.2890973923903</v>
      </c>
      <c r="E21" s="9">
        <f>'1、经济推算'!U20</f>
        <v>1736</v>
      </c>
      <c r="F21" s="9">
        <f t="shared" si="2"/>
        <v>3.3333333333333333E-2</v>
      </c>
      <c r="G21" s="31">
        <f>'1、经济推算'!S20</f>
        <v>0.17227827158115711</v>
      </c>
      <c r="H21" s="2">
        <v>3</v>
      </c>
      <c r="I21" s="2">
        <v>3</v>
      </c>
      <c r="J21" s="2">
        <v>3</v>
      </c>
      <c r="K21" s="2">
        <v>3</v>
      </c>
      <c r="L21" s="2"/>
      <c r="M21" s="2">
        <v>3</v>
      </c>
      <c r="N21" s="2">
        <v>3</v>
      </c>
      <c r="O21" s="2"/>
      <c r="P21" s="2"/>
      <c r="Q21" s="2"/>
      <c r="R21" s="9">
        <f t="shared" si="3"/>
        <v>86.8</v>
      </c>
      <c r="S21" s="9">
        <f t="shared" si="0"/>
        <v>1041.5999999999999</v>
      </c>
      <c r="T21" s="9">
        <f t="shared" si="1"/>
        <v>694.40000000000009</v>
      </c>
      <c r="U21" s="2"/>
      <c r="V21" s="2">
        <f t="shared" si="4"/>
        <v>6</v>
      </c>
      <c r="W21" s="2">
        <f t="shared" si="5"/>
        <v>94</v>
      </c>
      <c r="AF21" s="2" t="s">
        <v>1045</v>
      </c>
      <c r="AG21" s="2">
        <v>2</v>
      </c>
      <c r="AH21" s="2">
        <v>3</v>
      </c>
      <c r="AI21" s="2">
        <v>12</v>
      </c>
      <c r="AJ21" s="36">
        <f t="shared" si="6"/>
        <v>24</v>
      </c>
      <c r="AK21" s="36">
        <f t="shared" si="7"/>
        <v>36</v>
      </c>
    </row>
    <row r="22" spans="2:37">
      <c r="B22" s="2"/>
      <c r="C22" s="2">
        <v>19</v>
      </c>
      <c r="D22" s="9">
        <f>'1、经济推算'!F21</f>
        <v>1115.3871584009514</v>
      </c>
      <c r="E22" s="9">
        <f>'1、经济推算'!U21</f>
        <v>2039</v>
      </c>
      <c r="F22" s="9">
        <f t="shared" si="2"/>
        <v>3.3333333333333333E-2</v>
      </c>
      <c r="G22" s="31">
        <f>'1、经济推算'!S21</f>
        <v>0.20236470439033</v>
      </c>
      <c r="H22" s="2">
        <v>3</v>
      </c>
      <c r="I22" s="2">
        <v>3</v>
      </c>
      <c r="J22" s="2">
        <v>3</v>
      </c>
      <c r="K22" s="2">
        <v>3</v>
      </c>
      <c r="L22" s="2"/>
      <c r="M22" s="2">
        <v>3</v>
      </c>
      <c r="N22" s="2">
        <v>3</v>
      </c>
      <c r="O22" s="2"/>
      <c r="P22" s="2"/>
      <c r="Q22" s="2"/>
      <c r="R22" s="9">
        <f t="shared" si="3"/>
        <v>101.95</v>
      </c>
      <c r="S22" s="9">
        <f t="shared" si="0"/>
        <v>1223.3999999999999</v>
      </c>
      <c r="T22" s="9">
        <f t="shared" si="1"/>
        <v>815.6</v>
      </c>
      <c r="U22" s="2"/>
      <c r="V22" s="2">
        <f t="shared" si="4"/>
        <v>6</v>
      </c>
      <c r="W22" s="2">
        <f t="shared" si="5"/>
        <v>96</v>
      </c>
      <c r="AF22" s="2" t="s">
        <v>1039</v>
      </c>
      <c r="AG22" s="2">
        <v>2</v>
      </c>
      <c r="AH22" s="2">
        <v>3</v>
      </c>
      <c r="AI22" s="2">
        <v>12</v>
      </c>
      <c r="AJ22" s="36">
        <f t="shared" si="6"/>
        <v>24</v>
      </c>
      <c r="AK22" s="36">
        <f t="shared" si="7"/>
        <v>36</v>
      </c>
    </row>
    <row r="23" spans="2:37">
      <c r="B23" s="2"/>
      <c r="C23" s="2">
        <v>20</v>
      </c>
      <c r="D23" s="9">
        <f>'1、经济推算'!F22</f>
        <v>1227.7725244723349</v>
      </c>
      <c r="E23" s="9">
        <f>'1、经济推算'!U22</f>
        <v>2384</v>
      </c>
      <c r="F23" s="9">
        <f t="shared" si="2"/>
        <v>3.3333333333333333E-2</v>
      </c>
      <c r="G23" s="31">
        <f>'1、经济推算'!S22</f>
        <v>0.23651591247522405</v>
      </c>
      <c r="H23" s="2">
        <v>3</v>
      </c>
      <c r="I23" s="2">
        <v>3</v>
      </c>
      <c r="J23" s="2">
        <v>3</v>
      </c>
      <c r="K23" s="2">
        <v>3</v>
      </c>
      <c r="L23" s="2"/>
      <c r="M23" s="2">
        <v>3</v>
      </c>
      <c r="N23" s="2">
        <v>3</v>
      </c>
      <c r="O23" s="2"/>
      <c r="P23" s="2"/>
      <c r="Q23" s="2"/>
      <c r="R23" s="9">
        <f t="shared" si="3"/>
        <v>119.2</v>
      </c>
      <c r="S23" s="9">
        <f t="shared" si="0"/>
        <v>1430.3999999999999</v>
      </c>
      <c r="T23" s="9">
        <f t="shared" si="1"/>
        <v>953.6</v>
      </c>
      <c r="U23" s="2"/>
      <c r="V23" s="2">
        <f t="shared" si="4"/>
        <v>7</v>
      </c>
      <c r="W23" s="2">
        <f t="shared" si="5"/>
        <v>98</v>
      </c>
      <c r="AJ23">
        <f>SUM(AJ16:AJ22)</f>
        <v>238</v>
      </c>
      <c r="AK23">
        <f>SUM(AK16:AK22)</f>
        <v>348</v>
      </c>
    </row>
    <row r="24" spans="2:37">
      <c r="B24" s="2"/>
      <c r="C24" s="2">
        <v>21</v>
      </c>
      <c r="D24" s="9">
        <f>'1、经济推算'!F23</f>
        <v>1351.4817348356919</v>
      </c>
      <c r="E24" s="9">
        <f>'1、经济推算'!U23</f>
        <v>2772</v>
      </c>
      <c r="F24" s="9">
        <f t="shared" si="2"/>
        <v>3.3333333333333333E-2</v>
      </c>
      <c r="G24" s="31">
        <f>'1、经济推算'!S23</f>
        <v>0.27506022210125036</v>
      </c>
      <c r="H24" s="2">
        <v>3</v>
      </c>
      <c r="I24" s="2">
        <v>3</v>
      </c>
      <c r="J24" s="2">
        <v>3</v>
      </c>
      <c r="K24" s="2">
        <v>3</v>
      </c>
      <c r="L24" s="2"/>
      <c r="M24" s="2">
        <v>3</v>
      </c>
      <c r="N24" s="2">
        <v>3</v>
      </c>
      <c r="O24" s="2">
        <v>3</v>
      </c>
      <c r="P24" s="2"/>
      <c r="Q24" s="2">
        <v>3</v>
      </c>
      <c r="R24" s="9">
        <f t="shared" si="3"/>
        <v>138.6</v>
      </c>
      <c r="S24" s="9">
        <f t="shared" si="0"/>
        <v>1663.2</v>
      </c>
      <c r="T24" s="9">
        <f t="shared" si="1"/>
        <v>1108.8</v>
      </c>
      <c r="U24" s="2"/>
      <c r="V24" s="2">
        <f t="shared" si="4"/>
        <v>7</v>
      </c>
      <c r="W24" s="2">
        <f>ROUND(W23+V24*0.3,0)</f>
        <v>100</v>
      </c>
      <c r="AA24" s="2" t="s">
        <v>79</v>
      </c>
      <c r="AB24" s="9">
        <f>SUM(E4:E23)</f>
        <v>15287</v>
      </c>
    </row>
    <row r="25" spans="2:37">
      <c r="B25" s="2"/>
      <c r="C25" s="2">
        <v>22</v>
      </c>
      <c r="D25" s="9">
        <f>'1、经济推算'!F24</f>
        <v>1487.6557694426954</v>
      </c>
      <c r="E25" s="9">
        <f>'1、经济推算'!U24</f>
        <v>3208</v>
      </c>
      <c r="F25" s="9">
        <f t="shared" si="2"/>
        <v>3.3333333333333333E-2</v>
      </c>
      <c r="G25" s="31">
        <f>'1、经济推算'!S24</f>
        <v>0.31833740362561697</v>
      </c>
      <c r="H25" s="2">
        <v>3</v>
      </c>
      <c r="I25" s="2">
        <v>3</v>
      </c>
      <c r="J25" s="2">
        <v>3</v>
      </c>
      <c r="K25" s="2">
        <v>3</v>
      </c>
      <c r="L25" s="2"/>
      <c r="M25" s="2">
        <v>3</v>
      </c>
      <c r="N25" s="2">
        <v>3</v>
      </c>
      <c r="O25" s="2">
        <v>3</v>
      </c>
      <c r="P25" s="2"/>
      <c r="Q25" s="2">
        <v>3</v>
      </c>
      <c r="R25" s="9">
        <f t="shared" si="3"/>
        <v>160.4</v>
      </c>
      <c r="S25" s="9">
        <f t="shared" si="0"/>
        <v>1924.8</v>
      </c>
      <c r="T25" s="9">
        <f t="shared" si="1"/>
        <v>1283.2</v>
      </c>
      <c r="U25" s="2"/>
      <c r="V25" s="2">
        <f t="shared" si="4"/>
        <v>7</v>
      </c>
      <c r="W25" s="2">
        <f t="shared" si="5"/>
        <v>102</v>
      </c>
      <c r="AA25" s="2" t="s">
        <v>1057</v>
      </c>
      <c r="AB25" s="9">
        <f>AB26*AC5</f>
        <v>9200</v>
      </c>
    </row>
    <row r="26" spans="2:37">
      <c r="B26" s="2"/>
      <c r="C26" s="2">
        <v>23</v>
      </c>
      <c r="D26" s="9">
        <f>'1、经济推算'!F25</f>
        <v>1637.550572316984</v>
      </c>
      <c r="E26" s="9">
        <f>'1、经济推算'!U25</f>
        <v>3696</v>
      </c>
      <c r="F26" s="9">
        <f t="shared" si="2"/>
        <v>3.3333333333333333E-2</v>
      </c>
      <c r="G26" s="31">
        <f>'1、经济推算'!S25</f>
        <v>0.36669867149732865</v>
      </c>
      <c r="H26" s="2">
        <v>3</v>
      </c>
      <c r="I26" s="2">
        <v>3</v>
      </c>
      <c r="J26" s="2">
        <v>3</v>
      </c>
      <c r="K26" s="2">
        <v>3</v>
      </c>
      <c r="L26" s="2"/>
      <c r="M26" s="2">
        <v>3</v>
      </c>
      <c r="N26" s="2">
        <v>3</v>
      </c>
      <c r="O26" s="2">
        <v>3</v>
      </c>
      <c r="P26" s="2"/>
      <c r="Q26" s="2">
        <v>3</v>
      </c>
      <c r="R26" s="9">
        <f t="shared" si="3"/>
        <v>184.8</v>
      </c>
      <c r="S26" s="9">
        <f t="shared" si="0"/>
        <v>2217.6</v>
      </c>
      <c r="T26" s="9">
        <f t="shared" si="1"/>
        <v>1478.4</v>
      </c>
      <c r="U26" s="2"/>
      <c r="V26" s="2">
        <f t="shared" si="4"/>
        <v>7</v>
      </c>
      <c r="W26" s="2">
        <f t="shared" si="5"/>
        <v>104</v>
      </c>
      <c r="AA26" s="19" t="s">
        <v>82</v>
      </c>
      <c r="AB26" s="21">
        <v>460</v>
      </c>
      <c r="AD26" t="s">
        <v>1050</v>
      </c>
      <c r="AE26">
        <v>60</v>
      </c>
    </row>
    <row r="27" spans="2:37">
      <c r="B27" s="2"/>
      <c r="C27" s="2">
        <v>24</v>
      </c>
      <c r="D27" s="9">
        <f>'1、经济推算'!F26</f>
        <v>1802.5486352264479</v>
      </c>
      <c r="E27" s="9">
        <f>'1、经济推算'!U26</f>
        <v>4238</v>
      </c>
      <c r="F27" s="9">
        <f t="shared" si="2"/>
        <v>3.3333333333333333E-2</v>
      </c>
      <c r="G27" s="31">
        <f>'1、经济推算'!S26</f>
        <v>0.42050668425718718</v>
      </c>
      <c r="H27" s="2">
        <v>3</v>
      </c>
      <c r="I27" s="2">
        <v>3</v>
      </c>
      <c r="J27" s="2">
        <v>3</v>
      </c>
      <c r="K27" s="2">
        <v>3</v>
      </c>
      <c r="L27" s="2">
        <v>3</v>
      </c>
      <c r="M27" s="2">
        <v>3</v>
      </c>
      <c r="N27" s="2">
        <v>3</v>
      </c>
      <c r="O27" s="2">
        <v>3</v>
      </c>
      <c r="P27" s="2"/>
      <c r="Q27" s="2">
        <v>3</v>
      </c>
      <c r="R27" s="9">
        <f t="shared" si="3"/>
        <v>211.9</v>
      </c>
      <c r="S27" s="9">
        <f t="shared" si="0"/>
        <v>2542.7999999999997</v>
      </c>
      <c r="T27" s="9">
        <f t="shared" si="1"/>
        <v>1695.2</v>
      </c>
      <c r="U27" s="2"/>
      <c r="V27" s="2">
        <f t="shared" si="4"/>
        <v>7</v>
      </c>
      <c r="W27" s="2">
        <f t="shared" si="5"/>
        <v>106</v>
      </c>
      <c r="AA27" s="3" t="s">
        <v>142</v>
      </c>
      <c r="AB27" t="s">
        <v>143</v>
      </c>
      <c r="AC27" s="21">
        <f>SUM(V4:V23)</f>
        <v>112</v>
      </c>
      <c r="AD27" s="2" t="s">
        <v>144</v>
      </c>
      <c r="AE27" s="2">
        <v>80</v>
      </c>
      <c r="AF27" s="2" t="s">
        <v>145</v>
      </c>
      <c r="AG27" s="2">
        <v>60</v>
      </c>
    </row>
    <row r="28" spans="2:37">
      <c r="B28" s="2"/>
      <c r="C28" s="2">
        <v>25</v>
      </c>
      <c r="D28" s="9">
        <f>'1、经济推算'!F27</f>
        <v>1984.1717485154882</v>
      </c>
      <c r="E28" s="9">
        <f>'1、经济推算'!U27</f>
        <v>4839</v>
      </c>
      <c r="F28" s="9">
        <f t="shared" si="2"/>
        <v>3.3333333333333333E-2</v>
      </c>
      <c r="G28" s="31">
        <f>'1、经济推算'!S27</f>
        <v>0.48013554453779117</v>
      </c>
      <c r="H28" s="2">
        <v>3</v>
      </c>
      <c r="I28" s="2">
        <v>3</v>
      </c>
      <c r="J28" s="2">
        <v>3</v>
      </c>
      <c r="K28" s="2">
        <v>3</v>
      </c>
      <c r="L28" s="2">
        <v>3</v>
      </c>
      <c r="M28" s="2">
        <v>3</v>
      </c>
      <c r="N28" s="2">
        <v>3</v>
      </c>
      <c r="O28" s="2">
        <v>3</v>
      </c>
      <c r="P28" s="2"/>
      <c r="Q28" s="2">
        <v>3</v>
      </c>
      <c r="R28" s="9">
        <f t="shared" si="3"/>
        <v>241.95</v>
      </c>
      <c r="S28" s="9">
        <f t="shared" si="0"/>
        <v>2903.4</v>
      </c>
      <c r="T28" s="9">
        <f t="shared" si="1"/>
        <v>1935.6000000000001</v>
      </c>
      <c r="U28" s="2"/>
      <c r="V28" s="2">
        <f t="shared" si="4"/>
        <v>7</v>
      </c>
      <c r="W28" s="2">
        <f t="shared" si="5"/>
        <v>108</v>
      </c>
      <c r="AA28" s="2" t="s">
        <v>80</v>
      </c>
      <c r="AB28" s="2">
        <f>AB26*AC5</f>
        <v>9200</v>
      </c>
    </row>
    <row r="29" spans="2:37">
      <c r="B29" s="2"/>
      <c r="C29" s="2">
        <v>26</v>
      </c>
      <c r="D29" s="9">
        <f>'1、经济推算'!F28</f>
        <v>2184.0950366992051</v>
      </c>
      <c r="E29" s="9">
        <f>'1、经济推算'!U28</f>
        <v>5503</v>
      </c>
      <c r="F29" s="9">
        <f t="shared" si="2"/>
        <v>3.3333333333333333E-2</v>
      </c>
      <c r="G29" s="31">
        <f>'1、经济推算'!S28</f>
        <v>0.54597079906353607</v>
      </c>
      <c r="H29" s="2">
        <v>3</v>
      </c>
      <c r="I29" s="2">
        <v>3</v>
      </c>
      <c r="J29" s="2">
        <v>3</v>
      </c>
      <c r="K29" s="2">
        <v>3</v>
      </c>
      <c r="L29" s="2">
        <v>3</v>
      </c>
      <c r="M29" s="2">
        <v>3</v>
      </c>
      <c r="N29" s="2">
        <v>3</v>
      </c>
      <c r="O29" s="2">
        <v>3</v>
      </c>
      <c r="P29" s="2"/>
      <c r="Q29" s="2">
        <v>3</v>
      </c>
      <c r="R29" s="9">
        <f t="shared" si="3"/>
        <v>275.14999999999998</v>
      </c>
      <c r="S29" s="9">
        <f t="shared" si="0"/>
        <v>3301.7999999999997</v>
      </c>
      <c r="T29" s="9">
        <f t="shared" si="1"/>
        <v>2201.2000000000003</v>
      </c>
      <c r="U29" s="2"/>
      <c r="V29" s="2">
        <f t="shared" si="4"/>
        <v>7</v>
      </c>
      <c r="W29" s="2">
        <f t="shared" si="5"/>
        <v>110</v>
      </c>
      <c r="AA29" s="2" t="s">
        <v>81</v>
      </c>
      <c r="AB29" s="102">
        <f>AB24-AB28</f>
        <v>6087</v>
      </c>
    </row>
    <row r="30" spans="2:37">
      <c r="B30" s="2"/>
      <c r="C30" s="2">
        <v>27</v>
      </c>
      <c r="D30" s="9">
        <f>'1、经济推算'!F29</f>
        <v>2404.1624082709127</v>
      </c>
      <c r="E30" s="9">
        <f>'1、经济推算'!U29</f>
        <v>6233</v>
      </c>
      <c r="F30" s="9">
        <f t="shared" si="2"/>
        <v>3.3333333333333333E-2</v>
      </c>
      <c r="G30" s="31">
        <f>'1、经济推算'!S29</f>
        <v>0.61840943865061426</v>
      </c>
      <c r="H30" s="2">
        <v>3</v>
      </c>
      <c r="I30" s="2">
        <v>3</v>
      </c>
      <c r="J30" s="2">
        <v>3</v>
      </c>
      <c r="K30" s="2">
        <v>3</v>
      </c>
      <c r="L30" s="2">
        <v>3</v>
      </c>
      <c r="M30" s="2">
        <v>3</v>
      </c>
      <c r="N30" s="2">
        <v>3</v>
      </c>
      <c r="O30" s="2">
        <v>3</v>
      </c>
      <c r="P30" s="2"/>
      <c r="Q30" s="2">
        <v>3</v>
      </c>
      <c r="R30" s="9">
        <f t="shared" si="3"/>
        <v>311.64999999999998</v>
      </c>
      <c r="S30" s="9">
        <f t="shared" si="0"/>
        <v>3739.7999999999997</v>
      </c>
      <c r="T30" s="9">
        <f t="shared" si="1"/>
        <v>2493.2000000000003</v>
      </c>
      <c r="U30" s="2"/>
      <c r="V30" s="2">
        <f t="shared" si="4"/>
        <v>7</v>
      </c>
      <c r="W30" s="2">
        <f t="shared" si="5"/>
        <v>112</v>
      </c>
      <c r="AA30" s="4"/>
      <c r="AB30" s="2"/>
      <c r="AC30" s="2"/>
      <c r="AD30" s="2"/>
    </row>
    <row r="31" spans="2:37">
      <c r="B31" s="2"/>
      <c r="C31" s="2">
        <v>28</v>
      </c>
      <c r="D31" s="9">
        <f>'1、经济推算'!F30</f>
        <v>2646.4035622177998</v>
      </c>
      <c r="E31" s="9">
        <f>'1、经济推算'!U30</f>
        <v>7034</v>
      </c>
      <c r="F31" s="9">
        <f t="shared" si="2"/>
        <v>3.3333333333333333E-2</v>
      </c>
      <c r="G31" s="31">
        <f>'1、经济推算'!S30</f>
        <v>0.69785989820701477</v>
      </c>
      <c r="H31" s="2">
        <v>3</v>
      </c>
      <c r="I31" s="2">
        <v>3</v>
      </c>
      <c r="J31" s="2">
        <v>3</v>
      </c>
      <c r="K31" s="2">
        <v>3</v>
      </c>
      <c r="L31" s="2">
        <v>3</v>
      </c>
      <c r="M31" s="2">
        <v>3</v>
      </c>
      <c r="N31" s="2">
        <v>3</v>
      </c>
      <c r="O31" s="2">
        <v>3</v>
      </c>
      <c r="P31" s="2"/>
      <c r="Q31" s="2">
        <v>3</v>
      </c>
      <c r="R31" s="9">
        <f t="shared" si="3"/>
        <v>351.7</v>
      </c>
      <c r="S31" s="9">
        <f t="shared" si="0"/>
        <v>4220.3999999999996</v>
      </c>
      <c r="T31" s="9">
        <f t="shared" si="1"/>
        <v>2813.6000000000004</v>
      </c>
      <c r="U31" s="2"/>
      <c r="V31" s="2">
        <f t="shared" si="4"/>
        <v>7</v>
      </c>
      <c r="W31" s="2">
        <f t="shared" si="5"/>
        <v>114</v>
      </c>
      <c r="AA31" s="4"/>
      <c r="AB31" s="2"/>
      <c r="AC31" s="2"/>
      <c r="AD31" s="2"/>
    </row>
    <row r="32" spans="2:37">
      <c r="B32" s="2"/>
      <c r="C32" s="2">
        <v>29</v>
      </c>
      <c r="D32" s="9">
        <f>'1、经济推算'!F31</f>
        <v>2913.0527080971974</v>
      </c>
      <c r="E32" s="9">
        <f>'1、经济推算'!U31</f>
        <v>7910</v>
      </c>
      <c r="F32" s="9">
        <f t="shared" si="2"/>
        <v>3.3333333333333333E-2</v>
      </c>
      <c r="G32" s="31">
        <f>'1、经济推算'!S31</f>
        <v>0.78474205673252406</v>
      </c>
      <c r="H32" s="2">
        <v>3</v>
      </c>
      <c r="I32" s="2">
        <v>3</v>
      </c>
      <c r="J32" s="2">
        <v>3</v>
      </c>
      <c r="K32" s="2">
        <v>3</v>
      </c>
      <c r="L32" s="2">
        <v>3</v>
      </c>
      <c r="M32" s="2">
        <v>3</v>
      </c>
      <c r="N32" s="2">
        <v>3</v>
      </c>
      <c r="O32" s="2">
        <v>3</v>
      </c>
      <c r="P32" s="2"/>
      <c r="Q32" s="2">
        <v>3</v>
      </c>
      <c r="R32" s="9">
        <f t="shared" si="3"/>
        <v>395.5</v>
      </c>
      <c r="S32" s="9">
        <f t="shared" si="0"/>
        <v>4746</v>
      </c>
      <c r="T32" s="9">
        <f t="shared" si="1"/>
        <v>3164</v>
      </c>
      <c r="U32" s="2"/>
      <c r="V32" s="2">
        <f t="shared" si="4"/>
        <v>7</v>
      </c>
      <c r="W32" s="2">
        <f t="shared" si="5"/>
        <v>116</v>
      </c>
      <c r="AA32" s="4"/>
      <c r="AB32" s="2"/>
      <c r="AC32" s="2"/>
      <c r="AD32" s="2"/>
    </row>
    <row r="33" spans="2:35">
      <c r="B33" s="2"/>
      <c r="C33" s="2">
        <v>30</v>
      </c>
      <c r="D33" s="9">
        <f>'1、经济推算'!F32</f>
        <v>3206.5691723301957</v>
      </c>
      <c r="E33" s="9">
        <f>'1、经济推算'!U32</f>
        <v>8865</v>
      </c>
      <c r="F33" s="9">
        <v>1</v>
      </c>
      <c r="G33" s="31">
        <f>'1、经济推算'!S32</f>
        <v>0.87948723731872502</v>
      </c>
      <c r="H33" s="2">
        <v>3</v>
      </c>
      <c r="I33" s="2">
        <v>3</v>
      </c>
      <c r="J33" s="2">
        <v>3</v>
      </c>
      <c r="K33" s="2">
        <v>3</v>
      </c>
      <c r="L33" s="2">
        <v>3</v>
      </c>
      <c r="M33" s="2">
        <v>3</v>
      </c>
      <c r="N33" s="2">
        <v>3</v>
      </c>
      <c r="O33" s="2">
        <v>3</v>
      </c>
      <c r="P33" s="2"/>
      <c r="Q33" s="2">
        <v>3</v>
      </c>
      <c r="R33" s="9">
        <f t="shared" si="3"/>
        <v>443.25</v>
      </c>
      <c r="S33" s="9">
        <f t="shared" si="0"/>
        <v>5319</v>
      </c>
      <c r="T33" s="9">
        <f t="shared" si="1"/>
        <v>3546</v>
      </c>
      <c r="U33" s="2"/>
      <c r="V33" s="2">
        <f t="shared" si="4"/>
        <v>8</v>
      </c>
      <c r="W33" s="2">
        <f t="shared" si="5"/>
        <v>118</v>
      </c>
      <c r="AA33" s="4"/>
      <c r="AB33" s="2"/>
      <c r="AC33" s="2"/>
      <c r="AD33" s="2"/>
    </row>
    <row r="34" spans="2:35">
      <c r="B34" s="2"/>
      <c r="C34" s="2">
        <v>31</v>
      </c>
      <c r="D34" s="9">
        <f>'1、经济推算'!F33</f>
        <v>3529.6600807661334</v>
      </c>
      <c r="E34" s="9">
        <f>'1、经济推算'!U33</f>
        <v>9903</v>
      </c>
      <c r="F34" s="9"/>
      <c r="G34" s="31">
        <f>'1、经济推算'!S33</f>
        <v>0.98253820714899731</v>
      </c>
      <c r="H34" s="2">
        <v>3</v>
      </c>
      <c r="I34" s="2">
        <v>3</v>
      </c>
      <c r="J34" s="2">
        <v>3</v>
      </c>
      <c r="K34" s="2">
        <v>3</v>
      </c>
      <c r="L34" s="2">
        <v>3</v>
      </c>
      <c r="M34" s="2">
        <v>3</v>
      </c>
      <c r="N34" s="2">
        <v>3</v>
      </c>
      <c r="O34" s="2">
        <v>3</v>
      </c>
      <c r="P34" s="2"/>
      <c r="Q34" s="2">
        <v>3</v>
      </c>
      <c r="R34" s="9">
        <f t="shared" si="3"/>
        <v>495.15</v>
      </c>
      <c r="S34" s="9">
        <f t="shared" si="0"/>
        <v>5941.8</v>
      </c>
      <c r="T34" s="9">
        <f t="shared" si="1"/>
        <v>3961.2000000000003</v>
      </c>
      <c r="U34" s="2"/>
      <c r="V34" s="2">
        <f t="shared" si="4"/>
        <v>8</v>
      </c>
      <c r="W34" s="2">
        <f t="shared" si="5"/>
        <v>120</v>
      </c>
    </row>
    <row r="35" spans="2:35">
      <c r="B35" s="2"/>
      <c r="C35" s="2">
        <v>32</v>
      </c>
      <c r="D35" s="9">
        <f>'1、经济推算'!F34</f>
        <v>3885.3053267210421</v>
      </c>
      <c r="E35" s="9">
        <f>'1、经济推算'!U34</f>
        <v>11031</v>
      </c>
      <c r="F35" s="9"/>
      <c r="G35" s="31">
        <f>'1、经济推算'!S34</f>
        <v>1.0943491774985179</v>
      </c>
      <c r="H35" s="2">
        <v>3</v>
      </c>
      <c r="I35" s="2">
        <v>3</v>
      </c>
      <c r="J35" s="2">
        <v>3</v>
      </c>
      <c r="K35" s="2">
        <v>3</v>
      </c>
      <c r="L35" s="2">
        <v>3</v>
      </c>
      <c r="M35" s="2">
        <v>3</v>
      </c>
      <c r="N35" s="2">
        <v>3</v>
      </c>
      <c r="O35" s="2">
        <v>3</v>
      </c>
      <c r="P35" s="2"/>
      <c r="Q35" s="2">
        <v>3</v>
      </c>
      <c r="R35" s="9">
        <f t="shared" si="3"/>
        <v>551.54999999999995</v>
      </c>
      <c r="S35" s="9">
        <f t="shared" si="0"/>
        <v>6618.5999999999995</v>
      </c>
      <c r="T35" s="9">
        <f t="shared" si="1"/>
        <v>4412.4000000000005</v>
      </c>
      <c r="U35" s="2"/>
      <c r="V35" s="2">
        <f t="shared" si="4"/>
        <v>8</v>
      </c>
      <c r="W35" s="2">
        <f t="shared" si="5"/>
        <v>122</v>
      </c>
      <c r="AA35" s="170" t="s">
        <v>107</v>
      </c>
      <c r="AB35" s="170"/>
      <c r="AC35" t="s">
        <v>1051</v>
      </c>
    </row>
    <row r="36" spans="2:35">
      <c r="B36" s="2"/>
      <c r="C36" s="2">
        <v>33</v>
      </c>
      <c r="D36" s="9">
        <f>'1、经济推算'!F35</f>
        <v>4276.7850547722746</v>
      </c>
      <c r="E36" s="9">
        <f>'1、经济推算'!U35</f>
        <v>12251</v>
      </c>
      <c r="F36" s="9"/>
      <c r="G36" s="31">
        <f>'1、经济推算'!S35</f>
        <v>1.21538580373426</v>
      </c>
      <c r="H36" s="2">
        <v>3</v>
      </c>
      <c r="I36" s="2">
        <v>3</v>
      </c>
      <c r="J36" s="2">
        <v>3</v>
      </c>
      <c r="K36" s="2">
        <v>3</v>
      </c>
      <c r="L36" s="2">
        <v>3</v>
      </c>
      <c r="M36" s="2">
        <v>3</v>
      </c>
      <c r="N36" s="2">
        <v>3</v>
      </c>
      <c r="O36" s="2">
        <v>3</v>
      </c>
      <c r="P36" s="2"/>
      <c r="Q36" s="2">
        <v>3</v>
      </c>
      <c r="R36" s="9">
        <f t="shared" si="3"/>
        <v>612.54999999999995</v>
      </c>
      <c r="S36" s="9">
        <f t="shared" ref="S36:S67" si="8">E36*$AA$8</f>
        <v>7350.5999999999995</v>
      </c>
      <c r="T36" s="9">
        <f t="shared" ref="T36:T67" si="9">E36*$AA$7</f>
        <v>4900.4000000000005</v>
      </c>
      <c r="U36" s="2"/>
      <c r="V36" s="2">
        <f t="shared" si="4"/>
        <v>8</v>
      </c>
      <c r="W36" s="2">
        <f t="shared" si="5"/>
        <v>124</v>
      </c>
      <c r="AA36" t="s">
        <v>104</v>
      </c>
      <c r="AB36">
        <v>9</v>
      </c>
      <c r="AC36">
        <v>6</v>
      </c>
      <c r="AD36">
        <f>AB36*AC36</f>
        <v>54</v>
      </c>
    </row>
    <row r="37" spans="2:35">
      <c r="B37" s="2"/>
      <c r="C37" s="2">
        <v>34</v>
      </c>
      <c r="D37" s="9">
        <f>'1、经济推算'!F36</f>
        <v>4707.7099137945679</v>
      </c>
      <c r="E37" s="9">
        <f>'1、经济推算'!U36</f>
        <v>13568</v>
      </c>
      <c r="F37" s="9"/>
      <c r="G37" s="31">
        <f>'1、经济推算'!S36</f>
        <v>1.3461251853149947</v>
      </c>
      <c r="H37" s="2">
        <v>3</v>
      </c>
      <c r="I37" s="2">
        <v>3</v>
      </c>
      <c r="J37" s="2">
        <v>3</v>
      </c>
      <c r="K37" s="2">
        <v>3</v>
      </c>
      <c r="L37" s="2">
        <v>3</v>
      </c>
      <c r="M37" s="2">
        <v>3</v>
      </c>
      <c r="N37" s="2">
        <v>3</v>
      </c>
      <c r="O37" s="2">
        <v>3</v>
      </c>
      <c r="P37" s="2"/>
      <c r="Q37" s="2">
        <v>3</v>
      </c>
      <c r="R37" s="9">
        <f t="shared" si="3"/>
        <v>678.4</v>
      </c>
      <c r="S37" s="9">
        <f t="shared" si="8"/>
        <v>8140.7999999999993</v>
      </c>
      <c r="T37" s="9">
        <f t="shared" si="9"/>
        <v>5427.2000000000007</v>
      </c>
      <c r="U37" s="2"/>
      <c r="V37" s="2">
        <f t="shared" si="4"/>
        <v>8</v>
      </c>
      <c r="W37" s="2">
        <f t="shared" si="5"/>
        <v>126</v>
      </c>
      <c r="AA37" t="s">
        <v>105</v>
      </c>
      <c r="AB37">
        <v>9</v>
      </c>
      <c r="AC37">
        <v>6</v>
      </c>
      <c r="AD37">
        <f>AB37*AC37</f>
        <v>54</v>
      </c>
    </row>
    <row r="38" spans="2:35">
      <c r="B38" s="2"/>
      <c r="C38" s="2">
        <v>35</v>
      </c>
      <c r="D38" s="9">
        <f>'1、经济推算'!F37</f>
        <v>5182.054358263681</v>
      </c>
      <c r="E38" s="9">
        <f>'1、经济推算'!U37</f>
        <v>14989</v>
      </c>
      <c r="F38" s="9">
        <v>2</v>
      </c>
      <c r="G38" s="31">
        <f>'1、经济推算'!S37</f>
        <v>1.4870558657912887</v>
      </c>
      <c r="H38" s="2">
        <v>3</v>
      </c>
      <c r="I38" s="2">
        <v>3</v>
      </c>
      <c r="J38" s="2">
        <v>3</v>
      </c>
      <c r="K38" s="2">
        <v>3</v>
      </c>
      <c r="L38" s="2">
        <v>3</v>
      </c>
      <c r="M38" s="2">
        <v>3</v>
      </c>
      <c r="N38" s="2">
        <v>3</v>
      </c>
      <c r="O38" s="2">
        <v>3</v>
      </c>
      <c r="P38" s="2">
        <v>3</v>
      </c>
      <c r="Q38" s="2">
        <v>3</v>
      </c>
      <c r="R38" s="9">
        <f t="shared" si="3"/>
        <v>749.45</v>
      </c>
      <c r="S38" s="9">
        <f t="shared" si="8"/>
        <v>8993.4</v>
      </c>
      <c r="T38" s="9">
        <f t="shared" si="9"/>
        <v>5995.6</v>
      </c>
      <c r="U38" s="2"/>
      <c r="V38" s="2">
        <f t="shared" si="4"/>
        <v>8</v>
      </c>
      <c r="W38" s="2">
        <f t="shared" si="5"/>
        <v>128</v>
      </c>
      <c r="AA38" t="s">
        <v>1034</v>
      </c>
      <c r="AB38">
        <f>3*2</f>
        <v>6</v>
      </c>
      <c r="AC38">
        <v>12</v>
      </c>
      <c r="AD38">
        <f>AB38*AC38</f>
        <v>72</v>
      </c>
    </row>
    <row r="39" spans="2:35">
      <c r="B39" s="2"/>
      <c r="C39" s="2">
        <v>36</v>
      </c>
      <c r="D39" s="9">
        <f>'1、经济推算'!F38</f>
        <v>5704.1933049682493</v>
      </c>
      <c r="E39" s="9">
        <f>'1、经济推算'!U38</f>
        <v>16517</v>
      </c>
      <c r="F39" s="9"/>
      <c r="G39" s="31">
        <f>'1、经济推算'!S38</f>
        <v>1.6386778328055067</v>
      </c>
      <c r="H39" s="2">
        <v>3</v>
      </c>
      <c r="I39" s="2">
        <v>3</v>
      </c>
      <c r="J39" s="2">
        <v>3</v>
      </c>
      <c r="K39" s="2">
        <v>3</v>
      </c>
      <c r="L39" s="2">
        <v>3</v>
      </c>
      <c r="M39" s="2">
        <v>3</v>
      </c>
      <c r="N39" s="2">
        <v>3</v>
      </c>
      <c r="O39" s="2">
        <v>3</v>
      </c>
      <c r="P39" s="2">
        <v>3</v>
      </c>
      <c r="Q39" s="2">
        <v>3</v>
      </c>
      <c r="R39" s="9">
        <f t="shared" si="3"/>
        <v>825.85</v>
      </c>
      <c r="S39" s="9">
        <f t="shared" si="8"/>
        <v>9910.1999999999989</v>
      </c>
      <c r="T39" s="9">
        <f t="shared" si="9"/>
        <v>6606.8</v>
      </c>
      <c r="U39" s="2"/>
      <c r="V39" s="2">
        <f t="shared" si="4"/>
        <v>8</v>
      </c>
      <c r="W39" s="2">
        <f t="shared" si="5"/>
        <v>130</v>
      </c>
      <c r="AA39" t="s">
        <v>106</v>
      </c>
      <c r="AB39">
        <v>6</v>
      </c>
      <c r="AC39">
        <v>10</v>
      </c>
      <c r="AD39">
        <f>AB39*AC39</f>
        <v>60</v>
      </c>
    </row>
    <row r="40" spans="2:35">
      <c r="B40" s="2"/>
      <c r="C40" s="2">
        <v>37</v>
      </c>
      <c r="D40" s="9">
        <f>'1、经济推算'!F39</f>
        <v>6278.9424832175719</v>
      </c>
      <c r="E40" s="9">
        <f>'1、经济推算'!U39</f>
        <v>18159</v>
      </c>
      <c r="F40" s="9"/>
      <c r="G40" s="31">
        <f>'1、经济推算'!S39</f>
        <v>1.8015025180918096</v>
      </c>
      <c r="H40" s="2">
        <v>3</v>
      </c>
      <c r="I40" s="2">
        <v>3</v>
      </c>
      <c r="J40" s="2">
        <v>3</v>
      </c>
      <c r="K40" s="2">
        <v>3</v>
      </c>
      <c r="L40" s="2">
        <v>3</v>
      </c>
      <c r="M40" s="2">
        <v>3</v>
      </c>
      <c r="N40" s="2">
        <v>3</v>
      </c>
      <c r="O40" s="2">
        <v>3</v>
      </c>
      <c r="P40" s="2">
        <v>3</v>
      </c>
      <c r="Q40" s="2">
        <v>3</v>
      </c>
      <c r="R40" s="9">
        <f t="shared" si="3"/>
        <v>907.95</v>
      </c>
      <c r="S40" s="9">
        <f t="shared" si="8"/>
        <v>10895.4</v>
      </c>
      <c r="T40" s="9">
        <f t="shared" si="9"/>
        <v>7263.6</v>
      </c>
      <c r="U40" s="2"/>
      <c r="V40" s="2">
        <f t="shared" si="4"/>
        <v>8</v>
      </c>
      <c r="W40" s="2">
        <f t="shared" si="5"/>
        <v>132</v>
      </c>
      <c r="AA40" t="s">
        <v>88</v>
      </c>
      <c r="AB40">
        <f>3</f>
        <v>3</v>
      </c>
      <c r="AC40">
        <v>12</v>
      </c>
      <c r="AD40">
        <f>AB40*AC40</f>
        <v>36</v>
      </c>
    </row>
    <row r="41" spans="2:35">
      <c r="B41" s="2"/>
      <c r="C41" s="2">
        <v>38</v>
      </c>
      <c r="D41" s="9">
        <f>'1、经济推算'!F40</f>
        <v>6911.602850698604</v>
      </c>
      <c r="E41" s="9">
        <f>'1、经济推算'!U40</f>
        <v>19918</v>
      </c>
      <c r="F41" s="9">
        <v>3</v>
      </c>
      <c r="G41" s="31">
        <f>'1、经济推算'!S40</f>
        <v>1.9760527974761555</v>
      </c>
      <c r="H41" s="2">
        <v>3</v>
      </c>
      <c r="I41" s="2">
        <v>3</v>
      </c>
      <c r="J41" s="2">
        <v>3</v>
      </c>
      <c r="K41" s="2">
        <v>3</v>
      </c>
      <c r="L41" s="2">
        <v>3</v>
      </c>
      <c r="M41" s="2">
        <v>3</v>
      </c>
      <c r="N41" s="2">
        <v>3</v>
      </c>
      <c r="O41" s="2">
        <v>3</v>
      </c>
      <c r="P41" s="2">
        <v>3</v>
      </c>
      <c r="Q41" s="2">
        <v>3</v>
      </c>
      <c r="R41" s="9">
        <f t="shared" si="3"/>
        <v>995.9</v>
      </c>
      <c r="S41" s="9">
        <f t="shared" si="8"/>
        <v>11950.8</v>
      </c>
      <c r="T41" s="9">
        <f t="shared" si="9"/>
        <v>7967.2000000000007</v>
      </c>
      <c r="U41" s="2"/>
      <c r="V41" s="2">
        <f t="shared" si="4"/>
        <v>8</v>
      </c>
      <c r="W41" s="2">
        <f t="shared" si="5"/>
        <v>134</v>
      </c>
      <c r="AA41" s="22" t="s">
        <v>115</v>
      </c>
      <c r="AB41" s="22">
        <f>AD41</f>
        <v>276</v>
      </c>
      <c r="AD41">
        <f>SUM(AD36:AD40)</f>
        <v>276</v>
      </c>
    </row>
    <row r="42" spans="2:35">
      <c r="B42" s="2"/>
      <c r="C42" s="2">
        <v>39</v>
      </c>
      <c r="D42" s="9">
        <f>'1、经济推算'!F41</f>
        <v>7608.0094846331131</v>
      </c>
      <c r="E42" s="9">
        <f>'1、经济推算'!U41</f>
        <v>21801</v>
      </c>
      <c r="F42" s="9"/>
      <c r="G42" s="31">
        <f>'1、经济推算'!S41</f>
        <v>2.1628629908762993</v>
      </c>
      <c r="H42" s="2">
        <v>3</v>
      </c>
      <c r="I42" s="2">
        <v>3</v>
      </c>
      <c r="J42" s="2">
        <v>3</v>
      </c>
      <c r="K42" s="2">
        <v>3</v>
      </c>
      <c r="L42" s="2">
        <v>3</v>
      </c>
      <c r="M42" s="2">
        <v>3</v>
      </c>
      <c r="N42" s="2">
        <v>3</v>
      </c>
      <c r="O42" s="2">
        <v>3</v>
      </c>
      <c r="P42" s="2">
        <v>3</v>
      </c>
      <c r="Q42" s="2">
        <v>3</v>
      </c>
      <c r="R42" s="9">
        <f t="shared" si="3"/>
        <v>1090.05</v>
      </c>
      <c r="S42" s="9">
        <f t="shared" si="8"/>
        <v>13080.6</v>
      </c>
      <c r="T42" s="9">
        <f t="shared" si="9"/>
        <v>8720.4</v>
      </c>
      <c r="U42" s="2"/>
      <c r="V42" s="2">
        <f t="shared" si="4"/>
        <v>8</v>
      </c>
      <c r="W42" s="2">
        <f t="shared" si="5"/>
        <v>136</v>
      </c>
      <c r="AA42" s="3" t="s">
        <v>113</v>
      </c>
      <c r="AB42" s="3">
        <f>AB41*AC5</f>
        <v>5520</v>
      </c>
    </row>
    <row r="43" spans="2:35">
      <c r="B43" s="2"/>
      <c r="C43" s="2">
        <v>40</v>
      </c>
      <c r="D43" s="9">
        <f>'1、经济推算'!F42</f>
        <v>8374.5853991620552</v>
      </c>
      <c r="E43" s="9">
        <f>'1、经济推算'!U42</f>
        <v>23813</v>
      </c>
      <c r="F43" s="9"/>
      <c r="G43" s="31">
        <f>'1、经济推算'!S42</f>
        <v>2.3624788623017925</v>
      </c>
      <c r="H43" s="2">
        <v>3</v>
      </c>
      <c r="I43" s="2">
        <v>3</v>
      </c>
      <c r="J43" s="2">
        <v>3</v>
      </c>
      <c r="K43" s="2">
        <v>3</v>
      </c>
      <c r="L43" s="2">
        <v>3</v>
      </c>
      <c r="M43" s="2">
        <v>3</v>
      </c>
      <c r="N43" s="2">
        <v>3</v>
      </c>
      <c r="O43" s="2">
        <v>3</v>
      </c>
      <c r="P43" s="2">
        <v>3</v>
      </c>
      <c r="Q43" s="2">
        <v>3</v>
      </c>
      <c r="R43" s="9">
        <f t="shared" si="3"/>
        <v>1190.6500000000001</v>
      </c>
      <c r="S43" s="9">
        <f t="shared" si="8"/>
        <v>14287.8</v>
      </c>
      <c r="T43" s="9">
        <f t="shared" si="9"/>
        <v>9525.2000000000007</v>
      </c>
      <c r="U43" s="2"/>
      <c r="V43" s="2">
        <f t="shared" si="4"/>
        <v>9</v>
      </c>
      <c r="W43" s="2">
        <f t="shared" si="5"/>
        <v>139</v>
      </c>
      <c r="AA43" s="11" t="s">
        <v>114</v>
      </c>
      <c r="AB43" s="11">
        <f>60+AC27</f>
        <v>172</v>
      </c>
    </row>
    <row r="44" spans="2:35">
      <c r="B44" s="2"/>
      <c r="C44" s="2">
        <v>41</v>
      </c>
      <c r="D44" s="9">
        <f>'1、经济推算'!F43</f>
        <v>9218.400785319267</v>
      </c>
      <c r="E44" s="9">
        <f>'1、经济推算'!U43</f>
        <v>25960</v>
      </c>
      <c r="F44" s="9">
        <v>4</v>
      </c>
      <c r="G44" s="31">
        <f>'1、经济推算'!S43</f>
        <v>2.5754576198539838</v>
      </c>
      <c r="H44" s="2">
        <v>3</v>
      </c>
      <c r="I44" s="2">
        <v>3</v>
      </c>
      <c r="J44" s="2">
        <v>3</v>
      </c>
      <c r="K44" s="2">
        <v>3</v>
      </c>
      <c r="L44" s="2">
        <v>3</v>
      </c>
      <c r="M44" s="2">
        <v>3</v>
      </c>
      <c r="N44" s="2">
        <v>3</v>
      </c>
      <c r="O44" s="2">
        <v>3</v>
      </c>
      <c r="P44" s="2">
        <v>3</v>
      </c>
      <c r="Q44" s="2">
        <v>3</v>
      </c>
      <c r="R44" s="9">
        <f t="shared" si="3"/>
        <v>1298</v>
      </c>
      <c r="S44" s="9">
        <f t="shared" si="8"/>
        <v>15576</v>
      </c>
      <c r="T44" s="9">
        <f t="shared" si="9"/>
        <v>10384</v>
      </c>
      <c r="U44" s="2"/>
      <c r="V44" s="2">
        <f t="shared" si="4"/>
        <v>9</v>
      </c>
      <c r="W44" s="2">
        <f t="shared" si="5"/>
        <v>142</v>
      </c>
      <c r="AA44" s="11" t="s">
        <v>116</v>
      </c>
      <c r="AB44" s="11">
        <f>AE27</f>
        <v>80</v>
      </c>
    </row>
    <row r="45" spans="2:35">
      <c r="B45" s="2"/>
      <c r="C45" s="2">
        <v>42</v>
      </c>
      <c r="D45" s="9">
        <f>'1、经济推算'!F44</f>
        <v>10147.238219969398</v>
      </c>
      <c r="E45" s="9">
        <f>'1、经济推算'!U44</f>
        <v>28247</v>
      </c>
      <c r="F45" s="9"/>
      <c r="G45" s="31">
        <f>'1、经济推算'!S44</f>
        <v>2.8023679157260188</v>
      </c>
      <c r="H45" s="2">
        <v>3</v>
      </c>
      <c r="I45" s="2">
        <v>3</v>
      </c>
      <c r="J45" s="2">
        <v>3</v>
      </c>
      <c r="K45" s="2">
        <v>3</v>
      </c>
      <c r="L45" s="2">
        <v>3</v>
      </c>
      <c r="M45" s="2">
        <v>3</v>
      </c>
      <c r="N45" s="2">
        <v>3</v>
      </c>
      <c r="O45" s="2">
        <v>3</v>
      </c>
      <c r="P45" s="2">
        <v>3</v>
      </c>
      <c r="Q45" s="2">
        <v>3</v>
      </c>
      <c r="R45" s="9">
        <f t="shared" si="3"/>
        <v>1412.35</v>
      </c>
      <c r="S45" s="9">
        <f t="shared" si="8"/>
        <v>16948.2</v>
      </c>
      <c r="T45" s="9">
        <f t="shared" si="9"/>
        <v>11298.800000000001</v>
      </c>
      <c r="U45" s="2"/>
      <c r="V45" s="2">
        <f t="shared" si="4"/>
        <v>9</v>
      </c>
      <c r="W45" s="2">
        <f t="shared" si="5"/>
        <v>145</v>
      </c>
      <c r="AA45" s="2" t="s">
        <v>117</v>
      </c>
      <c r="AB45" s="2">
        <f>AB24-AB42</f>
        <v>9767</v>
      </c>
    </row>
    <row r="46" spans="2:35">
      <c r="B46" s="2"/>
      <c r="C46" s="2">
        <v>43</v>
      </c>
      <c r="D46" s="9">
        <f>'1、经济推算'!F45</f>
        <v>11169.664445137445</v>
      </c>
      <c r="E46" s="9">
        <f>'1、经济推算'!U45</f>
        <v>30681</v>
      </c>
      <c r="F46" s="9"/>
      <c r="G46" s="31">
        <f>'1、经济推算'!S45</f>
        <v>3.0437898462028397</v>
      </c>
      <c r="H46" s="2">
        <v>3</v>
      </c>
      <c r="I46" s="2">
        <v>3</v>
      </c>
      <c r="J46" s="2">
        <v>3</v>
      </c>
      <c r="K46" s="2">
        <v>3</v>
      </c>
      <c r="L46" s="2">
        <v>3</v>
      </c>
      <c r="M46" s="2">
        <v>3</v>
      </c>
      <c r="N46" s="2">
        <v>3</v>
      </c>
      <c r="O46" s="2">
        <v>3</v>
      </c>
      <c r="P46" s="2">
        <v>3</v>
      </c>
      <c r="Q46" s="2">
        <v>3</v>
      </c>
      <c r="R46" s="9">
        <f t="shared" si="3"/>
        <v>1534.05</v>
      </c>
      <c r="S46" s="9">
        <f t="shared" si="8"/>
        <v>18408.599999999999</v>
      </c>
      <c r="T46" s="9">
        <f t="shared" si="9"/>
        <v>12272.400000000001</v>
      </c>
      <c r="U46" s="2"/>
      <c r="V46" s="2">
        <f t="shared" si="4"/>
        <v>9</v>
      </c>
      <c r="W46" s="2">
        <f t="shared" si="5"/>
        <v>148</v>
      </c>
    </row>
    <row r="47" spans="2:35">
      <c r="B47" s="2"/>
      <c r="C47" s="2">
        <v>44</v>
      </c>
      <c r="D47" s="9">
        <f>'1、经济推算'!F46</f>
        <v>12295.109379756323</v>
      </c>
      <c r="E47" s="9">
        <f>'1、经济推算'!U46</f>
        <v>33267</v>
      </c>
      <c r="F47" s="9">
        <v>5</v>
      </c>
      <c r="G47" s="31">
        <f>'1、经济推算'!S46</f>
        <v>3.3003149516611856</v>
      </c>
      <c r="H47" s="2">
        <v>3</v>
      </c>
      <c r="I47" s="2">
        <v>3</v>
      </c>
      <c r="J47" s="2">
        <v>3</v>
      </c>
      <c r="K47" s="2">
        <v>3</v>
      </c>
      <c r="L47" s="2">
        <v>3</v>
      </c>
      <c r="M47" s="2">
        <v>3</v>
      </c>
      <c r="N47" s="2">
        <v>3</v>
      </c>
      <c r="O47" s="2">
        <v>3</v>
      </c>
      <c r="P47" s="2">
        <v>3</v>
      </c>
      <c r="Q47" s="2">
        <v>3</v>
      </c>
      <c r="R47" s="9">
        <f t="shared" si="3"/>
        <v>1663.35</v>
      </c>
      <c r="S47" s="9">
        <f t="shared" si="8"/>
        <v>19960.2</v>
      </c>
      <c r="T47" s="9">
        <f t="shared" si="9"/>
        <v>13306.800000000001</v>
      </c>
      <c r="U47" s="2"/>
      <c r="V47" s="2">
        <f t="shared" si="4"/>
        <v>9</v>
      </c>
      <c r="W47" s="2">
        <f t="shared" si="5"/>
        <v>151</v>
      </c>
    </row>
    <row r="48" spans="2:35">
      <c r="B48" s="2"/>
      <c r="C48" s="2">
        <v>45</v>
      </c>
      <c r="D48" s="9">
        <f>'1、经济推算'!F47</f>
        <v>13533.953092564159</v>
      </c>
      <c r="E48" s="9">
        <f>'1、经济推算'!U47</f>
        <v>36011</v>
      </c>
      <c r="F48" s="9"/>
      <c r="G48" s="31">
        <f>'1、经济推算'!S47</f>
        <v>3.5725462165695934</v>
      </c>
      <c r="H48" s="2">
        <v>3</v>
      </c>
      <c r="I48" s="2">
        <v>3</v>
      </c>
      <c r="J48" s="2">
        <v>3</v>
      </c>
      <c r="K48" s="2">
        <v>3</v>
      </c>
      <c r="L48" s="2">
        <v>3</v>
      </c>
      <c r="M48" s="2">
        <v>3</v>
      </c>
      <c r="N48" s="2">
        <v>3</v>
      </c>
      <c r="O48" s="2">
        <v>3</v>
      </c>
      <c r="P48" s="2">
        <v>3</v>
      </c>
      <c r="Q48" s="2">
        <v>3</v>
      </c>
      <c r="R48" s="9">
        <f t="shared" si="3"/>
        <v>1800.55</v>
      </c>
      <c r="S48" s="9">
        <f t="shared" si="8"/>
        <v>21606.6</v>
      </c>
      <c r="T48" s="9">
        <f t="shared" si="9"/>
        <v>14404.400000000001</v>
      </c>
      <c r="U48" s="2"/>
      <c r="V48" s="2">
        <f t="shared" si="4"/>
        <v>9</v>
      </c>
      <c r="W48" s="2">
        <f t="shared" si="5"/>
        <v>154</v>
      </c>
      <c r="AF48" s="169" t="s">
        <v>108</v>
      </c>
      <c r="AG48" s="169"/>
      <c r="AH48" s="169"/>
      <c r="AI48" s="169"/>
    </row>
    <row r="49" spans="2:36">
      <c r="B49" s="2"/>
      <c r="C49" s="2">
        <v>46</v>
      </c>
      <c r="D49" s="9">
        <f>'1、经济推算'!F48</f>
        <v>14897.62153830934</v>
      </c>
      <c r="E49" s="9">
        <f>'1、经济推算'!U48</f>
        <v>38919</v>
      </c>
      <c r="F49" s="9">
        <v>6</v>
      </c>
      <c r="G49" s="31">
        <f>'1、经济推算'!S48</f>
        <v>3.8610980694883947</v>
      </c>
      <c r="H49" s="2">
        <v>3</v>
      </c>
      <c r="I49" s="2">
        <v>3</v>
      </c>
      <c r="J49" s="2">
        <v>3</v>
      </c>
      <c r="K49" s="2">
        <v>3</v>
      </c>
      <c r="L49" s="2">
        <v>3</v>
      </c>
      <c r="M49" s="2">
        <v>3</v>
      </c>
      <c r="N49" s="2">
        <v>3</v>
      </c>
      <c r="O49" s="2">
        <v>3</v>
      </c>
      <c r="P49" s="2">
        <v>3</v>
      </c>
      <c r="Q49" s="2">
        <v>3</v>
      </c>
      <c r="R49" s="9">
        <f t="shared" si="3"/>
        <v>1945.95</v>
      </c>
      <c r="S49" s="9">
        <f t="shared" si="8"/>
        <v>23351.399999999998</v>
      </c>
      <c r="T49" s="9">
        <f t="shared" si="9"/>
        <v>15567.6</v>
      </c>
      <c r="U49" s="2"/>
      <c r="V49" s="2">
        <f t="shared" si="4"/>
        <v>9</v>
      </c>
      <c r="W49" s="2">
        <f t="shared" si="5"/>
        <v>157</v>
      </c>
      <c r="AF49" s="25" t="s">
        <v>109</v>
      </c>
      <c r="AG49" s="25"/>
      <c r="AH49" s="2">
        <f>3*4</f>
        <v>12</v>
      </c>
      <c r="AI49" s="2">
        <v>34</v>
      </c>
      <c r="AJ49" s="2"/>
    </row>
    <row r="50" spans="2:36">
      <c r="B50" s="2"/>
      <c r="C50" s="2">
        <v>47</v>
      </c>
      <c r="D50" s="9">
        <f>'1、经济推算'!F49</f>
        <v>16398.691940245932</v>
      </c>
      <c r="E50" s="9">
        <f>'1、经济推算'!U49</f>
        <v>41999</v>
      </c>
      <c r="F50" s="9">
        <v>7</v>
      </c>
      <c r="G50" s="31">
        <f>'1、经济推算'!S49</f>
        <v>4.166596383069721</v>
      </c>
      <c r="H50" s="2">
        <v>3</v>
      </c>
      <c r="I50" s="2">
        <v>3</v>
      </c>
      <c r="J50" s="2">
        <v>3</v>
      </c>
      <c r="K50" s="2">
        <v>3</v>
      </c>
      <c r="L50" s="2">
        <v>3</v>
      </c>
      <c r="M50" s="2">
        <v>3</v>
      </c>
      <c r="N50" s="2">
        <v>3</v>
      </c>
      <c r="O50" s="2">
        <v>3</v>
      </c>
      <c r="P50" s="2">
        <v>3</v>
      </c>
      <c r="Q50" s="2">
        <v>3</v>
      </c>
      <c r="R50" s="9">
        <f t="shared" si="3"/>
        <v>2099.9499999999998</v>
      </c>
      <c r="S50" s="9">
        <f t="shared" si="8"/>
        <v>25199.399999999998</v>
      </c>
      <c r="T50" s="9">
        <f t="shared" si="9"/>
        <v>16799.600000000002</v>
      </c>
      <c r="U50" s="2"/>
      <c r="V50" s="2">
        <f t="shared" si="4"/>
        <v>9</v>
      </c>
      <c r="W50" s="2">
        <f t="shared" si="5"/>
        <v>160</v>
      </c>
      <c r="AF50" s="25" t="s">
        <v>88</v>
      </c>
      <c r="AG50" s="25"/>
      <c r="AH50" s="2">
        <f>3</f>
        <v>3</v>
      </c>
      <c r="AI50" s="2">
        <v>34</v>
      </c>
      <c r="AJ50" s="2"/>
    </row>
    <row r="51" spans="2:36">
      <c r="B51" s="2"/>
      <c r="C51" s="2">
        <v>48</v>
      </c>
      <c r="D51" s="9">
        <f>'1、经济推算'!F50</f>
        <v>18051.008790870721</v>
      </c>
      <c r="E51" s="9">
        <f>'1、经济推算'!U50</f>
        <v>45255</v>
      </c>
      <c r="F51" s="9">
        <v>8</v>
      </c>
      <c r="G51" s="31">
        <f>'1、经济推算'!S50</f>
        <v>4.4896784740574978</v>
      </c>
      <c r="H51" s="2">
        <v>3</v>
      </c>
      <c r="I51" s="2">
        <v>3</v>
      </c>
      <c r="J51" s="2">
        <v>3</v>
      </c>
      <c r="K51" s="2">
        <v>3</v>
      </c>
      <c r="L51" s="2">
        <v>3</v>
      </c>
      <c r="M51" s="2">
        <v>3</v>
      </c>
      <c r="N51" s="2">
        <v>3</v>
      </c>
      <c r="O51" s="2">
        <v>3</v>
      </c>
      <c r="P51" s="2">
        <v>3</v>
      </c>
      <c r="Q51" s="2">
        <v>3</v>
      </c>
      <c r="R51" s="9">
        <f t="shared" si="3"/>
        <v>2262.75</v>
      </c>
      <c r="S51" s="9">
        <f t="shared" si="8"/>
        <v>27153</v>
      </c>
      <c r="T51" s="9">
        <f t="shared" si="9"/>
        <v>18102</v>
      </c>
      <c r="U51" s="2"/>
      <c r="V51" s="2">
        <f t="shared" si="4"/>
        <v>9</v>
      </c>
      <c r="W51" s="2">
        <f t="shared" si="5"/>
        <v>163</v>
      </c>
      <c r="AF51" s="2"/>
      <c r="AG51" s="2" t="s">
        <v>146</v>
      </c>
      <c r="AH51" s="2">
        <f>SUMPRODUCT(AH49:AH50,AI49:AI50)</f>
        <v>510</v>
      </c>
      <c r="AI51" s="2"/>
      <c r="AJ51" s="2"/>
    </row>
    <row r="52" spans="2:36">
      <c r="B52" s="2"/>
      <c r="C52" s="2">
        <v>49</v>
      </c>
      <c r="D52" s="9">
        <f>'1、经济推算'!F51</f>
        <v>19869.811540785922</v>
      </c>
      <c r="E52" s="9">
        <f>'1、经济推算'!U51</f>
        <v>48696</v>
      </c>
      <c r="F52" s="9"/>
      <c r="G52" s="31">
        <f>'1、经济推算'!S51</f>
        <v>4.8309931032874491</v>
      </c>
      <c r="H52" s="2">
        <v>3</v>
      </c>
      <c r="I52" s="2">
        <v>3</v>
      </c>
      <c r="J52" s="2">
        <v>3</v>
      </c>
      <c r="K52" s="2">
        <v>3</v>
      </c>
      <c r="L52" s="2">
        <v>3</v>
      </c>
      <c r="M52" s="2">
        <v>3</v>
      </c>
      <c r="N52" s="2">
        <v>3</v>
      </c>
      <c r="O52" s="2">
        <v>3</v>
      </c>
      <c r="P52" s="2">
        <v>3</v>
      </c>
      <c r="Q52" s="2">
        <v>3</v>
      </c>
      <c r="R52" s="9">
        <f t="shared" si="3"/>
        <v>2434.8000000000002</v>
      </c>
      <c r="S52" s="9">
        <f t="shared" si="8"/>
        <v>29217.599999999999</v>
      </c>
      <c r="T52" s="9">
        <f t="shared" si="9"/>
        <v>19478.400000000001</v>
      </c>
      <c r="U52" s="2"/>
      <c r="V52" s="2">
        <f t="shared" si="4"/>
        <v>9</v>
      </c>
      <c r="W52" s="2">
        <f t="shared" si="5"/>
        <v>166</v>
      </c>
      <c r="AG52" t="s">
        <v>147</v>
      </c>
      <c r="AH52">
        <f>AH51*AC5</f>
        <v>10200</v>
      </c>
    </row>
    <row r="53" spans="2:36">
      <c r="B53" s="2"/>
      <c r="C53" s="2">
        <v>50</v>
      </c>
      <c r="D53" s="9">
        <f>'1、经济推算'!F52</f>
        <v>21871.875153372275</v>
      </c>
      <c r="E53" s="9">
        <f>'1、经济推算'!U52</f>
        <v>52327</v>
      </c>
      <c r="F53" s="9"/>
      <c r="G53" s="31">
        <f>'1、经济推算'!S52</f>
        <v>5.1912004756870953</v>
      </c>
      <c r="H53" s="2">
        <v>3</v>
      </c>
      <c r="I53" s="2">
        <v>3</v>
      </c>
      <c r="J53" s="2">
        <v>3</v>
      </c>
      <c r="K53" s="2">
        <v>3</v>
      </c>
      <c r="L53" s="2">
        <v>3</v>
      </c>
      <c r="M53" s="2">
        <v>3</v>
      </c>
      <c r="N53" s="2">
        <v>3</v>
      </c>
      <c r="O53" s="2">
        <v>3</v>
      </c>
      <c r="P53" s="2">
        <v>3</v>
      </c>
      <c r="Q53" s="2">
        <v>3</v>
      </c>
      <c r="R53" s="9">
        <f t="shared" si="3"/>
        <v>2616.35</v>
      </c>
      <c r="S53" s="9">
        <f t="shared" si="8"/>
        <v>31396.199999999997</v>
      </c>
      <c r="T53" s="9">
        <f t="shared" si="9"/>
        <v>20930.800000000003</v>
      </c>
      <c r="U53" s="2"/>
      <c r="V53" s="2">
        <f t="shared" si="4"/>
        <v>10</v>
      </c>
      <c r="W53" s="2">
        <f t="shared" si="5"/>
        <v>169</v>
      </c>
      <c r="AF53" t="s">
        <v>149</v>
      </c>
      <c r="AG53" t="s">
        <v>148</v>
      </c>
      <c r="AH53">
        <v>3000</v>
      </c>
    </row>
    <row r="54" spans="2:36">
      <c r="B54" s="2"/>
      <c r="C54" s="2">
        <v>51</v>
      </c>
      <c r="D54" s="9">
        <f>'1、经济推算'!F53</f>
        <v>24075.664821619233</v>
      </c>
      <c r="E54" s="9">
        <f>'1、经济推算'!U53</f>
        <v>56155</v>
      </c>
      <c r="F54" s="9"/>
      <c r="G54" s="31">
        <f>'1、经济推算'!S53</f>
        <v>5.5709722402757533</v>
      </c>
      <c r="H54" s="2">
        <v>3</v>
      </c>
      <c r="I54" s="2">
        <v>3</v>
      </c>
      <c r="J54" s="2">
        <v>3</v>
      </c>
      <c r="K54" s="2">
        <v>3</v>
      </c>
      <c r="L54" s="2">
        <v>3</v>
      </c>
      <c r="M54" s="2">
        <v>3</v>
      </c>
      <c r="N54" s="2">
        <v>3</v>
      </c>
      <c r="O54" s="2">
        <v>3</v>
      </c>
      <c r="P54" s="2">
        <v>3</v>
      </c>
      <c r="Q54" s="2">
        <v>3</v>
      </c>
      <c r="R54" s="9">
        <f t="shared" si="3"/>
        <v>2807.75</v>
      </c>
      <c r="S54" s="9">
        <f t="shared" si="8"/>
        <v>33693</v>
      </c>
      <c r="T54" s="9">
        <f t="shared" si="9"/>
        <v>22462</v>
      </c>
      <c r="U54" s="2"/>
      <c r="V54" s="2">
        <f t="shared" si="4"/>
        <v>10</v>
      </c>
      <c r="W54" s="2">
        <f t="shared" si="5"/>
        <v>172</v>
      </c>
      <c r="AF54" t="s">
        <v>150</v>
      </c>
      <c r="AG54" s="15">
        <f>AH53*31*6</f>
        <v>558000</v>
      </c>
    </row>
    <row r="55" spans="2:36">
      <c r="B55" s="2"/>
      <c r="C55" s="2">
        <v>52</v>
      </c>
      <c r="D55" s="9">
        <f>'1、经济推算'!F54</f>
        <v>26501.506274078351</v>
      </c>
      <c r="E55" s="9">
        <f>'1、经济推算'!U54</f>
        <v>60187</v>
      </c>
      <c r="F55" s="9"/>
      <c r="G55" s="31">
        <f>'1、经济推算'!S54</f>
        <v>5.970991490164538</v>
      </c>
      <c r="H55" s="2">
        <v>3</v>
      </c>
      <c r="I55" s="2">
        <v>3</v>
      </c>
      <c r="J55" s="2">
        <v>3</v>
      </c>
      <c r="K55" s="2">
        <v>3</v>
      </c>
      <c r="L55" s="2">
        <v>3</v>
      </c>
      <c r="M55" s="2">
        <v>3</v>
      </c>
      <c r="N55" s="2">
        <v>3</v>
      </c>
      <c r="O55" s="2">
        <v>3</v>
      </c>
      <c r="P55" s="2">
        <v>3</v>
      </c>
      <c r="Q55" s="2">
        <v>3</v>
      </c>
      <c r="R55" s="9">
        <f t="shared" si="3"/>
        <v>3009.35</v>
      </c>
      <c r="S55" s="9">
        <f t="shared" si="8"/>
        <v>36112.199999999997</v>
      </c>
      <c r="T55" s="9">
        <f t="shared" si="9"/>
        <v>24074.800000000003</v>
      </c>
      <c r="U55" s="2"/>
      <c r="V55" s="2">
        <f t="shared" si="4"/>
        <v>10</v>
      </c>
      <c r="W55" s="2">
        <f t="shared" si="5"/>
        <v>175</v>
      </c>
      <c r="AF55" t="s">
        <v>151</v>
      </c>
      <c r="AG55" s="15">
        <f>AA4*AA7-AG54</f>
        <v>1490022.8</v>
      </c>
    </row>
    <row r="56" spans="2:36">
      <c r="B56" s="2"/>
      <c r="C56" s="2">
        <v>53</v>
      </c>
      <c r="D56" s="9">
        <f>'1、经济推算'!F55</f>
        <v>29171.773240685048</v>
      </c>
      <c r="E56" s="9">
        <f>'1、经济推算'!U55</f>
        <v>64430</v>
      </c>
      <c r="F56" s="9"/>
      <c r="G56" s="31">
        <f>'1、经济推算'!S55</f>
        <v>6.391952762556361</v>
      </c>
      <c r="H56" s="2">
        <v>3</v>
      </c>
      <c r="I56" s="2">
        <v>3</v>
      </c>
      <c r="J56" s="2">
        <v>3</v>
      </c>
      <c r="K56" s="2">
        <v>3</v>
      </c>
      <c r="L56" s="2">
        <v>3</v>
      </c>
      <c r="M56" s="2">
        <v>3</v>
      </c>
      <c r="N56" s="2">
        <v>3</v>
      </c>
      <c r="O56" s="2">
        <v>3</v>
      </c>
      <c r="P56" s="2">
        <v>3</v>
      </c>
      <c r="Q56" s="2">
        <v>3</v>
      </c>
      <c r="R56" s="9">
        <f t="shared" si="3"/>
        <v>3221.5</v>
      </c>
      <c r="S56" s="9">
        <f t="shared" si="8"/>
        <v>38658</v>
      </c>
      <c r="T56" s="9">
        <f t="shared" si="9"/>
        <v>25772</v>
      </c>
      <c r="U56" s="2"/>
      <c r="V56" s="2">
        <f t="shared" si="4"/>
        <v>10</v>
      </c>
      <c r="W56" s="2">
        <f t="shared" si="5"/>
        <v>178</v>
      </c>
      <c r="AG56" s="15">
        <f>SUM(AG54:AG55)</f>
        <v>2048022.8</v>
      </c>
    </row>
    <row r="57" spans="2:36">
      <c r="B57" s="2"/>
      <c r="C57" s="2">
        <v>54</v>
      </c>
      <c r="D57" s="9">
        <f>'1、经济推算'!F56</f>
        <v>32111.093807461075</v>
      </c>
      <c r="E57" s="9">
        <f>'1、经济推算'!U56</f>
        <v>68892</v>
      </c>
      <c r="F57" s="9"/>
      <c r="G57" s="31">
        <f>'1、经济推算'!S56</f>
        <v>6.8345620387459292</v>
      </c>
      <c r="H57" s="2">
        <v>3</v>
      </c>
      <c r="I57" s="2">
        <v>3</v>
      </c>
      <c r="J57" s="2">
        <v>3</v>
      </c>
      <c r="K57" s="2">
        <v>3</v>
      </c>
      <c r="L57" s="2">
        <v>3</v>
      </c>
      <c r="M57" s="2">
        <v>3</v>
      </c>
      <c r="N57" s="2">
        <v>3</v>
      </c>
      <c r="O57" s="2">
        <v>3</v>
      </c>
      <c r="P57" s="2">
        <v>3</v>
      </c>
      <c r="Q57" s="2">
        <v>3</v>
      </c>
      <c r="R57" s="9">
        <f t="shared" si="3"/>
        <v>3444.6</v>
      </c>
      <c r="S57" s="9">
        <f t="shared" si="8"/>
        <v>41335.199999999997</v>
      </c>
      <c r="T57" s="9">
        <f t="shared" si="9"/>
        <v>27556.800000000003</v>
      </c>
      <c r="U57" s="2"/>
      <c r="V57" s="2">
        <f t="shared" si="4"/>
        <v>10</v>
      </c>
      <c r="W57" s="2">
        <f t="shared" si="5"/>
        <v>181</v>
      </c>
    </row>
    <row r="58" spans="2:36">
      <c r="B58" s="2"/>
      <c r="C58" s="2">
        <v>55</v>
      </c>
      <c r="D58" s="9">
        <f>'1、经济推算'!F57</f>
        <v>35346.577563323714</v>
      </c>
      <c r="E58" s="9">
        <f>'1、经济推算'!U57</f>
        <v>73579</v>
      </c>
      <c r="F58" s="9"/>
      <c r="G58" s="31">
        <f>'1、经济推算'!S57</f>
        <v>7.2995367441197478</v>
      </c>
      <c r="H58" s="2">
        <v>3</v>
      </c>
      <c r="I58" s="2">
        <v>3</v>
      </c>
      <c r="J58" s="2">
        <v>3</v>
      </c>
      <c r="K58" s="2">
        <v>3</v>
      </c>
      <c r="L58" s="2">
        <v>3</v>
      </c>
      <c r="M58" s="2">
        <v>3</v>
      </c>
      <c r="N58" s="2">
        <v>3</v>
      </c>
      <c r="O58" s="2">
        <v>3</v>
      </c>
      <c r="P58" s="2">
        <v>3</v>
      </c>
      <c r="Q58" s="2">
        <v>3</v>
      </c>
      <c r="R58" s="9">
        <f t="shared" si="3"/>
        <v>3678.95</v>
      </c>
      <c r="S58" s="9">
        <f t="shared" si="8"/>
        <v>44147.4</v>
      </c>
      <c r="T58" s="9">
        <f t="shared" si="9"/>
        <v>29431.600000000002</v>
      </c>
      <c r="U58" s="2"/>
      <c r="V58" s="2">
        <f t="shared" si="4"/>
        <v>10</v>
      </c>
      <c r="W58" s="2">
        <f t="shared" si="5"/>
        <v>184</v>
      </c>
    </row>
    <row r="59" spans="2:36">
      <c r="B59" s="2"/>
      <c r="C59" s="2">
        <v>56</v>
      </c>
      <c r="D59" s="9">
        <f>'1、经济推算'!F58</f>
        <v>38908.065633994789</v>
      </c>
      <c r="E59" s="9">
        <f>'1、经济推算'!U58</f>
        <v>78499</v>
      </c>
      <c r="F59" s="9"/>
      <c r="G59" s="31">
        <f>'1、经济推算'!S58</f>
        <v>7.7876057481561185</v>
      </c>
      <c r="H59" s="2">
        <v>3</v>
      </c>
      <c r="I59" s="2">
        <v>3</v>
      </c>
      <c r="J59" s="2">
        <v>3</v>
      </c>
      <c r="K59" s="2">
        <v>3</v>
      </c>
      <c r="L59" s="2">
        <v>3</v>
      </c>
      <c r="M59" s="2">
        <v>3</v>
      </c>
      <c r="N59" s="2">
        <v>3</v>
      </c>
      <c r="O59" s="2">
        <v>3</v>
      </c>
      <c r="P59" s="2">
        <v>3</v>
      </c>
      <c r="Q59" s="2">
        <v>3</v>
      </c>
      <c r="R59" s="9">
        <f t="shared" si="3"/>
        <v>3924.95</v>
      </c>
      <c r="S59" s="9">
        <f t="shared" si="8"/>
        <v>47099.4</v>
      </c>
      <c r="T59" s="9">
        <f t="shared" si="9"/>
        <v>31399.600000000002</v>
      </c>
      <c r="U59" s="2"/>
      <c r="V59" s="2">
        <f t="shared" si="4"/>
        <v>10</v>
      </c>
      <c r="W59" s="2">
        <f t="shared" si="5"/>
        <v>187</v>
      </c>
    </row>
    <row r="60" spans="2:36">
      <c r="B60" s="2"/>
      <c r="C60" s="2">
        <v>57</v>
      </c>
      <c r="D60" s="9">
        <f>'1、经济推算'!F59</f>
        <v>42828.405909092406</v>
      </c>
      <c r="E60" s="9">
        <f>'1、经济推算'!U59</f>
        <v>83659</v>
      </c>
      <c r="F60" s="9"/>
      <c r="G60" s="31">
        <f>'1、经济推算'!S59</f>
        <v>8.2995093644251412</v>
      </c>
      <c r="H60" s="2">
        <v>3</v>
      </c>
      <c r="I60" s="2">
        <v>3</v>
      </c>
      <c r="J60" s="2">
        <v>3</v>
      </c>
      <c r="K60" s="2">
        <v>3</v>
      </c>
      <c r="L60" s="2">
        <v>3</v>
      </c>
      <c r="M60" s="2">
        <v>3</v>
      </c>
      <c r="N60" s="2">
        <v>3</v>
      </c>
      <c r="O60" s="2">
        <v>3</v>
      </c>
      <c r="P60" s="2">
        <v>3</v>
      </c>
      <c r="Q60" s="2">
        <v>3</v>
      </c>
      <c r="R60" s="9">
        <f t="shared" si="3"/>
        <v>4182.95</v>
      </c>
      <c r="S60" s="9">
        <f t="shared" si="8"/>
        <v>50195.4</v>
      </c>
      <c r="T60" s="9">
        <f t="shared" si="9"/>
        <v>33463.599999999999</v>
      </c>
      <c r="U60" s="2"/>
      <c r="V60" s="2">
        <f t="shared" si="4"/>
        <v>10</v>
      </c>
      <c r="W60" s="2">
        <f t="shared" si="5"/>
        <v>190</v>
      </c>
    </row>
    <row r="61" spans="2:36">
      <c r="B61" s="2"/>
      <c r="C61" s="2">
        <v>58</v>
      </c>
      <c r="D61" s="9">
        <f>'1、经济推算'!F60</f>
        <v>47143.756000846748</v>
      </c>
      <c r="E61" s="9">
        <f>'1、经济推算'!U60</f>
        <v>89066</v>
      </c>
      <c r="F61" s="9"/>
      <c r="G61" s="31">
        <f>'1、经济推算'!S60</f>
        <v>8.8359993505887076</v>
      </c>
      <c r="H61" s="2">
        <v>3</v>
      </c>
      <c r="I61" s="2">
        <v>3</v>
      </c>
      <c r="J61" s="2">
        <v>3</v>
      </c>
      <c r="K61" s="2">
        <v>3</v>
      </c>
      <c r="L61" s="2">
        <v>3</v>
      </c>
      <c r="M61" s="2">
        <v>3</v>
      </c>
      <c r="N61" s="2">
        <v>3</v>
      </c>
      <c r="O61" s="2">
        <v>3</v>
      </c>
      <c r="P61" s="2">
        <v>3</v>
      </c>
      <c r="Q61" s="2">
        <v>3</v>
      </c>
      <c r="R61" s="9">
        <f t="shared" si="3"/>
        <v>4453.3</v>
      </c>
      <c r="S61" s="9">
        <f t="shared" si="8"/>
        <v>53439.6</v>
      </c>
      <c r="T61" s="9">
        <f t="shared" si="9"/>
        <v>35626.400000000001</v>
      </c>
      <c r="U61" s="2"/>
      <c r="V61" s="2">
        <f t="shared" si="4"/>
        <v>10</v>
      </c>
      <c r="W61" s="2">
        <f t="shared" si="5"/>
        <v>193</v>
      </c>
    </row>
    <row r="62" spans="2:36">
      <c r="B62" s="2"/>
      <c r="C62" s="2">
        <v>59</v>
      </c>
      <c r="D62" s="9">
        <f>'1、经济推算'!F61</f>
        <v>51893.916728652563</v>
      </c>
      <c r="E62" s="9">
        <f>'1、经济推算'!U61</f>
        <v>94730</v>
      </c>
      <c r="F62" s="9"/>
      <c r="G62" s="31">
        <f>'1、经济推算'!S61</f>
        <v>9.3978389084005158</v>
      </c>
      <c r="H62" s="2">
        <v>3</v>
      </c>
      <c r="I62" s="2">
        <v>3</v>
      </c>
      <c r="J62" s="2">
        <v>3</v>
      </c>
      <c r="K62" s="2">
        <v>3</v>
      </c>
      <c r="L62" s="2">
        <v>3</v>
      </c>
      <c r="M62" s="2">
        <v>3</v>
      </c>
      <c r="N62" s="2">
        <v>3</v>
      </c>
      <c r="O62" s="2">
        <v>3</v>
      </c>
      <c r="P62" s="2">
        <v>3</v>
      </c>
      <c r="Q62" s="2">
        <v>3</v>
      </c>
      <c r="R62" s="9">
        <f t="shared" si="3"/>
        <v>4736.5</v>
      </c>
      <c r="S62" s="9">
        <f t="shared" si="8"/>
        <v>56838</v>
      </c>
      <c r="T62" s="9">
        <f t="shared" si="9"/>
        <v>37892</v>
      </c>
      <c r="U62" s="2"/>
      <c r="V62" s="2">
        <f t="shared" si="4"/>
        <v>10</v>
      </c>
      <c r="W62" s="2">
        <f t="shared" si="5"/>
        <v>196</v>
      </c>
    </row>
    <row r="63" spans="2:36">
      <c r="B63" s="2"/>
      <c r="C63" s="2">
        <v>60</v>
      </c>
      <c r="D63" s="9">
        <f>'1、经济推算'!F62</f>
        <v>57122.699205213081</v>
      </c>
      <c r="E63" s="9">
        <f>'1、经济推算'!U62</f>
        <v>100656</v>
      </c>
      <c r="F63" s="9"/>
      <c r="G63" s="31">
        <f>'1、经济推算'!S62</f>
        <v>9.9858026837060496</v>
      </c>
      <c r="H63" s="2">
        <v>3</v>
      </c>
      <c r="I63" s="2">
        <v>3</v>
      </c>
      <c r="J63" s="2">
        <v>3</v>
      </c>
      <c r="K63" s="2">
        <v>3</v>
      </c>
      <c r="L63" s="2">
        <v>3</v>
      </c>
      <c r="M63" s="2">
        <v>3</v>
      </c>
      <c r="N63" s="2">
        <v>3</v>
      </c>
      <c r="O63" s="2">
        <v>3</v>
      </c>
      <c r="P63" s="2">
        <v>3</v>
      </c>
      <c r="Q63" s="2">
        <v>3</v>
      </c>
      <c r="R63" s="9">
        <f t="shared" si="3"/>
        <v>5032.8</v>
      </c>
      <c r="S63" s="9">
        <f t="shared" si="8"/>
        <v>60393.599999999999</v>
      </c>
      <c r="T63" s="9">
        <f t="shared" si="9"/>
        <v>40262.400000000001</v>
      </c>
      <c r="U63" s="2"/>
      <c r="V63" s="2">
        <f t="shared" si="4"/>
        <v>11</v>
      </c>
      <c r="W63" s="2">
        <f t="shared" si="5"/>
        <v>199</v>
      </c>
    </row>
    <row r="64" spans="2:36">
      <c r="B64" s="2"/>
      <c r="C64" s="2">
        <v>61</v>
      </c>
      <c r="D64" s="9">
        <f>'1、经济推算'!F63</f>
        <v>62878.328909939963</v>
      </c>
      <c r="E64" s="9">
        <f>'1、经济推算'!U63</f>
        <v>106854</v>
      </c>
      <c r="F64" s="9"/>
      <c r="G64" s="31">
        <f>'1、经济推算'!S63</f>
        <v>10.600676766442598</v>
      </c>
      <c r="H64" s="2">
        <v>3</v>
      </c>
      <c r="I64" s="2">
        <v>3</v>
      </c>
      <c r="J64" s="2">
        <v>3</v>
      </c>
      <c r="K64" s="2">
        <v>3</v>
      </c>
      <c r="L64" s="2">
        <v>3</v>
      </c>
      <c r="M64" s="2">
        <v>3</v>
      </c>
      <c r="N64" s="2">
        <v>3</v>
      </c>
      <c r="O64" s="2">
        <v>3</v>
      </c>
      <c r="P64" s="2">
        <v>3</v>
      </c>
      <c r="Q64" s="2">
        <v>3</v>
      </c>
      <c r="R64" s="9">
        <f t="shared" si="3"/>
        <v>5342.7</v>
      </c>
      <c r="S64" s="9">
        <f t="shared" si="8"/>
        <v>64112.399999999994</v>
      </c>
      <c r="T64" s="9">
        <f t="shared" si="9"/>
        <v>42741.600000000006</v>
      </c>
      <c r="U64" s="2"/>
      <c r="V64" s="2">
        <f t="shared" si="4"/>
        <v>11</v>
      </c>
      <c r="W64" s="2">
        <f t="shared" si="5"/>
        <v>202</v>
      </c>
    </row>
    <row r="65" spans="2:34">
      <c r="B65" s="2"/>
      <c r="C65" s="2">
        <v>62</v>
      </c>
      <c r="D65" s="9">
        <f>'1、经济推算'!F64</f>
        <v>69213.890476411048</v>
      </c>
      <c r="E65" s="9">
        <f>'1、经济推算'!U64</f>
        <v>113332</v>
      </c>
      <c r="F65" s="9"/>
      <c r="G65" s="31">
        <f>'1、经济推算'!S64</f>
        <v>11.243258690639244</v>
      </c>
      <c r="H65" s="2">
        <v>3</v>
      </c>
      <c r="I65" s="2">
        <v>3</v>
      </c>
      <c r="J65" s="2">
        <v>3</v>
      </c>
      <c r="K65" s="2">
        <v>3</v>
      </c>
      <c r="L65" s="2">
        <v>3</v>
      </c>
      <c r="M65" s="2">
        <v>3</v>
      </c>
      <c r="N65" s="2">
        <v>3</v>
      </c>
      <c r="O65" s="2">
        <v>3</v>
      </c>
      <c r="P65" s="2">
        <v>3</v>
      </c>
      <c r="Q65" s="2">
        <v>3</v>
      </c>
      <c r="R65" s="9">
        <f t="shared" si="3"/>
        <v>5666.6</v>
      </c>
      <c r="S65" s="9">
        <f t="shared" si="8"/>
        <v>67999.199999999997</v>
      </c>
      <c r="T65" s="9">
        <f t="shared" si="9"/>
        <v>45332.800000000003</v>
      </c>
      <c r="U65" s="2"/>
      <c r="V65" s="2">
        <f t="shared" si="4"/>
        <v>11</v>
      </c>
      <c r="W65" s="2">
        <f t="shared" si="5"/>
        <v>205</v>
      </c>
    </row>
    <row r="66" spans="2:34">
      <c r="B66" s="2"/>
      <c r="C66" s="2">
        <v>63</v>
      </c>
      <c r="D66" s="9">
        <f>'1、经济推算'!F65</f>
        <v>76187.817296196008</v>
      </c>
      <c r="E66" s="9">
        <f>'1、经济推算'!U65</f>
        <v>120096</v>
      </c>
      <c r="F66" s="9"/>
      <c r="G66" s="31">
        <f>'1、经济推算'!S65</f>
        <v>11.914357434416866</v>
      </c>
      <c r="H66" s="2">
        <v>3</v>
      </c>
      <c r="I66" s="2">
        <v>3</v>
      </c>
      <c r="J66" s="2">
        <v>3</v>
      </c>
      <c r="K66" s="2">
        <v>3</v>
      </c>
      <c r="L66" s="2">
        <v>3</v>
      </c>
      <c r="M66" s="2">
        <v>3</v>
      </c>
      <c r="N66" s="2">
        <v>3</v>
      </c>
      <c r="O66" s="2">
        <v>3</v>
      </c>
      <c r="P66" s="2">
        <v>3</v>
      </c>
      <c r="Q66" s="2">
        <v>3</v>
      </c>
      <c r="R66" s="9">
        <f t="shared" si="3"/>
        <v>6004.8</v>
      </c>
      <c r="S66" s="9">
        <f t="shared" si="8"/>
        <v>72057.599999999991</v>
      </c>
      <c r="T66" s="9">
        <f t="shared" si="9"/>
        <v>48038.400000000001</v>
      </c>
      <c r="U66" s="2"/>
      <c r="V66" s="2">
        <f t="shared" si="4"/>
        <v>11</v>
      </c>
      <c r="W66" s="2">
        <f t="shared" si="5"/>
        <v>208</v>
      </c>
    </row>
    <row r="67" spans="2:34">
      <c r="B67" s="2"/>
      <c r="C67" s="2">
        <v>64</v>
      </c>
      <c r="D67" s="9">
        <f>'1、经济推算'!F66</f>
        <v>83864.430454705012</v>
      </c>
      <c r="E67" s="9">
        <f>'1、经济推算'!U66</f>
        <v>127157</v>
      </c>
      <c r="F67" s="9"/>
      <c r="G67" s="31">
        <f>'1、经济推算'!S66</f>
        <v>12.614793419988143</v>
      </c>
      <c r="H67" s="2">
        <v>3</v>
      </c>
      <c r="I67" s="2">
        <v>3</v>
      </c>
      <c r="J67" s="2">
        <v>3</v>
      </c>
      <c r="K67" s="2">
        <v>3</v>
      </c>
      <c r="L67" s="2">
        <v>3</v>
      </c>
      <c r="M67" s="2">
        <v>3</v>
      </c>
      <c r="N67" s="2">
        <v>3</v>
      </c>
      <c r="O67" s="2">
        <v>3</v>
      </c>
      <c r="P67" s="2">
        <v>3</v>
      </c>
      <c r="Q67" s="2">
        <v>3</v>
      </c>
      <c r="R67" s="9">
        <f t="shared" si="3"/>
        <v>6357.85</v>
      </c>
      <c r="S67" s="9">
        <f t="shared" si="8"/>
        <v>76294.2</v>
      </c>
      <c r="T67" s="9">
        <f t="shared" si="9"/>
        <v>50862.8</v>
      </c>
      <c r="U67" s="2"/>
      <c r="V67" s="2">
        <f t="shared" si="4"/>
        <v>11</v>
      </c>
      <c r="W67" s="2">
        <f t="shared" si="5"/>
        <v>211</v>
      </c>
    </row>
    <row r="68" spans="2:34">
      <c r="B68" s="2"/>
      <c r="C68" s="2">
        <v>65</v>
      </c>
      <c r="D68" s="9">
        <f>'1、经济推算'!F67</f>
        <v>92314.531969709235</v>
      </c>
      <c r="E68" s="9">
        <f>'1、经济推算'!U67</f>
        <v>134521</v>
      </c>
      <c r="F68" s="9"/>
      <c r="G68" s="31">
        <f>'1、经济推算'!S67</f>
        <v>13.345398513657546</v>
      </c>
      <c r="H68" s="2">
        <v>3</v>
      </c>
      <c r="I68" s="2">
        <v>3</v>
      </c>
      <c r="J68" s="2">
        <v>3</v>
      </c>
      <c r="K68" s="2">
        <v>3</v>
      </c>
      <c r="L68" s="2">
        <v>3</v>
      </c>
      <c r="M68" s="2">
        <v>3</v>
      </c>
      <c r="N68" s="2">
        <v>3</v>
      </c>
      <c r="O68" s="2">
        <v>3</v>
      </c>
      <c r="P68" s="2">
        <v>3</v>
      </c>
      <c r="Q68" s="2">
        <v>3</v>
      </c>
      <c r="R68" s="9">
        <f t="shared" si="3"/>
        <v>6726.05</v>
      </c>
      <c r="S68" s="9">
        <f t="shared" ref="S68:S103" si="10">E68*$AA$8</f>
        <v>80712.599999999991</v>
      </c>
      <c r="T68" s="9">
        <f t="shared" ref="T68:T103" si="11">E68*$AA$7</f>
        <v>53808.4</v>
      </c>
      <c r="U68" s="2"/>
      <c r="V68" s="2">
        <f t="shared" si="4"/>
        <v>11</v>
      </c>
      <c r="W68" s="2">
        <f t="shared" si="5"/>
        <v>214</v>
      </c>
    </row>
    <row r="69" spans="2:34">
      <c r="B69" s="2"/>
      <c r="C69" s="2">
        <v>66</v>
      </c>
      <c r="D69" s="9">
        <f>'1、经济推算'!F68</f>
        <v>101616.05780401938</v>
      </c>
      <c r="E69" s="9">
        <f>'1、经济推算'!U68</f>
        <v>142198</v>
      </c>
      <c r="F69" s="9"/>
      <c r="G69" s="31">
        <f>'1、经济推算'!S68</f>
        <v>14.107016025821345</v>
      </c>
      <c r="H69" s="2">
        <v>3</v>
      </c>
      <c r="I69" s="2">
        <v>3</v>
      </c>
      <c r="J69" s="2">
        <v>3</v>
      </c>
      <c r="K69" s="2">
        <v>3</v>
      </c>
      <c r="L69" s="2">
        <v>3</v>
      </c>
      <c r="M69" s="2">
        <v>3</v>
      </c>
      <c r="N69" s="2">
        <v>3</v>
      </c>
      <c r="O69" s="2">
        <v>3</v>
      </c>
      <c r="P69" s="2">
        <v>3</v>
      </c>
      <c r="Q69" s="2">
        <v>3</v>
      </c>
      <c r="R69" s="9">
        <f t="shared" ref="R69:R103" si="12">E69/$AC$5</f>
        <v>7109.9</v>
      </c>
      <c r="S69" s="9">
        <f t="shared" si="10"/>
        <v>85318.8</v>
      </c>
      <c r="T69" s="9">
        <f t="shared" si="11"/>
        <v>56879.200000000004</v>
      </c>
      <c r="U69" s="2"/>
      <c r="V69" s="2">
        <f t="shared" ref="V69:V103" si="13">5+INT(C69/10)</f>
        <v>11</v>
      </c>
      <c r="W69" s="2">
        <f t="shared" si="5"/>
        <v>217</v>
      </c>
    </row>
    <row r="70" spans="2:34">
      <c r="B70" s="2"/>
      <c r="C70" s="2">
        <v>67</v>
      </c>
      <c r="D70" s="9">
        <f>'1、经济推算'!F69</f>
        <v>111854.79667511044</v>
      </c>
      <c r="E70" s="9">
        <f>'1、经济推算'!U69</f>
        <v>150197</v>
      </c>
      <c r="F70" s="9"/>
      <c r="G70" s="31">
        <f>'1、经济推算'!S69</f>
        <v>14.900500710967611</v>
      </c>
      <c r="H70" s="2">
        <v>3</v>
      </c>
      <c r="I70" s="2">
        <v>3</v>
      </c>
      <c r="J70" s="2">
        <v>3</v>
      </c>
      <c r="K70" s="2">
        <v>3</v>
      </c>
      <c r="L70" s="2">
        <v>3</v>
      </c>
      <c r="M70" s="2">
        <v>3</v>
      </c>
      <c r="N70" s="2">
        <v>3</v>
      </c>
      <c r="O70" s="2">
        <v>3</v>
      </c>
      <c r="P70" s="2">
        <v>3</v>
      </c>
      <c r="Q70" s="2">
        <v>3</v>
      </c>
      <c r="R70" s="9">
        <f t="shared" si="12"/>
        <v>7509.85</v>
      </c>
      <c r="S70" s="9">
        <f t="shared" si="10"/>
        <v>90118.2</v>
      </c>
      <c r="T70" s="9">
        <f t="shared" si="11"/>
        <v>60078.8</v>
      </c>
      <c r="U70" s="2"/>
      <c r="V70" s="2">
        <f t="shared" si="13"/>
        <v>11</v>
      </c>
      <c r="W70" s="2">
        <f t="shared" ref="W70:W103" si="14">ROUND(W69+V70*0.3,0)</f>
        <v>220</v>
      </c>
    </row>
    <row r="71" spans="2:34">
      <c r="B71" s="2"/>
      <c r="C71" s="2">
        <v>68</v>
      </c>
      <c r="D71" s="9">
        <f>'1、经济推算'!F70</f>
        <v>123125.18129133142</v>
      </c>
      <c r="E71" s="9">
        <f>'1、经济推算'!U70</f>
        <v>158525</v>
      </c>
      <c r="F71" s="9"/>
      <c r="G71" s="31">
        <f>'1、经济推算'!S70</f>
        <v>15.726718767676207</v>
      </c>
      <c r="H71" s="2">
        <v>3</v>
      </c>
      <c r="I71" s="2">
        <v>3</v>
      </c>
      <c r="J71" s="2">
        <v>3</v>
      </c>
      <c r="K71" s="2">
        <v>3</v>
      </c>
      <c r="L71" s="2">
        <v>3</v>
      </c>
      <c r="M71" s="2">
        <v>3</v>
      </c>
      <c r="N71" s="2">
        <v>3</v>
      </c>
      <c r="O71" s="2">
        <v>3</v>
      </c>
      <c r="P71" s="2">
        <v>3</v>
      </c>
      <c r="Q71" s="2">
        <v>3</v>
      </c>
      <c r="R71" s="9">
        <f t="shared" si="12"/>
        <v>7926.25</v>
      </c>
      <c r="S71" s="9">
        <f t="shared" si="10"/>
        <v>95115</v>
      </c>
      <c r="T71" s="9">
        <f t="shared" si="11"/>
        <v>63410</v>
      </c>
      <c r="U71" s="2"/>
      <c r="V71" s="2">
        <f t="shared" si="13"/>
        <v>11</v>
      </c>
      <c r="W71" s="2">
        <f t="shared" si="14"/>
        <v>223</v>
      </c>
    </row>
    <row r="72" spans="2:34">
      <c r="B72" s="2"/>
      <c r="C72" s="2">
        <v>69</v>
      </c>
      <c r="D72" s="9">
        <f>'1、经济推算'!F71</f>
        <v>135531.15931233493</v>
      </c>
      <c r="E72" s="9">
        <f>'1、经济推算'!U71</f>
        <v>167192</v>
      </c>
      <c r="F72" s="9"/>
      <c r="G72" s="31">
        <f>'1、经济推算'!S71</f>
        <v>16.586547838618792</v>
      </c>
      <c r="H72" s="2">
        <v>3</v>
      </c>
      <c r="I72" s="2">
        <v>3</v>
      </c>
      <c r="J72" s="2">
        <v>3</v>
      </c>
      <c r="K72" s="2">
        <v>3</v>
      </c>
      <c r="L72" s="2">
        <v>3</v>
      </c>
      <c r="M72" s="2">
        <v>3</v>
      </c>
      <c r="N72" s="2">
        <v>3</v>
      </c>
      <c r="O72" s="2">
        <v>3</v>
      </c>
      <c r="P72" s="2">
        <v>3</v>
      </c>
      <c r="Q72" s="2">
        <v>3</v>
      </c>
      <c r="R72" s="9">
        <f t="shared" si="12"/>
        <v>8359.6</v>
      </c>
      <c r="S72" s="9">
        <f t="shared" si="10"/>
        <v>100315.2</v>
      </c>
      <c r="T72" s="9">
        <f t="shared" si="11"/>
        <v>66876.800000000003</v>
      </c>
      <c r="U72" s="2"/>
      <c r="V72" s="2">
        <f t="shared" si="13"/>
        <v>11</v>
      </c>
      <c r="W72" s="2">
        <f t="shared" si="14"/>
        <v>226</v>
      </c>
    </row>
    <row r="73" spans="2:34">
      <c r="B73" s="2"/>
      <c r="C73" s="2">
        <v>70</v>
      </c>
      <c r="D73" s="9">
        <f>'1、经济推算'!F72</f>
        <v>149187.15206666451</v>
      </c>
      <c r="E73" s="9">
        <f>'1、经济推算'!U72</f>
        <v>176207</v>
      </c>
      <c r="F73" s="9"/>
      <c r="G73" s="31">
        <f>'1、经济推算'!S72</f>
        <v>17.480877010558824</v>
      </c>
      <c r="H73" s="2">
        <v>3</v>
      </c>
      <c r="I73" s="2">
        <v>3</v>
      </c>
      <c r="J73" s="2">
        <v>3</v>
      </c>
      <c r="K73" s="2">
        <v>3</v>
      </c>
      <c r="L73" s="2">
        <v>3</v>
      </c>
      <c r="M73" s="2">
        <v>3</v>
      </c>
      <c r="N73" s="2">
        <v>3</v>
      </c>
      <c r="O73" s="2">
        <v>3</v>
      </c>
      <c r="P73" s="2">
        <v>3</v>
      </c>
      <c r="Q73" s="2">
        <v>3</v>
      </c>
      <c r="R73" s="9">
        <f t="shared" si="12"/>
        <v>8810.35</v>
      </c>
      <c r="S73" s="9">
        <f t="shared" si="10"/>
        <v>105724.2</v>
      </c>
      <c r="T73" s="9">
        <f t="shared" si="11"/>
        <v>70482.8</v>
      </c>
      <c r="U73" s="2"/>
      <c r="V73" s="2">
        <f t="shared" si="13"/>
        <v>12</v>
      </c>
      <c r="W73" s="2">
        <f t="shared" si="14"/>
        <v>230</v>
      </c>
    </row>
    <row r="74" spans="2:34">
      <c r="B74" s="2"/>
      <c r="C74" s="2">
        <v>71</v>
      </c>
      <c r="D74" s="9">
        <f>'1、经济推算'!F73</f>
        <v>164219.10986882905</v>
      </c>
      <c r="E74" s="9">
        <f>'1、经济推算'!U73</f>
        <v>185578</v>
      </c>
      <c r="F74" s="9"/>
      <c r="G74" s="31">
        <f>'1、经济推算'!S73</f>
        <v>18.41060681435156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3</v>
      </c>
      <c r="O74" s="2">
        <v>3</v>
      </c>
      <c r="P74" s="2">
        <v>3</v>
      </c>
      <c r="Q74" s="2">
        <v>3</v>
      </c>
      <c r="R74" s="9">
        <f t="shared" si="12"/>
        <v>9278.9</v>
      </c>
      <c r="S74" s="9">
        <f t="shared" si="10"/>
        <v>111346.8</v>
      </c>
      <c r="T74" s="9">
        <f t="shared" si="11"/>
        <v>74231.199999999997</v>
      </c>
      <c r="U74" s="2"/>
      <c r="V74" s="2">
        <f t="shared" si="13"/>
        <v>12</v>
      </c>
      <c r="W74" s="2">
        <f t="shared" si="14"/>
        <v>234</v>
      </c>
      <c r="AE74" s="171" t="s">
        <v>1298</v>
      </c>
      <c r="AF74" t="s">
        <v>1293</v>
      </c>
      <c r="AG74">
        <v>7535</v>
      </c>
    </row>
    <row r="75" spans="2:34">
      <c r="B75" s="2"/>
      <c r="C75" s="2">
        <v>72</v>
      </c>
      <c r="D75" s="9">
        <f>'1、经济推算'!F74</f>
        <v>180765.67366913668</v>
      </c>
      <c r="E75" s="9">
        <f>'1、经济推算'!U74</f>
        <v>195316</v>
      </c>
      <c r="F75" s="9"/>
      <c r="G75" s="31">
        <f>'1、经济推算'!S74</f>
        <v>19.376649224944053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3</v>
      </c>
      <c r="P75" s="2">
        <v>3</v>
      </c>
      <c r="Q75" s="2">
        <v>3</v>
      </c>
      <c r="R75" s="9">
        <f t="shared" si="12"/>
        <v>9765.7999999999993</v>
      </c>
      <c r="S75" s="9">
        <f t="shared" si="10"/>
        <v>117189.59999999999</v>
      </c>
      <c r="T75" s="9">
        <f t="shared" si="11"/>
        <v>78126.400000000009</v>
      </c>
      <c r="U75" s="2"/>
      <c r="V75" s="2">
        <f t="shared" si="13"/>
        <v>12</v>
      </c>
      <c r="W75" s="2">
        <f t="shared" si="14"/>
        <v>238</v>
      </c>
      <c r="AE75" s="171"/>
      <c r="AF75" t="s">
        <v>1294</v>
      </c>
      <c r="AG75">
        <v>6900</v>
      </c>
    </row>
    <row r="76" spans="2:34">
      <c r="B76" s="2"/>
      <c r="C76" s="2">
        <v>73</v>
      </c>
      <c r="D76" s="9">
        <f>'1、经济推算'!F75</f>
        <v>198979.45375027994</v>
      </c>
      <c r="E76" s="9">
        <f>'1、经济推算'!U75</f>
        <v>205429</v>
      </c>
      <c r="F76" s="9"/>
      <c r="G76" s="31">
        <f>'1、经济推算'!S75</f>
        <v>20.379927661375149</v>
      </c>
      <c r="H76" s="2">
        <v>3</v>
      </c>
      <c r="I76" s="2">
        <v>3</v>
      </c>
      <c r="J76" s="2">
        <v>3</v>
      </c>
      <c r="K76" s="2">
        <v>3</v>
      </c>
      <c r="L76" s="2">
        <v>3</v>
      </c>
      <c r="M76" s="2">
        <v>3</v>
      </c>
      <c r="N76" s="2">
        <v>3</v>
      </c>
      <c r="O76" s="2">
        <v>3</v>
      </c>
      <c r="P76" s="2">
        <v>3</v>
      </c>
      <c r="Q76" s="2">
        <v>3</v>
      </c>
      <c r="R76" s="9">
        <f t="shared" si="12"/>
        <v>10271.450000000001</v>
      </c>
      <c r="S76" s="9">
        <f t="shared" si="10"/>
        <v>123257.4</v>
      </c>
      <c r="T76" s="9">
        <f t="shared" si="11"/>
        <v>82171.600000000006</v>
      </c>
      <c r="U76" s="2"/>
      <c r="V76" s="2">
        <f t="shared" si="13"/>
        <v>12</v>
      </c>
      <c r="W76" s="2">
        <f t="shared" si="14"/>
        <v>242</v>
      </c>
      <c r="AE76" s="171"/>
      <c r="AF76" t="s">
        <v>1295</v>
      </c>
      <c r="AG76">
        <v>3406</v>
      </c>
    </row>
    <row r="77" spans="2:34">
      <c r="B77" s="2"/>
      <c r="C77" s="2">
        <v>74</v>
      </c>
      <c r="D77" s="9">
        <f>'1、经济推算'!F76</f>
        <v>219028.43726419137</v>
      </c>
      <c r="E77" s="9">
        <f>'1、经济推算'!U76</f>
        <v>215927</v>
      </c>
      <c r="F77" s="9"/>
      <c r="G77" s="31">
        <f>'1、经济推算'!S76</f>
        <v>21.421376986775492</v>
      </c>
      <c r="H77" s="2">
        <v>3</v>
      </c>
      <c r="I77" s="2">
        <v>3</v>
      </c>
      <c r="J77" s="2">
        <v>3</v>
      </c>
      <c r="K77" s="2">
        <v>3</v>
      </c>
      <c r="L77" s="2">
        <v>3</v>
      </c>
      <c r="M77" s="2">
        <v>3</v>
      </c>
      <c r="N77" s="2">
        <v>3</v>
      </c>
      <c r="O77" s="2">
        <v>3</v>
      </c>
      <c r="P77" s="2">
        <v>3</v>
      </c>
      <c r="Q77" s="2">
        <v>3</v>
      </c>
      <c r="R77" s="9">
        <f t="shared" si="12"/>
        <v>10796.35</v>
      </c>
      <c r="S77" s="9">
        <f t="shared" si="10"/>
        <v>129556.2</v>
      </c>
      <c r="T77" s="9">
        <f t="shared" si="11"/>
        <v>86370.8</v>
      </c>
      <c r="U77" s="2"/>
      <c r="V77" s="2">
        <f t="shared" si="13"/>
        <v>12</v>
      </c>
      <c r="W77" s="2">
        <f t="shared" si="14"/>
        <v>246</v>
      </c>
      <c r="AE77" s="171"/>
      <c r="AF77" t="s">
        <v>1296</v>
      </c>
      <c r="AG77">
        <v>7265</v>
      </c>
    </row>
    <row r="78" spans="2:34">
      <c r="B78" s="2"/>
      <c r="C78" s="2">
        <v>75</v>
      </c>
      <c r="D78" s="9">
        <f>'1、经济推算'!F77</f>
        <v>241097.53759099526</v>
      </c>
      <c r="E78" s="9">
        <f>'1、经济推算'!U77</f>
        <v>226819</v>
      </c>
      <c r="F78" s="9"/>
      <c r="G78" s="31">
        <f>'1、经济推算'!S77</f>
        <v>22.501943508367528</v>
      </c>
      <c r="H78" s="2">
        <v>3</v>
      </c>
      <c r="I78" s="2">
        <v>3</v>
      </c>
      <c r="J78" s="2">
        <v>3</v>
      </c>
      <c r="K78" s="2">
        <v>3</v>
      </c>
      <c r="L78" s="2">
        <v>3</v>
      </c>
      <c r="M78" s="2">
        <v>3</v>
      </c>
      <c r="N78" s="2">
        <v>3</v>
      </c>
      <c r="O78" s="2">
        <v>3</v>
      </c>
      <c r="P78" s="2">
        <v>3</v>
      </c>
      <c r="Q78" s="2">
        <v>3</v>
      </c>
      <c r="R78" s="9">
        <f t="shared" si="12"/>
        <v>11340.95</v>
      </c>
      <c r="S78" s="9">
        <f t="shared" si="10"/>
        <v>136091.4</v>
      </c>
      <c r="T78" s="9">
        <f t="shared" si="11"/>
        <v>90727.6</v>
      </c>
      <c r="U78" s="2"/>
      <c r="V78" s="2">
        <f t="shared" si="13"/>
        <v>12</v>
      </c>
      <c r="W78" s="2">
        <f t="shared" si="14"/>
        <v>250</v>
      </c>
      <c r="AE78" s="171"/>
      <c r="AG78">
        <f>SUM(AG74:AG77)</f>
        <v>25106</v>
      </c>
      <c r="AH78">
        <v>24</v>
      </c>
    </row>
    <row r="79" spans="2:34">
      <c r="B79" s="2"/>
      <c r="C79" s="2">
        <v>76</v>
      </c>
      <c r="D79" s="9">
        <f>'1、经济推算'!F78</f>
        <v>265390.29980991711</v>
      </c>
      <c r="E79" s="9">
        <f>'1、经济推算'!U78</f>
        <v>238115</v>
      </c>
      <c r="F79" s="9"/>
      <c r="G79" s="31">
        <f>'1、经济推算'!S78</f>
        <v>23.622584977465493</v>
      </c>
      <c r="H79" s="2">
        <v>3</v>
      </c>
      <c r="I79" s="2">
        <v>3</v>
      </c>
      <c r="J79" s="2">
        <v>3</v>
      </c>
      <c r="K79" s="2">
        <v>3</v>
      </c>
      <c r="L79" s="2">
        <v>3</v>
      </c>
      <c r="M79" s="2">
        <v>3</v>
      </c>
      <c r="N79" s="2">
        <v>3</v>
      </c>
      <c r="O79" s="2">
        <v>3</v>
      </c>
      <c r="P79" s="2">
        <v>3</v>
      </c>
      <c r="Q79" s="2">
        <v>3</v>
      </c>
      <c r="R79" s="9">
        <f t="shared" si="12"/>
        <v>11905.75</v>
      </c>
      <c r="S79" s="9">
        <f t="shared" si="10"/>
        <v>142869</v>
      </c>
      <c r="T79" s="9">
        <f t="shared" si="11"/>
        <v>95246</v>
      </c>
      <c r="U79" s="2"/>
      <c r="V79" s="2">
        <f t="shared" si="13"/>
        <v>12</v>
      </c>
      <c r="W79" s="2">
        <f t="shared" si="14"/>
        <v>254</v>
      </c>
      <c r="AE79" s="171"/>
      <c r="AF79" t="s">
        <v>1297</v>
      </c>
      <c r="AG79">
        <f>AA13*AC5</f>
        <v>26400</v>
      </c>
    </row>
    <row r="80" spans="2:34">
      <c r="B80" s="2"/>
      <c r="C80" s="2">
        <v>77</v>
      </c>
      <c r="D80" s="9">
        <f>'1、经济推算'!F79</f>
        <v>292130.77801184583</v>
      </c>
      <c r="E80" s="9">
        <f>'1、经济推算'!U79</f>
        <v>249825</v>
      </c>
      <c r="F80" s="9"/>
      <c r="G80" s="31">
        <f>'1、经济推算'!S79</f>
        <v>24.784270589475426</v>
      </c>
      <c r="H80" s="2">
        <v>3</v>
      </c>
      <c r="I80" s="2">
        <v>3</v>
      </c>
      <c r="J80" s="2">
        <v>3</v>
      </c>
      <c r="K80" s="2">
        <v>3</v>
      </c>
      <c r="L80" s="2">
        <v>3</v>
      </c>
      <c r="M80" s="2">
        <v>3</v>
      </c>
      <c r="N80" s="2">
        <v>3</v>
      </c>
      <c r="O80" s="2">
        <v>3</v>
      </c>
      <c r="P80" s="2">
        <v>3</v>
      </c>
      <c r="Q80" s="2">
        <v>3</v>
      </c>
      <c r="R80" s="9">
        <f t="shared" si="12"/>
        <v>12491.25</v>
      </c>
      <c r="S80" s="9">
        <f t="shared" si="10"/>
        <v>149895</v>
      </c>
      <c r="T80" s="9">
        <f t="shared" si="11"/>
        <v>99930</v>
      </c>
      <c r="U80" s="2"/>
      <c r="V80" s="2">
        <f t="shared" si="13"/>
        <v>12</v>
      </c>
      <c r="W80" s="2">
        <f t="shared" si="14"/>
        <v>258</v>
      </c>
      <c r="AE80" s="171"/>
      <c r="AG80">
        <f>AG78+AG79</f>
        <v>51506</v>
      </c>
      <c r="AH80">
        <v>28</v>
      </c>
    </row>
    <row r="81" spans="2:34">
      <c r="B81" s="2"/>
      <c r="C81" s="2">
        <v>78</v>
      </c>
      <c r="D81" s="9">
        <f>'1、经济推算'!F80</f>
        <v>321565.60176815226</v>
      </c>
      <c r="E81" s="9">
        <f>'1、经济推算'!U80</f>
        <v>261958</v>
      </c>
      <c r="F81" s="9"/>
      <c r="G81" s="31">
        <f>'1、经济推算'!S80</f>
        <v>25.987980983895159</v>
      </c>
      <c r="H81" s="2">
        <v>3</v>
      </c>
      <c r="I81" s="2">
        <v>3</v>
      </c>
      <c r="J81" s="2">
        <v>3</v>
      </c>
      <c r="K81" s="2">
        <v>3</v>
      </c>
      <c r="L81" s="2">
        <v>3</v>
      </c>
      <c r="M81" s="2">
        <v>3</v>
      </c>
      <c r="N81" s="2">
        <v>3</v>
      </c>
      <c r="O81" s="2">
        <v>3</v>
      </c>
      <c r="P81" s="2">
        <v>3</v>
      </c>
      <c r="Q81" s="2">
        <v>3</v>
      </c>
      <c r="R81" s="9">
        <f t="shared" si="12"/>
        <v>13097.9</v>
      </c>
      <c r="S81" s="9">
        <f t="shared" si="10"/>
        <v>157174.79999999999</v>
      </c>
      <c r="T81" s="9">
        <f t="shared" si="11"/>
        <v>104783.20000000001</v>
      </c>
      <c r="U81" s="2"/>
      <c r="V81" s="2">
        <f t="shared" si="13"/>
        <v>12</v>
      </c>
      <c r="W81" s="2">
        <f t="shared" si="14"/>
        <v>262</v>
      </c>
      <c r="AE81" s="169"/>
      <c r="AF81" t="s">
        <v>1300</v>
      </c>
      <c r="AG81">
        <v>5556</v>
      </c>
    </row>
    <row r="82" spans="2:34">
      <c r="B82" s="2"/>
      <c r="C82" s="2">
        <v>79</v>
      </c>
      <c r="D82" s="9">
        <f>'1、经济推算'!F81</f>
        <v>353966.25081497186</v>
      </c>
      <c r="E82" s="9">
        <f>'1、经济推算'!U81</f>
        <v>274525</v>
      </c>
      <c r="F82" s="9"/>
      <c r="G82" s="31">
        <f>'1、经济推算'!S81</f>
        <v>27.234708244314319</v>
      </c>
      <c r="H82" s="2">
        <v>3</v>
      </c>
      <c r="I82" s="2">
        <v>3</v>
      </c>
      <c r="J82" s="2">
        <v>3</v>
      </c>
      <c r="K82" s="2">
        <v>3</v>
      </c>
      <c r="L82" s="2">
        <v>3</v>
      </c>
      <c r="M82" s="2">
        <v>3</v>
      </c>
      <c r="N82" s="2">
        <v>3</v>
      </c>
      <c r="O82" s="2">
        <v>3</v>
      </c>
      <c r="P82" s="2">
        <v>3</v>
      </c>
      <c r="Q82" s="2">
        <v>3</v>
      </c>
      <c r="R82" s="9">
        <f t="shared" si="12"/>
        <v>13726.25</v>
      </c>
      <c r="S82" s="9">
        <f t="shared" si="10"/>
        <v>164715</v>
      </c>
      <c r="T82" s="9">
        <f t="shared" si="11"/>
        <v>109810</v>
      </c>
      <c r="U82" s="2"/>
      <c r="V82" s="2">
        <f t="shared" si="13"/>
        <v>12</v>
      </c>
      <c r="W82" s="2">
        <f t="shared" si="14"/>
        <v>266</v>
      </c>
      <c r="AE82" s="169"/>
      <c r="AF82" t="s">
        <v>1299</v>
      </c>
      <c r="AG82">
        <v>5605</v>
      </c>
    </row>
    <row r="83" spans="2:34">
      <c r="B83" s="2"/>
      <c r="C83" s="2">
        <v>80</v>
      </c>
      <c r="D83" s="9">
        <f>'1、经济推算'!F82</f>
        <v>389631.55893254606</v>
      </c>
      <c r="E83" s="9">
        <f>'1、经济推算'!U82</f>
        <v>287536</v>
      </c>
      <c r="F83" s="9"/>
      <c r="G83" s="31">
        <f>'1、经济推算'!S82</f>
        <v>28.525455898414339</v>
      </c>
      <c r="H83" s="2">
        <v>3</v>
      </c>
      <c r="I83" s="2">
        <v>3</v>
      </c>
      <c r="J83" s="2">
        <v>3</v>
      </c>
      <c r="K83" s="2">
        <v>3</v>
      </c>
      <c r="L83" s="2">
        <v>3</v>
      </c>
      <c r="M83" s="2">
        <v>3</v>
      </c>
      <c r="N83" s="2">
        <v>3</v>
      </c>
      <c r="O83" s="2">
        <v>3</v>
      </c>
      <c r="P83" s="2">
        <v>3</v>
      </c>
      <c r="Q83" s="2">
        <v>3</v>
      </c>
      <c r="R83" s="9">
        <f t="shared" si="12"/>
        <v>14376.8</v>
      </c>
      <c r="S83" s="9">
        <f t="shared" si="10"/>
        <v>172521.60000000001</v>
      </c>
      <c r="T83" s="9">
        <f t="shared" si="11"/>
        <v>115014.40000000001</v>
      </c>
      <c r="U83" s="2"/>
      <c r="V83" s="2">
        <f t="shared" si="13"/>
        <v>13</v>
      </c>
      <c r="W83" s="2">
        <f t="shared" si="14"/>
        <v>270</v>
      </c>
      <c r="AE83" s="169"/>
      <c r="AF83" t="s">
        <v>1295</v>
      </c>
      <c r="AG83">
        <v>3406</v>
      </c>
    </row>
    <row r="84" spans="2:34">
      <c r="B84" s="2"/>
      <c r="C84" s="2">
        <v>81</v>
      </c>
      <c r="D84" s="9">
        <f>'1、经济推算'!F83</f>
        <v>428890.47011310433</v>
      </c>
      <c r="E84" s="9">
        <f>'1、经济推算'!U83</f>
        <v>301001</v>
      </c>
      <c r="F84" s="9"/>
      <c r="G84" s="31">
        <f>'1、经济推算'!S83</f>
        <v>29.861238917968436</v>
      </c>
      <c r="H84" s="2">
        <v>3</v>
      </c>
      <c r="I84" s="2">
        <v>3</v>
      </c>
      <c r="J84" s="2">
        <v>3</v>
      </c>
      <c r="K84" s="2">
        <v>3</v>
      </c>
      <c r="L84" s="2">
        <v>3</v>
      </c>
      <c r="M84" s="2">
        <v>3</v>
      </c>
      <c r="N84" s="2">
        <v>3</v>
      </c>
      <c r="O84" s="2">
        <v>3</v>
      </c>
      <c r="P84" s="2">
        <v>3</v>
      </c>
      <c r="Q84" s="2">
        <v>3</v>
      </c>
      <c r="R84" s="9">
        <f t="shared" si="12"/>
        <v>15050.05</v>
      </c>
      <c r="S84" s="9">
        <f t="shared" si="10"/>
        <v>180600.6</v>
      </c>
      <c r="T84" s="9">
        <f t="shared" si="11"/>
        <v>120400.40000000001</v>
      </c>
      <c r="U84" s="2"/>
      <c r="V84" s="2">
        <f t="shared" si="13"/>
        <v>13</v>
      </c>
      <c r="W84" s="2">
        <f t="shared" si="14"/>
        <v>274</v>
      </c>
      <c r="AE84" s="169"/>
      <c r="AF84" t="s">
        <v>1301</v>
      </c>
      <c r="AG84">
        <v>6900</v>
      </c>
    </row>
    <row r="85" spans="2:34">
      <c r="B85" s="2"/>
      <c r="C85" s="2">
        <v>82</v>
      </c>
      <c r="D85" s="9">
        <f>'1、经济推算'!F84</f>
        <v>472105.0724376383</v>
      </c>
      <c r="E85" s="9">
        <f>'1、经济推算'!U84</f>
        <v>314930</v>
      </c>
      <c r="F85" s="9"/>
      <c r="G85" s="31">
        <f>'1、经济推算'!S84</f>
        <v>31.243083718841635</v>
      </c>
      <c r="H85" s="2">
        <v>3</v>
      </c>
      <c r="I85" s="2">
        <v>3</v>
      </c>
      <c r="J85" s="2">
        <v>3</v>
      </c>
      <c r="K85" s="2">
        <v>3</v>
      </c>
      <c r="L85" s="2">
        <v>3</v>
      </c>
      <c r="M85" s="2">
        <v>3</v>
      </c>
      <c r="N85" s="2">
        <v>3</v>
      </c>
      <c r="O85" s="2">
        <v>3</v>
      </c>
      <c r="P85" s="2">
        <v>3</v>
      </c>
      <c r="Q85" s="2">
        <v>3</v>
      </c>
      <c r="R85" s="9">
        <f t="shared" si="12"/>
        <v>15746.5</v>
      </c>
      <c r="S85" s="9">
        <f t="shared" si="10"/>
        <v>188958</v>
      </c>
      <c r="T85" s="9">
        <f t="shared" si="11"/>
        <v>125972</v>
      </c>
      <c r="U85" s="2"/>
      <c r="V85" s="2">
        <f t="shared" si="13"/>
        <v>13</v>
      </c>
      <c r="W85" s="2">
        <f t="shared" si="14"/>
        <v>278</v>
      </c>
      <c r="AE85" s="169"/>
      <c r="AG85">
        <f>AG78+SUM(AG81:AG84)</f>
        <v>46573</v>
      </c>
      <c r="AH85">
        <v>27</v>
      </c>
    </row>
    <row r="86" spans="2:34">
      <c r="B86" s="2"/>
      <c r="C86" s="2">
        <v>83</v>
      </c>
      <c r="D86" s="9">
        <f>'1、经济推算'!F85</f>
        <v>519673.93764326442</v>
      </c>
      <c r="E86" s="9">
        <f>'1、经济推算'!U85</f>
        <v>329334</v>
      </c>
      <c r="F86" s="9"/>
      <c r="G86" s="31">
        <f>'1、经济推算'!S85</f>
        <v>32.672028160990749</v>
      </c>
      <c r="H86" s="2">
        <v>3</v>
      </c>
      <c r="I86" s="2">
        <v>3</v>
      </c>
      <c r="J86" s="2">
        <v>3</v>
      </c>
      <c r="K86" s="2">
        <v>3</v>
      </c>
      <c r="L86" s="2">
        <v>3</v>
      </c>
      <c r="M86" s="2">
        <v>3</v>
      </c>
      <c r="N86" s="2">
        <v>3</v>
      </c>
      <c r="O86" s="2">
        <v>3</v>
      </c>
      <c r="P86" s="2">
        <v>3</v>
      </c>
      <c r="Q86" s="2">
        <v>3</v>
      </c>
      <c r="R86" s="9">
        <f t="shared" si="12"/>
        <v>16466.7</v>
      </c>
      <c r="S86" s="9">
        <f t="shared" si="10"/>
        <v>197600.4</v>
      </c>
      <c r="T86" s="9">
        <f t="shared" si="11"/>
        <v>131733.6</v>
      </c>
      <c r="U86" s="2"/>
      <c r="V86" s="2">
        <f t="shared" si="13"/>
        <v>13</v>
      </c>
      <c r="W86" s="2">
        <f t="shared" si="14"/>
        <v>282</v>
      </c>
      <c r="AE86" s="169"/>
      <c r="AF86" t="s">
        <v>1297</v>
      </c>
      <c r="AG86">
        <f>AG79</f>
        <v>26400</v>
      </c>
    </row>
    <row r="87" spans="2:34">
      <c r="B87" s="2"/>
      <c r="C87" s="2">
        <v>84</v>
      </c>
      <c r="D87" s="9">
        <f>'1、经济推算'!F86</f>
        <v>572035.7971822652</v>
      </c>
      <c r="E87" s="9">
        <f>'1、经济推算'!U86</f>
        <v>344223</v>
      </c>
      <c r="F87" s="9"/>
      <c r="G87" s="31">
        <f>'1、经济推算'!S86</f>
        <v>34.1491215484644</v>
      </c>
      <c r="H87" s="2">
        <v>3</v>
      </c>
      <c r="I87" s="2">
        <v>3</v>
      </c>
      <c r="J87" s="2">
        <v>3</v>
      </c>
      <c r="K87" s="2">
        <v>3</v>
      </c>
      <c r="L87" s="2">
        <v>3</v>
      </c>
      <c r="M87" s="2">
        <v>3</v>
      </c>
      <c r="N87" s="2">
        <v>3</v>
      </c>
      <c r="O87" s="2">
        <v>3</v>
      </c>
      <c r="P87" s="2">
        <v>3</v>
      </c>
      <c r="Q87" s="2">
        <v>3</v>
      </c>
      <c r="R87" s="9">
        <f t="shared" si="12"/>
        <v>17211.150000000001</v>
      </c>
      <c r="S87" s="9">
        <f t="shared" si="10"/>
        <v>206533.8</v>
      </c>
      <c r="T87" s="9">
        <f t="shared" si="11"/>
        <v>137689.20000000001</v>
      </c>
      <c r="U87" s="2"/>
      <c r="V87" s="2">
        <f t="shared" si="13"/>
        <v>13</v>
      </c>
      <c r="W87" s="2">
        <f t="shared" si="14"/>
        <v>286</v>
      </c>
      <c r="AE87" s="169"/>
      <c r="AG87">
        <f>SUM(AG85:AG86)</f>
        <v>72973</v>
      </c>
      <c r="AH87">
        <v>31</v>
      </c>
    </row>
    <row r="88" spans="2:34">
      <c r="B88" s="2"/>
      <c r="C88" s="2">
        <v>85</v>
      </c>
      <c r="D88" s="9">
        <f>'1、经济推算'!F87</f>
        <v>629673.58867739979</v>
      </c>
      <c r="E88" s="9">
        <f>'1、经济推算'!U87</f>
        <v>359608</v>
      </c>
      <c r="F88" s="9"/>
      <c r="G88" s="31">
        <f>'1、经济推算'!S87</f>
        <v>35.67542462940299</v>
      </c>
      <c r="H88" s="2">
        <v>3</v>
      </c>
      <c r="I88" s="2">
        <v>3</v>
      </c>
      <c r="J88" s="2">
        <v>3</v>
      </c>
      <c r="K88" s="2">
        <v>3</v>
      </c>
      <c r="L88" s="2">
        <v>3</v>
      </c>
      <c r="M88" s="2">
        <v>3</v>
      </c>
      <c r="N88" s="2">
        <v>3</v>
      </c>
      <c r="O88" s="2">
        <v>3</v>
      </c>
      <c r="P88" s="2">
        <v>3</v>
      </c>
      <c r="Q88" s="2">
        <v>3</v>
      </c>
      <c r="R88" s="9">
        <f t="shared" si="12"/>
        <v>17980.400000000001</v>
      </c>
      <c r="S88" s="9">
        <f t="shared" si="10"/>
        <v>215764.8</v>
      </c>
      <c r="T88" s="9">
        <f t="shared" si="11"/>
        <v>143843.20000000001</v>
      </c>
      <c r="U88" s="2"/>
      <c r="V88" s="2">
        <f t="shared" si="13"/>
        <v>13</v>
      </c>
      <c r="W88" s="2">
        <f t="shared" si="14"/>
        <v>290</v>
      </c>
    </row>
    <row r="89" spans="2:34">
      <c r="B89" s="2"/>
      <c r="C89" s="2">
        <v>86</v>
      </c>
      <c r="D89" s="9">
        <f>'1、经济推算'!F88</f>
        <v>693118.91009426443</v>
      </c>
      <c r="E89" s="9">
        <f>'1、经济推算'!U88</f>
        <v>375500</v>
      </c>
      <c r="F89" s="9"/>
      <c r="G89" s="31">
        <f>'1、经济推算'!S88</f>
        <v>37.252009596038732</v>
      </c>
      <c r="H89" s="2">
        <v>3</v>
      </c>
      <c r="I89" s="2">
        <v>3</v>
      </c>
      <c r="J89" s="2">
        <v>3</v>
      </c>
      <c r="K89" s="2">
        <v>3</v>
      </c>
      <c r="L89" s="2">
        <v>3</v>
      </c>
      <c r="M89" s="2">
        <v>3</v>
      </c>
      <c r="N89" s="2">
        <v>3</v>
      </c>
      <c r="O89" s="2">
        <v>3</v>
      </c>
      <c r="P89" s="2">
        <v>3</v>
      </c>
      <c r="Q89" s="2">
        <v>3</v>
      </c>
      <c r="R89" s="9">
        <f t="shared" si="12"/>
        <v>18775</v>
      </c>
      <c r="S89" s="9">
        <f t="shared" si="10"/>
        <v>225300</v>
      </c>
      <c r="T89" s="9">
        <f t="shared" si="11"/>
        <v>150200</v>
      </c>
      <c r="U89" s="2"/>
      <c r="V89" s="2">
        <f t="shared" si="13"/>
        <v>13</v>
      </c>
      <c r="W89" s="2">
        <f t="shared" si="14"/>
        <v>294</v>
      </c>
    </row>
    <row r="90" spans="2:34">
      <c r="B90" s="2"/>
      <c r="C90" s="2">
        <v>87</v>
      </c>
      <c r="D90" s="9">
        <f>'1、经济推算'!F89</f>
        <v>762956.92271188938</v>
      </c>
      <c r="E90" s="9">
        <f>'1、经济推算'!U89</f>
        <v>391909</v>
      </c>
      <c r="F90" s="9"/>
      <c r="G90" s="31">
        <f>'1、经济推算'!S89</f>
        <v>38.879960084695632</v>
      </c>
      <c r="H90" s="2">
        <v>3</v>
      </c>
      <c r="I90" s="2">
        <v>3</v>
      </c>
      <c r="J90" s="2">
        <v>3</v>
      </c>
      <c r="K90" s="2">
        <v>3</v>
      </c>
      <c r="L90" s="2">
        <v>3</v>
      </c>
      <c r="M90" s="2">
        <v>3</v>
      </c>
      <c r="N90" s="2">
        <v>3</v>
      </c>
      <c r="O90" s="2">
        <v>3</v>
      </c>
      <c r="P90" s="2">
        <v>3</v>
      </c>
      <c r="Q90" s="2">
        <v>3</v>
      </c>
      <c r="R90" s="9">
        <f t="shared" si="12"/>
        <v>19595.45</v>
      </c>
      <c r="S90" s="9">
        <f t="shared" si="10"/>
        <v>235145.4</v>
      </c>
      <c r="T90" s="9">
        <f t="shared" si="11"/>
        <v>156763.6</v>
      </c>
      <c r="U90" s="2"/>
      <c r="V90" s="2">
        <f t="shared" si="13"/>
        <v>13</v>
      </c>
      <c r="W90" s="2">
        <f t="shared" si="14"/>
        <v>298</v>
      </c>
    </row>
    <row r="91" spans="2:34">
      <c r="B91" s="2"/>
      <c r="C91" s="2">
        <v>88</v>
      </c>
      <c r="D91" s="9">
        <f>'1、经济推算'!F90</f>
        <v>839831.74811206595</v>
      </c>
      <c r="E91" s="9">
        <f>'1、经济推算'!U90</f>
        <v>408848</v>
      </c>
      <c r="F91" s="9"/>
      <c r="G91" s="31">
        <f>'1、经济推算'!S90</f>
        <v>40.560371175789484</v>
      </c>
      <c r="H91" s="2">
        <v>3</v>
      </c>
      <c r="I91" s="2">
        <v>3</v>
      </c>
      <c r="J91" s="2">
        <v>3</v>
      </c>
      <c r="K91" s="2">
        <v>3</v>
      </c>
      <c r="L91" s="2">
        <v>3</v>
      </c>
      <c r="M91" s="2">
        <v>3</v>
      </c>
      <c r="N91" s="2">
        <v>3</v>
      </c>
      <c r="O91" s="2">
        <v>3</v>
      </c>
      <c r="P91" s="2">
        <v>3</v>
      </c>
      <c r="Q91" s="2">
        <v>3</v>
      </c>
      <c r="R91" s="9">
        <f t="shared" si="12"/>
        <v>20442.400000000001</v>
      </c>
      <c r="S91" s="9">
        <f t="shared" si="10"/>
        <v>245308.79999999999</v>
      </c>
      <c r="T91" s="9">
        <f t="shared" si="11"/>
        <v>163539.20000000001</v>
      </c>
      <c r="U91" s="2"/>
      <c r="V91" s="2">
        <f t="shared" si="13"/>
        <v>13</v>
      </c>
      <c r="W91" s="2">
        <f t="shared" si="14"/>
        <v>302</v>
      </c>
    </row>
    <row r="92" spans="2:34">
      <c r="B92" s="2"/>
      <c r="C92" s="2">
        <v>89</v>
      </c>
      <c r="D92" s="9">
        <f>'1、经济推算'!F91</f>
        <v>924452.40896426479</v>
      </c>
      <c r="E92" s="9">
        <f>'1、经济推算'!U91</f>
        <v>426327</v>
      </c>
      <c r="F92" s="9"/>
      <c r="G92" s="31">
        <f>'1、经济推算'!S91</f>
        <v>42.2943493938279</v>
      </c>
      <c r="H92" s="2">
        <v>3</v>
      </c>
      <c r="I92" s="2">
        <v>3</v>
      </c>
      <c r="J92" s="2">
        <v>3</v>
      </c>
      <c r="K92" s="2">
        <v>3</v>
      </c>
      <c r="L92" s="2">
        <v>3</v>
      </c>
      <c r="M92" s="2">
        <v>3</v>
      </c>
      <c r="N92" s="2">
        <v>3</v>
      </c>
      <c r="O92" s="2">
        <v>3</v>
      </c>
      <c r="P92" s="2">
        <v>3</v>
      </c>
      <c r="Q92" s="2">
        <v>3</v>
      </c>
      <c r="R92" s="9">
        <f t="shared" si="12"/>
        <v>21316.35</v>
      </c>
      <c r="S92" s="9">
        <f t="shared" si="10"/>
        <v>255796.19999999998</v>
      </c>
      <c r="T92" s="9">
        <f t="shared" si="11"/>
        <v>170530.80000000002</v>
      </c>
      <c r="U92" s="2"/>
      <c r="V92" s="2">
        <f t="shared" si="13"/>
        <v>13</v>
      </c>
      <c r="W92" s="2">
        <f t="shared" si="14"/>
        <v>306</v>
      </c>
    </row>
    <row r="93" spans="2:34">
      <c r="B93" s="2"/>
      <c r="C93" s="2">
        <v>90</v>
      </c>
      <c r="D93" s="9">
        <f>'1、经济推算'!F92</f>
        <v>1017599.3683984831</v>
      </c>
      <c r="E93" s="9">
        <f>'1、经济推算'!U92</f>
        <v>444356</v>
      </c>
      <c r="F93" s="9"/>
      <c r="G93" s="31">
        <f>'1、经济推算'!S92</f>
        <v>44.083012707410262</v>
      </c>
      <c r="H93" s="2">
        <v>3</v>
      </c>
      <c r="I93" s="2">
        <v>3</v>
      </c>
      <c r="J93" s="2">
        <v>3</v>
      </c>
      <c r="K93" s="2">
        <v>3</v>
      </c>
      <c r="L93" s="2">
        <v>3</v>
      </c>
      <c r="M93" s="2">
        <v>3</v>
      </c>
      <c r="N93" s="2">
        <v>3</v>
      </c>
      <c r="O93" s="2">
        <v>3</v>
      </c>
      <c r="P93" s="2">
        <v>3</v>
      </c>
      <c r="Q93" s="2">
        <v>3</v>
      </c>
      <c r="R93" s="9">
        <f t="shared" si="12"/>
        <v>22217.8</v>
      </c>
      <c r="S93" s="9">
        <f t="shared" si="10"/>
        <v>266613.59999999998</v>
      </c>
      <c r="T93" s="9">
        <f t="shared" si="11"/>
        <v>177742.40000000002</v>
      </c>
      <c r="U93" s="2"/>
      <c r="V93" s="2">
        <f t="shared" si="13"/>
        <v>14</v>
      </c>
      <c r="W93" s="2">
        <f t="shared" si="14"/>
        <v>310</v>
      </c>
    </row>
    <row r="94" spans="2:34">
      <c r="B94" s="2"/>
      <c r="C94" s="2">
        <v>91</v>
      </c>
      <c r="D94" s="9">
        <f>'1、经济推算'!F93</f>
        <v>1120131.7282791787</v>
      </c>
      <c r="E94" s="9">
        <f>'1、经济推算'!U93</f>
        <v>462949</v>
      </c>
      <c r="F94" s="9"/>
      <c r="G94" s="31">
        <f>'1、经济推算'!S93</f>
        <v>45.927490529227768</v>
      </c>
      <c r="H94" s="2">
        <v>3</v>
      </c>
      <c r="I94" s="2">
        <v>3</v>
      </c>
      <c r="J94" s="2">
        <v>3</v>
      </c>
      <c r="K94" s="2">
        <v>3</v>
      </c>
      <c r="L94" s="2">
        <v>3</v>
      </c>
      <c r="M94" s="2">
        <v>3</v>
      </c>
      <c r="N94" s="2">
        <v>3</v>
      </c>
      <c r="O94" s="2">
        <v>3</v>
      </c>
      <c r="P94" s="2">
        <v>3</v>
      </c>
      <c r="Q94" s="2">
        <v>3</v>
      </c>
      <c r="R94" s="9">
        <f t="shared" si="12"/>
        <v>23147.45</v>
      </c>
      <c r="S94" s="9">
        <f t="shared" si="10"/>
        <v>277769.39999999997</v>
      </c>
      <c r="T94" s="9">
        <f t="shared" si="11"/>
        <v>185179.6</v>
      </c>
      <c r="U94" s="2"/>
      <c r="V94" s="2">
        <f t="shared" si="13"/>
        <v>14</v>
      </c>
      <c r="W94" s="2">
        <f t="shared" si="14"/>
        <v>314</v>
      </c>
    </row>
    <row r="95" spans="2:34">
      <c r="B95" s="2"/>
      <c r="C95" s="2">
        <v>92</v>
      </c>
      <c r="D95" s="9">
        <f>'1、经济推算'!F94</f>
        <v>1232995.1527705467</v>
      </c>
      <c r="E95" s="9">
        <f>'1、经济推算'!U94</f>
        <v>482115</v>
      </c>
      <c r="F95" s="9"/>
      <c r="G95" s="31">
        <f>'1、经济推算'!S94</f>
        <v>47.828923716063407</v>
      </c>
      <c r="H95" s="2">
        <v>3</v>
      </c>
      <c r="I95" s="2">
        <v>3</v>
      </c>
      <c r="J95" s="2">
        <v>3</v>
      </c>
      <c r="K95" s="2">
        <v>3</v>
      </c>
      <c r="L95" s="2">
        <v>3</v>
      </c>
      <c r="M95" s="2">
        <v>3</v>
      </c>
      <c r="N95" s="2">
        <v>3</v>
      </c>
      <c r="O95" s="2">
        <v>3</v>
      </c>
      <c r="P95" s="2">
        <v>3</v>
      </c>
      <c r="Q95" s="2">
        <v>3</v>
      </c>
      <c r="R95" s="9">
        <f t="shared" si="12"/>
        <v>24105.75</v>
      </c>
      <c r="S95" s="9">
        <f t="shared" si="10"/>
        <v>289269</v>
      </c>
      <c r="T95" s="9">
        <f t="shared" si="11"/>
        <v>192846</v>
      </c>
      <c r="U95" s="2"/>
      <c r="V95" s="2">
        <f t="shared" si="13"/>
        <v>14</v>
      </c>
      <c r="W95" s="2">
        <f t="shared" si="14"/>
        <v>318</v>
      </c>
    </row>
    <row r="96" spans="2:34">
      <c r="B96" s="2"/>
      <c r="C96" s="2">
        <v>93</v>
      </c>
      <c r="D96" s="9">
        <f>'1、经济推算'!F95</f>
        <v>1357230.5902728201</v>
      </c>
      <c r="E96" s="9">
        <f>'1、经济推算'!U95</f>
        <v>501867</v>
      </c>
      <c r="F96" s="9"/>
      <c r="G96" s="31">
        <f>'1、经济推算'!S95</f>
        <v>49.788464568791966</v>
      </c>
      <c r="H96" s="2">
        <v>3</v>
      </c>
      <c r="I96" s="2">
        <v>3</v>
      </c>
      <c r="J96" s="2">
        <v>3</v>
      </c>
      <c r="K96" s="2">
        <v>3</v>
      </c>
      <c r="L96" s="2">
        <v>3</v>
      </c>
      <c r="M96" s="2">
        <v>3</v>
      </c>
      <c r="N96" s="2">
        <v>3</v>
      </c>
      <c r="O96" s="2">
        <v>3</v>
      </c>
      <c r="P96" s="2">
        <v>3</v>
      </c>
      <c r="Q96" s="2">
        <v>3</v>
      </c>
      <c r="R96" s="9">
        <f t="shared" si="12"/>
        <v>25093.35</v>
      </c>
      <c r="S96" s="9">
        <f t="shared" si="10"/>
        <v>301120.2</v>
      </c>
      <c r="T96" s="9">
        <f t="shared" si="11"/>
        <v>200746.80000000002</v>
      </c>
      <c r="U96" s="2"/>
      <c r="V96" s="2">
        <f t="shared" si="13"/>
        <v>14</v>
      </c>
      <c r="W96" s="2">
        <f t="shared" si="14"/>
        <v>322</v>
      </c>
    </row>
    <row r="97" spans="2:23">
      <c r="B97" s="2"/>
      <c r="C97" s="2">
        <v>94</v>
      </c>
      <c r="D97" s="9">
        <f>'1、经济推算'!F96</f>
        <v>1493983.874172705</v>
      </c>
      <c r="E97" s="9">
        <f>'1、经济推算'!U96</f>
        <v>522217</v>
      </c>
      <c r="F97" s="9"/>
      <c r="G97" s="31">
        <f>'1、经济推算'!S96</f>
        <v>51.807276832380033</v>
      </c>
      <c r="H97" s="2">
        <v>3</v>
      </c>
      <c r="I97" s="2">
        <v>3</v>
      </c>
      <c r="J97" s="2">
        <v>3</v>
      </c>
      <c r="K97" s="2">
        <v>3</v>
      </c>
      <c r="L97" s="2">
        <v>3</v>
      </c>
      <c r="M97" s="2">
        <v>3</v>
      </c>
      <c r="N97" s="2">
        <v>3</v>
      </c>
      <c r="O97" s="2">
        <v>3</v>
      </c>
      <c r="P97" s="2">
        <v>3</v>
      </c>
      <c r="Q97" s="2">
        <v>3</v>
      </c>
      <c r="R97" s="9">
        <f t="shared" si="12"/>
        <v>26110.85</v>
      </c>
      <c r="S97" s="9">
        <f t="shared" si="10"/>
        <v>313330.2</v>
      </c>
      <c r="T97" s="9">
        <f t="shared" si="11"/>
        <v>208886.80000000002</v>
      </c>
      <c r="U97" s="2"/>
      <c r="V97" s="2">
        <f t="shared" si="13"/>
        <v>14</v>
      </c>
      <c r="W97" s="2">
        <f t="shared" si="14"/>
        <v>326</v>
      </c>
    </row>
    <row r="98" spans="2:23">
      <c r="B98" s="2"/>
      <c r="C98" s="2">
        <v>95</v>
      </c>
      <c r="D98" s="9">
        <f>'1、经济推算'!F97</f>
        <v>1644516.2909564453</v>
      </c>
      <c r="E98" s="9">
        <f>'1、经济推算'!U97</f>
        <v>543176</v>
      </c>
      <c r="F98" s="9"/>
      <c r="G98" s="31">
        <f>'1、经济推算'!S97</f>
        <v>53.886535695885975</v>
      </c>
      <c r="H98" s="2">
        <v>3</v>
      </c>
      <c r="I98" s="2">
        <v>3</v>
      </c>
      <c r="J98" s="2">
        <v>3</v>
      </c>
      <c r="K98" s="2">
        <v>3</v>
      </c>
      <c r="L98" s="2">
        <v>3</v>
      </c>
      <c r="M98" s="2">
        <v>3</v>
      </c>
      <c r="N98" s="2">
        <v>3</v>
      </c>
      <c r="O98" s="2">
        <v>3</v>
      </c>
      <c r="P98" s="2">
        <v>3</v>
      </c>
      <c r="Q98" s="2">
        <v>3</v>
      </c>
      <c r="R98" s="9">
        <f t="shared" si="12"/>
        <v>27158.799999999999</v>
      </c>
      <c r="S98" s="9">
        <f t="shared" si="10"/>
        <v>325905.59999999998</v>
      </c>
      <c r="T98" s="9">
        <f t="shared" si="11"/>
        <v>217270.40000000002</v>
      </c>
      <c r="U98" s="2"/>
      <c r="V98" s="2">
        <f t="shared" si="13"/>
        <v>14</v>
      </c>
      <c r="W98" s="2">
        <f t="shared" si="14"/>
        <v>330</v>
      </c>
    </row>
    <row r="99" spans="2:23">
      <c r="B99" s="2"/>
      <c r="C99" s="2">
        <v>96</v>
      </c>
      <c r="D99" s="9">
        <f>'1、经济推算'!F98</f>
        <v>1810216.2131560668</v>
      </c>
      <c r="E99" s="9">
        <f>'1、经济推算'!U98</f>
        <v>564756</v>
      </c>
      <c r="F99" s="9"/>
      <c r="G99" s="31">
        <f>'1、经济推算'!S98</f>
        <v>56.027427792459982</v>
      </c>
      <c r="H99" s="2">
        <v>3</v>
      </c>
      <c r="I99" s="2">
        <v>3</v>
      </c>
      <c r="J99" s="2">
        <v>3</v>
      </c>
      <c r="K99" s="2">
        <v>3</v>
      </c>
      <c r="L99" s="2">
        <v>3</v>
      </c>
      <c r="M99" s="2">
        <v>3</v>
      </c>
      <c r="N99" s="2">
        <v>3</v>
      </c>
      <c r="O99" s="2">
        <v>3</v>
      </c>
      <c r="P99" s="2">
        <v>3</v>
      </c>
      <c r="Q99" s="2">
        <v>3</v>
      </c>
      <c r="R99" s="9">
        <f t="shared" si="12"/>
        <v>28237.8</v>
      </c>
      <c r="S99" s="9">
        <f t="shared" si="10"/>
        <v>338853.6</v>
      </c>
      <c r="T99" s="9">
        <f t="shared" si="11"/>
        <v>225902.40000000002</v>
      </c>
      <c r="U99" s="2"/>
      <c r="V99" s="2">
        <f t="shared" si="13"/>
        <v>14</v>
      </c>
      <c r="W99" s="2">
        <f t="shared" si="14"/>
        <v>334</v>
      </c>
    </row>
    <row r="100" spans="2:23">
      <c r="B100" s="2"/>
      <c r="C100" s="2">
        <v>97</v>
      </c>
      <c r="D100" s="9">
        <f>'1、经济推算'!F99</f>
        <v>1992611.9044203938</v>
      </c>
      <c r="E100" s="9">
        <f>'1、经济推算'!U99</f>
        <v>586970</v>
      </c>
      <c r="F100" s="9"/>
      <c r="G100" s="31">
        <f>'1、经济推算'!S99</f>
        <v>58.231151199344012</v>
      </c>
      <c r="H100" s="2">
        <v>3</v>
      </c>
      <c r="I100" s="2">
        <v>3</v>
      </c>
      <c r="J100" s="2">
        <v>3</v>
      </c>
      <c r="K100" s="2">
        <v>3</v>
      </c>
      <c r="L100" s="2">
        <v>3</v>
      </c>
      <c r="M100" s="2">
        <v>3</v>
      </c>
      <c r="N100" s="2">
        <v>3</v>
      </c>
      <c r="O100" s="2">
        <v>3</v>
      </c>
      <c r="P100" s="2">
        <v>3</v>
      </c>
      <c r="Q100" s="2">
        <v>3</v>
      </c>
      <c r="R100" s="9">
        <f t="shared" si="12"/>
        <v>29348.5</v>
      </c>
      <c r="S100" s="9">
        <f t="shared" si="10"/>
        <v>352182</v>
      </c>
      <c r="T100" s="9">
        <f t="shared" si="11"/>
        <v>234788</v>
      </c>
      <c r="U100" s="2"/>
      <c r="V100" s="2">
        <f t="shared" si="13"/>
        <v>14</v>
      </c>
      <c r="W100" s="2">
        <f t="shared" si="14"/>
        <v>338</v>
      </c>
    </row>
    <row r="101" spans="2:23">
      <c r="B101" s="2"/>
      <c r="C101" s="2">
        <v>98</v>
      </c>
      <c r="D101" s="9">
        <f>'1、经济推算'!F100</f>
        <v>2193385.6148130526</v>
      </c>
      <c r="E101" s="9">
        <f>'1、经济推算'!U100</f>
        <v>609829</v>
      </c>
      <c r="F101" s="9"/>
      <c r="G101" s="31">
        <f>'1、经济推算'!S100</f>
        <v>60.498915437871858</v>
      </c>
      <c r="H101" s="2">
        <v>3</v>
      </c>
      <c r="I101" s="2">
        <v>3</v>
      </c>
      <c r="J101" s="2">
        <v>3</v>
      </c>
      <c r="K101" s="2">
        <v>3</v>
      </c>
      <c r="L101" s="2">
        <v>3</v>
      </c>
      <c r="M101" s="2">
        <v>3</v>
      </c>
      <c r="N101" s="2">
        <v>3</v>
      </c>
      <c r="O101" s="2">
        <v>3</v>
      </c>
      <c r="P101" s="2">
        <v>3</v>
      </c>
      <c r="Q101" s="2">
        <v>3</v>
      </c>
      <c r="R101" s="9">
        <f t="shared" si="12"/>
        <v>30491.45</v>
      </c>
      <c r="S101" s="9">
        <f t="shared" si="10"/>
        <v>365897.39999999997</v>
      </c>
      <c r="T101" s="9">
        <f t="shared" si="11"/>
        <v>243931.6</v>
      </c>
      <c r="U101" s="2"/>
      <c r="V101" s="2">
        <f t="shared" si="13"/>
        <v>14</v>
      </c>
      <c r="W101" s="2">
        <f t="shared" si="14"/>
        <v>342</v>
      </c>
    </row>
    <row r="102" spans="2:23">
      <c r="B102" s="2"/>
      <c r="C102" s="2">
        <v>99</v>
      </c>
      <c r="D102" s="9">
        <f>'1、经济推算'!F101</f>
        <v>2414389.096339474</v>
      </c>
      <c r="E102" s="9">
        <f>'1、经济推算'!U101</f>
        <v>633345</v>
      </c>
      <c r="F102" s="9"/>
      <c r="G102" s="31">
        <f>'1、经济推算'!S101</f>
        <v>62.831941473469065</v>
      </c>
      <c r="H102" s="2">
        <v>3</v>
      </c>
      <c r="I102" s="2">
        <v>3</v>
      </c>
      <c r="J102" s="2">
        <v>3</v>
      </c>
      <c r="K102" s="2">
        <v>3</v>
      </c>
      <c r="L102" s="2">
        <v>3</v>
      </c>
      <c r="M102" s="2">
        <v>3</v>
      </c>
      <c r="N102" s="2">
        <v>3</v>
      </c>
      <c r="O102" s="2">
        <v>3</v>
      </c>
      <c r="P102" s="2">
        <v>3</v>
      </c>
      <c r="Q102" s="2">
        <v>3</v>
      </c>
      <c r="R102" s="9">
        <f t="shared" si="12"/>
        <v>31667.25</v>
      </c>
      <c r="S102" s="9">
        <f t="shared" si="10"/>
        <v>380007</v>
      </c>
      <c r="T102" s="9">
        <f t="shared" si="11"/>
        <v>253338</v>
      </c>
      <c r="U102" s="2"/>
      <c r="V102" s="2">
        <f t="shared" si="13"/>
        <v>14</v>
      </c>
      <c r="W102" s="2">
        <f t="shared" si="14"/>
        <v>346</v>
      </c>
    </row>
    <row r="103" spans="2:23">
      <c r="B103" s="2"/>
      <c r="C103" s="2">
        <v>100</v>
      </c>
      <c r="D103" s="9">
        <f>'1、经济推算'!F102</f>
        <v>2657660.6818039082</v>
      </c>
      <c r="E103" s="9">
        <f>'1、经济推算'!U102</f>
        <v>657533</v>
      </c>
      <c r="F103" s="9"/>
      <c r="G103" s="31">
        <f>'1、经济推算'!S102</f>
        <v>65.231461715653012</v>
      </c>
      <c r="H103" s="2">
        <v>3</v>
      </c>
      <c r="I103" s="2">
        <v>3</v>
      </c>
      <c r="J103" s="2">
        <v>3</v>
      </c>
      <c r="K103" s="2">
        <v>3</v>
      </c>
      <c r="L103" s="2">
        <v>3</v>
      </c>
      <c r="M103" s="2">
        <v>3</v>
      </c>
      <c r="N103" s="2">
        <v>3</v>
      </c>
      <c r="O103" s="2">
        <v>3</v>
      </c>
      <c r="P103" s="2">
        <v>3</v>
      </c>
      <c r="Q103" s="2">
        <v>3</v>
      </c>
      <c r="R103" s="9">
        <f t="shared" si="12"/>
        <v>32876.65</v>
      </c>
      <c r="S103" s="9">
        <f t="shared" si="10"/>
        <v>394519.8</v>
      </c>
      <c r="T103" s="9">
        <f t="shared" si="11"/>
        <v>263013.2</v>
      </c>
      <c r="U103" s="2"/>
      <c r="V103" s="2">
        <f t="shared" si="13"/>
        <v>15</v>
      </c>
      <c r="W103" s="2">
        <f t="shared" si="14"/>
        <v>351</v>
      </c>
    </row>
    <row r="104" spans="2:23"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17"/>
      <c r="T104" s="17"/>
    </row>
  </sheetData>
  <mergeCells count="6">
    <mergeCell ref="AE81:AE87"/>
    <mergeCell ref="AE8:AJ8"/>
    <mergeCell ref="AE11:AF11"/>
    <mergeCell ref="AA35:AB35"/>
    <mergeCell ref="AF48:AI48"/>
    <mergeCell ref="AE74:AE80"/>
  </mergeCells>
  <phoneticPr fontId="1" type="noConversion"/>
  <conditionalFormatting sqref="H4:Q104">
    <cfRule type="iconSet" priority="6">
      <iconSet iconSet="3Symbols2" showValue="0">
        <cfvo type="percent" val="0"/>
        <cfvo type="percent" val="2"/>
        <cfvo type="percent" val="3"/>
      </iconSet>
    </cfRule>
  </conditionalFormatting>
  <conditionalFormatting sqref="B4:C103 E4:V103">
    <cfRule type="expression" dxfId="42" priority="5">
      <formula>MOD($C4,10)=0</formula>
    </cfRule>
  </conditionalFormatting>
  <conditionalFormatting sqref="D4:D103">
    <cfRule type="expression" dxfId="41" priority="4">
      <formula>MOD($C4,10)=0</formula>
    </cfRule>
  </conditionalFormatting>
  <conditionalFormatting sqref="W4:W103">
    <cfRule type="expression" dxfId="40" priority="1">
      <formula>MOD($C4,10)=0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D89"/>
  <sheetViews>
    <sheetView topLeftCell="B1" workbookViewId="0">
      <selection activeCell="O42" sqref="O42"/>
    </sheetView>
  </sheetViews>
  <sheetFormatPr defaultRowHeight="13.5"/>
  <cols>
    <col min="10" max="10" width="13.875" bestFit="1" customWidth="1"/>
    <col min="13" max="13" width="11.5" customWidth="1"/>
    <col min="14" max="14" width="13.875" bestFit="1" customWidth="1"/>
    <col min="16" max="16" width="13.5" customWidth="1"/>
    <col min="17" max="17" width="15.375" customWidth="1"/>
    <col min="18" max="18" width="11.75" customWidth="1"/>
    <col min="19" max="19" width="18.375" bestFit="1" customWidth="1"/>
    <col min="21" max="21" width="18.375" bestFit="1" customWidth="1"/>
    <col min="23" max="23" width="18.375" bestFit="1" customWidth="1"/>
  </cols>
  <sheetData>
    <row r="2" spans="1:30">
      <c r="E2" s="2" t="s">
        <v>97</v>
      </c>
      <c r="F2" s="2">
        <v>48</v>
      </c>
      <c r="H2">
        <v>639</v>
      </c>
      <c r="I2">
        <f>H2/9*16</f>
        <v>1136</v>
      </c>
    </row>
    <row r="5" spans="1:30">
      <c r="C5" t="s">
        <v>180</v>
      </c>
      <c r="D5" s="2" t="s">
        <v>98</v>
      </c>
      <c r="E5" s="2" t="s">
        <v>94</v>
      </c>
      <c r="F5" s="2" t="s">
        <v>95</v>
      </c>
      <c r="G5" s="2" t="s">
        <v>96</v>
      </c>
      <c r="H5" s="4" t="s">
        <v>99</v>
      </c>
      <c r="I5" s="4" t="s">
        <v>100</v>
      </c>
      <c r="J5" s="4" t="s">
        <v>89</v>
      </c>
      <c r="K5" s="4" t="s">
        <v>101</v>
      </c>
      <c r="L5" s="4" t="s">
        <v>88</v>
      </c>
      <c r="M5" s="4" t="s">
        <v>264</v>
      </c>
      <c r="N5" s="4" t="s">
        <v>265</v>
      </c>
      <c r="O5" s="4" t="s">
        <v>99</v>
      </c>
      <c r="P5" s="4" t="s">
        <v>100</v>
      </c>
      <c r="Q5" s="4" t="s">
        <v>89</v>
      </c>
      <c r="R5" s="4" t="s">
        <v>101</v>
      </c>
      <c r="S5" s="4" t="s">
        <v>88</v>
      </c>
      <c r="T5" s="54"/>
      <c r="W5" s="2" t="s">
        <v>1035</v>
      </c>
      <c r="X5" s="2">
        <v>2</v>
      </c>
    </row>
    <row r="6" spans="1:30">
      <c r="A6">
        <f>6*8+9</f>
        <v>57</v>
      </c>
      <c r="D6" s="2">
        <f>'1、经济推算'!I3</f>
        <v>1.8345984399899647E-2</v>
      </c>
      <c r="E6" s="2">
        <v>1</v>
      </c>
      <c r="F6" s="2"/>
      <c r="G6" s="2"/>
      <c r="H6" s="2"/>
      <c r="I6" s="2"/>
      <c r="J6" s="2"/>
      <c r="K6" s="2"/>
      <c r="L6" s="2"/>
      <c r="M6" s="2" t="str">
        <f>IF(F6=0,"",(VLOOKUP(F6,CHOOSE({1,2},$Y$31:$Y$39,$W$31:$W$39),2,TRUE)+1)*10^3+F6-(VLOOKUP(F6,$Y$31:$Y$39,1,TRUE))+1)</f>
        <v/>
      </c>
      <c r="N6" s="2" t="str">
        <f>IF(G6=0,"",(VLOOKUP(G6,CHOOSE({1,2},$Y$31:$Y$39,$W$31:$W$39),2,TRUE)+1)*10^3+G6-(VLOOKUP(G6,$Y$31:$Y$39,1,TRUE))+1+200)</f>
        <v/>
      </c>
      <c r="O6" s="2" t="str">
        <f>IF(H6&gt;0,1300+H6,"")</f>
        <v/>
      </c>
      <c r="P6" s="2" t="str">
        <f>IF(I6&gt;0,1400+I6,"")</f>
        <v/>
      </c>
      <c r="Q6" s="2" t="str">
        <f>IF(J6&gt;0,1800+J6,"")</f>
        <v/>
      </c>
      <c r="R6" s="2" t="str">
        <f>IF(K6&gt;0,1700+K6,"")</f>
        <v/>
      </c>
      <c r="S6" s="2" t="str">
        <f>IF(L6&gt;0,1500+L6,"")</f>
        <v/>
      </c>
      <c r="W6" s="2" t="s">
        <v>1036</v>
      </c>
      <c r="X6" s="2">
        <v>2</v>
      </c>
    </row>
    <row r="7" spans="1:30">
      <c r="C7" s="2">
        <f>SUM($D$6:D7)</f>
        <v>3.8540493015981322E-2</v>
      </c>
      <c r="D7" s="2">
        <f>'1、经济推算'!I4</f>
        <v>2.0194508616081675E-2</v>
      </c>
      <c r="E7" s="2">
        <v>2</v>
      </c>
      <c r="F7" s="2">
        <v>1</v>
      </c>
      <c r="G7" s="2"/>
      <c r="H7" s="2"/>
      <c r="I7" s="2"/>
      <c r="J7" s="2"/>
      <c r="K7" s="2"/>
      <c r="L7" s="2"/>
      <c r="M7" s="2">
        <f>IF(F7=0,"",(VLOOKUP(F7,CHOOSE({1,2},$Y$31:$Y$39,$W$31:$W$39),2,TRUE)+1)*10^3+F7-(VLOOKUP(F7,$Y$31:$Y$39,1,TRUE))+1)</f>
        <v>1001</v>
      </c>
      <c r="N7" s="2" t="str">
        <f>IF(G7=0,"",(VLOOKUP(G7,CHOOSE({1,2},$Y$31:$Y$39,$W$31:$W$39),2,TRUE)+1)*10^3+G7-(VLOOKUP(G7,$Y$31:$Y$39,1,TRUE))+1+200)</f>
        <v/>
      </c>
      <c r="O7" s="2" t="str">
        <f t="shared" ref="O7:O70" si="0">IF(H7&gt;0,1300+H7,"")</f>
        <v/>
      </c>
      <c r="P7" s="2" t="str">
        <f t="shared" ref="P7:P70" si="1">IF(I7&gt;0,1400+I7,"")</f>
        <v/>
      </c>
      <c r="Q7" s="2" t="str">
        <f t="shared" ref="Q7:Q70" si="2">IF(J7&gt;0,1800+J7,"")</f>
        <v/>
      </c>
      <c r="R7" s="2" t="str">
        <f t="shared" ref="R7:R70" si="3">IF(K7&gt;0,1700+K7,"")</f>
        <v/>
      </c>
      <c r="S7" s="2" t="str">
        <f t="shared" ref="S7:S70" si="4">IF(L7&gt;0,1500+L7,"")</f>
        <v/>
      </c>
      <c r="W7" s="2" t="s">
        <v>1037</v>
      </c>
      <c r="X7" s="2">
        <v>2</v>
      </c>
    </row>
    <row r="8" spans="1:30">
      <c r="C8" s="2">
        <f>SUM($D$6:D8)</f>
        <v>6.0769781418037738E-2</v>
      </c>
      <c r="D8" s="2">
        <f>'1、经济推算'!I5</f>
        <v>2.2229288402056412E-2</v>
      </c>
      <c r="E8" s="2">
        <v>3</v>
      </c>
      <c r="F8" s="2">
        <v>2</v>
      </c>
      <c r="G8" s="2"/>
      <c r="H8" s="2"/>
      <c r="I8" s="2"/>
      <c r="J8" s="2"/>
      <c r="K8" s="2"/>
      <c r="L8" s="2"/>
      <c r="M8" s="2">
        <f>IF(F8=0,"",(VLOOKUP(F8,CHOOSE({1,2},$Y$31:$Y$39,$W$31:$W$39),2,TRUE)+1)*10^3+F8-(VLOOKUP(F8,$Y$31:$Y$39,1,TRUE))+1)</f>
        <v>1002</v>
      </c>
      <c r="N8" s="2" t="str">
        <f>IF(G8=0,"",(VLOOKUP(G8,CHOOSE({1,2},$Y$31:$Y$39,$W$31:$W$39),2,TRUE)+1)*10^3+G8-(VLOOKUP(G8,$Y$31:$Y$39,1,TRUE))+1+200)</f>
        <v/>
      </c>
      <c r="O8" s="2" t="str">
        <f t="shared" si="0"/>
        <v/>
      </c>
      <c r="P8" s="2" t="str">
        <f t="shared" si="1"/>
        <v/>
      </c>
      <c r="Q8" s="2" t="str">
        <f t="shared" si="2"/>
        <v/>
      </c>
      <c r="R8" s="2" t="str">
        <f t="shared" si="3"/>
        <v/>
      </c>
      <c r="S8" s="2" t="str">
        <f t="shared" si="4"/>
        <v/>
      </c>
      <c r="W8" s="2" t="s">
        <v>1038</v>
      </c>
      <c r="X8" s="2">
        <v>2</v>
      </c>
    </row>
    <row r="9" spans="1:30">
      <c r="C9" s="2">
        <f>SUM($D$6:D9)</f>
        <v>8.5238872112737563E-2</v>
      </c>
      <c r="D9" s="2">
        <f>'1、经济推算'!I6</f>
        <v>2.4469090694699824E-2</v>
      </c>
      <c r="E9" s="2">
        <v>4</v>
      </c>
      <c r="F9" s="2">
        <v>3</v>
      </c>
      <c r="G9" s="2"/>
      <c r="H9" s="2"/>
      <c r="I9" s="2"/>
      <c r="J9" s="2"/>
      <c r="K9" s="2"/>
      <c r="L9" s="2"/>
      <c r="M9" s="2">
        <f>IF(F9=0,"",(VLOOKUP(F9,CHOOSE({1,2},$Y$31:$Y$39,$W$31:$W$39),2,TRUE)+1)*10^3+F9-(VLOOKUP(F9,$Y$31:$Y$39,1,TRUE))+1)</f>
        <v>1003</v>
      </c>
      <c r="N9" s="2" t="str">
        <f>IF(G9=0,"",(VLOOKUP(G9,CHOOSE({1,2},$Y$31:$Y$39,$W$31:$W$39),2,TRUE)+1)*10^3+G9-(VLOOKUP(G9,$Y$31:$Y$39,1,TRUE))+1+200)</f>
        <v/>
      </c>
      <c r="O9" s="2" t="str">
        <f t="shared" si="0"/>
        <v/>
      </c>
      <c r="P9" s="2" t="str">
        <f t="shared" si="1"/>
        <v/>
      </c>
      <c r="Q9" s="2" t="str">
        <f t="shared" si="2"/>
        <v/>
      </c>
      <c r="R9" s="2" t="str">
        <f t="shared" si="3"/>
        <v/>
      </c>
      <c r="S9" s="2" t="str">
        <f t="shared" si="4"/>
        <v/>
      </c>
      <c r="W9" s="2" t="s">
        <v>1039</v>
      </c>
      <c r="X9" s="2">
        <v>3</v>
      </c>
    </row>
    <row r="10" spans="1:30">
      <c r="C10" s="2">
        <f>SUM($D$6:D10)</f>
        <v>0.11217344548261912</v>
      </c>
      <c r="D10" s="2">
        <f>'1、经济推算'!I7</f>
        <v>2.6934573369881559E-2</v>
      </c>
      <c r="E10" s="2">
        <v>5</v>
      </c>
      <c r="F10" s="2">
        <v>4</v>
      </c>
      <c r="G10" s="2"/>
      <c r="H10" s="2"/>
      <c r="I10" s="2"/>
      <c r="J10" s="2"/>
      <c r="K10" s="2"/>
      <c r="L10" s="2"/>
      <c r="M10" s="2">
        <f>IF(F10=0,"",(VLOOKUP(F10,CHOOSE({1,2},$Y$31:$Y$39,$W$31:$W$39),2,TRUE)+1)*10^3+F10-(VLOOKUP(F10,$Y$31:$Y$39,1,TRUE))+1)</f>
        <v>1004</v>
      </c>
      <c r="N10" s="2" t="str">
        <f>IF(G10=0,"",(VLOOKUP(G10,CHOOSE({1,2},$Y$31:$Y$39,$W$31:$W$39),2,TRUE)+1)*10^3+G10-(VLOOKUP(G10,$Y$31:$Y$39,1,TRUE))+1+200)</f>
        <v/>
      </c>
      <c r="O10" s="2" t="str">
        <f t="shared" si="0"/>
        <v/>
      </c>
      <c r="P10" s="2" t="str">
        <f t="shared" si="1"/>
        <v/>
      </c>
      <c r="Q10" s="2" t="str">
        <f t="shared" si="2"/>
        <v/>
      </c>
      <c r="R10" s="2" t="str">
        <f t="shared" si="3"/>
        <v/>
      </c>
      <c r="S10" s="2" t="str">
        <f t="shared" si="4"/>
        <v/>
      </c>
    </row>
    <row r="11" spans="1:30">
      <c r="C11" s="2">
        <f>SUM($D$6:D11)</f>
        <v>0.1418219212543271</v>
      </c>
      <c r="D11" s="2">
        <f>'1、经济推算'!I8</f>
        <v>2.9648475771707979E-2</v>
      </c>
      <c r="E11" s="2">
        <v>6</v>
      </c>
      <c r="F11" s="2">
        <v>5</v>
      </c>
      <c r="G11" s="2"/>
      <c r="H11" s="2"/>
      <c r="I11" s="2"/>
      <c r="J11" s="2"/>
      <c r="K11" s="2"/>
      <c r="L11" s="2"/>
      <c r="M11" s="2">
        <f>IF(F11=0,"",(VLOOKUP(F11,CHOOSE({1,2},$Y$31:$Y$39,$W$31:$W$39),2,TRUE)+1)*10^3+F11-(VLOOKUP(F11,$Y$31:$Y$39,1,TRUE))+1)</f>
        <v>1005</v>
      </c>
      <c r="N11" s="2" t="str">
        <f>IF(G11=0,"",(VLOOKUP(G11,CHOOSE({1,2},$Y$31:$Y$39,$W$31:$W$39),2,TRUE)+1)*10^3+G11-(VLOOKUP(G11,$Y$31:$Y$39,1,TRUE))+1+200)</f>
        <v/>
      </c>
      <c r="O11" s="2" t="str">
        <f t="shared" si="0"/>
        <v/>
      </c>
      <c r="P11" s="2" t="str">
        <f t="shared" si="1"/>
        <v/>
      </c>
      <c r="Q11" s="2" t="str">
        <f t="shared" si="2"/>
        <v/>
      </c>
      <c r="R11" s="2" t="str">
        <f t="shared" si="3"/>
        <v/>
      </c>
      <c r="S11" s="2" t="str">
        <f t="shared" si="4"/>
        <v/>
      </c>
      <c r="W11" s="2" t="s">
        <v>119</v>
      </c>
      <c r="X11" s="2">
        <f>体力消耗运算!AB20</f>
        <v>460</v>
      </c>
      <c r="Z11">
        <f>X11/AB25</f>
        <v>38.333333333333336</v>
      </c>
    </row>
    <row r="12" spans="1:30">
      <c r="C12" s="2">
        <f>SUM($D$6:D12)</f>
        <v>0.17445774969364053</v>
      </c>
      <c r="D12" s="2">
        <f>'1、经济推算'!I9</f>
        <v>3.2635828439313432E-2</v>
      </c>
      <c r="E12" s="2">
        <v>7</v>
      </c>
      <c r="F12" s="2">
        <v>6</v>
      </c>
      <c r="G12" s="2"/>
      <c r="H12" s="2"/>
      <c r="I12" s="2"/>
      <c r="J12" s="2"/>
      <c r="K12" s="2"/>
      <c r="L12" s="2"/>
      <c r="M12" s="2">
        <f>IF(F12=0,"",(VLOOKUP(F12,CHOOSE({1,2},$Y$31:$Y$39,$W$31:$W$39),2,TRUE)+1)*10^3+F12-(VLOOKUP(F12,$Y$31:$Y$39,1,TRUE))+1)</f>
        <v>1006</v>
      </c>
      <c r="N12" s="2" t="str">
        <f>IF(G12=0,"",(VLOOKUP(G12,CHOOSE({1,2},$Y$31:$Y$39,$W$31:$W$39),2,TRUE)+1)*10^3+G12-(VLOOKUP(G12,$Y$31:$Y$39,1,TRUE))+1+200)</f>
        <v/>
      </c>
      <c r="O12" s="2" t="str">
        <f t="shared" si="0"/>
        <v/>
      </c>
      <c r="P12" s="2" t="str">
        <f t="shared" si="1"/>
        <v/>
      </c>
      <c r="Q12" s="2" t="str">
        <f t="shared" si="2"/>
        <v/>
      </c>
      <c r="R12" s="2" t="str">
        <f t="shared" si="3"/>
        <v/>
      </c>
      <c r="S12" s="2" t="str">
        <f t="shared" si="4"/>
        <v/>
      </c>
      <c r="W12" s="2" t="s">
        <v>1033</v>
      </c>
      <c r="X12" s="2">
        <f>X16+Z16+AB16+AD16</f>
        <v>436</v>
      </c>
    </row>
    <row r="13" spans="1:30">
      <c r="C13" s="2">
        <f>SUM($D$6:D13)</f>
        <v>0.21038193365916727</v>
      </c>
      <c r="D13" s="2">
        <f>'1、经济推算'!I10</f>
        <v>3.5924183965526733E-2</v>
      </c>
      <c r="E13" s="2">
        <v>8</v>
      </c>
      <c r="F13" s="2">
        <v>7</v>
      </c>
      <c r="G13" s="2"/>
      <c r="H13" s="2"/>
      <c r="I13" s="2"/>
      <c r="J13" s="2"/>
      <c r="K13" s="2"/>
      <c r="L13" s="2"/>
      <c r="M13" s="2">
        <f>IF(F13=0,"",(VLOOKUP(F13,CHOOSE({1,2},$Y$31:$Y$39,$W$31:$W$39),2,TRUE)+1)*10^3+F13-(VLOOKUP(F13,$Y$31:$Y$39,1,TRUE))+1)</f>
        <v>1007</v>
      </c>
      <c r="N13" s="2" t="str">
        <f>IF(G13=0,"",(VLOOKUP(G13,CHOOSE({1,2},$Y$31:$Y$39,$W$31:$W$39),2,TRUE)+1)*10^3+G13-(VLOOKUP(G13,$Y$31:$Y$39,1,TRUE))+1+200)</f>
        <v/>
      </c>
      <c r="O13" s="2" t="str">
        <f t="shared" si="0"/>
        <v/>
      </c>
      <c r="P13" s="2" t="str">
        <f t="shared" si="1"/>
        <v/>
      </c>
      <c r="Q13" s="2" t="str">
        <f t="shared" si="2"/>
        <v/>
      </c>
      <c r="R13" s="2" t="str">
        <f t="shared" si="3"/>
        <v/>
      </c>
      <c r="S13" s="2" t="str">
        <f t="shared" si="4"/>
        <v/>
      </c>
    </row>
    <row r="14" spans="1:30">
      <c r="C14" s="2">
        <f>SUM($D$6:D14)</f>
        <v>0.24992580477580797</v>
      </c>
      <c r="D14" s="2">
        <f>'1、经济推算'!I11</f>
        <v>3.9543871116640705E-2</v>
      </c>
      <c r="E14" s="2">
        <v>9</v>
      </c>
      <c r="F14" s="2">
        <v>8</v>
      </c>
      <c r="G14" s="2"/>
      <c r="H14" s="2"/>
      <c r="I14" s="2"/>
      <c r="J14" s="2"/>
      <c r="K14" s="2"/>
      <c r="L14" s="2"/>
      <c r="M14" s="2">
        <f>IF(F14=0,"",(VLOOKUP(F14,CHOOSE({1,2},$Y$31:$Y$39,$W$31:$W$39),2,TRUE)+1)*10^3+F14-(VLOOKUP(F14,$Y$31:$Y$39,1,TRUE))+1)</f>
        <v>1008</v>
      </c>
      <c r="N14" s="2" t="str">
        <f>IF(G14=0,"",(VLOOKUP(G14,CHOOSE({1,2},$Y$31:$Y$39,$W$31:$W$39),2,TRUE)+1)*10^3+G14-(VLOOKUP(G14,$Y$31:$Y$39,1,TRUE))+1+200)</f>
        <v/>
      </c>
      <c r="O14" s="2" t="str">
        <f t="shared" si="0"/>
        <v/>
      </c>
      <c r="P14" s="2" t="str">
        <f t="shared" si="1"/>
        <v/>
      </c>
      <c r="Q14" s="2" t="str">
        <f t="shared" si="2"/>
        <v/>
      </c>
      <c r="R14" s="2" t="str">
        <f t="shared" si="3"/>
        <v/>
      </c>
      <c r="S14" s="2" t="str">
        <f t="shared" si="4"/>
        <v/>
      </c>
    </row>
    <row r="15" spans="1:30">
      <c r="C15" s="2">
        <f>SUM($D$6:D15)</f>
        <v>0.29345407933285994</v>
      </c>
      <c r="D15" s="2">
        <f>'1、经济推算'!I12</f>
        <v>4.3528274557051966E-2</v>
      </c>
      <c r="E15" s="2">
        <v>10</v>
      </c>
      <c r="F15" s="2">
        <v>9</v>
      </c>
      <c r="G15" s="2"/>
      <c r="H15" s="2"/>
      <c r="I15" s="2"/>
      <c r="J15" s="2"/>
      <c r="K15" s="2"/>
      <c r="L15" s="2"/>
      <c r="M15" s="2">
        <f>IF(F15=0,"",(VLOOKUP(F15,CHOOSE({1,2},$Y$31:$Y$39,$W$31:$W$39),2,TRUE)+1)*10^3+F15-(VLOOKUP(F15,$Y$31:$Y$39,1,TRUE))+1)</f>
        <v>1009</v>
      </c>
      <c r="N15" s="2" t="str">
        <f>IF(G15=0,"",(VLOOKUP(G15,CHOOSE({1,2},$Y$31:$Y$39,$W$31:$W$39),2,TRUE)+1)*10^3+G15-(VLOOKUP(G15,$Y$31:$Y$39,1,TRUE))+1+200)</f>
        <v/>
      </c>
      <c r="O15" s="2" t="str">
        <f t="shared" si="0"/>
        <v/>
      </c>
      <c r="P15" s="2" t="str">
        <f t="shared" si="1"/>
        <v/>
      </c>
      <c r="Q15" s="2" t="str">
        <f t="shared" si="2"/>
        <v/>
      </c>
      <c r="R15" s="2" t="str">
        <f t="shared" si="3"/>
        <v/>
      </c>
      <c r="S15" s="2" t="str">
        <f t="shared" si="4"/>
        <v/>
      </c>
    </row>
    <row r="16" spans="1:30">
      <c r="C16" s="2">
        <f>SUM($D$6:D16)</f>
        <v>0.34136822209155337</v>
      </c>
      <c r="D16" s="2">
        <f>'1、经济推算'!I13</f>
        <v>4.7914142758693441E-2</v>
      </c>
      <c r="E16" s="2">
        <v>11</v>
      </c>
      <c r="F16" s="2">
        <v>10</v>
      </c>
      <c r="G16" s="2"/>
      <c r="H16" s="2"/>
      <c r="I16" s="2"/>
      <c r="J16" s="2">
        <v>1</v>
      </c>
      <c r="K16" s="2"/>
      <c r="L16" s="2"/>
      <c r="M16" s="2">
        <f>IF(F16=0,"",(VLOOKUP(F16,CHOOSE({1,2},$Y$31:$Y$39,$W$31:$W$39),2,TRUE)+1)*10^3+F16-(VLOOKUP(F16,$Y$31:$Y$39,1,TRUE))+1)</f>
        <v>2001</v>
      </c>
      <c r="N16" s="2" t="str">
        <f>IF(G16=0,"",(VLOOKUP(G16,CHOOSE({1,2},$Y$31:$Y$39,$W$31:$W$39),2,TRUE)+1)*10^3+G16-(VLOOKUP(G16,$Y$31:$Y$39,1,TRUE))+1+200)</f>
        <v/>
      </c>
      <c r="O16" s="2" t="str">
        <f t="shared" si="0"/>
        <v/>
      </c>
      <c r="P16" s="2" t="str">
        <f t="shared" si="1"/>
        <v/>
      </c>
      <c r="Q16" s="2">
        <f t="shared" si="2"/>
        <v>1801</v>
      </c>
      <c r="R16" s="2" t="str">
        <f t="shared" si="3"/>
        <v/>
      </c>
      <c r="S16" s="2" t="str">
        <f t="shared" si="4"/>
        <v/>
      </c>
      <c r="X16">
        <f>X18*X23</f>
        <v>144</v>
      </c>
      <c r="Z16">
        <f>Z18*Z23</f>
        <v>40</v>
      </c>
      <c r="AB16">
        <f>AB18*AB22</f>
        <v>144</v>
      </c>
      <c r="AD16">
        <f>AD18*AD22</f>
        <v>108</v>
      </c>
    </row>
    <row r="17" spans="3:30">
      <c r="C17" s="2">
        <f>SUM($D$6:D17)</f>
        <v>0.39411014902668667</v>
      </c>
      <c r="D17" s="2">
        <f>'1、经济推算'!I14</f>
        <v>5.2741926935133292E-2</v>
      </c>
      <c r="E17" s="2">
        <v>12</v>
      </c>
      <c r="F17" s="2">
        <v>11</v>
      </c>
      <c r="G17" s="2"/>
      <c r="H17" s="2"/>
      <c r="I17" s="2"/>
      <c r="J17" s="2"/>
      <c r="K17" s="2"/>
      <c r="L17" s="2">
        <v>1</v>
      </c>
      <c r="M17" s="2">
        <f>IF(F17=0,"",(VLOOKUP(F17,CHOOSE({1,2},$Y$31:$Y$39,$W$31:$W$39),2,TRUE)+1)*10^3+F17-(VLOOKUP(F17,$Y$31:$Y$39,1,TRUE))+1)</f>
        <v>2002</v>
      </c>
      <c r="N17" s="2" t="str">
        <f>IF(G17=0,"",(VLOOKUP(G17,CHOOSE({1,2},$Y$31:$Y$39,$W$31:$W$39),2,TRUE)+1)*10^3+G17-(VLOOKUP(G17,$Y$31:$Y$39,1,TRUE))+1+200)</f>
        <v/>
      </c>
      <c r="O17" s="2" t="str">
        <f t="shared" si="0"/>
        <v/>
      </c>
      <c r="P17" s="2" t="str">
        <f t="shared" si="1"/>
        <v/>
      </c>
      <c r="Q17" s="2" t="str">
        <f t="shared" si="2"/>
        <v/>
      </c>
      <c r="R17" s="2" t="str">
        <f t="shared" si="3"/>
        <v/>
      </c>
      <c r="S17" s="2">
        <f t="shared" si="4"/>
        <v>1501</v>
      </c>
      <c r="W17" s="170" t="s">
        <v>118</v>
      </c>
      <c r="X17" s="170"/>
      <c r="Y17" s="170"/>
      <c r="Z17" s="170"/>
      <c r="AA17" s="170"/>
      <c r="AB17" s="170"/>
      <c r="AC17" s="170"/>
      <c r="AD17" s="170"/>
    </row>
    <row r="18" spans="3:30">
      <c r="C18" s="2">
        <f>SUM($D$6:D18)</f>
        <v>0.45216630315304279</v>
      </c>
      <c r="D18" s="2">
        <f>'1、经济推算'!I15</f>
        <v>5.8056154126356126E-2</v>
      </c>
      <c r="E18" s="2">
        <v>13</v>
      </c>
      <c r="F18" s="2">
        <v>12</v>
      </c>
      <c r="G18" s="2">
        <v>1</v>
      </c>
      <c r="H18" s="2"/>
      <c r="I18" s="2"/>
      <c r="J18" s="2"/>
      <c r="K18" s="2"/>
      <c r="L18" s="2"/>
      <c r="M18" s="2">
        <f>IF(F18=0,"",(VLOOKUP(F18,CHOOSE({1,2},$Y$31:$Y$39,$W$31:$W$39),2,TRUE)+1)*10^3+F18-(VLOOKUP(F18,$Y$31:$Y$39,1,TRUE))+1)</f>
        <v>2003</v>
      </c>
      <c r="N18" s="2">
        <f>IF(G18=0,"",(VLOOKUP(G18,CHOOSE({1,2},$Y$31:$Y$39,$W$31:$W$39),2,TRUE)+1)*10^3+G18-(VLOOKUP(G18,$Y$31:$Y$39,1,TRUE))+1+200)</f>
        <v>1201</v>
      </c>
      <c r="O18" s="2" t="str">
        <f t="shared" si="0"/>
        <v/>
      </c>
      <c r="P18" s="2" t="str">
        <f t="shared" si="1"/>
        <v/>
      </c>
      <c r="Q18" s="2" t="str">
        <f t="shared" si="2"/>
        <v/>
      </c>
      <c r="R18" s="2" t="str">
        <f t="shared" si="3"/>
        <v/>
      </c>
      <c r="S18" s="2" t="str">
        <f t="shared" si="4"/>
        <v/>
      </c>
      <c r="V18" s="2" t="s">
        <v>1032</v>
      </c>
      <c r="W18" s="2"/>
      <c r="X18" s="2">
        <v>12</v>
      </c>
      <c r="Y18" s="2"/>
      <c r="Z18" s="2">
        <v>5</v>
      </c>
      <c r="AA18" s="2"/>
      <c r="AB18" s="2">
        <f>3*4</f>
        <v>12</v>
      </c>
      <c r="AC18" s="2"/>
      <c r="AD18" s="2">
        <v>3</v>
      </c>
    </row>
    <row r="19" spans="3:30">
      <c r="C19" s="2">
        <f>SUM($D$6:D19)</f>
        <v>0.51607214102826071</v>
      </c>
      <c r="D19" s="2">
        <f>'1、经济推算'!I16</f>
        <v>6.3905837875217947E-2</v>
      </c>
      <c r="E19" s="2">
        <v>14</v>
      </c>
      <c r="F19" s="2">
        <v>13</v>
      </c>
      <c r="G19" s="2">
        <v>2</v>
      </c>
      <c r="H19" s="2"/>
      <c r="I19" s="2"/>
      <c r="J19" s="2"/>
      <c r="K19" s="2"/>
      <c r="L19" s="2"/>
      <c r="M19" s="2">
        <f>IF(F19=0,"",(VLOOKUP(F19,CHOOSE({1,2},$Y$31:$Y$39,$W$31:$W$39),2,TRUE)+1)*10^3+F19-(VLOOKUP(F19,$Y$31:$Y$39,1,TRUE))+1)</f>
        <v>2004</v>
      </c>
      <c r="N19" s="2">
        <f>IF(G19=0,"",(VLOOKUP(G19,CHOOSE({1,2},$Y$31:$Y$39,$W$31:$W$39),2,TRUE)+1)*10^3+G19-(VLOOKUP(G19,$Y$31:$Y$39,1,TRUE))+1+200)</f>
        <v>1202</v>
      </c>
      <c r="O19" s="2" t="str">
        <f t="shared" si="0"/>
        <v/>
      </c>
      <c r="P19" s="2" t="str">
        <f t="shared" si="1"/>
        <v/>
      </c>
      <c r="Q19" s="2" t="str">
        <f t="shared" si="2"/>
        <v/>
      </c>
      <c r="R19" s="2" t="str">
        <f t="shared" si="3"/>
        <v/>
      </c>
      <c r="S19" s="2" t="str">
        <f t="shared" si="4"/>
        <v/>
      </c>
      <c r="W19" s="2" t="s">
        <v>111</v>
      </c>
      <c r="X19" s="2" t="s">
        <v>50</v>
      </c>
      <c r="Y19" s="2" t="s">
        <v>111</v>
      </c>
      <c r="Z19" s="2" t="s">
        <v>56</v>
      </c>
      <c r="AA19" s="4" t="s">
        <v>112</v>
      </c>
      <c r="AB19" s="2" t="s">
        <v>87</v>
      </c>
      <c r="AC19" s="4" t="s">
        <v>112</v>
      </c>
      <c r="AD19" s="4" t="s">
        <v>120</v>
      </c>
    </row>
    <row r="20" spans="3:30">
      <c r="C20" s="2">
        <f>SUM($D$6:D20)</f>
        <v>0.58641707131153653</v>
      </c>
      <c r="D20" s="2">
        <f>'1、经济推算'!I17</f>
        <v>7.0344930283275861E-2</v>
      </c>
      <c r="E20" s="2">
        <v>15</v>
      </c>
      <c r="F20" s="2">
        <v>14</v>
      </c>
      <c r="G20" s="2">
        <v>3</v>
      </c>
      <c r="H20" s="2"/>
      <c r="I20" s="2"/>
      <c r="J20" s="2"/>
      <c r="K20" s="2"/>
      <c r="L20" s="2"/>
      <c r="M20" s="2">
        <f>IF(F20=0,"",(VLOOKUP(F20,CHOOSE({1,2},$Y$31:$Y$39,$W$31:$W$39),2,TRUE)+1)*10^3+F20-(VLOOKUP(F20,$Y$31:$Y$39,1,TRUE))+1)</f>
        <v>2005</v>
      </c>
      <c r="N20" s="2">
        <f>IF(G20=0,"",(VLOOKUP(G20,CHOOSE({1,2},$Y$31:$Y$39,$W$31:$W$39),2,TRUE)+1)*10^3+G20-(VLOOKUP(G20,$Y$31:$Y$39,1,TRUE))+1+200)</f>
        <v>1203</v>
      </c>
      <c r="O20" s="2" t="str">
        <f t="shared" si="0"/>
        <v/>
      </c>
      <c r="P20" s="2" t="str">
        <f t="shared" si="1"/>
        <v/>
      </c>
      <c r="Q20" s="2" t="str">
        <f t="shared" si="2"/>
        <v/>
      </c>
      <c r="R20" s="2" t="str">
        <f t="shared" si="3"/>
        <v/>
      </c>
      <c r="S20" s="2" t="str">
        <f t="shared" si="4"/>
        <v/>
      </c>
      <c r="W20" s="2">
        <v>1</v>
      </c>
      <c r="X20" s="19">
        <v>10</v>
      </c>
      <c r="Y20" s="2">
        <v>1</v>
      </c>
      <c r="Z20" s="19">
        <v>6</v>
      </c>
      <c r="AA20" s="4">
        <v>1</v>
      </c>
      <c r="AB20" s="19">
        <v>12</v>
      </c>
      <c r="AC20" s="4">
        <v>1</v>
      </c>
      <c r="AD20" s="19">
        <v>6</v>
      </c>
    </row>
    <row r="21" spans="3:30">
      <c r="C21" s="2">
        <f>SUM($D$6:D21)</f>
        <v>0.66384989092687696</v>
      </c>
      <c r="D21" s="2">
        <f>'1、经济推算'!I18</f>
        <v>7.7432819615340459E-2</v>
      </c>
      <c r="E21" s="2">
        <v>16</v>
      </c>
      <c r="F21" s="2">
        <v>15</v>
      </c>
      <c r="G21" s="2">
        <v>4</v>
      </c>
      <c r="H21" s="2"/>
      <c r="I21" s="2"/>
      <c r="J21" s="2"/>
      <c r="K21" s="2"/>
      <c r="L21" s="2"/>
      <c r="M21" s="2">
        <f>IF(F21=0,"",(VLOOKUP(F21,CHOOSE({1,2},$Y$31:$Y$39,$W$31:$W$39),2,TRUE)+1)*10^3+F21-(VLOOKUP(F21,$Y$31:$Y$39,1,TRUE))+1)</f>
        <v>2006</v>
      </c>
      <c r="N21" s="2">
        <f>IF(G21=0,"",(VLOOKUP(G21,CHOOSE({1,2},$Y$31:$Y$39,$W$31:$W$39),2,TRUE)+1)*10^3+G21-(VLOOKUP(G21,$Y$31:$Y$39,1,TRUE))+1+200)</f>
        <v>1204</v>
      </c>
      <c r="O21" s="2" t="str">
        <f t="shared" si="0"/>
        <v/>
      </c>
      <c r="P21" s="2" t="str">
        <f t="shared" si="1"/>
        <v/>
      </c>
      <c r="Q21" s="2" t="str">
        <f t="shared" si="2"/>
        <v/>
      </c>
      <c r="R21" s="2" t="str">
        <f t="shared" si="3"/>
        <v/>
      </c>
      <c r="S21" s="2" t="str">
        <f t="shared" si="4"/>
        <v/>
      </c>
      <c r="W21" s="2">
        <v>2</v>
      </c>
      <c r="X21" s="19">
        <v>10</v>
      </c>
      <c r="Y21" s="2">
        <v>2</v>
      </c>
      <c r="Z21" s="19">
        <v>6</v>
      </c>
      <c r="AA21" s="4">
        <v>2</v>
      </c>
      <c r="AB21" s="19">
        <v>12</v>
      </c>
      <c r="AC21" s="4">
        <v>2</v>
      </c>
      <c r="AD21" s="19">
        <v>12</v>
      </c>
    </row>
    <row r="22" spans="3:30">
      <c r="C22" s="2">
        <f>SUM($D$6:D22)</f>
        <v>0.74908476896907372</v>
      </c>
      <c r="D22" s="2">
        <f>'1、经济推算'!I19</f>
        <v>8.5234878042196774E-2</v>
      </c>
      <c r="E22" s="2">
        <v>17</v>
      </c>
      <c r="F22" s="2">
        <v>16</v>
      </c>
      <c r="G22" s="2">
        <v>5</v>
      </c>
      <c r="H22" s="2">
        <v>1</v>
      </c>
      <c r="I22" s="2"/>
      <c r="J22" s="2"/>
      <c r="K22" s="2"/>
      <c r="L22" s="2"/>
      <c r="M22" s="2">
        <f>IF(F22=0,"",(VLOOKUP(F22,CHOOSE({1,2},$Y$31:$Y$39,$W$31:$W$39),2,TRUE)+1)*10^3+F22-(VLOOKUP(F22,$Y$31:$Y$39,1,TRUE))+1)</f>
        <v>2007</v>
      </c>
      <c r="N22" s="2">
        <f>IF(G22=0,"",(VLOOKUP(G22,CHOOSE({1,2},$Y$31:$Y$39,$W$31:$W$39),2,TRUE)+1)*10^3+G22-(VLOOKUP(G22,$Y$31:$Y$39,1,TRUE))+1+200)</f>
        <v>1205</v>
      </c>
      <c r="O22" s="2">
        <f t="shared" si="0"/>
        <v>1301</v>
      </c>
      <c r="P22" s="2" t="str">
        <f t="shared" si="1"/>
        <v/>
      </c>
      <c r="Q22" s="2" t="str">
        <f t="shared" si="2"/>
        <v/>
      </c>
      <c r="R22" s="2" t="str">
        <f t="shared" si="3"/>
        <v/>
      </c>
      <c r="S22" s="2" t="str">
        <f t="shared" si="4"/>
        <v/>
      </c>
      <c r="W22" s="2">
        <v>3</v>
      </c>
      <c r="X22" s="19">
        <v>10</v>
      </c>
      <c r="Y22" s="2">
        <v>3</v>
      </c>
      <c r="Z22" s="19">
        <v>6</v>
      </c>
      <c r="AA22" s="4">
        <v>3</v>
      </c>
      <c r="AB22" s="19">
        <v>12</v>
      </c>
      <c r="AC22" s="4">
        <v>3</v>
      </c>
      <c r="AD22" s="19">
        <v>36</v>
      </c>
    </row>
    <row r="23" spans="3:30">
      <c r="C23" s="2">
        <f>SUM($D$6:D23)</f>
        <v>0.84290783354244314</v>
      </c>
      <c r="D23" s="2">
        <f>'1、经济推算'!I20</f>
        <v>9.3823064573369475E-2</v>
      </c>
      <c r="E23" s="2">
        <v>18</v>
      </c>
      <c r="F23" s="2">
        <v>17</v>
      </c>
      <c r="G23" s="2">
        <v>6</v>
      </c>
      <c r="H23" s="2"/>
      <c r="I23" s="2"/>
      <c r="J23" s="2"/>
      <c r="K23" s="2"/>
      <c r="L23" s="2"/>
      <c r="M23" s="2">
        <f>IF(F23=0,"",(VLOOKUP(F23,CHOOSE({1,2},$Y$31:$Y$39,$W$31:$W$39),2,TRUE)+1)*10^3+F23-(VLOOKUP(F23,$Y$31:$Y$39,1,TRUE))+1)</f>
        <v>2008</v>
      </c>
      <c r="N23" s="2">
        <f>IF(G23=0,"",(VLOOKUP(G23,CHOOSE({1,2},$Y$31:$Y$39,$W$31:$W$39),2,TRUE)+1)*10^3+G23-(VLOOKUP(G23,$Y$31:$Y$39,1,TRUE))+1+200)</f>
        <v>1206</v>
      </c>
      <c r="O23" s="2" t="str">
        <f t="shared" si="0"/>
        <v/>
      </c>
      <c r="P23" s="2" t="str">
        <f t="shared" si="1"/>
        <v/>
      </c>
      <c r="Q23" s="2" t="str">
        <f t="shared" si="2"/>
        <v/>
      </c>
      <c r="R23" s="2" t="str">
        <f t="shared" si="3"/>
        <v/>
      </c>
      <c r="S23" s="2" t="str">
        <f t="shared" si="4"/>
        <v/>
      </c>
      <c r="W23" s="2">
        <v>4</v>
      </c>
      <c r="X23" s="19">
        <v>12</v>
      </c>
      <c r="Y23" s="2">
        <v>4</v>
      </c>
      <c r="Z23" s="19">
        <v>8</v>
      </c>
      <c r="AA23" s="4">
        <v>4</v>
      </c>
      <c r="AB23" s="19">
        <v>12</v>
      </c>
      <c r="AC23" s="4">
        <v>4</v>
      </c>
      <c r="AD23" s="19">
        <v>60</v>
      </c>
    </row>
    <row r="24" spans="3:30">
      <c r="C24" s="2">
        <f>SUM($D$6:D24)</f>
        <v>0.94618442228327204</v>
      </c>
      <c r="D24" s="2">
        <f>'1、经济推算'!I21</f>
        <v>0.10327658874082885</v>
      </c>
      <c r="E24" s="2">
        <v>19</v>
      </c>
      <c r="F24" s="2">
        <v>18</v>
      </c>
      <c r="G24" s="2">
        <v>7</v>
      </c>
      <c r="H24" s="2"/>
      <c r="I24" s="2"/>
      <c r="J24" s="2"/>
      <c r="K24" s="2"/>
      <c r="L24" s="2"/>
      <c r="M24" s="2">
        <f>IF(F24=0,"",(VLOOKUP(F24,CHOOSE({1,2},$Y$31:$Y$39,$W$31:$W$39),2,TRUE)+1)*10^3+F24-(VLOOKUP(F24,$Y$31:$Y$39,1,TRUE))+1)</f>
        <v>2009</v>
      </c>
      <c r="N24" s="2">
        <f>IF(G24=0,"",(VLOOKUP(G24,CHOOSE({1,2},$Y$31:$Y$39,$W$31:$W$39),2,TRUE)+1)*10^3+G24-(VLOOKUP(G24,$Y$31:$Y$39,1,TRUE))+1+200)</f>
        <v>1207</v>
      </c>
      <c r="O24" s="2" t="str">
        <f t="shared" si="0"/>
        <v/>
      </c>
      <c r="P24" s="2" t="str">
        <f t="shared" si="1"/>
        <v/>
      </c>
      <c r="Q24" s="2" t="str">
        <f t="shared" si="2"/>
        <v/>
      </c>
      <c r="R24" s="2" t="str">
        <f t="shared" si="3"/>
        <v/>
      </c>
      <c r="S24" s="2" t="str">
        <f t="shared" si="4"/>
        <v/>
      </c>
      <c r="W24" s="2">
        <v>5</v>
      </c>
      <c r="X24" s="19">
        <v>12</v>
      </c>
      <c r="Y24" s="2">
        <v>5</v>
      </c>
      <c r="Z24" s="19">
        <v>8</v>
      </c>
      <c r="AA24" s="4">
        <v>5</v>
      </c>
      <c r="AB24" s="19">
        <v>12</v>
      </c>
    </row>
    <row r="25" spans="3:30">
      <c r="C25" s="2">
        <f>SUM($D$6:D25)</f>
        <v>1.059867063438118</v>
      </c>
      <c r="D25" s="2">
        <f>'1、经济推算'!I22</f>
        <v>0.11368264115484583</v>
      </c>
      <c r="E25" s="2">
        <v>20</v>
      </c>
      <c r="F25" s="2">
        <v>19</v>
      </c>
      <c r="G25" s="2">
        <v>8</v>
      </c>
      <c r="H25" s="2"/>
      <c r="I25" s="2"/>
      <c r="J25" s="2"/>
      <c r="K25" s="2"/>
      <c r="L25" s="2"/>
      <c r="M25" s="2">
        <f>IF(F25=0,"",(VLOOKUP(F25,CHOOSE({1,2},$Y$31:$Y$39,$W$31:$W$39),2,TRUE)+1)*10^3+F25-(VLOOKUP(F25,$Y$31:$Y$39,1,TRUE))+1)</f>
        <v>3001</v>
      </c>
      <c r="N25" s="2">
        <f>IF(G25=0,"",(VLOOKUP(G25,CHOOSE({1,2},$Y$31:$Y$39,$W$31:$W$39),2,TRUE)+1)*10^3+G25-(VLOOKUP(G25,$Y$31:$Y$39,1,TRUE))+1+200)</f>
        <v>1208</v>
      </c>
      <c r="O25" s="2" t="str">
        <f t="shared" si="0"/>
        <v/>
      </c>
      <c r="P25" s="2" t="str">
        <f t="shared" si="1"/>
        <v/>
      </c>
      <c r="Q25" s="2" t="str">
        <f t="shared" si="2"/>
        <v/>
      </c>
      <c r="R25" s="2" t="str">
        <f t="shared" si="3"/>
        <v/>
      </c>
      <c r="S25" s="2" t="str">
        <f t="shared" si="4"/>
        <v/>
      </c>
      <c r="W25" s="2">
        <v>6</v>
      </c>
      <c r="X25" s="19">
        <v>14</v>
      </c>
      <c r="Y25" s="2">
        <v>6</v>
      </c>
      <c r="Z25" s="19">
        <v>10</v>
      </c>
      <c r="AA25" s="4">
        <v>6</v>
      </c>
      <c r="AB25" s="19">
        <v>12</v>
      </c>
    </row>
    <row r="26" spans="3:30">
      <c r="C26" s="2">
        <f>SUM($D$6:D26)</f>
        <v>1.1850042611080895</v>
      </c>
      <c r="D26" s="2">
        <f>'1、经济推算'!I23</f>
        <v>0.12513719766997147</v>
      </c>
      <c r="E26" s="2">
        <v>21</v>
      </c>
      <c r="F26" s="2">
        <v>20</v>
      </c>
      <c r="G26" s="2">
        <v>9</v>
      </c>
      <c r="H26" s="2"/>
      <c r="I26" s="2"/>
      <c r="J26" s="2"/>
      <c r="K26" s="2"/>
      <c r="L26" s="2"/>
      <c r="M26" s="2">
        <f>IF(F26=0,"",(VLOOKUP(F26,CHOOSE({1,2},$Y$31:$Y$39,$W$31:$W$39),2,TRUE)+1)*10^3+F26-(VLOOKUP(F26,$Y$31:$Y$39,1,TRUE))+1)</f>
        <v>3002</v>
      </c>
      <c r="N26" s="2">
        <f>IF(G26=0,"",(VLOOKUP(G26,CHOOSE({1,2},$Y$31:$Y$39,$W$31:$W$39),2,TRUE)+1)*10^3+G26-(VLOOKUP(G26,$Y$31:$Y$39,1,TRUE))+1+200)</f>
        <v>1209</v>
      </c>
      <c r="O26" s="2" t="str">
        <f t="shared" si="0"/>
        <v/>
      </c>
      <c r="P26" s="2" t="str">
        <f t="shared" si="1"/>
        <v/>
      </c>
      <c r="Q26" s="2" t="str">
        <f t="shared" si="2"/>
        <v/>
      </c>
      <c r="R26" s="2" t="str">
        <f t="shared" si="3"/>
        <v/>
      </c>
      <c r="S26" s="2" t="str">
        <f t="shared" si="4"/>
        <v/>
      </c>
      <c r="W26" s="2">
        <v>7</v>
      </c>
      <c r="X26" s="19">
        <v>14</v>
      </c>
      <c r="Y26" s="2">
        <v>7</v>
      </c>
      <c r="Z26" s="19">
        <v>10</v>
      </c>
    </row>
    <row r="27" spans="3:30">
      <c r="C27" s="2">
        <f>SUM($D$6:D27)</f>
        <v>1.3227501656861169</v>
      </c>
      <c r="D27" s="2">
        <f>'1、经济推算'!I24</f>
        <v>0.13774590457802735</v>
      </c>
      <c r="E27" s="2">
        <v>22</v>
      </c>
      <c r="F27" s="2">
        <v>21</v>
      </c>
      <c r="G27" s="2">
        <v>10</v>
      </c>
      <c r="H27" s="2"/>
      <c r="I27" s="2"/>
      <c r="J27" s="2"/>
      <c r="K27" s="2"/>
      <c r="L27" s="2"/>
      <c r="M27" s="2">
        <f>IF(F27=0,"",(VLOOKUP(F27,CHOOSE({1,2},$Y$31:$Y$39,$W$31:$W$39),2,TRUE)+1)*10^3+F27-(VLOOKUP(F27,$Y$31:$Y$39,1,TRUE))+1)</f>
        <v>3003</v>
      </c>
      <c r="N27" s="2">
        <f>IF(G27=0,"",(VLOOKUP(G27,CHOOSE({1,2},$Y$31:$Y$39,$W$31:$W$39),2,TRUE)+1)*10^3+G27-(VLOOKUP(G27,$Y$31:$Y$39,1,TRUE))+1+200)</f>
        <v>2201</v>
      </c>
      <c r="O27" s="2" t="str">
        <f t="shared" si="0"/>
        <v/>
      </c>
      <c r="P27" s="2" t="str">
        <f t="shared" si="1"/>
        <v/>
      </c>
      <c r="Q27" s="2" t="str">
        <f t="shared" si="2"/>
        <v/>
      </c>
      <c r="R27" s="2" t="str">
        <f t="shared" si="3"/>
        <v/>
      </c>
      <c r="S27" s="2" t="str">
        <f t="shared" si="4"/>
        <v/>
      </c>
      <c r="W27" s="2">
        <v>8</v>
      </c>
      <c r="X27" s="19">
        <v>14</v>
      </c>
      <c r="Y27" s="2">
        <v>8</v>
      </c>
      <c r="Z27" s="19">
        <v>10</v>
      </c>
    </row>
    <row r="28" spans="3:30">
      <c r="C28" s="2">
        <f>SUM($D$6:D28)</f>
        <v>1.4743752186784302</v>
      </c>
      <c r="D28" s="2">
        <f>'1、经济推算'!I25</f>
        <v>0.15162505299231335</v>
      </c>
      <c r="E28" s="2">
        <v>23</v>
      </c>
      <c r="F28" s="2">
        <v>22</v>
      </c>
      <c r="G28" s="2">
        <v>11</v>
      </c>
      <c r="H28" s="2"/>
      <c r="I28" s="2"/>
      <c r="J28" s="2"/>
      <c r="K28" s="2">
        <v>1</v>
      </c>
      <c r="L28" s="2"/>
      <c r="M28" s="2">
        <f>IF(F28=0,"",(VLOOKUP(F28,CHOOSE({1,2},$Y$31:$Y$39,$W$31:$W$39),2,TRUE)+1)*10^3+F28-(VLOOKUP(F28,$Y$31:$Y$39,1,TRUE))+1)</f>
        <v>3004</v>
      </c>
      <c r="N28" s="2">
        <f>IF(G28=0,"",(VLOOKUP(G28,CHOOSE({1,2},$Y$31:$Y$39,$W$31:$W$39),2,TRUE)+1)*10^3+G28-(VLOOKUP(G28,$Y$31:$Y$39,1,TRUE))+1+200)</f>
        <v>2202</v>
      </c>
      <c r="O28" s="2" t="str">
        <f t="shared" si="0"/>
        <v/>
      </c>
      <c r="P28" s="2" t="str">
        <f t="shared" si="1"/>
        <v/>
      </c>
      <c r="Q28" s="2" t="str">
        <f t="shared" si="2"/>
        <v/>
      </c>
      <c r="R28" s="2">
        <f t="shared" si="3"/>
        <v>1701</v>
      </c>
      <c r="S28" s="2" t="str">
        <f t="shared" si="4"/>
        <v/>
      </c>
    </row>
    <row r="29" spans="3:30">
      <c r="C29" s="2">
        <f>SUM($D$6:D29)</f>
        <v>1.6412778700882864</v>
      </c>
      <c r="D29" s="2">
        <f>'1、经济推算'!I26</f>
        <v>0.16690265140985627</v>
      </c>
      <c r="E29" s="2">
        <v>24</v>
      </c>
      <c r="F29" s="2">
        <v>23</v>
      </c>
      <c r="G29" s="2">
        <v>12</v>
      </c>
      <c r="H29" s="2"/>
      <c r="I29" s="2"/>
      <c r="J29" s="2"/>
      <c r="K29" s="2"/>
      <c r="L29" s="2"/>
      <c r="M29" s="2">
        <f>IF(F29=0,"",(VLOOKUP(F29,CHOOSE({1,2},$Y$31:$Y$39,$W$31:$W$39),2,TRUE)+1)*10^3+F29-(VLOOKUP(F29,$Y$31:$Y$39,1,TRUE))+1)</f>
        <v>3005</v>
      </c>
      <c r="N29" s="2">
        <f>IF(G29=0,"",(VLOOKUP(G29,CHOOSE({1,2},$Y$31:$Y$39,$W$31:$W$39),2,TRUE)+1)*10^3+G29-(VLOOKUP(G29,$Y$31:$Y$39,1,TRUE))+1+200)</f>
        <v>2203</v>
      </c>
      <c r="O29" s="2" t="str">
        <f t="shared" si="0"/>
        <v/>
      </c>
      <c r="P29" s="2" t="str">
        <f t="shared" si="1"/>
        <v/>
      </c>
      <c r="Q29" s="2" t="str">
        <f t="shared" si="2"/>
        <v/>
      </c>
      <c r="R29" s="2" t="str">
        <f t="shared" si="3"/>
        <v/>
      </c>
      <c r="S29" s="2" t="str">
        <f t="shared" si="4"/>
        <v/>
      </c>
    </row>
    <row r="30" spans="3:30">
      <c r="C30" s="2">
        <f>SUM($D$6:D30)</f>
        <v>1.8249974764323131</v>
      </c>
      <c r="D30" s="2">
        <f>'1、经济推算'!I27</f>
        <v>0.1837196063440267</v>
      </c>
      <c r="E30" s="2">
        <v>25</v>
      </c>
      <c r="F30" s="2">
        <v>24</v>
      </c>
      <c r="G30" s="2">
        <v>13</v>
      </c>
      <c r="H30" s="2"/>
      <c r="I30" s="2"/>
      <c r="J30" s="2"/>
      <c r="K30" s="2"/>
      <c r="L30" s="2">
        <v>2</v>
      </c>
      <c r="M30" s="2">
        <f>IF(F30=0,"",(VLOOKUP(F30,CHOOSE({1,2},$Y$31:$Y$39,$W$31:$W$39),2,TRUE)+1)*10^3+F30-(VLOOKUP(F30,$Y$31:$Y$39,1,TRUE))+1)</f>
        <v>3006</v>
      </c>
      <c r="N30" s="2">
        <f>IF(G30=0,"",(VLOOKUP(G30,CHOOSE({1,2},$Y$31:$Y$39,$W$31:$W$39),2,TRUE)+1)*10^3+G30-(VLOOKUP(G30,$Y$31:$Y$39,1,TRUE))+1+200)</f>
        <v>2204</v>
      </c>
      <c r="O30" s="2" t="str">
        <f t="shared" si="0"/>
        <v/>
      </c>
      <c r="P30" s="2" t="str">
        <f t="shared" si="1"/>
        <v/>
      </c>
      <c r="Q30" s="2" t="str">
        <f t="shared" si="2"/>
        <v/>
      </c>
      <c r="R30" s="2" t="str">
        <f t="shared" si="3"/>
        <v/>
      </c>
      <c r="S30" s="2">
        <f t="shared" si="4"/>
        <v>1502</v>
      </c>
      <c r="W30" t="s">
        <v>1059</v>
      </c>
      <c r="X30" t="s">
        <v>1058</v>
      </c>
      <c r="Y30" t="s">
        <v>1060</v>
      </c>
    </row>
    <row r="31" spans="3:30">
      <c r="C31" s="2">
        <f>SUM($D$6:D31)</f>
        <v>2.0272284983489062</v>
      </c>
      <c r="D31" s="2">
        <f>'1、经济推算'!I28</f>
        <v>0.20223102191659306</v>
      </c>
      <c r="E31" s="2">
        <v>26</v>
      </c>
      <c r="F31" s="2">
        <v>25</v>
      </c>
      <c r="G31" s="2">
        <v>14</v>
      </c>
      <c r="H31" s="2"/>
      <c r="I31" s="2"/>
      <c r="J31" s="2"/>
      <c r="K31" s="2"/>
      <c r="L31" s="2"/>
      <c r="M31" s="2">
        <f>IF(F31=0,"",(VLOOKUP(F31,CHOOSE({1,2},$Y$31:$Y$39,$W$31:$W$39),2,TRUE)+1)*10^3+F31-(VLOOKUP(F31,$Y$31:$Y$39,1,TRUE))+1)</f>
        <v>3007</v>
      </c>
      <c r="N31" s="2">
        <f>IF(G31=0,"",(VLOOKUP(G31,CHOOSE({1,2},$Y$31:$Y$39,$W$31:$W$39),2,TRUE)+1)*10^3+G31-(VLOOKUP(G31,$Y$31:$Y$39,1,TRUE))+1+200)</f>
        <v>2205</v>
      </c>
      <c r="O31" s="2" t="str">
        <f t="shared" si="0"/>
        <v/>
      </c>
      <c r="P31" s="2" t="str">
        <f t="shared" si="1"/>
        <v/>
      </c>
      <c r="Q31" s="2" t="str">
        <f t="shared" si="2"/>
        <v/>
      </c>
      <c r="R31" s="2" t="str">
        <f t="shared" si="3"/>
        <v/>
      </c>
      <c r="S31" s="2" t="str">
        <f t="shared" si="4"/>
        <v/>
      </c>
      <c r="W31" s="2">
        <v>0</v>
      </c>
      <c r="X31" s="2">
        <v>0</v>
      </c>
      <c r="Y31" s="2">
        <f>X31*W31+1</f>
        <v>1</v>
      </c>
    </row>
    <row r="32" spans="3:30">
      <c r="C32" s="2">
        <f>SUM($D$6:D32)</f>
        <v>2.2498361287443611</v>
      </c>
      <c r="D32" s="2">
        <f>'1、经济推算'!I29</f>
        <v>0.22260763039545486</v>
      </c>
      <c r="E32" s="2">
        <v>27</v>
      </c>
      <c r="F32" s="2">
        <v>26</v>
      </c>
      <c r="G32" s="2">
        <v>15</v>
      </c>
      <c r="H32" s="2"/>
      <c r="I32" s="2"/>
      <c r="J32" s="2"/>
      <c r="K32" s="2"/>
      <c r="L32" s="2"/>
      <c r="M32" s="2">
        <f>IF(F32=0,"",(VLOOKUP(F32,CHOOSE({1,2},$Y$31:$Y$39,$W$31:$W$39),2,TRUE)+1)*10^3+F32-(VLOOKUP(F32,$Y$31:$Y$39,1,TRUE))+1)</f>
        <v>3008</v>
      </c>
      <c r="N32" s="2">
        <f>IF(G32=0,"",(VLOOKUP(G32,CHOOSE({1,2},$Y$31:$Y$39,$W$31:$W$39),2,TRUE)+1)*10^3+G32-(VLOOKUP(G32,$Y$31:$Y$39,1,TRUE))+1+200)</f>
        <v>2206</v>
      </c>
      <c r="O32" s="2" t="str">
        <f t="shared" si="0"/>
        <v/>
      </c>
      <c r="P32" s="2" t="str">
        <f t="shared" si="1"/>
        <v/>
      </c>
      <c r="Q32" s="2" t="str">
        <f t="shared" si="2"/>
        <v/>
      </c>
      <c r="R32" s="2" t="str">
        <f t="shared" si="3"/>
        <v/>
      </c>
      <c r="S32" s="2" t="str">
        <f t="shared" si="4"/>
        <v/>
      </c>
      <c r="W32" s="2">
        <v>1</v>
      </c>
      <c r="X32" s="2">
        <v>9</v>
      </c>
      <c r="Y32" s="2">
        <f>X32+Y31</f>
        <v>10</v>
      </c>
    </row>
    <row r="33" spans="2:25">
      <c r="C33" s="2">
        <f>SUM($D$6:D33)</f>
        <v>2.4948734956163796</v>
      </c>
      <c r="D33" s="2">
        <f>'1、经济推算'!I30</f>
        <v>0.24503736687201849</v>
      </c>
      <c r="E33" s="2">
        <v>28</v>
      </c>
      <c r="F33" s="2">
        <v>27</v>
      </c>
      <c r="G33" s="2">
        <v>16</v>
      </c>
      <c r="H33" s="2"/>
      <c r="I33" s="2"/>
      <c r="J33" s="2">
        <v>2</v>
      </c>
      <c r="K33" s="2"/>
      <c r="L33" s="2"/>
      <c r="M33" s="2">
        <f>IF(F33=0,"",(VLOOKUP(F33,CHOOSE({1,2},$Y$31:$Y$39,$W$31:$W$39),2,TRUE)+1)*10^3+F33-(VLOOKUP(F33,$Y$31:$Y$39,1,TRUE))+1)</f>
        <v>3009</v>
      </c>
      <c r="N33" s="2">
        <f>IF(G33=0,"",(VLOOKUP(G33,CHOOSE({1,2},$Y$31:$Y$39,$W$31:$W$39),2,TRUE)+1)*10^3+G33-(VLOOKUP(G33,$Y$31:$Y$39,1,TRUE))+1+200)</f>
        <v>2207</v>
      </c>
      <c r="O33" s="2" t="str">
        <f t="shared" si="0"/>
        <v/>
      </c>
      <c r="P33" s="2" t="str">
        <f t="shared" si="1"/>
        <v/>
      </c>
      <c r="Q33" s="2">
        <f t="shared" si="2"/>
        <v>1802</v>
      </c>
      <c r="R33" s="2" t="str">
        <f t="shared" si="3"/>
        <v/>
      </c>
      <c r="S33" s="2" t="str">
        <f t="shared" si="4"/>
        <v/>
      </c>
      <c r="W33" s="2">
        <v>2</v>
      </c>
      <c r="X33" s="2">
        <v>9</v>
      </c>
      <c r="Y33" s="2">
        <f t="shared" ref="Y33:Y39" si="5">X33+Y32</f>
        <v>19</v>
      </c>
    </row>
    <row r="34" spans="2:25">
      <c r="C34" s="2">
        <f>SUM($D$6:D34)</f>
        <v>2.7646005982179718</v>
      </c>
      <c r="D34" s="2">
        <f>'1、经济推算'!I31</f>
        <v>0.26972710260159238</v>
      </c>
      <c r="E34" s="2">
        <v>29</v>
      </c>
      <c r="F34" s="2">
        <v>28</v>
      </c>
      <c r="G34" s="2">
        <v>17</v>
      </c>
      <c r="H34" s="2">
        <v>2</v>
      </c>
      <c r="I34" s="2"/>
      <c r="J34" s="2"/>
      <c r="K34" s="2"/>
      <c r="L34" s="2"/>
      <c r="M34" s="2">
        <f>IF(F34=0,"",(VLOOKUP(F34,CHOOSE({1,2},$Y$31:$Y$39,$W$31:$W$39),2,TRUE)+1)*10^3+F34-(VLOOKUP(F34,$Y$31:$Y$39,1,TRUE))+1)</f>
        <v>4001</v>
      </c>
      <c r="N34" s="2">
        <f>IF(G34=0,"",(VLOOKUP(G34,CHOOSE({1,2},$Y$31:$Y$39,$W$31:$W$39),2,TRUE)+1)*10^3+G34-(VLOOKUP(G34,$Y$31:$Y$39,1,TRUE))+1+200)</f>
        <v>2208</v>
      </c>
      <c r="O34" s="2">
        <f t="shared" si="0"/>
        <v>1302</v>
      </c>
      <c r="P34" s="2" t="str">
        <f t="shared" si="1"/>
        <v/>
      </c>
      <c r="Q34" s="2" t="str">
        <f t="shared" si="2"/>
        <v/>
      </c>
      <c r="R34" s="2" t="str">
        <f t="shared" si="3"/>
        <v/>
      </c>
      <c r="S34" s="2" t="str">
        <f t="shared" si="4"/>
        <v/>
      </c>
      <c r="W34" s="2">
        <v>3</v>
      </c>
      <c r="X34" s="2">
        <v>9</v>
      </c>
      <c r="Y34" s="2">
        <f t="shared" si="5"/>
        <v>28</v>
      </c>
    </row>
    <row r="35" spans="2:25">
      <c r="B35">
        <v>1</v>
      </c>
      <c r="C35" s="2">
        <f>SUM($D$6:D35)</f>
        <v>3.0615051512115086</v>
      </c>
      <c r="D35" s="2">
        <f>'1、经济推算'!I32</f>
        <v>0.29690455299353663</v>
      </c>
      <c r="E35" s="2">
        <v>30</v>
      </c>
      <c r="F35" s="2">
        <v>29</v>
      </c>
      <c r="G35" s="2">
        <v>18</v>
      </c>
      <c r="H35" s="2"/>
      <c r="I35" s="2"/>
      <c r="J35" s="2"/>
      <c r="K35" s="2"/>
      <c r="L35" s="2"/>
      <c r="M35" s="2">
        <f>IF(F35=0,"",(VLOOKUP(F35,CHOOSE({1,2},$Y$31:$Y$39,$W$31:$W$39),2,TRUE)+1)*10^3+F35-(VLOOKUP(F35,$Y$31:$Y$39,1,TRUE))+1)</f>
        <v>4002</v>
      </c>
      <c r="N35" s="2">
        <f>IF(G35=0,"",(VLOOKUP(G35,CHOOSE({1,2},$Y$31:$Y$39,$W$31:$W$39),2,TRUE)+1)*10^3+G35-(VLOOKUP(G35,$Y$31:$Y$39,1,TRUE))+1+200)</f>
        <v>2209</v>
      </c>
      <c r="O35" s="2" t="str">
        <f t="shared" si="0"/>
        <v/>
      </c>
      <c r="P35" s="2" t="str">
        <f t="shared" si="1"/>
        <v/>
      </c>
      <c r="Q35" s="2" t="str">
        <f t="shared" si="2"/>
        <v/>
      </c>
      <c r="R35" s="2" t="str">
        <f t="shared" si="3"/>
        <v/>
      </c>
      <c r="S35" s="2" t="str">
        <f t="shared" si="4"/>
        <v/>
      </c>
      <c r="W35" s="2">
        <v>4</v>
      </c>
      <c r="X35" s="2">
        <v>9</v>
      </c>
      <c r="Y35" s="2">
        <f t="shared" si="5"/>
        <v>37</v>
      </c>
    </row>
    <row r="36" spans="2:25">
      <c r="C36" s="2">
        <f>SUM($D$6:D36)</f>
        <v>3.3883255290602246</v>
      </c>
      <c r="D36" s="2">
        <f>'1、经济推算'!I33</f>
        <v>0.32682037784871604</v>
      </c>
      <c r="E36" s="2">
        <v>31</v>
      </c>
      <c r="F36" s="2">
        <v>30</v>
      </c>
      <c r="G36" s="2">
        <v>19</v>
      </c>
      <c r="H36" s="2"/>
      <c r="I36" s="2"/>
      <c r="J36" s="2"/>
      <c r="K36" s="2"/>
      <c r="L36" s="2"/>
      <c r="M36" s="2">
        <f>IF(F36=0,"",(VLOOKUP(F36,CHOOSE({1,2},$Y$31:$Y$39,$W$31:$W$39),2,TRUE)+1)*10^3+F36-(VLOOKUP(F36,$Y$31:$Y$39,1,TRUE))+1)</f>
        <v>4003</v>
      </c>
      <c r="N36" s="2">
        <f>IF(G36=0,"",(VLOOKUP(G36,CHOOSE({1,2},$Y$31:$Y$39,$W$31:$W$39),2,TRUE)+1)*10^3+G36-(VLOOKUP(G36,$Y$31:$Y$39,1,TRUE))+1+200)</f>
        <v>3201</v>
      </c>
      <c r="O36" s="2" t="str">
        <f t="shared" si="0"/>
        <v/>
      </c>
      <c r="P36" s="2" t="str">
        <f t="shared" si="1"/>
        <v/>
      </c>
      <c r="Q36" s="2" t="str">
        <f t="shared" si="2"/>
        <v/>
      </c>
      <c r="R36" s="2" t="str">
        <f t="shared" si="3"/>
        <v/>
      </c>
      <c r="S36" s="2" t="str">
        <f t="shared" si="4"/>
        <v/>
      </c>
      <c r="W36" s="2">
        <v>5</v>
      </c>
      <c r="X36" s="2">
        <v>9</v>
      </c>
      <c r="Y36" s="2">
        <f t="shared" si="5"/>
        <v>46</v>
      </c>
    </row>
    <row r="37" spans="2:25">
      <c r="C37" s="2">
        <f>SUM($D$6:D37)</f>
        <v>3.7480760222751357</v>
      </c>
      <c r="D37" s="2">
        <f>'1、经济推算'!I34</f>
        <v>0.35975049321491137</v>
      </c>
      <c r="E37" s="2">
        <v>32</v>
      </c>
      <c r="F37" s="2">
        <v>31</v>
      </c>
      <c r="G37" s="2">
        <v>20</v>
      </c>
      <c r="H37" s="2"/>
      <c r="I37" s="2"/>
      <c r="J37" s="2"/>
      <c r="K37" s="2"/>
      <c r="L37" s="2"/>
      <c r="M37" s="2">
        <f>IF(F37=0,"",(VLOOKUP(F37,CHOOSE({1,2},$Y$31:$Y$39,$W$31:$W$39),2,TRUE)+1)*10^3+F37-(VLOOKUP(F37,$Y$31:$Y$39,1,TRUE))+1)</f>
        <v>4004</v>
      </c>
      <c r="N37" s="2">
        <f>IF(G37=0,"",(VLOOKUP(G37,CHOOSE({1,2},$Y$31:$Y$39,$W$31:$W$39),2,TRUE)+1)*10^3+G37-(VLOOKUP(G37,$Y$31:$Y$39,1,TRUE))+1+200)</f>
        <v>3202</v>
      </c>
      <c r="O37" s="2" t="str">
        <f t="shared" si="0"/>
        <v/>
      </c>
      <c r="P37" s="2" t="str">
        <f t="shared" si="1"/>
        <v/>
      </c>
      <c r="Q37" s="2" t="str">
        <f t="shared" si="2"/>
        <v/>
      </c>
      <c r="R37" s="2" t="str">
        <f t="shared" si="3"/>
        <v/>
      </c>
      <c r="S37" s="2" t="str">
        <f t="shared" si="4"/>
        <v/>
      </c>
      <c r="W37" s="2">
        <v>6</v>
      </c>
      <c r="X37" s="2">
        <v>9</v>
      </c>
      <c r="Y37" s="2">
        <f t="shared" si="5"/>
        <v>55</v>
      </c>
    </row>
    <row r="38" spans="2:25">
      <c r="C38" s="2">
        <f>SUM($D$6:D38)</f>
        <v>4.144074638457754</v>
      </c>
      <c r="D38" s="2">
        <f>'1、经济推算'!I35</f>
        <v>0.39599861618261806</v>
      </c>
      <c r="E38" s="2">
        <v>33</v>
      </c>
      <c r="F38" s="2">
        <v>32</v>
      </c>
      <c r="G38" s="2">
        <v>21</v>
      </c>
      <c r="H38" s="2"/>
      <c r="I38" s="2"/>
      <c r="J38" s="2"/>
      <c r="K38" s="2">
        <v>2</v>
      </c>
      <c r="L38" s="2"/>
      <c r="M38" s="2">
        <f>IF(F38=0,"",(VLOOKUP(F38,CHOOSE({1,2},$Y$31:$Y$39,$W$31:$W$39),2,TRUE)+1)*10^3+F38-(VLOOKUP(F38,$Y$31:$Y$39,1,TRUE))+1)</f>
        <v>4005</v>
      </c>
      <c r="N38" s="2">
        <f>IF(G38=0,"",(VLOOKUP(G38,CHOOSE({1,2},$Y$31:$Y$39,$W$31:$W$39),2,TRUE)+1)*10^3+G38-(VLOOKUP(G38,$Y$31:$Y$39,1,TRUE))+1+200)</f>
        <v>3203</v>
      </c>
      <c r="O38" s="2" t="str">
        <f t="shared" si="0"/>
        <v/>
      </c>
      <c r="P38" s="2" t="str">
        <f t="shared" si="1"/>
        <v/>
      </c>
      <c r="Q38" s="2" t="str">
        <f t="shared" si="2"/>
        <v/>
      </c>
      <c r="R38" s="2">
        <f t="shared" si="3"/>
        <v>1702</v>
      </c>
      <c r="S38" s="2" t="str">
        <f t="shared" si="4"/>
        <v/>
      </c>
      <c r="W38" s="2">
        <v>7</v>
      </c>
      <c r="X38" s="2">
        <v>9</v>
      </c>
      <c r="Y38" s="2">
        <f t="shared" si="5"/>
        <v>64</v>
      </c>
    </row>
    <row r="39" spans="2:25">
      <c r="C39" s="2">
        <f>SUM($D$6:D39)</f>
        <v>4.5799737045498432</v>
      </c>
      <c r="D39" s="2">
        <f>'1、经济推算'!I36</f>
        <v>0.43589906609208962</v>
      </c>
      <c r="E39" s="2">
        <v>34</v>
      </c>
      <c r="F39" s="2">
        <v>33</v>
      </c>
      <c r="G39" s="2">
        <v>22</v>
      </c>
      <c r="H39" s="2"/>
      <c r="I39" s="2"/>
      <c r="J39" s="2"/>
      <c r="K39" s="2"/>
      <c r="L39" s="2"/>
      <c r="M39" s="2">
        <f>IF(F39=0,"",(VLOOKUP(F39,CHOOSE({1,2},$Y$31:$Y$39,$W$31:$W$39),2,TRUE)+1)*10^3+F39-(VLOOKUP(F39,$Y$31:$Y$39,1,TRUE))+1)</f>
        <v>4006</v>
      </c>
      <c r="N39" s="2">
        <f>IF(G39=0,"",(VLOOKUP(G39,CHOOSE({1,2},$Y$31:$Y$39,$W$31:$W$39),2,TRUE)+1)*10^3+G39-(VLOOKUP(G39,$Y$31:$Y$39,1,TRUE))+1+200)</f>
        <v>3204</v>
      </c>
      <c r="O39" s="2" t="str">
        <f t="shared" si="0"/>
        <v/>
      </c>
      <c r="P39" s="2" t="str">
        <f t="shared" si="1"/>
        <v/>
      </c>
      <c r="Q39" s="2" t="str">
        <f t="shared" si="2"/>
        <v/>
      </c>
      <c r="R39" s="2" t="str">
        <f t="shared" si="3"/>
        <v/>
      </c>
      <c r="S39" s="2" t="str">
        <f t="shared" si="4"/>
        <v/>
      </c>
      <c r="W39" s="2">
        <v>8</v>
      </c>
      <c r="X39" s="2">
        <v>9</v>
      </c>
      <c r="Y39" s="2">
        <f t="shared" si="5"/>
        <v>73</v>
      </c>
    </row>
    <row r="40" spans="2:25">
      <c r="C40" s="2">
        <f>SUM($D$6:D40)</f>
        <v>5.0597935525372213</v>
      </c>
      <c r="D40" s="2">
        <f>'1、经济推算'!I37</f>
        <v>0.47981984798737787</v>
      </c>
      <c r="E40" s="2">
        <v>35</v>
      </c>
      <c r="F40" s="2">
        <v>34</v>
      </c>
      <c r="G40" s="2">
        <v>23</v>
      </c>
      <c r="H40" s="2"/>
      <c r="I40" s="2">
        <v>1</v>
      </c>
      <c r="J40" s="2"/>
      <c r="K40" s="2"/>
      <c r="L40" s="2"/>
      <c r="M40" s="2">
        <f>IF(F40=0,"",(VLOOKUP(F40,CHOOSE({1,2},$Y$31:$Y$39,$W$31:$W$39),2,TRUE)+1)*10^3+F40-(VLOOKUP(F40,$Y$31:$Y$39,1,TRUE))+1)</f>
        <v>4007</v>
      </c>
      <c r="N40" s="2">
        <f>IF(G40=0,"",(VLOOKUP(G40,CHOOSE({1,2},$Y$31:$Y$39,$W$31:$W$39),2,TRUE)+1)*10^3+G40-(VLOOKUP(G40,$Y$31:$Y$39,1,TRUE))+1+200)</f>
        <v>3205</v>
      </c>
      <c r="O40" s="2" t="str">
        <f t="shared" si="0"/>
        <v/>
      </c>
      <c r="P40" s="2">
        <f t="shared" si="1"/>
        <v>1401</v>
      </c>
      <c r="Q40" s="2" t="str">
        <f t="shared" si="2"/>
        <v/>
      </c>
      <c r="R40" s="2" t="str">
        <f t="shared" si="3"/>
        <v/>
      </c>
      <c r="S40" s="2" t="str">
        <f t="shared" si="4"/>
        <v/>
      </c>
    </row>
    <row r="41" spans="2:25">
      <c r="B41">
        <v>2</v>
      </c>
      <c r="C41" s="2">
        <f>SUM($D$6:D41)</f>
        <v>5.5879595992935407</v>
      </c>
      <c r="D41" s="2">
        <f>'1、经济推算'!I38</f>
        <v>0.5281660467563194</v>
      </c>
      <c r="E41" s="2">
        <v>36</v>
      </c>
      <c r="F41" s="2">
        <v>35</v>
      </c>
      <c r="G41" s="2">
        <v>24</v>
      </c>
      <c r="H41" s="2"/>
      <c r="I41" s="2"/>
      <c r="J41" s="2"/>
      <c r="K41" s="2"/>
      <c r="L41" s="2">
        <v>3</v>
      </c>
      <c r="M41" s="2">
        <f>IF(F41=0,"",(VLOOKUP(F41,CHOOSE({1,2},$Y$31:$Y$39,$W$31:$W$39),2,TRUE)+1)*10^3+F41-(VLOOKUP(F41,$Y$31:$Y$39,1,TRUE))+1)</f>
        <v>4008</v>
      </c>
      <c r="N41" s="2">
        <f>IF(G41=0,"",(VLOOKUP(G41,CHOOSE({1,2},$Y$31:$Y$39,$W$31:$W$39),2,TRUE)+1)*10^3+G41-(VLOOKUP(G41,$Y$31:$Y$39,1,TRUE))+1+200)</f>
        <v>3206</v>
      </c>
      <c r="O41" s="2" t="str">
        <f t="shared" si="0"/>
        <v/>
      </c>
      <c r="P41" s="2" t="str">
        <f t="shared" si="1"/>
        <v/>
      </c>
      <c r="Q41" s="2" t="str">
        <f t="shared" si="2"/>
        <v/>
      </c>
      <c r="R41" s="2" t="str">
        <f t="shared" si="3"/>
        <v/>
      </c>
      <c r="S41" s="2">
        <f t="shared" si="4"/>
        <v>1503</v>
      </c>
    </row>
    <row r="42" spans="2:25">
      <c r="C42" s="2">
        <f>SUM($D$6:D42)</f>
        <v>6.1693431625544273</v>
      </c>
      <c r="D42" s="2">
        <f>'1、经济推算'!I39</f>
        <v>0.58138356326088625</v>
      </c>
      <c r="E42" s="2">
        <v>37</v>
      </c>
      <c r="F42" s="2">
        <v>36</v>
      </c>
      <c r="G42" s="2">
        <v>25</v>
      </c>
      <c r="H42" s="2"/>
      <c r="I42" s="2"/>
      <c r="J42" s="2"/>
      <c r="K42" s="2"/>
      <c r="L42" s="2"/>
      <c r="M42" s="2">
        <f>IF(F42=0,"",(VLOOKUP(F42,CHOOSE({1,2},$Y$31:$Y$39,$W$31:$W$39),2,TRUE)+1)*10^3+F42-(VLOOKUP(F42,$Y$31:$Y$39,1,TRUE))+1)</f>
        <v>4009</v>
      </c>
      <c r="N42" s="2">
        <f>IF(G42=0,"",(VLOOKUP(G42,CHOOSE({1,2},$Y$31:$Y$39,$W$31:$W$39),2,TRUE)+1)*10^3+G42-(VLOOKUP(G42,$Y$31:$Y$39,1,TRUE))+1+200)</f>
        <v>3207</v>
      </c>
      <c r="O42" s="2" t="str">
        <f t="shared" si="0"/>
        <v/>
      </c>
      <c r="P42" s="2" t="str">
        <f t="shared" si="1"/>
        <v/>
      </c>
      <c r="Q42" s="2" t="str">
        <f t="shared" si="2"/>
        <v/>
      </c>
      <c r="R42" s="2" t="str">
        <f t="shared" si="3"/>
        <v/>
      </c>
      <c r="S42" s="2" t="str">
        <f t="shared" si="4"/>
        <v/>
      </c>
    </row>
    <row r="43" spans="2:25">
      <c r="C43" s="2">
        <f>SUM($D$6:D43)</f>
        <v>6.8093063894709651</v>
      </c>
      <c r="D43" s="2">
        <f>'1、经济推算'!I40</f>
        <v>0.6399632269165374</v>
      </c>
      <c r="E43" s="2">
        <v>38</v>
      </c>
      <c r="F43" s="2">
        <v>37</v>
      </c>
      <c r="G43" s="2">
        <v>26</v>
      </c>
      <c r="H43" s="2"/>
      <c r="I43" s="2"/>
      <c r="J43" s="2">
        <v>3</v>
      </c>
      <c r="K43" s="2"/>
      <c r="L43" s="2"/>
      <c r="M43" s="2">
        <f>IF(F43=0,"",(VLOOKUP(F43,CHOOSE({1,2},$Y$31:$Y$39,$W$31:$W$39),2,TRUE)+1)*10^3+F43-(VLOOKUP(F43,$Y$31:$Y$39,1,TRUE))+1)</f>
        <v>5001</v>
      </c>
      <c r="N43" s="2">
        <f>IF(G43=0,"",(VLOOKUP(G43,CHOOSE({1,2},$Y$31:$Y$39,$W$31:$W$39),2,TRUE)+1)*10^3+G43-(VLOOKUP(G43,$Y$31:$Y$39,1,TRUE))+1+200)</f>
        <v>3208</v>
      </c>
      <c r="O43" s="2" t="str">
        <f t="shared" si="0"/>
        <v/>
      </c>
      <c r="P43" s="2" t="str">
        <f t="shared" si="1"/>
        <v/>
      </c>
      <c r="Q43" s="2">
        <f t="shared" si="2"/>
        <v>1803</v>
      </c>
      <c r="R43" s="2" t="str">
        <f t="shared" si="3"/>
        <v/>
      </c>
      <c r="S43" s="2" t="str">
        <f t="shared" si="4"/>
        <v/>
      </c>
    </row>
    <row r="44" spans="2:25">
      <c r="B44">
        <v>3</v>
      </c>
      <c r="C44" s="2">
        <f>SUM($D$6:D44)</f>
        <v>7.5137517121221791</v>
      </c>
      <c r="D44" s="2">
        <f>'1、经济推算'!I41</f>
        <v>0.70444532265121429</v>
      </c>
      <c r="E44" s="2">
        <v>39</v>
      </c>
      <c r="F44" s="2">
        <v>38</v>
      </c>
      <c r="G44" s="2">
        <v>27</v>
      </c>
      <c r="H44" s="2">
        <v>3</v>
      </c>
      <c r="I44" s="2"/>
      <c r="J44" s="2"/>
      <c r="K44" s="2"/>
      <c r="L44" s="2"/>
      <c r="M44" s="2">
        <f>IF(F44=0,"",(VLOOKUP(F44,CHOOSE({1,2},$Y$31:$Y$39,$W$31:$W$39),2,TRUE)+1)*10^3+F44-(VLOOKUP(F44,$Y$31:$Y$39,1,TRUE))+1)</f>
        <v>5002</v>
      </c>
      <c r="N44" s="2">
        <f>IF(G44=0,"",(VLOOKUP(G44,CHOOSE({1,2},$Y$31:$Y$39,$W$31:$W$39),2,TRUE)+1)*10^3+G44-(VLOOKUP(G44,$Y$31:$Y$39,1,TRUE))+1+200)</f>
        <v>3209</v>
      </c>
      <c r="O44" s="2">
        <f t="shared" si="0"/>
        <v>1303</v>
      </c>
      <c r="P44" s="2" t="str">
        <f t="shared" si="1"/>
        <v/>
      </c>
      <c r="Q44" s="2" t="str">
        <f t="shared" si="2"/>
        <v/>
      </c>
      <c r="R44" s="2" t="str">
        <f t="shared" si="3"/>
        <v/>
      </c>
      <c r="S44" s="2" t="str">
        <f t="shared" si="4"/>
        <v/>
      </c>
    </row>
    <row r="45" spans="2:25">
      <c r="C45" s="2">
        <f>SUM($D$6:D45)</f>
        <v>8.289176286118666</v>
      </c>
      <c r="D45" s="2">
        <f>'1、经济推算'!I42</f>
        <v>0.77542457399648657</v>
      </c>
      <c r="E45" s="2">
        <v>40</v>
      </c>
      <c r="F45" s="2">
        <v>39</v>
      </c>
      <c r="G45" s="2">
        <v>28</v>
      </c>
      <c r="H45" s="2"/>
      <c r="I45" s="2">
        <v>2</v>
      </c>
      <c r="J45" s="2"/>
      <c r="K45" s="2"/>
      <c r="L45" s="2"/>
      <c r="M45" s="2">
        <f>IF(F45=0,"",(VLOOKUP(F45,CHOOSE({1,2},$Y$31:$Y$39,$W$31:$W$39),2,TRUE)+1)*10^3+F45-(VLOOKUP(F45,$Y$31:$Y$39,1,TRUE))+1)</f>
        <v>5003</v>
      </c>
      <c r="N45" s="2">
        <f>IF(G45=0,"",(VLOOKUP(G45,CHOOSE({1,2},$Y$31:$Y$39,$W$31:$W$39),2,TRUE)+1)*10^3+G45-(VLOOKUP(G45,$Y$31:$Y$39,1,TRUE))+1+200)</f>
        <v>4201</v>
      </c>
      <c r="O45" s="2" t="str">
        <f t="shared" si="0"/>
        <v/>
      </c>
      <c r="P45" s="2">
        <f t="shared" si="1"/>
        <v>1402</v>
      </c>
      <c r="Q45" s="2" t="str">
        <f t="shared" si="2"/>
        <v/>
      </c>
      <c r="R45" s="2" t="str">
        <f t="shared" si="3"/>
        <v/>
      </c>
      <c r="S45" s="2" t="str">
        <f t="shared" si="4"/>
        <v/>
      </c>
    </row>
    <row r="46" spans="2:25">
      <c r="B46">
        <v>4</v>
      </c>
      <c r="C46" s="2">
        <f>SUM($D$6:D46)</f>
        <v>9.1427319143889676</v>
      </c>
      <c r="D46" s="2">
        <f>'1、经济推算'!I43</f>
        <v>0.85355562827030251</v>
      </c>
      <c r="E46" s="2">
        <v>41</v>
      </c>
      <c r="F46" s="2">
        <v>40</v>
      </c>
      <c r="G46" s="2">
        <v>29</v>
      </c>
      <c r="H46" s="2"/>
      <c r="I46" s="2"/>
      <c r="J46" s="2"/>
      <c r="K46" s="2"/>
      <c r="L46" s="2"/>
      <c r="M46" s="2">
        <f>IF(F46=0,"",(VLOOKUP(F46,CHOOSE({1,2},$Y$31:$Y$39,$W$31:$W$39),2,TRUE)+1)*10^3+F46-(VLOOKUP(F46,$Y$31:$Y$39,1,TRUE))+1)</f>
        <v>5004</v>
      </c>
      <c r="N46" s="2">
        <f>IF(G46=0,"",(VLOOKUP(G46,CHOOSE({1,2},$Y$31:$Y$39,$W$31:$W$39),2,TRUE)+1)*10^3+G46-(VLOOKUP(G46,$Y$31:$Y$39,1,TRUE))+1+200)</f>
        <v>4202</v>
      </c>
      <c r="O46" s="2" t="str">
        <f t="shared" si="0"/>
        <v/>
      </c>
      <c r="P46" s="2" t="str">
        <f t="shared" si="1"/>
        <v/>
      </c>
      <c r="Q46" s="2" t="str">
        <f t="shared" si="2"/>
        <v/>
      </c>
      <c r="R46" s="2" t="str">
        <f t="shared" si="3"/>
        <v/>
      </c>
      <c r="S46" s="2" t="str">
        <f t="shared" si="4"/>
        <v/>
      </c>
    </row>
    <row r="47" spans="2:25">
      <c r="C47" s="2">
        <f>SUM($D$6:D47)</f>
        <v>10.082291008830579</v>
      </c>
      <c r="D47" s="2">
        <f>'1、经济推算'!I44</f>
        <v>0.9395590944416109</v>
      </c>
      <c r="E47" s="2">
        <v>42</v>
      </c>
      <c r="F47" s="2">
        <v>41</v>
      </c>
      <c r="G47" s="2">
        <v>30</v>
      </c>
      <c r="H47" s="2"/>
      <c r="I47" s="2"/>
      <c r="J47" s="2"/>
      <c r="K47" s="2"/>
      <c r="L47" s="2"/>
      <c r="M47" s="2">
        <f>IF(F47=0,"",(VLOOKUP(F47,CHOOSE({1,2},$Y$31:$Y$39,$W$31:$W$39),2,TRUE)+1)*10^3+F47-(VLOOKUP(F47,$Y$31:$Y$39,1,TRUE))+1)</f>
        <v>5005</v>
      </c>
      <c r="N47" s="2">
        <f>IF(G47=0,"",(VLOOKUP(G47,CHOOSE({1,2},$Y$31:$Y$39,$W$31:$W$39),2,TRUE)+1)*10^3+G47-(VLOOKUP(G47,$Y$31:$Y$39,1,TRUE))+1+200)</f>
        <v>4203</v>
      </c>
      <c r="O47" s="2" t="str">
        <f t="shared" si="0"/>
        <v/>
      </c>
      <c r="P47" s="2" t="str">
        <f t="shared" si="1"/>
        <v/>
      </c>
      <c r="Q47" s="2" t="str">
        <f t="shared" si="2"/>
        <v/>
      </c>
      <c r="R47" s="2" t="str">
        <f t="shared" si="3"/>
        <v/>
      </c>
      <c r="S47" s="2" t="str">
        <f t="shared" si="4"/>
        <v/>
      </c>
    </row>
    <row r="48" spans="2:25">
      <c r="B48">
        <v>5</v>
      </c>
      <c r="C48" s="2">
        <f>SUM($D$6:D48)</f>
        <v>11.116519198195157</v>
      </c>
      <c r="D48" s="2">
        <f>'1、经济推算'!I45</f>
        <v>1.0342281893645782</v>
      </c>
      <c r="E48" s="2">
        <v>43</v>
      </c>
      <c r="F48" s="2">
        <v>42</v>
      </c>
      <c r="G48" s="2">
        <v>31</v>
      </c>
      <c r="H48" s="2"/>
      <c r="I48" s="2"/>
      <c r="J48" s="2"/>
      <c r="K48" s="2">
        <v>3</v>
      </c>
      <c r="L48" s="2"/>
      <c r="M48" s="2">
        <f>IF(F48=0,"",(VLOOKUP(F48,CHOOSE({1,2},$Y$31:$Y$39,$W$31:$W$39),2,TRUE)+1)*10^3+F48-(VLOOKUP(F48,$Y$31:$Y$39,1,TRUE))+1)</f>
        <v>5006</v>
      </c>
      <c r="N48" s="2">
        <f>IF(G48=0,"",(VLOOKUP(G48,CHOOSE({1,2},$Y$31:$Y$39,$W$31:$W$39),2,TRUE)+1)*10^3+G48-(VLOOKUP(G48,$Y$31:$Y$39,1,TRUE))+1+200)</f>
        <v>4204</v>
      </c>
      <c r="O48" s="2" t="str">
        <f t="shared" si="0"/>
        <v/>
      </c>
      <c r="P48" s="2" t="str">
        <f t="shared" si="1"/>
        <v/>
      </c>
      <c r="Q48" s="2" t="str">
        <f t="shared" si="2"/>
        <v/>
      </c>
      <c r="R48" s="2">
        <f t="shared" si="3"/>
        <v>1703</v>
      </c>
      <c r="S48" s="2" t="str">
        <f t="shared" si="4"/>
        <v/>
      </c>
    </row>
    <row r="49" spans="2:19">
      <c r="C49" s="2">
        <f>SUM($D$6:D49)</f>
        <v>12.254955251876297</v>
      </c>
      <c r="D49" s="2">
        <f>'1、经济推算'!I46</f>
        <v>1.1384360536811409</v>
      </c>
      <c r="E49" s="2">
        <v>44</v>
      </c>
      <c r="F49" s="2">
        <v>43</v>
      </c>
      <c r="G49" s="2">
        <v>32</v>
      </c>
      <c r="H49" s="2"/>
      <c r="I49" s="2"/>
      <c r="J49" s="2"/>
      <c r="K49" s="2"/>
      <c r="L49" s="2"/>
      <c r="M49" s="2">
        <f>IF(F49=0,"",(VLOOKUP(F49,CHOOSE({1,2},$Y$31:$Y$39,$W$31:$W$39),2,TRUE)+1)*10^3+F49-(VLOOKUP(F49,$Y$31:$Y$39,1,TRUE))+1)</f>
        <v>5007</v>
      </c>
      <c r="N49" s="2">
        <f>IF(G49=0,"",(VLOOKUP(G49,CHOOSE({1,2},$Y$31:$Y$39,$W$31:$W$39),2,TRUE)+1)*10^3+G49-(VLOOKUP(G49,$Y$31:$Y$39,1,TRUE))+1+200)</f>
        <v>4205</v>
      </c>
      <c r="O49" s="2" t="str">
        <f t="shared" si="0"/>
        <v/>
      </c>
      <c r="P49" s="2" t="str">
        <f t="shared" si="1"/>
        <v/>
      </c>
      <c r="Q49" s="2" t="str">
        <f t="shared" si="2"/>
        <v/>
      </c>
      <c r="R49" s="2" t="str">
        <f t="shared" si="3"/>
        <v/>
      </c>
      <c r="S49" s="2" t="str">
        <f t="shared" si="4"/>
        <v/>
      </c>
    </row>
    <row r="50" spans="2:19">
      <c r="B50">
        <v>6</v>
      </c>
      <c r="C50" s="2">
        <f>SUM($D$6:D50)</f>
        <v>13.508099056743347</v>
      </c>
      <c r="D50" s="2">
        <f>'1、经济推算'!I47</f>
        <v>1.2531438048670518</v>
      </c>
      <c r="E50" s="2">
        <v>45</v>
      </c>
      <c r="F50" s="2">
        <v>44</v>
      </c>
      <c r="G50" s="2">
        <v>33</v>
      </c>
      <c r="H50" s="2"/>
      <c r="I50" s="2"/>
      <c r="J50" s="2"/>
      <c r="K50" s="2"/>
      <c r="L50" s="2"/>
      <c r="M50" s="2">
        <f>IF(F50=0,"",(VLOOKUP(F50,CHOOSE({1,2},$Y$31:$Y$39,$W$31:$W$39),2,TRUE)+1)*10^3+F50-(VLOOKUP(F50,$Y$31:$Y$39,1,TRUE))+1)</f>
        <v>5008</v>
      </c>
      <c r="N50" s="2">
        <f>IF(G50=0,"",(VLOOKUP(G50,CHOOSE({1,2},$Y$31:$Y$39,$W$31:$W$39),2,TRUE)+1)*10^3+G50-(VLOOKUP(G50,$Y$31:$Y$39,1,TRUE))+1+200)</f>
        <v>4206</v>
      </c>
      <c r="O50" s="2" t="str">
        <f t="shared" si="0"/>
        <v/>
      </c>
      <c r="P50" s="2" t="str">
        <f t="shared" si="1"/>
        <v/>
      </c>
      <c r="Q50" s="2" t="str">
        <f t="shared" si="2"/>
        <v/>
      </c>
      <c r="R50" s="2" t="str">
        <f t="shared" si="3"/>
        <v/>
      </c>
      <c r="S50" s="2" t="str">
        <f t="shared" si="4"/>
        <v/>
      </c>
    </row>
    <row r="51" spans="2:19">
      <c r="B51">
        <v>7</v>
      </c>
      <c r="C51" s="2">
        <f>SUM($D$6:D51)</f>
        <v>14.887508458438656</v>
      </c>
      <c r="D51" s="2">
        <f>'1、经济推算'!I48</f>
        <v>1.3794094016953091</v>
      </c>
      <c r="E51" s="2">
        <v>46</v>
      </c>
      <c r="F51" s="2">
        <v>45</v>
      </c>
      <c r="G51" s="2">
        <v>34</v>
      </c>
      <c r="H51" s="2"/>
      <c r="I51" s="2"/>
      <c r="J51" s="2"/>
      <c r="K51" s="2"/>
      <c r="L51" s="2">
        <v>4</v>
      </c>
      <c r="M51" s="2">
        <f>IF(F51=0,"",(VLOOKUP(F51,CHOOSE({1,2},$Y$31:$Y$39,$W$31:$W$39),2,TRUE)+1)*10^3+F51-(VLOOKUP(F51,$Y$31:$Y$39,1,TRUE))+1)</f>
        <v>5009</v>
      </c>
      <c r="N51" s="2">
        <f>IF(G51=0,"",(VLOOKUP(G51,CHOOSE({1,2},$Y$31:$Y$39,$W$31:$W$39),2,TRUE)+1)*10^3+G51-(VLOOKUP(G51,$Y$31:$Y$39,1,TRUE))+1+200)</f>
        <v>4207</v>
      </c>
      <c r="O51" s="2" t="str">
        <f t="shared" si="0"/>
        <v/>
      </c>
      <c r="P51" s="2" t="str">
        <f t="shared" si="1"/>
        <v/>
      </c>
      <c r="Q51" s="2" t="str">
        <f t="shared" si="2"/>
        <v/>
      </c>
      <c r="R51" s="2" t="str">
        <f t="shared" si="3"/>
        <v/>
      </c>
      <c r="S51" s="2">
        <f t="shared" si="4"/>
        <v>1504</v>
      </c>
    </row>
    <row r="52" spans="2:19">
      <c r="B52">
        <v>8</v>
      </c>
      <c r="C52" s="2">
        <f>SUM($D$6:D52)</f>
        <v>16.405905860313279</v>
      </c>
      <c r="D52" s="2">
        <f>'1、经济推算'!I49</f>
        <v>1.5183974018746234</v>
      </c>
      <c r="E52" s="2">
        <v>47</v>
      </c>
      <c r="F52" s="2">
        <v>46</v>
      </c>
      <c r="G52" s="2">
        <v>35</v>
      </c>
      <c r="H52" s="2"/>
      <c r="I52" s="2">
        <v>3</v>
      </c>
      <c r="J52" s="2"/>
      <c r="K52" s="2"/>
      <c r="L52" s="2"/>
      <c r="M52" s="2">
        <f>IF(F52=0,"",(VLOOKUP(F52,CHOOSE({1,2},$Y$31:$Y$39,$W$31:$W$39),2,TRUE)+1)*10^3+F52-(VLOOKUP(F52,$Y$31:$Y$39,1,TRUE))+1)</f>
        <v>6001</v>
      </c>
      <c r="N52" s="2">
        <f>IF(G52=0,"",(VLOOKUP(G52,CHOOSE({1,2},$Y$31:$Y$39,$W$31:$W$39),2,TRUE)+1)*10^3+G52-(VLOOKUP(G52,$Y$31:$Y$39,1,TRUE))+1+200)</f>
        <v>4208</v>
      </c>
      <c r="O52" s="2" t="str">
        <f t="shared" si="0"/>
        <v/>
      </c>
      <c r="P52" s="2">
        <f t="shared" si="1"/>
        <v>1403</v>
      </c>
      <c r="Q52" s="2" t="str">
        <f t="shared" si="2"/>
        <v/>
      </c>
      <c r="R52" s="2" t="str">
        <f t="shared" si="3"/>
        <v/>
      </c>
      <c r="S52" s="2" t="str">
        <f t="shared" si="4"/>
        <v/>
      </c>
    </row>
    <row r="53" spans="2:19">
      <c r="B53">
        <v>9</v>
      </c>
      <c r="C53" s="2">
        <f>SUM($D$6:D53)</f>
        <v>18.077295563171678</v>
      </c>
      <c r="D53" s="2">
        <f>'1、经济推算'!I50</f>
        <v>1.6713897028584002</v>
      </c>
      <c r="E53" s="2">
        <v>48</v>
      </c>
      <c r="F53" s="2">
        <v>47</v>
      </c>
      <c r="G53" s="2">
        <v>36</v>
      </c>
      <c r="H53" s="2"/>
      <c r="I53" s="2"/>
      <c r="J53" s="2">
        <v>4</v>
      </c>
      <c r="K53" s="2"/>
      <c r="L53" s="2"/>
      <c r="M53" s="2">
        <f>IF(F53=0,"",(VLOOKUP(F53,CHOOSE({1,2},$Y$31:$Y$39,$W$31:$W$39),2,TRUE)+1)*10^3+F53-(VLOOKUP(F53,$Y$31:$Y$39,1,TRUE))+1)</f>
        <v>6002</v>
      </c>
      <c r="N53" s="2">
        <f>IF(G53=0,"",(VLOOKUP(G53,CHOOSE({1,2},$Y$31:$Y$39,$W$31:$W$39),2,TRUE)+1)*10^3+G53-(VLOOKUP(G53,$Y$31:$Y$39,1,TRUE))+1+200)</f>
        <v>4209</v>
      </c>
      <c r="O53" s="2" t="str">
        <f t="shared" si="0"/>
        <v/>
      </c>
      <c r="P53" s="2" t="str">
        <f t="shared" si="1"/>
        <v/>
      </c>
      <c r="Q53" s="2">
        <f t="shared" si="2"/>
        <v>1804</v>
      </c>
      <c r="R53" s="2" t="str">
        <f t="shared" si="3"/>
        <v/>
      </c>
      <c r="S53" s="2" t="str">
        <f t="shared" si="4"/>
        <v/>
      </c>
    </row>
    <row r="54" spans="2:19">
      <c r="C54" s="2">
        <f>SUM($D$6:D54)</f>
        <v>19.917092928059262</v>
      </c>
      <c r="D54" s="2">
        <f>'1、经济推算'!I51</f>
        <v>1.8397973648875856</v>
      </c>
      <c r="E54" s="2">
        <v>49</v>
      </c>
      <c r="F54" s="2">
        <v>48</v>
      </c>
      <c r="G54" s="2">
        <v>37</v>
      </c>
      <c r="H54" s="2">
        <v>4</v>
      </c>
      <c r="I54" s="2"/>
      <c r="J54" s="2"/>
      <c r="K54" s="2"/>
      <c r="L54" s="2"/>
      <c r="M54" s="2">
        <f>IF(F54=0,"",(VLOOKUP(F54,CHOOSE({1,2},$Y$31:$Y$39,$W$31:$W$39),2,TRUE)+1)*10^3+F54-(VLOOKUP(F54,$Y$31:$Y$39,1,TRUE))+1)</f>
        <v>6003</v>
      </c>
      <c r="N54" s="2">
        <f>IF(G54=0,"",(VLOOKUP(G54,CHOOSE({1,2},$Y$31:$Y$39,$W$31:$W$39),2,TRUE)+1)*10^3+G54-(VLOOKUP(G54,$Y$31:$Y$39,1,TRUE))+1+200)</f>
        <v>5201</v>
      </c>
      <c r="O54" s="2">
        <f t="shared" si="0"/>
        <v>1304</v>
      </c>
      <c r="P54" s="2" t="str">
        <f t="shared" si="1"/>
        <v/>
      </c>
      <c r="Q54" s="2" t="str">
        <f t="shared" si="2"/>
        <v/>
      </c>
      <c r="R54" s="2" t="str">
        <f t="shared" si="3"/>
        <v/>
      </c>
      <c r="S54" s="2" t="str">
        <f t="shared" si="4"/>
        <v/>
      </c>
    </row>
    <row r="55" spans="2:19">
      <c r="C55" s="2">
        <f>SUM($D$6:D55)</f>
        <v>21.94226655337151</v>
      </c>
      <c r="D55" s="2">
        <f>'1、经济推算'!I52</f>
        <v>2.0251736253122479</v>
      </c>
      <c r="E55" s="2">
        <v>50</v>
      </c>
      <c r="F55" s="2">
        <v>49</v>
      </c>
      <c r="G55" s="2">
        <v>38</v>
      </c>
      <c r="H55" s="2"/>
      <c r="I55" s="2"/>
      <c r="J55" s="2"/>
      <c r="K55" s="2"/>
      <c r="L55" s="2"/>
      <c r="M55" s="2">
        <f>IF(F55=0,"",(VLOOKUP(F55,CHOOSE({1,2},$Y$31:$Y$39,$W$31:$W$39),2,TRUE)+1)*10^3+F55-(VLOOKUP(F55,$Y$31:$Y$39,1,TRUE))+1)</f>
        <v>6004</v>
      </c>
      <c r="N55" s="2">
        <f>IF(G55=0,"",(VLOOKUP(G55,CHOOSE({1,2},$Y$31:$Y$39,$W$31:$W$39),2,TRUE)+1)*10^3+G55-(VLOOKUP(G55,$Y$31:$Y$39,1,TRUE))+1+200)</f>
        <v>5202</v>
      </c>
      <c r="O55" s="2" t="str">
        <f t="shared" si="0"/>
        <v/>
      </c>
      <c r="P55" s="2" t="str">
        <f t="shared" si="1"/>
        <v/>
      </c>
      <c r="Q55" s="2" t="str">
        <f t="shared" si="2"/>
        <v/>
      </c>
      <c r="R55" s="2" t="str">
        <f t="shared" si="3"/>
        <v/>
      </c>
      <c r="S55" s="2" t="str">
        <f t="shared" si="4"/>
        <v/>
      </c>
    </row>
    <row r="56" spans="2:19">
      <c r="C56" s="2">
        <f>SUM($D$6:D56)</f>
        <v>24.171494777595512</v>
      </c>
      <c r="D56" s="2">
        <f>'1、经济推算'!I53</f>
        <v>2.2292282242240029</v>
      </c>
      <c r="E56" s="2">
        <v>51</v>
      </c>
      <c r="F56" s="2">
        <v>50</v>
      </c>
      <c r="G56" s="2">
        <v>39</v>
      </c>
      <c r="H56" s="2"/>
      <c r="I56" s="2"/>
      <c r="J56" s="2"/>
      <c r="K56" s="2"/>
      <c r="L56" s="2"/>
      <c r="M56" s="2">
        <f>IF(F56=0,"",(VLOOKUP(F56,CHOOSE({1,2},$Y$31:$Y$39,$W$31:$W$39),2,TRUE)+1)*10^3+F56-(VLOOKUP(F56,$Y$31:$Y$39,1,TRUE))+1)</f>
        <v>6005</v>
      </c>
      <c r="N56" s="2">
        <f>IF(G56=0,"",(VLOOKUP(G56,CHOOSE({1,2},$Y$31:$Y$39,$W$31:$W$39),2,TRUE)+1)*10^3+G56-(VLOOKUP(G56,$Y$31:$Y$39,1,TRUE))+1+200)</f>
        <v>5203</v>
      </c>
      <c r="O56" s="2" t="str">
        <f t="shared" si="0"/>
        <v/>
      </c>
      <c r="P56" s="2" t="str">
        <f t="shared" si="1"/>
        <v/>
      </c>
      <c r="Q56" s="2" t="str">
        <f t="shared" si="2"/>
        <v/>
      </c>
      <c r="R56" s="2" t="str">
        <f t="shared" si="3"/>
        <v/>
      </c>
      <c r="S56" s="2" t="str">
        <f t="shared" si="4"/>
        <v/>
      </c>
    </row>
    <row r="57" spans="2:19">
      <c r="C57" s="2">
        <f>SUM($D$6:D57)</f>
        <v>26.625337951121285</v>
      </c>
      <c r="D57" s="2">
        <f>'1、经济推算'!I54</f>
        <v>2.4538431735257733</v>
      </c>
      <c r="E57" s="2">
        <v>52</v>
      </c>
      <c r="F57" s="2">
        <v>51</v>
      </c>
      <c r="G57" s="2">
        <v>40</v>
      </c>
      <c r="H57" s="2"/>
      <c r="I57" s="2"/>
      <c r="J57" s="2"/>
      <c r="K57" s="2">
        <v>4</v>
      </c>
      <c r="L57" s="2"/>
      <c r="M57" s="2">
        <f>IF(F57=0,"",(VLOOKUP(F57,CHOOSE({1,2},$Y$31:$Y$39,$W$31:$W$39),2,TRUE)+1)*10^3+F57-(VLOOKUP(F57,$Y$31:$Y$39,1,TRUE))+1)</f>
        <v>6006</v>
      </c>
      <c r="N57" s="2">
        <f>IF(G57=0,"",(VLOOKUP(G57,CHOOSE({1,2},$Y$31:$Y$39,$W$31:$W$39),2,TRUE)+1)*10^3+G57-(VLOOKUP(G57,$Y$31:$Y$39,1,TRUE))+1+200)</f>
        <v>5204</v>
      </c>
      <c r="O57" s="2" t="str">
        <f t="shared" si="0"/>
        <v/>
      </c>
      <c r="P57" s="2" t="str">
        <f t="shared" si="1"/>
        <v/>
      </c>
      <c r="Q57" s="2" t="str">
        <f t="shared" si="2"/>
        <v/>
      </c>
      <c r="R57" s="2">
        <f t="shared" si="3"/>
        <v>1704</v>
      </c>
      <c r="S57" s="2" t="str">
        <f t="shared" si="4"/>
        <v/>
      </c>
    </row>
    <row r="58" spans="2:19">
      <c r="C58" s="2">
        <f>SUM($D$6:D58)</f>
        <v>29.326428065999529</v>
      </c>
      <c r="D58" s="2">
        <f>'1、经济推算'!I55</f>
        <v>2.7010901148782449</v>
      </c>
      <c r="E58" s="2">
        <v>53</v>
      </c>
      <c r="F58" s="2">
        <v>52</v>
      </c>
      <c r="G58" s="2">
        <v>41</v>
      </c>
      <c r="H58" s="2"/>
      <c r="I58" s="2"/>
      <c r="J58" s="2"/>
      <c r="K58" s="2"/>
      <c r="L58" s="2"/>
      <c r="M58" s="2">
        <f>IF(F58=0,"",(VLOOKUP(F58,CHOOSE({1,2},$Y$31:$Y$39,$W$31:$W$39),2,TRUE)+1)*10^3+F58-(VLOOKUP(F58,$Y$31:$Y$39,1,TRUE))+1)</f>
        <v>6007</v>
      </c>
      <c r="N58" s="2">
        <f>IF(G58=0,"",(VLOOKUP(G58,CHOOSE({1,2},$Y$31:$Y$39,$W$31:$W$39),2,TRUE)+1)*10^3+G58-(VLOOKUP(G58,$Y$31:$Y$39,1,TRUE))+1+200)</f>
        <v>5205</v>
      </c>
      <c r="O58" s="2" t="str">
        <f t="shared" si="0"/>
        <v/>
      </c>
      <c r="P58" s="2" t="str">
        <f t="shared" si="1"/>
        <v/>
      </c>
      <c r="Q58" s="2" t="str">
        <f t="shared" si="2"/>
        <v/>
      </c>
      <c r="R58" s="2" t="str">
        <f t="shared" si="3"/>
        <v/>
      </c>
      <c r="S58" s="2" t="str">
        <f t="shared" si="4"/>
        <v/>
      </c>
    </row>
    <row r="59" spans="2:19">
      <c r="C59" s="2">
        <f>SUM($D$6:D59)</f>
        <v>32.299677492616297</v>
      </c>
      <c r="D59" s="2">
        <f>'1、经济推算'!I56</f>
        <v>2.9732494266167659</v>
      </c>
      <c r="E59" s="2">
        <v>54</v>
      </c>
      <c r="F59" s="2">
        <v>53</v>
      </c>
      <c r="G59" s="2">
        <v>42</v>
      </c>
      <c r="H59" s="2"/>
      <c r="I59" s="2"/>
      <c r="J59" s="2"/>
      <c r="K59" s="2"/>
      <c r="L59" s="2"/>
      <c r="M59" s="2">
        <f>IF(F59=0,"",(VLOOKUP(F59,CHOOSE({1,2},$Y$31:$Y$39,$W$31:$W$39),2,TRUE)+1)*10^3+F59-(VLOOKUP(F59,$Y$31:$Y$39,1,TRUE))+1)</f>
        <v>6008</v>
      </c>
      <c r="N59" s="2">
        <f>IF(G59=0,"",(VLOOKUP(G59,CHOOSE({1,2},$Y$31:$Y$39,$W$31:$W$39),2,TRUE)+1)*10^3+G59-(VLOOKUP(G59,$Y$31:$Y$39,1,TRUE))+1+200)</f>
        <v>5206</v>
      </c>
      <c r="O59" s="2" t="str">
        <f t="shared" si="0"/>
        <v/>
      </c>
      <c r="P59" s="2" t="str">
        <f t="shared" si="1"/>
        <v/>
      </c>
      <c r="Q59" s="2" t="str">
        <f t="shared" si="2"/>
        <v/>
      </c>
      <c r="R59" s="2" t="str">
        <f t="shared" si="3"/>
        <v/>
      </c>
      <c r="S59" s="2" t="str">
        <f t="shared" si="4"/>
        <v/>
      </c>
    </row>
    <row r="60" spans="2:19">
      <c r="C60" s="2">
        <f>SUM($D$6:D60)</f>
        <v>35.572508748479606</v>
      </c>
      <c r="D60" s="2">
        <f>'1、经济推算'!I57</f>
        <v>3.272831255863307</v>
      </c>
      <c r="E60" s="2">
        <v>55</v>
      </c>
      <c r="F60" s="2">
        <v>54</v>
      </c>
      <c r="G60" s="2">
        <v>43</v>
      </c>
      <c r="H60" s="2"/>
      <c r="I60" s="2">
        <v>4</v>
      </c>
      <c r="J60" s="2"/>
      <c r="K60" s="2"/>
      <c r="L60" s="2">
        <v>5</v>
      </c>
      <c r="M60" s="2">
        <f>IF(F60=0,"",(VLOOKUP(F60,CHOOSE({1,2},$Y$31:$Y$39,$W$31:$W$39),2,TRUE)+1)*10^3+F60-(VLOOKUP(F60,$Y$31:$Y$39,1,TRUE))+1)</f>
        <v>6009</v>
      </c>
      <c r="N60" s="2">
        <f>IF(G60=0,"",(VLOOKUP(G60,CHOOSE({1,2},$Y$31:$Y$39,$W$31:$W$39),2,TRUE)+1)*10^3+G60-(VLOOKUP(G60,$Y$31:$Y$39,1,TRUE))+1+200)</f>
        <v>5207</v>
      </c>
      <c r="O60" s="2" t="str">
        <f t="shared" si="0"/>
        <v/>
      </c>
      <c r="P60" s="2">
        <f t="shared" si="1"/>
        <v>1404</v>
      </c>
      <c r="Q60" s="2" t="str">
        <f t="shared" si="2"/>
        <v/>
      </c>
      <c r="R60" s="2" t="str">
        <f t="shared" si="3"/>
        <v/>
      </c>
      <c r="S60" s="2">
        <f t="shared" si="4"/>
        <v>1505</v>
      </c>
    </row>
    <row r="61" spans="2:19">
      <c r="C61" s="2">
        <f>SUM($D$6:D61)</f>
        <v>39.17510741829394</v>
      </c>
      <c r="D61" s="2">
        <f>'1、经济推算'!I58</f>
        <v>3.6025986698143324</v>
      </c>
      <c r="E61" s="2">
        <v>56</v>
      </c>
      <c r="F61" s="2">
        <v>55</v>
      </c>
      <c r="G61" s="2">
        <v>44</v>
      </c>
      <c r="H61" s="2"/>
      <c r="I61" s="2"/>
      <c r="J61" s="2"/>
      <c r="K61" s="2"/>
      <c r="L61" s="2"/>
      <c r="M61" s="2">
        <f>IF(F61=0,"",(VLOOKUP(F61,CHOOSE({1,2},$Y$31:$Y$39,$W$31:$W$39),2,TRUE)+1)*10^3+F61-(VLOOKUP(F61,$Y$31:$Y$39,1,TRUE))+1)</f>
        <v>7001</v>
      </c>
      <c r="N61" s="2">
        <f>IF(G61=0,"",(VLOOKUP(G61,CHOOSE({1,2},$Y$31:$Y$39,$W$31:$W$39),2,TRUE)+1)*10^3+G61-(VLOOKUP(G61,$Y$31:$Y$39,1,TRUE))+1+200)</f>
        <v>5208</v>
      </c>
      <c r="O61" s="2" t="str">
        <f t="shared" si="0"/>
        <v/>
      </c>
      <c r="P61" s="2" t="str">
        <f t="shared" si="1"/>
        <v/>
      </c>
      <c r="Q61" s="2" t="str">
        <f t="shared" si="2"/>
        <v/>
      </c>
      <c r="R61" s="2" t="str">
        <f t="shared" si="3"/>
        <v/>
      </c>
      <c r="S61" s="2" t="str">
        <f t="shared" si="4"/>
        <v/>
      </c>
    </row>
    <row r="62" spans="2:19">
      <c r="C62" s="2">
        <f>SUM($D$6:D62)</f>
        <v>43.140700558024719</v>
      </c>
      <c r="D62" s="2">
        <f>'1、经济推算'!I59</f>
        <v>3.9655931397307782</v>
      </c>
      <c r="E62" s="2">
        <v>57</v>
      </c>
      <c r="F62" s="2">
        <v>56</v>
      </c>
      <c r="G62" s="2">
        <v>45</v>
      </c>
      <c r="H62" s="2"/>
      <c r="I62" s="2"/>
      <c r="J62" s="2"/>
      <c r="K62" s="2"/>
      <c r="L62" s="2"/>
      <c r="M62" s="2">
        <f>IF(F62=0,"",(VLOOKUP(F62,CHOOSE({1,2},$Y$31:$Y$39,$W$31:$W$39),2,TRUE)+1)*10^3+F62-(VLOOKUP(F62,$Y$31:$Y$39,1,TRUE))+1)</f>
        <v>7002</v>
      </c>
      <c r="N62" s="2">
        <f>IF(G62=0,"",(VLOOKUP(G62,CHOOSE({1,2},$Y$31:$Y$39,$W$31:$W$39),2,TRUE)+1)*10^3+G62-(VLOOKUP(G62,$Y$31:$Y$39,1,TRUE))+1+200)</f>
        <v>5209</v>
      </c>
      <c r="O62" s="2" t="str">
        <f t="shared" si="0"/>
        <v/>
      </c>
      <c r="P62" s="2" t="str">
        <f t="shared" si="1"/>
        <v/>
      </c>
      <c r="Q62" s="2" t="str">
        <f t="shared" si="2"/>
        <v/>
      </c>
      <c r="R62" s="2" t="str">
        <f t="shared" si="3"/>
        <v/>
      </c>
      <c r="S62" s="2" t="str">
        <f t="shared" si="4"/>
        <v/>
      </c>
    </row>
    <row r="63" spans="2:19">
      <c r="C63" s="2">
        <f>SUM($D$6:D63)</f>
        <v>47.505863150695717</v>
      </c>
      <c r="D63" s="2">
        <f>'1、经济推算'!I60</f>
        <v>4.3651625926709956</v>
      </c>
      <c r="E63" s="2">
        <v>58</v>
      </c>
      <c r="F63" s="2">
        <v>57</v>
      </c>
      <c r="G63" s="2">
        <v>46</v>
      </c>
      <c r="H63" s="2"/>
      <c r="I63" s="2"/>
      <c r="J63" s="2">
        <v>5</v>
      </c>
      <c r="K63" s="2"/>
      <c r="L63" s="2"/>
      <c r="M63" s="2">
        <f>IF(F63=0,"",(VLOOKUP(F63,CHOOSE({1,2},$Y$31:$Y$39,$W$31:$W$39),2,TRUE)+1)*10^3+F63-(VLOOKUP(F63,$Y$31:$Y$39,1,TRUE))+1)</f>
        <v>7003</v>
      </c>
      <c r="N63" s="2">
        <f>IF(G63=0,"",(VLOOKUP(G63,CHOOSE({1,2},$Y$31:$Y$39,$W$31:$W$39),2,TRUE)+1)*10^3+G63-(VLOOKUP(G63,$Y$31:$Y$39,1,TRUE))+1+200)</f>
        <v>6201</v>
      </c>
      <c r="O63" s="2" t="str">
        <f t="shared" si="0"/>
        <v/>
      </c>
      <c r="P63" s="2" t="str">
        <f t="shared" si="1"/>
        <v/>
      </c>
      <c r="Q63" s="2">
        <f t="shared" si="2"/>
        <v>1805</v>
      </c>
      <c r="R63" s="2" t="str">
        <f t="shared" si="3"/>
        <v/>
      </c>
      <c r="S63" s="2" t="str">
        <f t="shared" si="4"/>
        <v/>
      </c>
    </row>
    <row r="64" spans="2:19">
      <c r="C64" s="2">
        <f>SUM($D$6:D64)</f>
        <v>52.310855440385765</v>
      </c>
      <c r="D64" s="2">
        <f>'1、经济推算'!I61</f>
        <v>4.8049922896900519</v>
      </c>
      <c r="E64" s="2">
        <v>59</v>
      </c>
      <c r="F64" s="2">
        <v>58</v>
      </c>
      <c r="G64" s="2">
        <v>47</v>
      </c>
      <c r="H64" s="2">
        <v>5</v>
      </c>
      <c r="I64" s="2"/>
      <c r="J64" s="2"/>
      <c r="K64" s="2"/>
      <c r="L64" s="2"/>
      <c r="M64" s="2">
        <f>IF(F64=0,"",(VLOOKUP(F64,CHOOSE({1,2},$Y$31:$Y$39,$W$31:$W$39),2,TRUE)+1)*10^3+F64-(VLOOKUP(F64,$Y$31:$Y$39,1,TRUE))+1)</f>
        <v>7004</v>
      </c>
      <c r="N64" s="2">
        <f>IF(G64=0,"",(VLOOKUP(G64,CHOOSE({1,2},$Y$31:$Y$39,$W$31:$W$39),2,TRUE)+1)*10^3+G64-(VLOOKUP(G64,$Y$31:$Y$39,1,TRUE))+1+200)</f>
        <v>6202</v>
      </c>
      <c r="O64" s="2">
        <f t="shared" si="0"/>
        <v>1305</v>
      </c>
      <c r="P64" s="2" t="str">
        <f t="shared" si="1"/>
        <v/>
      </c>
      <c r="Q64" s="2" t="str">
        <f t="shared" si="2"/>
        <v/>
      </c>
      <c r="R64" s="2" t="str">
        <f t="shared" si="3"/>
        <v/>
      </c>
      <c r="S64" s="2" t="str">
        <f t="shared" si="4"/>
        <v/>
      </c>
    </row>
    <row r="65" spans="3:19">
      <c r="C65" s="2">
        <f>SUM($D$6:D65)</f>
        <v>57.599994255683271</v>
      </c>
      <c r="D65" s="2">
        <f>'1、经济推算'!I62</f>
        <v>5.2891388152975081</v>
      </c>
      <c r="E65" s="2">
        <v>60</v>
      </c>
      <c r="F65" s="2">
        <v>59</v>
      </c>
      <c r="G65" s="2">
        <v>48</v>
      </c>
      <c r="H65" s="2"/>
      <c r="I65" s="2"/>
      <c r="J65" s="2"/>
      <c r="K65" s="2"/>
      <c r="L65" s="2"/>
      <c r="M65" s="2">
        <f>IF(F65=0,"",(VLOOKUP(F65,CHOOSE({1,2},$Y$31:$Y$39,$W$31:$W$39),2,TRUE)+1)*10^3+F65-(VLOOKUP(F65,$Y$31:$Y$39,1,TRUE))+1)</f>
        <v>7005</v>
      </c>
      <c r="N65" s="2">
        <f>IF(G65=0,"",(VLOOKUP(G65,CHOOSE({1,2},$Y$31:$Y$39,$W$31:$W$39),2,TRUE)+1)*10^3+G65-(VLOOKUP(G65,$Y$31:$Y$39,1,TRUE))+1+200)</f>
        <v>6203</v>
      </c>
      <c r="O65" s="2" t="str">
        <f t="shared" si="0"/>
        <v/>
      </c>
      <c r="P65" s="2" t="str">
        <f t="shared" si="1"/>
        <v/>
      </c>
      <c r="Q65" s="2" t="str">
        <f t="shared" si="2"/>
        <v/>
      </c>
      <c r="R65" s="2" t="str">
        <f t="shared" si="3"/>
        <v/>
      </c>
      <c r="S65" s="2" t="str">
        <f t="shared" si="4"/>
        <v/>
      </c>
    </row>
    <row r="66" spans="3:19">
      <c r="C66" s="2">
        <f>SUM($D$6:D66)</f>
        <v>63.42206174734438</v>
      </c>
      <c r="D66" s="2">
        <f>'1、经济推算'!I63</f>
        <v>5.8220674916611079</v>
      </c>
      <c r="E66" s="2">
        <v>61</v>
      </c>
      <c r="F66" s="2">
        <v>60</v>
      </c>
      <c r="G66" s="2">
        <v>49</v>
      </c>
      <c r="H66" s="2"/>
      <c r="I66" s="2"/>
      <c r="J66" s="2"/>
      <c r="K66" s="2">
        <v>5</v>
      </c>
      <c r="L66" s="2"/>
      <c r="M66" s="2">
        <f>IF(F66=0,"",(VLOOKUP(F66,CHOOSE({1,2},$Y$31:$Y$39,$W$31:$W$39),2,TRUE)+1)*10^3+F66-(VLOOKUP(F66,$Y$31:$Y$39,1,TRUE))+1)</f>
        <v>7006</v>
      </c>
      <c r="N66" s="2">
        <f>IF(G66=0,"",(VLOOKUP(G66,CHOOSE({1,2},$Y$31:$Y$39,$W$31:$W$39),2,TRUE)+1)*10^3+G66-(VLOOKUP(G66,$Y$31:$Y$39,1,TRUE))+1+200)</f>
        <v>6204</v>
      </c>
      <c r="O66" s="2" t="str">
        <f t="shared" si="0"/>
        <v/>
      </c>
      <c r="P66" s="2" t="str">
        <f t="shared" si="1"/>
        <v/>
      </c>
      <c r="Q66" s="2" t="str">
        <f t="shared" si="2"/>
        <v/>
      </c>
      <c r="R66" s="2">
        <f t="shared" si="3"/>
        <v>1705</v>
      </c>
      <c r="S66" s="2" t="str">
        <f t="shared" si="4"/>
        <v/>
      </c>
    </row>
    <row r="67" spans="3:19">
      <c r="C67" s="2">
        <f>SUM($D$6:D67)</f>
        <v>69.830755309975032</v>
      </c>
      <c r="D67" s="2">
        <f>'1、经济推算'!I64</f>
        <v>6.4086935626306527</v>
      </c>
      <c r="E67" s="2">
        <v>62</v>
      </c>
      <c r="F67" s="2">
        <v>61</v>
      </c>
      <c r="G67" s="2">
        <v>50</v>
      </c>
      <c r="H67" s="2"/>
      <c r="I67" s="2"/>
      <c r="J67" s="2"/>
      <c r="K67" s="2"/>
      <c r="L67" s="2"/>
      <c r="M67" s="2">
        <f>IF(F67=0,"",(VLOOKUP(F67,CHOOSE({1,2},$Y$31:$Y$39,$W$31:$W$39),2,TRUE)+1)*10^3+F67-(VLOOKUP(F67,$Y$31:$Y$39,1,TRUE))+1)</f>
        <v>7007</v>
      </c>
      <c r="N67" s="2">
        <f>IF(G67=0,"",(VLOOKUP(G67,CHOOSE({1,2},$Y$31:$Y$39,$W$31:$W$39),2,TRUE)+1)*10^3+G67-(VLOOKUP(G67,$Y$31:$Y$39,1,TRUE))+1+200)</f>
        <v>6205</v>
      </c>
      <c r="O67" s="2" t="str">
        <f t="shared" si="0"/>
        <v/>
      </c>
      <c r="P67" s="2" t="str">
        <f t="shared" si="1"/>
        <v/>
      </c>
      <c r="Q67" s="2" t="str">
        <f t="shared" si="2"/>
        <v/>
      </c>
      <c r="R67" s="2" t="str">
        <f t="shared" si="3"/>
        <v/>
      </c>
      <c r="S67" s="2" t="str">
        <f t="shared" si="4"/>
        <v/>
      </c>
    </row>
    <row r="68" spans="3:19">
      <c r="C68" s="2">
        <f>SUM($D$6:D68)</f>
        <v>76.885182837400592</v>
      </c>
      <c r="D68" s="2">
        <f>'1、经济推算'!I65</f>
        <v>7.0544275274255561</v>
      </c>
      <c r="E68" s="2">
        <v>63</v>
      </c>
      <c r="F68" s="2">
        <v>62</v>
      </c>
      <c r="G68" s="2">
        <v>51</v>
      </c>
      <c r="H68" s="2"/>
      <c r="I68" s="2">
        <v>5</v>
      </c>
      <c r="J68" s="2"/>
      <c r="K68" s="2"/>
      <c r="L68" s="2"/>
      <c r="M68" s="2">
        <f>IF(F68=0,"",(VLOOKUP(F68,CHOOSE({1,2},$Y$31:$Y$39,$W$31:$W$39),2,TRUE)+1)*10^3+F68-(VLOOKUP(F68,$Y$31:$Y$39,1,TRUE))+1)</f>
        <v>7008</v>
      </c>
      <c r="N68" s="2">
        <f>IF(G68=0,"",(VLOOKUP(G68,CHOOSE({1,2},$Y$31:$Y$39,$W$31:$W$39),2,TRUE)+1)*10^3+G68-(VLOOKUP(G68,$Y$31:$Y$39,1,TRUE))+1+200)</f>
        <v>6206</v>
      </c>
      <c r="O68" s="2" t="str">
        <f t="shared" si="0"/>
        <v/>
      </c>
      <c r="P68" s="2">
        <f t="shared" si="1"/>
        <v>1405</v>
      </c>
      <c r="Q68" s="2" t="str">
        <f t="shared" si="2"/>
        <v/>
      </c>
      <c r="R68" s="2" t="str">
        <f t="shared" si="3"/>
        <v/>
      </c>
      <c r="S68" s="2" t="str">
        <f t="shared" si="4"/>
        <v/>
      </c>
    </row>
    <row r="69" spans="3:19">
      <c r="C69" s="2">
        <f>SUM($D$6:D69)</f>
        <v>84.650407879502907</v>
      </c>
      <c r="D69" s="2">
        <f>'1、经济推算'!I66</f>
        <v>7.7652250421023155</v>
      </c>
      <c r="E69" s="2">
        <v>64</v>
      </c>
      <c r="F69" s="2">
        <v>63</v>
      </c>
      <c r="G69" s="2">
        <v>52</v>
      </c>
      <c r="H69" s="2"/>
      <c r="I69" s="2"/>
      <c r="J69" s="2"/>
      <c r="K69" s="2"/>
      <c r="L69" s="2"/>
      <c r="M69" s="2">
        <f>IF(F69=0,"",(VLOOKUP(F69,CHOOSE({1,2},$Y$31:$Y$39,$W$31:$W$39),2,TRUE)+1)*10^3+F69-(VLOOKUP(F69,$Y$31:$Y$39,1,TRUE))+1)</f>
        <v>7009</v>
      </c>
      <c r="N69" s="2">
        <f>IF(G69=0,"",(VLOOKUP(G69,CHOOSE({1,2},$Y$31:$Y$39,$W$31:$W$39),2,TRUE)+1)*10^3+G69-(VLOOKUP(G69,$Y$31:$Y$39,1,TRUE))+1+200)</f>
        <v>6207</v>
      </c>
      <c r="O69" s="2" t="str">
        <f t="shared" si="0"/>
        <v/>
      </c>
      <c r="P69" s="2" t="str">
        <f t="shared" si="1"/>
        <v/>
      </c>
      <c r="Q69" s="2" t="str">
        <f t="shared" si="2"/>
        <v/>
      </c>
      <c r="R69" s="2" t="str">
        <f t="shared" si="3"/>
        <v/>
      </c>
      <c r="S69" s="2" t="str">
        <f t="shared" si="4"/>
        <v/>
      </c>
    </row>
    <row r="70" spans="3:19">
      <c r="C70" s="2">
        <f>SUM($D$6:D70)</f>
        <v>93.19804972855006</v>
      </c>
      <c r="D70" s="2">
        <f>'1、经济推算'!I67</f>
        <v>8.5476418490471513</v>
      </c>
      <c r="E70" s="2">
        <v>65</v>
      </c>
      <c r="F70" s="2">
        <v>64</v>
      </c>
      <c r="G70" s="2">
        <v>53</v>
      </c>
      <c r="H70" s="2"/>
      <c r="I70" s="2"/>
      <c r="J70" s="2"/>
      <c r="K70" s="2"/>
      <c r="L70" s="2">
        <v>6</v>
      </c>
      <c r="M70" s="2">
        <f>IF(F70=0,"",(VLOOKUP(F70,CHOOSE({1,2},$Y$31:$Y$39,$W$31:$W$39),2,TRUE)+1)*10^3+F70-(VLOOKUP(F70,$Y$31:$Y$39,1,TRUE))+1)</f>
        <v>8001</v>
      </c>
      <c r="N70" s="2">
        <f>IF(G70=0,"",(VLOOKUP(G70,CHOOSE({1,2},$Y$31:$Y$39,$W$31:$W$39),2,TRUE)+1)*10^3+G70-(VLOOKUP(G70,$Y$31:$Y$39,1,TRUE))+1+200)</f>
        <v>6208</v>
      </c>
      <c r="O70" s="2" t="str">
        <f t="shared" si="0"/>
        <v/>
      </c>
      <c r="P70" s="2" t="str">
        <f t="shared" si="1"/>
        <v/>
      </c>
      <c r="Q70" s="2" t="str">
        <f t="shared" si="2"/>
        <v/>
      </c>
      <c r="R70" s="2" t="str">
        <f t="shared" si="3"/>
        <v/>
      </c>
      <c r="S70" s="2">
        <f t="shared" si="4"/>
        <v>1506</v>
      </c>
    </row>
    <row r="71" spans="3:19">
      <c r="C71" s="2">
        <f>SUM($D$6:D71)</f>
        <v>102.60694396966296</v>
      </c>
      <c r="D71" s="2">
        <f>'1、经济推算'!I68</f>
        <v>9.4088942411129057</v>
      </c>
      <c r="E71" s="2">
        <v>66</v>
      </c>
      <c r="F71" s="2">
        <v>65</v>
      </c>
      <c r="G71" s="2">
        <v>54</v>
      </c>
      <c r="H71" s="2"/>
      <c r="I71" s="2"/>
      <c r="J71" s="2"/>
      <c r="K71" s="2"/>
      <c r="L71" s="2"/>
      <c r="M71" s="2">
        <f>IF(F71=0,"",(VLOOKUP(F71,CHOOSE({1,2},$Y$31:$Y$39,$W$31:$W$39),2,TRUE)+1)*10^3+F71-(VLOOKUP(F71,$Y$31:$Y$39,1,TRUE))+1)</f>
        <v>8002</v>
      </c>
      <c r="N71" s="2">
        <f>IF(G71=0,"",(VLOOKUP(G71,CHOOSE({1,2},$Y$31:$Y$39,$W$31:$W$39),2,TRUE)+1)*10^3+G71-(VLOOKUP(G71,$Y$31:$Y$39,1,TRUE))+1+200)</f>
        <v>6209</v>
      </c>
      <c r="O71" s="2" t="str">
        <f t="shared" ref="O71:O85" si="6">IF(H71&gt;0,1300+H71,"")</f>
        <v/>
      </c>
      <c r="P71" s="2" t="str">
        <f t="shared" ref="P71:P85" si="7">IF(I71&gt;0,1400+I71,"")</f>
        <v/>
      </c>
      <c r="Q71" s="2" t="str">
        <f t="shared" ref="Q71:Q85" si="8">IF(J71&gt;0,1800+J71,"")</f>
        <v/>
      </c>
      <c r="R71" s="2" t="str">
        <f t="shared" ref="R71:R85" si="9">IF(K71&gt;0,1700+K71,"")</f>
        <v/>
      </c>
      <c r="S71" s="2" t="str">
        <f t="shared" ref="S71:S85" si="10">IF(L71&gt;0,1500+L71,"")</f>
        <v/>
      </c>
    </row>
    <row r="72" spans="3:19">
      <c r="C72" s="2">
        <f>SUM($D$6:D72)</f>
        <v>112.96386958772875</v>
      </c>
      <c r="D72" s="2">
        <f>'1、经济推算'!I69</f>
        <v>10.356925618065782</v>
      </c>
      <c r="E72" s="2">
        <v>67</v>
      </c>
      <c r="F72" s="2">
        <v>66</v>
      </c>
      <c r="G72" s="2">
        <v>55</v>
      </c>
      <c r="H72" s="2"/>
      <c r="I72" s="2"/>
      <c r="J72" s="2"/>
      <c r="L72" s="2"/>
      <c r="M72" s="2">
        <f>IF(F72=0,"",(VLOOKUP(F72,CHOOSE({1,2},$Y$31:$Y$39,$W$31:$W$39),2,TRUE)+1)*10^3+F72-(VLOOKUP(F72,$Y$31:$Y$39,1,TRUE))+1)</f>
        <v>8003</v>
      </c>
      <c r="N72" s="2">
        <f>IF(G72=0,"",(VLOOKUP(G72,CHOOSE({1,2},$Y$31:$Y$39,$W$31:$W$39),2,TRUE)+1)*10^3+G72-(VLOOKUP(G72,$Y$31:$Y$39,1,TRUE))+1+200)</f>
        <v>7201</v>
      </c>
      <c r="O72" s="2" t="str">
        <f t="shared" si="6"/>
        <v/>
      </c>
      <c r="P72" s="2" t="str">
        <f t="shared" si="7"/>
        <v/>
      </c>
      <c r="Q72" s="2" t="str">
        <f t="shared" si="8"/>
        <v/>
      </c>
      <c r="R72" s="2" t="str">
        <f t="shared" si="9"/>
        <v/>
      </c>
      <c r="S72" s="2" t="str">
        <f t="shared" si="10"/>
        <v/>
      </c>
    </row>
    <row r="73" spans="3:19">
      <c r="C73" s="2">
        <f>SUM($D$6:D73)</f>
        <v>124.3643493369261</v>
      </c>
      <c r="D73" s="2">
        <f>'1、经济推算'!I70</f>
        <v>11.400479749197352</v>
      </c>
      <c r="E73" s="2">
        <v>68</v>
      </c>
      <c r="F73" s="2">
        <v>67</v>
      </c>
      <c r="G73" s="2">
        <v>56</v>
      </c>
      <c r="H73" s="2"/>
      <c r="I73" s="2"/>
      <c r="J73" s="2">
        <v>6</v>
      </c>
      <c r="K73" s="2"/>
      <c r="L73" s="2"/>
      <c r="M73" s="2">
        <f>IF(F73=0,"",(VLOOKUP(F73,CHOOSE({1,2},$Y$31:$Y$39,$W$31:$W$39),2,TRUE)+1)*10^3+F73-(VLOOKUP(F73,$Y$31:$Y$39,1,TRUE))+1)</f>
        <v>8004</v>
      </c>
      <c r="N73" s="2">
        <f>IF(G73=0,"",(VLOOKUP(G73,CHOOSE({1,2},$Y$31:$Y$39,$W$31:$W$39),2,TRUE)+1)*10^3+G73-(VLOOKUP(G73,$Y$31:$Y$39,1,TRUE))+1+200)</f>
        <v>7202</v>
      </c>
      <c r="O73" s="2" t="str">
        <f t="shared" si="6"/>
        <v/>
      </c>
      <c r="P73" s="2" t="str">
        <f t="shared" si="7"/>
        <v/>
      </c>
      <c r="Q73" s="2">
        <f t="shared" si="8"/>
        <v>1806</v>
      </c>
      <c r="R73" s="2" t="str">
        <f t="shared" si="9"/>
        <v/>
      </c>
      <c r="S73" s="2" t="str">
        <f t="shared" si="10"/>
        <v/>
      </c>
    </row>
    <row r="74" spans="3:19">
      <c r="C74" s="2">
        <f>SUM($D$6:D74)</f>
        <v>136.91353075473489</v>
      </c>
      <c r="D74" s="2">
        <f>'1、经济推算'!I71</f>
        <v>12.549181417808791</v>
      </c>
      <c r="E74" s="2">
        <v>69</v>
      </c>
      <c r="F74" s="2">
        <v>68</v>
      </c>
      <c r="G74" s="2">
        <v>57</v>
      </c>
      <c r="H74" s="2">
        <v>6</v>
      </c>
      <c r="I74" s="2"/>
      <c r="J74" s="2"/>
      <c r="K74" s="2"/>
      <c r="L74" s="2"/>
      <c r="M74" s="2">
        <f>IF(F74=0,"",(VLOOKUP(F74,CHOOSE({1,2},$Y$31:$Y$39,$W$31:$W$39),2,TRUE)+1)*10^3+F74-(VLOOKUP(F74,$Y$31:$Y$39,1,TRUE))+1)</f>
        <v>8005</v>
      </c>
      <c r="N74" s="2">
        <f>IF(G74=0,"",(VLOOKUP(G74,CHOOSE({1,2},$Y$31:$Y$39,$W$31:$W$39),2,TRUE)+1)*10^3+G74-(VLOOKUP(G74,$Y$31:$Y$39,1,TRUE))+1+200)</f>
        <v>7203</v>
      </c>
      <c r="O74" s="2">
        <f t="shared" si="6"/>
        <v>1306</v>
      </c>
      <c r="P74" s="2" t="str">
        <f t="shared" si="7"/>
        <v/>
      </c>
      <c r="Q74" s="2" t="str">
        <f t="shared" si="8"/>
        <v/>
      </c>
      <c r="R74" s="2" t="str">
        <f t="shared" si="9"/>
        <v/>
      </c>
      <c r="S74" s="2" t="str">
        <f t="shared" si="10"/>
        <v/>
      </c>
    </row>
    <row r="75" spans="3:19">
      <c r="C75" s="2">
        <f>SUM($D$6:D75)</f>
        <v>150.72715594609272</v>
      </c>
      <c r="D75" s="2">
        <f>'1、经济推算'!I72</f>
        <v>13.813625191357827</v>
      </c>
      <c r="E75" s="2">
        <v>70</v>
      </c>
      <c r="F75" s="2">
        <v>69</v>
      </c>
      <c r="G75" s="2">
        <v>58</v>
      </c>
      <c r="H75" s="2"/>
      <c r="I75" s="2"/>
      <c r="J75" s="2"/>
      <c r="K75" s="54">
        <v>6</v>
      </c>
      <c r="L75" s="2"/>
      <c r="M75" s="2">
        <f>IF(F75=0,"",(VLOOKUP(F75,CHOOSE({1,2},$Y$31:$Y$39,$W$31:$W$39),2,TRUE)+1)*10^3+F75-(VLOOKUP(F75,$Y$31:$Y$39,1,TRUE))+1)</f>
        <v>8006</v>
      </c>
      <c r="N75" s="2">
        <f>IF(G75=0,"",(VLOOKUP(G75,CHOOSE({1,2},$Y$31:$Y$39,$W$31:$W$39),2,TRUE)+1)*10^3+G75-(VLOOKUP(G75,$Y$31:$Y$39,1,TRUE))+1+200)</f>
        <v>7204</v>
      </c>
      <c r="O75" s="2" t="str">
        <f t="shared" si="6"/>
        <v/>
      </c>
      <c r="P75" s="2" t="str">
        <f t="shared" si="7"/>
        <v/>
      </c>
      <c r="Q75" s="2" t="str">
        <f t="shared" si="8"/>
        <v/>
      </c>
      <c r="R75" s="2">
        <f t="shared" si="9"/>
        <v>1706</v>
      </c>
      <c r="S75" s="2" t="str">
        <f t="shared" si="10"/>
        <v/>
      </c>
    </row>
    <row r="76" spans="3:19">
      <c r="C76" s="2">
        <f>SUM($D$6:D76)</f>
        <v>165.93262908209542</v>
      </c>
      <c r="D76" s="2">
        <f>'1、经济推算'!I73</f>
        <v>15.20547313600269</v>
      </c>
      <c r="E76" s="2">
        <v>71</v>
      </c>
      <c r="F76" s="2">
        <v>70</v>
      </c>
      <c r="G76" s="2">
        <v>59</v>
      </c>
      <c r="H76" s="2"/>
      <c r="I76" s="2">
        <v>6</v>
      </c>
      <c r="J76" s="2"/>
      <c r="K76" s="2"/>
      <c r="L76" s="2"/>
      <c r="M76" s="2">
        <f>IF(F76=0,"",(VLOOKUP(F76,CHOOSE({1,2},$Y$31:$Y$39,$W$31:$W$39),2,TRUE)+1)*10^3+F76-(VLOOKUP(F76,$Y$31:$Y$39,1,TRUE))+1)</f>
        <v>8007</v>
      </c>
      <c r="N76" s="2">
        <f>IF(G76=0,"",(VLOOKUP(G76,CHOOSE({1,2},$Y$31:$Y$39,$W$31:$W$39),2,TRUE)+1)*10^3+G76-(VLOOKUP(G76,$Y$31:$Y$39,1,TRUE))+1+200)</f>
        <v>7205</v>
      </c>
      <c r="O76" s="2" t="str">
        <f t="shared" si="6"/>
        <v/>
      </c>
      <c r="P76" s="2">
        <f t="shared" si="7"/>
        <v>1406</v>
      </c>
      <c r="Q76" s="2" t="str">
        <f t="shared" si="8"/>
        <v/>
      </c>
      <c r="R76" s="2" t="str">
        <f t="shared" si="9"/>
        <v/>
      </c>
      <c r="S76" s="2" t="str">
        <f t="shared" si="10"/>
        <v/>
      </c>
    </row>
    <row r="77" spans="3:19">
      <c r="C77" s="2">
        <f>SUM($D$6:D77)</f>
        <v>182.67019145886732</v>
      </c>
      <c r="D77" s="2">
        <f>'1、经济推算'!I74</f>
        <v>16.737562376771915</v>
      </c>
      <c r="E77" s="2">
        <v>72</v>
      </c>
      <c r="F77" s="2">
        <v>71</v>
      </c>
      <c r="G77" s="2">
        <v>60</v>
      </c>
      <c r="H77" s="2"/>
      <c r="I77" s="2"/>
      <c r="J77" s="2"/>
      <c r="K77" s="2"/>
      <c r="L77" s="2"/>
      <c r="M77" s="2">
        <f>IF(F77=0,"",(VLOOKUP(F77,CHOOSE({1,2},$Y$31:$Y$39,$W$31:$W$39),2,TRUE)+1)*10^3+F77-(VLOOKUP(F77,$Y$31:$Y$39,1,TRUE))+1)</f>
        <v>8008</v>
      </c>
      <c r="N77" s="2">
        <f>IF(G77=0,"",(VLOOKUP(G77,CHOOSE({1,2},$Y$31:$Y$39,$W$31:$W$39),2,TRUE)+1)*10^3+G77-(VLOOKUP(G77,$Y$31:$Y$39,1,TRUE))+1+200)</f>
        <v>7206</v>
      </c>
      <c r="O77" s="2" t="str">
        <f t="shared" si="6"/>
        <v/>
      </c>
      <c r="P77" s="2" t="str">
        <f t="shared" si="7"/>
        <v/>
      </c>
      <c r="Q77" s="2" t="str">
        <f t="shared" si="8"/>
        <v/>
      </c>
      <c r="R77" s="2" t="str">
        <f t="shared" si="9"/>
        <v/>
      </c>
      <c r="S77" s="2" t="str">
        <f t="shared" si="10"/>
        <v/>
      </c>
    </row>
    <row r="78" spans="3:19">
      <c r="C78" s="2">
        <f>SUM($D$6:D78)</f>
        <v>201.09421495426361</v>
      </c>
      <c r="D78" s="2">
        <f>'1、经济推算'!I75</f>
        <v>18.424023495396291</v>
      </c>
      <c r="E78" s="2">
        <v>73</v>
      </c>
      <c r="F78" s="2">
        <v>72</v>
      </c>
      <c r="G78" s="2">
        <v>61</v>
      </c>
      <c r="H78" s="2"/>
      <c r="I78" s="2"/>
      <c r="J78" s="2"/>
      <c r="K78" s="2"/>
      <c r="L78" s="2"/>
      <c r="M78" s="2">
        <f>IF(F78=0,"",(VLOOKUP(F78,CHOOSE({1,2},$Y$31:$Y$39,$W$31:$W$39),2,TRUE)+1)*10^3+F78-(VLOOKUP(F78,$Y$31:$Y$39,1,TRUE))+1)</f>
        <v>8009</v>
      </c>
      <c r="N78" s="2">
        <f>IF(G78=0,"",(VLOOKUP(G78,CHOOSE({1,2},$Y$31:$Y$39,$W$31:$W$39),2,TRUE)+1)*10^3+G78-(VLOOKUP(G78,$Y$31:$Y$39,1,TRUE))+1+200)</f>
        <v>7207</v>
      </c>
      <c r="O78" s="2" t="str">
        <f t="shared" si="6"/>
        <v/>
      </c>
      <c r="P78" s="2" t="str">
        <f t="shared" si="7"/>
        <v/>
      </c>
      <c r="Q78" s="2" t="str">
        <f t="shared" si="8"/>
        <v/>
      </c>
      <c r="R78" s="2" t="str">
        <f t="shared" si="9"/>
        <v/>
      </c>
      <c r="S78" s="2" t="str">
        <f t="shared" si="10"/>
        <v/>
      </c>
    </row>
    <row r="79" spans="3:19">
      <c r="C79" s="2">
        <f>SUM($D$6:D79)</f>
        <v>221.37462581205909</v>
      </c>
      <c r="D79" s="2">
        <f>'1、经济推算'!I76</f>
        <v>20.280410857795498</v>
      </c>
      <c r="E79" s="2">
        <v>74</v>
      </c>
      <c r="G79" s="2">
        <v>62</v>
      </c>
      <c r="H79" s="2"/>
      <c r="I79" s="2"/>
      <c r="J79" s="2"/>
      <c r="L79" s="2"/>
      <c r="M79" s="2" t="str">
        <f>IF(F79=0,"",(VLOOKUP(F79,CHOOSE({1,2},$Y$31:$Y$39,$W$31:$W$39),2,TRUE)+1)*10^3+F79-(VLOOKUP(F79,$Y$31:$Y$39,1,TRUE))+1)</f>
        <v/>
      </c>
      <c r="N79" s="2">
        <f>IF(G79=0,"",(VLOOKUP(G79,CHOOSE({1,2},$Y$31:$Y$39,$W$31:$W$39),2,TRUE)+1)*10^3+G79-(VLOOKUP(G79,$Y$31:$Y$39,1,TRUE))+1+200)</f>
        <v>7208</v>
      </c>
      <c r="O79" s="2" t="str">
        <f t="shared" si="6"/>
        <v/>
      </c>
      <c r="P79" s="2" t="str">
        <f t="shared" si="7"/>
        <v/>
      </c>
      <c r="Q79" s="2" t="str">
        <f t="shared" si="8"/>
        <v/>
      </c>
      <c r="R79" s="2" t="str">
        <f t="shared" si="9"/>
        <v/>
      </c>
      <c r="S79" s="2" t="str">
        <f t="shared" si="10"/>
        <v/>
      </c>
    </row>
    <row r="80" spans="3:19">
      <c r="C80" s="2">
        <f>SUM($D$6:D80)</f>
        <v>243.6984718852994</v>
      </c>
      <c r="D80" s="2">
        <f>'1、经济推算'!I77</f>
        <v>22.323846073240301</v>
      </c>
      <c r="E80" s="2">
        <v>75</v>
      </c>
      <c r="F80" s="2"/>
      <c r="G80" s="2">
        <v>63</v>
      </c>
      <c r="H80" s="2"/>
      <c r="I80" s="2"/>
      <c r="J80" s="2"/>
      <c r="K80" s="2"/>
      <c r="L80" s="2"/>
      <c r="M80" s="2" t="str">
        <f>IF(F80=0,"",(VLOOKUP(F80,CHOOSE({1,2},$Y$31:$Y$39,$W$31:$W$39),2,TRUE)+1)*10^3+F80-(VLOOKUP(F80,$Y$31:$Y$39,1,TRUE))+1)</f>
        <v/>
      </c>
      <c r="N80" s="2">
        <f>IF(G80=0,"",(VLOOKUP(G80,CHOOSE({1,2},$Y$31:$Y$39,$W$31:$W$39),2,TRUE)+1)*10^3+G80-(VLOOKUP(G80,$Y$31:$Y$39,1,TRUE))+1+200)</f>
        <v>7209</v>
      </c>
      <c r="O80" s="2" t="str">
        <f t="shared" si="6"/>
        <v/>
      </c>
      <c r="P80" s="2" t="str">
        <f t="shared" si="7"/>
        <v/>
      </c>
      <c r="Q80" s="2" t="str">
        <f t="shared" si="8"/>
        <v/>
      </c>
      <c r="R80" s="2" t="str">
        <f t="shared" si="9"/>
        <v/>
      </c>
      <c r="S80" s="2" t="str">
        <f t="shared" si="10"/>
        <v/>
      </c>
    </row>
    <row r="81" spans="3:19">
      <c r="C81" s="2">
        <f>SUM($D$6:D81)</f>
        <v>268.27164779362505</v>
      </c>
      <c r="D81" s="2">
        <f>'1、经济推算'!I78</f>
        <v>24.573175908325663</v>
      </c>
      <c r="E81" s="2">
        <v>76</v>
      </c>
      <c r="G81" s="2">
        <v>64</v>
      </c>
      <c r="H81" s="2"/>
      <c r="I81" s="2"/>
      <c r="J81" s="2"/>
      <c r="K81" s="2"/>
      <c r="L81" s="2"/>
      <c r="M81" s="2" t="str">
        <f>IF(F81=0,"",(VLOOKUP(F81,CHOOSE({1,2},$Y$31:$Y$39,$W$31:$W$39),2,TRUE)+1)*10^3+F81-(VLOOKUP(F81,$Y$31:$Y$39,1,TRUE))+1)</f>
        <v/>
      </c>
      <c r="N81" s="2">
        <f>IF(G81=0,"",(VLOOKUP(G81,CHOOSE({1,2},$Y$31:$Y$39,$W$31:$W$39),2,TRUE)+1)*10^3+G81-(VLOOKUP(G81,$Y$31:$Y$39,1,TRUE))+1+200)</f>
        <v>8201</v>
      </c>
      <c r="O81" s="2" t="str">
        <f t="shared" si="6"/>
        <v/>
      </c>
      <c r="P81" s="2" t="str">
        <f t="shared" si="7"/>
        <v/>
      </c>
      <c r="Q81" s="2" t="str">
        <f t="shared" si="8"/>
        <v/>
      </c>
      <c r="R81" s="2" t="str">
        <f t="shared" si="9"/>
        <v/>
      </c>
      <c r="S81" s="2" t="str">
        <f t="shared" si="10"/>
        <v/>
      </c>
    </row>
    <row r="82" spans="3:19">
      <c r="C82" s="2">
        <f>SUM($D$6:D82)</f>
        <v>295.320793905833</v>
      </c>
      <c r="D82" s="2">
        <f>'1、经济推算'!I79</f>
        <v>27.049146112207946</v>
      </c>
      <c r="E82" s="2">
        <v>77</v>
      </c>
      <c r="F82" s="2"/>
      <c r="G82" s="2">
        <v>65</v>
      </c>
      <c r="H82" s="2"/>
      <c r="I82" s="2"/>
      <c r="J82" s="2"/>
      <c r="K82" s="2"/>
      <c r="L82" s="2"/>
      <c r="M82" s="2" t="str">
        <f>IF(F82=0,"",(VLOOKUP(F82,CHOOSE({1,2},$Y$31:$Y$39,$W$31:$W$39),2,TRUE)+1)*10^3+F82-(VLOOKUP(F82,$Y$31:$Y$39,1,TRUE))+1)</f>
        <v/>
      </c>
      <c r="N82" s="2">
        <f>IF(G82=0,"",(VLOOKUP(G82,CHOOSE({1,2},$Y$31:$Y$39,$W$31:$W$39),2,TRUE)+1)*10^3+G82-(VLOOKUP(G82,$Y$31:$Y$39,1,TRUE))+1+200)</f>
        <v>8202</v>
      </c>
      <c r="O82" s="2" t="str">
        <f t="shared" si="6"/>
        <v/>
      </c>
      <c r="P82" s="2" t="str">
        <f t="shared" si="7"/>
        <v/>
      </c>
      <c r="Q82" s="2" t="str">
        <f t="shared" si="8"/>
        <v/>
      </c>
      <c r="R82" s="2" t="str">
        <f t="shared" si="9"/>
        <v/>
      </c>
      <c r="S82" s="2" t="str">
        <f t="shared" si="10"/>
        <v/>
      </c>
    </row>
    <row r="83" spans="3:19">
      <c r="C83" s="2">
        <f>SUM($D$6:D83)</f>
        <v>325.09538666214337</v>
      </c>
      <c r="D83" s="2">
        <f>'1、经济推算'!I80</f>
        <v>29.774592756310394</v>
      </c>
      <c r="E83" s="2">
        <v>78</v>
      </c>
      <c r="F83" s="2"/>
      <c r="G83" s="2">
        <v>66</v>
      </c>
      <c r="H83" s="2"/>
      <c r="I83" s="2"/>
      <c r="J83" s="2"/>
      <c r="K83" s="2"/>
      <c r="L83" s="2"/>
      <c r="M83" s="2" t="str">
        <f>IF(F83=0,"",(VLOOKUP(F83,CHOOSE({1,2},$Y$31:$Y$39,$W$31:$W$39),2,TRUE)+1)*10^3+F83-(VLOOKUP(F83,$Y$31:$Y$39,1,TRUE))+1)</f>
        <v/>
      </c>
      <c r="N83" s="2">
        <f>IF(G83=0,"",(VLOOKUP(G83,CHOOSE({1,2},$Y$31:$Y$39,$W$31:$W$39),2,TRUE)+1)*10^3+G83-(VLOOKUP(G83,$Y$31:$Y$39,1,TRUE))+1+200)</f>
        <v>8203</v>
      </c>
      <c r="O83" s="2" t="str">
        <f t="shared" si="6"/>
        <v/>
      </c>
      <c r="P83" s="2" t="str">
        <f t="shared" si="7"/>
        <v/>
      </c>
      <c r="Q83" s="2" t="str">
        <f t="shared" si="8"/>
        <v/>
      </c>
      <c r="R83" s="2" t="str">
        <f t="shared" si="9"/>
        <v/>
      </c>
      <c r="S83" s="2" t="str">
        <f t="shared" si="10"/>
        <v/>
      </c>
    </row>
    <row r="84" spans="3:19">
      <c r="C84" s="2">
        <f>SUM($D$6:D84)</f>
        <v>357.87003951538151</v>
      </c>
      <c r="D84" s="2">
        <f>'1、经济推算'!I81</f>
        <v>32.77465285323813</v>
      </c>
      <c r="E84" s="2">
        <v>79</v>
      </c>
      <c r="F84" s="2"/>
      <c r="G84" s="2">
        <v>67</v>
      </c>
      <c r="H84" s="2"/>
      <c r="I84" s="2"/>
      <c r="J84" s="2"/>
      <c r="K84" s="2"/>
      <c r="L84" s="2"/>
      <c r="M84" s="2" t="str">
        <f>IF(F84=0,"",(VLOOKUP(F84,CHOOSE({1,2},$Y$31:$Y$39,$W$31:$W$39),2,TRUE)+1)*10^3+F84-(VLOOKUP(F84,$Y$31:$Y$39,1,TRUE))+1)</f>
        <v/>
      </c>
      <c r="N84" s="2">
        <f>IF(G84=0,"",(VLOOKUP(G84,CHOOSE({1,2},$Y$31:$Y$39,$W$31:$W$39),2,TRUE)+1)*10^3+G84-(VLOOKUP(G84,$Y$31:$Y$39,1,TRUE))+1+200)</f>
        <v>8204</v>
      </c>
      <c r="O84" s="2" t="str">
        <f t="shared" si="6"/>
        <v/>
      </c>
      <c r="P84" s="2" t="str">
        <f t="shared" si="7"/>
        <v/>
      </c>
      <c r="Q84" s="2" t="str">
        <f t="shared" si="8"/>
        <v/>
      </c>
      <c r="R84" s="2" t="str">
        <f t="shared" si="9"/>
        <v/>
      </c>
      <c r="S84" s="2" t="str">
        <f t="shared" si="10"/>
        <v/>
      </c>
    </row>
    <row r="85" spans="3:19">
      <c r="C85" s="2">
        <f>SUM($D$6:D85)</f>
        <v>393.94703571283947</v>
      </c>
      <c r="D85" s="2">
        <f>'1、经济推算'!I82</f>
        <v>36.076996197457966</v>
      </c>
      <c r="E85" s="2">
        <v>80</v>
      </c>
      <c r="F85" s="2"/>
      <c r="G85" s="2">
        <v>68</v>
      </c>
      <c r="H85" s="2"/>
      <c r="I85" s="2"/>
      <c r="J85" s="2"/>
      <c r="K85" s="2"/>
      <c r="L85" s="2"/>
      <c r="M85" s="2" t="str">
        <f>IF(F85=0,"",(VLOOKUP(F85,CHOOSE({1,2},$Y$31:$Y$39,$W$31:$W$39),2,TRUE)+1)*10^3+F85-(VLOOKUP(F85,$Y$31:$Y$39,1,TRUE))+1)</f>
        <v/>
      </c>
      <c r="N85" s="2">
        <f>IF(G85=0,"",(VLOOKUP(G85,CHOOSE({1,2},$Y$31:$Y$39,$W$31:$W$39),2,TRUE)+1)*10^3+G85-(VLOOKUP(G85,$Y$31:$Y$39,1,TRUE))+1+200)</f>
        <v>8205</v>
      </c>
      <c r="O85" s="2" t="str">
        <f t="shared" si="6"/>
        <v/>
      </c>
      <c r="P85" s="2" t="str">
        <f t="shared" si="7"/>
        <v/>
      </c>
      <c r="Q85" s="2" t="str">
        <f t="shared" si="8"/>
        <v/>
      </c>
      <c r="R85" s="2" t="str">
        <f t="shared" si="9"/>
        <v/>
      </c>
      <c r="S85" s="2" t="str">
        <f t="shared" si="10"/>
        <v/>
      </c>
    </row>
    <row r="86" spans="3:19">
      <c r="C86" s="2">
        <f>SUM($D$6:D86)</f>
        <v>433.65911627886766</v>
      </c>
      <c r="D86" s="2">
        <f>'1、经济推算'!I83</f>
        <v>39.712080566028185</v>
      </c>
      <c r="E86" s="2">
        <v>81</v>
      </c>
      <c r="G86" s="2">
        <v>69</v>
      </c>
      <c r="N86" s="2">
        <f>IF(G86=0,"",(VLOOKUP(G86,CHOOSE({1,2},$Y$31:$Y$39,$W$31:$W$39),2,TRUE)+1)*10^3+G86-(VLOOKUP(G86,$Y$31:$Y$39,1,TRUE))+1+200)</f>
        <v>8206</v>
      </c>
    </row>
    <row r="87" spans="3:19">
      <c r="C87" s="2">
        <f>SUM($D$6:D87)</f>
        <v>477.37254891198234</v>
      </c>
      <c r="D87" s="2">
        <f>'1、经济推算'!I84</f>
        <v>43.713432633114657</v>
      </c>
      <c r="E87" s="2">
        <v>82</v>
      </c>
      <c r="G87" s="2">
        <v>70</v>
      </c>
      <c r="N87" s="2">
        <f>IF(G87=0,"",(VLOOKUP(G87,CHOOSE({1,2},$Y$31:$Y$39,$W$31:$W$39),2,TRUE)+1)*10^3+G87-(VLOOKUP(G87,$Y$31:$Y$39,1,TRUE))+1+200)</f>
        <v>8207</v>
      </c>
    </row>
    <row r="88" spans="3:19">
      <c r="C88" s="2">
        <f>SUM($D$6:D88)</f>
        <v>525.49050610117354</v>
      </c>
      <c r="D88" s="2">
        <f>'1、经济推算'!I85</f>
        <v>48.117957189191152</v>
      </c>
      <c r="E88" s="2">
        <v>83</v>
      </c>
      <c r="G88" s="2">
        <v>71</v>
      </c>
      <c r="N88" s="2">
        <f>IF(G88=0,"",(VLOOKUP(G88,CHOOSE({1,2},$Y$31:$Y$39,$W$31:$W$39),2,TRUE)+1)*10^3+G88-(VLOOKUP(G88,$Y$31:$Y$39,1,TRUE))+1+200)</f>
        <v>8208</v>
      </c>
    </row>
    <row r="89" spans="3:19">
      <c r="C89" s="2">
        <f>SUM($D$6:D89)</f>
        <v>578.45678361804994</v>
      </c>
      <c r="D89" s="2">
        <f>'1、经济推算'!I86</f>
        <v>52.96627751687641</v>
      </c>
      <c r="E89" s="2">
        <v>84</v>
      </c>
      <c r="G89" s="2">
        <v>72</v>
      </c>
      <c r="N89" s="2">
        <f>IF(G89=0,"",(VLOOKUP(G89,CHOOSE({1,2},$Y$31:$Y$39,$W$31:$W$39),2,TRUE)+1)*10^3+G89-(VLOOKUP(G89,$Y$31:$Y$39,1,TRUE))+1+200)</f>
        <v>8209</v>
      </c>
    </row>
  </sheetData>
  <mergeCells count="1">
    <mergeCell ref="W17:AD17"/>
  </mergeCells>
  <phoneticPr fontId="1" type="noConversion"/>
  <conditionalFormatting sqref="D6:E89">
    <cfRule type="expression" dxfId="39" priority="10">
      <formula>MOD($E6,10)=0</formula>
    </cfRule>
  </conditionalFormatting>
  <conditionalFormatting sqref="C7:C89">
    <cfRule type="expression" dxfId="38" priority="9">
      <formula>MOD($E7,10)=0</formula>
    </cfRule>
  </conditionalFormatting>
  <conditionalFormatting sqref="F80 F82:F85 F6:K9 G10:K19 F10:F78 H20:K85 G20:G89">
    <cfRule type="cellIs" dxfId="37" priority="1" operator="greater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99"/>
  <sheetViews>
    <sheetView workbookViewId="0">
      <selection activeCell="G37" sqref="G37"/>
    </sheetView>
  </sheetViews>
  <sheetFormatPr defaultRowHeight="13.5"/>
  <cols>
    <col min="1" max="1" width="18.125" customWidth="1"/>
    <col min="2" max="2" width="16.125" bestFit="1" customWidth="1"/>
    <col min="4" max="4" width="12" customWidth="1"/>
    <col min="5" max="5" width="14.25" customWidth="1"/>
    <col min="6" max="6" width="12.125" customWidth="1"/>
    <col min="7" max="7" width="11.625" bestFit="1" customWidth="1"/>
    <col min="8" max="8" width="20.75" customWidth="1"/>
    <col min="9" max="9" width="12.375" customWidth="1"/>
    <col min="10" max="10" width="9.75" customWidth="1"/>
    <col min="11" max="11" width="9.5" customWidth="1"/>
    <col min="12" max="12" width="14.25" customWidth="1"/>
    <col min="13" max="13" width="12.75" bestFit="1" customWidth="1"/>
    <col min="15" max="15" width="9.25" customWidth="1"/>
    <col min="16" max="16" width="11.25" customWidth="1"/>
  </cols>
  <sheetData>
    <row r="1" spans="1:21">
      <c r="A1" s="2" t="s">
        <v>1110</v>
      </c>
      <c r="B1" s="9">
        <f>'[4]消耗&amp;价值&amp;分析'!$A$86</f>
        <v>60615598</v>
      </c>
      <c r="F1" t="s">
        <v>168</v>
      </c>
      <c r="H1" t="s">
        <v>177</v>
      </c>
      <c r="I1" s="36"/>
      <c r="J1" s="36" t="s">
        <v>166</v>
      </c>
      <c r="K1" s="36" t="s">
        <v>167</v>
      </c>
      <c r="L1" s="36" t="s">
        <v>511</v>
      </c>
      <c r="M1" s="80" t="s">
        <v>175</v>
      </c>
      <c r="N1" s="81" t="s">
        <v>176</v>
      </c>
      <c r="P1" t="s">
        <v>169</v>
      </c>
      <c r="Q1">
        <f>6*31</f>
        <v>186</v>
      </c>
      <c r="R1" t="s">
        <v>170</v>
      </c>
    </row>
    <row r="2" spans="1:21">
      <c r="A2" s="2" t="s">
        <v>1109</v>
      </c>
      <c r="B2" s="9">
        <f>'[5]价值&amp;消耗'!$O$170</f>
        <v>57670416.24000001</v>
      </c>
      <c r="D2" t="s">
        <v>158</v>
      </c>
      <c r="E2" s="66">
        <f>SUM(B1:B2)</f>
        <v>118286014.24000001</v>
      </c>
      <c r="F2" s="58">
        <v>0.7</v>
      </c>
      <c r="H2" s="2">
        <v>2</v>
      </c>
      <c r="I2" s="36" t="s">
        <v>159</v>
      </c>
      <c r="J2" s="3">
        <v>65</v>
      </c>
      <c r="K2" s="37">
        <f>J2/SUM($J$2:$J$15)</f>
        <v>0.1790633608815427</v>
      </c>
      <c r="L2" s="56">
        <f>ROUND($F$3*K2,0)</f>
        <v>14826484</v>
      </c>
      <c r="M2" s="82">
        <f>L2/$Q$1</f>
        <v>79712.279569892475</v>
      </c>
      <c r="N2" s="82">
        <f>M2/H2</f>
        <v>39856.139784946237</v>
      </c>
    </row>
    <row r="3" spans="1:21">
      <c r="F3" s="67">
        <f>F2*E2</f>
        <v>82800209.967999995</v>
      </c>
      <c r="G3">
        <f>F3/186</f>
        <v>445162.41918279568</v>
      </c>
      <c r="H3" s="2"/>
      <c r="I3" s="36" t="s">
        <v>160</v>
      </c>
      <c r="J3" s="3">
        <v>3</v>
      </c>
      <c r="K3" s="37">
        <f t="shared" ref="K3:K15" si="0">J3/SUM($J$2:$J$15)</f>
        <v>8.2644628099173556E-3</v>
      </c>
      <c r="L3" s="56">
        <f t="shared" ref="L3:L14" si="1">ROUND($F$3*K3,0)</f>
        <v>684299</v>
      </c>
      <c r="M3" s="82"/>
      <c r="N3" s="82"/>
    </row>
    <row r="4" spans="1:21">
      <c r="E4" s="59" t="s">
        <v>478</v>
      </c>
      <c r="F4" s="60">
        <v>0.2</v>
      </c>
      <c r="H4" s="2">
        <v>1</v>
      </c>
      <c r="I4" s="36" t="s">
        <v>164</v>
      </c>
      <c r="J4" s="3">
        <v>120</v>
      </c>
      <c r="K4" s="37">
        <f t="shared" si="0"/>
        <v>0.33057851239669422</v>
      </c>
      <c r="L4" s="56">
        <f t="shared" si="1"/>
        <v>27371970</v>
      </c>
      <c r="M4" s="82">
        <f>L4/$Q$1</f>
        <v>147161.12903225806</v>
      </c>
      <c r="N4" s="82"/>
      <c r="P4" s="2" t="s">
        <v>134</v>
      </c>
      <c r="Q4" s="2" t="s">
        <v>171</v>
      </c>
      <c r="R4" s="2" t="s">
        <v>178</v>
      </c>
      <c r="S4" s="2" t="s">
        <v>476</v>
      </c>
      <c r="T4" s="54" t="s">
        <v>643</v>
      </c>
      <c r="U4" s="54" t="s">
        <v>1338</v>
      </c>
    </row>
    <row r="5" spans="1:21">
      <c r="D5" s="2"/>
      <c r="E5" s="2"/>
      <c r="F5" s="2">
        <f>F4*E2</f>
        <v>23657202.848000005</v>
      </c>
      <c r="H5" s="2">
        <v>8</v>
      </c>
      <c r="I5" s="36" t="s">
        <v>161</v>
      </c>
      <c r="J5" s="3">
        <v>30</v>
      </c>
      <c r="K5" s="37">
        <f t="shared" si="0"/>
        <v>8.2644628099173556E-2</v>
      </c>
      <c r="L5" s="56">
        <f t="shared" si="1"/>
        <v>6842993</v>
      </c>
      <c r="M5" s="82">
        <f>L5/Q1</f>
        <v>36790.284946236556</v>
      </c>
      <c r="N5" s="82"/>
      <c r="O5" s="23" t="s">
        <v>173</v>
      </c>
      <c r="P5" s="2">
        <f>'0、经济设定'!C32</f>
        <v>150</v>
      </c>
      <c r="Q5" s="2">
        <f>'0、经济设定'!C33</f>
        <v>14</v>
      </c>
      <c r="R5" s="2">
        <f>'0、经济设定'!C34</f>
        <v>168</v>
      </c>
      <c r="S5" s="2">
        <v>10</v>
      </c>
      <c r="T5" s="54">
        <v>15</v>
      </c>
      <c r="U5">
        <v>72</v>
      </c>
    </row>
    <row r="6" spans="1:21">
      <c r="D6" s="2" t="s">
        <v>479</v>
      </c>
      <c r="E6" s="2">
        <v>10</v>
      </c>
      <c r="F6" s="55">
        <f>F5/E6/Q1</f>
        <v>12718.926262365594</v>
      </c>
      <c r="H6" s="2"/>
      <c r="I6" s="36" t="s">
        <v>162</v>
      </c>
      <c r="J6" s="3">
        <v>0</v>
      </c>
      <c r="K6" s="37">
        <f t="shared" si="0"/>
        <v>0</v>
      </c>
      <c r="L6" s="56">
        <f t="shared" si="1"/>
        <v>0</v>
      </c>
      <c r="M6" s="82">
        <f>L6/Q1</f>
        <v>0</v>
      </c>
      <c r="N6" s="82"/>
      <c r="O6" s="23" t="s">
        <v>174</v>
      </c>
      <c r="P6" s="40">
        <f>L3/P5</f>
        <v>4561.9933333333329</v>
      </c>
      <c r="Q6" s="40">
        <f>M12/Q5</f>
        <v>1751.918202764977</v>
      </c>
      <c r="R6" s="40">
        <f>L7/R5</f>
        <v>2715.4761904761904</v>
      </c>
      <c r="S6" s="2">
        <f>M6/S5</f>
        <v>0</v>
      </c>
      <c r="T6">
        <f>M4/T5</f>
        <v>9810.7419354838712</v>
      </c>
    </row>
    <row r="7" spans="1:21">
      <c r="D7" t="s">
        <v>508</v>
      </c>
      <c r="F7">
        <f>F6*'0、经济设定'!E19</f>
        <v>25.437852524731188</v>
      </c>
      <c r="H7" s="2"/>
      <c r="I7" s="36" t="s">
        <v>163</v>
      </c>
      <c r="J7" s="3">
        <v>2</v>
      </c>
      <c r="K7" s="37">
        <f t="shared" si="0"/>
        <v>5.5096418732782371E-3</v>
      </c>
      <c r="L7" s="56">
        <f t="shared" si="1"/>
        <v>456200</v>
      </c>
      <c r="M7" s="82"/>
      <c r="N7" s="82">
        <f>L7/U5</f>
        <v>6336.1111111111113</v>
      </c>
    </row>
    <row r="8" spans="1:21">
      <c r="H8" s="2">
        <v>10</v>
      </c>
      <c r="I8" s="36" t="s">
        <v>1333</v>
      </c>
      <c r="J8" s="3">
        <v>20</v>
      </c>
      <c r="K8" s="37">
        <f t="shared" si="0"/>
        <v>5.5096418732782371E-2</v>
      </c>
      <c r="L8" s="56">
        <f t="shared" si="1"/>
        <v>4561995</v>
      </c>
      <c r="M8" s="82">
        <f t="shared" ref="M8:M15" si="2">L8/$Q$1</f>
        <v>24526.854838709678</v>
      </c>
      <c r="N8" s="82">
        <f>M8/体力消耗运算!AB20</f>
        <v>53.319249649368864</v>
      </c>
      <c r="O8">
        <v>50</v>
      </c>
    </row>
    <row r="9" spans="1:21">
      <c r="D9" t="s">
        <v>644</v>
      </c>
      <c r="E9" s="66">
        <f>E2*F9+L13</f>
        <v>23233589.424000002</v>
      </c>
      <c r="F9" s="83">
        <v>0.1</v>
      </c>
      <c r="H9" s="2"/>
      <c r="I9" s="36" t="s">
        <v>1332</v>
      </c>
      <c r="J9" s="3">
        <v>0</v>
      </c>
      <c r="K9" s="37">
        <f t="shared" si="0"/>
        <v>0</v>
      </c>
      <c r="L9" s="56">
        <f t="shared" si="1"/>
        <v>0</v>
      </c>
      <c r="M9" s="82">
        <f t="shared" si="2"/>
        <v>0</v>
      </c>
      <c r="N9" s="82"/>
    </row>
    <row r="10" spans="1:21">
      <c r="H10" s="2"/>
      <c r="I10" s="36" t="s">
        <v>642</v>
      </c>
      <c r="J10" s="3">
        <v>0</v>
      </c>
      <c r="K10" s="37">
        <f t="shared" si="0"/>
        <v>0</v>
      </c>
      <c r="L10" s="56">
        <f t="shared" si="1"/>
        <v>0</v>
      </c>
      <c r="M10" s="82">
        <f t="shared" si="2"/>
        <v>0</v>
      </c>
      <c r="N10" s="82"/>
    </row>
    <row r="11" spans="1:21">
      <c r="H11" s="2">
        <v>4</v>
      </c>
      <c r="I11" s="36" t="s">
        <v>641</v>
      </c>
      <c r="J11" s="3">
        <v>8</v>
      </c>
      <c r="K11" s="37">
        <f t="shared" si="0"/>
        <v>2.2038567493112948E-2</v>
      </c>
      <c r="L11" s="56">
        <f>ROUND($F$3*K11,0)</f>
        <v>1824798</v>
      </c>
      <c r="M11" s="82">
        <f t="shared" si="2"/>
        <v>9810.7419354838712</v>
      </c>
      <c r="N11" s="82">
        <f>M11/H11</f>
        <v>2452.6854838709678</v>
      </c>
    </row>
    <row r="12" spans="1:21">
      <c r="H12" s="2"/>
      <c r="I12" s="36" t="s">
        <v>171</v>
      </c>
      <c r="J12" s="3">
        <v>20</v>
      </c>
      <c r="K12" s="37">
        <f t="shared" si="0"/>
        <v>5.5096418732782371E-2</v>
      </c>
      <c r="L12" s="56">
        <f t="shared" si="1"/>
        <v>4561995</v>
      </c>
      <c r="M12" s="82">
        <f t="shared" si="2"/>
        <v>24526.854838709678</v>
      </c>
      <c r="N12" s="82"/>
    </row>
    <row r="13" spans="1:21">
      <c r="H13" s="2"/>
      <c r="I13" s="68" t="s">
        <v>509</v>
      </c>
      <c r="J13" s="3">
        <v>50</v>
      </c>
      <c r="K13" s="37">
        <f t="shared" si="0"/>
        <v>0.13774104683195593</v>
      </c>
      <c r="L13" s="56">
        <f t="shared" si="1"/>
        <v>11404988</v>
      </c>
      <c r="M13" s="82">
        <f t="shared" si="2"/>
        <v>61317.139784946237</v>
      </c>
      <c r="N13" s="82"/>
    </row>
    <row r="14" spans="1:21">
      <c r="H14" s="2">
        <v>2</v>
      </c>
      <c r="I14" s="36" t="s">
        <v>510</v>
      </c>
      <c r="J14" s="3">
        <v>15</v>
      </c>
      <c r="K14" s="37">
        <f t="shared" si="0"/>
        <v>4.1322314049586778E-2</v>
      </c>
      <c r="L14" s="56">
        <f t="shared" si="1"/>
        <v>3421496</v>
      </c>
      <c r="M14" s="82">
        <f t="shared" si="2"/>
        <v>18395.139784946237</v>
      </c>
      <c r="N14" s="82">
        <f>M14/H14</f>
        <v>9197.5698924731187</v>
      </c>
    </row>
    <row r="15" spans="1:21">
      <c r="H15" s="2"/>
      <c r="I15" s="36" t="s">
        <v>942</v>
      </c>
      <c r="J15" s="3">
        <v>30</v>
      </c>
      <c r="K15" s="37">
        <f t="shared" si="0"/>
        <v>8.2644628099173556E-2</v>
      </c>
      <c r="L15" s="56">
        <f>ROUND($F$3*K15,0)</f>
        <v>6842993</v>
      </c>
      <c r="M15" s="82">
        <f t="shared" si="2"/>
        <v>36790.284946236556</v>
      </c>
      <c r="N15" s="82"/>
    </row>
    <row r="16" spans="1:21">
      <c r="M16" s="57">
        <f>SUM(M2:M14)</f>
        <v>402240.42473118281</v>
      </c>
    </row>
    <row r="18" spans="2:18">
      <c r="C18" s="172" t="s">
        <v>172</v>
      </c>
      <c r="D18" s="172"/>
      <c r="E18" s="172"/>
      <c r="F18" s="172"/>
    </row>
    <row r="19" spans="2:18">
      <c r="B19" s="2" t="s">
        <v>477</v>
      </c>
      <c r="C19" s="36" t="s">
        <v>153</v>
      </c>
      <c r="D19" s="36" t="s">
        <v>154</v>
      </c>
      <c r="E19" s="36" t="s">
        <v>155</v>
      </c>
      <c r="F19" s="36" t="s">
        <v>156</v>
      </c>
      <c r="I19" s="27" t="s">
        <v>17</v>
      </c>
      <c r="J19" s="16" t="s">
        <v>54</v>
      </c>
      <c r="K19" s="28" t="s">
        <v>18</v>
      </c>
      <c r="L19" s="12" t="s">
        <v>56</v>
      </c>
      <c r="M19" s="12" t="s">
        <v>49</v>
      </c>
      <c r="N19" s="12" t="s">
        <v>51</v>
      </c>
      <c r="O19" s="12" t="s">
        <v>52</v>
      </c>
      <c r="P19" s="12" t="s">
        <v>89</v>
      </c>
      <c r="Q19" s="12" t="s">
        <v>53</v>
      </c>
      <c r="R19" s="12" t="s">
        <v>50</v>
      </c>
    </row>
    <row r="20" spans="2:18">
      <c r="B20" s="2"/>
      <c r="C20" s="2">
        <v>1</v>
      </c>
      <c r="D20" s="9">
        <f>'[4]消耗&amp;价值&amp;分析'!B7</f>
        <v>0</v>
      </c>
      <c r="E20" s="9" t="str">
        <f>IFERROR(VLOOKUP(C20,'[5]价值&amp;消耗'!$I$4:$J$105,2,FALSE),"")</f>
        <v/>
      </c>
      <c r="F20" s="9" t="str">
        <f>IFERROR(VLOOKUP(C20,'[5]价值&amp;消耗'!$W$4:$X$105,2,FALSE),"")</f>
        <v/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>
      <c r="B21" s="2">
        <f>副本规划!C7</f>
        <v>3.8540493015981322E-2</v>
      </c>
      <c r="C21" s="2">
        <v>2</v>
      </c>
      <c r="D21" s="9">
        <f>'[4]消耗&amp;价值&amp;分析'!B8</f>
        <v>0</v>
      </c>
      <c r="E21" s="9" t="str">
        <f>IFERROR(VLOOKUP(C21,'[5]价值&amp;消耗'!$I$4:$J$105,2,FALSE),"")</f>
        <v/>
      </c>
      <c r="F21" s="9" t="str">
        <f>IFERROR(VLOOKUP(C21,'[5]价值&amp;消耗'!$W$4:$X$105,2,FALSE),"")</f>
        <v/>
      </c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>
      <c r="B22" s="2">
        <f>副本规划!C8</f>
        <v>6.0769781418037738E-2</v>
      </c>
      <c r="C22" s="2">
        <v>3</v>
      </c>
      <c r="D22" s="9">
        <f>'[4]消耗&amp;价值&amp;分析'!B9</f>
        <v>0</v>
      </c>
      <c r="E22" s="9" t="str">
        <f>IFERROR(VLOOKUP(C22,'[5]价值&amp;消耗'!$I$4:$J$105,2,FALSE),"")</f>
        <v/>
      </c>
      <c r="F22" s="9" t="str">
        <f>IFERROR(VLOOKUP(C22,'[5]价值&amp;消耗'!$W$4:$X$105,2,FALSE),"")</f>
        <v/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>
      <c r="B23" s="2">
        <f>副本规划!C9</f>
        <v>8.5238872112737563E-2</v>
      </c>
      <c r="C23" s="2">
        <v>4</v>
      </c>
      <c r="D23" s="9">
        <f>'[4]消耗&amp;价值&amp;分析'!B10</f>
        <v>0</v>
      </c>
      <c r="E23" s="9" t="str">
        <f>IFERROR(VLOOKUP(C23,'[5]价值&amp;消耗'!$I$4:$J$105,2,FALSE),"")</f>
        <v/>
      </c>
      <c r="F23" s="9" t="str">
        <f>IFERROR(VLOOKUP(C23,'[5]价值&amp;消耗'!$W$4:$X$105,2,FALSE),"")</f>
        <v/>
      </c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>
      <c r="B24" s="2">
        <f>副本规划!C10</f>
        <v>0.11217344548261912</v>
      </c>
      <c r="C24" s="2">
        <v>5</v>
      </c>
      <c r="D24" s="9">
        <f>'[4]消耗&amp;价值&amp;分析'!B11</f>
        <v>0</v>
      </c>
      <c r="E24" s="9">
        <f>IFERROR(VLOOKUP(C24,'[5]价值&amp;消耗'!$I$4:$J$105,2,FALSE),"")</f>
        <v>3459.6000000000004</v>
      </c>
      <c r="F24" s="9">
        <f>IFERROR(VLOOKUP(C24,'[5]价值&amp;消耗'!$W$4:$X$105,2,FALSE),"")</f>
        <v>0</v>
      </c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>
      <c r="B25" s="2">
        <f>副本规划!C11</f>
        <v>0.1418219212543271</v>
      </c>
      <c r="C25" s="2">
        <v>6</v>
      </c>
      <c r="D25" s="9">
        <f>'[4]消耗&amp;价值&amp;分析'!B12</f>
        <v>0</v>
      </c>
      <c r="E25" s="9" t="str">
        <f>IFERROR(VLOOKUP(C25,'[5]价值&amp;消耗'!$I$4:$J$105,2,FALSE),"")</f>
        <v/>
      </c>
      <c r="F25" s="9" t="str">
        <f>IFERROR(VLOOKUP(C25,'[5]价值&amp;消耗'!$W$4:$X$105,2,FALSE),"")</f>
        <v/>
      </c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>
      <c r="B26" s="2">
        <f>副本规划!C12</f>
        <v>0.17445774969364053</v>
      </c>
      <c r="C26" s="2">
        <v>7</v>
      </c>
      <c r="D26" s="9">
        <f>'[4]消耗&amp;价值&amp;分析'!B13</f>
        <v>1548</v>
      </c>
      <c r="E26" s="9" t="str">
        <f>IFERROR(VLOOKUP(C26,'[5]价值&amp;消耗'!$I$4:$J$105,2,FALSE),"")</f>
        <v/>
      </c>
      <c r="F26" s="9" t="str">
        <f>IFERROR(VLOOKUP(C26,'[5]价值&amp;消耗'!$W$4:$X$105,2,FALSE),"")</f>
        <v/>
      </c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>
      <c r="B27" s="2">
        <f>副本规划!C13</f>
        <v>0.21038193365916727</v>
      </c>
      <c r="C27" s="2">
        <v>8</v>
      </c>
      <c r="D27" s="9">
        <f>'[4]消耗&amp;价值&amp;分析'!B14</f>
        <v>3296</v>
      </c>
      <c r="E27" s="9" t="str">
        <f>IFERROR(VLOOKUP(C27,'[5]价值&amp;消耗'!$I$4:$J$105,2,FALSE),"")</f>
        <v/>
      </c>
      <c r="F27" s="9" t="str">
        <f>IFERROR(VLOOKUP(C27,'[5]价值&amp;消耗'!$W$4:$X$105,2,FALSE),"")</f>
        <v/>
      </c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>
      <c r="B28" s="2">
        <f>副本规划!C14</f>
        <v>0.24992580477580797</v>
      </c>
      <c r="C28" s="2">
        <v>9</v>
      </c>
      <c r="D28" s="9">
        <f>'[4]消耗&amp;价值&amp;分析'!B15</f>
        <v>4472</v>
      </c>
      <c r="E28" s="9" t="str">
        <f>IFERROR(VLOOKUP(C28,'[5]价值&amp;消耗'!$I$4:$J$105,2,FALSE),"")</f>
        <v/>
      </c>
      <c r="F28" s="9" t="str">
        <f>IFERROR(VLOOKUP(C28,'[5]价值&amp;消耗'!$W$4:$X$105,2,FALSE),"")</f>
        <v/>
      </c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>
      <c r="B29" s="2">
        <f>副本规划!C15</f>
        <v>0.29345407933285994</v>
      </c>
      <c r="C29" s="2">
        <v>10</v>
      </c>
      <c r="D29" s="9">
        <f>'[4]消耗&amp;价值&amp;分析'!B16</f>
        <v>8424</v>
      </c>
      <c r="E29" s="9" t="str">
        <f>IFERROR(VLOOKUP(C29,'[5]价值&amp;消耗'!$I$4:$J$105,2,FALSE),"")</f>
        <v/>
      </c>
      <c r="F29" s="9" t="str">
        <f>IFERROR(VLOOKUP(C29,'[5]价值&amp;消耗'!$W$4:$X$105,2,FALSE),"")</f>
        <v/>
      </c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>
      <c r="B30" s="2">
        <f>副本规划!C16</f>
        <v>0.34136822209155337</v>
      </c>
      <c r="C30" s="2">
        <v>11</v>
      </c>
      <c r="D30" s="9">
        <f>'[4]消耗&amp;价值&amp;分析'!B17</f>
        <v>11724</v>
      </c>
      <c r="E30" s="9" t="str">
        <f>IFERROR(VLOOKUP(C30,'[5]价值&amp;消耗'!$I$4:$J$105,2,FALSE),"")</f>
        <v/>
      </c>
      <c r="F30" s="9" t="str">
        <f>IFERROR(VLOOKUP(C30,'[5]价值&amp;消耗'!$W$4:$X$105,2,FALSE),"")</f>
        <v/>
      </c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>
      <c r="B31" s="2">
        <f>副本规划!C17</f>
        <v>0.39411014902668667</v>
      </c>
      <c r="C31" s="2">
        <v>12</v>
      </c>
      <c r="D31" s="9">
        <f>'[4]消耗&amp;价值&amp;分析'!B18</f>
        <v>14740</v>
      </c>
      <c r="E31" s="9" t="str">
        <f>IFERROR(VLOOKUP(C31,'[5]价值&amp;消耗'!$I$4:$J$105,2,FALSE),"")</f>
        <v/>
      </c>
      <c r="F31" s="9" t="str">
        <f>IFERROR(VLOOKUP(C31,'[5]价值&amp;消耗'!$W$4:$X$105,2,FALSE),"")</f>
        <v/>
      </c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>
      <c r="B32" s="2">
        <f>副本规划!C18</f>
        <v>0.45216630315304279</v>
      </c>
      <c r="C32" s="2">
        <v>13</v>
      </c>
      <c r="D32" s="9">
        <f>'[4]消耗&amp;价值&amp;分析'!B19</f>
        <v>21328</v>
      </c>
      <c r="E32" s="9" t="str">
        <f>IFERROR(VLOOKUP(C32,'[5]价值&amp;消耗'!$I$4:$J$105,2,FALSE),"")</f>
        <v/>
      </c>
      <c r="F32" s="9" t="str">
        <f>IFERROR(VLOOKUP(C32,'[5]价值&amp;消耗'!$W$4:$X$105,2,FALSE),"")</f>
        <v/>
      </c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>
      <c r="B33" s="2">
        <f>副本规划!C19</f>
        <v>0.51607214102826071</v>
      </c>
      <c r="C33" s="2">
        <v>14</v>
      </c>
      <c r="D33" s="9">
        <f>'[4]消耗&amp;价值&amp;分析'!B20</f>
        <v>26064</v>
      </c>
      <c r="E33" s="9" t="str">
        <f>IFERROR(VLOOKUP(C33,'[5]价值&amp;消耗'!$I$4:$J$105,2,FALSE),"")</f>
        <v/>
      </c>
      <c r="F33" s="9" t="str">
        <f>IFERROR(VLOOKUP(C33,'[5]价值&amp;消耗'!$W$4:$X$105,2,FALSE),"")</f>
        <v/>
      </c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>
      <c r="B34" s="2">
        <f>副本规划!C20</f>
        <v>0.58641707131153653</v>
      </c>
      <c r="C34" s="2">
        <v>15</v>
      </c>
      <c r="D34" s="9">
        <f>'[4]消耗&amp;价值&amp;分析'!B21</f>
        <v>30754</v>
      </c>
      <c r="E34" s="9">
        <f>IFERROR(VLOOKUP(C34,'[5]价值&amp;消耗'!$I$4:$J$105,2,FALSE),"")</f>
        <v>36592.200000000004</v>
      </c>
      <c r="F34" s="9">
        <f>IFERROR(VLOOKUP(C34,'[5]价值&amp;消耗'!$W$4:$X$105,2,FALSE),"")</f>
        <v>130680</v>
      </c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>
      <c r="B35" s="2">
        <f>副本规划!C21</f>
        <v>0.66384989092687696</v>
      </c>
      <c r="C35" s="2">
        <v>16</v>
      </c>
      <c r="D35" s="9">
        <f>'[4]消耗&amp;价值&amp;分析'!B22</f>
        <v>40274</v>
      </c>
      <c r="E35" s="9" t="str">
        <f>IFERROR(VLOOKUP(C35,'[5]价值&amp;消耗'!$I$4:$J$105,2,FALSE),"")</f>
        <v/>
      </c>
      <c r="F35" s="9" t="str">
        <f>IFERROR(VLOOKUP(C35,'[5]价值&amp;消耗'!$W$4:$X$105,2,FALSE),"")</f>
        <v/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>
      <c r="B36" s="2">
        <f>副本规划!C22</f>
        <v>0.74908476896907372</v>
      </c>
      <c r="C36" s="2">
        <v>17</v>
      </c>
      <c r="D36" s="9">
        <f>'[4]消耗&amp;价值&amp;分析'!B23</f>
        <v>45530</v>
      </c>
      <c r="E36" s="9" t="str">
        <f>IFERROR(VLOOKUP(C36,'[5]价值&amp;消耗'!$I$4:$J$105,2,FALSE),"")</f>
        <v/>
      </c>
      <c r="F36" s="9" t="str">
        <f>IFERROR(VLOOKUP(C36,'[5]价值&amp;消耗'!$W$4:$X$105,2,FALSE),"")</f>
        <v/>
      </c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>
      <c r="B37" s="2">
        <f>副本规划!C23</f>
        <v>0.84290783354244314</v>
      </c>
      <c r="C37" s="2">
        <v>18</v>
      </c>
      <c r="D37" s="9">
        <f>'[4]消耗&amp;价值&amp;分析'!B24</f>
        <v>53434</v>
      </c>
      <c r="E37" s="9" t="str">
        <f>IFERROR(VLOOKUP(C37,'[5]价值&amp;消耗'!$I$4:$J$105,2,FALSE),"")</f>
        <v/>
      </c>
      <c r="F37" s="9" t="str">
        <f>IFERROR(VLOOKUP(C37,'[5]价值&amp;消耗'!$W$4:$X$105,2,FALSE),"")</f>
        <v/>
      </c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>
      <c r="B38" s="2">
        <f>副本规划!C24</f>
        <v>0.94618442228327204</v>
      </c>
      <c r="C38" s="2">
        <v>19</v>
      </c>
      <c r="D38" s="9">
        <f>'[4]消耗&amp;价值&amp;分析'!B25</f>
        <v>64968</v>
      </c>
      <c r="E38" s="9" t="str">
        <f>IFERROR(VLOOKUP(C38,'[5]价值&amp;消耗'!$I$4:$J$105,2,FALSE),"")</f>
        <v/>
      </c>
      <c r="F38" s="9" t="str">
        <f>IFERROR(VLOOKUP(C38,'[5]价值&amp;消耗'!$W$4:$X$105,2,FALSE),"")</f>
        <v/>
      </c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>
      <c r="B39" s="2">
        <f>副本规划!C25</f>
        <v>1.059867063438118</v>
      </c>
      <c r="C39" s="2">
        <v>20</v>
      </c>
      <c r="D39" s="9">
        <f>'[4]消耗&amp;价值&amp;分析'!B26</f>
        <v>74250</v>
      </c>
      <c r="E39" s="9" t="str">
        <f>IFERROR(VLOOKUP(C39,'[5]价值&amp;消耗'!$I$4:$J$105,2,FALSE),"")</f>
        <v/>
      </c>
      <c r="F39" s="9" t="str">
        <f>IFERROR(VLOOKUP(C39,'[5]价值&amp;消耗'!$W$4:$X$105,2,FALSE),"")</f>
        <v/>
      </c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>
      <c r="B40" s="2">
        <f>副本规划!C26</f>
        <v>1.1850042611080895</v>
      </c>
      <c r="C40" s="2">
        <v>21</v>
      </c>
      <c r="D40" s="9">
        <f>'[4]消耗&amp;价值&amp;分析'!B27</f>
        <v>84960</v>
      </c>
      <c r="E40" s="9" t="str">
        <f>IFERROR(VLOOKUP(C40,'[5]价值&amp;消耗'!$I$4:$J$105,2,FALSE),"")</f>
        <v/>
      </c>
      <c r="F40" s="9" t="str">
        <f>IFERROR(VLOOKUP(C40,'[5]价值&amp;消耗'!$W$4:$X$105,2,FALSE),"")</f>
        <v/>
      </c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>
      <c r="B41" s="2">
        <f>副本规划!C27</f>
        <v>1.3227501656861169</v>
      </c>
      <c r="C41" s="2">
        <v>22</v>
      </c>
      <c r="D41" s="9">
        <f>'[4]消耗&amp;价值&amp;分析'!B28</f>
        <v>106948</v>
      </c>
      <c r="E41" s="9" t="str">
        <f>IFERROR(VLOOKUP(C41,'[5]价值&amp;消耗'!$I$4:$J$105,2,FALSE),"")</f>
        <v/>
      </c>
      <c r="F41" s="9" t="str">
        <f>IFERROR(VLOOKUP(C41,'[5]价值&amp;消耗'!$W$4:$X$105,2,FALSE),"")</f>
        <v/>
      </c>
      <c r="I41" s="2"/>
      <c r="J41" s="2"/>
      <c r="K41" s="2"/>
      <c r="L41" s="2"/>
      <c r="M41" s="2"/>
      <c r="N41" s="2"/>
      <c r="O41" s="2"/>
      <c r="P41" s="2"/>
      <c r="Q41" s="2"/>
      <c r="R41" s="2"/>
    </row>
    <row r="42" spans="2:18">
      <c r="B42" s="2">
        <f>副本规划!C28</f>
        <v>1.4743752186784302</v>
      </c>
      <c r="C42" s="2">
        <v>23</v>
      </c>
      <c r="D42" s="9">
        <f>'[4]消耗&amp;价值&amp;分析'!B29</f>
        <v>120718</v>
      </c>
      <c r="E42" s="9" t="str">
        <f>IFERROR(VLOOKUP(C42,'[5]价值&amp;消耗'!$I$4:$J$105,2,FALSE),"")</f>
        <v/>
      </c>
      <c r="F42" s="9" t="str">
        <f>IFERROR(VLOOKUP(C42,'[5]价值&amp;消耗'!$W$4:$X$105,2,FALSE),"")</f>
        <v/>
      </c>
      <c r="I42" s="2"/>
      <c r="J42" s="2"/>
      <c r="K42" s="2"/>
      <c r="L42" s="2"/>
      <c r="M42" s="2"/>
      <c r="N42" s="2"/>
      <c r="O42" s="2"/>
      <c r="P42" s="2"/>
      <c r="Q42" s="2"/>
      <c r="R42" s="2"/>
    </row>
    <row r="43" spans="2:18">
      <c r="B43" s="2">
        <f>副本规划!C29</f>
        <v>1.6412778700882864</v>
      </c>
      <c r="C43" s="2">
        <v>24</v>
      </c>
      <c r="D43" s="9">
        <f>'[4]消耗&amp;价值&amp;分析'!B30</f>
        <v>141254</v>
      </c>
      <c r="E43" s="9" t="str">
        <f>IFERROR(VLOOKUP(C43,'[5]价值&amp;消耗'!$I$4:$J$105,2,FALSE),"")</f>
        <v/>
      </c>
      <c r="F43" s="9" t="str">
        <f>IFERROR(VLOOKUP(C43,'[5]价值&amp;消耗'!$W$4:$X$105,2,FALSE),"")</f>
        <v/>
      </c>
      <c r="I43" s="2"/>
      <c r="J43" s="2"/>
      <c r="K43" s="2"/>
      <c r="L43" s="2"/>
      <c r="M43" s="2"/>
      <c r="N43" s="2"/>
      <c r="O43" s="2"/>
      <c r="P43" s="2"/>
      <c r="Q43" s="2"/>
      <c r="R43" s="2"/>
    </row>
    <row r="44" spans="2:18">
      <c r="B44" s="2">
        <f>副本规划!C30</f>
        <v>1.8249974764323131</v>
      </c>
      <c r="C44" s="2">
        <v>25</v>
      </c>
      <c r="D44" s="9">
        <f>'[4]消耗&amp;价值&amp;分析'!B31</f>
        <v>174754</v>
      </c>
      <c r="E44" s="9" t="str">
        <f>IFERROR(VLOOKUP(C44,'[5]价值&amp;消耗'!$I$4:$J$105,2,FALSE),"")</f>
        <v/>
      </c>
      <c r="F44" s="9" t="str">
        <f>IFERROR(VLOOKUP(C44,'[5]价值&amp;消耗'!$W$4:$X$105,2,FALSE),"")</f>
        <v/>
      </c>
      <c r="I44" s="2"/>
      <c r="J44" s="2"/>
      <c r="K44" s="2"/>
      <c r="L44" s="2"/>
      <c r="M44" s="2"/>
      <c r="N44" s="2"/>
      <c r="O44" s="2"/>
      <c r="P44" s="2"/>
      <c r="Q44" s="2"/>
      <c r="R44" s="2"/>
    </row>
    <row r="45" spans="2:18">
      <c r="B45" s="2">
        <f>副本规划!C31</f>
        <v>2.0272284983489062</v>
      </c>
      <c r="C45" s="2">
        <v>26</v>
      </c>
      <c r="D45" s="9">
        <f>'[4]消耗&amp;价值&amp;分析'!B32</f>
        <v>193994</v>
      </c>
      <c r="E45" s="9" t="str">
        <f>IFERROR(VLOOKUP(C45,'[5]价值&amp;消耗'!$I$4:$J$105,2,FALSE),"")</f>
        <v/>
      </c>
      <c r="F45" s="9" t="str">
        <f>IFERROR(VLOOKUP(C45,'[5]价值&amp;消耗'!$W$4:$X$105,2,FALSE),"")</f>
        <v/>
      </c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2:18">
      <c r="B46" s="2">
        <f>副本规划!C32</f>
        <v>2.2498361287443611</v>
      </c>
      <c r="C46" s="2">
        <v>27</v>
      </c>
      <c r="D46" s="9">
        <f>'[4]消耗&amp;价值&amp;分析'!B33</f>
        <v>235406</v>
      </c>
      <c r="E46" s="9" t="str">
        <f>IFERROR(VLOOKUP(C46,'[5]价值&amp;消耗'!$I$4:$J$105,2,FALSE),"")</f>
        <v/>
      </c>
      <c r="F46" s="9" t="str">
        <f>IFERROR(VLOOKUP(C46,'[5]价值&amp;消耗'!$W$4:$X$105,2,FALSE),"")</f>
        <v/>
      </c>
      <c r="I46" s="2"/>
      <c r="J46" s="2"/>
      <c r="K46" s="2"/>
      <c r="L46" s="2"/>
      <c r="M46" s="2"/>
      <c r="N46" s="2"/>
      <c r="O46" s="2"/>
      <c r="P46" s="2"/>
      <c r="Q46" s="2"/>
      <c r="R46" s="2"/>
    </row>
    <row r="47" spans="2:18">
      <c r="B47" s="2">
        <f>副本规划!C33</f>
        <v>2.4948734956163796</v>
      </c>
      <c r="C47" s="2">
        <v>28</v>
      </c>
      <c r="D47" s="9">
        <f>'[4]消耗&amp;价值&amp;分析'!B34</f>
        <v>270403</v>
      </c>
      <c r="E47" s="9" t="str">
        <f>IFERROR(VLOOKUP(C47,'[5]价值&amp;消耗'!$I$4:$J$105,2,FALSE),"")</f>
        <v/>
      </c>
      <c r="F47" s="9" t="str">
        <f>IFERROR(VLOOKUP(C47,'[5]价值&amp;消耗'!$W$4:$X$105,2,FALSE),"")</f>
        <v/>
      </c>
      <c r="I47" s="2"/>
      <c r="J47" s="2"/>
      <c r="K47" s="2"/>
      <c r="L47" s="2"/>
      <c r="M47" s="2"/>
      <c r="N47" s="2"/>
      <c r="O47" s="2"/>
      <c r="P47" s="2"/>
      <c r="Q47" s="2"/>
      <c r="R47" s="2"/>
    </row>
    <row r="48" spans="2:18">
      <c r="B48" s="2">
        <f>副本规划!C34</f>
        <v>2.7646005982179718</v>
      </c>
      <c r="C48" s="2">
        <v>29</v>
      </c>
      <c r="D48" s="9">
        <f>'[4]消耗&amp;价值&amp;分析'!B35</f>
        <v>304625</v>
      </c>
      <c r="E48" s="9" t="str">
        <f>IFERROR(VLOOKUP(C48,'[5]价值&amp;消耗'!$I$4:$J$105,2,FALSE),"")</f>
        <v/>
      </c>
      <c r="F48" s="9" t="str">
        <f>IFERROR(VLOOKUP(C48,'[5]价值&amp;消耗'!$W$4:$X$105,2,FALSE),"")</f>
        <v/>
      </c>
      <c r="I48" s="2">
        <v>24</v>
      </c>
      <c r="J48" s="2">
        <v>5</v>
      </c>
      <c r="K48" s="2">
        <v>15</v>
      </c>
      <c r="L48" s="2">
        <f>7*H9+6*H10</f>
        <v>0</v>
      </c>
      <c r="M48" s="2"/>
      <c r="N48" s="2">
        <v>3</v>
      </c>
      <c r="O48" s="2">
        <v>3</v>
      </c>
      <c r="P48" s="2">
        <v>3</v>
      </c>
      <c r="Q48" s="2"/>
      <c r="R48" s="2">
        <v>5</v>
      </c>
    </row>
    <row r="49" spans="2:18">
      <c r="B49" s="2">
        <f>副本规划!C35</f>
        <v>3.0615051512115086</v>
      </c>
      <c r="C49" s="2">
        <v>30</v>
      </c>
      <c r="D49" s="9">
        <f>'[4]消耗&amp;价值&amp;分析'!B36</f>
        <v>364655</v>
      </c>
      <c r="E49" s="9">
        <f>IFERROR(VLOOKUP(C49,'[5]价值&amp;消耗'!$I$4:$J$105,2,FALSE),"")</f>
        <v>261239.12000000005</v>
      </c>
      <c r="F49" s="9">
        <f>IFERROR(VLOOKUP(C49,'[5]价值&amp;消耗'!$W$4:$X$105,2,FALSE),"")</f>
        <v>261360</v>
      </c>
      <c r="G49" s="15">
        <f>SUM(D49:E49)*0.4</f>
        <v>250357.64800000004</v>
      </c>
      <c r="H49" s="15">
        <f>SUM(I49:R49)-G49</f>
        <v>147355.77041781868</v>
      </c>
      <c r="I49" s="2">
        <f>I48*P6</f>
        <v>109487.84</v>
      </c>
      <c r="J49" s="2">
        <f>J48*P6</f>
        <v>22809.966666666664</v>
      </c>
      <c r="K49" s="2">
        <f>K48*Q6</f>
        <v>26278.773041474655</v>
      </c>
      <c r="L49" s="2"/>
      <c r="M49" s="2"/>
      <c r="N49" s="2">
        <f>N48*M2</f>
        <v>239136.83870967742</v>
      </c>
      <c r="O49" s="2"/>
      <c r="P49" s="2"/>
      <c r="Q49" s="2"/>
      <c r="R49" s="2"/>
    </row>
    <row r="50" spans="2:18">
      <c r="B50" s="2">
        <f>副本规划!C36</f>
        <v>3.3883255290602246</v>
      </c>
      <c r="C50" s="2">
        <v>31</v>
      </c>
      <c r="D50" s="9">
        <f>'[4]消耗&amp;价值&amp;分析'!B37</f>
        <v>417577</v>
      </c>
      <c r="E50" s="9" t="str">
        <f>IFERROR(VLOOKUP(C50,'[5]价值&amp;消耗'!$I$4:$J$105,2,FALSE),"")</f>
        <v/>
      </c>
      <c r="F50" s="9" t="str">
        <f>IFERROR(VLOOKUP(C50,'[5]价值&amp;消耗'!$W$4:$X$105,2,FALSE),"")</f>
        <v/>
      </c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2:18">
      <c r="B51" s="2">
        <f>副本规划!C37</f>
        <v>3.7480760222751357</v>
      </c>
      <c r="C51" s="2">
        <v>32</v>
      </c>
      <c r="D51" s="9">
        <f>'[4]消耗&amp;价值&amp;分析'!B38</f>
        <v>487873</v>
      </c>
      <c r="E51" s="9" t="str">
        <f>IFERROR(VLOOKUP(C51,'[5]价值&amp;消耗'!$I$4:$J$105,2,FALSE),"")</f>
        <v/>
      </c>
      <c r="F51" s="9" t="str">
        <f>IFERROR(VLOOKUP(C51,'[5]价值&amp;消耗'!$W$4:$X$105,2,FALSE),"")</f>
        <v/>
      </c>
      <c r="I51" s="2"/>
      <c r="J51" s="2"/>
      <c r="K51" s="2"/>
      <c r="L51" s="2"/>
      <c r="M51" s="2"/>
      <c r="N51" s="2"/>
      <c r="O51" s="2"/>
      <c r="P51" s="2"/>
      <c r="Q51" s="2"/>
      <c r="R51" s="2"/>
    </row>
    <row r="52" spans="2:18">
      <c r="B52" s="2">
        <f>副本规划!C38</f>
        <v>4.144074638457754</v>
      </c>
      <c r="C52" s="2">
        <v>33</v>
      </c>
      <c r="D52" s="9">
        <f>'[4]消耗&amp;价值&amp;分析'!B39</f>
        <v>551671</v>
      </c>
      <c r="E52" s="9" t="str">
        <f>IFERROR(VLOOKUP(C52,'[5]价值&amp;消耗'!$I$4:$J$105,2,FALSE),"")</f>
        <v/>
      </c>
      <c r="F52" s="9" t="str">
        <f>IFERROR(VLOOKUP(C52,'[5]价值&amp;消耗'!$W$4:$X$105,2,FALSE),"")</f>
        <v/>
      </c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2:18">
      <c r="B53" s="2">
        <f>副本规划!C39</f>
        <v>4.5799737045498432</v>
      </c>
      <c r="C53" s="2">
        <v>34</v>
      </c>
      <c r="D53" s="9">
        <f>'[4]消耗&amp;价值&amp;分析'!B40</f>
        <v>624055</v>
      </c>
      <c r="E53" s="9" t="str">
        <f>IFERROR(VLOOKUP(C53,'[5]价值&amp;消耗'!$I$4:$J$105,2,FALSE),"")</f>
        <v/>
      </c>
      <c r="F53" s="9" t="str">
        <f>IFERROR(VLOOKUP(C53,'[5]价值&amp;消耗'!$W$4:$X$105,2,FALSE),"")</f>
        <v/>
      </c>
      <c r="I53" s="2"/>
      <c r="J53" s="2"/>
      <c r="K53" s="2"/>
      <c r="L53" s="2"/>
      <c r="M53" s="2"/>
      <c r="N53" s="2"/>
      <c r="O53" s="2"/>
      <c r="P53" s="2"/>
      <c r="Q53" s="2"/>
      <c r="R53" s="2"/>
    </row>
    <row r="54" spans="2:18">
      <c r="B54" s="2">
        <f>副本规划!C40</f>
        <v>5.0597935525372213</v>
      </c>
      <c r="C54" s="2">
        <v>35</v>
      </c>
      <c r="D54" s="9">
        <f>'[4]消耗&amp;价值&amp;分析'!B41</f>
        <v>725103</v>
      </c>
      <c r="E54" s="9" t="str">
        <f>IFERROR(VLOOKUP(C54,'[5]价值&amp;消耗'!$I$4:$J$105,2,FALSE),"")</f>
        <v/>
      </c>
      <c r="F54" s="9" t="str">
        <f>IFERROR(VLOOKUP(C54,'[5]价值&amp;消耗'!$W$4:$X$105,2,FALSE),"")</f>
        <v/>
      </c>
      <c r="I54" s="2"/>
      <c r="J54" s="2"/>
      <c r="K54" s="2"/>
      <c r="L54" s="2"/>
      <c r="M54" s="2"/>
      <c r="N54" s="2"/>
      <c r="O54" s="2"/>
      <c r="P54" s="2"/>
      <c r="Q54" s="2"/>
      <c r="R54" s="2"/>
    </row>
    <row r="55" spans="2:18">
      <c r="B55" s="2">
        <f>副本规划!C41</f>
        <v>5.5879595992935407</v>
      </c>
      <c r="C55" s="2">
        <v>36</v>
      </c>
      <c r="D55" s="9">
        <f>'[4]消耗&amp;价值&amp;分析'!B42</f>
        <v>827933</v>
      </c>
      <c r="E55" s="9" t="str">
        <f>IFERROR(VLOOKUP(C55,'[5]价值&amp;消耗'!$I$4:$J$105,2,FALSE),"")</f>
        <v/>
      </c>
      <c r="F55" s="9" t="str">
        <f>IFERROR(VLOOKUP(C55,'[5]价值&amp;消耗'!$W$4:$X$105,2,FALSE),"")</f>
        <v/>
      </c>
      <c r="I55" s="2"/>
      <c r="J55" s="2"/>
      <c r="K55" s="2"/>
      <c r="L55" s="2"/>
      <c r="M55" s="2"/>
      <c r="N55" s="2"/>
      <c r="O55" s="2"/>
      <c r="P55" s="2"/>
      <c r="Q55" s="2"/>
      <c r="R55" s="2"/>
    </row>
    <row r="56" spans="2:18">
      <c r="B56" s="2">
        <f>副本规划!C42</f>
        <v>6.1693431625544273</v>
      </c>
      <c r="C56" s="2">
        <v>37</v>
      </c>
      <c r="D56" s="9">
        <f>'[4]消耗&amp;价值&amp;分析'!B43</f>
        <v>931376</v>
      </c>
      <c r="E56" s="9" t="str">
        <f>IFERROR(VLOOKUP(C56,'[5]价值&amp;消耗'!$I$4:$J$105,2,FALSE),"")</f>
        <v/>
      </c>
      <c r="F56" s="9" t="str">
        <f>IFERROR(VLOOKUP(C56,'[5]价值&amp;消耗'!$W$4:$X$105,2,FALSE),"")</f>
        <v/>
      </c>
      <c r="I56" s="2"/>
      <c r="J56" s="2"/>
      <c r="K56" s="2"/>
      <c r="L56" s="2"/>
      <c r="M56" s="2"/>
      <c r="N56" s="2"/>
      <c r="O56" s="2"/>
      <c r="P56" s="2"/>
      <c r="Q56" s="2"/>
      <c r="R56" s="2"/>
    </row>
    <row r="57" spans="2:18">
      <c r="B57" s="2">
        <f>副本规划!C43</f>
        <v>6.8093063894709651</v>
      </c>
      <c r="C57" s="2">
        <v>38</v>
      </c>
      <c r="D57" s="9">
        <f>'[4]消耗&amp;价值&amp;分析'!B44</f>
        <v>1048228</v>
      </c>
      <c r="E57" s="9" t="str">
        <f>IFERROR(VLOOKUP(C57,'[5]价值&amp;消耗'!$I$4:$J$105,2,FALSE),"")</f>
        <v/>
      </c>
      <c r="F57" s="9" t="str">
        <f>IFERROR(VLOOKUP(C57,'[5]价值&amp;消耗'!$W$4:$X$105,2,FALSE),"")</f>
        <v/>
      </c>
      <c r="I57" s="2"/>
      <c r="J57" s="2"/>
      <c r="K57" s="2"/>
      <c r="L57" s="2"/>
      <c r="M57" s="2"/>
      <c r="N57" s="2"/>
      <c r="O57" s="2"/>
      <c r="P57" s="2"/>
      <c r="Q57" s="2"/>
      <c r="R57" s="2"/>
    </row>
    <row r="58" spans="2:18">
      <c r="B58" s="2">
        <f>副本规划!C44</f>
        <v>7.5137517121221791</v>
      </c>
      <c r="C58" s="2">
        <v>39</v>
      </c>
      <c r="D58" s="9">
        <f>'[4]消耗&amp;价值&amp;分析'!B45</f>
        <v>1201156</v>
      </c>
      <c r="E58" s="9" t="str">
        <f>IFERROR(VLOOKUP(C58,'[5]价值&amp;消耗'!$I$4:$J$105,2,FALSE),"")</f>
        <v/>
      </c>
      <c r="F58" s="9" t="str">
        <f>IFERROR(VLOOKUP(C58,'[5]价值&amp;消耗'!$W$4:$X$105,2,FALSE),"")</f>
        <v/>
      </c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2:18">
      <c r="B59" s="2">
        <f>副本规划!C45</f>
        <v>8.289176286118666</v>
      </c>
      <c r="C59" s="2">
        <v>40</v>
      </c>
      <c r="D59" s="9">
        <f>'[4]消耗&amp;价值&amp;分析'!B46</f>
        <v>1326904</v>
      </c>
      <c r="E59" s="9" t="str">
        <f>IFERROR(VLOOKUP(C59,'[5]价值&amp;消耗'!$I$4:$J$105,2,FALSE),"")</f>
        <v/>
      </c>
      <c r="F59" s="9" t="str">
        <f>IFERROR(VLOOKUP(C59,'[5]价值&amp;消耗'!$W$4:$X$105,2,FALSE),"")</f>
        <v/>
      </c>
      <c r="I59" s="2"/>
      <c r="J59" s="2"/>
      <c r="K59" s="2"/>
      <c r="L59" s="2"/>
      <c r="M59" s="2"/>
      <c r="N59" s="2"/>
      <c r="O59" s="2"/>
      <c r="P59" s="2"/>
      <c r="Q59" s="2"/>
      <c r="R59" s="2"/>
    </row>
    <row r="60" spans="2:18">
      <c r="B60" s="2">
        <f>副本规划!C46</f>
        <v>9.1427319143889676</v>
      </c>
      <c r="C60" s="2">
        <v>41</v>
      </c>
      <c r="D60" s="9">
        <f>'[4]消耗&amp;价值&amp;分析'!B47</f>
        <v>1484854</v>
      </c>
      <c r="E60" s="9" t="str">
        <f>IFERROR(VLOOKUP(C60,'[5]价值&amp;消耗'!$I$4:$J$105,2,FALSE),"")</f>
        <v/>
      </c>
      <c r="F60" s="9" t="str">
        <f>IFERROR(VLOOKUP(C60,'[5]价值&amp;消耗'!$W$4:$X$105,2,FALSE),"")</f>
        <v/>
      </c>
      <c r="I60" s="2"/>
      <c r="J60" s="2"/>
      <c r="K60" s="2"/>
      <c r="L60" s="2"/>
      <c r="M60" s="2"/>
      <c r="N60" s="2"/>
      <c r="O60" s="2"/>
      <c r="P60" s="2"/>
      <c r="Q60" s="2"/>
      <c r="R60" s="2"/>
    </row>
    <row r="61" spans="2:18">
      <c r="B61" s="2">
        <f>副本规划!C47</f>
        <v>10.082291008830579</v>
      </c>
      <c r="C61" s="2">
        <v>42</v>
      </c>
      <c r="D61" s="9">
        <f>'[4]消耗&amp;价值&amp;分析'!B48</f>
        <v>1641364</v>
      </c>
      <c r="E61" s="9" t="str">
        <f>IFERROR(VLOOKUP(C61,'[5]价值&amp;消耗'!$I$4:$J$105,2,FALSE),"")</f>
        <v/>
      </c>
      <c r="F61" s="9" t="str">
        <f>IFERROR(VLOOKUP(C61,'[5]价值&amp;消耗'!$W$4:$X$105,2,FALSE),"")</f>
        <v/>
      </c>
      <c r="I61" s="2"/>
      <c r="J61" s="2"/>
      <c r="K61" s="2"/>
      <c r="L61" s="2"/>
      <c r="M61" s="2"/>
      <c r="N61" s="2"/>
      <c r="O61" s="2"/>
      <c r="P61" s="2"/>
      <c r="Q61" s="2"/>
      <c r="R61" s="2"/>
    </row>
    <row r="62" spans="2:18">
      <c r="B62" s="2">
        <f>副本规划!C48</f>
        <v>11.116519198195157</v>
      </c>
      <c r="C62" s="2">
        <v>43</v>
      </c>
      <c r="D62" s="9">
        <f>'[4]消耗&amp;价值&amp;分析'!B49</f>
        <v>1851424</v>
      </c>
      <c r="E62" s="9" t="str">
        <f>IFERROR(VLOOKUP(C62,'[5]价值&amp;消耗'!$I$4:$J$105,2,FALSE),"")</f>
        <v/>
      </c>
      <c r="F62" s="9" t="str">
        <f>IFERROR(VLOOKUP(C62,'[5]价值&amp;消耗'!$W$4:$X$105,2,FALSE),"")</f>
        <v/>
      </c>
      <c r="I62" s="2"/>
      <c r="J62" s="2"/>
      <c r="K62" s="2"/>
      <c r="L62" s="2"/>
      <c r="M62" s="2"/>
      <c r="N62" s="2"/>
      <c r="O62" s="2"/>
      <c r="P62" s="2"/>
      <c r="Q62" s="2"/>
      <c r="R62" s="2"/>
    </row>
    <row r="63" spans="2:18">
      <c r="B63" s="2">
        <f>副本规划!C49</f>
        <v>12.254955251876297</v>
      </c>
      <c r="C63" s="2">
        <v>44</v>
      </c>
      <c r="D63" s="9">
        <f>'[4]消耗&amp;价值&amp;分析'!B50</f>
        <v>2103980</v>
      </c>
      <c r="E63" s="9" t="str">
        <f>IFERROR(VLOOKUP(C63,'[5]价值&amp;消耗'!$I$4:$J$105,2,FALSE),"")</f>
        <v/>
      </c>
      <c r="F63" s="9" t="str">
        <f>IFERROR(VLOOKUP(C63,'[5]价值&amp;消耗'!$W$4:$X$105,2,FALSE),"")</f>
        <v/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spans="2:18">
      <c r="B64" s="2">
        <f>副本规划!C50</f>
        <v>13.508099056743347</v>
      </c>
      <c r="C64" s="2">
        <v>45</v>
      </c>
      <c r="D64" s="9">
        <f>'[4]消耗&amp;价值&amp;分析'!B51</f>
        <v>2309900</v>
      </c>
      <c r="E64" s="9">
        <f>IFERROR(VLOOKUP(C64,'[5]价值&amp;消耗'!$I$4:$J$105,2,FALSE),"")</f>
        <v>1677195.6</v>
      </c>
      <c r="F64" s="9">
        <f>IFERROR(VLOOKUP(C64,'[5]价值&amp;消耗'!$W$4:$X$105,2,FALSE),"")</f>
        <v>522720</v>
      </c>
      <c r="I64" s="2"/>
      <c r="J64" s="2"/>
      <c r="K64" s="2"/>
      <c r="L64" s="2"/>
      <c r="M64" s="2"/>
      <c r="N64" s="2"/>
      <c r="O64" s="2"/>
      <c r="P64" s="2"/>
      <c r="Q64" s="2"/>
      <c r="R64" s="2"/>
    </row>
    <row r="65" spans="2:18">
      <c r="B65" s="2">
        <f>副本规划!C51</f>
        <v>14.887508458438656</v>
      </c>
      <c r="C65" s="2">
        <v>46</v>
      </c>
      <c r="D65" s="9">
        <f>'[4]消耗&amp;价值&amp;分析'!B52</f>
        <v>2613425</v>
      </c>
      <c r="E65" s="9" t="str">
        <f>IFERROR(VLOOKUP(C65,'[5]价值&amp;消耗'!$I$4:$J$105,2,FALSE),"")</f>
        <v/>
      </c>
      <c r="F65" s="9" t="str">
        <f>IFERROR(VLOOKUP(C65,'[5]价值&amp;消耗'!$W$4:$X$105,2,FALSE),"")</f>
        <v/>
      </c>
      <c r="I65" s="2"/>
      <c r="J65" s="2"/>
      <c r="K65" s="2"/>
      <c r="L65" s="2"/>
      <c r="M65" s="2"/>
      <c r="N65" s="2"/>
      <c r="O65" s="2"/>
      <c r="P65" s="2"/>
      <c r="Q65" s="2"/>
      <c r="R65" s="2"/>
    </row>
    <row r="66" spans="2:18">
      <c r="B66" s="2">
        <f>副本规划!C52</f>
        <v>16.405905860313279</v>
      </c>
      <c r="C66" s="2">
        <v>47</v>
      </c>
      <c r="D66" s="9">
        <f>'[4]消耗&amp;价值&amp;分析'!B53</f>
        <v>2987605</v>
      </c>
      <c r="E66" s="9" t="str">
        <f>IFERROR(VLOOKUP(C66,'[5]价值&amp;消耗'!$I$4:$J$105,2,FALSE),"")</f>
        <v/>
      </c>
      <c r="F66" s="9" t="str">
        <f>IFERROR(VLOOKUP(C66,'[5]价值&amp;消耗'!$W$4:$X$105,2,FALSE),"")</f>
        <v/>
      </c>
      <c r="I66" s="2"/>
      <c r="J66" s="2"/>
      <c r="K66" s="2"/>
      <c r="L66" s="2"/>
      <c r="M66" s="2"/>
      <c r="N66" s="2"/>
      <c r="O66" s="2"/>
      <c r="P66" s="2"/>
      <c r="Q66" s="2"/>
      <c r="R66" s="2"/>
    </row>
    <row r="67" spans="2:18">
      <c r="B67" s="2">
        <f>副本规划!C53</f>
        <v>18.077295563171678</v>
      </c>
      <c r="C67" s="2">
        <v>48</v>
      </c>
      <c r="D67" s="9">
        <f>'[4]消耗&amp;价值&amp;分析'!B54</f>
        <v>3155983</v>
      </c>
      <c r="E67" s="9" t="str">
        <f>IFERROR(VLOOKUP(C67,'[5]价值&amp;消耗'!$I$4:$J$105,2,FALSE),"")</f>
        <v/>
      </c>
      <c r="F67" s="9" t="str">
        <f>IFERROR(VLOOKUP(C67,'[5]价值&amp;消耗'!$W$4:$X$105,2,FALSE),"")</f>
        <v/>
      </c>
      <c r="I67" s="2"/>
      <c r="J67" s="2"/>
      <c r="K67" s="2"/>
      <c r="L67" s="2"/>
      <c r="M67" s="2"/>
      <c r="N67" s="2"/>
      <c r="O67" s="2"/>
      <c r="P67" s="2"/>
      <c r="Q67" s="2"/>
      <c r="R67" s="2"/>
    </row>
    <row r="68" spans="2:18">
      <c r="B68" s="2">
        <f>副本规划!C54</f>
        <v>19.917092928059262</v>
      </c>
      <c r="C68" s="2">
        <v>49</v>
      </c>
      <c r="D68" s="9">
        <f>'[4]消耗&amp;价值&amp;分析'!B55</f>
        <v>3555620</v>
      </c>
      <c r="E68" s="9" t="str">
        <f>IFERROR(VLOOKUP(C68,'[5]价值&amp;消耗'!$I$4:$J$105,2,FALSE),"")</f>
        <v/>
      </c>
      <c r="F68" s="9" t="str">
        <f>IFERROR(VLOOKUP(C68,'[5]价值&amp;消耗'!$W$4:$X$105,2,FALSE),"")</f>
        <v/>
      </c>
      <c r="I68" s="2"/>
      <c r="J68" s="2"/>
      <c r="K68" s="2"/>
      <c r="L68" s="2"/>
      <c r="M68" s="2"/>
      <c r="N68" s="2"/>
      <c r="O68" s="2"/>
      <c r="P68" s="2"/>
      <c r="Q68" s="2"/>
      <c r="R68" s="2"/>
    </row>
    <row r="69" spans="2:18">
      <c r="B69" s="2">
        <f>副本规划!C55</f>
        <v>21.94226655337151</v>
      </c>
      <c r="C69" s="2">
        <v>50</v>
      </c>
      <c r="D69" s="9">
        <f>'[4]消耗&amp;价值&amp;分析'!B56</f>
        <v>4043450</v>
      </c>
      <c r="E69" s="9" t="str">
        <f>IFERROR(VLOOKUP(C69,'[5]价值&amp;消耗'!$I$4:$J$105,2,FALSE),"")</f>
        <v/>
      </c>
      <c r="F69" s="9" t="str">
        <f>IFERROR(VLOOKUP(C69,'[5]价值&amp;消耗'!$W$4:$X$105,2,FALSE),"")</f>
        <v/>
      </c>
      <c r="I69" s="2"/>
      <c r="J69" s="2"/>
      <c r="K69" s="2"/>
      <c r="L69" s="2"/>
      <c r="M69" s="2"/>
      <c r="N69" s="2"/>
      <c r="O69" s="2"/>
      <c r="P69" s="2"/>
      <c r="Q69" s="2"/>
      <c r="R69" s="2"/>
    </row>
    <row r="70" spans="2:18">
      <c r="B70" s="2">
        <f>副本规划!C56</f>
        <v>24.171494777595512</v>
      </c>
      <c r="C70" s="2">
        <v>51</v>
      </c>
      <c r="D70" s="9">
        <f>'[4]消耗&amp;价值&amp;分析'!B57</f>
        <v>4332238</v>
      </c>
      <c r="E70" s="9" t="str">
        <f>IFERROR(VLOOKUP(C70,'[5]价值&amp;消耗'!$I$4:$J$105,2,FALSE),"")</f>
        <v/>
      </c>
      <c r="F70" s="9" t="str">
        <f>IFERROR(VLOOKUP(C70,'[5]价值&amp;消耗'!$W$4:$X$105,2,FALSE),"")</f>
        <v/>
      </c>
      <c r="I70" s="2"/>
      <c r="J70" s="2"/>
      <c r="K70" s="2"/>
      <c r="L70" s="2"/>
      <c r="M70" s="2"/>
      <c r="N70" s="2"/>
      <c r="O70" s="2"/>
      <c r="P70" s="2"/>
      <c r="Q70" s="2"/>
      <c r="R70" s="2"/>
    </row>
    <row r="71" spans="2:18">
      <c r="B71" s="2">
        <f>副本规划!C57</f>
        <v>26.625337951121285</v>
      </c>
      <c r="C71" s="2">
        <v>52</v>
      </c>
      <c r="D71" s="9">
        <f>'[4]消耗&amp;价值&amp;分析'!B58</f>
        <v>4778233</v>
      </c>
      <c r="E71" s="9" t="str">
        <f>IFERROR(VLOOKUP(C71,'[5]价值&amp;消耗'!$I$4:$J$105,2,FALSE),"")</f>
        <v/>
      </c>
      <c r="F71" s="9" t="str">
        <f>IFERROR(VLOOKUP(C71,'[5]价值&amp;消耗'!$W$4:$X$105,2,FALSE),"")</f>
        <v/>
      </c>
      <c r="I71" s="2"/>
      <c r="J71" s="2"/>
      <c r="K71" s="2"/>
      <c r="L71" s="2"/>
      <c r="M71" s="2"/>
      <c r="N71" s="2"/>
      <c r="O71" s="2"/>
      <c r="P71" s="2"/>
      <c r="Q71" s="2"/>
      <c r="R71" s="2"/>
    </row>
    <row r="72" spans="2:18">
      <c r="B72" s="2">
        <f>副本规划!C58</f>
        <v>29.326428065999529</v>
      </c>
      <c r="C72" s="2">
        <v>53</v>
      </c>
      <c r="D72" s="9">
        <f>'[4]消耗&amp;价值&amp;分析'!B59</f>
        <v>5457093</v>
      </c>
      <c r="E72" s="9" t="str">
        <f>IFERROR(VLOOKUP(C72,'[5]价值&amp;消耗'!$I$4:$J$105,2,FALSE),"")</f>
        <v/>
      </c>
      <c r="F72" s="9" t="str">
        <f>IFERROR(VLOOKUP(C72,'[5]价值&amp;消耗'!$W$4:$X$105,2,FALSE),"")</f>
        <v/>
      </c>
      <c r="I72" s="2"/>
      <c r="J72" s="2"/>
      <c r="K72" s="2"/>
      <c r="L72" s="2"/>
      <c r="M72" s="2"/>
      <c r="N72" s="2"/>
      <c r="O72" s="2"/>
      <c r="P72" s="2"/>
      <c r="Q72" s="2"/>
      <c r="R72" s="2"/>
    </row>
    <row r="73" spans="2:18">
      <c r="B73" s="2">
        <f>副本规划!C59</f>
        <v>32.299677492616297</v>
      </c>
      <c r="C73" s="2">
        <v>54</v>
      </c>
      <c r="D73" s="9">
        <f>'[4]消耗&amp;价值&amp;分析'!B60</f>
        <v>5871660</v>
      </c>
      <c r="E73" s="9" t="str">
        <f>IFERROR(VLOOKUP(C73,'[5]价值&amp;消耗'!$I$4:$J$105,2,FALSE),"")</f>
        <v/>
      </c>
      <c r="F73" s="9" t="str">
        <f>IFERROR(VLOOKUP(C73,'[5]价值&amp;消耗'!$W$4:$X$105,2,FALSE),"")</f>
        <v/>
      </c>
      <c r="I73" s="2"/>
      <c r="J73" s="2"/>
      <c r="K73" s="2"/>
      <c r="L73" s="2"/>
      <c r="M73" s="2"/>
      <c r="N73" s="2"/>
      <c r="O73" s="2"/>
      <c r="P73" s="2"/>
      <c r="Q73" s="2"/>
      <c r="R73" s="2"/>
    </row>
    <row r="74" spans="2:18">
      <c r="B74" s="2">
        <f>副本规划!C60</f>
        <v>35.572508748479606</v>
      </c>
      <c r="C74" s="2">
        <v>55</v>
      </c>
      <c r="D74" s="9">
        <f>'[4]消耗&amp;价值&amp;分析'!B61</f>
        <v>6349641</v>
      </c>
      <c r="E74" s="9" t="str">
        <f>IFERROR(VLOOKUP(C74,'[5]价值&amp;消耗'!$I$4:$J$105,2,FALSE),"")</f>
        <v/>
      </c>
      <c r="F74" s="9" t="str">
        <f>IFERROR(VLOOKUP(C74,'[5]价值&amp;消耗'!$W$4:$X$105,2,FALSE),"")</f>
        <v/>
      </c>
      <c r="I74" s="2"/>
      <c r="J74" s="2"/>
      <c r="K74" s="2"/>
      <c r="L74" s="2"/>
      <c r="M74" s="2"/>
      <c r="N74" s="2"/>
      <c r="O74" s="2"/>
      <c r="P74" s="2"/>
      <c r="Q74" s="2"/>
      <c r="R74" s="2"/>
    </row>
    <row r="75" spans="2:18">
      <c r="B75" s="2">
        <f>副本规划!C61</f>
        <v>39.17510741829394</v>
      </c>
      <c r="C75" s="2">
        <v>56</v>
      </c>
      <c r="D75" s="9">
        <f>'[4]消耗&amp;价值&amp;分析'!B62</f>
        <v>7050047</v>
      </c>
      <c r="E75" s="9" t="str">
        <f>IFERROR(VLOOKUP(C75,'[5]价值&amp;消耗'!$I$4:$J$105,2,FALSE),"")</f>
        <v/>
      </c>
      <c r="F75" s="9" t="str">
        <f>IFERROR(VLOOKUP(C75,'[5]价值&amp;消耗'!$W$4:$X$105,2,FALSE),"")</f>
        <v/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spans="2:18">
      <c r="B76" s="2">
        <f>副本规划!C62</f>
        <v>43.140700558024719</v>
      </c>
      <c r="C76" s="2">
        <v>57</v>
      </c>
      <c r="D76" s="9">
        <f>'[4]消耗&amp;价值&amp;分析'!B63</f>
        <v>7757793</v>
      </c>
      <c r="E76" s="9" t="str">
        <f>IFERROR(VLOOKUP(C76,'[5]价值&amp;消耗'!$I$4:$J$105,2,FALSE),"")</f>
        <v/>
      </c>
      <c r="F76" s="9" t="str">
        <f>IFERROR(VLOOKUP(C76,'[5]价值&amp;消耗'!$W$4:$X$105,2,FALSE),"")</f>
        <v/>
      </c>
      <c r="I76" s="2"/>
      <c r="J76" s="2"/>
      <c r="K76" s="2"/>
      <c r="L76" s="2"/>
      <c r="M76" s="2"/>
      <c r="N76" s="2"/>
      <c r="O76" s="2"/>
      <c r="P76" s="2"/>
      <c r="Q76" s="2"/>
      <c r="R76" s="2"/>
    </row>
    <row r="77" spans="2:18">
      <c r="B77" s="2">
        <f>副本规划!C63</f>
        <v>47.505863150695717</v>
      </c>
      <c r="C77" s="2">
        <v>58</v>
      </c>
      <c r="D77" s="9">
        <f>'[4]消耗&amp;价值&amp;分析'!B64</f>
        <v>8568855</v>
      </c>
      <c r="E77" s="9" t="str">
        <f>IFERROR(VLOOKUP(C77,'[5]价值&amp;消耗'!$I$4:$J$105,2,FALSE),"")</f>
        <v/>
      </c>
      <c r="F77" s="9" t="str">
        <f>IFERROR(VLOOKUP(C77,'[5]价值&amp;消耗'!$W$4:$X$105,2,FALSE),"")</f>
        <v/>
      </c>
      <c r="I77" s="2"/>
      <c r="J77" s="2"/>
      <c r="K77" s="2"/>
      <c r="L77" s="2"/>
      <c r="M77" s="2"/>
      <c r="N77" s="2"/>
      <c r="O77" s="2"/>
      <c r="P77" s="2"/>
      <c r="Q77" s="2"/>
      <c r="R77" s="2"/>
    </row>
    <row r="78" spans="2:18">
      <c r="B78" s="2">
        <f>副本规划!C64</f>
        <v>52.310855440385765</v>
      </c>
      <c r="C78" s="2">
        <v>59</v>
      </c>
      <c r="D78" s="9">
        <f>'[4]消耗&amp;价值&amp;分析'!B65</f>
        <v>9249678</v>
      </c>
      <c r="E78" s="9" t="str">
        <f>IFERROR(VLOOKUP(C78,'[5]价值&amp;消耗'!$I$4:$J$105,2,FALSE),"")</f>
        <v/>
      </c>
      <c r="F78" s="9" t="str">
        <f>IFERROR(VLOOKUP(C78,'[5]价值&amp;消耗'!$W$4:$X$105,2,FALSE),"")</f>
        <v/>
      </c>
      <c r="I78" s="2"/>
      <c r="J78" s="2"/>
      <c r="K78" s="2"/>
      <c r="L78" s="2"/>
      <c r="M78" s="2"/>
      <c r="N78" s="2"/>
      <c r="O78" s="2"/>
      <c r="P78" s="2"/>
      <c r="Q78" s="2"/>
      <c r="R78" s="2"/>
    </row>
    <row r="79" spans="2:18">
      <c r="B79" s="2">
        <f>副本规划!C65</f>
        <v>57.599994255683271</v>
      </c>
      <c r="C79" s="2">
        <v>60</v>
      </c>
      <c r="D79" s="9">
        <f>'[4]消耗&amp;价值&amp;分析'!B66</f>
        <v>10240038</v>
      </c>
      <c r="E79" s="9">
        <f>IFERROR(VLOOKUP(C79,'[5]价值&amp;消耗'!$I$4:$J$105,2,FALSE),"")</f>
        <v>5963904.1599999992</v>
      </c>
      <c r="F79" s="9">
        <f>IFERROR(VLOOKUP(C79,'[5]价值&amp;消耗'!$W$4:$X$105,2,FALSE),"")</f>
        <v>784080</v>
      </c>
      <c r="I79" s="2"/>
      <c r="J79" s="2"/>
      <c r="K79" s="2"/>
      <c r="L79" s="2"/>
      <c r="M79" s="2"/>
      <c r="N79" s="2"/>
      <c r="O79" s="2"/>
      <c r="P79" s="2"/>
      <c r="Q79" s="2"/>
      <c r="R79" s="2"/>
    </row>
    <row r="80" spans="2:18">
      <c r="B80" s="2">
        <f>副本规划!C66</f>
        <v>63.42206174734438</v>
      </c>
      <c r="C80" s="2">
        <v>61</v>
      </c>
      <c r="D80" s="9">
        <f>'[4]消耗&amp;价值&amp;分析'!B67</f>
        <v>11184318</v>
      </c>
      <c r="E80" s="9" t="str">
        <f>IFERROR(VLOOKUP(C80,'[5]价值&amp;消耗'!$I$4:$J$105,2,FALSE),"")</f>
        <v/>
      </c>
      <c r="F80" s="9" t="str">
        <f>IFERROR(VLOOKUP(C80,'[5]价值&amp;消耗'!$W$4:$X$105,2,FALSE),"")</f>
        <v/>
      </c>
      <c r="I80" s="2"/>
      <c r="J80" s="2"/>
      <c r="K80" s="2"/>
      <c r="L80" s="2"/>
      <c r="M80" s="2"/>
      <c r="N80" s="2"/>
      <c r="O80" s="2"/>
      <c r="P80" s="2"/>
      <c r="Q80" s="2"/>
      <c r="R80" s="2"/>
    </row>
    <row r="81" spans="2:18">
      <c r="B81" s="2">
        <f>副本规划!C67</f>
        <v>69.830755309975032</v>
      </c>
      <c r="C81" s="2">
        <v>62</v>
      </c>
      <c r="D81" s="9">
        <f>'[4]消耗&amp;价值&amp;分析'!B68</f>
        <v>12345358</v>
      </c>
      <c r="E81" s="9" t="str">
        <f>IFERROR(VLOOKUP(C81,'[5]价值&amp;消耗'!$I$4:$J$105,2,FALSE),"")</f>
        <v/>
      </c>
      <c r="F81" s="9" t="str">
        <f>IFERROR(VLOOKUP(C81,'[5]价值&amp;消耗'!$W$4:$X$105,2,FALSE),"")</f>
        <v/>
      </c>
      <c r="I81" s="2"/>
      <c r="J81" s="2"/>
      <c r="K81" s="2"/>
      <c r="L81" s="2"/>
      <c r="M81" s="2"/>
      <c r="N81" s="2"/>
      <c r="O81" s="2"/>
      <c r="P81" s="2"/>
      <c r="Q81" s="2"/>
      <c r="R81" s="2"/>
    </row>
    <row r="82" spans="2:18">
      <c r="B82" s="2">
        <f>副本规划!C68</f>
        <v>76.885182837400592</v>
      </c>
      <c r="C82" s="2">
        <v>63</v>
      </c>
      <c r="D82" s="9">
        <f>'[4]消耗&amp;价值&amp;分析'!B69</f>
        <v>13295034</v>
      </c>
      <c r="E82" s="9" t="str">
        <f>IFERROR(VLOOKUP(C82,'[5]价值&amp;消耗'!$I$4:$J$105,2,FALSE),"")</f>
        <v/>
      </c>
      <c r="F82" s="9" t="str">
        <f>IFERROR(VLOOKUP(C82,'[5]价值&amp;消耗'!$W$4:$X$105,2,FALSE),"")</f>
        <v/>
      </c>
      <c r="I82" s="2"/>
      <c r="J82" s="2"/>
      <c r="K82" s="2"/>
      <c r="L82" s="2"/>
      <c r="M82" s="2"/>
      <c r="N82" s="2"/>
      <c r="O82" s="2"/>
      <c r="P82" s="2"/>
      <c r="Q82" s="2"/>
      <c r="R82" s="2"/>
    </row>
    <row r="83" spans="2:18">
      <c r="B83" s="2">
        <f>副本规划!C69</f>
        <v>84.650407879502907</v>
      </c>
      <c r="C83" s="2">
        <v>64</v>
      </c>
      <c r="D83" s="9">
        <f>'[4]消耗&amp;价值&amp;分析'!B70</f>
        <v>14701824</v>
      </c>
      <c r="E83" s="9" t="str">
        <f>IFERROR(VLOOKUP(C83,'[5]价值&amp;消耗'!$I$4:$J$105,2,FALSE),"")</f>
        <v/>
      </c>
      <c r="F83" s="9" t="str">
        <f>IFERROR(VLOOKUP(C83,'[5]价值&amp;消耗'!$W$4:$X$105,2,FALSE),"")</f>
        <v/>
      </c>
      <c r="I83" s="2"/>
      <c r="J83" s="2"/>
      <c r="K83" s="2"/>
      <c r="L83" s="2"/>
      <c r="M83" s="2"/>
      <c r="N83" s="2"/>
      <c r="O83" s="2"/>
      <c r="P83" s="2"/>
      <c r="Q83" s="2"/>
      <c r="R83" s="2"/>
    </row>
    <row r="84" spans="2:18">
      <c r="B84" s="2">
        <f>副本规划!C70</f>
        <v>93.19804972855006</v>
      </c>
      <c r="C84" s="2">
        <v>65</v>
      </c>
      <c r="D84" s="9">
        <f>'[4]消耗&amp;价值&amp;分析'!B71</f>
        <v>15943042</v>
      </c>
      <c r="E84" s="9" t="str">
        <f>IFERROR(VLOOKUP(C84,'[5]价值&amp;消耗'!$I$4:$J$105,2,FALSE),"")</f>
        <v/>
      </c>
      <c r="F84" s="9" t="str">
        <f>IFERROR(VLOOKUP(C84,'[5]价值&amp;消耗'!$W$4:$X$105,2,FALSE),"")</f>
        <v/>
      </c>
      <c r="I84" s="2"/>
      <c r="J84" s="2"/>
      <c r="K84" s="2"/>
      <c r="L84" s="2"/>
      <c r="M84" s="2"/>
      <c r="N84" s="2"/>
      <c r="O84" s="2"/>
      <c r="P84" s="2"/>
      <c r="Q84" s="2"/>
      <c r="R84" s="2"/>
    </row>
    <row r="85" spans="2:18">
      <c r="B85" s="2">
        <f>副本规划!C71</f>
        <v>102.60694396966296</v>
      </c>
      <c r="C85" s="2">
        <v>66</v>
      </c>
      <c r="D85" s="9">
        <f>'[4]消耗&amp;价值&amp;分析'!B72</f>
        <v>17393402</v>
      </c>
      <c r="E85" s="9" t="str">
        <f>IFERROR(VLOOKUP(C85,'[5]价值&amp;消耗'!$I$4:$J$105,2,FALSE),"")</f>
        <v/>
      </c>
      <c r="F85" s="9" t="str">
        <f>IFERROR(VLOOKUP(C85,'[5]价值&amp;消耗'!$W$4:$X$105,2,FALSE),"")</f>
        <v/>
      </c>
      <c r="I85" s="2"/>
      <c r="J85" s="2"/>
      <c r="K85" s="2"/>
      <c r="L85" s="2"/>
      <c r="M85" s="2"/>
      <c r="N85" s="2"/>
      <c r="O85" s="2"/>
      <c r="P85" s="2"/>
      <c r="Q85" s="2"/>
      <c r="R85" s="2"/>
    </row>
    <row r="86" spans="2:18">
      <c r="B86" s="2">
        <f>副本规划!C72</f>
        <v>112.96386958772875</v>
      </c>
      <c r="C86" s="2">
        <v>67</v>
      </c>
      <c r="D86" s="9">
        <f>'[4]消耗&amp;价值&amp;分析'!B73</f>
        <v>18655640</v>
      </c>
      <c r="E86" s="9" t="str">
        <f>IFERROR(VLOOKUP(C86,'[5]价值&amp;消耗'!$I$4:$J$105,2,FALSE),"")</f>
        <v/>
      </c>
      <c r="F86" s="9" t="str">
        <f>IFERROR(VLOOKUP(C86,'[5]价值&amp;消耗'!$W$4:$X$105,2,FALSE),"")</f>
        <v/>
      </c>
      <c r="I86" s="2"/>
      <c r="J86" s="2"/>
      <c r="K86" s="2"/>
      <c r="L86" s="2"/>
      <c r="M86" s="2"/>
      <c r="N86" s="2"/>
      <c r="O86" s="2"/>
      <c r="P86" s="2"/>
      <c r="Q86" s="2"/>
      <c r="R86" s="2"/>
    </row>
    <row r="87" spans="2:18">
      <c r="B87" s="2">
        <f>副本规划!C73</f>
        <v>124.3643493369261</v>
      </c>
      <c r="C87" s="2">
        <v>68</v>
      </c>
      <c r="D87" s="9">
        <f>'[4]消耗&amp;价值&amp;分析'!B74</f>
        <v>20634632</v>
      </c>
      <c r="E87" s="9" t="str">
        <f>IFERROR(VLOOKUP(C87,'[5]价值&amp;消耗'!$I$4:$J$105,2,FALSE),"")</f>
        <v/>
      </c>
      <c r="F87" s="9" t="str">
        <f>IFERROR(VLOOKUP(C87,'[5]价值&amp;消耗'!$W$4:$X$105,2,FALSE),"")</f>
        <v/>
      </c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2:18">
      <c r="B88" s="2">
        <f>副本规划!C74</f>
        <v>136.91353075473489</v>
      </c>
      <c r="C88" s="2">
        <v>69</v>
      </c>
      <c r="D88" s="9">
        <f>'[4]消耗&amp;价值&amp;分析'!B75</f>
        <v>22280513</v>
      </c>
      <c r="E88" s="9" t="str">
        <f>IFERROR(VLOOKUP(C88,'[5]价值&amp;消耗'!$I$4:$J$105,2,FALSE),"")</f>
        <v/>
      </c>
      <c r="F88" s="9" t="str">
        <f>IFERROR(VLOOKUP(C88,'[5]价值&amp;消耗'!$W$4:$X$105,2,FALSE),"")</f>
        <v/>
      </c>
      <c r="I88" s="2"/>
      <c r="J88" s="2"/>
      <c r="K88" s="2"/>
      <c r="L88" s="2"/>
      <c r="M88" s="2"/>
      <c r="N88" s="2"/>
      <c r="O88" s="2"/>
      <c r="P88" s="2"/>
      <c r="Q88" s="2"/>
      <c r="R88" s="2"/>
    </row>
    <row r="89" spans="2:18">
      <c r="B89" s="2">
        <f>副本规划!C75</f>
        <v>150.72715594609272</v>
      </c>
      <c r="C89" s="2">
        <v>70</v>
      </c>
      <c r="D89" s="9">
        <f>'[4]消耗&amp;价值&amp;分析'!B76</f>
        <v>24209503</v>
      </c>
      <c r="E89" s="9" t="str">
        <f>IFERROR(VLOOKUP(C89,'[5]价值&amp;消耗'!$I$4:$J$105,2,FALSE),"")</f>
        <v/>
      </c>
      <c r="F89" s="9" t="str">
        <f>IFERROR(VLOOKUP(C89,'[5]价值&amp;消耗'!$W$4:$X$105,2,FALSE),"")</f>
        <v/>
      </c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2:18">
      <c r="B90" s="2">
        <f>副本规划!C76</f>
        <v>165.93262908209542</v>
      </c>
      <c r="C90" s="2">
        <v>71</v>
      </c>
      <c r="D90" s="9">
        <f>'[4]消耗&amp;价值&amp;分析'!B77</f>
        <v>26706327</v>
      </c>
      <c r="E90" s="9" t="str">
        <f>IFERROR(VLOOKUP(C90,'[5]价值&amp;消耗'!$I$4:$J$105,2,FALSE),"")</f>
        <v/>
      </c>
      <c r="F90" s="9" t="str">
        <f>IFERROR(VLOOKUP(C90,'[5]价值&amp;消耗'!$W$4:$X$105,2,FALSE),"")</f>
        <v/>
      </c>
      <c r="I90" s="2"/>
      <c r="J90" s="2"/>
      <c r="K90" s="2"/>
      <c r="L90" s="2"/>
      <c r="M90" s="2"/>
      <c r="N90" s="2"/>
      <c r="O90" s="2"/>
      <c r="P90" s="2"/>
      <c r="Q90" s="2"/>
      <c r="R90" s="2"/>
    </row>
    <row r="91" spans="2:18">
      <c r="B91" s="2">
        <f>副本规划!C77</f>
        <v>182.67019145886732</v>
      </c>
      <c r="C91" s="2">
        <v>72</v>
      </c>
      <c r="D91" s="9">
        <f>'[4]消耗&amp;价值&amp;分析'!B78</f>
        <v>28379172</v>
      </c>
      <c r="E91" s="9" t="str">
        <f>IFERROR(VLOOKUP(C91,'[5]价值&amp;消耗'!$I$4:$J$105,2,FALSE),"")</f>
        <v/>
      </c>
      <c r="F91" s="9" t="str">
        <f>IFERROR(VLOOKUP(C91,'[5]价值&amp;消耗'!$W$4:$X$105,2,FALSE),"")</f>
        <v/>
      </c>
      <c r="I91" s="2"/>
      <c r="J91" s="2"/>
      <c r="K91" s="2"/>
      <c r="L91" s="2"/>
      <c r="M91" s="2"/>
      <c r="N91" s="2"/>
      <c r="O91" s="2"/>
      <c r="P91" s="2"/>
      <c r="Q91" s="2"/>
      <c r="R91" s="2"/>
    </row>
    <row r="92" spans="2:18">
      <c r="B92" s="2">
        <f>副本规划!C78</f>
        <v>201.09421495426361</v>
      </c>
      <c r="C92" s="2">
        <v>73</v>
      </c>
      <c r="D92" s="9">
        <f>'[4]消耗&amp;价值&amp;分析'!B79</f>
        <v>30792894</v>
      </c>
      <c r="E92" s="9" t="str">
        <f>IFERROR(VLOOKUP(C92,'[5]价值&amp;消耗'!$I$4:$J$105,2,FALSE),"")</f>
        <v/>
      </c>
      <c r="F92" s="9" t="str">
        <f>IFERROR(VLOOKUP(C92,'[5]价值&amp;消耗'!$W$4:$X$105,2,FALSE),"")</f>
        <v/>
      </c>
      <c r="I92" s="2"/>
      <c r="J92" s="2"/>
      <c r="K92" s="2"/>
      <c r="L92" s="2"/>
      <c r="M92" s="2"/>
      <c r="N92" s="2"/>
      <c r="O92" s="2"/>
      <c r="P92" s="2"/>
      <c r="Q92" s="2"/>
      <c r="R92" s="2"/>
    </row>
    <row r="93" spans="2:18">
      <c r="B93" s="2">
        <f>副本规划!C79</f>
        <v>221.37462581205909</v>
      </c>
      <c r="C93" s="2">
        <v>74</v>
      </c>
      <c r="D93" s="9">
        <f>'[4]消耗&amp;价值&amp;分析'!B80</f>
        <v>34165246</v>
      </c>
      <c r="E93" s="9" t="str">
        <f>IFERROR(VLOOKUP(C93,'[5]价值&amp;消耗'!$I$4:$J$105,2,FALSE),"")</f>
        <v/>
      </c>
      <c r="F93" s="9" t="str">
        <f>IFERROR(VLOOKUP(C93,'[5]价值&amp;消耗'!$W$4:$X$105,2,FALSE),"")</f>
        <v/>
      </c>
      <c r="I93" s="2"/>
      <c r="J93" s="2"/>
      <c r="K93" s="2"/>
      <c r="L93" s="2"/>
      <c r="M93" s="2"/>
      <c r="N93" s="2"/>
      <c r="O93" s="2"/>
      <c r="P93" s="2"/>
      <c r="Q93" s="2"/>
      <c r="R93" s="2"/>
    </row>
    <row r="94" spans="2:18">
      <c r="B94" s="2">
        <f>副本规划!C80</f>
        <v>243.6984718852994</v>
      </c>
      <c r="C94" s="2">
        <v>75</v>
      </c>
      <c r="D94" s="9">
        <f>'[4]消耗&amp;价值&amp;分析'!B81</f>
        <v>35976721</v>
      </c>
      <c r="E94" s="9" t="str">
        <f>IFERROR(VLOOKUP(C94,'[5]价值&amp;消耗'!$I$4:$J$105,2,FALSE),"")</f>
        <v/>
      </c>
      <c r="F94" s="9" t="str">
        <f>IFERROR(VLOOKUP(C94,'[5]价值&amp;消耗'!$W$4:$X$105,2,FALSE),"")</f>
        <v/>
      </c>
      <c r="I94" s="2"/>
      <c r="J94" s="2"/>
      <c r="K94" s="2"/>
      <c r="L94" s="2"/>
      <c r="M94" s="2"/>
      <c r="N94" s="2"/>
      <c r="O94" s="2"/>
      <c r="P94" s="2"/>
      <c r="Q94" s="2"/>
      <c r="R94" s="2"/>
    </row>
    <row r="95" spans="2:18">
      <c r="B95" s="2">
        <f>副本规划!C81</f>
        <v>268.27164779362505</v>
      </c>
      <c r="C95" s="2">
        <v>76</v>
      </c>
      <c r="D95" s="9">
        <f>'[4]消耗&amp;价值&amp;分析'!B82</f>
        <v>38970361</v>
      </c>
      <c r="E95" s="9" t="str">
        <f>IFERROR(VLOOKUP(C95,'[5]价值&amp;消耗'!$I$4:$J$105,2,FALSE),"")</f>
        <v/>
      </c>
      <c r="F95" s="9" t="str">
        <f>IFERROR(VLOOKUP(C95,'[5]价值&amp;消耗'!$W$4:$X$105,2,FALSE),"")</f>
        <v/>
      </c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2:18">
      <c r="B96" s="2">
        <f>副本规划!C82</f>
        <v>295.320793905833</v>
      </c>
      <c r="C96" s="2">
        <v>77</v>
      </c>
      <c r="D96" s="9">
        <f>'[4]消耗&amp;价值&amp;分析'!B83</f>
        <v>43763833</v>
      </c>
      <c r="E96" s="9" t="str">
        <f>IFERROR(VLOOKUP(C96,'[5]价值&amp;消耗'!$I$4:$J$105,2,FALSE),"")</f>
        <v/>
      </c>
      <c r="F96" s="9" t="str">
        <f>IFERROR(VLOOKUP(C96,'[5]价值&amp;消耗'!$W$4:$X$105,2,FALSE),"")</f>
        <v/>
      </c>
      <c r="I96" s="2"/>
      <c r="J96" s="2"/>
      <c r="K96" s="2"/>
      <c r="L96" s="2"/>
      <c r="M96" s="2"/>
      <c r="N96" s="2"/>
      <c r="O96" s="2"/>
      <c r="P96" s="2"/>
      <c r="Q96" s="2"/>
      <c r="R96" s="2"/>
    </row>
    <row r="97" spans="2:18">
      <c r="B97" s="2">
        <f>副本规划!C83</f>
        <v>325.09538666214337</v>
      </c>
      <c r="C97" s="2">
        <v>78</v>
      </c>
      <c r="D97" s="9">
        <f>'[4]消耗&amp;价值&amp;分析'!B84</f>
        <v>45402868</v>
      </c>
      <c r="E97" s="9" t="str">
        <f>IFERROR(VLOOKUP(C97,'[5]价值&amp;消耗'!$I$4:$J$105,2,FALSE),"")</f>
        <v/>
      </c>
      <c r="F97" s="9" t="str">
        <f>IFERROR(VLOOKUP(C97,'[5]价值&amp;消耗'!$W$4:$X$105,2,FALSE),"")</f>
        <v/>
      </c>
      <c r="I97" s="2"/>
      <c r="J97" s="2"/>
      <c r="K97" s="2"/>
      <c r="L97" s="2"/>
      <c r="M97" s="2"/>
      <c r="N97" s="2"/>
      <c r="O97" s="2"/>
      <c r="P97" s="2"/>
      <c r="Q97" s="2"/>
      <c r="R97" s="2"/>
    </row>
    <row r="98" spans="2:18">
      <c r="B98" s="2">
        <f>副本规划!C84</f>
        <v>357.87003951538151</v>
      </c>
      <c r="C98" s="2">
        <v>79</v>
      </c>
      <c r="D98" s="9">
        <f>'[4]消耗&amp;价值&amp;分析'!B85</f>
        <v>49116544</v>
      </c>
      <c r="E98" s="9" t="str">
        <f>IFERROR(VLOOKUP(C98,'[5]价值&amp;消耗'!$I$4:$J$105,2,FALSE),"")</f>
        <v/>
      </c>
      <c r="F98" s="9" t="str">
        <f>IFERROR(VLOOKUP(C98,'[5]价值&amp;消耗'!$W$4:$X$105,2,FALSE),"")</f>
        <v/>
      </c>
      <c r="I98" s="2"/>
      <c r="J98" s="2"/>
      <c r="K98" s="2"/>
      <c r="L98" s="2"/>
      <c r="M98" s="2"/>
      <c r="N98" s="2"/>
      <c r="O98" s="2"/>
      <c r="P98" s="2"/>
      <c r="Q98" s="2"/>
      <c r="R98" s="2"/>
    </row>
    <row r="99" spans="2:18">
      <c r="B99" s="2">
        <f>副本规划!C85</f>
        <v>393.94703571283947</v>
      </c>
      <c r="C99" s="2">
        <v>80</v>
      </c>
      <c r="D99" s="9">
        <f>'[4]消耗&amp;价值&amp;分析'!B86</f>
        <v>55049248</v>
      </c>
      <c r="E99" s="9" t="str">
        <f>IFERROR(VLOOKUP(C99,'[5]价值&amp;消耗'!$I$4:$J$105,2,FALSE),"")</f>
        <v/>
      </c>
      <c r="F99" s="9" t="str">
        <f>IFERROR(VLOOKUP(C99,'[5]价值&amp;消耗'!$W$4:$X$105,2,FALSE),"")</f>
        <v/>
      </c>
      <c r="I99" s="2"/>
      <c r="J99" s="2"/>
      <c r="K99" s="2"/>
      <c r="L99" s="2"/>
      <c r="M99" s="2"/>
      <c r="N99" s="2"/>
      <c r="O99" s="2"/>
      <c r="P99" s="2"/>
      <c r="Q99" s="2"/>
      <c r="R99" s="2"/>
    </row>
  </sheetData>
  <mergeCells count="1">
    <mergeCell ref="C18:F18"/>
  </mergeCells>
  <phoneticPr fontId="1" type="noConversion"/>
  <conditionalFormatting sqref="C20:F99">
    <cfRule type="expression" dxfId="36" priority="5">
      <formula>MOD($C20,10)=0</formula>
    </cfRule>
  </conditionalFormatting>
  <conditionalFormatting sqref="J48 L48:R48">
    <cfRule type="expression" dxfId="35" priority="4">
      <formula>MOD($C48,10)=0</formula>
    </cfRule>
  </conditionalFormatting>
  <conditionalFormatting sqref="L2:L10 L12:L15">
    <cfRule type="top10" dxfId="34" priority="2" rank="3"/>
  </conditionalFormatting>
  <conditionalFormatting sqref="L11">
    <cfRule type="top10" dxfId="33" priority="1" rank="3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S213"/>
  <sheetViews>
    <sheetView workbookViewId="0">
      <selection activeCell="O34" sqref="O34"/>
    </sheetView>
  </sheetViews>
  <sheetFormatPr defaultRowHeight="13.5"/>
  <cols>
    <col min="7" max="7" width="8.625" customWidth="1"/>
    <col min="13" max="13" width="10.25" customWidth="1"/>
  </cols>
  <sheetData>
    <row r="1" spans="1:19">
      <c r="A1" s="2" t="s">
        <v>945</v>
      </c>
      <c r="B1" s="2" t="s">
        <v>947</v>
      </c>
      <c r="C1" s="2" t="s">
        <v>952</v>
      </c>
      <c r="D1" s="4" t="s">
        <v>964</v>
      </c>
      <c r="E1" s="2" t="s">
        <v>962</v>
      </c>
      <c r="F1" s="2" t="s">
        <v>957</v>
      </c>
      <c r="G1" s="2" t="s">
        <v>958</v>
      </c>
      <c r="H1" s="4" t="s">
        <v>960</v>
      </c>
      <c r="N1" t="s">
        <v>976</v>
      </c>
      <c r="P1" t="s">
        <v>977</v>
      </c>
      <c r="R1" t="s">
        <v>978</v>
      </c>
    </row>
    <row r="2" spans="1:19">
      <c r="A2" s="2" t="s">
        <v>948</v>
      </c>
      <c r="B2" s="2" t="s">
        <v>951</v>
      </c>
      <c r="C2" s="2">
        <f>SUM(F17:F23)</f>
        <v>0</v>
      </c>
      <c r="D2" s="2" t="e">
        <f>C2/SUM($C$2:$C$8)</f>
        <v>#N/A</v>
      </c>
      <c r="E2" s="2">
        <v>7</v>
      </c>
      <c r="F2" s="2">
        <f>C2/E2</f>
        <v>0</v>
      </c>
      <c r="G2" s="2"/>
      <c r="H2" s="84"/>
      <c r="L2" t="s">
        <v>973</v>
      </c>
      <c r="M2" s="2" t="s">
        <v>974</v>
      </c>
      <c r="N2" s="2" t="s">
        <v>975</v>
      </c>
      <c r="O2" s="2" t="s">
        <v>973</v>
      </c>
      <c r="P2" s="2" t="s">
        <v>623</v>
      </c>
      <c r="Q2" s="2" t="s">
        <v>973</v>
      </c>
      <c r="R2" s="2" t="s">
        <v>623</v>
      </c>
      <c r="S2" s="2" t="s">
        <v>973</v>
      </c>
    </row>
    <row r="3" spans="1:19">
      <c r="A3" s="2" t="s">
        <v>949</v>
      </c>
      <c r="B3" s="2" t="s">
        <v>247</v>
      </c>
      <c r="C3" s="2" t="e">
        <f>SUM(G17:G212)</f>
        <v>#N/A</v>
      </c>
      <c r="D3" s="2" t="e">
        <f t="shared" ref="D3:D8" si="0">C3/SUM($C$2:$C$8)</f>
        <v>#N/A</v>
      </c>
      <c r="E3" s="2">
        <f>D212</f>
        <v>196</v>
      </c>
      <c r="F3" s="2" t="e">
        <f>C3/E3</f>
        <v>#N/A</v>
      </c>
      <c r="G3" s="2"/>
      <c r="H3" s="84"/>
      <c r="M3" s="2" t="s">
        <v>965</v>
      </c>
      <c r="N3" s="2">
        <v>2</v>
      </c>
      <c r="O3" s="2">
        <f t="array" ref="O3">SUM(IF($L$17:$L$36&lt;=N3,$N$17:$N$36))</f>
        <v>100</v>
      </c>
      <c r="P3" s="2">
        <v>2</v>
      </c>
      <c r="Q3" s="2">
        <f t="array" ref="Q3">SUM(IF($L$17:$L$36&lt;=P3,$N$17:$N$36))</f>
        <v>100</v>
      </c>
      <c r="R3" s="2">
        <v>5</v>
      </c>
      <c r="S3" s="2">
        <f t="array" ref="S3">SUM(IF($L$17:$L$36&lt;=R3,$N$17:$N$36))</f>
        <v>400</v>
      </c>
    </row>
    <row r="4" spans="1:19">
      <c r="A4" s="2" t="s">
        <v>950</v>
      </c>
      <c r="B4" s="2" t="s">
        <v>247</v>
      </c>
      <c r="C4" s="2">
        <f>ROUND(F4*E4,0)</f>
        <v>1760</v>
      </c>
      <c r="D4" s="2" t="e">
        <f t="shared" si="0"/>
        <v>#N/A</v>
      </c>
      <c r="E4" s="2">
        <f>ROUND(VLOOKUP(50,B17:C96,2,0),0)</f>
        <v>22</v>
      </c>
      <c r="F4" s="2">
        <f>[6]D_拼战!$D$2*H4</f>
        <v>80</v>
      </c>
      <c r="G4" s="2"/>
      <c r="H4" s="84">
        <f>金币投放!H11</f>
        <v>4</v>
      </c>
      <c r="M4" s="2" t="s">
        <v>966</v>
      </c>
      <c r="N4" s="2">
        <v>2</v>
      </c>
      <c r="O4" s="2">
        <f t="array" ref="O4">SUM(IF($L$17:$L$116&lt;=N4,$M$17:$M$116))</f>
        <v>20</v>
      </c>
      <c r="P4" s="2">
        <v>5</v>
      </c>
      <c r="Q4" s="2">
        <f t="array" ref="Q4">SUM(IF($L$17:$L$116&lt;=P4,$M$17:$M$116))</f>
        <v>80</v>
      </c>
      <c r="R4" s="2">
        <v>20</v>
      </c>
      <c r="S4" s="2">
        <f t="array" ref="S4">SUM(IF($L$17:$L$116&lt;=R4,$M$17:$M$116))</f>
        <v>980</v>
      </c>
    </row>
    <row r="5" spans="1:19">
      <c r="A5" s="2" t="s">
        <v>959</v>
      </c>
      <c r="B5" s="2" t="s">
        <v>247</v>
      </c>
      <c r="C5" s="2">
        <f>F5*E5</f>
        <v>19600</v>
      </c>
      <c r="D5" s="2" t="e">
        <f t="shared" si="0"/>
        <v>#N/A</v>
      </c>
      <c r="E5" s="2">
        <f>D212</f>
        <v>196</v>
      </c>
      <c r="F5" s="2">
        <f>INDEX([7]D_每日排名结算!$D$2:$D$13,IFERROR(MATCH(H5,[7]D_每日排名结算!$A$2:$A$13,0),MATCH(H5,[7]D_每日排名结算!$A$2:$A$13,1)+1))</f>
        <v>100</v>
      </c>
      <c r="G5" s="2"/>
      <c r="H5" s="65">
        <v>40</v>
      </c>
      <c r="M5" s="2" t="s">
        <v>969</v>
      </c>
      <c r="N5" s="2">
        <v>1</v>
      </c>
      <c r="O5" s="2">
        <f>[1]D_捐献表!$C$5*N5</f>
        <v>100</v>
      </c>
      <c r="P5" s="2">
        <v>1</v>
      </c>
      <c r="Q5" s="2">
        <f>[1]D_捐献表!$C$5*P5</f>
        <v>100</v>
      </c>
      <c r="R5" s="2">
        <v>1</v>
      </c>
      <c r="S5" s="2">
        <f>[1]D_捐献表!$C$5*R5</f>
        <v>100</v>
      </c>
    </row>
    <row r="6" spans="1:19">
      <c r="A6" s="2" t="s">
        <v>961</v>
      </c>
      <c r="B6" s="2" t="s">
        <v>955</v>
      </c>
      <c r="C6" s="2">
        <f>F6*E6</f>
        <v>23520</v>
      </c>
      <c r="D6" s="2" t="e">
        <f t="shared" si="0"/>
        <v>#N/A</v>
      </c>
      <c r="E6" s="2">
        <v>196</v>
      </c>
      <c r="F6" s="2">
        <f>H6*120</f>
        <v>120</v>
      </c>
      <c r="G6" s="2"/>
      <c r="H6" s="65">
        <v>1</v>
      </c>
      <c r="M6" s="2" t="s">
        <v>967</v>
      </c>
      <c r="N6" s="2">
        <v>1</v>
      </c>
      <c r="O6" s="2">
        <f>[8]D_商店刷新!$G$3*N6</f>
        <v>21.565557729941283</v>
      </c>
      <c r="P6" s="2">
        <v>2</v>
      </c>
      <c r="Q6" s="2">
        <f>[8]D_商店刷新!$G$3*P6</f>
        <v>43.131115459882565</v>
      </c>
      <c r="R6" s="2">
        <v>4</v>
      </c>
      <c r="S6" s="2">
        <f>[8]D_商店刷新!$G$3*R6</f>
        <v>86.26223091976513</v>
      </c>
    </row>
    <row r="7" spans="1:19">
      <c r="A7" s="2" t="s">
        <v>946</v>
      </c>
      <c r="B7" s="2" t="s">
        <v>229</v>
      </c>
      <c r="C7" s="2">
        <f>SUM(H17:H96)</f>
        <v>400</v>
      </c>
      <c r="D7" s="2" t="e">
        <f t="shared" si="0"/>
        <v>#N/A</v>
      </c>
      <c r="E7" s="2">
        <f>D212</f>
        <v>196</v>
      </c>
      <c r="F7" s="2">
        <f>C7/E7</f>
        <v>2.0408163265306123</v>
      </c>
      <c r="G7" s="2">
        <f>C7/80</f>
        <v>5</v>
      </c>
      <c r="H7" s="84"/>
      <c r="M7" s="2" t="s">
        <v>968</v>
      </c>
      <c r="N7" s="2">
        <v>0</v>
      </c>
      <c r="O7" s="2">
        <f>[8]D_商店刷新!$I$3*N7</f>
        <v>0</v>
      </c>
      <c r="P7" s="2">
        <v>1</v>
      </c>
      <c r="Q7" s="2">
        <f>[8]D_商店刷新!$I$3*P7</f>
        <v>64.609413707679664</v>
      </c>
      <c r="R7" s="2">
        <v>1</v>
      </c>
      <c r="S7" s="2">
        <f>[8]D_商店刷新!$I$3*R7</f>
        <v>64.609413707679664</v>
      </c>
    </row>
    <row r="8" spans="1:19">
      <c r="A8" s="2" t="s">
        <v>963</v>
      </c>
      <c r="B8" s="2" t="s">
        <v>229</v>
      </c>
      <c r="C8" s="2">
        <f>H8*48</f>
        <v>0</v>
      </c>
      <c r="D8" s="2" t="e">
        <f t="shared" si="0"/>
        <v>#N/A</v>
      </c>
      <c r="E8" s="2">
        <v>196</v>
      </c>
      <c r="F8" s="2">
        <f>C8/E8</f>
        <v>0</v>
      </c>
      <c r="G8" s="2">
        <f>C8/80</f>
        <v>0</v>
      </c>
      <c r="H8" s="64">
        <f>AVERAGE([3]D_成就任务!$K$80:$K$127)</f>
        <v>0</v>
      </c>
      <c r="M8" s="2" t="s">
        <v>970</v>
      </c>
      <c r="N8" s="2">
        <v>0</v>
      </c>
      <c r="O8" s="2">
        <f>[8]D_商店刷新!$J$3*N8</f>
        <v>0</v>
      </c>
      <c r="P8" s="2">
        <v>0</v>
      </c>
      <c r="Q8" s="2">
        <f>[8]D_商店刷新!$J$3*P8</f>
        <v>0</v>
      </c>
      <c r="R8" s="2">
        <v>1</v>
      </c>
      <c r="S8" s="2">
        <f>[8]D_商店刷新!$J$3*R8</f>
        <v>0</v>
      </c>
    </row>
    <row r="9" spans="1:19">
      <c r="F9" t="e">
        <f>F3+SUM(F5:F8)</f>
        <v>#N/A</v>
      </c>
      <c r="M9" s="2" t="s">
        <v>971</v>
      </c>
      <c r="N9" s="2">
        <v>0</v>
      </c>
      <c r="O9" s="2">
        <f>[8]D_十连抽价格表!$C$5*N9</f>
        <v>0</v>
      </c>
      <c r="P9" s="2">
        <v>0.1</v>
      </c>
      <c r="Q9" s="2">
        <f>[8]D_十连抽价格表!$C$5*P9</f>
        <v>259.2</v>
      </c>
      <c r="R9" s="2">
        <v>0.5</v>
      </c>
      <c r="S9" s="2">
        <f>[8]D_十连抽价格表!$C$5*R9</f>
        <v>1296</v>
      </c>
    </row>
    <row r="10" spans="1:19">
      <c r="M10" s="2" t="s">
        <v>972</v>
      </c>
      <c r="N10" s="2">
        <v>0</v>
      </c>
      <c r="O10" s="2">
        <f t="array" ref="O10">SUM(IF($L$17:$L$213&lt;=N10,$O$17:$O$213))</f>
        <v>0</v>
      </c>
      <c r="P10" s="2">
        <v>0</v>
      </c>
      <c r="Q10" s="2">
        <f t="array" ref="Q10">SUM(IF($L$17:$L$213&lt;=P10,$O$17:$O$213))</f>
        <v>0</v>
      </c>
      <c r="R10" s="2">
        <v>10</v>
      </c>
      <c r="S10" s="2">
        <f t="array" ref="S10">SUM(IF($L$17:$L$213&lt;=R10,$O$17:$O$213))</f>
        <v>100</v>
      </c>
    </row>
    <row r="11" spans="1:19">
      <c r="O11">
        <f>SUM(O3:O10)</f>
        <v>241.56555772994128</v>
      </c>
      <c r="Q11">
        <f>SUM(Q3:Q10)</f>
        <v>646.9405291675622</v>
      </c>
      <c r="S11">
        <f>SUM(S3:S10)</f>
        <v>3026.8716446274448</v>
      </c>
    </row>
    <row r="15" spans="1:19">
      <c r="F15" t="s">
        <v>247</v>
      </c>
      <c r="G15" t="s">
        <v>247</v>
      </c>
      <c r="H15" t="s">
        <v>229</v>
      </c>
      <c r="I15" t="s">
        <v>247</v>
      </c>
      <c r="J15" t="s">
        <v>247</v>
      </c>
    </row>
    <row r="16" spans="1:19">
      <c r="A16" t="s">
        <v>247</v>
      </c>
      <c r="B16" t="s">
        <v>943</v>
      </c>
      <c r="C16" t="s">
        <v>944</v>
      </c>
      <c r="D16" t="s">
        <v>955</v>
      </c>
      <c r="E16" t="s">
        <v>954</v>
      </c>
      <c r="F16" t="s">
        <v>948</v>
      </c>
      <c r="G16" t="s">
        <v>949</v>
      </c>
      <c r="H16" t="s">
        <v>956</v>
      </c>
      <c r="I16" t="s">
        <v>949</v>
      </c>
      <c r="J16" t="s">
        <v>953</v>
      </c>
      <c r="M16" t="s">
        <v>966</v>
      </c>
      <c r="N16" t="s">
        <v>965</v>
      </c>
      <c r="O16" t="s">
        <v>972</v>
      </c>
    </row>
    <row r="17" spans="1:15">
      <c r="A17">
        <f>'1、经济推算'!J3</f>
        <v>1.8345984399899647E-2</v>
      </c>
      <c r="B17">
        <v>1</v>
      </c>
      <c r="C17">
        <f>'1、经济推算'!J3</f>
        <v>1.8345984399899647E-2</v>
      </c>
      <c r="D17">
        <v>1</v>
      </c>
      <c r="E17">
        <f t="shared" ref="E17:E48" si="1">VLOOKUP(D17,$A$17:$B$96,2,1)</f>
        <v>19</v>
      </c>
      <c r="F17">
        <f>VLOOKUP(D17,[6]D_7天登陆!$A:$C,3,0)</f>
        <v>0</v>
      </c>
      <c r="G17" t="e">
        <f>VLOOKUP(D17-IF(D17&gt;30,((INT(D17/30)-1)*30+29),0),[6]D_月签到!$A:$F,6,0)</f>
        <v>#N/A</v>
      </c>
      <c r="I17">
        <v>0</v>
      </c>
      <c r="J17">
        <v>10</v>
      </c>
      <c r="L17">
        <v>1</v>
      </c>
      <c r="M17">
        <f>[8]D_点金手计算表!$C2</f>
        <v>10</v>
      </c>
      <c r="N17">
        <f>[9]D_VIP重置表!$G2</f>
        <v>50</v>
      </c>
      <c r="O17">
        <v>10</v>
      </c>
    </row>
    <row r="18" spans="1:15">
      <c r="A18">
        <f>'1、经济推算'!J4</f>
        <v>3.8540493015981322E-2</v>
      </c>
      <c r="B18">
        <v>2</v>
      </c>
      <c r="C18">
        <f>'1、经济推算'!J4</f>
        <v>3.8540493015981322E-2</v>
      </c>
      <c r="D18">
        <v>2</v>
      </c>
      <c r="E18">
        <f t="shared" si="1"/>
        <v>25</v>
      </c>
      <c r="F18">
        <f>VLOOKUP(D18,[6]D_7天登陆!$A:$C,3,0)</f>
        <v>0</v>
      </c>
      <c r="G18" t="e">
        <f>VLOOKUP(D18-IF(D18&gt;30,((INT(D18/30)-1)*30+29),0),[6]D_月签到!$A:$F,6,0)</f>
        <v>#N/A</v>
      </c>
      <c r="I18" t="e">
        <f>IF(ROUNDUP(D18,0)=ROUNDUP(D17,0),0,VLOOKUP(IF(D18&gt;30,D18-(INT(D18/30)-1)*30-29,D18),[6]D_月签到!$A:$F,6,1))</f>
        <v>#N/A</v>
      </c>
      <c r="J18">
        <v>10</v>
      </c>
      <c r="L18">
        <v>2</v>
      </c>
      <c r="M18">
        <f>[8]D_点金手计算表!$C3</f>
        <v>10</v>
      </c>
      <c r="N18">
        <f>[9]D_VIP重置表!$G3</f>
        <v>50</v>
      </c>
      <c r="O18">
        <v>10</v>
      </c>
    </row>
    <row r="19" spans="1:15">
      <c r="A19">
        <f>'1、经济推算'!J5</f>
        <v>6.0769781418037738E-2</v>
      </c>
      <c r="B19">
        <v>3</v>
      </c>
      <c r="C19">
        <f>'1、经济推算'!J5</f>
        <v>6.0769781418037738E-2</v>
      </c>
      <c r="D19">
        <v>3</v>
      </c>
      <c r="E19">
        <f t="shared" si="1"/>
        <v>29</v>
      </c>
      <c r="F19">
        <f>VLOOKUP(D19,[6]D_7天登陆!$A:$C,3,0)</f>
        <v>0</v>
      </c>
      <c r="G19" t="e">
        <f>VLOOKUP(D19-IF(D19&gt;30,((INT(D19/30)-1)*30+29),0),[6]D_月签到!$A:$F,6,0)</f>
        <v>#N/A</v>
      </c>
      <c r="I19" t="e">
        <f>IF(ROUNDUP(D19,0)=ROUNDUP(D18,0),0,VLOOKUP(IF(D19&gt;30,D19-(INT(D19/30)-1)*30-29,D19),[6]D_月签到!$A:$F,6,1))</f>
        <v>#N/A</v>
      </c>
      <c r="J19">
        <v>10</v>
      </c>
      <c r="L19">
        <v>3</v>
      </c>
      <c r="M19">
        <f>[8]D_点金手计算表!$C4</f>
        <v>20</v>
      </c>
      <c r="N19">
        <f>[9]D_VIP重置表!$G4</f>
        <v>100</v>
      </c>
      <c r="O19">
        <v>10</v>
      </c>
    </row>
    <row r="20" spans="1:15">
      <c r="A20">
        <f>'1、经济推算'!J6</f>
        <v>8.5238872112737563E-2</v>
      </c>
      <c r="B20">
        <v>4</v>
      </c>
      <c r="C20">
        <f>'1、经济推算'!J6</f>
        <v>8.5238872112737563E-2</v>
      </c>
      <c r="D20">
        <v>4</v>
      </c>
      <c r="E20">
        <f t="shared" si="1"/>
        <v>32</v>
      </c>
      <c r="F20">
        <f>VLOOKUP(D20,[6]D_7天登陆!$A:$C,3,0)</f>
        <v>0</v>
      </c>
      <c r="G20" t="e">
        <f>VLOOKUP(D20-IF(D20&gt;30,((INT(D20/30)-1)*30+29),0),[6]D_月签到!$A:$F,6,0)</f>
        <v>#N/A</v>
      </c>
      <c r="I20" t="e">
        <f>IF(ROUNDUP(D20,0)=ROUNDUP(D19,0),0,VLOOKUP(IF(D20&gt;30,D20-(INT(D20/30)-1)*30-29,D20),[6]D_月签到!$A:$F,6,1))</f>
        <v>#N/A</v>
      </c>
      <c r="J20">
        <v>10</v>
      </c>
      <c r="L20">
        <v>4</v>
      </c>
      <c r="M20">
        <f>[8]D_点金手计算表!$C5</f>
        <v>20</v>
      </c>
      <c r="N20">
        <f>[9]D_VIP重置表!$G5</f>
        <v>100</v>
      </c>
      <c r="O20">
        <v>10</v>
      </c>
    </row>
    <row r="21" spans="1:15">
      <c r="A21">
        <f>'1、经济推算'!J7</f>
        <v>0.11217344548261912</v>
      </c>
      <c r="B21">
        <v>5</v>
      </c>
      <c r="C21">
        <f>'1、经济推算'!J7</f>
        <v>0.11217344548261912</v>
      </c>
      <c r="D21">
        <v>5</v>
      </c>
      <c r="E21">
        <f t="shared" si="1"/>
        <v>34</v>
      </c>
      <c r="F21">
        <f>VLOOKUP(D21,[6]D_7天登陆!$A:$C,3,0)</f>
        <v>0</v>
      </c>
      <c r="G21" t="e">
        <f>VLOOKUP(D21-IF(D21&gt;30,((INT(D21/30)-1)*30+29),0),[6]D_月签到!$A:$F,6,0)</f>
        <v>#N/A</v>
      </c>
      <c r="H21">
        <v>5</v>
      </c>
      <c r="I21" t="e">
        <f>IF(ROUNDUP(D21,0)=ROUNDUP(D20,0),0,VLOOKUP(IF(D21&gt;30,D21-(INT(D21/30)-1)*30-29,D21),[6]D_月签到!$A:$F,6,1))</f>
        <v>#N/A</v>
      </c>
      <c r="J21">
        <v>10</v>
      </c>
      <c r="L21">
        <v>5</v>
      </c>
      <c r="M21">
        <f>[8]D_点金手计算表!$C6</f>
        <v>20</v>
      </c>
      <c r="N21">
        <f>[9]D_VIP重置表!$G6</f>
        <v>100</v>
      </c>
      <c r="O21">
        <v>10</v>
      </c>
    </row>
    <row r="22" spans="1:15">
      <c r="A22">
        <f>'1、经济推算'!J8</f>
        <v>0.1418219212543271</v>
      </c>
      <c r="B22">
        <v>6</v>
      </c>
      <c r="C22">
        <f>'1、经济推算'!J8</f>
        <v>0.1418219212543271</v>
      </c>
      <c r="D22">
        <v>6</v>
      </c>
      <c r="E22">
        <f t="shared" si="1"/>
        <v>36</v>
      </c>
      <c r="F22">
        <f>VLOOKUP(D22,[6]D_7天登陆!$A:$C,3,0)</f>
        <v>0</v>
      </c>
      <c r="G22" t="e">
        <f>VLOOKUP(D22-IF(D22&gt;30,((INT(D22/30)-1)*30+29),0),[6]D_月签到!$A:$F,6,0)</f>
        <v>#N/A</v>
      </c>
      <c r="I22" t="e">
        <f>IF(ROUNDUP(D22,0)=ROUNDUP(D21,0),0,VLOOKUP(IF(D22&gt;30,D22-(INT(D22/30)-1)*30-29,D22),[6]D_月签到!$A:$F,6,1))</f>
        <v>#N/A</v>
      </c>
      <c r="J22">
        <v>10</v>
      </c>
      <c r="L22">
        <v>6</v>
      </c>
      <c r="M22">
        <f>[8]D_点金手计算表!$C7</f>
        <v>40</v>
      </c>
      <c r="N22">
        <f>[9]D_VIP重置表!$G7</f>
        <v>200</v>
      </c>
      <c r="O22">
        <v>10</v>
      </c>
    </row>
    <row r="23" spans="1:15">
      <c r="A23">
        <f>'1、经济推算'!J9</f>
        <v>0.17445774969364053</v>
      </c>
      <c r="B23">
        <v>7</v>
      </c>
      <c r="C23">
        <f>'1、经济推算'!J9</f>
        <v>0.17445774969364053</v>
      </c>
      <c r="D23">
        <v>7</v>
      </c>
      <c r="E23">
        <f t="shared" si="1"/>
        <v>38</v>
      </c>
      <c r="F23">
        <f>VLOOKUP(D23,[6]D_7天登陆!$A:$C,3,0)</f>
        <v>0</v>
      </c>
      <c r="G23" t="e">
        <f>VLOOKUP(D23-IF(D23&gt;30,((INT(D23/30)-1)*30+29),0),[6]D_月签到!$A:$F,6,0)</f>
        <v>#N/A</v>
      </c>
      <c r="I23" t="e">
        <f>IF(ROUNDUP(D23,0)=ROUNDUP(D22,0),0,VLOOKUP(IF(D23&gt;30,D23-(INT(D23/30)-1)*30-29,D23),[6]D_月签到!$A:$F,6,1))</f>
        <v>#N/A</v>
      </c>
      <c r="J23">
        <v>10</v>
      </c>
      <c r="L23">
        <v>7</v>
      </c>
      <c r="M23">
        <f>[8]D_点金手计算表!$C8</f>
        <v>40</v>
      </c>
      <c r="N23">
        <f>[9]D_VIP重置表!$G8</f>
        <v>200</v>
      </c>
      <c r="O23">
        <v>10</v>
      </c>
    </row>
    <row r="24" spans="1:15">
      <c r="A24">
        <f>'1、经济推算'!J10</f>
        <v>0.21038193365916727</v>
      </c>
      <c r="B24">
        <v>8</v>
      </c>
      <c r="C24">
        <f>'1、经济推算'!J10</f>
        <v>0.21038193365916727</v>
      </c>
      <c r="D24">
        <v>8</v>
      </c>
      <c r="E24">
        <f t="shared" si="1"/>
        <v>39</v>
      </c>
      <c r="G24" t="e">
        <f>VLOOKUP(D24-IF(D24&gt;30,((INT(D24/30)-1)*30+29),0),[6]D_月签到!$A:$F,6,0)</f>
        <v>#N/A</v>
      </c>
      <c r="I24" t="e">
        <f>IF(ROUNDUP(D24,0)=ROUNDUP(D23,0),0,VLOOKUP(IF(D24&gt;30,D24-(INT(D24/30)-1)*30-29,D24),[6]D_月签到!$A:$F,6,1))</f>
        <v>#N/A</v>
      </c>
      <c r="J24">
        <v>10</v>
      </c>
      <c r="L24">
        <v>8</v>
      </c>
      <c r="M24">
        <f>[8]D_点金手计算表!$C9</f>
        <v>40</v>
      </c>
      <c r="N24">
        <f>[9]D_VIP重置表!$G9</f>
        <v>300</v>
      </c>
      <c r="O24">
        <v>10</v>
      </c>
    </row>
    <row r="25" spans="1:15">
      <c r="A25">
        <f>'1、经济推算'!J11</f>
        <v>0.24992580477580797</v>
      </c>
      <c r="B25">
        <v>9</v>
      </c>
      <c r="C25">
        <f>'1、经济推算'!J11</f>
        <v>0.24992580477580797</v>
      </c>
      <c r="D25">
        <v>9</v>
      </c>
      <c r="E25">
        <f t="shared" si="1"/>
        <v>40</v>
      </c>
      <c r="G25" t="e">
        <f>VLOOKUP(D25-IF(D25&gt;30,((INT(D25/30)-1)*30+29),0),[6]D_月签到!$A:$F,6,0)</f>
        <v>#N/A</v>
      </c>
      <c r="I25" t="e">
        <f>IF(ROUNDUP(D25,0)=ROUNDUP(D24,0),0,VLOOKUP(IF(D25&gt;30,D25-(INT(D25/30)-1)*30-29,D25),[6]D_月签到!$A:$F,6,1))</f>
        <v>#N/A</v>
      </c>
      <c r="J25">
        <v>10</v>
      </c>
      <c r="L25">
        <v>9</v>
      </c>
      <c r="M25">
        <f>[8]D_点金手计算表!$C10</f>
        <v>40</v>
      </c>
      <c r="N25">
        <f>[9]D_VIP重置表!$G10</f>
        <v>300</v>
      </c>
      <c r="O25">
        <v>10</v>
      </c>
    </row>
    <row r="26" spans="1:15">
      <c r="A26">
        <f>'1、经济推算'!J12</f>
        <v>0.29345407933285994</v>
      </c>
      <c r="B26">
        <v>10</v>
      </c>
      <c r="C26">
        <f>'1、经济推算'!J12</f>
        <v>0.29345407933285994</v>
      </c>
      <c r="D26">
        <v>10</v>
      </c>
      <c r="E26">
        <f t="shared" si="1"/>
        <v>41</v>
      </c>
      <c r="G26" t="e">
        <f>VLOOKUP(D26-IF(D26&gt;30,((INT(D26/30)-1)*30+29),0),[6]D_月签到!$A:$F,6,0)</f>
        <v>#N/A</v>
      </c>
      <c r="H26">
        <v>10</v>
      </c>
      <c r="I26" t="e">
        <f>IF(ROUNDUP(D26,0)=ROUNDUP(D25,0),0,VLOOKUP(IF(D26&gt;30,D26-(INT(D26/30)-1)*30-29,D26),[6]D_月签到!$A:$F,6,1))</f>
        <v>#N/A</v>
      </c>
      <c r="J26">
        <v>10</v>
      </c>
      <c r="L26">
        <v>10</v>
      </c>
      <c r="M26">
        <f>[8]D_点金手计算表!$C11</f>
        <v>40</v>
      </c>
      <c r="N26">
        <f>[9]D_VIP重置表!$G11</f>
        <v>300</v>
      </c>
      <c r="O26">
        <v>10</v>
      </c>
    </row>
    <row r="27" spans="1:15">
      <c r="A27">
        <f>'1、经济推算'!J13</f>
        <v>0.34136822209155337</v>
      </c>
      <c r="B27">
        <v>11</v>
      </c>
      <c r="C27">
        <f>'1、经济推算'!J13</f>
        <v>0.34136822209155337</v>
      </c>
      <c r="D27">
        <v>11</v>
      </c>
      <c r="E27">
        <f t="shared" si="1"/>
        <v>42</v>
      </c>
      <c r="G27" t="e">
        <f>VLOOKUP(D27-IF(D27&gt;30,((INT(D27/30)-1)*30+29),0),[6]D_月签到!$A:$F,6,0)</f>
        <v>#N/A</v>
      </c>
      <c r="I27" t="e">
        <f>IF(ROUNDUP(D27,0)=ROUNDUP(D26,0),0,VLOOKUP(IF(D27&gt;30,D27-(INT(D27/30)-1)*30-29,D27),[6]D_月签到!$A:$F,6,1))</f>
        <v>#N/A</v>
      </c>
      <c r="J27">
        <v>10</v>
      </c>
      <c r="L27">
        <v>11</v>
      </c>
      <c r="M27">
        <f>[8]D_点金手计算表!$C12</f>
        <v>60</v>
      </c>
      <c r="O27">
        <v>20</v>
      </c>
    </row>
    <row r="28" spans="1:15">
      <c r="A28">
        <f>'1、经济推算'!J14</f>
        <v>0.39411014902668667</v>
      </c>
      <c r="B28">
        <v>12</v>
      </c>
      <c r="C28">
        <f>'1、经济推算'!J14</f>
        <v>0.39411014902668667</v>
      </c>
      <c r="D28">
        <v>12</v>
      </c>
      <c r="E28">
        <f t="shared" si="1"/>
        <v>43</v>
      </c>
      <c r="G28" t="e">
        <f>VLOOKUP(D28-IF(D28&gt;30,((INT(D28/30)-1)*30+29),0),[6]D_月签到!$A:$F,6,0)</f>
        <v>#N/A</v>
      </c>
      <c r="I28" t="e">
        <f>IF(ROUNDUP(D28,0)=ROUNDUP(D27,0),0,VLOOKUP(IF(D28&gt;30,D28-(INT(D28/30)-1)*30-29,D28),[6]D_月签到!$A:$F,6,1))</f>
        <v>#N/A</v>
      </c>
      <c r="L28">
        <v>12</v>
      </c>
      <c r="M28">
        <f>[8]D_点金手计算表!$C13</f>
        <v>60</v>
      </c>
      <c r="O28">
        <v>20</v>
      </c>
    </row>
    <row r="29" spans="1:15">
      <c r="A29">
        <f>'1、经济推算'!J15</f>
        <v>0.45216630315304279</v>
      </c>
      <c r="B29">
        <v>13</v>
      </c>
      <c r="C29">
        <f>'1、经济推算'!J15</f>
        <v>0.45216630315304279</v>
      </c>
      <c r="D29">
        <v>13</v>
      </c>
      <c r="E29">
        <f t="shared" si="1"/>
        <v>44</v>
      </c>
      <c r="G29" t="e">
        <f>VLOOKUP(D29-IF(D29&gt;30,((INT(D29/30)-1)*30+29),0),[6]D_月签到!$A:$F,6,0)</f>
        <v>#N/A</v>
      </c>
      <c r="I29" t="e">
        <f>IF(ROUNDUP(D29,0)=ROUNDUP(D28,0),0,VLOOKUP(IF(D29&gt;30,D29-(INT(D29/30)-1)*30-29,D29),[6]D_月签到!$A:$F,6,1))</f>
        <v>#N/A</v>
      </c>
      <c r="L29">
        <v>13</v>
      </c>
      <c r="M29">
        <f>[8]D_点金手计算表!$C14</f>
        <v>60</v>
      </c>
      <c r="O29">
        <v>20</v>
      </c>
    </row>
    <row r="30" spans="1:15">
      <c r="A30">
        <f>'1、经济推算'!J16</f>
        <v>0.51607214102826071</v>
      </c>
      <c r="B30">
        <v>14</v>
      </c>
      <c r="C30">
        <f>'1、经济推算'!J16</f>
        <v>0.51607214102826071</v>
      </c>
      <c r="D30">
        <v>14</v>
      </c>
      <c r="E30">
        <f t="shared" si="1"/>
        <v>45</v>
      </c>
      <c r="G30" t="e">
        <f>VLOOKUP(D30-IF(D30&gt;30,((INT(D30/30)-1)*30+29),0),[6]D_月签到!$A:$F,6,0)</f>
        <v>#N/A</v>
      </c>
      <c r="I30" t="e">
        <f>IF(ROUNDUP(D30,0)=ROUNDUP(D29,0),0,VLOOKUP(IF(D30&gt;30,D30-(INT(D30/30)-1)*30-29,D30),[6]D_月签到!$A:$F,6,1))</f>
        <v>#N/A</v>
      </c>
      <c r="L30">
        <v>14</v>
      </c>
      <c r="M30">
        <f>[8]D_点金手计算表!$C15</f>
        <v>60</v>
      </c>
      <c r="O30">
        <v>20</v>
      </c>
    </row>
    <row r="31" spans="1:15">
      <c r="A31">
        <f>'1、经济推算'!J17</f>
        <v>0.58641707131153653</v>
      </c>
      <c r="B31">
        <v>15</v>
      </c>
      <c r="C31">
        <f>'1、经济推算'!J17</f>
        <v>0.58641707131153653</v>
      </c>
      <c r="D31">
        <v>15</v>
      </c>
      <c r="E31">
        <f t="shared" si="1"/>
        <v>46</v>
      </c>
      <c r="G31" t="e">
        <f>VLOOKUP(D31-IF(D31&gt;30,((INT(D31/30)-1)*30+29),0),[6]D_月签到!$A:$F,6,0)</f>
        <v>#N/A</v>
      </c>
      <c r="H31">
        <v>10</v>
      </c>
      <c r="I31" t="e">
        <f>IF(ROUNDUP(D31,0)=ROUNDUP(D30,0),0,VLOOKUP(IF(D31&gt;30,D31-(INT(D31/30)-1)*30-29,D31),[6]D_月签到!$A:$F,6,1))</f>
        <v>#N/A</v>
      </c>
      <c r="L31">
        <v>15</v>
      </c>
      <c r="M31">
        <f>[8]D_点金手计算表!$C16</f>
        <v>60</v>
      </c>
      <c r="O31">
        <v>20</v>
      </c>
    </row>
    <row r="32" spans="1:15">
      <c r="A32">
        <f>'1、经济推算'!J18</f>
        <v>0.66384989092687696</v>
      </c>
      <c r="B32">
        <v>16</v>
      </c>
      <c r="C32">
        <f>'1、经济推算'!J18</f>
        <v>0.66384989092687696</v>
      </c>
      <c r="D32">
        <v>16</v>
      </c>
      <c r="E32">
        <f t="shared" si="1"/>
        <v>46</v>
      </c>
      <c r="G32" t="e">
        <f>VLOOKUP(D32-IF(D32&gt;30,((INT(D32/30)-1)*30+29),0),[6]D_月签到!$A:$F,6,0)</f>
        <v>#N/A</v>
      </c>
      <c r="I32" t="e">
        <f>IF(ROUNDUP(D32,0)=ROUNDUP(D31,0),0,VLOOKUP(IF(D32&gt;30,D32-(INT(D32/30)-1)*30-29,D32),[6]D_月签到!$A:$F,6,1))</f>
        <v>#N/A</v>
      </c>
      <c r="L32">
        <v>16</v>
      </c>
      <c r="M32">
        <f>[8]D_点金手计算表!$C17</f>
        <v>80</v>
      </c>
      <c r="O32">
        <v>20</v>
      </c>
    </row>
    <row r="33" spans="1:15">
      <c r="A33">
        <f>'1、经济推算'!J19</f>
        <v>0.74908476896907372</v>
      </c>
      <c r="B33">
        <v>17</v>
      </c>
      <c r="C33">
        <f>'1、经济推算'!J19</f>
        <v>0.74908476896907372</v>
      </c>
      <c r="D33">
        <v>17</v>
      </c>
      <c r="E33">
        <f t="shared" si="1"/>
        <v>47</v>
      </c>
      <c r="G33" t="e">
        <f>VLOOKUP(D33-IF(D33&gt;30,((INT(D33/30)-1)*30+29),0),[6]D_月签到!$A:$F,6,0)</f>
        <v>#N/A</v>
      </c>
      <c r="I33" t="e">
        <f>IF(ROUNDUP(D33,0)=ROUNDUP(D32,0),0,VLOOKUP(IF(D33&gt;30,D33-(INT(D33/30)-1)*30-29,D33),[6]D_月签到!$A:$F,6,1))</f>
        <v>#N/A</v>
      </c>
      <c r="L33">
        <v>17</v>
      </c>
      <c r="M33">
        <f>[8]D_点金手计算表!$C18</f>
        <v>80</v>
      </c>
      <c r="O33">
        <v>20</v>
      </c>
    </row>
    <row r="34" spans="1:15">
      <c r="A34">
        <f>'1、经济推算'!J20</f>
        <v>0.84290783354244314</v>
      </c>
      <c r="B34">
        <v>18</v>
      </c>
      <c r="C34">
        <f>'1、经济推算'!J20</f>
        <v>0.84290783354244314</v>
      </c>
      <c r="D34">
        <v>18</v>
      </c>
      <c r="E34">
        <f t="shared" si="1"/>
        <v>47</v>
      </c>
      <c r="G34" t="e">
        <f>VLOOKUP(D34-IF(D34&gt;30,((INT(D34/30)-1)*30+29),0),[6]D_月签到!$A:$F,6,0)</f>
        <v>#N/A</v>
      </c>
      <c r="I34" t="e">
        <f>IF(ROUNDUP(D34,0)=ROUNDUP(D33,0),0,VLOOKUP(IF(D34&gt;30,D34-(INT(D34/30)-1)*30-29,D34),[6]D_月签到!$A:$F,6,1))</f>
        <v>#N/A</v>
      </c>
      <c r="L34">
        <v>18</v>
      </c>
      <c r="M34">
        <f>[8]D_点金手计算表!$C19</f>
        <v>80</v>
      </c>
      <c r="O34">
        <v>20</v>
      </c>
    </row>
    <row r="35" spans="1:15">
      <c r="A35">
        <f>'1、经济推算'!J21</f>
        <v>0.94618442228327204</v>
      </c>
      <c r="B35">
        <v>19</v>
      </c>
      <c r="C35">
        <f>'1、经济推算'!J21</f>
        <v>0.94618442228327204</v>
      </c>
      <c r="D35">
        <v>19</v>
      </c>
      <c r="E35">
        <f t="shared" si="1"/>
        <v>48</v>
      </c>
      <c r="G35" t="e">
        <f>VLOOKUP(D35-IF(D35&gt;30,((INT(D35/30)-1)*30+29),0),[6]D_月签到!$A:$F,6,0)</f>
        <v>#N/A</v>
      </c>
      <c r="I35" t="e">
        <f>IF(ROUNDUP(D35,0)=ROUNDUP(D34,0),0,VLOOKUP(IF(D35&gt;30,D35-(INT(D35/30)-1)*30-29,D35),[6]D_月签到!$A:$F,6,1))</f>
        <v>#N/A</v>
      </c>
      <c r="L35">
        <v>19</v>
      </c>
      <c r="M35">
        <f>[8]D_点金手计算表!$C20</f>
        <v>80</v>
      </c>
      <c r="O35">
        <v>20</v>
      </c>
    </row>
    <row r="36" spans="1:15">
      <c r="A36">
        <f>'1、经济推算'!J22</f>
        <v>1.059867063438118</v>
      </c>
      <c r="B36">
        <v>20</v>
      </c>
      <c r="C36">
        <f>'1、经济推算'!J22</f>
        <v>1.059867063438118</v>
      </c>
      <c r="D36">
        <v>20</v>
      </c>
      <c r="E36">
        <f t="shared" si="1"/>
        <v>49</v>
      </c>
      <c r="G36" t="e">
        <f>VLOOKUP(D36-IF(D36&gt;30,((INT(D36/30)-1)*30+29),0),[6]D_月签到!$A:$F,6,0)</f>
        <v>#N/A</v>
      </c>
      <c r="H36">
        <v>15</v>
      </c>
      <c r="I36" t="e">
        <f>IF(ROUNDUP(D36,0)=ROUNDUP(D35,0),0,VLOOKUP(IF(D36&gt;30,D36-(INT(D36/30)-1)*30-29,D36),[6]D_月签到!$A:$F,6,1))</f>
        <v>#N/A</v>
      </c>
      <c r="L36">
        <v>20</v>
      </c>
      <c r="M36">
        <f>[8]D_点金手计算表!$C21</f>
        <v>80</v>
      </c>
      <c r="O36">
        <v>20</v>
      </c>
    </row>
    <row r="37" spans="1:15">
      <c r="A37">
        <f>'1、经济推算'!J23</f>
        <v>1.1850042611080895</v>
      </c>
      <c r="B37">
        <v>21</v>
      </c>
      <c r="C37">
        <f>'1、经济推算'!J23</f>
        <v>1.1850042611080895</v>
      </c>
      <c r="D37">
        <v>21</v>
      </c>
      <c r="E37">
        <f t="shared" si="1"/>
        <v>49</v>
      </c>
      <c r="G37" t="e">
        <f>VLOOKUP(D37-IF(D37&gt;30,((INT(D37/30)-1)*30+29),0),[6]D_月签到!$A:$F,6,0)</f>
        <v>#N/A</v>
      </c>
      <c r="I37" t="e">
        <f>IF(ROUNDUP(D37,0)=ROUNDUP(D36,0),0,VLOOKUP(IF(D37&gt;30,D37-(INT(D37/30)-1)*30-29,D37),[6]D_月签到!$A:$F,6,1))</f>
        <v>#N/A</v>
      </c>
      <c r="L37">
        <v>21</v>
      </c>
      <c r="M37">
        <f>[8]D_点金手计算表!$C22</f>
        <v>100</v>
      </c>
      <c r="O37">
        <v>30</v>
      </c>
    </row>
    <row r="38" spans="1:15">
      <c r="A38">
        <f>'1、经济推算'!J24</f>
        <v>1.3227501656861169</v>
      </c>
      <c r="B38">
        <v>22</v>
      </c>
      <c r="C38">
        <f>'1、经济推算'!J24</f>
        <v>1.3227501656861169</v>
      </c>
      <c r="D38">
        <v>22</v>
      </c>
      <c r="E38">
        <f t="shared" si="1"/>
        <v>50</v>
      </c>
      <c r="G38" t="e">
        <f>VLOOKUP(D38-IF(D38&gt;30,((INT(D38/30)-1)*30+29),0),[6]D_月签到!$A:$F,6,0)</f>
        <v>#N/A</v>
      </c>
      <c r="I38" t="e">
        <f>IF(ROUNDUP(D38,0)=ROUNDUP(D37,0),0,VLOOKUP(IF(D38&gt;30,D38-(INT(D38/30)-1)*30-29,D38),[6]D_月签到!$A:$F,6,1))</f>
        <v>#N/A</v>
      </c>
      <c r="L38">
        <v>22</v>
      </c>
      <c r="M38">
        <f>[8]D_点金手计算表!$C23</f>
        <v>100</v>
      </c>
      <c r="O38">
        <v>30</v>
      </c>
    </row>
    <row r="39" spans="1:15">
      <c r="A39">
        <f>'1、经济推算'!J25</f>
        <v>1.4743752186784302</v>
      </c>
      <c r="B39">
        <v>23</v>
      </c>
      <c r="C39">
        <f>'1、经济推算'!J25</f>
        <v>1.4743752186784302</v>
      </c>
      <c r="D39">
        <v>23</v>
      </c>
      <c r="E39">
        <f t="shared" si="1"/>
        <v>50</v>
      </c>
      <c r="G39" t="e">
        <f>VLOOKUP(D39-IF(D39&gt;30,((INT(D39/30)-1)*30+29),0),[6]D_月签到!$A:$F,6,0)</f>
        <v>#N/A</v>
      </c>
      <c r="I39" t="e">
        <f>IF(ROUNDUP(D39,0)=ROUNDUP(D38,0),0,VLOOKUP(IF(D39&gt;30,D39-(INT(D39/30)-1)*30-29,D39),[6]D_月签到!$A:$F,6,1))</f>
        <v>#N/A</v>
      </c>
      <c r="L39">
        <v>23</v>
      </c>
      <c r="M39">
        <f>[8]D_点金手计算表!$C24</f>
        <v>100</v>
      </c>
      <c r="O39">
        <v>30</v>
      </c>
    </row>
    <row r="40" spans="1:15">
      <c r="A40">
        <f>'1、经济推算'!J26</f>
        <v>1.6412778700882864</v>
      </c>
      <c r="B40">
        <v>24</v>
      </c>
      <c r="C40">
        <f>'1、经济推算'!J26</f>
        <v>1.6412778700882864</v>
      </c>
      <c r="D40">
        <v>24</v>
      </c>
      <c r="E40">
        <f t="shared" si="1"/>
        <v>50</v>
      </c>
      <c r="G40" t="e">
        <f>VLOOKUP(D40-IF(D40&gt;30,((INT(D40/30)-1)*30+29),0),[6]D_月签到!$A:$F,6,0)</f>
        <v>#N/A</v>
      </c>
      <c r="I40" t="e">
        <f>IF(ROUNDUP(D40,0)=ROUNDUP(D39,0),0,VLOOKUP(IF(D40&gt;30,D40-(INT(D40/30)-1)*30-29,D40),[6]D_月签到!$A:$F,6,1))</f>
        <v>#N/A</v>
      </c>
      <c r="L40">
        <v>24</v>
      </c>
      <c r="M40">
        <f>[8]D_点金手计算表!$C25</f>
        <v>100</v>
      </c>
      <c r="O40">
        <v>30</v>
      </c>
    </row>
    <row r="41" spans="1:15">
      <c r="A41">
        <f>'1、经济推算'!J27</f>
        <v>1.8249974764323131</v>
      </c>
      <c r="B41">
        <v>25</v>
      </c>
      <c r="C41">
        <f>'1、经济推算'!J27</f>
        <v>1.8249974764323131</v>
      </c>
      <c r="D41">
        <v>25</v>
      </c>
      <c r="E41">
        <f t="shared" si="1"/>
        <v>51</v>
      </c>
      <c r="G41" t="e">
        <f>VLOOKUP(D41-IF(D41&gt;30,((INT(D41/30)-1)*30+29),0),[6]D_月签到!$A:$F,6,0)</f>
        <v>#N/A</v>
      </c>
      <c r="H41">
        <v>15</v>
      </c>
      <c r="I41" t="e">
        <f>IF(ROUNDUP(D41,0)=ROUNDUP(D40,0),0,VLOOKUP(IF(D41&gt;30,D41-(INT(D41/30)-1)*30-29,D41),[6]D_月签到!$A:$F,6,1))</f>
        <v>#N/A</v>
      </c>
      <c r="L41">
        <v>25</v>
      </c>
      <c r="M41">
        <f>[8]D_点金手计算表!$C26</f>
        <v>100</v>
      </c>
      <c r="O41">
        <v>30</v>
      </c>
    </row>
    <row r="42" spans="1:15">
      <c r="A42">
        <f>'1、经济推算'!J28</f>
        <v>2.0272284983489062</v>
      </c>
      <c r="B42">
        <v>26</v>
      </c>
      <c r="C42">
        <f>'1、经济推算'!J28</f>
        <v>2.0272284983489062</v>
      </c>
      <c r="D42">
        <v>26</v>
      </c>
      <c r="E42">
        <f t="shared" si="1"/>
        <v>51</v>
      </c>
      <c r="G42" t="e">
        <f>VLOOKUP(D42-IF(D42&gt;30,((INT(D42/30)-1)*30+29),0),[6]D_月签到!$A:$F,6,0)</f>
        <v>#N/A</v>
      </c>
      <c r="I42" t="e">
        <f>IF(ROUNDUP(D42,0)=ROUNDUP(D41,0),0,VLOOKUP(IF(D42&gt;30,D42-(INT(D42/30)-1)*30-29,D42),[6]D_月签到!$A:$F,6,1))</f>
        <v>#N/A</v>
      </c>
      <c r="L42">
        <v>26</v>
      </c>
      <c r="M42">
        <f>[8]D_点金手计算表!$C27</f>
        <v>120</v>
      </c>
      <c r="O42">
        <v>30</v>
      </c>
    </row>
    <row r="43" spans="1:15">
      <c r="A43">
        <f>'1、经济推算'!J29</f>
        <v>2.2498361287443611</v>
      </c>
      <c r="B43">
        <v>27</v>
      </c>
      <c r="C43">
        <f>'1、经济推算'!J29</f>
        <v>2.2498361287443611</v>
      </c>
      <c r="D43">
        <v>27</v>
      </c>
      <c r="E43">
        <f t="shared" si="1"/>
        <v>52</v>
      </c>
      <c r="G43" t="e">
        <f>VLOOKUP(D43-IF(D43&gt;30,((INT(D43/30)-1)*30+29),0),[6]D_月签到!$A:$F,6,0)</f>
        <v>#N/A</v>
      </c>
      <c r="I43" t="e">
        <f>IF(ROUNDUP(D43,0)=ROUNDUP(D42,0),0,VLOOKUP(IF(D43&gt;30,D43-(INT(D43/30)-1)*30-29,D43),[6]D_月签到!$A:$F,6,1))</f>
        <v>#N/A</v>
      </c>
      <c r="L43">
        <v>27</v>
      </c>
      <c r="M43">
        <f>[8]D_点金手计算表!$C28</f>
        <v>120</v>
      </c>
      <c r="O43">
        <v>30</v>
      </c>
    </row>
    <row r="44" spans="1:15">
      <c r="A44">
        <f>'1、经济推算'!J30</f>
        <v>2.4948734956163796</v>
      </c>
      <c r="B44">
        <v>28</v>
      </c>
      <c r="C44">
        <f>'1、经济推算'!J30</f>
        <v>2.4948734956163796</v>
      </c>
      <c r="D44">
        <v>28</v>
      </c>
      <c r="E44">
        <f t="shared" si="1"/>
        <v>52</v>
      </c>
      <c r="G44" t="e">
        <f>VLOOKUP(D44-IF(D44&gt;30,((INT(D44/30)-1)*30+29),0),[6]D_月签到!$A:$F,6,0)</f>
        <v>#N/A</v>
      </c>
      <c r="I44" t="e">
        <f>IF(ROUNDUP(D44,0)=ROUNDUP(D43,0),0,VLOOKUP(IF(D44&gt;30,D44-(INT(D44/30)-1)*30-29,D44),[6]D_月签到!$A:$F,6,1))</f>
        <v>#N/A</v>
      </c>
      <c r="L44">
        <v>28</v>
      </c>
      <c r="M44">
        <f>[8]D_点金手计算表!$C29</f>
        <v>120</v>
      </c>
      <c r="O44">
        <v>30</v>
      </c>
    </row>
    <row r="45" spans="1:15">
      <c r="A45">
        <f>'1、经济推算'!J31</f>
        <v>2.7646005982179718</v>
      </c>
      <c r="B45">
        <v>29</v>
      </c>
      <c r="C45">
        <f>'1、经济推算'!J31</f>
        <v>2.7646005982179718</v>
      </c>
      <c r="D45">
        <v>29</v>
      </c>
      <c r="E45">
        <f t="shared" si="1"/>
        <v>52</v>
      </c>
      <c r="G45" t="e">
        <f>VLOOKUP(D45-IF(D45&gt;30,((INT(D45/30)-1)*30+29),0),[6]D_月签到!$A:$F,6,0)</f>
        <v>#N/A</v>
      </c>
      <c r="I45" t="e">
        <f>IF(ROUNDUP(D45,0)=ROUNDUP(D44,0),0,VLOOKUP(IF(D45&gt;30,D45-(INT(D45/30)-1)*30-29,D45),[6]D_月签到!$A:$F,6,1))</f>
        <v>#N/A</v>
      </c>
      <c r="L45">
        <v>29</v>
      </c>
      <c r="M45">
        <f>[8]D_点金手计算表!$C30</f>
        <v>120</v>
      </c>
      <c r="O45">
        <v>30</v>
      </c>
    </row>
    <row r="46" spans="1:15">
      <c r="A46">
        <f>'1、经济推算'!J32</f>
        <v>3.0615051512115086</v>
      </c>
      <c r="B46">
        <v>30</v>
      </c>
      <c r="C46">
        <f>'1、经济推算'!J32</f>
        <v>3.0615051512115086</v>
      </c>
      <c r="D46">
        <v>30</v>
      </c>
      <c r="E46">
        <f t="shared" si="1"/>
        <v>53</v>
      </c>
      <c r="G46" t="e">
        <f>VLOOKUP(D46-IF(D46&gt;30,((INT(D46/30)-1)*30+29),0),[6]D_月签到!$A:$F,6,0)</f>
        <v>#N/A</v>
      </c>
      <c r="H46">
        <v>20</v>
      </c>
      <c r="I46" t="e">
        <f>IF(ROUNDUP(D46,0)=ROUNDUP(D45,0),0,VLOOKUP(IF(D46&gt;30,D46-(INT(D46/30)-1)*30-29,D46),[6]D_月签到!$A:$F,6,1))</f>
        <v>#N/A</v>
      </c>
      <c r="L46">
        <v>30</v>
      </c>
      <c r="M46">
        <f>[8]D_点金手计算表!$C31</f>
        <v>120</v>
      </c>
      <c r="O46">
        <v>30</v>
      </c>
    </row>
    <row r="47" spans="1:15">
      <c r="A47">
        <f>'1、经济推算'!J33</f>
        <v>3.3883255290602246</v>
      </c>
      <c r="B47">
        <v>31</v>
      </c>
      <c r="C47">
        <f>'1、经济推算'!J33</f>
        <v>3.3883255290602246</v>
      </c>
      <c r="D47">
        <v>31</v>
      </c>
      <c r="E47">
        <f t="shared" si="1"/>
        <v>53</v>
      </c>
      <c r="G47" t="e">
        <f>VLOOKUP(D47-IF(D47&gt;30,((INT(D47/30)-1)*30+29),0),[6]D_月签到!$A:$F,6,0)</f>
        <v>#N/A</v>
      </c>
      <c r="I47" t="e">
        <f>IF(ROUNDUP(D47,0)=ROUNDUP(D46,0),0,VLOOKUP(IF(D47&gt;30,D47-(INT(D47/30)-1)*30-29,D47),[6]D_月签到!$A:$F,6,1))</f>
        <v>#N/A</v>
      </c>
      <c r="L47">
        <v>31</v>
      </c>
      <c r="M47">
        <f>[8]D_点金手计算表!$C32</f>
        <v>160</v>
      </c>
      <c r="O47">
        <v>50</v>
      </c>
    </row>
    <row r="48" spans="1:15">
      <c r="A48">
        <f>'1、经济推算'!J34</f>
        <v>3.7480760222751357</v>
      </c>
      <c r="B48">
        <v>32</v>
      </c>
      <c r="C48">
        <f>'1、经济推算'!J34</f>
        <v>3.7480760222751357</v>
      </c>
      <c r="D48">
        <v>32</v>
      </c>
      <c r="E48">
        <f t="shared" si="1"/>
        <v>53</v>
      </c>
      <c r="G48" t="e">
        <f>VLOOKUP(D48-IF(D48&gt;30,((INT(D48/30)-1)*30+29),0),[6]D_月签到!$A:$F,6,0)</f>
        <v>#N/A</v>
      </c>
      <c r="I48" t="e">
        <f>IF(ROUNDUP(D48,0)=ROUNDUP(D47,0),0,VLOOKUP(IF(D48&gt;30,D48-(INT(D48/30)-1)*30-29,D48),[6]D_月签到!$A:$F,6,1))</f>
        <v>#N/A</v>
      </c>
      <c r="L48">
        <v>32</v>
      </c>
      <c r="M48">
        <f>[8]D_点金手计算表!$C33</f>
        <v>160</v>
      </c>
      <c r="O48">
        <v>50</v>
      </c>
    </row>
    <row r="49" spans="1:15">
      <c r="A49">
        <f>'1、经济推算'!J35</f>
        <v>4.144074638457754</v>
      </c>
      <c r="B49">
        <v>33</v>
      </c>
      <c r="C49">
        <f>'1、经济推算'!J35</f>
        <v>4.144074638457754</v>
      </c>
      <c r="D49">
        <v>33</v>
      </c>
      <c r="E49">
        <f t="shared" ref="E49:E80" si="2">VLOOKUP(D49,$A$17:$B$96,2,1)</f>
        <v>54</v>
      </c>
      <c r="G49" t="e">
        <f>VLOOKUP(D49-IF(D49&gt;30,((INT(D49/30)-1)*30+29),0),[6]D_月签到!$A:$F,6,0)</f>
        <v>#N/A</v>
      </c>
      <c r="I49" t="e">
        <f>IF(ROUNDUP(D49,0)=ROUNDUP(D48,0),0,VLOOKUP(IF(D49&gt;30,D49-(INT(D49/30)-1)*30-29,D49),[6]D_月签到!$A:$F,6,1))</f>
        <v>#N/A</v>
      </c>
      <c r="L49">
        <v>33</v>
      </c>
      <c r="M49">
        <f>[8]D_点金手计算表!$C34</f>
        <v>160</v>
      </c>
      <c r="O49">
        <v>50</v>
      </c>
    </row>
    <row r="50" spans="1:15">
      <c r="A50">
        <f>'1、经济推算'!J36</f>
        <v>4.5799737045498432</v>
      </c>
      <c r="B50">
        <v>34</v>
      </c>
      <c r="C50">
        <f>'1、经济推算'!J36</f>
        <v>4.5799737045498432</v>
      </c>
      <c r="D50">
        <v>34</v>
      </c>
      <c r="E50">
        <f t="shared" si="2"/>
        <v>54</v>
      </c>
      <c r="G50" t="e">
        <f>VLOOKUP(D50-IF(D50&gt;30,((INT(D50/30)-1)*30+29),0),[6]D_月签到!$A:$F,6,0)</f>
        <v>#N/A</v>
      </c>
      <c r="I50" t="e">
        <f>IF(ROUNDUP(D50,0)=ROUNDUP(D49,0),0,VLOOKUP(IF(D50&gt;30,D50-(INT(D50/30)-1)*30-29,D50),[6]D_月签到!$A:$F,6,1))</f>
        <v>#N/A</v>
      </c>
      <c r="L50">
        <v>34</v>
      </c>
      <c r="M50">
        <f>[8]D_点金手计算表!$C35</f>
        <v>160</v>
      </c>
      <c r="O50">
        <v>50</v>
      </c>
    </row>
    <row r="51" spans="1:15">
      <c r="A51">
        <f>'1、经济推算'!J37</f>
        <v>5.0597935525372213</v>
      </c>
      <c r="B51">
        <v>35</v>
      </c>
      <c r="C51">
        <f>'1、经济推算'!J37</f>
        <v>5.0597935525372213</v>
      </c>
      <c r="D51">
        <v>35</v>
      </c>
      <c r="E51">
        <f t="shared" si="2"/>
        <v>54</v>
      </c>
      <c r="G51" t="e">
        <f>VLOOKUP(D51-IF(D51&gt;30,((INT(D51/30)-1)*30+29),0),[6]D_月签到!$A:$F,6,0)</f>
        <v>#N/A</v>
      </c>
      <c r="H51">
        <v>20</v>
      </c>
      <c r="I51" t="e">
        <f>IF(ROUNDUP(D51,0)=ROUNDUP(D50,0),0,VLOOKUP(IF(D51&gt;30,D51-(INT(D51/30)-1)*30-29,D51),[6]D_月签到!$A:$F,6,1))</f>
        <v>#N/A</v>
      </c>
      <c r="L51">
        <v>35</v>
      </c>
      <c r="M51">
        <f>[8]D_点金手计算表!$C36</f>
        <v>160</v>
      </c>
      <c r="O51">
        <v>50</v>
      </c>
    </row>
    <row r="52" spans="1:15">
      <c r="A52">
        <f>'1、经济推算'!J38</f>
        <v>5.5879595992935407</v>
      </c>
      <c r="B52">
        <v>36</v>
      </c>
      <c r="C52">
        <f>'1、经济推算'!J38</f>
        <v>5.5879595992935407</v>
      </c>
      <c r="D52">
        <v>36</v>
      </c>
      <c r="E52">
        <f t="shared" si="2"/>
        <v>55</v>
      </c>
      <c r="G52" t="e">
        <f>VLOOKUP(D52-IF(D52&gt;30,((INT(D52/30)-1)*30+29),0),[6]D_月签到!$A:$F,6,0)</f>
        <v>#N/A</v>
      </c>
      <c r="I52" t="e">
        <f>IF(ROUNDUP(D52,0)=ROUNDUP(D51,0),0,VLOOKUP(IF(D52&gt;30,D52-(INT(D52/30)-1)*30-29,D52),[6]D_月签到!$A:$F,6,1))</f>
        <v>#N/A</v>
      </c>
      <c r="L52">
        <v>36</v>
      </c>
      <c r="M52">
        <f>[8]D_点金手计算表!$C37</f>
        <v>160</v>
      </c>
      <c r="O52">
        <v>50</v>
      </c>
    </row>
    <row r="53" spans="1:15">
      <c r="A53">
        <f>'1、经济推算'!J39</f>
        <v>6.1693431625544273</v>
      </c>
      <c r="B53">
        <v>37</v>
      </c>
      <c r="C53">
        <f>'1、经济推算'!J39</f>
        <v>6.1693431625544273</v>
      </c>
      <c r="D53">
        <v>37</v>
      </c>
      <c r="E53">
        <f t="shared" si="2"/>
        <v>55</v>
      </c>
      <c r="G53" t="e">
        <f>VLOOKUP(D53-IF(D53&gt;30,((INT(D53/30)-1)*30+29),0),[6]D_月签到!$A:$F,6,0)</f>
        <v>#N/A</v>
      </c>
      <c r="I53" t="e">
        <f>IF(ROUNDUP(D53,0)=ROUNDUP(D52,0),0,VLOOKUP(IF(D53&gt;30,D53-(INT(D53/30)-1)*30-29,D53),[6]D_月签到!$A:$F,6,1))</f>
        <v>#N/A</v>
      </c>
      <c r="L53">
        <v>37</v>
      </c>
      <c r="M53">
        <f>[8]D_点金手计算表!$C38</f>
        <v>160</v>
      </c>
      <c r="O53">
        <v>50</v>
      </c>
    </row>
    <row r="54" spans="1:15">
      <c r="A54">
        <f>'1、经济推算'!J40</f>
        <v>6.8093063894709651</v>
      </c>
      <c r="B54">
        <v>38</v>
      </c>
      <c r="C54">
        <f>'1、经济推算'!J40</f>
        <v>6.8093063894709651</v>
      </c>
      <c r="D54">
        <v>38</v>
      </c>
      <c r="E54">
        <f t="shared" si="2"/>
        <v>55</v>
      </c>
      <c r="G54" t="e">
        <f>VLOOKUP(D54-IF(D54&gt;30,((INT(D54/30)-1)*30+29),0),[6]D_月签到!$A:$F,6,0)</f>
        <v>#N/A</v>
      </c>
      <c r="I54" t="e">
        <f>IF(ROUNDUP(D54,0)=ROUNDUP(D53,0),0,VLOOKUP(IF(D54&gt;30,D54-(INT(D54/30)-1)*30-29,D54),[6]D_月签到!$A:$F,6,1))</f>
        <v>#N/A</v>
      </c>
      <c r="L54">
        <v>38</v>
      </c>
      <c r="M54">
        <f>[8]D_点金手计算表!$C39</f>
        <v>160</v>
      </c>
      <c r="O54">
        <v>50</v>
      </c>
    </row>
    <row r="55" spans="1:15">
      <c r="A55">
        <f>'1、经济推算'!J41</f>
        <v>7.5137517121221791</v>
      </c>
      <c r="B55">
        <v>39</v>
      </c>
      <c r="C55">
        <f>'1、经济推算'!J41</f>
        <v>7.5137517121221791</v>
      </c>
      <c r="D55">
        <v>39</v>
      </c>
      <c r="E55">
        <f t="shared" si="2"/>
        <v>55</v>
      </c>
      <c r="G55" t="e">
        <f>VLOOKUP(D55-IF(D55&gt;30,((INT(D55/30)-1)*30+29),0),[6]D_月签到!$A:$F,6,0)</f>
        <v>#N/A</v>
      </c>
      <c r="I55" t="e">
        <f>IF(ROUNDUP(D55,0)=ROUNDUP(D54,0),0,VLOOKUP(IF(D55&gt;30,D55-(INT(D55/30)-1)*30-29,D55),[6]D_月签到!$A:$F,6,1))</f>
        <v>#N/A</v>
      </c>
      <c r="L55">
        <v>39</v>
      </c>
      <c r="M55">
        <f>[8]D_点金手计算表!$C40</f>
        <v>160</v>
      </c>
      <c r="O55">
        <v>50</v>
      </c>
    </row>
    <row r="56" spans="1:15">
      <c r="A56">
        <f>'1、经济推算'!J42</f>
        <v>8.289176286118666</v>
      </c>
      <c r="B56">
        <v>40</v>
      </c>
      <c r="C56">
        <f>'1、经济推算'!J42</f>
        <v>8.289176286118666</v>
      </c>
      <c r="D56">
        <v>40</v>
      </c>
      <c r="E56">
        <f t="shared" si="2"/>
        <v>56</v>
      </c>
      <c r="G56" t="e">
        <f>VLOOKUP(D56-IF(D56&gt;30,((INT(D56/30)-1)*30+29),0),[6]D_月签到!$A:$F,6,0)</f>
        <v>#N/A</v>
      </c>
      <c r="H56">
        <v>25</v>
      </c>
      <c r="I56" t="e">
        <f>IF(ROUNDUP(D56,0)=ROUNDUP(D55,0),0,VLOOKUP(IF(D56&gt;30,D56-(INT(D56/30)-1)*30-29,D56),[6]D_月签到!$A:$F,6,1))</f>
        <v>#N/A</v>
      </c>
      <c r="L56">
        <v>40</v>
      </c>
      <c r="M56">
        <f>[8]D_点金手计算表!$C41</f>
        <v>160</v>
      </c>
      <c r="O56">
        <v>50</v>
      </c>
    </row>
    <row r="57" spans="1:15">
      <c r="A57">
        <f>'1、经济推算'!J43</f>
        <v>9.1427319143889676</v>
      </c>
      <c r="B57">
        <v>41</v>
      </c>
      <c r="C57">
        <f>'1、经济推算'!J43</f>
        <v>9.1427319143889676</v>
      </c>
      <c r="D57">
        <v>41</v>
      </c>
      <c r="E57">
        <f t="shared" si="2"/>
        <v>56</v>
      </c>
      <c r="G57" t="e">
        <f>VLOOKUP(D57-IF(D57&gt;30,((INT(D57/30)-1)*30+29),0),[6]D_月签到!$A:$F,6,0)</f>
        <v>#N/A</v>
      </c>
      <c r="I57" t="e">
        <f>IF(ROUNDUP(D57,0)=ROUNDUP(D56,0),0,VLOOKUP(IF(D57&gt;30,D57-(INT(D57/30)-1)*30-29,D57),[6]D_月签到!$A:$F,6,1))</f>
        <v>#N/A</v>
      </c>
      <c r="L57">
        <v>41</v>
      </c>
      <c r="M57">
        <f>[8]D_点金手计算表!$C42</f>
        <v>200</v>
      </c>
      <c r="O57">
        <v>50</v>
      </c>
    </row>
    <row r="58" spans="1:15">
      <c r="A58">
        <f>'1、经济推算'!J44</f>
        <v>10.082291008830579</v>
      </c>
      <c r="B58">
        <v>42</v>
      </c>
      <c r="C58">
        <f>'1、经济推算'!J44</f>
        <v>10.082291008830579</v>
      </c>
      <c r="D58">
        <v>42</v>
      </c>
      <c r="E58">
        <f t="shared" si="2"/>
        <v>56</v>
      </c>
      <c r="G58" t="e">
        <f>VLOOKUP(D58-IF(D58&gt;30,((INT(D58/30)-1)*30+29),0),[6]D_月签到!$A:$F,6,0)</f>
        <v>#N/A</v>
      </c>
      <c r="I58" t="e">
        <f>IF(ROUNDUP(D58,0)=ROUNDUP(D57,0),0,VLOOKUP(IF(D58&gt;30,D58-(INT(D58/30)-1)*30-29,D58),[6]D_月签到!$A:$F,6,1))</f>
        <v>#N/A</v>
      </c>
      <c r="L58">
        <v>42</v>
      </c>
      <c r="M58">
        <f>[8]D_点金手计算表!$C43</f>
        <v>200</v>
      </c>
      <c r="O58">
        <v>50</v>
      </c>
    </row>
    <row r="59" spans="1:15">
      <c r="A59">
        <f>'1、经济推算'!J45</f>
        <v>11.116519198195157</v>
      </c>
      <c r="B59">
        <v>43</v>
      </c>
      <c r="C59">
        <f>'1、经济推算'!J45</f>
        <v>11.116519198195157</v>
      </c>
      <c r="D59">
        <v>43</v>
      </c>
      <c r="E59">
        <f t="shared" si="2"/>
        <v>56</v>
      </c>
      <c r="G59" t="e">
        <f>VLOOKUP(D59-IF(D59&gt;30,((INT(D59/30)-1)*30+29),0),[6]D_月签到!$A:$F,6,0)</f>
        <v>#N/A</v>
      </c>
      <c r="I59" t="e">
        <f>IF(ROUNDUP(D59,0)=ROUNDUP(D58,0),0,VLOOKUP(IF(D59&gt;30,D59-(INT(D59/30)-1)*30-29,D59),[6]D_月签到!$A:$F,6,1))</f>
        <v>#N/A</v>
      </c>
      <c r="L59">
        <v>43</v>
      </c>
      <c r="M59">
        <f>[8]D_点金手计算表!$C44</f>
        <v>200</v>
      </c>
      <c r="O59">
        <v>50</v>
      </c>
    </row>
    <row r="60" spans="1:15">
      <c r="A60">
        <f>'1、经济推算'!J46</f>
        <v>12.254955251876297</v>
      </c>
      <c r="B60">
        <v>44</v>
      </c>
      <c r="C60">
        <f>'1、经济推算'!J46</f>
        <v>12.254955251876297</v>
      </c>
      <c r="D60">
        <v>44</v>
      </c>
      <c r="E60">
        <f t="shared" si="2"/>
        <v>57</v>
      </c>
      <c r="G60" t="e">
        <f>VLOOKUP(D60-IF(D60&gt;30,((INT(D60/30)-1)*30+29),0),[6]D_月签到!$A:$F,6,0)</f>
        <v>#N/A</v>
      </c>
      <c r="I60" t="e">
        <f>IF(ROUNDUP(D60,0)=ROUNDUP(D59,0),0,VLOOKUP(IF(D60&gt;30,D60-(INT(D60/30)-1)*30-29,D60),[6]D_月签到!$A:$F,6,1))</f>
        <v>#N/A</v>
      </c>
      <c r="L60">
        <v>44</v>
      </c>
      <c r="M60">
        <f>[8]D_点金手计算表!$C45</f>
        <v>200</v>
      </c>
      <c r="O60">
        <v>50</v>
      </c>
    </row>
    <row r="61" spans="1:15">
      <c r="A61">
        <f>'1、经济推算'!J47</f>
        <v>13.508099056743347</v>
      </c>
      <c r="B61">
        <v>45</v>
      </c>
      <c r="C61">
        <f>'1、经济推算'!J47</f>
        <v>13.508099056743347</v>
      </c>
      <c r="D61">
        <v>45</v>
      </c>
      <c r="E61">
        <f t="shared" si="2"/>
        <v>57</v>
      </c>
      <c r="G61" t="e">
        <f>VLOOKUP(D61-IF(D61&gt;30,((INT(D61/30)-1)*30+29),0),[6]D_月签到!$A:$F,6,0)</f>
        <v>#N/A</v>
      </c>
      <c r="H61">
        <v>25</v>
      </c>
      <c r="I61" t="e">
        <f>IF(ROUNDUP(D61,0)=ROUNDUP(D60,0),0,VLOOKUP(IF(D61&gt;30,D61-(INT(D61/30)-1)*30-29,D61),[6]D_月签到!$A:$F,6,1))</f>
        <v>#N/A</v>
      </c>
      <c r="L61">
        <v>45</v>
      </c>
      <c r="M61">
        <f>[8]D_点金手计算表!$C46</f>
        <v>200</v>
      </c>
      <c r="O61">
        <v>50</v>
      </c>
    </row>
    <row r="62" spans="1:15">
      <c r="A62">
        <f>'1、经济推算'!J48</f>
        <v>14.887508458438656</v>
      </c>
      <c r="B62">
        <v>46</v>
      </c>
      <c r="C62">
        <f>'1、经济推算'!J48</f>
        <v>14.887508458438656</v>
      </c>
      <c r="D62">
        <v>46</v>
      </c>
      <c r="E62">
        <f t="shared" si="2"/>
        <v>57</v>
      </c>
      <c r="G62" t="e">
        <f>VLOOKUP(D62-IF(D62&gt;30,((INT(D62/30)-1)*30+29),0),[6]D_月签到!$A:$F,6,0)</f>
        <v>#N/A</v>
      </c>
      <c r="I62" t="e">
        <f>IF(ROUNDUP(D62,0)=ROUNDUP(D61,0),0,VLOOKUP(IF(D62&gt;30,D62-(INT(D62/30)-1)*30-29,D62),[6]D_月签到!$A:$F,6,1))</f>
        <v>#N/A</v>
      </c>
      <c r="L62">
        <v>46</v>
      </c>
      <c r="M62">
        <f>[8]D_点金手计算表!$C47</f>
        <v>200</v>
      </c>
      <c r="O62">
        <v>50</v>
      </c>
    </row>
    <row r="63" spans="1:15">
      <c r="A63">
        <f>'1、经济推算'!J49</f>
        <v>16.405905860313279</v>
      </c>
      <c r="B63">
        <v>47</v>
      </c>
      <c r="C63">
        <f>'1、经济推算'!J49</f>
        <v>16.405905860313279</v>
      </c>
      <c r="D63">
        <v>47</v>
      </c>
      <c r="E63">
        <f t="shared" si="2"/>
        <v>57</v>
      </c>
      <c r="G63" t="e">
        <f>VLOOKUP(D63-IF(D63&gt;30,((INT(D63/30)-1)*30+29),0),[6]D_月签到!$A:$F,6,0)</f>
        <v>#N/A</v>
      </c>
      <c r="I63" t="e">
        <f>IF(ROUNDUP(D63,0)=ROUNDUP(D62,0),0,VLOOKUP(IF(D63&gt;30,D63-(INT(D63/30)-1)*30-29,D63),[6]D_月签到!$A:$F,6,1))</f>
        <v>#N/A</v>
      </c>
      <c r="L63">
        <v>47</v>
      </c>
      <c r="M63">
        <f>[8]D_点金手计算表!$C48</f>
        <v>200</v>
      </c>
      <c r="O63">
        <v>50</v>
      </c>
    </row>
    <row r="64" spans="1:15">
      <c r="A64">
        <f>'1、经济推算'!J50</f>
        <v>18.077295563171678</v>
      </c>
      <c r="B64">
        <v>48</v>
      </c>
      <c r="C64">
        <f>'1、经济推算'!J50</f>
        <v>18.077295563171678</v>
      </c>
      <c r="D64">
        <v>48</v>
      </c>
      <c r="E64">
        <f t="shared" si="2"/>
        <v>58</v>
      </c>
      <c r="G64" t="e">
        <f>VLOOKUP(D64-IF(D64&gt;30,((INT(D64/30)-1)*30+29),0),[6]D_月签到!$A:$F,6,0)</f>
        <v>#N/A</v>
      </c>
      <c r="I64" t="e">
        <f>IF(ROUNDUP(D64,0)=ROUNDUP(D63,0),0,VLOOKUP(IF(D64&gt;30,D64-(INT(D64/30)-1)*30-29,D64),[6]D_月签到!$A:$F,6,1))</f>
        <v>#N/A</v>
      </c>
      <c r="L64">
        <v>48</v>
      </c>
      <c r="M64">
        <f>[8]D_点金手计算表!$C49</f>
        <v>200</v>
      </c>
      <c r="O64">
        <v>50</v>
      </c>
    </row>
    <row r="65" spans="1:15">
      <c r="A65">
        <f>'1、经济推算'!J51</f>
        <v>19.917092928059262</v>
      </c>
      <c r="B65">
        <v>49</v>
      </c>
      <c r="C65">
        <f>'1、经济推算'!J51</f>
        <v>19.917092928059262</v>
      </c>
      <c r="D65">
        <v>49</v>
      </c>
      <c r="E65">
        <f t="shared" si="2"/>
        <v>58</v>
      </c>
      <c r="G65" t="e">
        <f>VLOOKUP(D65-IF(D65&gt;30,((INT(D65/30)-1)*30+29),0),[6]D_月签到!$A:$F,6,0)</f>
        <v>#N/A</v>
      </c>
      <c r="I65" t="e">
        <f>IF(ROUNDUP(D65,0)=ROUNDUP(D64,0),0,VLOOKUP(IF(D65&gt;30,D65-(INT(D65/30)-1)*30-29,D65),[6]D_月签到!$A:$F,6,1))</f>
        <v>#N/A</v>
      </c>
      <c r="L65">
        <v>49</v>
      </c>
      <c r="M65">
        <f>[8]D_点金手计算表!$C50</f>
        <v>200</v>
      </c>
      <c r="O65">
        <v>50</v>
      </c>
    </row>
    <row r="66" spans="1:15">
      <c r="A66">
        <f>'1、经济推算'!J52</f>
        <v>21.94226655337151</v>
      </c>
      <c r="B66">
        <v>50</v>
      </c>
      <c r="C66">
        <f>'1、经济推算'!J52</f>
        <v>21.94226655337151</v>
      </c>
      <c r="D66">
        <v>50</v>
      </c>
      <c r="E66">
        <f t="shared" si="2"/>
        <v>58</v>
      </c>
      <c r="G66" t="e">
        <f>VLOOKUP(D66-IF(D66&gt;30,((INT(D66/30)-1)*30+29),0),[6]D_月签到!$A:$F,6,0)</f>
        <v>#N/A</v>
      </c>
      <c r="H66">
        <v>30</v>
      </c>
      <c r="I66" t="e">
        <f>IF(ROUNDUP(D66,0)=ROUNDUP(D65,0),0,VLOOKUP(IF(D66&gt;30,D66-(INT(D66/30)-1)*30-29,D66),[6]D_月签到!$A:$F,6,1))</f>
        <v>#N/A</v>
      </c>
      <c r="L66">
        <v>50</v>
      </c>
      <c r="M66">
        <f>[8]D_点金手计算表!$C51</f>
        <v>200</v>
      </c>
      <c r="O66">
        <v>50</v>
      </c>
    </row>
    <row r="67" spans="1:15">
      <c r="A67">
        <f>'1、经济推算'!J53</f>
        <v>24.171494777595512</v>
      </c>
      <c r="B67">
        <v>51</v>
      </c>
      <c r="C67">
        <f>'1、经济推算'!J53</f>
        <v>24.171494777595512</v>
      </c>
      <c r="D67">
        <v>51</v>
      </c>
      <c r="E67">
        <f t="shared" si="2"/>
        <v>58</v>
      </c>
      <c r="G67" t="e">
        <f>VLOOKUP(D67-IF(D67&gt;30,((INT(D67/30)-1)*30+29),0),[6]D_月签到!$A:$F,6,0)</f>
        <v>#N/A</v>
      </c>
      <c r="I67" t="e">
        <f>IF(ROUNDUP(D67,0)=ROUNDUP(D66,0),0,VLOOKUP(IF(D67&gt;30,D67-(INT(D67/30)-1)*30-29,D67),[6]D_月签到!$A:$F,6,1))</f>
        <v>#N/A</v>
      </c>
      <c r="L67">
        <v>51</v>
      </c>
      <c r="M67">
        <f>[8]D_点金手计算表!$C52</f>
        <v>240</v>
      </c>
      <c r="O67">
        <v>100</v>
      </c>
    </row>
    <row r="68" spans="1:15">
      <c r="A68">
        <f>'1、经济推算'!J54</f>
        <v>26.625337951121285</v>
      </c>
      <c r="B68">
        <v>52</v>
      </c>
      <c r="C68">
        <f>'1、经济推算'!J54</f>
        <v>26.625337951121285</v>
      </c>
      <c r="D68">
        <v>52</v>
      </c>
      <c r="E68">
        <f t="shared" si="2"/>
        <v>58</v>
      </c>
      <c r="G68" t="e">
        <f>VLOOKUP(D68-IF(D68&gt;30,((INT(D68/30)-1)*30+29),0),[6]D_月签到!$A:$F,6,0)</f>
        <v>#N/A</v>
      </c>
      <c r="I68" t="e">
        <f>IF(ROUNDUP(D68,0)=ROUNDUP(D67,0),0,VLOOKUP(IF(D68&gt;30,D68-(INT(D68/30)-1)*30-29,D68),[6]D_月签到!$A:$F,6,1))</f>
        <v>#N/A</v>
      </c>
      <c r="L68">
        <v>52</v>
      </c>
      <c r="M68">
        <f>[8]D_点金手计算表!$C53</f>
        <v>240</v>
      </c>
      <c r="O68">
        <v>100</v>
      </c>
    </row>
    <row r="69" spans="1:15">
      <c r="A69">
        <f>'1、经济推算'!J55</f>
        <v>29.326428065999529</v>
      </c>
      <c r="B69">
        <v>53</v>
      </c>
      <c r="C69">
        <f>'1、经济推算'!J55</f>
        <v>29.326428065999529</v>
      </c>
      <c r="D69">
        <v>53</v>
      </c>
      <c r="E69">
        <f t="shared" si="2"/>
        <v>59</v>
      </c>
      <c r="G69" t="e">
        <f>VLOOKUP(D69-IF(D69&gt;30,((INT(D69/30)-1)*30+29),0),[6]D_月签到!$A:$F,6,0)</f>
        <v>#N/A</v>
      </c>
      <c r="I69" t="e">
        <f>IF(ROUNDUP(D69,0)=ROUNDUP(D68,0),0,VLOOKUP(IF(D69&gt;30,D69-(INT(D69/30)-1)*30-29,D69),[6]D_月签到!$A:$F,6,1))</f>
        <v>#N/A</v>
      </c>
      <c r="L69">
        <v>53</v>
      </c>
      <c r="M69">
        <f>[8]D_点金手计算表!$C54</f>
        <v>240</v>
      </c>
      <c r="O69">
        <v>100</v>
      </c>
    </row>
    <row r="70" spans="1:15">
      <c r="A70">
        <f>'1、经济推算'!J56</f>
        <v>32.299677492616297</v>
      </c>
      <c r="B70">
        <v>54</v>
      </c>
      <c r="C70">
        <f>'1、经济推算'!J56</f>
        <v>32.299677492616297</v>
      </c>
      <c r="D70">
        <v>54</v>
      </c>
      <c r="E70">
        <f t="shared" si="2"/>
        <v>59</v>
      </c>
      <c r="G70" t="e">
        <f>VLOOKUP(D70-IF(D70&gt;30,((INT(D70/30)-1)*30+29),0),[6]D_月签到!$A:$F,6,0)</f>
        <v>#N/A</v>
      </c>
      <c r="I70" t="e">
        <f>IF(ROUNDUP(D70,0)=ROUNDUP(D69,0),0,VLOOKUP(IF(D70&gt;30,D70-(INT(D70/30)-1)*30-29,D70),[6]D_月签到!$A:$F,6,1))</f>
        <v>#N/A</v>
      </c>
      <c r="L70">
        <v>54</v>
      </c>
      <c r="M70">
        <f>[8]D_点金手计算表!$C55</f>
        <v>240</v>
      </c>
      <c r="O70">
        <v>100</v>
      </c>
    </row>
    <row r="71" spans="1:15">
      <c r="A71">
        <f>'1、经济推算'!J57</f>
        <v>35.572508748479606</v>
      </c>
      <c r="B71">
        <v>55</v>
      </c>
      <c r="C71">
        <f>'1、经济推算'!J57</f>
        <v>35.572508748479606</v>
      </c>
      <c r="D71">
        <v>55</v>
      </c>
      <c r="E71">
        <f t="shared" si="2"/>
        <v>59</v>
      </c>
      <c r="G71" t="e">
        <f>VLOOKUP(D71-IF(D71&gt;30,((INT(D71/30)-1)*30+29),0),[6]D_月签到!$A:$F,6,0)</f>
        <v>#N/A</v>
      </c>
      <c r="H71">
        <v>30</v>
      </c>
      <c r="I71" t="e">
        <f>IF(ROUNDUP(D71,0)=ROUNDUP(D70,0),0,VLOOKUP(IF(D71&gt;30,D71-(INT(D71/30)-1)*30-29,D71),[6]D_月签到!$A:$F,6,1))</f>
        <v>#N/A</v>
      </c>
      <c r="L71">
        <v>55</v>
      </c>
      <c r="M71">
        <f>[8]D_点金手计算表!$C56</f>
        <v>240</v>
      </c>
      <c r="O71">
        <v>100</v>
      </c>
    </row>
    <row r="72" spans="1:15">
      <c r="A72">
        <f>'1、经济推算'!J58</f>
        <v>39.17510741829394</v>
      </c>
      <c r="B72">
        <v>56</v>
      </c>
      <c r="C72">
        <f>'1、经济推算'!J58</f>
        <v>39.17510741829394</v>
      </c>
      <c r="D72">
        <v>56</v>
      </c>
      <c r="E72">
        <f t="shared" si="2"/>
        <v>59</v>
      </c>
      <c r="G72" t="e">
        <f>VLOOKUP(D72-IF(D72&gt;30,((INT(D72/30)-1)*30+29),0),[6]D_月签到!$A:$F,6,0)</f>
        <v>#N/A</v>
      </c>
      <c r="I72" t="e">
        <f>IF(ROUNDUP(D72,0)=ROUNDUP(D71,0),0,VLOOKUP(IF(D72&gt;30,D72-(INT(D72/30)-1)*30-29,D72),[6]D_月签到!$A:$F,6,1))</f>
        <v>#N/A</v>
      </c>
      <c r="L72">
        <v>56</v>
      </c>
      <c r="M72">
        <f>[8]D_点金手计算表!$C57</f>
        <v>240</v>
      </c>
      <c r="O72">
        <v>100</v>
      </c>
    </row>
    <row r="73" spans="1:15">
      <c r="A73">
        <f>'1、经济推算'!J59</f>
        <v>43.140700558024719</v>
      </c>
      <c r="B73">
        <v>57</v>
      </c>
      <c r="C73">
        <f>'1、经济推算'!J59</f>
        <v>43.140700558024719</v>
      </c>
      <c r="D73">
        <v>57</v>
      </c>
      <c r="E73">
        <f t="shared" si="2"/>
        <v>59</v>
      </c>
      <c r="G73" t="e">
        <f>VLOOKUP(D73-IF(D73&gt;30,((INT(D73/30)-1)*30+29),0),[6]D_月签到!$A:$F,6,0)</f>
        <v>#N/A</v>
      </c>
      <c r="I73" t="e">
        <f>IF(ROUNDUP(D73,0)=ROUNDUP(D72,0),0,VLOOKUP(IF(D73&gt;30,D73-(INT(D73/30)-1)*30-29,D73),[6]D_月签到!$A:$F,6,1))</f>
        <v>#N/A</v>
      </c>
      <c r="L73">
        <v>57</v>
      </c>
      <c r="M73">
        <f>[8]D_点金手计算表!$C58</f>
        <v>240</v>
      </c>
      <c r="O73">
        <v>100</v>
      </c>
    </row>
    <row r="74" spans="1:15">
      <c r="A74">
        <f>'1、经济推算'!J60</f>
        <v>47.505863150695717</v>
      </c>
      <c r="B74">
        <v>58</v>
      </c>
      <c r="C74">
        <f>'1、经济推算'!J60</f>
        <v>47.505863150695717</v>
      </c>
      <c r="D74">
        <v>58</v>
      </c>
      <c r="E74">
        <f t="shared" si="2"/>
        <v>60</v>
      </c>
      <c r="G74" t="e">
        <f>VLOOKUP(D74-IF(D74&gt;30,((INT(D74/30)-1)*30+29),0),[6]D_月签到!$A:$F,6,0)</f>
        <v>#N/A</v>
      </c>
      <c r="I74" t="e">
        <f>IF(ROUNDUP(D74,0)=ROUNDUP(D73,0),0,VLOOKUP(IF(D74&gt;30,D74-(INT(D74/30)-1)*30-29,D74),[6]D_月签到!$A:$F,6,1))</f>
        <v>#N/A</v>
      </c>
      <c r="L74">
        <v>58</v>
      </c>
      <c r="M74">
        <f>[8]D_点金手计算表!$C59</f>
        <v>240</v>
      </c>
      <c r="O74">
        <v>100</v>
      </c>
    </row>
    <row r="75" spans="1:15">
      <c r="A75">
        <f>'1、经济推算'!J61</f>
        <v>52.310855440385765</v>
      </c>
      <c r="B75">
        <v>59</v>
      </c>
      <c r="C75">
        <f>'1、经济推算'!J61</f>
        <v>52.310855440385765</v>
      </c>
      <c r="D75">
        <v>59</v>
      </c>
      <c r="E75">
        <f t="shared" si="2"/>
        <v>60</v>
      </c>
      <c r="G75" t="e">
        <f>VLOOKUP(D75-IF(D75&gt;30,((INT(D75/30)-1)*30+29),0),[6]D_月签到!$A:$F,6,0)</f>
        <v>#N/A</v>
      </c>
      <c r="I75" t="e">
        <f>IF(ROUNDUP(D75,0)=ROUNDUP(D74,0),0,VLOOKUP(IF(D75&gt;30,D75-(INT(D75/30)-1)*30-29,D75),[6]D_月签到!$A:$F,6,1))</f>
        <v>#N/A</v>
      </c>
      <c r="L75">
        <v>59</v>
      </c>
      <c r="M75">
        <f>[8]D_点金手计算表!$C60</f>
        <v>240</v>
      </c>
      <c r="O75">
        <v>100</v>
      </c>
    </row>
    <row r="76" spans="1:15">
      <c r="A76">
        <f>'1、经济推算'!J62</f>
        <v>57.599994255683271</v>
      </c>
      <c r="B76">
        <v>60</v>
      </c>
      <c r="C76">
        <f>'1、经济推算'!J62</f>
        <v>57.599994255683271</v>
      </c>
      <c r="D76">
        <v>60</v>
      </c>
      <c r="E76">
        <f t="shared" si="2"/>
        <v>60</v>
      </c>
      <c r="G76" t="e">
        <f>VLOOKUP(D76-IF(D76&gt;30,((INT(D76/30)-1)*30+29),0),[6]D_月签到!$A:$F,6,0)</f>
        <v>#N/A</v>
      </c>
      <c r="H76">
        <v>35</v>
      </c>
      <c r="I76" t="e">
        <f>IF(ROUNDUP(D76,0)=ROUNDUP(D75,0),0,VLOOKUP(IF(D76&gt;30,D76-(INT(D76/30)-1)*30-29,D76),[6]D_月签到!$A:$F,6,1))</f>
        <v>#N/A</v>
      </c>
      <c r="L76">
        <v>60</v>
      </c>
      <c r="M76">
        <f>[8]D_点金手计算表!$C61</f>
        <v>240</v>
      </c>
      <c r="O76">
        <v>100</v>
      </c>
    </row>
    <row r="77" spans="1:15">
      <c r="A77">
        <f>'1、经济推算'!J63</f>
        <v>63.42206174734438</v>
      </c>
      <c r="B77">
        <v>61</v>
      </c>
      <c r="C77">
        <f>'1、经济推算'!J63</f>
        <v>63.42206174734438</v>
      </c>
      <c r="D77">
        <v>61</v>
      </c>
      <c r="E77">
        <f t="shared" si="2"/>
        <v>60</v>
      </c>
      <c r="G77" t="e">
        <f>VLOOKUP(D77-IF(D77&gt;30,((INT(D77/30)-1)*30+29),0),[6]D_月签到!$A:$F,6,0)</f>
        <v>#N/A</v>
      </c>
      <c r="I77" t="e">
        <f>IF(ROUNDUP(D77,0)=ROUNDUP(D76,0),0,VLOOKUP(IF(D77&gt;30,D77-(INT(D77/30)-1)*30-29,D77),[6]D_月签到!$A:$F,6,1))</f>
        <v>#N/A</v>
      </c>
      <c r="L77">
        <v>61</v>
      </c>
      <c r="M77">
        <f>[8]D_点金手计算表!$C62</f>
        <v>280</v>
      </c>
      <c r="O77">
        <v>100</v>
      </c>
    </row>
    <row r="78" spans="1:15">
      <c r="A78">
        <f>'1、经济推算'!J64</f>
        <v>69.830755309975032</v>
      </c>
      <c r="B78">
        <v>62</v>
      </c>
      <c r="C78">
        <f>'1、经济推算'!J64</f>
        <v>69.830755309975032</v>
      </c>
      <c r="D78">
        <v>62</v>
      </c>
      <c r="E78">
        <f t="shared" si="2"/>
        <v>60</v>
      </c>
      <c r="G78" t="e">
        <f>VLOOKUP(D78-IF(D78&gt;30,((INT(D78/30)-1)*30+29),0),[6]D_月签到!$A:$F,6,0)</f>
        <v>#N/A</v>
      </c>
      <c r="I78" t="e">
        <f>IF(ROUNDUP(D78,0)=ROUNDUP(D77,0),0,VLOOKUP(IF(D78&gt;30,D78-(INT(D78/30)-1)*30-29,D78),[6]D_月签到!$A:$F,6,1))</f>
        <v>#N/A</v>
      </c>
      <c r="L78">
        <v>62</v>
      </c>
      <c r="M78">
        <f>[8]D_点金手计算表!$C63</f>
        <v>280</v>
      </c>
      <c r="O78">
        <v>100</v>
      </c>
    </row>
    <row r="79" spans="1:15">
      <c r="A79">
        <f>'1、经济推算'!J65</f>
        <v>76.885182837400592</v>
      </c>
      <c r="B79">
        <v>63</v>
      </c>
      <c r="C79">
        <f>'1、经济推算'!J65</f>
        <v>76.885182837400592</v>
      </c>
      <c r="D79">
        <v>63</v>
      </c>
      <c r="E79">
        <f t="shared" si="2"/>
        <v>60</v>
      </c>
      <c r="G79" t="e">
        <f>VLOOKUP(D79-IF(D79&gt;30,((INT(D79/30)-1)*30+29),0),[6]D_月签到!$A:$F,6,0)</f>
        <v>#N/A</v>
      </c>
      <c r="I79" t="e">
        <f>IF(ROUNDUP(D79,0)=ROUNDUP(D78,0),0,VLOOKUP(IF(D79&gt;30,D79-(INT(D79/30)-1)*30-29,D79),[6]D_月签到!$A:$F,6,1))</f>
        <v>#N/A</v>
      </c>
      <c r="L79">
        <v>63</v>
      </c>
      <c r="M79">
        <f>[8]D_点金手计算表!$C64</f>
        <v>280</v>
      </c>
      <c r="O79">
        <v>100</v>
      </c>
    </row>
    <row r="80" spans="1:15">
      <c r="A80">
        <f>'1、经济推算'!J66</f>
        <v>84.650407879502907</v>
      </c>
      <c r="B80">
        <v>64</v>
      </c>
      <c r="C80">
        <f>'1、经济推算'!J66</f>
        <v>84.650407879502907</v>
      </c>
      <c r="D80">
        <v>64</v>
      </c>
      <c r="E80">
        <f t="shared" si="2"/>
        <v>61</v>
      </c>
      <c r="G80" t="e">
        <f>VLOOKUP(D80-IF(D80&gt;30,((INT(D80/30)-1)*30+29),0),[6]D_月签到!$A:$F,6,0)</f>
        <v>#N/A</v>
      </c>
      <c r="I80" t="e">
        <f>IF(ROUNDUP(D80,0)=ROUNDUP(D79,0),0,VLOOKUP(IF(D80&gt;30,D80-(INT(D80/30)-1)*30-29,D80),[6]D_月签到!$A:$F,6,1))</f>
        <v>#N/A</v>
      </c>
      <c r="L80">
        <v>64</v>
      </c>
      <c r="M80">
        <f>[8]D_点金手计算表!$C65</f>
        <v>280</v>
      </c>
      <c r="O80">
        <v>100</v>
      </c>
    </row>
    <row r="81" spans="1:15">
      <c r="A81">
        <f>'1、经济推算'!J67</f>
        <v>93.19804972855006</v>
      </c>
      <c r="B81">
        <v>65</v>
      </c>
      <c r="C81">
        <f>'1、经济推算'!J67</f>
        <v>93.19804972855006</v>
      </c>
      <c r="D81">
        <v>65</v>
      </c>
      <c r="E81">
        <f t="shared" ref="E81:E112" si="3">VLOOKUP(D81,$A$17:$B$96,2,1)</f>
        <v>61</v>
      </c>
      <c r="G81" t="e">
        <f>VLOOKUP(D81-IF(D81&gt;30,((INT(D81/30)-1)*30+29),0),[6]D_月签到!$A:$F,6,0)</f>
        <v>#N/A</v>
      </c>
      <c r="H81">
        <v>35</v>
      </c>
      <c r="I81" t="e">
        <f>IF(ROUNDUP(D81,0)=ROUNDUP(D80,0),0,VLOOKUP(IF(D81&gt;30,D81-(INT(D81/30)-1)*30-29,D81),[6]D_月签到!$A:$F,6,1))</f>
        <v>#N/A</v>
      </c>
      <c r="L81">
        <v>65</v>
      </c>
      <c r="M81">
        <f>[8]D_点金手计算表!$C66</f>
        <v>280</v>
      </c>
      <c r="O81">
        <v>100</v>
      </c>
    </row>
    <row r="82" spans="1:15">
      <c r="A82">
        <f>'1、经济推算'!J68</f>
        <v>102.60694396966296</v>
      </c>
      <c r="B82">
        <v>66</v>
      </c>
      <c r="C82">
        <f>'1、经济推算'!J68</f>
        <v>102.60694396966296</v>
      </c>
      <c r="D82">
        <v>66</v>
      </c>
      <c r="E82">
        <f t="shared" si="3"/>
        <v>61</v>
      </c>
      <c r="G82" t="e">
        <f>VLOOKUP(D82-IF(D82&gt;30,((INT(D82/30)-1)*30+29),0),[6]D_月签到!$A:$F,6,0)</f>
        <v>#N/A</v>
      </c>
      <c r="I82" t="e">
        <f>IF(ROUNDUP(D82,0)=ROUNDUP(D81,0),0,VLOOKUP(IF(D82&gt;30,D82-(INT(D82/30)-1)*30-29,D82),[6]D_月签到!$A:$F,6,1))</f>
        <v>#N/A</v>
      </c>
      <c r="L82">
        <v>66</v>
      </c>
      <c r="M82">
        <f>[8]D_点金手计算表!$C67</f>
        <v>280</v>
      </c>
      <c r="O82">
        <v>100</v>
      </c>
    </row>
    <row r="83" spans="1:15">
      <c r="A83">
        <f>'1、经济推算'!J69</f>
        <v>112.96386958772875</v>
      </c>
      <c r="B83">
        <v>67</v>
      </c>
      <c r="C83">
        <f>'1、经济推算'!J69</f>
        <v>112.96386958772875</v>
      </c>
      <c r="D83">
        <v>67</v>
      </c>
      <c r="E83">
        <f t="shared" si="3"/>
        <v>61</v>
      </c>
      <c r="G83" t="e">
        <f>VLOOKUP(D83-IF(D83&gt;30,((INT(D83/30)-1)*30+29),0),[6]D_月签到!$A:$F,6,0)</f>
        <v>#N/A</v>
      </c>
      <c r="I83" t="e">
        <f>IF(ROUNDUP(D83,0)=ROUNDUP(D82,0),0,VLOOKUP(IF(D83&gt;30,D83-(INT(D83/30)-1)*30-29,D83),[6]D_月签到!$A:$F,6,1))</f>
        <v>#N/A</v>
      </c>
      <c r="L83">
        <v>67</v>
      </c>
      <c r="M83">
        <f>[8]D_点金手计算表!$C68</f>
        <v>280</v>
      </c>
      <c r="O83">
        <v>100</v>
      </c>
    </row>
    <row r="84" spans="1:15">
      <c r="A84">
        <f>'1、经济推算'!J70</f>
        <v>124.3643493369261</v>
      </c>
      <c r="B84">
        <v>68</v>
      </c>
      <c r="C84">
        <f>'1、经济推算'!J70</f>
        <v>124.3643493369261</v>
      </c>
      <c r="D84">
        <v>68</v>
      </c>
      <c r="E84">
        <f t="shared" si="3"/>
        <v>61</v>
      </c>
      <c r="G84" t="e">
        <f>VLOOKUP(D84-IF(D84&gt;30,((INT(D84/30)-1)*30+29),0),[6]D_月签到!$A:$F,6,0)</f>
        <v>#N/A</v>
      </c>
      <c r="I84" t="e">
        <f>IF(ROUNDUP(D84,0)=ROUNDUP(D83,0),0,VLOOKUP(IF(D84&gt;30,D84-(INT(D84/30)-1)*30-29,D84),[6]D_月签到!$A:$F,6,1))</f>
        <v>#N/A</v>
      </c>
      <c r="L84">
        <v>68</v>
      </c>
      <c r="M84">
        <f>[8]D_点金手计算表!$C69</f>
        <v>280</v>
      </c>
      <c r="O84">
        <v>100</v>
      </c>
    </row>
    <row r="85" spans="1:15">
      <c r="A85">
        <f>'1、经济推算'!J71</f>
        <v>136.91353075473489</v>
      </c>
      <c r="B85">
        <v>69</v>
      </c>
      <c r="C85">
        <f>'1、经济推算'!J71</f>
        <v>136.91353075473489</v>
      </c>
      <c r="D85">
        <v>69</v>
      </c>
      <c r="E85">
        <f t="shared" si="3"/>
        <v>61</v>
      </c>
      <c r="G85" t="e">
        <f>VLOOKUP(D85-IF(D85&gt;30,((INT(D85/30)-1)*30+29),0),[6]D_月签到!$A:$F,6,0)</f>
        <v>#N/A</v>
      </c>
      <c r="I85" t="e">
        <f>IF(ROUNDUP(D85,0)=ROUNDUP(D84,0),0,VLOOKUP(IF(D85&gt;30,D85-(INT(D85/30)-1)*30-29,D85),[6]D_月签到!$A:$F,6,1))</f>
        <v>#N/A</v>
      </c>
      <c r="L85">
        <v>69</v>
      </c>
      <c r="M85">
        <f>[8]D_点金手计算表!$C70</f>
        <v>280</v>
      </c>
      <c r="O85">
        <v>100</v>
      </c>
    </row>
    <row r="86" spans="1:15">
      <c r="A86">
        <f>'1、经济推算'!J72</f>
        <v>150.72715594609272</v>
      </c>
      <c r="B86">
        <v>70</v>
      </c>
      <c r="C86">
        <f>'1、经济推算'!J72</f>
        <v>150.72715594609272</v>
      </c>
      <c r="D86">
        <v>70</v>
      </c>
      <c r="E86">
        <f t="shared" si="3"/>
        <v>62</v>
      </c>
      <c r="G86" t="e">
        <f>VLOOKUP(D86-IF(D86&gt;30,((INT(D86/30)-1)*30+29),0),[6]D_月签到!$A:$F,6,0)</f>
        <v>#N/A</v>
      </c>
      <c r="H86">
        <v>40</v>
      </c>
      <c r="I86" t="e">
        <f>IF(ROUNDUP(D86,0)=ROUNDUP(D85,0),0,VLOOKUP(IF(D86&gt;30,D86-(INT(D86/30)-1)*30-29,D86),[6]D_月签到!$A:$F,6,1))</f>
        <v>#N/A</v>
      </c>
      <c r="L86">
        <v>70</v>
      </c>
      <c r="M86">
        <f>[8]D_点金手计算表!$C71</f>
        <v>280</v>
      </c>
      <c r="O86">
        <v>100</v>
      </c>
    </row>
    <row r="87" spans="1:15">
      <c r="A87">
        <f>'1、经济推算'!J73</f>
        <v>165.93262908209542</v>
      </c>
      <c r="B87">
        <v>71</v>
      </c>
      <c r="C87">
        <f>'1、经济推算'!J73</f>
        <v>165.93262908209542</v>
      </c>
      <c r="D87">
        <v>71</v>
      </c>
      <c r="E87">
        <f t="shared" si="3"/>
        <v>62</v>
      </c>
      <c r="G87" t="e">
        <f>VLOOKUP(D87-IF(D87&gt;30,((INT(D87/30)-1)*30+29),0),[6]D_月签到!$A:$F,6,0)</f>
        <v>#N/A</v>
      </c>
      <c r="I87" t="e">
        <f>IF(ROUNDUP(D87,0)=ROUNDUP(D86,0),0,VLOOKUP(IF(D87&gt;30,D87-(INT(D87/30)-1)*30-29,D87),[6]D_月签到!$A:$F,6,1))</f>
        <v>#N/A</v>
      </c>
      <c r="L87">
        <v>71</v>
      </c>
      <c r="M87">
        <f>[8]D_点金手计算表!$C72</f>
        <v>320</v>
      </c>
      <c r="O87">
        <v>100</v>
      </c>
    </row>
    <row r="88" spans="1:15">
      <c r="A88">
        <f>'1、经济推算'!J74</f>
        <v>182.67019145886732</v>
      </c>
      <c r="B88">
        <v>72</v>
      </c>
      <c r="C88">
        <f>'1、经济推算'!J74</f>
        <v>182.67019145886732</v>
      </c>
      <c r="D88">
        <v>72</v>
      </c>
      <c r="E88">
        <f t="shared" si="3"/>
        <v>62</v>
      </c>
      <c r="G88" t="e">
        <f>VLOOKUP(D88-IF(D88&gt;30,((INT(D88/30)-1)*30+29),0),[6]D_月签到!$A:$F,6,0)</f>
        <v>#N/A</v>
      </c>
      <c r="I88" t="e">
        <f>IF(ROUNDUP(D88,0)=ROUNDUP(D87,0),0,VLOOKUP(IF(D88&gt;30,D88-(INT(D88/30)-1)*30-29,D88),[6]D_月签到!$A:$F,6,1))</f>
        <v>#N/A</v>
      </c>
      <c r="L88">
        <v>72</v>
      </c>
      <c r="M88">
        <f>[8]D_点金手计算表!$C73</f>
        <v>320</v>
      </c>
      <c r="O88">
        <v>100</v>
      </c>
    </row>
    <row r="89" spans="1:15">
      <c r="A89">
        <f>'1、经济推算'!J75</f>
        <v>201.09421495426361</v>
      </c>
      <c r="B89">
        <v>73</v>
      </c>
      <c r="C89">
        <f>'1、经济推算'!J75</f>
        <v>201.09421495426361</v>
      </c>
      <c r="D89">
        <v>73</v>
      </c>
      <c r="E89">
        <f t="shared" si="3"/>
        <v>62</v>
      </c>
      <c r="G89" t="e">
        <f>VLOOKUP(D89-IF(D89&gt;30,((INT(D89/30)-1)*30+29),0),[6]D_月签到!$A:$F,6,0)</f>
        <v>#N/A</v>
      </c>
      <c r="I89" t="e">
        <f>IF(ROUNDUP(D89,0)=ROUNDUP(D88,0),0,VLOOKUP(IF(D89&gt;30,D89-(INT(D89/30)-1)*30-29,D89),[6]D_月签到!$A:$F,6,1))</f>
        <v>#N/A</v>
      </c>
      <c r="L89">
        <v>73</v>
      </c>
      <c r="M89">
        <f>[8]D_点金手计算表!$C74</f>
        <v>320</v>
      </c>
      <c r="O89">
        <v>100</v>
      </c>
    </row>
    <row r="90" spans="1:15">
      <c r="A90">
        <f>'1、经济推算'!J76</f>
        <v>221.37462581205909</v>
      </c>
      <c r="B90">
        <v>74</v>
      </c>
      <c r="C90">
        <f>'1、经济推算'!J76</f>
        <v>221.37462581205909</v>
      </c>
      <c r="D90">
        <v>74</v>
      </c>
      <c r="E90">
        <f t="shared" si="3"/>
        <v>62</v>
      </c>
      <c r="G90" t="e">
        <f>VLOOKUP(D90-IF(D90&gt;30,((INT(D90/30)-1)*30+29),0),[6]D_月签到!$A:$F,6,0)</f>
        <v>#N/A</v>
      </c>
      <c r="I90" t="e">
        <f>IF(ROUNDUP(D90,0)=ROUNDUP(D89,0),0,VLOOKUP(IF(D90&gt;30,D90-(INT(D90/30)-1)*30-29,D90),[6]D_月签到!$A:$F,6,1))</f>
        <v>#N/A</v>
      </c>
      <c r="L90">
        <v>74</v>
      </c>
      <c r="M90">
        <f>[8]D_点金手计算表!$C75</f>
        <v>320</v>
      </c>
      <c r="O90">
        <v>100</v>
      </c>
    </row>
    <row r="91" spans="1:15">
      <c r="A91">
        <f>'1、经济推算'!J77</f>
        <v>243.6984718852994</v>
      </c>
      <c r="B91">
        <v>75</v>
      </c>
      <c r="C91">
        <f>'1、经济推算'!J77</f>
        <v>243.6984718852994</v>
      </c>
      <c r="D91">
        <v>75</v>
      </c>
      <c r="E91">
        <f t="shared" si="3"/>
        <v>62</v>
      </c>
      <c r="G91" t="e">
        <f>VLOOKUP(D91-IF(D91&gt;30,((INT(D91/30)-1)*30+29),0),[6]D_月签到!$A:$F,6,0)</f>
        <v>#N/A</v>
      </c>
      <c r="H91">
        <v>40</v>
      </c>
      <c r="I91" t="e">
        <f>IF(ROUNDUP(D91,0)=ROUNDUP(D90,0),0,VLOOKUP(IF(D91&gt;30,D91-(INT(D91/30)-1)*30-29,D91),[6]D_月签到!$A:$F,6,1))</f>
        <v>#N/A</v>
      </c>
      <c r="L91">
        <v>75</v>
      </c>
      <c r="M91">
        <f>[8]D_点金手计算表!$C76</f>
        <v>320</v>
      </c>
      <c r="O91">
        <v>100</v>
      </c>
    </row>
    <row r="92" spans="1:15">
      <c r="A92">
        <f>'1、经济推算'!J78</f>
        <v>268.27164779362505</v>
      </c>
      <c r="B92">
        <v>76</v>
      </c>
      <c r="C92">
        <f>'1、经济推算'!J78</f>
        <v>268.27164779362505</v>
      </c>
      <c r="D92">
        <v>76</v>
      </c>
      <c r="E92">
        <f t="shared" si="3"/>
        <v>62</v>
      </c>
      <c r="G92" t="e">
        <f>VLOOKUP(D92-IF(D92&gt;30,((INT(D92/30)-1)*30+29),0),[6]D_月签到!$A:$F,6,0)</f>
        <v>#N/A</v>
      </c>
      <c r="I92" t="e">
        <f>IF(ROUNDUP(D92,0)=ROUNDUP(D91,0),0,VLOOKUP(IF(D92&gt;30,D92-(INT(D92/30)-1)*30-29,D92),[6]D_月签到!$A:$F,6,1))</f>
        <v>#N/A</v>
      </c>
      <c r="L92">
        <v>76</v>
      </c>
      <c r="M92">
        <f>[8]D_点金手计算表!$C77</f>
        <v>320</v>
      </c>
      <c r="O92">
        <v>100</v>
      </c>
    </row>
    <row r="93" spans="1:15">
      <c r="A93">
        <f>'1、经济推算'!J79</f>
        <v>295.320793905833</v>
      </c>
      <c r="B93">
        <v>77</v>
      </c>
      <c r="C93">
        <f>'1、经济推算'!J79</f>
        <v>295.320793905833</v>
      </c>
      <c r="D93">
        <v>77</v>
      </c>
      <c r="E93">
        <f t="shared" si="3"/>
        <v>63</v>
      </c>
      <c r="G93" t="e">
        <f>VLOOKUP(D93-IF(D93&gt;30,((INT(D93/30)-1)*30+29),0),[6]D_月签到!$A:$F,6,0)</f>
        <v>#N/A</v>
      </c>
      <c r="I93" t="e">
        <f>IF(ROUNDUP(D93,0)=ROUNDUP(D92,0),0,VLOOKUP(IF(D93&gt;30,D93-(INT(D93/30)-1)*30-29,D93),[6]D_月签到!$A:$F,6,1))</f>
        <v>#N/A</v>
      </c>
      <c r="L93">
        <v>77</v>
      </c>
      <c r="M93">
        <f>[8]D_点金手计算表!$C78</f>
        <v>320</v>
      </c>
      <c r="O93">
        <v>100</v>
      </c>
    </row>
    <row r="94" spans="1:15">
      <c r="A94">
        <f>'1、经济推算'!J80</f>
        <v>325.09538666214337</v>
      </c>
      <c r="B94">
        <v>78</v>
      </c>
      <c r="C94">
        <f>'1、经济推算'!J80</f>
        <v>325.09538666214337</v>
      </c>
      <c r="D94">
        <v>78</v>
      </c>
      <c r="E94">
        <f t="shared" si="3"/>
        <v>63</v>
      </c>
      <c r="G94" t="e">
        <f>VLOOKUP(D94-IF(D94&gt;30,((INT(D94/30)-1)*30+29),0),[6]D_月签到!$A:$F,6,0)</f>
        <v>#N/A</v>
      </c>
      <c r="I94" t="e">
        <f>IF(ROUNDUP(D94,0)=ROUNDUP(D93,0),0,VLOOKUP(IF(D94&gt;30,D94-(INT(D94/30)-1)*30-29,D94),[6]D_月签到!$A:$F,6,1))</f>
        <v>#N/A</v>
      </c>
      <c r="L94">
        <v>78</v>
      </c>
      <c r="M94">
        <f>[8]D_点金手计算表!$C79</f>
        <v>320</v>
      </c>
      <c r="O94">
        <v>100</v>
      </c>
    </row>
    <row r="95" spans="1:15">
      <c r="A95">
        <f>'1、经济推算'!J81</f>
        <v>357.87003951538151</v>
      </c>
      <c r="B95">
        <v>79</v>
      </c>
      <c r="C95">
        <f>'1、经济推算'!J81</f>
        <v>357.87003951538151</v>
      </c>
      <c r="D95">
        <v>79</v>
      </c>
      <c r="E95">
        <f t="shared" si="3"/>
        <v>63</v>
      </c>
      <c r="G95" t="e">
        <f>VLOOKUP(D95-IF(D95&gt;30,((INT(D95/30)-1)*30+29),0),[6]D_月签到!$A:$F,6,0)</f>
        <v>#N/A</v>
      </c>
      <c r="I95" t="e">
        <f>IF(ROUNDUP(D95,0)=ROUNDUP(D94,0),0,VLOOKUP(IF(D95&gt;30,D95-(INT(D95/30)-1)*30-29,D95),[6]D_月签到!$A:$F,6,1))</f>
        <v>#N/A</v>
      </c>
      <c r="L95">
        <v>79</v>
      </c>
      <c r="M95">
        <f>[8]D_点金手计算表!$C80</f>
        <v>320</v>
      </c>
      <c r="O95">
        <v>100</v>
      </c>
    </row>
    <row r="96" spans="1:15">
      <c r="A96">
        <f>'1、经济推算'!J82</f>
        <v>393.94703571283947</v>
      </c>
      <c r="B96">
        <v>80</v>
      </c>
      <c r="C96">
        <f>'1、经济推算'!J82</f>
        <v>393.94703571283947</v>
      </c>
      <c r="D96">
        <v>80</v>
      </c>
      <c r="E96">
        <f t="shared" si="3"/>
        <v>63</v>
      </c>
      <c r="G96" t="e">
        <f>VLOOKUP(D96-IF(D96&gt;30,((INT(D96/30)-1)*30+29),0),[6]D_月签到!$A:$F,6,0)</f>
        <v>#N/A</v>
      </c>
      <c r="H96">
        <v>45</v>
      </c>
      <c r="I96" t="e">
        <f>IF(ROUNDUP(D96,0)=ROUNDUP(D95,0),0,VLOOKUP(IF(D96&gt;30,D96-(INT(D96/30)-1)*30-29,D96),[6]D_月签到!$A:$F,6,1))</f>
        <v>#N/A</v>
      </c>
      <c r="L96">
        <v>80</v>
      </c>
      <c r="M96">
        <f>[8]D_点金手计算表!$C81</f>
        <v>320</v>
      </c>
      <c r="O96">
        <v>100</v>
      </c>
    </row>
    <row r="97" spans="4:15">
      <c r="D97">
        <v>81</v>
      </c>
      <c r="E97">
        <f t="shared" si="3"/>
        <v>63</v>
      </c>
      <c r="G97" t="e">
        <f>VLOOKUP(D97-IF(D97&gt;30,((INT(D97/30)-1)*30+29),0),[6]D_月签到!$A:$F,6,0)</f>
        <v>#N/A</v>
      </c>
      <c r="I97" t="e">
        <f>IF(ROUNDUP(D97,0)=ROUNDUP(D96,0),0,VLOOKUP(IF(D97&gt;30,D97-(INT(D97/30)-1)*30-29,D97),[6]D_月签到!$A:$F,6,1))</f>
        <v>#N/A</v>
      </c>
      <c r="L97">
        <v>81</v>
      </c>
      <c r="M97">
        <f>[8]D_点金手计算表!$C82</f>
        <v>360</v>
      </c>
      <c r="O97">
        <v>100</v>
      </c>
    </row>
    <row r="98" spans="4:15">
      <c r="D98">
        <v>82</v>
      </c>
      <c r="E98">
        <f t="shared" si="3"/>
        <v>63</v>
      </c>
      <c r="G98" t="e">
        <f>VLOOKUP(D98-IF(D98&gt;30,((INT(D98/30)-1)*30+29),0),[6]D_月签到!$A:$F,6,0)</f>
        <v>#N/A</v>
      </c>
      <c r="I98" t="e">
        <f>IF(ROUNDUP(D98,0)=ROUNDUP(D97,0),0,VLOOKUP(IF(D98&gt;30,D98-(INT(D98/30)-1)*30-29,D98),[6]D_月签到!$A:$F,6,1))</f>
        <v>#N/A</v>
      </c>
      <c r="L98">
        <v>82</v>
      </c>
      <c r="M98">
        <f>[8]D_点金手计算表!$C83</f>
        <v>360</v>
      </c>
      <c r="O98">
        <v>100</v>
      </c>
    </row>
    <row r="99" spans="4:15">
      <c r="D99">
        <v>83</v>
      </c>
      <c r="E99">
        <f t="shared" si="3"/>
        <v>63</v>
      </c>
      <c r="G99" t="e">
        <f>VLOOKUP(D99-IF(D99&gt;30,((INT(D99/30)-1)*30+29),0),[6]D_月签到!$A:$F,6,0)</f>
        <v>#N/A</v>
      </c>
      <c r="I99" t="e">
        <f>IF(ROUNDUP(D99,0)=ROUNDUP(D98,0),0,VLOOKUP(IF(D99&gt;30,D99-(INT(D99/30)-1)*30-29,D99),[6]D_月签到!$A:$F,6,1))</f>
        <v>#N/A</v>
      </c>
      <c r="L99">
        <v>83</v>
      </c>
      <c r="M99">
        <f>[8]D_点金手计算表!$C84</f>
        <v>360</v>
      </c>
      <c r="O99">
        <v>100</v>
      </c>
    </row>
    <row r="100" spans="4:15">
      <c r="D100">
        <v>84</v>
      </c>
      <c r="E100">
        <f t="shared" si="3"/>
        <v>63</v>
      </c>
      <c r="G100" t="e">
        <f>VLOOKUP(D100-IF(D100&gt;30,((INT(D100/30)-1)*30+29),0),[6]D_月签到!$A:$F,6,0)</f>
        <v>#N/A</v>
      </c>
      <c r="I100" t="e">
        <f>IF(ROUNDUP(D100,0)=ROUNDUP(D99,0),0,VLOOKUP(IF(D100&gt;30,D100-(INT(D100/30)-1)*30-29,D100),[6]D_月签到!$A:$F,6,1))</f>
        <v>#N/A</v>
      </c>
      <c r="L100">
        <v>84</v>
      </c>
      <c r="M100">
        <f>[8]D_点金手计算表!$C85</f>
        <v>360</v>
      </c>
      <c r="O100">
        <v>100</v>
      </c>
    </row>
    <row r="101" spans="4:15">
      <c r="D101">
        <v>85</v>
      </c>
      <c r="E101">
        <f t="shared" si="3"/>
        <v>64</v>
      </c>
      <c r="G101" t="e">
        <f>VLOOKUP(D101-IF(D101&gt;30,((INT(D101/30)-1)*30+29),0),[6]D_月签到!$A:$F,6,0)</f>
        <v>#N/A</v>
      </c>
      <c r="I101" t="e">
        <f>IF(ROUNDUP(D101,0)=ROUNDUP(D100,0),0,VLOOKUP(IF(D101&gt;30,D101-(INT(D101/30)-1)*30-29,D101),[6]D_月签到!$A:$F,6,1))</f>
        <v>#N/A</v>
      </c>
      <c r="L101">
        <v>85</v>
      </c>
      <c r="M101">
        <f>[8]D_点金手计算表!$C86</f>
        <v>360</v>
      </c>
      <c r="O101">
        <v>100</v>
      </c>
    </row>
    <row r="102" spans="4:15">
      <c r="D102">
        <v>86</v>
      </c>
      <c r="E102">
        <f t="shared" si="3"/>
        <v>64</v>
      </c>
      <c r="G102" t="e">
        <f>VLOOKUP(D102-IF(D102&gt;30,((INT(D102/30)-1)*30+29),0),[6]D_月签到!$A:$F,6,0)</f>
        <v>#N/A</v>
      </c>
      <c r="I102" t="e">
        <f>IF(ROUNDUP(D102,0)=ROUNDUP(D101,0),0,VLOOKUP(IF(D102&gt;30,D102-(INT(D102/30)-1)*30-29,D102),[6]D_月签到!$A:$F,6,1))</f>
        <v>#N/A</v>
      </c>
      <c r="L102">
        <v>86</v>
      </c>
      <c r="M102">
        <f>[8]D_点金手计算表!$C87</f>
        <v>360</v>
      </c>
      <c r="O102">
        <v>100</v>
      </c>
    </row>
    <row r="103" spans="4:15">
      <c r="D103">
        <v>87</v>
      </c>
      <c r="E103">
        <f t="shared" si="3"/>
        <v>64</v>
      </c>
      <c r="G103" t="e">
        <f>VLOOKUP(D103-IF(D103&gt;30,((INT(D103/30)-1)*30+29),0),[6]D_月签到!$A:$F,6,0)</f>
        <v>#N/A</v>
      </c>
      <c r="I103" t="e">
        <f>IF(ROUNDUP(D103,0)=ROUNDUP(D102,0),0,VLOOKUP(IF(D103&gt;30,D103-(INT(D103/30)-1)*30-29,D103),[6]D_月签到!$A:$F,6,1))</f>
        <v>#N/A</v>
      </c>
      <c r="L103">
        <v>87</v>
      </c>
      <c r="M103">
        <f>[8]D_点金手计算表!$C88</f>
        <v>360</v>
      </c>
      <c r="O103">
        <v>100</v>
      </c>
    </row>
    <row r="104" spans="4:15">
      <c r="D104">
        <v>88</v>
      </c>
      <c r="E104">
        <f t="shared" si="3"/>
        <v>64</v>
      </c>
      <c r="G104" t="e">
        <f>VLOOKUP(D104-IF(D104&gt;30,((INT(D104/30)-1)*30+29),0),[6]D_月签到!$A:$F,6,0)</f>
        <v>#N/A</v>
      </c>
      <c r="I104" t="e">
        <f>IF(ROUNDUP(D104,0)=ROUNDUP(D103,0),0,VLOOKUP(IF(D104&gt;30,D104-(INT(D104/30)-1)*30-29,D104),[6]D_月签到!$A:$F,6,1))</f>
        <v>#N/A</v>
      </c>
      <c r="L104">
        <v>88</v>
      </c>
      <c r="M104">
        <f>[8]D_点金手计算表!$C89</f>
        <v>360</v>
      </c>
      <c r="O104">
        <v>100</v>
      </c>
    </row>
    <row r="105" spans="4:15">
      <c r="D105">
        <v>89</v>
      </c>
      <c r="E105">
        <f t="shared" si="3"/>
        <v>64</v>
      </c>
      <c r="G105" t="e">
        <f>VLOOKUP(D105-IF(D105&gt;30,((INT(D105/30)-1)*30+29),0),[6]D_月签到!$A:$F,6,0)</f>
        <v>#N/A</v>
      </c>
      <c r="I105" t="e">
        <f>IF(ROUNDUP(D105,0)=ROUNDUP(D104,0),0,VLOOKUP(IF(D105&gt;30,D105-(INT(D105/30)-1)*30-29,D105),[6]D_月签到!$A:$F,6,1))</f>
        <v>#N/A</v>
      </c>
      <c r="L105">
        <v>89</v>
      </c>
      <c r="M105">
        <f>[8]D_点金手计算表!$C90</f>
        <v>360</v>
      </c>
      <c r="O105">
        <v>100</v>
      </c>
    </row>
    <row r="106" spans="4:15">
      <c r="D106">
        <v>90</v>
      </c>
      <c r="E106">
        <f t="shared" si="3"/>
        <v>64</v>
      </c>
      <c r="G106" t="e">
        <f>VLOOKUP(D106-IF(D106&gt;30,((INT(D106/30)-1)*30+29),0),[6]D_月签到!$A:$F,6,0)</f>
        <v>#N/A</v>
      </c>
      <c r="I106" t="e">
        <f>IF(ROUNDUP(D106,0)=ROUNDUP(D105,0),0,VLOOKUP(IF(D106&gt;30,D106-(INT(D106/30)-1)*30-29,D106),[6]D_月签到!$A:$F,6,1))</f>
        <v>#N/A</v>
      </c>
      <c r="L106">
        <v>90</v>
      </c>
      <c r="M106">
        <f>[8]D_点金手计算表!$C91</f>
        <v>360</v>
      </c>
      <c r="O106">
        <v>100</v>
      </c>
    </row>
    <row r="107" spans="4:15">
      <c r="D107">
        <v>91</v>
      </c>
      <c r="E107">
        <f t="shared" si="3"/>
        <v>64</v>
      </c>
      <c r="G107" t="e">
        <f>VLOOKUP(D107-IF(D107&gt;30,((INT(D107/30)-1)*30+29),0),[6]D_月签到!$A:$F,6,0)</f>
        <v>#N/A</v>
      </c>
      <c r="I107" t="e">
        <f>IF(ROUNDUP(D107,0)=ROUNDUP(D106,0),0,VLOOKUP(IF(D107&gt;30,D107-(INT(D107/30)-1)*30-29,D107),[6]D_月签到!$A:$F,6,1))</f>
        <v>#N/A</v>
      </c>
      <c r="L107">
        <v>91</v>
      </c>
      <c r="M107">
        <f>[8]D_点金手计算表!$C92</f>
        <v>400</v>
      </c>
      <c r="O107">
        <v>100</v>
      </c>
    </row>
    <row r="108" spans="4:15">
      <c r="D108">
        <v>92</v>
      </c>
      <c r="E108">
        <f t="shared" si="3"/>
        <v>64</v>
      </c>
      <c r="G108" t="e">
        <f>VLOOKUP(D108-IF(D108&gt;30,((INT(D108/30)-1)*30+29),0),[6]D_月签到!$A:$F,6,0)</f>
        <v>#N/A</v>
      </c>
      <c r="I108" t="e">
        <f>IF(ROUNDUP(D108,0)=ROUNDUP(D107,0),0,VLOOKUP(IF(D108&gt;30,D108-(INT(D108/30)-1)*30-29,D108),[6]D_月签到!$A:$F,6,1))</f>
        <v>#N/A</v>
      </c>
      <c r="L108">
        <v>92</v>
      </c>
      <c r="M108">
        <f>[8]D_点金手计算表!$C93</f>
        <v>400</v>
      </c>
      <c r="O108">
        <v>100</v>
      </c>
    </row>
    <row r="109" spans="4:15">
      <c r="D109">
        <v>93</v>
      </c>
      <c r="E109">
        <f t="shared" si="3"/>
        <v>64</v>
      </c>
      <c r="G109" t="e">
        <f>VLOOKUP(D109-IF(D109&gt;30,((INT(D109/30)-1)*30+29),0),[6]D_月签到!$A:$F,6,0)</f>
        <v>#N/A</v>
      </c>
      <c r="I109" t="e">
        <f>IF(ROUNDUP(D109,0)=ROUNDUP(D108,0),0,VLOOKUP(IF(D109&gt;30,D109-(INT(D109/30)-1)*30-29,D109),[6]D_月签到!$A:$F,6,1))</f>
        <v>#N/A</v>
      </c>
      <c r="L109">
        <v>93</v>
      </c>
      <c r="M109">
        <f>[8]D_点金手计算表!$C94</f>
        <v>400</v>
      </c>
      <c r="O109">
        <v>100</v>
      </c>
    </row>
    <row r="110" spans="4:15">
      <c r="D110">
        <v>94</v>
      </c>
      <c r="E110">
        <f t="shared" si="3"/>
        <v>65</v>
      </c>
      <c r="G110" t="e">
        <f>VLOOKUP(D110-IF(D110&gt;30,((INT(D110/30)-1)*30+29),0),[6]D_月签到!$A:$F,6,0)</f>
        <v>#N/A</v>
      </c>
      <c r="I110" t="e">
        <f>IF(ROUNDUP(D110,0)=ROUNDUP(D109,0),0,VLOOKUP(IF(D110&gt;30,D110-(INT(D110/30)-1)*30-29,D110),[6]D_月签到!$A:$F,6,1))</f>
        <v>#N/A</v>
      </c>
      <c r="L110">
        <v>94</v>
      </c>
      <c r="M110">
        <f>[8]D_点金手计算表!$C95</f>
        <v>400</v>
      </c>
      <c r="O110">
        <v>100</v>
      </c>
    </row>
    <row r="111" spans="4:15">
      <c r="D111">
        <v>95</v>
      </c>
      <c r="E111">
        <f t="shared" si="3"/>
        <v>65</v>
      </c>
      <c r="G111" t="e">
        <f>VLOOKUP(D111-IF(D111&gt;30,((INT(D111/30)-1)*30+29),0),[6]D_月签到!$A:$F,6,0)</f>
        <v>#N/A</v>
      </c>
      <c r="I111" t="e">
        <f>IF(ROUNDUP(D111,0)=ROUNDUP(D110,0),0,VLOOKUP(IF(D111&gt;30,D111-(INT(D111/30)-1)*30-29,D111),[6]D_月签到!$A:$F,6,1))</f>
        <v>#N/A</v>
      </c>
      <c r="L111">
        <v>95</v>
      </c>
      <c r="M111">
        <f>[8]D_点金手计算表!$C96</f>
        <v>400</v>
      </c>
      <c r="O111">
        <v>100</v>
      </c>
    </row>
    <row r="112" spans="4:15">
      <c r="D112">
        <v>96</v>
      </c>
      <c r="E112">
        <f t="shared" si="3"/>
        <v>65</v>
      </c>
      <c r="G112" t="e">
        <f>VLOOKUP(D112-IF(D112&gt;30,((INT(D112/30)-1)*30+29),0),[6]D_月签到!$A:$F,6,0)</f>
        <v>#N/A</v>
      </c>
      <c r="I112" t="e">
        <f>IF(ROUNDUP(D112,0)=ROUNDUP(D111,0),0,VLOOKUP(IF(D112&gt;30,D112-(INT(D112/30)-1)*30-29,D112),[6]D_月签到!$A:$F,6,1))</f>
        <v>#N/A</v>
      </c>
      <c r="L112">
        <v>96</v>
      </c>
      <c r="M112">
        <f>[8]D_点金手计算表!$C97</f>
        <v>400</v>
      </c>
      <c r="O112">
        <v>100</v>
      </c>
    </row>
    <row r="113" spans="4:15">
      <c r="D113">
        <v>97</v>
      </c>
      <c r="E113">
        <f t="shared" ref="E113:E144" si="4">VLOOKUP(D113,$A$17:$B$96,2,1)</f>
        <v>65</v>
      </c>
      <c r="G113" t="e">
        <f>VLOOKUP(D113-IF(D113&gt;30,((INT(D113/30)-1)*30+29),0),[6]D_月签到!$A:$F,6,0)</f>
        <v>#N/A</v>
      </c>
      <c r="I113" t="e">
        <f>IF(ROUNDUP(D113,0)=ROUNDUP(D112,0),0,VLOOKUP(IF(D113&gt;30,D113-(INT(D113/30)-1)*30-29,D113),[6]D_月签到!$A:$F,6,1))</f>
        <v>#N/A</v>
      </c>
      <c r="L113">
        <v>97</v>
      </c>
      <c r="M113">
        <f>[8]D_点金手计算表!$C98</f>
        <v>400</v>
      </c>
      <c r="O113">
        <v>100</v>
      </c>
    </row>
    <row r="114" spans="4:15">
      <c r="D114">
        <v>98</v>
      </c>
      <c r="E114">
        <f t="shared" si="4"/>
        <v>65</v>
      </c>
      <c r="G114" t="e">
        <f>VLOOKUP(D114-IF(D114&gt;30,((INT(D114/30)-1)*30+29),0),[6]D_月签到!$A:$F,6,0)</f>
        <v>#N/A</v>
      </c>
      <c r="I114" t="e">
        <f>IF(ROUNDUP(D114,0)=ROUNDUP(D113,0),0,VLOOKUP(IF(D114&gt;30,D114-(INT(D114/30)-1)*30-29,D114),[6]D_月签到!$A:$F,6,1))</f>
        <v>#N/A</v>
      </c>
      <c r="L114">
        <v>98</v>
      </c>
      <c r="M114">
        <f>[8]D_点金手计算表!$C99</f>
        <v>400</v>
      </c>
      <c r="O114">
        <v>100</v>
      </c>
    </row>
    <row r="115" spans="4:15">
      <c r="D115">
        <v>99</v>
      </c>
      <c r="E115">
        <f t="shared" si="4"/>
        <v>65</v>
      </c>
      <c r="G115" t="e">
        <f>VLOOKUP(D115-IF(D115&gt;30,((INT(D115/30)-1)*30+29),0),[6]D_月签到!$A:$F,6,0)</f>
        <v>#N/A</v>
      </c>
      <c r="I115" t="e">
        <f>IF(ROUNDUP(D115,0)=ROUNDUP(D114,0),0,VLOOKUP(IF(D115&gt;30,D115-(INT(D115/30)-1)*30-29,D115),[6]D_月签到!$A:$F,6,1))</f>
        <v>#N/A</v>
      </c>
      <c r="L115">
        <v>99</v>
      </c>
      <c r="M115">
        <f>[8]D_点金手计算表!$C100</f>
        <v>400</v>
      </c>
      <c r="O115">
        <v>100</v>
      </c>
    </row>
    <row r="116" spans="4:15">
      <c r="D116">
        <v>100</v>
      </c>
      <c r="E116">
        <f t="shared" si="4"/>
        <v>65</v>
      </c>
      <c r="G116" t="e">
        <f>VLOOKUP(D116-IF(D116&gt;30,((INT(D116/30)-1)*30+29),0),[6]D_月签到!$A:$F,6,0)</f>
        <v>#N/A</v>
      </c>
      <c r="I116" t="e">
        <f>IF(ROUNDUP(D116,0)=ROUNDUP(D115,0),0,VLOOKUP(IF(D116&gt;30,D116-(INT(D116/30)-1)*30-29,D116),[6]D_月签到!$A:$F,6,1))</f>
        <v>#N/A</v>
      </c>
      <c r="L116">
        <v>100</v>
      </c>
      <c r="M116">
        <f>[8]D_点金手计算表!$C101</f>
        <v>400</v>
      </c>
      <c r="O116">
        <v>100</v>
      </c>
    </row>
    <row r="117" spans="4:15">
      <c r="D117">
        <v>101</v>
      </c>
      <c r="E117">
        <f t="shared" si="4"/>
        <v>65</v>
      </c>
      <c r="G117" t="e">
        <f>VLOOKUP(D117-IF(D117&gt;30,((INT(D117/30)-1)*30+29),0),[6]D_月签到!$A:$F,6,0)</f>
        <v>#N/A</v>
      </c>
      <c r="I117" t="e">
        <f>IF(ROUNDUP(D117,0)=ROUNDUP(D116,0),0,VLOOKUP(IF(D117&gt;30,D117-(INT(D117/30)-1)*30-29,D117),[6]D_月签到!$A:$F,6,1))</f>
        <v>#N/A</v>
      </c>
      <c r="L117">
        <v>101</v>
      </c>
      <c r="M117">
        <f>[8]D_点金手计算表!$C102</f>
        <v>0</v>
      </c>
      <c r="O117">
        <v>100</v>
      </c>
    </row>
    <row r="118" spans="4:15">
      <c r="D118">
        <v>102</v>
      </c>
      <c r="E118">
        <f t="shared" si="4"/>
        <v>65</v>
      </c>
      <c r="G118" t="e">
        <f>VLOOKUP(D118-IF(D118&gt;30,((INT(D118/30)-1)*30+29),0),[6]D_月签到!$A:$F,6,0)</f>
        <v>#N/A</v>
      </c>
      <c r="I118" t="e">
        <f>IF(ROUNDUP(D118,0)=ROUNDUP(D117,0),0,VLOOKUP(IF(D118&gt;30,D118-(INT(D118/30)-1)*30-29,D118),[6]D_月签到!$A:$F,6,1))</f>
        <v>#N/A</v>
      </c>
      <c r="L118">
        <v>102</v>
      </c>
      <c r="M118">
        <f>[8]D_点金手计算表!$C103</f>
        <v>0</v>
      </c>
      <c r="O118">
        <v>100</v>
      </c>
    </row>
    <row r="119" spans="4:15">
      <c r="D119">
        <v>103</v>
      </c>
      <c r="E119">
        <f t="shared" si="4"/>
        <v>66</v>
      </c>
      <c r="G119" t="e">
        <f>VLOOKUP(D119-IF(D119&gt;30,((INT(D119/30)-1)*30+29),0),[6]D_月签到!$A:$F,6,0)</f>
        <v>#N/A</v>
      </c>
      <c r="I119" t="e">
        <f>IF(ROUNDUP(D119,0)=ROUNDUP(D118,0),0,VLOOKUP(IF(D119&gt;30,D119-(INT(D119/30)-1)*30-29,D119),[6]D_月签到!$A:$F,6,1))</f>
        <v>#N/A</v>
      </c>
      <c r="L119">
        <v>103</v>
      </c>
      <c r="M119">
        <f>[8]D_点金手计算表!$C104</f>
        <v>0</v>
      </c>
      <c r="O119">
        <v>100</v>
      </c>
    </row>
    <row r="120" spans="4:15">
      <c r="D120">
        <v>104</v>
      </c>
      <c r="E120">
        <f t="shared" si="4"/>
        <v>66</v>
      </c>
      <c r="G120" t="e">
        <f>VLOOKUP(D120-IF(D120&gt;30,((INT(D120/30)-1)*30+29),0),[6]D_月签到!$A:$F,6,0)</f>
        <v>#N/A</v>
      </c>
      <c r="I120" t="e">
        <f>IF(ROUNDUP(D120,0)=ROUNDUP(D119,0),0,VLOOKUP(IF(D120&gt;30,D120-(INT(D120/30)-1)*30-29,D120),[6]D_月签到!$A:$F,6,1))</f>
        <v>#N/A</v>
      </c>
      <c r="L120">
        <v>104</v>
      </c>
      <c r="M120">
        <f>[8]D_点金手计算表!$C105</f>
        <v>0</v>
      </c>
      <c r="O120">
        <v>100</v>
      </c>
    </row>
    <row r="121" spans="4:15">
      <c r="D121">
        <v>105</v>
      </c>
      <c r="E121">
        <f t="shared" si="4"/>
        <v>66</v>
      </c>
      <c r="G121" t="e">
        <f>VLOOKUP(D121-IF(D121&gt;30,((INT(D121/30)-1)*30+29),0),[6]D_月签到!$A:$F,6,0)</f>
        <v>#N/A</v>
      </c>
      <c r="I121" t="e">
        <f>IF(ROUNDUP(D121,0)=ROUNDUP(D120,0),0,VLOOKUP(IF(D121&gt;30,D121-(INT(D121/30)-1)*30-29,D121),[6]D_月签到!$A:$F,6,1))</f>
        <v>#N/A</v>
      </c>
      <c r="L121">
        <v>105</v>
      </c>
      <c r="M121">
        <f>[8]D_点金手计算表!$C106</f>
        <v>0</v>
      </c>
      <c r="O121">
        <v>100</v>
      </c>
    </row>
    <row r="122" spans="4:15">
      <c r="D122">
        <v>106</v>
      </c>
      <c r="E122">
        <f t="shared" si="4"/>
        <v>66</v>
      </c>
      <c r="G122" t="e">
        <f>VLOOKUP(D122-IF(D122&gt;30,((INT(D122/30)-1)*30+29),0),[6]D_月签到!$A:$F,6,0)</f>
        <v>#N/A</v>
      </c>
      <c r="I122" t="e">
        <f>IF(ROUNDUP(D122,0)=ROUNDUP(D121,0),0,VLOOKUP(IF(D122&gt;30,D122-(INT(D122/30)-1)*30-29,D122),[6]D_月签到!$A:$F,6,1))</f>
        <v>#N/A</v>
      </c>
      <c r="L122">
        <v>106</v>
      </c>
      <c r="M122">
        <f>[8]D_点金手计算表!$C107</f>
        <v>0</v>
      </c>
      <c r="O122">
        <v>100</v>
      </c>
    </row>
    <row r="123" spans="4:15">
      <c r="D123">
        <v>107</v>
      </c>
      <c r="E123">
        <f t="shared" si="4"/>
        <v>66</v>
      </c>
      <c r="G123" t="e">
        <f>VLOOKUP(D123-IF(D123&gt;30,((INT(D123/30)-1)*30+29),0),[6]D_月签到!$A:$F,6,0)</f>
        <v>#N/A</v>
      </c>
      <c r="I123" t="e">
        <f>IF(ROUNDUP(D123,0)=ROUNDUP(D122,0),0,VLOOKUP(IF(D123&gt;30,D123-(INT(D123/30)-1)*30-29,D123),[6]D_月签到!$A:$F,6,1))</f>
        <v>#N/A</v>
      </c>
      <c r="L123">
        <v>107</v>
      </c>
      <c r="M123">
        <f>[8]D_点金手计算表!$C108</f>
        <v>0</v>
      </c>
      <c r="O123">
        <v>100</v>
      </c>
    </row>
    <row r="124" spans="4:15">
      <c r="D124">
        <v>108</v>
      </c>
      <c r="E124">
        <f t="shared" si="4"/>
        <v>66</v>
      </c>
      <c r="G124" t="e">
        <f>VLOOKUP(D124-IF(D124&gt;30,((INT(D124/30)-1)*30+29),0),[6]D_月签到!$A:$F,6,0)</f>
        <v>#N/A</v>
      </c>
      <c r="I124" t="e">
        <f>IF(ROUNDUP(D124,0)=ROUNDUP(D123,0),0,VLOOKUP(IF(D124&gt;30,D124-(INT(D124/30)-1)*30-29,D124),[6]D_月签到!$A:$F,6,1))</f>
        <v>#N/A</v>
      </c>
      <c r="L124">
        <v>108</v>
      </c>
      <c r="M124">
        <f>[8]D_点金手计算表!$C109</f>
        <v>0</v>
      </c>
      <c r="O124">
        <v>100</v>
      </c>
    </row>
    <row r="125" spans="4:15">
      <c r="D125">
        <v>109</v>
      </c>
      <c r="E125">
        <f t="shared" si="4"/>
        <v>66</v>
      </c>
      <c r="G125" t="e">
        <f>VLOOKUP(D125-IF(D125&gt;30,((INT(D125/30)-1)*30+29),0),[6]D_月签到!$A:$F,6,0)</f>
        <v>#N/A</v>
      </c>
      <c r="I125" t="e">
        <f>IF(ROUNDUP(D125,0)=ROUNDUP(D124,0),0,VLOOKUP(IF(D125&gt;30,D125-(INT(D125/30)-1)*30-29,D125),[6]D_月签到!$A:$F,6,1))</f>
        <v>#N/A</v>
      </c>
      <c r="L125">
        <v>109</v>
      </c>
      <c r="M125">
        <f>[8]D_点金手计算表!$C110</f>
        <v>0</v>
      </c>
      <c r="O125">
        <v>100</v>
      </c>
    </row>
    <row r="126" spans="4:15">
      <c r="D126">
        <v>110</v>
      </c>
      <c r="E126">
        <f t="shared" si="4"/>
        <v>66</v>
      </c>
      <c r="G126" t="e">
        <f>VLOOKUP(D126-IF(D126&gt;30,((INT(D126/30)-1)*30+29),0),[6]D_月签到!$A:$F,6,0)</f>
        <v>#N/A</v>
      </c>
      <c r="I126" t="e">
        <f>IF(ROUNDUP(D126,0)=ROUNDUP(D125,0),0,VLOOKUP(IF(D126&gt;30,D126-(INT(D126/30)-1)*30-29,D126),[6]D_月签到!$A:$F,6,1))</f>
        <v>#N/A</v>
      </c>
      <c r="L126">
        <v>110</v>
      </c>
      <c r="M126">
        <f>[8]D_点金手计算表!$C111</f>
        <v>0</v>
      </c>
      <c r="O126">
        <v>100</v>
      </c>
    </row>
    <row r="127" spans="4:15">
      <c r="D127">
        <v>111</v>
      </c>
      <c r="E127">
        <f t="shared" si="4"/>
        <v>66</v>
      </c>
      <c r="G127" t="e">
        <f>VLOOKUP(D127-IF(D127&gt;30,((INT(D127/30)-1)*30+29),0),[6]D_月签到!$A:$F,6,0)</f>
        <v>#N/A</v>
      </c>
      <c r="I127" t="e">
        <f>IF(ROUNDUP(D127,0)=ROUNDUP(D126,0),0,VLOOKUP(IF(D127&gt;30,D127-(INT(D127/30)-1)*30-29,D127),[6]D_月签到!$A:$F,6,1))</f>
        <v>#N/A</v>
      </c>
      <c r="L127">
        <v>111</v>
      </c>
      <c r="M127">
        <f>[8]D_点金手计算表!$C112</f>
        <v>0</v>
      </c>
      <c r="O127">
        <v>100</v>
      </c>
    </row>
    <row r="128" spans="4:15">
      <c r="D128">
        <v>112</v>
      </c>
      <c r="E128">
        <f t="shared" si="4"/>
        <v>66</v>
      </c>
      <c r="G128" t="e">
        <f>VLOOKUP(D128-IF(D128&gt;30,((INT(D128/30)-1)*30+29),0),[6]D_月签到!$A:$F,6,0)</f>
        <v>#N/A</v>
      </c>
      <c r="I128" t="e">
        <f>IF(ROUNDUP(D128,0)=ROUNDUP(D127,0),0,VLOOKUP(IF(D128&gt;30,D128-(INT(D128/30)-1)*30-29,D128),[6]D_月签到!$A:$F,6,1))</f>
        <v>#N/A</v>
      </c>
      <c r="L128">
        <v>112</v>
      </c>
      <c r="M128">
        <f>[8]D_点金手计算表!$C113</f>
        <v>0</v>
      </c>
      <c r="O128">
        <v>100</v>
      </c>
    </row>
    <row r="129" spans="4:15">
      <c r="D129">
        <v>113</v>
      </c>
      <c r="E129">
        <f t="shared" si="4"/>
        <v>67</v>
      </c>
      <c r="G129" t="e">
        <f>VLOOKUP(D129-IF(D129&gt;30,((INT(D129/30)-1)*30+29),0),[6]D_月签到!$A:$F,6,0)</f>
        <v>#N/A</v>
      </c>
      <c r="I129" t="e">
        <f>IF(ROUNDUP(D129,0)=ROUNDUP(D128,0),0,VLOOKUP(IF(D129&gt;30,D129-(INT(D129/30)-1)*30-29,D129),[6]D_月签到!$A:$F,6,1))</f>
        <v>#N/A</v>
      </c>
      <c r="L129">
        <v>113</v>
      </c>
      <c r="M129">
        <f>[8]D_点金手计算表!$C114</f>
        <v>0</v>
      </c>
      <c r="O129">
        <v>100</v>
      </c>
    </row>
    <row r="130" spans="4:15">
      <c r="D130">
        <v>114</v>
      </c>
      <c r="E130">
        <f t="shared" si="4"/>
        <v>67</v>
      </c>
      <c r="G130" t="e">
        <f>VLOOKUP(D130-IF(D130&gt;30,((INT(D130/30)-1)*30+29),0),[6]D_月签到!$A:$F,6,0)</f>
        <v>#N/A</v>
      </c>
      <c r="I130" t="e">
        <f>IF(ROUNDUP(D130,0)=ROUNDUP(D129,0),0,VLOOKUP(IF(D130&gt;30,D130-(INT(D130/30)-1)*30-29,D130),[6]D_月签到!$A:$F,6,1))</f>
        <v>#N/A</v>
      </c>
      <c r="L130">
        <v>114</v>
      </c>
      <c r="M130">
        <f>[8]D_点金手计算表!$C115</f>
        <v>0</v>
      </c>
      <c r="O130">
        <v>100</v>
      </c>
    </row>
    <row r="131" spans="4:15">
      <c r="D131">
        <v>115</v>
      </c>
      <c r="E131">
        <f t="shared" si="4"/>
        <v>67</v>
      </c>
      <c r="G131" t="e">
        <f>VLOOKUP(D131-IF(D131&gt;30,((INT(D131/30)-1)*30+29),0),[6]D_月签到!$A:$F,6,0)</f>
        <v>#N/A</v>
      </c>
      <c r="I131" t="e">
        <f>IF(ROUNDUP(D131,0)=ROUNDUP(D130,0),0,VLOOKUP(IF(D131&gt;30,D131-(INT(D131/30)-1)*30-29,D131),[6]D_月签到!$A:$F,6,1))</f>
        <v>#N/A</v>
      </c>
      <c r="L131">
        <v>115</v>
      </c>
      <c r="M131">
        <f>[8]D_点金手计算表!$C116</f>
        <v>0</v>
      </c>
      <c r="O131">
        <v>100</v>
      </c>
    </row>
    <row r="132" spans="4:15">
      <c r="D132">
        <v>116</v>
      </c>
      <c r="E132">
        <f t="shared" si="4"/>
        <v>67</v>
      </c>
      <c r="G132" t="e">
        <f>VLOOKUP(D132-IF(D132&gt;30,((INT(D132/30)-1)*30+29),0),[6]D_月签到!$A:$F,6,0)</f>
        <v>#N/A</v>
      </c>
      <c r="I132" t="e">
        <f>IF(ROUNDUP(D132,0)=ROUNDUP(D131,0),0,VLOOKUP(IF(D132&gt;30,D132-(INT(D132/30)-1)*30-29,D132),[6]D_月签到!$A:$F,6,1))</f>
        <v>#N/A</v>
      </c>
      <c r="L132">
        <v>116</v>
      </c>
      <c r="M132">
        <f>[8]D_点金手计算表!$C117</f>
        <v>0</v>
      </c>
      <c r="O132">
        <v>100</v>
      </c>
    </row>
    <row r="133" spans="4:15">
      <c r="D133">
        <v>117</v>
      </c>
      <c r="E133">
        <f t="shared" si="4"/>
        <v>67</v>
      </c>
      <c r="G133" t="e">
        <f>VLOOKUP(D133-IF(D133&gt;30,((INT(D133/30)-1)*30+29),0),[6]D_月签到!$A:$F,6,0)</f>
        <v>#N/A</v>
      </c>
      <c r="I133" t="e">
        <f>IF(ROUNDUP(D133,0)=ROUNDUP(D132,0),0,VLOOKUP(IF(D133&gt;30,D133-(INT(D133/30)-1)*30-29,D133),[6]D_月签到!$A:$F,6,1))</f>
        <v>#N/A</v>
      </c>
      <c r="L133">
        <v>117</v>
      </c>
      <c r="M133">
        <f>[8]D_点金手计算表!$C118</f>
        <v>0</v>
      </c>
      <c r="O133">
        <v>100</v>
      </c>
    </row>
    <row r="134" spans="4:15">
      <c r="D134">
        <v>118</v>
      </c>
      <c r="E134">
        <f t="shared" si="4"/>
        <v>67</v>
      </c>
      <c r="G134" t="e">
        <f>VLOOKUP(D134-IF(D134&gt;30,((INT(D134/30)-1)*30+29),0),[6]D_月签到!$A:$F,6,0)</f>
        <v>#N/A</v>
      </c>
      <c r="I134" t="e">
        <f>IF(ROUNDUP(D134,0)=ROUNDUP(D133,0),0,VLOOKUP(IF(D134&gt;30,D134-(INT(D134/30)-1)*30-29,D134),[6]D_月签到!$A:$F,6,1))</f>
        <v>#N/A</v>
      </c>
      <c r="L134">
        <v>118</v>
      </c>
      <c r="M134">
        <f>[8]D_点金手计算表!$C119</f>
        <v>0</v>
      </c>
      <c r="O134">
        <v>100</v>
      </c>
    </row>
    <row r="135" spans="4:15">
      <c r="D135">
        <v>119</v>
      </c>
      <c r="E135">
        <f t="shared" si="4"/>
        <v>67</v>
      </c>
      <c r="G135" t="e">
        <f>VLOOKUP(D135-IF(D135&gt;30,((INT(D135/30)-1)*30+29),0),[6]D_月签到!$A:$F,6,0)</f>
        <v>#N/A</v>
      </c>
      <c r="I135" t="e">
        <f>IF(ROUNDUP(D135,0)=ROUNDUP(D134,0),0,VLOOKUP(IF(D135&gt;30,D135-(INT(D135/30)-1)*30-29,D135),[6]D_月签到!$A:$F,6,1))</f>
        <v>#N/A</v>
      </c>
      <c r="L135">
        <v>119</v>
      </c>
      <c r="M135">
        <f>[8]D_点金手计算表!$C120</f>
        <v>0</v>
      </c>
      <c r="O135">
        <v>100</v>
      </c>
    </row>
    <row r="136" spans="4:15">
      <c r="D136">
        <v>120</v>
      </c>
      <c r="E136">
        <f t="shared" si="4"/>
        <v>67</v>
      </c>
      <c r="G136" t="e">
        <f>VLOOKUP(D136-IF(D136&gt;30,((INT(D136/30)-1)*30+29),0),[6]D_月签到!$A:$F,6,0)</f>
        <v>#N/A</v>
      </c>
      <c r="I136" t="e">
        <f>IF(ROUNDUP(D136,0)=ROUNDUP(D135,0),0,VLOOKUP(IF(D136&gt;30,D136-(INT(D136/30)-1)*30-29,D136),[6]D_月签到!$A:$F,6,1))</f>
        <v>#N/A</v>
      </c>
      <c r="L136">
        <v>120</v>
      </c>
      <c r="M136">
        <f>[8]D_点金手计算表!$C121</f>
        <v>0</v>
      </c>
      <c r="O136">
        <v>100</v>
      </c>
    </row>
    <row r="137" spans="4:15">
      <c r="D137">
        <v>121</v>
      </c>
      <c r="E137">
        <f t="shared" si="4"/>
        <v>67</v>
      </c>
      <c r="G137" t="e">
        <f>VLOOKUP(D137-IF(D137&gt;30,((INT(D137/30)-1)*30+29),0),[6]D_月签到!$A:$F,6,0)</f>
        <v>#N/A</v>
      </c>
      <c r="I137" t="e">
        <f>IF(ROUNDUP(D137,0)=ROUNDUP(D136,0),0,VLOOKUP(IF(D137&gt;30,D137-(INT(D137/30)-1)*30-29,D137),[6]D_月签到!$A:$F,6,1))</f>
        <v>#N/A</v>
      </c>
      <c r="L137">
        <v>121</v>
      </c>
      <c r="M137">
        <f>[8]D_点金手计算表!$C122</f>
        <v>0</v>
      </c>
      <c r="O137">
        <v>100</v>
      </c>
    </row>
    <row r="138" spans="4:15">
      <c r="D138">
        <v>122</v>
      </c>
      <c r="E138">
        <f t="shared" si="4"/>
        <v>67</v>
      </c>
      <c r="G138" t="e">
        <f>VLOOKUP(D138-IF(D138&gt;30,((INT(D138/30)-1)*30+29),0),[6]D_月签到!$A:$F,6,0)</f>
        <v>#N/A</v>
      </c>
      <c r="I138" t="e">
        <f>IF(ROUNDUP(D138,0)=ROUNDUP(D137,0),0,VLOOKUP(IF(D138&gt;30,D138-(INT(D138/30)-1)*30-29,D138),[6]D_月签到!$A:$F,6,1))</f>
        <v>#N/A</v>
      </c>
      <c r="L138">
        <v>122</v>
      </c>
      <c r="M138">
        <f>[8]D_点金手计算表!$C123</f>
        <v>0</v>
      </c>
      <c r="O138">
        <v>100</v>
      </c>
    </row>
    <row r="139" spans="4:15">
      <c r="D139">
        <v>123</v>
      </c>
      <c r="E139">
        <f t="shared" si="4"/>
        <v>67</v>
      </c>
      <c r="G139" t="e">
        <f>VLOOKUP(D139-IF(D139&gt;30,((INT(D139/30)-1)*30+29),0),[6]D_月签到!$A:$F,6,0)</f>
        <v>#N/A</v>
      </c>
      <c r="I139" t="e">
        <f>IF(ROUNDUP(D139,0)=ROUNDUP(D138,0),0,VLOOKUP(IF(D139&gt;30,D139-(INT(D139/30)-1)*30-29,D139),[6]D_月签到!$A:$F,6,1))</f>
        <v>#N/A</v>
      </c>
      <c r="L139">
        <v>123</v>
      </c>
      <c r="M139">
        <f>[8]D_点金手计算表!$C124</f>
        <v>0</v>
      </c>
      <c r="O139">
        <v>100</v>
      </c>
    </row>
    <row r="140" spans="4:15">
      <c r="D140">
        <v>124</v>
      </c>
      <c r="E140">
        <f t="shared" si="4"/>
        <v>67</v>
      </c>
      <c r="G140" t="e">
        <f>VLOOKUP(D140-IF(D140&gt;30,((INT(D140/30)-1)*30+29),0),[6]D_月签到!$A:$F,6,0)</f>
        <v>#N/A</v>
      </c>
      <c r="I140" t="e">
        <f>IF(ROUNDUP(D140,0)=ROUNDUP(D139,0),0,VLOOKUP(IF(D140&gt;30,D140-(INT(D140/30)-1)*30-29,D140),[6]D_月签到!$A:$F,6,1))</f>
        <v>#N/A</v>
      </c>
      <c r="L140">
        <v>124</v>
      </c>
      <c r="M140">
        <f>[8]D_点金手计算表!$C125</f>
        <v>0</v>
      </c>
      <c r="O140">
        <v>100</v>
      </c>
    </row>
    <row r="141" spans="4:15">
      <c r="D141">
        <v>125</v>
      </c>
      <c r="E141">
        <f t="shared" si="4"/>
        <v>68</v>
      </c>
      <c r="G141" t="e">
        <f>VLOOKUP(D141-IF(D141&gt;30,((INT(D141/30)-1)*30+29),0),[6]D_月签到!$A:$F,6,0)</f>
        <v>#N/A</v>
      </c>
      <c r="I141" t="e">
        <f>IF(ROUNDUP(D141,0)=ROUNDUP(D140,0),0,VLOOKUP(IF(D141&gt;30,D141-(INT(D141/30)-1)*30-29,D141),[6]D_月签到!$A:$F,6,1))</f>
        <v>#N/A</v>
      </c>
      <c r="L141">
        <v>125</v>
      </c>
      <c r="M141">
        <f>[8]D_点金手计算表!$C126</f>
        <v>0</v>
      </c>
      <c r="O141">
        <v>100</v>
      </c>
    </row>
    <row r="142" spans="4:15">
      <c r="D142">
        <v>126</v>
      </c>
      <c r="E142">
        <f t="shared" si="4"/>
        <v>68</v>
      </c>
      <c r="G142" t="e">
        <f>VLOOKUP(D142-IF(D142&gt;30,((INT(D142/30)-1)*30+29),0),[6]D_月签到!$A:$F,6,0)</f>
        <v>#N/A</v>
      </c>
      <c r="I142" t="e">
        <f>IF(ROUNDUP(D142,0)=ROUNDUP(D141,0),0,VLOOKUP(IF(D142&gt;30,D142-(INT(D142/30)-1)*30-29,D142),[6]D_月签到!$A:$F,6,1))</f>
        <v>#N/A</v>
      </c>
      <c r="L142">
        <v>126</v>
      </c>
      <c r="M142">
        <f>[8]D_点金手计算表!$C127</f>
        <v>0</v>
      </c>
      <c r="O142">
        <v>100</v>
      </c>
    </row>
    <row r="143" spans="4:15">
      <c r="D143">
        <v>127</v>
      </c>
      <c r="E143">
        <f t="shared" si="4"/>
        <v>68</v>
      </c>
      <c r="G143" t="e">
        <f>VLOOKUP(D143-IF(D143&gt;30,((INT(D143/30)-1)*30+29),0),[6]D_月签到!$A:$F,6,0)</f>
        <v>#N/A</v>
      </c>
      <c r="I143" t="e">
        <f>IF(ROUNDUP(D143,0)=ROUNDUP(D142,0),0,VLOOKUP(IF(D143&gt;30,D143-(INT(D143/30)-1)*30-29,D143),[6]D_月签到!$A:$F,6,1))</f>
        <v>#N/A</v>
      </c>
      <c r="L143">
        <v>127</v>
      </c>
      <c r="M143">
        <f>[8]D_点金手计算表!$C128</f>
        <v>0</v>
      </c>
      <c r="O143">
        <v>100</v>
      </c>
    </row>
    <row r="144" spans="4:15">
      <c r="D144">
        <v>128</v>
      </c>
      <c r="E144">
        <f t="shared" si="4"/>
        <v>68</v>
      </c>
      <c r="G144" t="e">
        <f>VLOOKUP(D144-IF(D144&gt;30,((INT(D144/30)-1)*30+29),0),[6]D_月签到!$A:$F,6,0)</f>
        <v>#N/A</v>
      </c>
      <c r="I144" t="e">
        <f>IF(ROUNDUP(D144,0)=ROUNDUP(D143,0),0,VLOOKUP(IF(D144&gt;30,D144-(INT(D144/30)-1)*30-29,D144),[6]D_月签到!$A:$F,6,1))</f>
        <v>#N/A</v>
      </c>
      <c r="L144">
        <v>128</v>
      </c>
      <c r="M144">
        <f>[8]D_点金手计算表!$C129</f>
        <v>0</v>
      </c>
      <c r="O144">
        <v>100</v>
      </c>
    </row>
    <row r="145" spans="4:15">
      <c r="D145">
        <v>129</v>
      </c>
      <c r="E145">
        <f t="shared" ref="E145:E176" si="5">VLOOKUP(D145,$A$17:$B$96,2,1)</f>
        <v>68</v>
      </c>
      <c r="G145" t="e">
        <f>VLOOKUP(D145-IF(D145&gt;30,((INT(D145/30)-1)*30+29),0),[6]D_月签到!$A:$F,6,0)</f>
        <v>#N/A</v>
      </c>
      <c r="I145" t="e">
        <f>IF(ROUNDUP(D145,0)=ROUNDUP(D144,0),0,VLOOKUP(IF(D145&gt;30,D145-(INT(D145/30)-1)*30-29,D145),[6]D_月签到!$A:$F,6,1))</f>
        <v>#N/A</v>
      </c>
      <c r="L145">
        <v>129</v>
      </c>
      <c r="M145">
        <f>[8]D_点金手计算表!$C130</f>
        <v>0</v>
      </c>
      <c r="O145">
        <v>100</v>
      </c>
    </row>
    <row r="146" spans="4:15">
      <c r="D146">
        <v>130</v>
      </c>
      <c r="E146">
        <f t="shared" si="5"/>
        <v>68</v>
      </c>
      <c r="G146" t="e">
        <f>VLOOKUP(D146-IF(D146&gt;30,((INT(D146/30)-1)*30+29),0),[6]D_月签到!$A:$F,6,0)</f>
        <v>#N/A</v>
      </c>
      <c r="I146" t="e">
        <f>IF(ROUNDUP(D146,0)=ROUNDUP(D145,0),0,VLOOKUP(IF(D146&gt;30,D146-(INT(D146/30)-1)*30-29,D146),[6]D_月签到!$A:$F,6,1))</f>
        <v>#N/A</v>
      </c>
      <c r="L146">
        <v>130</v>
      </c>
      <c r="M146">
        <f>[8]D_点金手计算表!$C131</f>
        <v>0</v>
      </c>
      <c r="O146">
        <v>100</v>
      </c>
    </row>
    <row r="147" spans="4:15">
      <c r="D147">
        <v>131</v>
      </c>
      <c r="E147">
        <f t="shared" si="5"/>
        <v>68</v>
      </c>
      <c r="G147" t="e">
        <f>VLOOKUP(D147-IF(D147&gt;30,((INT(D147/30)-1)*30+29),0),[6]D_月签到!$A:$F,6,0)</f>
        <v>#N/A</v>
      </c>
      <c r="I147" t="e">
        <f>IF(ROUNDUP(D147,0)=ROUNDUP(D146,0),0,VLOOKUP(IF(D147&gt;30,D147-(INT(D147/30)-1)*30-29,D147),[6]D_月签到!$A:$F,6,1))</f>
        <v>#N/A</v>
      </c>
      <c r="L147">
        <v>131</v>
      </c>
      <c r="M147">
        <f>[8]D_点金手计算表!$C132</f>
        <v>0</v>
      </c>
      <c r="O147">
        <v>100</v>
      </c>
    </row>
    <row r="148" spans="4:15">
      <c r="D148">
        <v>132</v>
      </c>
      <c r="E148">
        <f t="shared" si="5"/>
        <v>68</v>
      </c>
      <c r="G148" t="e">
        <f>VLOOKUP(D148-IF(D148&gt;30,((INT(D148/30)-1)*30+29),0),[6]D_月签到!$A:$F,6,0)</f>
        <v>#N/A</v>
      </c>
      <c r="I148" t="e">
        <f>IF(ROUNDUP(D148,0)=ROUNDUP(D147,0),0,VLOOKUP(IF(D148&gt;30,D148-(INT(D148/30)-1)*30-29,D148),[6]D_月签到!$A:$F,6,1))</f>
        <v>#N/A</v>
      </c>
      <c r="L148">
        <v>132</v>
      </c>
      <c r="M148">
        <f>[8]D_点金手计算表!$C133</f>
        <v>0</v>
      </c>
      <c r="O148">
        <v>100</v>
      </c>
    </row>
    <row r="149" spans="4:15">
      <c r="D149">
        <v>133</v>
      </c>
      <c r="E149">
        <f t="shared" si="5"/>
        <v>68</v>
      </c>
      <c r="G149" t="e">
        <f>VLOOKUP(D149-IF(D149&gt;30,((INT(D149/30)-1)*30+29),0),[6]D_月签到!$A:$F,6,0)</f>
        <v>#N/A</v>
      </c>
      <c r="I149" t="e">
        <f>IF(ROUNDUP(D149,0)=ROUNDUP(D148,0),0,VLOOKUP(IF(D149&gt;30,D149-(INT(D149/30)-1)*30-29,D149),[6]D_月签到!$A:$F,6,1))</f>
        <v>#N/A</v>
      </c>
      <c r="L149">
        <v>133</v>
      </c>
      <c r="M149">
        <f>[8]D_点金手计算表!$C134</f>
        <v>0</v>
      </c>
      <c r="O149">
        <v>100</v>
      </c>
    </row>
    <row r="150" spans="4:15">
      <c r="D150">
        <v>134</v>
      </c>
      <c r="E150">
        <f t="shared" si="5"/>
        <v>68</v>
      </c>
      <c r="G150" t="e">
        <f>VLOOKUP(D150-IF(D150&gt;30,((INT(D150/30)-1)*30+29),0),[6]D_月签到!$A:$F,6,0)</f>
        <v>#N/A</v>
      </c>
      <c r="I150" t="e">
        <f>IF(ROUNDUP(D150,0)=ROUNDUP(D149,0),0,VLOOKUP(IF(D150&gt;30,D150-(INT(D150/30)-1)*30-29,D150),[6]D_月签到!$A:$F,6,1))</f>
        <v>#N/A</v>
      </c>
      <c r="L150">
        <v>134</v>
      </c>
      <c r="M150">
        <f>[8]D_点金手计算表!$C135</f>
        <v>0</v>
      </c>
      <c r="O150">
        <v>100</v>
      </c>
    </row>
    <row r="151" spans="4:15">
      <c r="D151">
        <v>135</v>
      </c>
      <c r="E151">
        <f t="shared" si="5"/>
        <v>68</v>
      </c>
      <c r="G151" t="e">
        <f>VLOOKUP(D151-IF(D151&gt;30,((INT(D151/30)-1)*30+29),0),[6]D_月签到!$A:$F,6,0)</f>
        <v>#N/A</v>
      </c>
      <c r="I151" t="e">
        <f>IF(ROUNDUP(D151,0)=ROUNDUP(D150,0),0,VLOOKUP(IF(D151&gt;30,D151-(INT(D151/30)-1)*30-29,D151),[6]D_月签到!$A:$F,6,1))</f>
        <v>#N/A</v>
      </c>
      <c r="L151">
        <v>135</v>
      </c>
      <c r="M151">
        <f>[8]D_点金手计算表!$C136</f>
        <v>0</v>
      </c>
      <c r="O151">
        <v>100</v>
      </c>
    </row>
    <row r="152" spans="4:15">
      <c r="D152">
        <v>136</v>
      </c>
      <c r="E152">
        <f t="shared" si="5"/>
        <v>68</v>
      </c>
      <c r="G152" t="e">
        <f>VLOOKUP(D152-IF(D152&gt;30,((INT(D152/30)-1)*30+29),0),[6]D_月签到!$A:$F,6,0)</f>
        <v>#N/A</v>
      </c>
      <c r="I152" t="e">
        <f>IF(ROUNDUP(D152,0)=ROUNDUP(D151,0),0,VLOOKUP(IF(D152&gt;30,D152-(INT(D152/30)-1)*30-29,D152),[6]D_月签到!$A:$F,6,1))</f>
        <v>#N/A</v>
      </c>
      <c r="L152">
        <v>136</v>
      </c>
      <c r="M152">
        <f>[8]D_点金手计算表!$C137</f>
        <v>0</v>
      </c>
      <c r="O152">
        <v>100</v>
      </c>
    </row>
    <row r="153" spans="4:15">
      <c r="D153">
        <v>137</v>
      </c>
      <c r="E153">
        <f t="shared" si="5"/>
        <v>69</v>
      </c>
      <c r="G153" t="e">
        <f>VLOOKUP(D153-IF(D153&gt;30,((INT(D153/30)-1)*30+29),0),[6]D_月签到!$A:$F,6,0)</f>
        <v>#N/A</v>
      </c>
      <c r="I153" t="e">
        <f>IF(ROUNDUP(D153,0)=ROUNDUP(D152,0),0,VLOOKUP(IF(D153&gt;30,D153-(INT(D153/30)-1)*30-29,D153),[6]D_月签到!$A:$F,6,1))</f>
        <v>#N/A</v>
      </c>
      <c r="L153">
        <v>137</v>
      </c>
      <c r="M153">
        <f>[8]D_点金手计算表!$C138</f>
        <v>0</v>
      </c>
      <c r="O153">
        <v>100</v>
      </c>
    </row>
    <row r="154" spans="4:15">
      <c r="D154">
        <v>138</v>
      </c>
      <c r="E154">
        <f t="shared" si="5"/>
        <v>69</v>
      </c>
      <c r="G154" t="e">
        <f>VLOOKUP(D154-IF(D154&gt;30,((INT(D154/30)-1)*30+29),0),[6]D_月签到!$A:$F,6,0)</f>
        <v>#N/A</v>
      </c>
      <c r="I154" t="e">
        <f>IF(ROUNDUP(D154,0)=ROUNDUP(D153,0),0,VLOOKUP(IF(D154&gt;30,D154-(INT(D154/30)-1)*30-29,D154),[6]D_月签到!$A:$F,6,1))</f>
        <v>#N/A</v>
      </c>
      <c r="L154">
        <v>138</v>
      </c>
      <c r="M154">
        <f>[8]D_点金手计算表!$C139</f>
        <v>0</v>
      </c>
      <c r="O154">
        <v>100</v>
      </c>
    </row>
    <row r="155" spans="4:15">
      <c r="D155">
        <v>139</v>
      </c>
      <c r="E155">
        <f t="shared" si="5"/>
        <v>69</v>
      </c>
      <c r="G155" t="e">
        <f>VLOOKUP(D155-IF(D155&gt;30,((INT(D155/30)-1)*30+29),0),[6]D_月签到!$A:$F,6,0)</f>
        <v>#N/A</v>
      </c>
      <c r="I155" t="e">
        <f>IF(ROUNDUP(D155,0)=ROUNDUP(D154,0),0,VLOOKUP(IF(D155&gt;30,D155-(INT(D155/30)-1)*30-29,D155),[6]D_月签到!$A:$F,6,1))</f>
        <v>#N/A</v>
      </c>
      <c r="L155">
        <v>139</v>
      </c>
      <c r="M155">
        <f>[8]D_点金手计算表!$C140</f>
        <v>0</v>
      </c>
      <c r="O155">
        <v>100</v>
      </c>
    </row>
    <row r="156" spans="4:15">
      <c r="D156">
        <v>140</v>
      </c>
      <c r="E156">
        <f t="shared" si="5"/>
        <v>69</v>
      </c>
      <c r="G156" t="e">
        <f>VLOOKUP(D156-IF(D156&gt;30,((INT(D156/30)-1)*30+29),0),[6]D_月签到!$A:$F,6,0)</f>
        <v>#N/A</v>
      </c>
      <c r="I156" t="e">
        <f>IF(ROUNDUP(D156,0)=ROUNDUP(D155,0),0,VLOOKUP(IF(D156&gt;30,D156-(INT(D156/30)-1)*30-29,D156),[6]D_月签到!$A:$F,6,1))</f>
        <v>#N/A</v>
      </c>
      <c r="L156">
        <v>140</v>
      </c>
      <c r="M156">
        <f>[8]D_点金手计算表!$C141</f>
        <v>0</v>
      </c>
      <c r="O156">
        <v>100</v>
      </c>
    </row>
    <row r="157" spans="4:15">
      <c r="D157">
        <v>141</v>
      </c>
      <c r="E157">
        <f t="shared" si="5"/>
        <v>69</v>
      </c>
      <c r="G157" t="e">
        <f>VLOOKUP(D157-IF(D157&gt;30,((INT(D157/30)-1)*30+29),0),[6]D_月签到!$A:$F,6,0)</f>
        <v>#N/A</v>
      </c>
      <c r="I157" t="e">
        <f>IF(ROUNDUP(D157,0)=ROUNDUP(D156,0),0,VLOOKUP(IF(D157&gt;30,D157-(INT(D157/30)-1)*30-29,D157),[6]D_月签到!$A:$F,6,1))</f>
        <v>#N/A</v>
      </c>
      <c r="L157">
        <v>141</v>
      </c>
      <c r="M157">
        <f>[8]D_点金手计算表!$C142</f>
        <v>0</v>
      </c>
      <c r="O157">
        <v>100</v>
      </c>
    </row>
    <row r="158" spans="4:15">
      <c r="D158">
        <v>142</v>
      </c>
      <c r="E158">
        <f t="shared" si="5"/>
        <v>69</v>
      </c>
      <c r="G158" t="e">
        <f>VLOOKUP(D158-IF(D158&gt;30,((INT(D158/30)-1)*30+29),0),[6]D_月签到!$A:$F,6,0)</f>
        <v>#N/A</v>
      </c>
      <c r="I158" t="e">
        <f>IF(ROUNDUP(D158,0)=ROUNDUP(D157,0),0,VLOOKUP(IF(D158&gt;30,D158-(INT(D158/30)-1)*30-29,D158),[6]D_月签到!$A:$F,6,1))</f>
        <v>#N/A</v>
      </c>
      <c r="L158">
        <v>142</v>
      </c>
      <c r="M158">
        <f>[8]D_点金手计算表!$C143</f>
        <v>0</v>
      </c>
      <c r="O158">
        <v>100</v>
      </c>
    </row>
    <row r="159" spans="4:15">
      <c r="D159">
        <v>143</v>
      </c>
      <c r="E159">
        <f t="shared" si="5"/>
        <v>69</v>
      </c>
      <c r="G159" t="e">
        <f>VLOOKUP(D159-IF(D159&gt;30,((INT(D159/30)-1)*30+29),0),[6]D_月签到!$A:$F,6,0)</f>
        <v>#N/A</v>
      </c>
      <c r="I159" t="e">
        <f>IF(ROUNDUP(D159,0)=ROUNDUP(D158,0),0,VLOOKUP(IF(D159&gt;30,D159-(INT(D159/30)-1)*30-29,D159),[6]D_月签到!$A:$F,6,1))</f>
        <v>#N/A</v>
      </c>
      <c r="L159">
        <v>143</v>
      </c>
      <c r="M159">
        <f>[8]D_点金手计算表!$C144</f>
        <v>0</v>
      </c>
      <c r="O159">
        <v>100</v>
      </c>
    </row>
    <row r="160" spans="4:15">
      <c r="D160">
        <v>144</v>
      </c>
      <c r="E160">
        <f t="shared" si="5"/>
        <v>69</v>
      </c>
      <c r="G160" t="e">
        <f>VLOOKUP(D160-IF(D160&gt;30,((INT(D160/30)-1)*30+29),0),[6]D_月签到!$A:$F,6,0)</f>
        <v>#N/A</v>
      </c>
      <c r="I160" t="e">
        <f>IF(ROUNDUP(D160,0)=ROUNDUP(D159,0),0,VLOOKUP(IF(D160&gt;30,D160-(INT(D160/30)-1)*30-29,D160),[6]D_月签到!$A:$F,6,1))</f>
        <v>#N/A</v>
      </c>
      <c r="L160">
        <v>144</v>
      </c>
      <c r="M160">
        <f>[8]D_点金手计算表!$C145</f>
        <v>0</v>
      </c>
      <c r="O160">
        <v>100</v>
      </c>
    </row>
    <row r="161" spans="4:15">
      <c r="D161">
        <v>145</v>
      </c>
      <c r="E161">
        <f t="shared" si="5"/>
        <v>69</v>
      </c>
      <c r="G161" t="e">
        <f>VLOOKUP(D161-IF(D161&gt;30,((INT(D161/30)-1)*30+29),0),[6]D_月签到!$A:$F,6,0)</f>
        <v>#N/A</v>
      </c>
      <c r="I161" t="e">
        <f>IF(ROUNDUP(D161,0)=ROUNDUP(D160,0),0,VLOOKUP(IF(D161&gt;30,D161-(INT(D161/30)-1)*30-29,D161),[6]D_月签到!$A:$F,6,1))</f>
        <v>#N/A</v>
      </c>
      <c r="L161">
        <v>145</v>
      </c>
      <c r="M161">
        <f>[8]D_点金手计算表!$C146</f>
        <v>0</v>
      </c>
      <c r="O161">
        <v>100</v>
      </c>
    </row>
    <row r="162" spans="4:15">
      <c r="D162">
        <v>146</v>
      </c>
      <c r="E162">
        <f t="shared" si="5"/>
        <v>69</v>
      </c>
      <c r="G162" t="e">
        <f>VLOOKUP(D162-IF(D162&gt;30,((INT(D162/30)-1)*30+29),0),[6]D_月签到!$A:$F,6,0)</f>
        <v>#N/A</v>
      </c>
      <c r="I162" t="e">
        <f>IF(ROUNDUP(D162,0)=ROUNDUP(D161,0),0,VLOOKUP(IF(D162&gt;30,D162-(INT(D162/30)-1)*30-29,D162),[6]D_月签到!$A:$F,6,1))</f>
        <v>#N/A</v>
      </c>
      <c r="L162">
        <v>146</v>
      </c>
      <c r="M162">
        <f>[8]D_点金手计算表!$C147</f>
        <v>0</v>
      </c>
      <c r="O162">
        <v>100</v>
      </c>
    </row>
    <row r="163" spans="4:15">
      <c r="D163">
        <v>147</v>
      </c>
      <c r="E163">
        <f t="shared" si="5"/>
        <v>69</v>
      </c>
      <c r="G163" t="e">
        <f>VLOOKUP(D163-IF(D163&gt;30,((INT(D163/30)-1)*30+29),0),[6]D_月签到!$A:$F,6,0)</f>
        <v>#N/A</v>
      </c>
      <c r="I163" t="e">
        <f>IF(ROUNDUP(D163,0)=ROUNDUP(D162,0),0,VLOOKUP(IF(D163&gt;30,D163-(INT(D163/30)-1)*30-29,D163),[6]D_月签到!$A:$F,6,1))</f>
        <v>#N/A</v>
      </c>
      <c r="L163">
        <v>147</v>
      </c>
      <c r="M163">
        <f>[8]D_点金手计算表!$C148</f>
        <v>0</v>
      </c>
      <c r="O163">
        <v>100</v>
      </c>
    </row>
    <row r="164" spans="4:15">
      <c r="D164">
        <v>148</v>
      </c>
      <c r="E164">
        <f t="shared" si="5"/>
        <v>69</v>
      </c>
      <c r="G164" t="e">
        <f>VLOOKUP(D164-IF(D164&gt;30,((INT(D164/30)-1)*30+29),0),[6]D_月签到!$A:$F,6,0)</f>
        <v>#N/A</v>
      </c>
      <c r="I164" t="e">
        <f>IF(ROUNDUP(D164,0)=ROUNDUP(D163,0),0,VLOOKUP(IF(D164&gt;30,D164-(INT(D164/30)-1)*30-29,D164),[6]D_月签到!$A:$F,6,1))</f>
        <v>#N/A</v>
      </c>
      <c r="L164">
        <v>148</v>
      </c>
      <c r="M164">
        <f>[8]D_点金手计算表!$C149</f>
        <v>0</v>
      </c>
      <c r="O164">
        <v>100</v>
      </c>
    </row>
    <row r="165" spans="4:15">
      <c r="D165">
        <v>149</v>
      </c>
      <c r="E165">
        <f t="shared" si="5"/>
        <v>69</v>
      </c>
      <c r="G165" t="e">
        <f>VLOOKUP(D165-IF(D165&gt;30,((INT(D165/30)-1)*30+29),0),[6]D_月签到!$A:$F,6,0)</f>
        <v>#N/A</v>
      </c>
      <c r="I165" t="e">
        <f>IF(ROUNDUP(D165,0)=ROUNDUP(D164,0),0,VLOOKUP(IF(D165&gt;30,D165-(INT(D165/30)-1)*30-29,D165),[6]D_月签到!$A:$F,6,1))</f>
        <v>#N/A</v>
      </c>
      <c r="L165">
        <v>149</v>
      </c>
      <c r="M165">
        <f>[8]D_点金手计算表!$C150</f>
        <v>0</v>
      </c>
      <c r="O165">
        <v>100</v>
      </c>
    </row>
    <row r="166" spans="4:15">
      <c r="D166">
        <v>150</v>
      </c>
      <c r="E166">
        <f t="shared" si="5"/>
        <v>69</v>
      </c>
      <c r="G166" t="e">
        <f>VLOOKUP(D166-IF(D166&gt;30,((INT(D166/30)-1)*30+29),0),[6]D_月签到!$A:$F,6,0)</f>
        <v>#N/A</v>
      </c>
      <c r="I166" t="e">
        <f>IF(ROUNDUP(D166,0)=ROUNDUP(D165,0),0,VLOOKUP(IF(D166&gt;30,D166-(INT(D166/30)-1)*30-29,D166),[6]D_月签到!$A:$F,6,1))</f>
        <v>#N/A</v>
      </c>
      <c r="L166">
        <v>150</v>
      </c>
      <c r="M166">
        <f>[8]D_点金手计算表!$C151</f>
        <v>0</v>
      </c>
      <c r="O166">
        <v>100</v>
      </c>
    </row>
    <row r="167" spans="4:15">
      <c r="D167">
        <v>151</v>
      </c>
      <c r="E167">
        <f t="shared" si="5"/>
        <v>70</v>
      </c>
      <c r="G167" t="e">
        <f>VLOOKUP(D167-IF(D167&gt;30,((INT(D167/30)-1)*30+29),0),[6]D_月签到!$A:$F,6,0)</f>
        <v>#N/A</v>
      </c>
      <c r="I167" t="e">
        <f>IF(ROUNDUP(D167,0)=ROUNDUP(D166,0),0,VLOOKUP(IF(D167&gt;30,D167-(INT(D167/30)-1)*30-29,D167),[6]D_月签到!$A:$F,6,1))</f>
        <v>#N/A</v>
      </c>
      <c r="L167">
        <v>151</v>
      </c>
      <c r="M167">
        <f>[8]D_点金手计算表!$C152</f>
        <v>0</v>
      </c>
      <c r="O167">
        <v>100</v>
      </c>
    </row>
    <row r="168" spans="4:15">
      <c r="D168">
        <v>152</v>
      </c>
      <c r="E168">
        <f t="shared" si="5"/>
        <v>70</v>
      </c>
      <c r="G168" t="e">
        <f>VLOOKUP(D168-IF(D168&gt;30,((INT(D168/30)-1)*30+29),0),[6]D_月签到!$A:$F,6,0)</f>
        <v>#N/A</v>
      </c>
      <c r="I168" t="e">
        <f>IF(ROUNDUP(D168,0)=ROUNDUP(D167,0),0,VLOOKUP(IF(D168&gt;30,D168-(INT(D168/30)-1)*30-29,D168),[6]D_月签到!$A:$F,6,1))</f>
        <v>#N/A</v>
      </c>
      <c r="L168">
        <v>152</v>
      </c>
      <c r="M168">
        <f>[8]D_点金手计算表!$C153</f>
        <v>0</v>
      </c>
      <c r="O168">
        <v>100</v>
      </c>
    </row>
    <row r="169" spans="4:15">
      <c r="D169">
        <v>153</v>
      </c>
      <c r="E169">
        <f t="shared" si="5"/>
        <v>70</v>
      </c>
      <c r="G169" t="e">
        <f>VLOOKUP(D169-IF(D169&gt;30,((INT(D169/30)-1)*30+29),0),[6]D_月签到!$A:$F,6,0)</f>
        <v>#N/A</v>
      </c>
      <c r="I169" t="e">
        <f>IF(ROUNDUP(D169,0)=ROUNDUP(D168,0),0,VLOOKUP(IF(D169&gt;30,D169-(INT(D169/30)-1)*30-29,D169),[6]D_月签到!$A:$F,6,1))</f>
        <v>#N/A</v>
      </c>
      <c r="L169">
        <v>153</v>
      </c>
      <c r="M169">
        <f>[8]D_点金手计算表!$C154</f>
        <v>0</v>
      </c>
      <c r="O169">
        <v>100</v>
      </c>
    </row>
    <row r="170" spans="4:15">
      <c r="D170">
        <v>154</v>
      </c>
      <c r="E170">
        <f t="shared" si="5"/>
        <v>70</v>
      </c>
      <c r="G170" t="e">
        <f>VLOOKUP(D170-IF(D170&gt;30,((INT(D170/30)-1)*30+29),0),[6]D_月签到!$A:$F,6,0)</f>
        <v>#N/A</v>
      </c>
      <c r="I170" t="e">
        <f>IF(ROUNDUP(D170,0)=ROUNDUP(D169,0),0,VLOOKUP(IF(D170&gt;30,D170-(INT(D170/30)-1)*30-29,D170),[6]D_月签到!$A:$F,6,1))</f>
        <v>#N/A</v>
      </c>
      <c r="L170">
        <v>154</v>
      </c>
      <c r="M170">
        <f>[8]D_点金手计算表!$C155</f>
        <v>0</v>
      </c>
      <c r="O170">
        <v>100</v>
      </c>
    </row>
    <row r="171" spans="4:15">
      <c r="D171">
        <v>155</v>
      </c>
      <c r="E171">
        <f t="shared" si="5"/>
        <v>70</v>
      </c>
      <c r="G171" t="e">
        <f>VLOOKUP(D171-IF(D171&gt;30,((INT(D171/30)-1)*30+29),0),[6]D_月签到!$A:$F,6,0)</f>
        <v>#N/A</v>
      </c>
      <c r="I171" t="e">
        <f>IF(ROUNDUP(D171,0)=ROUNDUP(D170,0),0,VLOOKUP(IF(D171&gt;30,D171-(INT(D171/30)-1)*30-29,D171),[6]D_月签到!$A:$F,6,1))</f>
        <v>#N/A</v>
      </c>
      <c r="L171">
        <v>155</v>
      </c>
      <c r="M171">
        <f>[8]D_点金手计算表!$C156</f>
        <v>0</v>
      </c>
      <c r="O171">
        <v>100</v>
      </c>
    </row>
    <row r="172" spans="4:15">
      <c r="D172">
        <v>156</v>
      </c>
      <c r="E172">
        <f t="shared" si="5"/>
        <v>70</v>
      </c>
      <c r="G172" t="e">
        <f>VLOOKUP(D172-IF(D172&gt;30,((INT(D172/30)-1)*30+29),0),[6]D_月签到!$A:$F,6,0)</f>
        <v>#N/A</v>
      </c>
      <c r="I172" t="e">
        <f>IF(ROUNDUP(D172,0)=ROUNDUP(D171,0),0,VLOOKUP(IF(D172&gt;30,D172-(INT(D172/30)-1)*30-29,D172),[6]D_月签到!$A:$F,6,1))</f>
        <v>#N/A</v>
      </c>
      <c r="L172">
        <v>156</v>
      </c>
      <c r="M172">
        <f>[8]D_点金手计算表!$C157</f>
        <v>0</v>
      </c>
      <c r="O172">
        <v>100</v>
      </c>
    </row>
    <row r="173" spans="4:15">
      <c r="D173">
        <v>157</v>
      </c>
      <c r="E173">
        <f t="shared" si="5"/>
        <v>70</v>
      </c>
      <c r="G173" t="e">
        <f>VLOOKUP(D173-IF(D173&gt;30,((INT(D173/30)-1)*30+29),0),[6]D_月签到!$A:$F,6,0)</f>
        <v>#N/A</v>
      </c>
      <c r="I173" t="e">
        <f>IF(ROUNDUP(D173,0)=ROUNDUP(D172,0),0,VLOOKUP(IF(D173&gt;30,D173-(INT(D173/30)-1)*30-29,D173),[6]D_月签到!$A:$F,6,1))</f>
        <v>#N/A</v>
      </c>
      <c r="L173">
        <v>157</v>
      </c>
      <c r="M173">
        <f>[8]D_点金手计算表!$C158</f>
        <v>0</v>
      </c>
      <c r="O173">
        <v>100</v>
      </c>
    </row>
    <row r="174" spans="4:15">
      <c r="D174">
        <v>158</v>
      </c>
      <c r="E174">
        <f t="shared" si="5"/>
        <v>70</v>
      </c>
      <c r="G174" t="e">
        <f>VLOOKUP(D174-IF(D174&gt;30,((INT(D174/30)-1)*30+29),0),[6]D_月签到!$A:$F,6,0)</f>
        <v>#N/A</v>
      </c>
      <c r="I174" t="e">
        <f>IF(ROUNDUP(D174,0)=ROUNDUP(D173,0),0,VLOOKUP(IF(D174&gt;30,D174-(INT(D174/30)-1)*30-29,D174),[6]D_月签到!$A:$F,6,1))</f>
        <v>#N/A</v>
      </c>
      <c r="L174">
        <v>158</v>
      </c>
      <c r="M174">
        <f>[8]D_点金手计算表!$C159</f>
        <v>0</v>
      </c>
      <c r="O174">
        <v>100</v>
      </c>
    </row>
    <row r="175" spans="4:15">
      <c r="D175">
        <v>159</v>
      </c>
      <c r="E175">
        <f t="shared" si="5"/>
        <v>70</v>
      </c>
      <c r="G175" t="e">
        <f>VLOOKUP(D175-IF(D175&gt;30,((INT(D175/30)-1)*30+29),0),[6]D_月签到!$A:$F,6,0)</f>
        <v>#N/A</v>
      </c>
      <c r="I175" t="e">
        <f>IF(ROUNDUP(D175,0)=ROUNDUP(D174,0),0,VLOOKUP(IF(D175&gt;30,D175-(INT(D175/30)-1)*30-29,D175),[6]D_月签到!$A:$F,6,1))</f>
        <v>#N/A</v>
      </c>
      <c r="L175">
        <v>159</v>
      </c>
      <c r="M175">
        <f>[8]D_点金手计算表!$C160</f>
        <v>0</v>
      </c>
      <c r="O175">
        <v>100</v>
      </c>
    </row>
    <row r="176" spans="4:15">
      <c r="D176">
        <v>160</v>
      </c>
      <c r="E176">
        <f t="shared" si="5"/>
        <v>70</v>
      </c>
      <c r="G176" t="e">
        <f>VLOOKUP(D176-IF(D176&gt;30,((INT(D176/30)-1)*30+29),0),[6]D_月签到!$A:$F,6,0)</f>
        <v>#N/A</v>
      </c>
      <c r="I176" t="e">
        <f>IF(ROUNDUP(D176,0)=ROUNDUP(D175,0),0,VLOOKUP(IF(D176&gt;30,D176-(INT(D176/30)-1)*30-29,D176),[6]D_月签到!$A:$F,6,1))</f>
        <v>#N/A</v>
      </c>
      <c r="L176">
        <v>160</v>
      </c>
      <c r="M176">
        <f>[8]D_点金手计算表!$C161</f>
        <v>0</v>
      </c>
      <c r="O176">
        <v>100</v>
      </c>
    </row>
    <row r="177" spans="4:15">
      <c r="D177">
        <v>161</v>
      </c>
      <c r="E177">
        <f t="shared" ref="E177:E208" si="6">VLOOKUP(D177,$A$17:$B$96,2,1)</f>
        <v>70</v>
      </c>
      <c r="G177" t="e">
        <f>VLOOKUP(D177-IF(D177&gt;30,((INT(D177/30)-1)*30+29),0),[6]D_月签到!$A:$F,6,0)</f>
        <v>#N/A</v>
      </c>
      <c r="I177" t="e">
        <f>IF(ROUNDUP(D177,0)=ROUNDUP(D176,0),0,VLOOKUP(IF(D177&gt;30,D177-(INT(D177/30)-1)*30-29,D177),[6]D_月签到!$A:$F,6,1))</f>
        <v>#N/A</v>
      </c>
      <c r="L177">
        <v>161</v>
      </c>
      <c r="M177">
        <f>[8]D_点金手计算表!$C162</f>
        <v>0</v>
      </c>
      <c r="O177">
        <v>100</v>
      </c>
    </row>
    <row r="178" spans="4:15">
      <c r="D178">
        <v>162</v>
      </c>
      <c r="E178">
        <f t="shared" si="6"/>
        <v>70</v>
      </c>
      <c r="G178" t="e">
        <f>VLOOKUP(D178-IF(D178&gt;30,((INT(D178/30)-1)*30+29),0),[6]D_月签到!$A:$F,6,0)</f>
        <v>#N/A</v>
      </c>
      <c r="I178" t="e">
        <f>IF(ROUNDUP(D178,0)=ROUNDUP(D177,0),0,VLOOKUP(IF(D178&gt;30,D178-(INT(D178/30)-1)*30-29,D178),[6]D_月签到!$A:$F,6,1))</f>
        <v>#N/A</v>
      </c>
      <c r="L178">
        <v>162</v>
      </c>
      <c r="M178">
        <f>[8]D_点金手计算表!$C163</f>
        <v>0</v>
      </c>
      <c r="O178">
        <v>100</v>
      </c>
    </row>
    <row r="179" spans="4:15">
      <c r="D179">
        <v>163</v>
      </c>
      <c r="E179">
        <f t="shared" si="6"/>
        <v>70</v>
      </c>
      <c r="G179" t="e">
        <f>VLOOKUP(D179-IF(D179&gt;30,((INT(D179/30)-1)*30+29),0),[6]D_月签到!$A:$F,6,0)</f>
        <v>#N/A</v>
      </c>
      <c r="I179" t="e">
        <f>IF(ROUNDUP(D179,0)=ROUNDUP(D178,0),0,VLOOKUP(IF(D179&gt;30,D179-(INT(D179/30)-1)*30-29,D179),[6]D_月签到!$A:$F,6,1))</f>
        <v>#N/A</v>
      </c>
      <c r="L179">
        <v>163</v>
      </c>
      <c r="M179">
        <f>[8]D_点金手计算表!$C164</f>
        <v>0</v>
      </c>
      <c r="O179">
        <v>100</v>
      </c>
    </row>
    <row r="180" spans="4:15">
      <c r="D180">
        <v>164</v>
      </c>
      <c r="E180">
        <f t="shared" si="6"/>
        <v>70</v>
      </c>
      <c r="G180" t="e">
        <f>VLOOKUP(D180-IF(D180&gt;30,((INT(D180/30)-1)*30+29),0),[6]D_月签到!$A:$F,6,0)</f>
        <v>#N/A</v>
      </c>
      <c r="I180" t="e">
        <f>IF(ROUNDUP(D180,0)=ROUNDUP(D179,0),0,VLOOKUP(IF(D180&gt;30,D180-(INT(D180/30)-1)*30-29,D180),[6]D_月签到!$A:$F,6,1))</f>
        <v>#N/A</v>
      </c>
      <c r="L180">
        <v>164</v>
      </c>
      <c r="M180">
        <f>[8]D_点金手计算表!$C165</f>
        <v>0</v>
      </c>
      <c r="O180">
        <v>100</v>
      </c>
    </row>
    <row r="181" spans="4:15">
      <c r="D181">
        <v>165</v>
      </c>
      <c r="E181">
        <f t="shared" si="6"/>
        <v>70</v>
      </c>
      <c r="G181" t="e">
        <f>VLOOKUP(D181-IF(D181&gt;30,((INT(D181/30)-1)*30+29),0),[6]D_月签到!$A:$F,6,0)</f>
        <v>#N/A</v>
      </c>
      <c r="I181" t="e">
        <f>IF(ROUNDUP(D181,0)=ROUNDUP(D180,0),0,VLOOKUP(IF(D181&gt;30,D181-(INT(D181/30)-1)*30-29,D181),[6]D_月签到!$A:$F,6,1))</f>
        <v>#N/A</v>
      </c>
      <c r="L181">
        <v>165</v>
      </c>
      <c r="M181">
        <f>[8]D_点金手计算表!$C166</f>
        <v>0</v>
      </c>
      <c r="O181">
        <v>100</v>
      </c>
    </row>
    <row r="182" spans="4:15">
      <c r="D182">
        <v>166</v>
      </c>
      <c r="E182">
        <f t="shared" si="6"/>
        <v>71</v>
      </c>
      <c r="G182" t="e">
        <f>VLOOKUP(D182-IF(D182&gt;30,((INT(D182/30)-1)*30+29),0),[6]D_月签到!$A:$F,6,0)</f>
        <v>#N/A</v>
      </c>
      <c r="I182" t="e">
        <f>IF(ROUNDUP(D182,0)=ROUNDUP(D181,0),0,VLOOKUP(IF(D182&gt;30,D182-(INT(D182/30)-1)*30-29,D182),[6]D_月签到!$A:$F,6,1))</f>
        <v>#N/A</v>
      </c>
      <c r="L182">
        <v>166</v>
      </c>
      <c r="M182">
        <f>[8]D_点金手计算表!$C167</f>
        <v>0</v>
      </c>
      <c r="O182">
        <v>100</v>
      </c>
    </row>
    <row r="183" spans="4:15">
      <c r="D183">
        <v>167</v>
      </c>
      <c r="E183">
        <f t="shared" si="6"/>
        <v>71</v>
      </c>
      <c r="G183" t="e">
        <f>VLOOKUP(D183-IF(D183&gt;30,((INT(D183/30)-1)*30+29),0),[6]D_月签到!$A:$F,6,0)</f>
        <v>#N/A</v>
      </c>
      <c r="I183" t="e">
        <f>IF(ROUNDUP(D183,0)=ROUNDUP(D182,0),0,VLOOKUP(IF(D183&gt;30,D183-(INT(D183/30)-1)*30-29,D183),[6]D_月签到!$A:$F,6,1))</f>
        <v>#N/A</v>
      </c>
      <c r="L183">
        <v>167</v>
      </c>
      <c r="M183">
        <f>[8]D_点金手计算表!$C168</f>
        <v>0</v>
      </c>
      <c r="O183">
        <v>100</v>
      </c>
    </row>
    <row r="184" spans="4:15">
      <c r="D184">
        <v>168</v>
      </c>
      <c r="E184">
        <f t="shared" si="6"/>
        <v>71</v>
      </c>
      <c r="G184" t="e">
        <f>VLOOKUP(D184-IF(D184&gt;30,((INT(D184/30)-1)*30+29),0),[6]D_月签到!$A:$F,6,0)</f>
        <v>#N/A</v>
      </c>
      <c r="I184" t="e">
        <f>IF(ROUNDUP(D184,0)=ROUNDUP(D183,0),0,VLOOKUP(IF(D184&gt;30,D184-(INT(D184/30)-1)*30-29,D184),[6]D_月签到!$A:$F,6,1))</f>
        <v>#N/A</v>
      </c>
      <c r="L184">
        <v>168</v>
      </c>
      <c r="M184">
        <f>[8]D_点金手计算表!$C169</f>
        <v>0</v>
      </c>
      <c r="O184">
        <v>100</v>
      </c>
    </row>
    <row r="185" spans="4:15">
      <c r="D185">
        <v>169</v>
      </c>
      <c r="E185">
        <f t="shared" si="6"/>
        <v>71</v>
      </c>
      <c r="G185" t="e">
        <f>VLOOKUP(D185-IF(D185&gt;30,((INT(D185/30)-1)*30+29),0),[6]D_月签到!$A:$F,6,0)</f>
        <v>#N/A</v>
      </c>
      <c r="I185" t="e">
        <f>IF(ROUNDUP(D185,0)=ROUNDUP(D184,0),0,VLOOKUP(IF(D185&gt;30,D185-(INT(D185/30)-1)*30-29,D185),[6]D_月签到!$A:$F,6,1))</f>
        <v>#N/A</v>
      </c>
      <c r="L185">
        <v>169</v>
      </c>
      <c r="M185">
        <f>[8]D_点金手计算表!$C170</f>
        <v>0</v>
      </c>
      <c r="O185">
        <v>100</v>
      </c>
    </row>
    <row r="186" spans="4:15">
      <c r="D186">
        <v>170</v>
      </c>
      <c r="E186">
        <f t="shared" si="6"/>
        <v>71</v>
      </c>
      <c r="G186" t="e">
        <f>VLOOKUP(D186-IF(D186&gt;30,((INT(D186/30)-1)*30+29),0),[6]D_月签到!$A:$F,6,0)</f>
        <v>#N/A</v>
      </c>
      <c r="I186" t="e">
        <f>IF(ROUNDUP(D186,0)=ROUNDUP(D185,0),0,VLOOKUP(IF(D186&gt;30,D186-(INT(D186/30)-1)*30-29,D186),[6]D_月签到!$A:$F,6,1))</f>
        <v>#N/A</v>
      </c>
      <c r="L186">
        <v>170</v>
      </c>
      <c r="M186">
        <f>[8]D_点金手计算表!$C171</f>
        <v>0</v>
      </c>
      <c r="O186">
        <v>100</v>
      </c>
    </row>
    <row r="187" spans="4:15">
      <c r="D187">
        <v>171</v>
      </c>
      <c r="E187">
        <f t="shared" si="6"/>
        <v>71</v>
      </c>
      <c r="G187" t="e">
        <f>VLOOKUP(D187-IF(D187&gt;30,((INT(D187/30)-1)*30+29),0),[6]D_月签到!$A:$F,6,0)</f>
        <v>#N/A</v>
      </c>
      <c r="I187" t="e">
        <f>IF(ROUNDUP(D187,0)=ROUNDUP(D186,0),0,VLOOKUP(IF(D187&gt;30,D187-(INT(D187/30)-1)*30-29,D187),[6]D_月签到!$A:$F,6,1))</f>
        <v>#N/A</v>
      </c>
      <c r="L187">
        <v>171</v>
      </c>
      <c r="M187">
        <f>[8]D_点金手计算表!$C172</f>
        <v>0</v>
      </c>
      <c r="O187">
        <v>100</v>
      </c>
    </row>
    <row r="188" spans="4:15">
      <c r="D188">
        <v>172</v>
      </c>
      <c r="E188">
        <f t="shared" si="6"/>
        <v>71</v>
      </c>
      <c r="G188" t="e">
        <f>VLOOKUP(D188-IF(D188&gt;30,((INT(D188/30)-1)*30+29),0),[6]D_月签到!$A:$F,6,0)</f>
        <v>#N/A</v>
      </c>
      <c r="I188" t="e">
        <f>IF(ROUNDUP(D188,0)=ROUNDUP(D187,0),0,VLOOKUP(IF(D188&gt;30,D188-(INT(D188/30)-1)*30-29,D188),[6]D_月签到!$A:$F,6,1))</f>
        <v>#N/A</v>
      </c>
      <c r="L188">
        <v>172</v>
      </c>
      <c r="M188">
        <f>[8]D_点金手计算表!$C173</f>
        <v>0</v>
      </c>
      <c r="O188">
        <v>100</v>
      </c>
    </row>
    <row r="189" spans="4:15">
      <c r="D189">
        <v>173</v>
      </c>
      <c r="E189">
        <f t="shared" si="6"/>
        <v>71</v>
      </c>
      <c r="G189" t="e">
        <f>VLOOKUP(D189-IF(D189&gt;30,((INT(D189/30)-1)*30+29),0),[6]D_月签到!$A:$F,6,0)</f>
        <v>#N/A</v>
      </c>
      <c r="I189" t="e">
        <f>IF(ROUNDUP(D189,0)=ROUNDUP(D188,0),0,VLOOKUP(IF(D189&gt;30,D189-(INT(D189/30)-1)*30-29,D189),[6]D_月签到!$A:$F,6,1))</f>
        <v>#N/A</v>
      </c>
      <c r="L189">
        <v>173</v>
      </c>
      <c r="M189">
        <f>[8]D_点金手计算表!$C174</f>
        <v>0</v>
      </c>
      <c r="O189">
        <v>100</v>
      </c>
    </row>
    <row r="190" spans="4:15">
      <c r="D190">
        <v>174</v>
      </c>
      <c r="E190">
        <f t="shared" si="6"/>
        <v>71</v>
      </c>
      <c r="G190" t="e">
        <f>VLOOKUP(D190-IF(D190&gt;30,((INT(D190/30)-1)*30+29),0),[6]D_月签到!$A:$F,6,0)</f>
        <v>#N/A</v>
      </c>
      <c r="I190" t="e">
        <f>IF(ROUNDUP(D190,0)=ROUNDUP(D189,0),0,VLOOKUP(IF(D190&gt;30,D190-(INT(D190/30)-1)*30-29,D190),[6]D_月签到!$A:$F,6,1))</f>
        <v>#N/A</v>
      </c>
      <c r="L190">
        <v>174</v>
      </c>
      <c r="M190">
        <f>[8]D_点金手计算表!$C175</f>
        <v>0</v>
      </c>
      <c r="O190">
        <v>100</v>
      </c>
    </row>
    <row r="191" spans="4:15">
      <c r="D191">
        <v>175</v>
      </c>
      <c r="E191">
        <f t="shared" si="6"/>
        <v>71</v>
      </c>
      <c r="G191" t="e">
        <f>VLOOKUP(D191-IF(D191&gt;30,((INT(D191/30)-1)*30+29),0),[6]D_月签到!$A:$F,6,0)</f>
        <v>#N/A</v>
      </c>
      <c r="I191" t="e">
        <f>IF(ROUNDUP(D191,0)=ROUNDUP(D190,0),0,VLOOKUP(IF(D191&gt;30,D191-(INT(D191/30)-1)*30-29,D191),[6]D_月签到!$A:$F,6,1))</f>
        <v>#N/A</v>
      </c>
      <c r="L191">
        <v>175</v>
      </c>
      <c r="M191">
        <f>[8]D_点金手计算表!$C176</f>
        <v>0</v>
      </c>
      <c r="O191">
        <v>100</v>
      </c>
    </row>
    <row r="192" spans="4:15">
      <c r="D192">
        <v>176</v>
      </c>
      <c r="E192">
        <f t="shared" si="6"/>
        <v>71</v>
      </c>
      <c r="G192" t="e">
        <f>VLOOKUP(D192-IF(D192&gt;30,((INT(D192/30)-1)*30+29),0),[6]D_月签到!$A:$F,6,0)</f>
        <v>#N/A</v>
      </c>
      <c r="I192" t="e">
        <f>IF(ROUNDUP(D192,0)=ROUNDUP(D191,0),0,VLOOKUP(IF(D192&gt;30,D192-(INT(D192/30)-1)*30-29,D192),[6]D_月签到!$A:$F,6,1))</f>
        <v>#N/A</v>
      </c>
      <c r="L192">
        <v>176</v>
      </c>
      <c r="M192">
        <f>[8]D_点金手计算表!$C177</f>
        <v>0</v>
      </c>
      <c r="O192">
        <v>100</v>
      </c>
    </row>
    <row r="193" spans="4:15">
      <c r="D193">
        <v>177</v>
      </c>
      <c r="E193">
        <f t="shared" si="6"/>
        <v>71</v>
      </c>
      <c r="G193" t="e">
        <f>VLOOKUP(D193-IF(D193&gt;30,((INT(D193/30)-1)*30+29),0),[6]D_月签到!$A:$F,6,0)</f>
        <v>#N/A</v>
      </c>
      <c r="I193" t="e">
        <f>IF(ROUNDUP(D193,0)=ROUNDUP(D192,0),0,VLOOKUP(IF(D193&gt;30,D193-(INT(D193/30)-1)*30-29,D193),[6]D_月签到!$A:$F,6,1))</f>
        <v>#N/A</v>
      </c>
      <c r="L193">
        <v>177</v>
      </c>
      <c r="M193">
        <f>[8]D_点金手计算表!$C178</f>
        <v>0</v>
      </c>
      <c r="O193">
        <v>100</v>
      </c>
    </row>
    <row r="194" spans="4:15">
      <c r="D194">
        <v>178</v>
      </c>
      <c r="E194">
        <f t="shared" si="6"/>
        <v>71</v>
      </c>
      <c r="G194" t="e">
        <f>VLOOKUP(D194-IF(D194&gt;30,((INT(D194/30)-1)*30+29),0),[6]D_月签到!$A:$F,6,0)</f>
        <v>#N/A</v>
      </c>
      <c r="I194" t="e">
        <f>IF(ROUNDUP(D194,0)=ROUNDUP(D193,0),0,VLOOKUP(IF(D194&gt;30,D194-(INT(D194/30)-1)*30-29,D194),[6]D_月签到!$A:$F,6,1))</f>
        <v>#N/A</v>
      </c>
      <c r="L194">
        <v>178</v>
      </c>
      <c r="M194">
        <f>[8]D_点金手计算表!$C179</f>
        <v>0</v>
      </c>
      <c r="O194">
        <v>100</v>
      </c>
    </row>
    <row r="195" spans="4:15">
      <c r="D195">
        <v>179</v>
      </c>
      <c r="E195">
        <f t="shared" si="6"/>
        <v>71</v>
      </c>
      <c r="G195" t="e">
        <f>VLOOKUP(D195-IF(D195&gt;30,((INT(D195/30)-1)*30+29),0),[6]D_月签到!$A:$F,6,0)</f>
        <v>#N/A</v>
      </c>
      <c r="I195" t="e">
        <f>IF(ROUNDUP(D195,0)=ROUNDUP(D194,0),0,VLOOKUP(IF(D195&gt;30,D195-(INT(D195/30)-1)*30-29,D195),[6]D_月签到!$A:$F,6,1))</f>
        <v>#N/A</v>
      </c>
      <c r="L195">
        <v>179</v>
      </c>
      <c r="M195">
        <f>[8]D_点金手计算表!$C180</f>
        <v>0</v>
      </c>
      <c r="O195">
        <v>100</v>
      </c>
    </row>
    <row r="196" spans="4:15">
      <c r="D196">
        <v>180</v>
      </c>
      <c r="E196">
        <f t="shared" si="6"/>
        <v>71</v>
      </c>
      <c r="G196" t="e">
        <f>VLOOKUP(D196-IF(D196&gt;30,((INT(D196/30)-1)*30+29),0),[6]D_月签到!$A:$F,6,0)</f>
        <v>#N/A</v>
      </c>
      <c r="I196" t="e">
        <f>IF(ROUNDUP(D196,0)=ROUNDUP(D195,0),0,VLOOKUP(IF(D196&gt;30,D196-(INT(D196/30)-1)*30-29,D196),[6]D_月签到!$A:$F,6,1))</f>
        <v>#N/A</v>
      </c>
      <c r="L196">
        <v>180</v>
      </c>
      <c r="M196">
        <f>[8]D_点金手计算表!$C181</f>
        <v>0</v>
      </c>
      <c r="O196">
        <v>100</v>
      </c>
    </row>
    <row r="197" spans="4:15">
      <c r="D197">
        <v>181</v>
      </c>
      <c r="E197">
        <f t="shared" si="6"/>
        <v>71</v>
      </c>
      <c r="G197" t="e">
        <f>VLOOKUP(D197-IF(D197&gt;30,((INT(D197/30)-1)*30+29),0),[6]D_月签到!$A:$F,6,0)</f>
        <v>#N/A</v>
      </c>
      <c r="I197" t="e">
        <f>IF(ROUNDUP(D197,0)=ROUNDUP(D196,0),0,VLOOKUP(IF(D197&gt;30,D197-(INT(D197/30)-1)*30-29,D197),[6]D_月签到!$A:$F,6,1))</f>
        <v>#N/A</v>
      </c>
      <c r="L197">
        <v>181</v>
      </c>
      <c r="M197">
        <f>[8]D_点金手计算表!$C182</f>
        <v>0</v>
      </c>
      <c r="O197">
        <v>100</v>
      </c>
    </row>
    <row r="198" spans="4:15">
      <c r="D198">
        <v>182</v>
      </c>
      <c r="E198">
        <f t="shared" si="6"/>
        <v>71</v>
      </c>
      <c r="G198" t="e">
        <f>VLOOKUP(D198-IF(D198&gt;30,((INT(D198/30)-1)*30+29),0),[6]D_月签到!$A:$F,6,0)</f>
        <v>#N/A</v>
      </c>
      <c r="I198" t="e">
        <f>IF(ROUNDUP(D198,0)=ROUNDUP(D197,0),0,VLOOKUP(IF(D198&gt;30,D198-(INT(D198/30)-1)*30-29,D198),[6]D_月签到!$A:$F,6,1))</f>
        <v>#N/A</v>
      </c>
      <c r="L198">
        <v>182</v>
      </c>
      <c r="M198">
        <f>[8]D_点金手计算表!$C183</f>
        <v>0</v>
      </c>
      <c r="O198">
        <v>100</v>
      </c>
    </row>
    <row r="199" spans="4:15">
      <c r="D199">
        <v>183</v>
      </c>
      <c r="E199">
        <f t="shared" si="6"/>
        <v>72</v>
      </c>
      <c r="G199" t="e">
        <f>VLOOKUP(D199-IF(D199&gt;30,((INT(D199/30)-1)*30+29),0),[6]D_月签到!$A:$F,6,0)</f>
        <v>#N/A</v>
      </c>
      <c r="I199" t="e">
        <f>IF(ROUNDUP(D199,0)=ROUNDUP(D198,0),0,VLOOKUP(IF(D199&gt;30,D199-(INT(D199/30)-1)*30-29,D199),[6]D_月签到!$A:$F,6,1))</f>
        <v>#N/A</v>
      </c>
      <c r="L199">
        <v>183</v>
      </c>
      <c r="M199">
        <f>[8]D_点金手计算表!$C184</f>
        <v>0</v>
      </c>
      <c r="O199">
        <v>100</v>
      </c>
    </row>
    <row r="200" spans="4:15">
      <c r="D200">
        <v>184</v>
      </c>
      <c r="E200">
        <f t="shared" si="6"/>
        <v>72</v>
      </c>
      <c r="G200" t="e">
        <f>VLOOKUP(D200-IF(D200&gt;30,((INT(D200/30)-1)*30+29),0),[6]D_月签到!$A:$F,6,0)</f>
        <v>#N/A</v>
      </c>
      <c r="I200" t="e">
        <f>IF(ROUNDUP(D200,0)=ROUNDUP(D199,0),0,VLOOKUP(IF(D200&gt;30,D200-(INT(D200/30)-1)*30-29,D200),[6]D_月签到!$A:$F,6,1))</f>
        <v>#N/A</v>
      </c>
      <c r="L200">
        <v>184</v>
      </c>
      <c r="M200">
        <f>[8]D_点金手计算表!$C185</f>
        <v>0</v>
      </c>
      <c r="O200">
        <v>100</v>
      </c>
    </row>
    <row r="201" spans="4:15">
      <c r="D201">
        <v>185</v>
      </c>
      <c r="E201">
        <f t="shared" si="6"/>
        <v>72</v>
      </c>
      <c r="G201" t="e">
        <f>VLOOKUP(D201-IF(D201&gt;30,((INT(D201/30)-1)*30+29),0),[6]D_月签到!$A:$F,6,0)</f>
        <v>#N/A</v>
      </c>
      <c r="I201" t="e">
        <f>IF(ROUNDUP(D201,0)=ROUNDUP(D200,0),0,VLOOKUP(IF(D201&gt;30,D201-(INT(D201/30)-1)*30-29,D201),[6]D_月签到!$A:$F,6,1))</f>
        <v>#N/A</v>
      </c>
      <c r="L201">
        <v>185</v>
      </c>
      <c r="M201">
        <f>[8]D_点金手计算表!$C186</f>
        <v>0</v>
      </c>
      <c r="O201">
        <v>100</v>
      </c>
    </row>
    <row r="202" spans="4:15">
      <c r="D202">
        <v>186</v>
      </c>
      <c r="E202">
        <f t="shared" si="6"/>
        <v>72</v>
      </c>
      <c r="G202" t="e">
        <f>VLOOKUP(D202-IF(D202&gt;30,((INT(D202/30)-1)*30+29),0),[6]D_月签到!$A:$F,6,0)</f>
        <v>#N/A</v>
      </c>
      <c r="I202" t="e">
        <f>IF(ROUNDUP(D202,0)=ROUNDUP(D201,0),0,VLOOKUP(IF(D202&gt;30,D202-(INT(D202/30)-1)*30-29,D202),[6]D_月签到!$A:$F,6,1))</f>
        <v>#N/A</v>
      </c>
      <c r="L202">
        <v>186</v>
      </c>
      <c r="M202">
        <f>[8]D_点金手计算表!$C187</f>
        <v>0</v>
      </c>
      <c r="O202">
        <v>100</v>
      </c>
    </row>
    <row r="203" spans="4:15">
      <c r="D203">
        <v>187</v>
      </c>
      <c r="E203">
        <f t="shared" si="6"/>
        <v>72</v>
      </c>
      <c r="G203" t="e">
        <f>VLOOKUP(D203-IF(D203&gt;30,((INT(D203/30)-1)*30+29),0),[6]D_月签到!$A:$F,6,0)</f>
        <v>#N/A</v>
      </c>
      <c r="I203" t="e">
        <f>IF(ROUNDUP(D203,0)=ROUNDUP(D202,0),0,VLOOKUP(IF(D203&gt;30,D203-(INT(D203/30)-1)*30-29,D203),[6]D_月签到!$A:$F,6,1))</f>
        <v>#N/A</v>
      </c>
      <c r="L203">
        <v>187</v>
      </c>
      <c r="M203">
        <f>[8]D_点金手计算表!$C188</f>
        <v>0</v>
      </c>
      <c r="O203">
        <v>100</v>
      </c>
    </row>
    <row r="204" spans="4:15">
      <c r="D204">
        <v>188</v>
      </c>
      <c r="E204">
        <f t="shared" si="6"/>
        <v>72</v>
      </c>
      <c r="G204" t="e">
        <f>VLOOKUP(D204-IF(D204&gt;30,((INT(D204/30)-1)*30+29),0),[6]D_月签到!$A:$F,6,0)</f>
        <v>#N/A</v>
      </c>
      <c r="I204" t="e">
        <f>IF(ROUNDUP(D204,0)=ROUNDUP(D203,0),0,VLOOKUP(IF(D204&gt;30,D204-(INT(D204/30)-1)*30-29,D204),[6]D_月签到!$A:$F,6,1))</f>
        <v>#N/A</v>
      </c>
      <c r="L204">
        <v>188</v>
      </c>
      <c r="M204">
        <f>[8]D_点金手计算表!$C189</f>
        <v>0</v>
      </c>
      <c r="O204">
        <v>100</v>
      </c>
    </row>
    <row r="205" spans="4:15">
      <c r="D205">
        <v>189</v>
      </c>
      <c r="E205">
        <f t="shared" si="6"/>
        <v>72</v>
      </c>
      <c r="G205" t="e">
        <f>VLOOKUP(D205-IF(D205&gt;30,((INT(D205/30)-1)*30+29),0),[6]D_月签到!$A:$F,6,0)</f>
        <v>#N/A</v>
      </c>
      <c r="I205" t="e">
        <f>IF(ROUNDUP(D205,0)=ROUNDUP(D204,0),0,VLOOKUP(IF(D205&gt;30,D205-(INT(D205/30)-1)*30-29,D205),[6]D_月签到!$A:$F,6,1))</f>
        <v>#N/A</v>
      </c>
      <c r="L205">
        <v>189</v>
      </c>
      <c r="M205">
        <f>[8]D_点金手计算表!$C190</f>
        <v>0</v>
      </c>
      <c r="O205">
        <v>100</v>
      </c>
    </row>
    <row r="206" spans="4:15">
      <c r="D206">
        <v>190</v>
      </c>
      <c r="E206">
        <f t="shared" si="6"/>
        <v>72</v>
      </c>
      <c r="G206" t="e">
        <f>VLOOKUP(D206-IF(D206&gt;30,((INT(D206/30)-1)*30+29),0),[6]D_月签到!$A:$F,6,0)</f>
        <v>#N/A</v>
      </c>
      <c r="I206" t="e">
        <f>IF(ROUNDUP(D206,0)=ROUNDUP(D205,0),0,VLOOKUP(IF(D206&gt;30,D206-(INT(D206/30)-1)*30-29,D206),[6]D_月签到!$A:$F,6,1))</f>
        <v>#N/A</v>
      </c>
      <c r="L206">
        <v>190</v>
      </c>
      <c r="M206">
        <f>[8]D_点金手计算表!$C191</f>
        <v>0</v>
      </c>
      <c r="O206">
        <v>100</v>
      </c>
    </row>
    <row r="207" spans="4:15">
      <c r="D207">
        <v>191</v>
      </c>
      <c r="E207">
        <f t="shared" si="6"/>
        <v>72</v>
      </c>
      <c r="G207" t="e">
        <f>VLOOKUP(D207-IF(D207&gt;30,((INT(D207/30)-1)*30+29),0),[6]D_月签到!$A:$F,6,0)</f>
        <v>#N/A</v>
      </c>
      <c r="I207" t="e">
        <f>IF(ROUNDUP(D207,0)=ROUNDUP(D206,0),0,VLOOKUP(IF(D207&gt;30,D207-(INT(D207/30)-1)*30-29,D207),[6]D_月签到!$A:$F,6,1))</f>
        <v>#N/A</v>
      </c>
      <c r="L207">
        <v>191</v>
      </c>
      <c r="M207">
        <f>[8]D_点金手计算表!$C192</f>
        <v>0</v>
      </c>
      <c r="O207">
        <v>100</v>
      </c>
    </row>
    <row r="208" spans="4:15">
      <c r="D208">
        <v>192</v>
      </c>
      <c r="E208">
        <f t="shared" si="6"/>
        <v>72</v>
      </c>
      <c r="G208" t="e">
        <f>VLOOKUP(D208-IF(D208&gt;30,((INT(D208/30)-1)*30+29),0),[6]D_月签到!$A:$F,6,0)</f>
        <v>#N/A</v>
      </c>
      <c r="I208" t="e">
        <f>IF(ROUNDUP(D208,0)=ROUNDUP(D207,0),0,VLOOKUP(IF(D208&gt;30,D208-(INT(D208/30)-1)*30-29,D208),[6]D_月签到!$A:$F,6,1))</f>
        <v>#N/A</v>
      </c>
      <c r="L208">
        <v>192</v>
      </c>
      <c r="M208">
        <f>[8]D_点金手计算表!$C193</f>
        <v>0</v>
      </c>
      <c r="O208">
        <v>100</v>
      </c>
    </row>
    <row r="209" spans="4:15">
      <c r="D209">
        <v>193</v>
      </c>
      <c r="E209">
        <f>VLOOKUP(D209,$A$17:$B$96,2,1)</f>
        <v>72</v>
      </c>
      <c r="G209" t="e">
        <f>VLOOKUP(D209-IF(D209&gt;30,((INT(D209/30)-1)*30+29),0),[6]D_月签到!$A:$F,6,0)</f>
        <v>#N/A</v>
      </c>
      <c r="I209" t="e">
        <f>IF(ROUNDUP(D209,0)=ROUNDUP(D208,0),0,VLOOKUP(IF(D209&gt;30,D209-(INT(D209/30)-1)*30-29,D209),[6]D_月签到!$A:$F,6,1))</f>
        <v>#N/A</v>
      </c>
      <c r="L209">
        <v>193</v>
      </c>
      <c r="M209">
        <f>[8]D_点金手计算表!$C194</f>
        <v>0</v>
      </c>
      <c r="O209">
        <v>100</v>
      </c>
    </row>
    <row r="210" spans="4:15">
      <c r="D210">
        <v>194</v>
      </c>
      <c r="E210">
        <f>VLOOKUP(D210,$A$17:$B$96,2,1)</f>
        <v>72</v>
      </c>
      <c r="G210" t="e">
        <f>VLOOKUP(D210-IF(D210&gt;30,((INT(D210/30)-1)*30+29),0),[6]D_月签到!$A:$F,6,0)</f>
        <v>#N/A</v>
      </c>
      <c r="I210" t="e">
        <f>IF(ROUNDUP(D210,0)=ROUNDUP(D209,0),0,VLOOKUP(IF(D210&gt;30,D210-(INT(D210/30)-1)*30-29,D210),[6]D_月签到!$A:$F,6,1))</f>
        <v>#N/A</v>
      </c>
      <c r="L210">
        <v>194</v>
      </c>
      <c r="M210">
        <f>[8]D_点金手计算表!$C195</f>
        <v>0</v>
      </c>
      <c r="O210">
        <v>100</v>
      </c>
    </row>
    <row r="211" spans="4:15">
      <c r="D211">
        <v>195</v>
      </c>
      <c r="E211">
        <f>VLOOKUP(D211,$A$17:$B$96,2,1)</f>
        <v>72</v>
      </c>
      <c r="G211" t="e">
        <f>VLOOKUP(D211-IF(D211&gt;30,((INT(D211/30)-1)*30+29),0),[6]D_月签到!$A:$F,6,0)</f>
        <v>#N/A</v>
      </c>
      <c r="I211" t="e">
        <f>IF(ROUNDUP(D211,0)=ROUNDUP(D210,0),0,VLOOKUP(IF(D211&gt;30,D211-(INT(D211/30)-1)*30-29,D211),[6]D_月签到!$A:$F,6,1))</f>
        <v>#N/A</v>
      </c>
      <c r="L211">
        <v>195</v>
      </c>
      <c r="M211">
        <f>[8]D_点金手计算表!$C196</f>
        <v>0</v>
      </c>
      <c r="O211">
        <v>100</v>
      </c>
    </row>
    <row r="212" spans="4:15">
      <c r="D212">
        <v>196</v>
      </c>
      <c r="E212">
        <f>VLOOKUP(D212,$A$17:$B$96,2,1)</f>
        <v>72</v>
      </c>
      <c r="G212" t="e">
        <f>VLOOKUP(D212-IF(D212&gt;30,((INT(D212/30)-1)*30+29),0),[6]D_月签到!$A:$F,6,0)</f>
        <v>#N/A</v>
      </c>
      <c r="I212" t="e">
        <f>IF(ROUNDUP(D212,0)=ROUNDUP(D211,0),0,VLOOKUP(IF(D212&gt;30,D212-(INT(D212/30)-1)*30-29,D212),[6]D_月签到!$A:$F,6,1))</f>
        <v>#N/A</v>
      </c>
      <c r="L212">
        <v>196</v>
      </c>
      <c r="M212">
        <f>[8]D_点金手计算表!$C197</f>
        <v>0</v>
      </c>
      <c r="O212">
        <v>100</v>
      </c>
    </row>
    <row r="213" spans="4:15">
      <c r="L213">
        <v>197</v>
      </c>
      <c r="M213">
        <f>[8]D_点金手计算表!$C198</f>
        <v>0</v>
      </c>
      <c r="O213">
        <v>100</v>
      </c>
    </row>
  </sheetData>
  <phoneticPr fontId="1" type="noConversion"/>
  <conditionalFormatting sqref="E2:E8">
    <cfRule type="colorScale" priority="15">
      <colorScale>
        <cfvo type="min"/>
        <cfvo type="max"/>
        <color rgb="FF63BE7B"/>
        <color rgb="FFFCFCFF"/>
      </colorScale>
    </cfRule>
  </conditionalFormatting>
  <conditionalFormatting sqref="F2:F8">
    <cfRule type="colorScale" priority="13">
      <colorScale>
        <cfvo type="min"/>
        <cfvo type="max"/>
        <color rgb="FFFCFCFF"/>
        <color rgb="FFF8696B"/>
      </colorScale>
    </cfRule>
  </conditionalFormatting>
  <conditionalFormatting sqref="D2:D8">
    <cfRule type="colorScale" priority="12">
      <colorScale>
        <cfvo type="min"/>
        <cfvo type="max"/>
        <color rgb="FFFCFCFF"/>
        <color rgb="FFF8696B"/>
      </colorScale>
    </cfRule>
  </conditionalFormatting>
  <conditionalFormatting sqref="O3:O10">
    <cfRule type="colorScale" priority="11">
      <colorScale>
        <cfvo type="min"/>
        <cfvo type="max"/>
        <color rgb="FFFCFCFF"/>
        <color rgb="FFF8696B"/>
      </colorScale>
    </cfRule>
  </conditionalFormatting>
  <conditionalFormatting sqref="Q3:Q10">
    <cfRule type="colorScale" priority="2">
      <colorScale>
        <cfvo type="min"/>
        <cfvo type="max"/>
        <color rgb="FFFCFCFF"/>
        <color rgb="FFF8696B"/>
      </colorScale>
    </cfRule>
  </conditionalFormatting>
  <conditionalFormatting sqref="S3:S10">
    <cfRule type="colorScale" priority="1">
      <colorScale>
        <cfvo type="min"/>
        <cfvo type="max"/>
        <color rgb="FFFCFCFF"/>
        <color rgb="FFF8696B"/>
      </colorScale>
    </cfRule>
  </conditionalFormatting>
  <dataValidations count="1">
    <dataValidation type="list" allowBlank="1" showInputMessage="1" showErrorMessage="1" sqref="F15:J15 B2:B8">
      <formula1>"时间,等级"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S111"/>
  <sheetViews>
    <sheetView workbookViewId="0">
      <pane xSplit="8" ySplit="10" topLeftCell="N11" activePane="bottomRight" state="frozen"/>
      <selection pane="topRight" activeCell="H1" sqref="H1"/>
      <selection pane="bottomLeft" activeCell="A11" sqref="A11"/>
      <selection pane="bottomRight" activeCell="Q31" sqref="Q31"/>
    </sheetView>
  </sheetViews>
  <sheetFormatPr defaultRowHeight="13.5"/>
  <cols>
    <col min="1" max="1" width="13.75" customWidth="1"/>
    <col min="2" max="2" width="17.25" bestFit="1" customWidth="1"/>
    <col min="4" max="4" width="12.875" customWidth="1"/>
    <col min="5" max="5" width="16.125" bestFit="1" customWidth="1"/>
    <col min="6" max="6" width="12.75" bestFit="1" customWidth="1"/>
    <col min="7" max="7" width="10.625" customWidth="1"/>
    <col min="10" max="10" width="19.25" customWidth="1"/>
    <col min="13" max="13" width="16.625" customWidth="1"/>
    <col min="14" max="14" width="13" customWidth="1"/>
    <col min="15" max="15" width="12.75" bestFit="1" customWidth="1"/>
    <col min="17" max="17" width="13.375" customWidth="1"/>
    <col min="18" max="18" width="19.75" customWidth="1"/>
    <col min="19" max="19" width="12.75" bestFit="1" customWidth="1"/>
  </cols>
  <sheetData>
    <row r="1" spans="2:19">
      <c r="D1" s="2" t="str">
        <f>副本规划!W19</f>
        <v>章节</v>
      </c>
      <c r="E1" s="2" t="str">
        <f>副本规划!X19</f>
        <v>精英副本</v>
      </c>
      <c r="F1" s="2" t="str">
        <f>副本规划!Y19</f>
        <v>章节</v>
      </c>
      <c r="G1" s="10" t="str">
        <f>副本规划!Z19</f>
        <v>普通副本</v>
      </c>
      <c r="H1" s="2" t="str">
        <f>副本规划!AA19</f>
        <v>难度</v>
      </c>
      <c r="I1" s="23" t="str">
        <f>副本规划!AB19</f>
        <v>活动副本</v>
      </c>
      <c r="J1" s="2" t="str">
        <f>副本规划!AC19</f>
        <v>难度</v>
      </c>
      <c r="K1" s="2" t="str">
        <f>副本规划!AD19</f>
        <v>boss副本</v>
      </c>
      <c r="Q1" s="2" t="s">
        <v>134</v>
      </c>
      <c r="R1" t="s">
        <v>140</v>
      </c>
    </row>
    <row r="2" spans="2:19">
      <c r="D2" s="2">
        <f>副本规划!W20</f>
        <v>1</v>
      </c>
      <c r="E2" s="2">
        <f>副本规划!X20</f>
        <v>10</v>
      </c>
      <c r="F2" s="2">
        <f>副本规划!Y20</f>
        <v>1</v>
      </c>
      <c r="G2" s="10">
        <f>副本规划!Z20</f>
        <v>6</v>
      </c>
      <c r="H2" s="2">
        <f>副本规划!AA20</f>
        <v>1</v>
      </c>
      <c r="I2" s="23">
        <f>副本规划!AB20</f>
        <v>12</v>
      </c>
      <c r="J2" s="2">
        <f>副本规划!AC20</f>
        <v>1</v>
      </c>
      <c r="K2" s="2">
        <f>副本规划!AD20</f>
        <v>6</v>
      </c>
      <c r="M2" s="2" t="s">
        <v>123</v>
      </c>
      <c r="N2" s="2">
        <f>体力消耗运算!AC5</f>
        <v>20</v>
      </c>
      <c r="Q2" s="2">
        <f>'0、经济设定'!C32</f>
        <v>150</v>
      </c>
      <c r="R2" s="39">
        <f>N8/Q2</f>
        <v>4096.0455999999995</v>
      </c>
    </row>
    <row r="3" spans="2:19">
      <c r="D3" s="2">
        <f>副本规划!W21</f>
        <v>2</v>
      </c>
      <c r="E3" s="2">
        <f>副本规划!X21</f>
        <v>10</v>
      </c>
      <c r="F3" s="2">
        <f>副本规划!Y21</f>
        <v>2</v>
      </c>
      <c r="G3" s="10">
        <f>副本规划!Z21</f>
        <v>6</v>
      </c>
      <c r="H3" s="2">
        <f>副本规划!AA21</f>
        <v>2</v>
      </c>
      <c r="I3" s="23">
        <f>副本规划!AB21</f>
        <v>12</v>
      </c>
      <c r="J3" s="2">
        <f>副本规划!AC21</f>
        <v>2</v>
      </c>
      <c r="K3" s="2">
        <f>副本规划!AD21</f>
        <v>12</v>
      </c>
    </row>
    <row r="4" spans="2:19">
      <c r="D4" s="2">
        <f>副本规划!W22</f>
        <v>3</v>
      </c>
      <c r="E4" s="2">
        <f>副本规划!X22</f>
        <v>10</v>
      </c>
      <c r="F4" s="2">
        <f>副本规划!Y22</f>
        <v>3</v>
      </c>
      <c r="G4" s="10">
        <f>副本规划!Z22</f>
        <v>6</v>
      </c>
      <c r="H4" s="2">
        <f>副本规划!AA22</f>
        <v>3</v>
      </c>
      <c r="I4" s="23">
        <f>副本规划!AB22</f>
        <v>12</v>
      </c>
      <c r="J4" s="2">
        <f>副本规划!AC22</f>
        <v>3</v>
      </c>
      <c r="K4" s="2">
        <f>副本规划!AD22</f>
        <v>36</v>
      </c>
      <c r="M4" s="2" t="s">
        <v>136</v>
      </c>
      <c r="N4" s="173">
        <f>体力消耗运算!AA4*体力消耗运算!AA7</f>
        <v>2048022.8</v>
      </c>
      <c r="O4" s="173"/>
    </row>
    <row r="5" spans="2:19">
      <c r="D5" s="2">
        <f>副本规划!W23</f>
        <v>4</v>
      </c>
      <c r="E5" s="2">
        <f>副本规划!X23</f>
        <v>12</v>
      </c>
      <c r="F5" s="2">
        <f>副本规划!Y23</f>
        <v>4</v>
      </c>
      <c r="G5" s="10">
        <f>副本规划!Z23</f>
        <v>8</v>
      </c>
      <c r="H5" s="2">
        <f>副本规划!AA23</f>
        <v>4</v>
      </c>
      <c r="I5" s="23">
        <f>副本规划!AB23</f>
        <v>12</v>
      </c>
      <c r="J5" s="2">
        <f>副本规划!AC23</f>
        <v>4</v>
      </c>
      <c r="K5" s="2">
        <f>副本规划!AD23</f>
        <v>60</v>
      </c>
      <c r="N5" s="33" t="s">
        <v>134</v>
      </c>
      <c r="O5" s="33" t="s">
        <v>131</v>
      </c>
      <c r="Q5" t="s">
        <v>137</v>
      </c>
      <c r="R5" t="s">
        <v>152</v>
      </c>
      <c r="S5" t="s">
        <v>138</v>
      </c>
    </row>
    <row r="6" spans="2:19">
      <c r="D6" s="2">
        <f>副本规划!W24</f>
        <v>5</v>
      </c>
      <c r="E6" s="2">
        <f>副本规划!X24</f>
        <v>12</v>
      </c>
      <c r="F6" s="2">
        <f>副本规划!Y24</f>
        <v>5</v>
      </c>
      <c r="G6" s="10">
        <f>副本规划!Z24</f>
        <v>8</v>
      </c>
      <c r="H6" s="2">
        <f>副本规划!AA24</f>
        <v>5</v>
      </c>
      <c r="I6" s="23">
        <f>副本规划!AB24</f>
        <v>12</v>
      </c>
      <c r="J6" s="2" t="e">
        <f>副本规划!#REF!</f>
        <v>#REF!</v>
      </c>
      <c r="K6" s="2" t="e">
        <f>副本规划!#REF!</f>
        <v>#REF!</v>
      </c>
      <c r="M6" s="2" t="s">
        <v>132</v>
      </c>
      <c r="N6" s="2">
        <v>3</v>
      </c>
      <c r="O6" s="2">
        <v>7</v>
      </c>
      <c r="Q6">
        <v>14</v>
      </c>
      <c r="R6">
        <f>31*6*Q6</f>
        <v>2604</v>
      </c>
      <c r="S6">
        <f>O8/R6</f>
        <v>550.54376344086018</v>
      </c>
    </row>
    <row r="7" spans="2:19">
      <c r="D7" s="2">
        <f>副本规划!W25</f>
        <v>6</v>
      </c>
      <c r="E7" s="2">
        <f>副本规划!X25</f>
        <v>14</v>
      </c>
      <c r="F7" s="2">
        <f>副本规划!Y25</f>
        <v>6</v>
      </c>
      <c r="G7" s="10">
        <f>副本规划!Z25</f>
        <v>10</v>
      </c>
      <c r="H7" s="2">
        <f>副本规划!AA25</f>
        <v>6</v>
      </c>
      <c r="I7" s="23">
        <f>副本规划!AB25</f>
        <v>12</v>
      </c>
      <c r="J7" s="2" t="e">
        <f>副本规划!#REF!</f>
        <v>#REF!</v>
      </c>
      <c r="K7" s="2" t="e">
        <f>副本规划!#REF!</f>
        <v>#REF!</v>
      </c>
      <c r="M7" s="2" t="s">
        <v>133</v>
      </c>
      <c r="N7" s="2">
        <f>N6/SUM(N6:O6)</f>
        <v>0.3</v>
      </c>
      <c r="O7" s="2">
        <f>O6/SUM(N6:O6)</f>
        <v>0.7</v>
      </c>
      <c r="R7" t="s">
        <v>139</v>
      </c>
      <c r="S7" s="39">
        <v>940</v>
      </c>
    </row>
    <row r="8" spans="2:19">
      <c r="D8" s="2">
        <f>副本规划!W26</f>
        <v>7</v>
      </c>
      <c r="E8" s="2">
        <f>副本规划!X26</f>
        <v>14</v>
      </c>
      <c r="F8" s="2">
        <f>副本规划!Y26</f>
        <v>7</v>
      </c>
      <c r="G8" s="10">
        <f>副本规划!Z26</f>
        <v>10</v>
      </c>
      <c r="H8" s="2">
        <f>副本规划!AA26</f>
        <v>0</v>
      </c>
      <c r="I8" s="23">
        <f>副本规划!AB26</f>
        <v>0</v>
      </c>
      <c r="J8" s="2" t="e">
        <f>副本规划!#REF!</f>
        <v>#REF!</v>
      </c>
      <c r="K8" s="2" t="e">
        <f>副本规划!#REF!</f>
        <v>#REF!</v>
      </c>
      <c r="M8" s="2" t="s">
        <v>135</v>
      </c>
      <c r="N8" s="2">
        <f>N4*N7</f>
        <v>614406.84</v>
      </c>
      <c r="O8" s="9">
        <f>N4*O7</f>
        <v>1433615.96</v>
      </c>
    </row>
    <row r="9" spans="2:19">
      <c r="H9" s="2"/>
    </row>
    <row r="10" spans="2:19">
      <c r="C10" s="2" t="s">
        <v>22</v>
      </c>
      <c r="D10" s="2" t="s">
        <v>121</v>
      </c>
      <c r="E10" s="2" t="s">
        <v>122</v>
      </c>
      <c r="F10" s="2" t="s">
        <v>58</v>
      </c>
      <c r="G10" s="27" t="s">
        <v>17</v>
      </c>
      <c r="H10" s="16" t="s">
        <v>54</v>
      </c>
      <c r="I10" s="28" t="s">
        <v>18</v>
      </c>
      <c r="J10" s="12" t="s">
        <v>57</v>
      </c>
      <c r="K10" s="12" t="s">
        <v>49</v>
      </c>
      <c r="L10" s="12" t="s">
        <v>51</v>
      </c>
      <c r="M10" s="12" t="s">
        <v>52</v>
      </c>
      <c r="N10" s="12" t="s">
        <v>89</v>
      </c>
      <c r="O10" s="12" t="s">
        <v>53</v>
      </c>
      <c r="P10" s="12" t="s">
        <v>50</v>
      </c>
      <c r="Q10" s="29"/>
      <c r="R10" s="26"/>
      <c r="S10" s="26"/>
    </row>
    <row r="11" spans="2:19">
      <c r="B11" s="2" t="s">
        <v>655</v>
      </c>
      <c r="C11" s="2">
        <v>1</v>
      </c>
      <c r="D11" s="2">
        <f>'1、经济推算'!D3</f>
        <v>191.42640000000003</v>
      </c>
      <c r="F11" s="2">
        <f>体力消耗运算!E4</f>
        <v>200</v>
      </c>
      <c r="H11" s="2"/>
      <c r="I11" s="23"/>
      <c r="J11" s="2" t="s">
        <v>656</v>
      </c>
      <c r="K11" s="2"/>
      <c r="L11" s="2"/>
      <c r="M11" s="2"/>
      <c r="N11" s="2"/>
      <c r="O11" s="2"/>
      <c r="P11" s="2"/>
    </row>
    <row r="12" spans="2:19">
      <c r="B12" s="2" t="s">
        <v>127</v>
      </c>
      <c r="C12" s="2">
        <v>2</v>
      </c>
      <c r="D12" s="2">
        <f>'1、经济推算'!D4</f>
        <v>207.0264</v>
      </c>
      <c r="E12" s="10">
        <f>SUM('1、经济推算'!$I$3:I4)</f>
        <v>3.8540493015981322E-2</v>
      </c>
      <c r="F12" s="2">
        <f>体力消耗运算!E5</f>
        <v>203</v>
      </c>
      <c r="H12" s="2"/>
      <c r="I12" s="23"/>
      <c r="J12" s="2" t="s">
        <v>127</v>
      </c>
      <c r="K12" s="2"/>
      <c r="L12" s="2"/>
      <c r="M12" s="2"/>
      <c r="N12" s="2"/>
      <c r="O12" s="2"/>
      <c r="P12" s="2"/>
    </row>
    <row r="13" spans="2:19">
      <c r="B13" s="2" t="s">
        <v>128</v>
      </c>
      <c r="C13" s="2">
        <v>3</v>
      </c>
      <c r="D13" s="2">
        <f>'1、经济推算'!D5</f>
        <v>222.62640000000002</v>
      </c>
      <c r="E13" s="2">
        <f>SUM('1、经济推算'!$I$3:I5)</f>
        <v>6.0769781418037738E-2</v>
      </c>
      <c r="F13" s="2">
        <f>体力消耗运算!E6</f>
        <v>206</v>
      </c>
      <c r="G13" s="10"/>
      <c r="H13" s="2"/>
      <c r="I13" s="23"/>
      <c r="J13" s="2" t="s">
        <v>128</v>
      </c>
      <c r="K13" s="2"/>
      <c r="L13" s="2"/>
      <c r="M13" s="2"/>
      <c r="N13" s="2"/>
      <c r="O13" s="2"/>
      <c r="P13" s="2"/>
    </row>
    <row r="14" spans="2:19">
      <c r="B14" s="2" t="s">
        <v>129</v>
      </c>
      <c r="C14" s="2">
        <v>4</v>
      </c>
      <c r="D14" s="2">
        <f>'1、经济推算'!D6</f>
        <v>238.22640000000001</v>
      </c>
      <c r="E14" s="2">
        <f>SUM('1、经济推算'!$I$3:I6)</f>
        <v>8.5238872112737563E-2</v>
      </c>
      <c r="F14" s="2">
        <f>体力消耗运算!E7</f>
        <v>214</v>
      </c>
      <c r="G14" s="10"/>
      <c r="H14" s="2"/>
      <c r="I14" s="23"/>
      <c r="J14" s="2" t="s">
        <v>129</v>
      </c>
      <c r="K14" s="2"/>
      <c r="L14" s="2"/>
      <c r="M14" s="2"/>
      <c r="N14" s="2"/>
      <c r="O14" s="2"/>
      <c r="P14" s="2"/>
    </row>
    <row r="15" spans="2:19">
      <c r="B15" s="2" t="s">
        <v>657</v>
      </c>
      <c r="C15" s="2">
        <v>5</v>
      </c>
      <c r="D15" s="2">
        <f>'1、经济推算'!D7</f>
        <v>253.82640000000001</v>
      </c>
      <c r="E15" s="2">
        <f>SUM('1、经济推算'!$I$3:I7)</f>
        <v>0.11217344548261912</v>
      </c>
      <c r="F15" s="2">
        <f>体力消耗运算!E8</f>
        <v>226</v>
      </c>
      <c r="G15" s="10"/>
      <c r="H15" s="2"/>
      <c r="I15" s="23"/>
      <c r="J15" s="2" t="s">
        <v>657</v>
      </c>
      <c r="K15" s="2"/>
      <c r="L15" s="2"/>
      <c r="M15" s="2"/>
      <c r="N15" s="2"/>
      <c r="O15" s="2"/>
      <c r="P15" s="2"/>
    </row>
    <row r="16" spans="2:19">
      <c r="B16" s="2" t="s">
        <v>658</v>
      </c>
      <c r="C16" s="2">
        <v>6</v>
      </c>
      <c r="D16" s="2">
        <f>'1、经济推算'!D8</f>
        <v>269.4264</v>
      </c>
      <c r="E16" s="2">
        <f>SUM('1、经济推算'!$I$3:I8)</f>
        <v>0.1418219212543271</v>
      </c>
      <c r="F16" s="2">
        <f>体力消耗运算!E9</f>
        <v>245</v>
      </c>
      <c r="G16" s="10"/>
      <c r="H16" s="2"/>
      <c r="I16" s="23"/>
      <c r="J16" s="2" t="s">
        <v>658</v>
      </c>
      <c r="K16" s="2"/>
      <c r="L16" s="2"/>
      <c r="M16" s="2"/>
      <c r="N16" s="2"/>
      <c r="O16" s="2"/>
      <c r="P16" s="2"/>
    </row>
    <row r="17" spans="2:16">
      <c r="B17" s="2" t="s">
        <v>130</v>
      </c>
      <c r="C17" s="2">
        <v>7</v>
      </c>
      <c r="D17" s="2">
        <f>'1、经济推算'!D9</f>
        <v>285.02640000000002</v>
      </c>
      <c r="E17" s="2">
        <f>SUM('1、经济推算'!$I$3:I9)</f>
        <v>0.17445774969364053</v>
      </c>
      <c r="F17" s="2">
        <f>体力消耗运算!E10</f>
        <v>273</v>
      </c>
      <c r="G17" s="10"/>
      <c r="H17" s="2"/>
      <c r="I17" s="23"/>
      <c r="J17" s="2" t="s">
        <v>130</v>
      </c>
      <c r="K17" s="2"/>
      <c r="L17" s="2"/>
      <c r="M17" s="2"/>
      <c r="N17" s="2"/>
      <c r="O17" s="2"/>
      <c r="P17" s="2"/>
    </row>
    <row r="18" spans="2:16">
      <c r="B18" s="2" t="s">
        <v>659</v>
      </c>
      <c r="C18" s="2">
        <v>8</v>
      </c>
      <c r="D18" s="2">
        <f>'1、经济推算'!D10</f>
        <v>300.62639999999999</v>
      </c>
      <c r="E18" s="2">
        <f>SUM('1、经济推算'!$I$3:I10)</f>
        <v>0.21038193365916727</v>
      </c>
      <c r="F18" s="2">
        <f>体力消耗运算!E11</f>
        <v>311</v>
      </c>
      <c r="G18" s="10"/>
      <c r="H18" s="2"/>
      <c r="I18" s="23"/>
      <c r="J18" s="2" t="s">
        <v>659</v>
      </c>
      <c r="K18" s="2"/>
      <c r="L18" s="2"/>
      <c r="M18" s="2"/>
      <c r="N18" s="2"/>
      <c r="O18" s="2"/>
      <c r="P18" s="2"/>
    </row>
    <row r="19" spans="2:16">
      <c r="B19" s="2" t="s">
        <v>660</v>
      </c>
      <c r="C19" s="2">
        <v>9</v>
      </c>
      <c r="D19" s="2">
        <f>'1、经济推算'!D11</f>
        <v>316.22640000000001</v>
      </c>
      <c r="E19" s="2">
        <f>SUM('1、经济推算'!$I$3:I11)</f>
        <v>0.24992580477580797</v>
      </c>
      <c r="F19" s="2">
        <f>体力消耗运算!E12</f>
        <v>361</v>
      </c>
      <c r="G19" s="10"/>
      <c r="H19" s="2"/>
      <c r="I19" s="23"/>
      <c r="J19" s="2" t="s">
        <v>660</v>
      </c>
      <c r="K19" s="2"/>
      <c r="L19" s="2"/>
      <c r="M19" s="2"/>
      <c r="N19" s="2"/>
      <c r="O19" s="2"/>
      <c r="P19" s="2"/>
    </row>
    <row r="20" spans="2:16">
      <c r="B20" s="2" t="s">
        <v>661</v>
      </c>
      <c r="C20" s="2">
        <v>10</v>
      </c>
      <c r="D20" s="2">
        <f>'1、经济推算'!D12</f>
        <v>331.82640000000004</v>
      </c>
      <c r="E20" s="2">
        <f>SUM('1、经济推算'!$I$3:I12)</f>
        <v>0.29345407933285994</v>
      </c>
      <c r="F20" s="2">
        <f>体力消耗运算!E13</f>
        <v>426</v>
      </c>
      <c r="G20" s="10"/>
      <c r="H20" s="2"/>
      <c r="I20" s="23"/>
      <c r="J20" s="2" t="s">
        <v>661</v>
      </c>
      <c r="K20" s="2"/>
      <c r="L20" s="2"/>
      <c r="M20" s="2"/>
      <c r="N20" s="2"/>
      <c r="O20" s="2"/>
      <c r="P20" s="2"/>
    </row>
    <row r="21" spans="2:16">
      <c r="B21" s="2" t="s">
        <v>662</v>
      </c>
      <c r="C21" s="2">
        <v>11</v>
      </c>
      <c r="D21" s="2">
        <f>'1、经济推算'!D13</f>
        <v>347.42639999999994</v>
      </c>
      <c r="E21" s="2">
        <f>SUM('1、经济推算'!$I$3:I13)</f>
        <v>0.34136822209155337</v>
      </c>
      <c r="F21" s="2">
        <f>体力消耗运算!E14</f>
        <v>507</v>
      </c>
      <c r="G21" s="10"/>
      <c r="H21" s="2"/>
      <c r="I21" s="23"/>
      <c r="J21" s="2" t="s">
        <v>662</v>
      </c>
      <c r="K21" s="2"/>
      <c r="L21" s="2"/>
      <c r="M21" s="2"/>
      <c r="N21" s="2"/>
      <c r="O21" s="2"/>
      <c r="P21" s="2"/>
    </row>
    <row r="22" spans="2:16">
      <c r="B22" s="2" t="s">
        <v>663</v>
      </c>
      <c r="C22" s="2">
        <v>12</v>
      </c>
      <c r="D22" s="2">
        <f>'1、经济推算'!D14</f>
        <v>363.02640000000002</v>
      </c>
      <c r="E22" s="2">
        <f>SUM('1、经济推算'!$I$3:I14)</f>
        <v>0.39411014902668667</v>
      </c>
      <c r="F22" s="2">
        <f>体力消耗运算!E15</f>
        <v>606</v>
      </c>
      <c r="G22" s="10"/>
      <c r="H22" s="2"/>
      <c r="I22" s="23"/>
      <c r="J22" s="2" t="s">
        <v>663</v>
      </c>
      <c r="K22" s="2"/>
      <c r="L22" s="2"/>
      <c r="M22" s="2"/>
      <c r="N22" s="2"/>
      <c r="O22" s="2"/>
      <c r="P22" s="2"/>
    </row>
    <row r="23" spans="2:16">
      <c r="B23" s="2" t="s">
        <v>664</v>
      </c>
      <c r="C23" s="2">
        <v>13</v>
      </c>
      <c r="D23" s="2">
        <f>'1、经济推算'!D15</f>
        <v>378.62639999999999</v>
      </c>
      <c r="E23" s="2">
        <f>SUM('1、经济推算'!$I$3:I15)</f>
        <v>0.45216630315304279</v>
      </c>
      <c r="F23" s="2">
        <f>体力消耗运算!E16</f>
        <v>727</v>
      </c>
      <c r="G23" s="10"/>
      <c r="H23" s="2"/>
      <c r="I23" s="23"/>
      <c r="J23" s="2" t="s">
        <v>664</v>
      </c>
      <c r="K23" s="2"/>
      <c r="L23" s="2"/>
      <c r="M23" s="2"/>
      <c r="N23" s="2"/>
      <c r="O23" s="2"/>
      <c r="P23" s="2"/>
    </row>
    <row r="24" spans="2:16">
      <c r="C24" s="2">
        <v>14</v>
      </c>
      <c r="D24" s="2">
        <f>'1、经济推算'!D16</f>
        <v>394.22640000000001</v>
      </c>
      <c r="E24" s="2">
        <f>SUM('1、经济推算'!$I$3:I16)</f>
        <v>0.51607214102826071</v>
      </c>
      <c r="F24" s="2">
        <f>体力消耗运算!E17</f>
        <v>871</v>
      </c>
      <c r="G24" s="10"/>
      <c r="H24" s="2"/>
      <c r="I24" s="23"/>
      <c r="J24" s="2" t="s">
        <v>126</v>
      </c>
      <c r="K24" s="2"/>
      <c r="L24" s="2"/>
      <c r="M24" s="2"/>
      <c r="N24" s="2"/>
      <c r="O24" s="2"/>
      <c r="P24" s="2"/>
    </row>
    <row r="25" spans="2:16">
      <c r="C25" s="2">
        <v>15</v>
      </c>
      <c r="D25" s="2">
        <f>'1、经济推算'!D17</f>
        <v>409.82639999999998</v>
      </c>
      <c r="E25" s="2">
        <f>SUM('1、经济推算'!$I$3:I17)</f>
        <v>0.58641707131153653</v>
      </c>
      <c r="F25" s="2">
        <f>体力消耗运算!E18</f>
        <v>1041</v>
      </c>
      <c r="G25" s="10"/>
      <c r="H25" s="2"/>
      <c r="I25" s="23"/>
      <c r="J25" s="2"/>
      <c r="K25" s="2"/>
      <c r="L25" s="2"/>
      <c r="M25" s="2"/>
      <c r="N25" s="2"/>
      <c r="O25" s="2"/>
      <c r="P25" s="2"/>
    </row>
    <row r="26" spans="2:16">
      <c r="C26" s="2">
        <v>16</v>
      </c>
      <c r="D26" s="2">
        <f>'1、经济推算'!D18</f>
        <v>425.4264</v>
      </c>
      <c r="E26" s="2">
        <f>SUM('1、经济推算'!$I$3:I18)</f>
        <v>0.66384989092687696</v>
      </c>
      <c r="F26" s="2">
        <f>体力消耗运算!E19</f>
        <v>1240</v>
      </c>
      <c r="G26" s="10"/>
      <c r="H26" s="2"/>
      <c r="I26" s="23"/>
      <c r="J26" s="2"/>
      <c r="K26" s="2"/>
      <c r="L26" s="2"/>
      <c r="M26" s="2"/>
      <c r="N26" s="2"/>
      <c r="O26" s="2"/>
      <c r="P26" s="2"/>
    </row>
    <row r="27" spans="2:16">
      <c r="C27" s="2">
        <v>17</v>
      </c>
      <c r="D27" s="2">
        <f>'1、经济推算'!D19</f>
        <v>441.02640000000002</v>
      </c>
      <c r="E27" s="2">
        <f>SUM('1、经济推算'!$I$3:I19)</f>
        <v>0.74908476896907372</v>
      </c>
      <c r="F27" s="2">
        <f>体力消耗运算!E20</f>
        <v>1471</v>
      </c>
      <c r="G27" s="10"/>
      <c r="H27" s="2"/>
      <c r="I27" s="23"/>
      <c r="J27" s="2"/>
      <c r="K27" s="2"/>
      <c r="L27" s="2"/>
      <c r="M27" s="2"/>
      <c r="N27" s="2"/>
      <c r="O27" s="2"/>
      <c r="P27" s="2"/>
    </row>
    <row r="28" spans="2:16">
      <c r="C28" s="2">
        <v>18</v>
      </c>
      <c r="D28" s="2">
        <f>'1、经济推算'!D20</f>
        <v>456.6264000000001</v>
      </c>
      <c r="E28" s="2">
        <f>SUM('1、经济推算'!$I$3:I20)</f>
        <v>0.84290783354244314</v>
      </c>
      <c r="F28" s="2">
        <f>体力消耗运算!E21</f>
        <v>1736</v>
      </c>
      <c r="G28" s="10"/>
      <c r="H28" s="2"/>
      <c r="I28" s="23"/>
      <c r="J28" s="2"/>
      <c r="K28" s="2"/>
      <c r="L28" s="2"/>
      <c r="M28" s="2"/>
      <c r="N28" s="2"/>
      <c r="O28" s="2"/>
      <c r="P28" s="2"/>
    </row>
    <row r="29" spans="2:16">
      <c r="C29" s="2">
        <v>19</v>
      </c>
      <c r="D29" s="2">
        <f>'1、经济推算'!D21</f>
        <v>472.22640000000013</v>
      </c>
      <c r="E29" s="2">
        <f>SUM('1、经济推算'!$I$3:I21)</f>
        <v>0.94618442228327204</v>
      </c>
      <c r="F29" s="2">
        <f>体力消耗运算!E22</f>
        <v>2039</v>
      </c>
      <c r="G29" s="10"/>
      <c r="H29" s="2"/>
      <c r="I29" s="23"/>
      <c r="J29" s="2"/>
      <c r="K29" s="2"/>
      <c r="L29" s="2"/>
      <c r="M29" s="2"/>
      <c r="N29" s="2"/>
      <c r="O29" s="2"/>
      <c r="P29" s="2"/>
    </row>
    <row r="30" spans="2:16">
      <c r="C30" s="2">
        <v>20</v>
      </c>
      <c r="D30" s="2">
        <f>'1、经济推算'!D22</f>
        <v>487.82640000000004</v>
      </c>
      <c r="E30" s="2">
        <f>SUM('1、经济推算'!$I$3:I22)</f>
        <v>1.059867063438118</v>
      </c>
      <c r="F30" s="2">
        <f>体力消耗运算!E23</f>
        <v>2384</v>
      </c>
      <c r="G30" s="10"/>
      <c r="H30" s="2"/>
      <c r="I30" s="23"/>
      <c r="J30" s="2"/>
      <c r="K30" s="2"/>
      <c r="L30" s="2"/>
      <c r="M30" s="2"/>
      <c r="N30" s="2"/>
      <c r="O30" s="2"/>
      <c r="P30" s="2"/>
    </row>
    <row r="31" spans="2:16">
      <c r="C31" s="2">
        <v>21</v>
      </c>
      <c r="D31" s="2">
        <f>'1、经济推算'!D23</f>
        <v>503.42640000000006</v>
      </c>
      <c r="E31" s="2">
        <f>SUM('1、经济推算'!$I$3:I23)</f>
        <v>1.1850042611080895</v>
      </c>
      <c r="F31" s="2">
        <f>体力消耗运算!E24</f>
        <v>2772</v>
      </c>
      <c r="G31" s="10"/>
      <c r="H31" s="2"/>
      <c r="I31" s="23"/>
      <c r="J31" s="2"/>
      <c r="K31" s="2"/>
      <c r="L31" s="2"/>
      <c r="M31" s="2"/>
      <c r="N31" s="2"/>
      <c r="O31" s="2"/>
      <c r="P31" s="2"/>
    </row>
    <row r="32" spans="2:16">
      <c r="C32" s="2">
        <v>22</v>
      </c>
      <c r="D32" s="2">
        <f>'1、经济推算'!D24</f>
        <v>519.02640000000008</v>
      </c>
      <c r="E32" s="2">
        <f>SUM('1、经济推算'!$I$3:I24)</f>
        <v>1.3227501656861169</v>
      </c>
      <c r="F32" s="2">
        <f>体力消耗运算!E25</f>
        <v>3208</v>
      </c>
      <c r="G32" s="10"/>
      <c r="H32" s="2"/>
      <c r="I32" s="23"/>
      <c r="J32" s="2"/>
      <c r="K32" s="2"/>
      <c r="L32" s="2"/>
      <c r="M32" s="2"/>
      <c r="N32" s="2"/>
      <c r="O32" s="2"/>
      <c r="P32" s="2"/>
    </row>
    <row r="33" spans="2:18">
      <c r="C33" s="2">
        <v>23</v>
      </c>
      <c r="D33" s="2">
        <f>'1、经济推算'!D25</f>
        <v>534.62640000000022</v>
      </c>
      <c r="E33" s="2">
        <f>SUM('1、经济推算'!$I$3:I25)</f>
        <v>1.4743752186784302</v>
      </c>
      <c r="F33" s="2">
        <f>体力消耗运算!E26</f>
        <v>3696</v>
      </c>
      <c r="G33" s="10"/>
      <c r="H33" s="2"/>
      <c r="I33" s="23"/>
      <c r="J33" s="32"/>
      <c r="K33" s="2"/>
      <c r="L33" s="2"/>
      <c r="M33" s="2"/>
      <c r="N33" s="2"/>
      <c r="O33" s="2"/>
      <c r="P33" s="2"/>
    </row>
    <row r="34" spans="2:18">
      <c r="C34" s="2">
        <v>24</v>
      </c>
      <c r="D34" s="2">
        <f>'1、经济推算'!D26</f>
        <v>550.22640000000013</v>
      </c>
      <c r="E34" s="2">
        <f>SUM('1、经济推算'!$I$3:I26)</f>
        <v>1.6412778700882864</v>
      </c>
      <c r="F34" s="2">
        <f>体力消耗运算!E27</f>
        <v>4238</v>
      </c>
      <c r="G34" s="10"/>
      <c r="H34" s="2"/>
      <c r="I34" s="23"/>
      <c r="J34" s="2"/>
      <c r="K34" s="2"/>
      <c r="L34" s="2"/>
      <c r="M34" s="2"/>
      <c r="N34" s="2"/>
      <c r="O34" s="2"/>
      <c r="P34" s="2"/>
    </row>
    <row r="35" spans="2:18">
      <c r="C35" s="2">
        <v>25</v>
      </c>
      <c r="D35" s="2">
        <f>'1、经济推算'!D27</f>
        <v>565.82640000000015</v>
      </c>
      <c r="E35" s="2">
        <f>SUM('1、经济推算'!$I$3:I27)</f>
        <v>1.8249974764323131</v>
      </c>
      <c r="F35" s="2">
        <f>体力消耗运算!E28</f>
        <v>4839</v>
      </c>
      <c r="H35" s="2"/>
      <c r="I35" s="23"/>
      <c r="J35" s="2"/>
      <c r="K35" s="2"/>
      <c r="L35" s="2"/>
      <c r="M35" s="2"/>
      <c r="N35" s="2"/>
      <c r="O35" s="2"/>
      <c r="P35" s="2"/>
    </row>
    <row r="36" spans="2:18">
      <c r="C36" s="2">
        <v>26</v>
      </c>
      <c r="D36" s="2">
        <f>'1、经济推算'!D28</f>
        <v>581.42640000000017</v>
      </c>
      <c r="E36" s="2">
        <f>SUM('1、经济推算'!$I$3:I28)</f>
        <v>2.0272284983489062</v>
      </c>
      <c r="F36" s="2">
        <f>体力消耗运算!E29</f>
        <v>5503</v>
      </c>
      <c r="G36" s="10"/>
      <c r="H36" s="2"/>
      <c r="I36" s="23"/>
      <c r="J36" s="2"/>
      <c r="K36" s="2"/>
      <c r="L36" s="2"/>
      <c r="M36" s="2"/>
      <c r="N36" s="2"/>
      <c r="O36" s="2"/>
      <c r="P36" s="2"/>
    </row>
    <row r="37" spans="2:18">
      <c r="C37" s="2">
        <v>27</v>
      </c>
      <c r="D37" s="2">
        <f>'1、经济推算'!D29</f>
        <v>597.02640000000008</v>
      </c>
      <c r="E37" s="2">
        <f>SUM('1、经济推算'!$I$3:I29)</f>
        <v>2.2498361287443611</v>
      </c>
      <c r="F37" s="2">
        <f>体力消耗运算!E30</f>
        <v>6233</v>
      </c>
      <c r="G37" s="10"/>
      <c r="H37" s="2"/>
      <c r="I37" s="23"/>
      <c r="J37" s="2"/>
      <c r="K37" s="2"/>
      <c r="L37" s="2"/>
      <c r="M37" s="2"/>
      <c r="N37" s="2"/>
      <c r="O37" s="2"/>
      <c r="P37" s="2"/>
    </row>
    <row r="38" spans="2:18">
      <c r="C38" s="2">
        <v>28</v>
      </c>
      <c r="D38" s="2">
        <f>'1、经济推算'!D30</f>
        <v>612.62640000000022</v>
      </c>
      <c r="E38" s="2">
        <f>SUM('1、经济推算'!$I$3:I30)</f>
        <v>2.4948734956163796</v>
      </c>
      <c r="F38" s="2">
        <f>体力消耗运算!E31</f>
        <v>7034</v>
      </c>
      <c r="G38" s="10"/>
      <c r="H38" s="2"/>
      <c r="I38" s="23"/>
      <c r="J38" s="2"/>
      <c r="K38" s="2"/>
      <c r="L38" s="2"/>
      <c r="M38" s="2"/>
      <c r="N38" s="2"/>
      <c r="O38" s="2"/>
      <c r="P38" s="2"/>
    </row>
    <row r="39" spans="2:18">
      <c r="C39" s="2">
        <v>29</v>
      </c>
      <c r="D39" s="2">
        <f>'1、经济推算'!D31</f>
        <v>628.22640000000013</v>
      </c>
      <c r="E39" s="2">
        <f>SUM('1、经济推算'!$I$3:I31)</f>
        <v>2.7646005982179718</v>
      </c>
      <c r="F39" s="2">
        <f>体力消耗运算!E32</f>
        <v>7910</v>
      </c>
      <c r="G39">
        <v>24</v>
      </c>
      <c r="H39" s="2">
        <v>5</v>
      </c>
      <c r="I39" s="23">
        <v>10</v>
      </c>
      <c r="J39" s="2">
        <f>7*G2+6*G3</f>
        <v>78</v>
      </c>
      <c r="K39" s="2">
        <v>3</v>
      </c>
      <c r="L39" s="2">
        <v>3</v>
      </c>
      <c r="M39" s="2">
        <v>3</v>
      </c>
      <c r="N39" s="2">
        <v>3</v>
      </c>
      <c r="O39" s="2"/>
      <c r="P39" s="2">
        <v>5</v>
      </c>
    </row>
    <row r="40" spans="2:18">
      <c r="B40" t="s">
        <v>157</v>
      </c>
      <c r="C40" s="2">
        <v>30</v>
      </c>
      <c r="D40" s="2">
        <f>'1、经济推算'!D32</f>
        <v>651.62640000000022</v>
      </c>
      <c r="E40" s="2">
        <f>SUM('1、经济推算'!$I$3:I32)</f>
        <v>3.0615051512115086</v>
      </c>
      <c r="F40" s="2">
        <f>体力消耗运算!E33</f>
        <v>8865</v>
      </c>
      <c r="G40" s="10">
        <v>7905</v>
      </c>
      <c r="H40" s="2">
        <v>2700</v>
      </c>
      <c r="I40" s="23">
        <f>10*S7</f>
        <v>9400</v>
      </c>
      <c r="J40" s="2">
        <f>J39*N2</f>
        <v>1560</v>
      </c>
      <c r="K40" s="2">
        <f>K39*K2*N2</f>
        <v>360</v>
      </c>
      <c r="L40" s="2">
        <f>L39*I2*N2</f>
        <v>720</v>
      </c>
      <c r="M40" s="2">
        <f>M39*I2*N2</f>
        <v>720</v>
      </c>
      <c r="N40" s="2">
        <f>N39*I2*N2</f>
        <v>720</v>
      </c>
      <c r="O40" s="2"/>
      <c r="P40" s="2">
        <f>P39*E2*N2</f>
        <v>1000</v>
      </c>
      <c r="Q40">
        <f>SUM(G40:P40)</f>
        <v>25085</v>
      </c>
      <c r="R40">
        <f>SUM(F11:F40)</f>
        <v>69585</v>
      </c>
    </row>
    <row r="41" spans="2:18">
      <c r="C41" s="2">
        <v>31</v>
      </c>
      <c r="D41" s="2">
        <f>'1、经济推算'!D33</f>
        <v>675.02640000000008</v>
      </c>
      <c r="E41" s="2">
        <f>SUM('1、经济推算'!$I$3:I33)</f>
        <v>3.3883255290602246</v>
      </c>
      <c r="F41" s="2">
        <f>体力消耗运算!E34</f>
        <v>9903</v>
      </c>
      <c r="G41" s="10"/>
      <c r="H41" s="2"/>
      <c r="I41" s="23"/>
      <c r="J41" s="2"/>
      <c r="K41" s="2"/>
      <c r="L41" s="2"/>
      <c r="M41" s="2"/>
      <c r="N41" s="2"/>
      <c r="O41" s="2"/>
      <c r="P41" s="2"/>
    </row>
    <row r="42" spans="2:18">
      <c r="C42" s="2">
        <v>32</v>
      </c>
      <c r="D42" s="2">
        <f>'1、经济推算'!D34</f>
        <v>698.42640000000029</v>
      </c>
      <c r="E42" s="2">
        <f>SUM('1、经济推算'!$I$3:I34)</f>
        <v>3.7480760222751357</v>
      </c>
      <c r="F42" s="2">
        <f>体力消耗运算!E35</f>
        <v>11031</v>
      </c>
      <c r="G42" s="10"/>
      <c r="H42" s="2"/>
      <c r="I42" s="23"/>
      <c r="J42" s="2"/>
      <c r="K42" s="2"/>
      <c r="L42" s="2"/>
      <c r="M42" s="2"/>
      <c r="N42" s="2"/>
      <c r="O42" s="2"/>
      <c r="P42" s="2"/>
    </row>
    <row r="43" spans="2:18">
      <c r="C43" s="2">
        <v>33</v>
      </c>
      <c r="D43" s="2">
        <f>'1、经济推算'!D35</f>
        <v>721.82640000000026</v>
      </c>
      <c r="E43" s="2">
        <f>SUM('1、经济推算'!$I$3:I35)</f>
        <v>4.144074638457754</v>
      </c>
      <c r="F43" s="2">
        <f>体力消耗运算!E36</f>
        <v>12251</v>
      </c>
      <c r="G43" s="10"/>
      <c r="H43" s="2"/>
      <c r="I43" s="23"/>
      <c r="J43" s="2"/>
      <c r="K43" s="2"/>
      <c r="L43" s="2"/>
      <c r="M43" s="2"/>
      <c r="N43" s="2"/>
      <c r="O43" s="2"/>
      <c r="P43" s="2"/>
    </row>
    <row r="44" spans="2:18">
      <c r="C44" s="2">
        <v>34</v>
      </c>
      <c r="D44" s="2">
        <f>'1、经济推算'!D36</f>
        <v>745.22640000000013</v>
      </c>
      <c r="E44" s="2">
        <f>SUM('1、经济推算'!$I$3:I36)</f>
        <v>4.5799737045498432</v>
      </c>
      <c r="F44" s="2">
        <f>体力消耗运算!E37</f>
        <v>13568</v>
      </c>
      <c r="G44" s="10"/>
      <c r="H44" s="2"/>
      <c r="I44" s="23"/>
      <c r="J44" s="2"/>
      <c r="K44" s="2"/>
      <c r="L44" s="2"/>
      <c r="M44" s="2"/>
      <c r="N44" s="2"/>
      <c r="O44" s="2"/>
      <c r="P44" s="2"/>
    </row>
    <row r="45" spans="2:18">
      <c r="C45" s="2">
        <v>35</v>
      </c>
      <c r="D45" s="2">
        <f>'1、经济推算'!D37</f>
        <v>768.62640000000033</v>
      </c>
      <c r="E45" s="2">
        <f>SUM('1、经济推算'!$I$3:I37)</f>
        <v>5.0597935525372213</v>
      </c>
      <c r="F45" s="2">
        <f>体力消耗运算!E38</f>
        <v>14989</v>
      </c>
      <c r="G45" s="10"/>
      <c r="H45" s="2"/>
      <c r="I45" s="23"/>
      <c r="J45" s="2"/>
      <c r="K45" s="2"/>
      <c r="L45" s="2"/>
      <c r="M45" s="2"/>
      <c r="N45" s="2"/>
      <c r="O45" s="2"/>
      <c r="P45" s="2"/>
    </row>
    <row r="46" spans="2:18">
      <c r="C46" s="2">
        <v>36</v>
      </c>
      <c r="D46" s="2">
        <f>'1、经济推算'!D38</f>
        <v>792.02640000000008</v>
      </c>
      <c r="E46" s="2">
        <f>SUM('1、经济推算'!$I$3:I38)</f>
        <v>5.5879595992935407</v>
      </c>
      <c r="F46" s="2">
        <f>体力消耗运算!E39</f>
        <v>16517</v>
      </c>
      <c r="G46" s="10"/>
      <c r="H46" s="2"/>
      <c r="I46" s="23"/>
      <c r="J46" s="2"/>
      <c r="K46" s="2"/>
      <c r="L46" s="2"/>
      <c r="M46" s="2"/>
      <c r="N46" s="2"/>
      <c r="O46" s="2"/>
      <c r="P46" s="2"/>
    </row>
    <row r="47" spans="2:18">
      <c r="C47" s="2">
        <v>37</v>
      </c>
      <c r="D47" s="2">
        <f>'1、经济推算'!D39</f>
        <v>815.42640000000029</v>
      </c>
      <c r="E47" s="2">
        <f>SUM('1、经济推算'!$I$3:I39)</f>
        <v>6.1693431625544273</v>
      </c>
      <c r="F47" s="2">
        <f>体力消耗运算!E40</f>
        <v>18159</v>
      </c>
      <c r="G47" s="10"/>
      <c r="H47" s="2"/>
      <c r="I47" s="23"/>
      <c r="J47" s="2"/>
      <c r="K47" s="2"/>
      <c r="L47" s="2"/>
      <c r="M47" s="2"/>
      <c r="N47" s="2"/>
      <c r="O47" s="2"/>
      <c r="P47" s="2"/>
    </row>
    <row r="48" spans="2:18">
      <c r="C48" s="2">
        <v>38</v>
      </c>
      <c r="D48" s="2">
        <f>'1、经济推算'!D40</f>
        <v>838.82640000000015</v>
      </c>
      <c r="E48" s="2">
        <f>SUM('1、经济推算'!$I$3:I40)</f>
        <v>6.8093063894709651</v>
      </c>
      <c r="F48" s="2">
        <f>体力消耗运算!E41</f>
        <v>19918</v>
      </c>
      <c r="G48" s="10"/>
      <c r="H48" s="2"/>
      <c r="I48" s="23"/>
      <c r="J48" s="2"/>
      <c r="K48" s="2"/>
      <c r="L48" s="2"/>
      <c r="M48" s="2"/>
      <c r="N48" s="2"/>
      <c r="O48" s="2"/>
      <c r="P48" s="2"/>
    </row>
    <row r="49" spans="3:16">
      <c r="C49" s="2">
        <v>39</v>
      </c>
      <c r="D49" s="2">
        <f>'1、经济推算'!D41</f>
        <v>862.22640000000013</v>
      </c>
      <c r="E49" s="2">
        <f>SUM('1、经济推算'!$I$3:I41)</f>
        <v>7.5137517121221791</v>
      </c>
      <c r="F49" s="2">
        <f>体力消耗运算!E42</f>
        <v>21801</v>
      </c>
      <c r="G49" s="10"/>
      <c r="H49" s="2"/>
      <c r="I49" s="23"/>
      <c r="J49" s="2"/>
      <c r="K49" s="2"/>
      <c r="L49" s="2"/>
      <c r="M49" s="2"/>
      <c r="N49" s="2"/>
      <c r="O49" s="2"/>
      <c r="P49" s="2"/>
    </row>
    <row r="50" spans="3:16">
      <c r="C50" s="2">
        <v>40</v>
      </c>
      <c r="D50" s="2">
        <f>'1、经济推算'!D42</f>
        <v>893.42640000000029</v>
      </c>
      <c r="E50" s="2">
        <f>SUM('1、经济推算'!$I$3:I42)</f>
        <v>8.289176286118666</v>
      </c>
      <c r="F50" s="2">
        <f>体力消耗运算!E43</f>
        <v>23813</v>
      </c>
      <c r="G50" s="10"/>
      <c r="H50" s="2"/>
      <c r="I50" s="23"/>
      <c r="J50" s="2"/>
      <c r="K50" s="2"/>
      <c r="L50" s="2"/>
      <c r="M50" s="2"/>
      <c r="N50" s="2"/>
      <c r="O50" s="2"/>
      <c r="P50" s="2"/>
    </row>
    <row r="51" spans="3:16">
      <c r="C51" s="2">
        <v>41</v>
      </c>
      <c r="D51" s="2">
        <f>'1、经济推算'!D43</f>
        <v>924.62640000000033</v>
      </c>
      <c r="E51" s="2">
        <f>SUM('1、经济推算'!$I$3:I43)</f>
        <v>9.1427319143889676</v>
      </c>
      <c r="F51" s="2">
        <f>体力消耗运算!E44</f>
        <v>25960</v>
      </c>
      <c r="G51" s="10"/>
      <c r="H51" s="2"/>
      <c r="I51" s="23"/>
      <c r="J51" s="2"/>
      <c r="K51" s="2"/>
      <c r="L51" s="2"/>
      <c r="M51" s="2"/>
      <c r="N51" s="2"/>
      <c r="O51" s="2"/>
      <c r="P51" s="2"/>
    </row>
    <row r="52" spans="3:16">
      <c r="C52" s="2">
        <v>42</v>
      </c>
      <c r="D52" s="2">
        <f>'1、经济推算'!D44</f>
        <v>955.82640000000049</v>
      </c>
      <c r="E52" s="2">
        <f>SUM('1、经济推算'!$I$3:I44)</f>
        <v>10.082291008830579</v>
      </c>
      <c r="F52" s="2">
        <f>体力消耗运算!E45</f>
        <v>28247</v>
      </c>
      <c r="G52" s="10"/>
      <c r="H52" s="2"/>
      <c r="I52" s="23"/>
      <c r="J52" s="2"/>
      <c r="K52" s="2"/>
      <c r="L52" s="2"/>
      <c r="M52" s="2"/>
      <c r="N52" s="2"/>
      <c r="O52" s="2"/>
      <c r="P52" s="2"/>
    </row>
    <row r="53" spans="3:16">
      <c r="C53" s="2">
        <v>43</v>
      </c>
      <c r="D53" s="2">
        <f>'1、经济推算'!D45</f>
        <v>987.02640000000031</v>
      </c>
      <c r="E53" s="2">
        <f>SUM('1、经济推算'!$I$3:I45)</f>
        <v>11.116519198195157</v>
      </c>
      <c r="F53" s="2">
        <f>体力消耗运算!E46</f>
        <v>30681</v>
      </c>
      <c r="G53" s="10"/>
      <c r="H53" s="2"/>
      <c r="I53" s="23"/>
      <c r="J53" s="2"/>
      <c r="K53" s="2"/>
      <c r="L53" s="2"/>
      <c r="M53" s="2"/>
      <c r="N53" s="2"/>
      <c r="O53" s="2"/>
      <c r="P53" s="2"/>
    </row>
    <row r="54" spans="3:16">
      <c r="C54" s="2">
        <v>44</v>
      </c>
      <c r="D54" s="2">
        <f>'1、经济推算'!D46</f>
        <v>1018.2264000000002</v>
      </c>
      <c r="E54" s="2">
        <f>SUM('1、经济推算'!$I$3:I46)</f>
        <v>12.254955251876297</v>
      </c>
      <c r="F54" s="2">
        <f>体力消耗运算!E47</f>
        <v>33267</v>
      </c>
      <c r="G54" s="10"/>
      <c r="H54" s="2"/>
      <c r="I54" s="23"/>
      <c r="J54" s="2"/>
      <c r="K54" s="2"/>
      <c r="L54" s="2"/>
      <c r="M54" s="2"/>
      <c r="N54" s="2"/>
      <c r="O54" s="2"/>
      <c r="P54" s="2"/>
    </row>
    <row r="55" spans="3:16">
      <c r="C55" s="2">
        <v>45</v>
      </c>
      <c r="D55" s="2">
        <f>'1、经济推算'!D47</f>
        <v>1049.4264000000003</v>
      </c>
      <c r="E55" s="2">
        <f>SUM('1、经济推算'!$I$3:I47)</f>
        <v>13.508099056743347</v>
      </c>
      <c r="F55" s="2">
        <f>体力消耗运算!E48</f>
        <v>36011</v>
      </c>
      <c r="G55" s="10"/>
      <c r="H55" s="2"/>
      <c r="I55" s="23"/>
      <c r="J55" s="2"/>
      <c r="K55" s="2"/>
      <c r="L55" s="2"/>
      <c r="M55" s="2"/>
      <c r="N55" s="2"/>
      <c r="O55" s="2"/>
      <c r="P55" s="2"/>
    </row>
    <row r="56" spans="3:16">
      <c r="C56" s="2">
        <v>46</v>
      </c>
      <c r="D56" s="2">
        <f>'1、经济推算'!D48</f>
        <v>1080.6264000000006</v>
      </c>
      <c r="E56" s="2">
        <f>SUM('1、经济推算'!$I$3:I48)</f>
        <v>14.887508458438656</v>
      </c>
      <c r="F56" s="2">
        <f>体力消耗运算!E49</f>
        <v>38919</v>
      </c>
      <c r="G56" s="10"/>
      <c r="H56" s="2"/>
      <c r="I56" s="23"/>
      <c r="J56" s="2"/>
      <c r="K56" s="2"/>
      <c r="L56" s="2"/>
      <c r="M56" s="2"/>
      <c r="N56" s="2"/>
      <c r="O56" s="2"/>
      <c r="P56" s="2"/>
    </row>
    <row r="57" spans="3:16">
      <c r="C57" s="2">
        <v>47</v>
      </c>
      <c r="D57" s="2">
        <f>'1、经济推算'!D49</f>
        <v>1111.8264000000004</v>
      </c>
      <c r="E57" s="2">
        <f>SUM('1、经济推算'!$I$3:I49)</f>
        <v>16.405905860313279</v>
      </c>
      <c r="F57" s="2">
        <f>体力消耗运算!E50</f>
        <v>41999</v>
      </c>
      <c r="G57" s="10"/>
      <c r="H57" s="2"/>
      <c r="I57" s="23"/>
      <c r="J57" s="2"/>
      <c r="K57" s="2"/>
      <c r="L57" s="2"/>
      <c r="M57" s="2"/>
      <c r="N57" s="2"/>
      <c r="O57" s="2"/>
      <c r="P57" s="2"/>
    </row>
    <row r="58" spans="3:16">
      <c r="C58" s="2">
        <v>48</v>
      </c>
      <c r="D58" s="2">
        <f>'1、经济推算'!D50</f>
        <v>1143.0264000000006</v>
      </c>
      <c r="E58" s="2">
        <f>SUM('1、经济推算'!$I$3:I50)</f>
        <v>18.077295563171678</v>
      </c>
      <c r="F58" s="2">
        <f>体力消耗运算!E51</f>
        <v>45255</v>
      </c>
      <c r="G58" s="10"/>
      <c r="H58" s="2"/>
      <c r="I58" s="23"/>
      <c r="J58" s="2"/>
      <c r="K58" s="2"/>
      <c r="L58" s="2"/>
      <c r="M58" s="2"/>
      <c r="N58" s="2"/>
      <c r="O58" s="2"/>
      <c r="P58" s="2"/>
    </row>
    <row r="59" spans="3:16">
      <c r="C59" s="2">
        <v>49</v>
      </c>
      <c r="D59" s="2">
        <f>'1、经济推算'!D51</f>
        <v>1174.2264000000007</v>
      </c>
      <c r="E59" s="2">
        <f>SUM('1、经济推算'!$I$3:I51)</f>
        <v>19.917092928059262</v>
      </c>
      <c r="F59" s="2">
        <f>体力消耗运算!E52</f>
        <v>48696</v>
      </c>
      <c r="G59" s="10"/>
      <c r="H59" s="2"/>
      <c r="I59" s="23"/>
      <c r="J59" s="2"/>
      <c r="K59" s="2"/>
      <c r="L59" s="2"/>
      <c r="M59" s="2"/>
      <c r="N59" s="2"/>
      <c r="O59" s="2"/>
      <c r="P59" s="2"/>
    </row>
    <row r="60" spans="3:16">
      <c r="C60" s="2">
        <v>50</v>
      </c>
      <c r="D60" s="2">
        <f>'1、经济推算'!D52</f>
        <v>1213.2264000000005</v>
      </c>
      <c r="E60" s="2">
        <f>SUM('1、经济推算'!$I$3:I52)</f>
        <v>21.94226655337151</v>
      </c>
      <c r="F60" s="2">
        <f>体力消耗运算!E53</f>
        <v>52327</v>
      </c>
      <c r="G60" s="10"/>
      <c r="H60" s="2"/>
      <c r="I60" s="23"/>
      <c r="J60" s="2"/>
      <c r="K60" s="2"/>
      <c r="L60" s="2"/>
      <c r="M60" s="2"/>
      <c r="N60" s="2"/>
      <c r="O60" s="2"/>
      <c r="P60" s="2"/>
    </row>
    <row r="61" spans="3:16">
      <c r="C61" s="2">
        <v>51</v>
      </c>
      <c r="D61" s="2">
        <f>'1、经济推算'!D53</f>
        <v>1252.2264000000005</v>
      </c>
      <c r="E61" s="2">
        <f>SUM('1、经济推算'!$I$3:I53)</f>
        <v>24.171494777595512</v>
      </c>
      <c r="F61" s="2">
        <f>体力消耗运算!E54</f>
        <v>56155</v>
      </c>
      <c r="G61" s="10"/>
      <c r="H61" s="2"/>
      <c r="I61" s="23"/>
      <c r="J61" s="2"/>
      <c r="K61" s="2"/>
      <c r="L61" s="2"/>
      <c r="M61" s="2"/>
      <c r="N61" s="2"/>
      <c r="O61" s="2"/>
      <c r="P61" s="2"/>
    </row>
    <row r="62" spans="3:16">
      <c r="C62" s="2">
        <v>52</v>
      </c>
      <c r="D62" s="2">
        <f>'1、经济推算'!D54</f>
        <v>1291.2264000000002</v>
      </c>
      <c r="E62" s="2">
        <f>SUM('1、经济推算'!$I$3:I54)</f>
        <v>26.625337951121285</v>
      </c>
      <c r="F62" s="2">
        <f>体力消耗运算!E55</f>
        <v>60187</v>
      </c>
      <c r="G62" s="10"/>
      <c r="H62" s="2"/>
      <c r="I62" s="23"/>
      <c r="J62" s="2"/>
      <c r="K62" s="2"/>
      <c r="L62" s="2"/>
      <c r="M62" s="2"/>
      <c r="N62" s="2"/>
      <c r="O62" s="2"/>
      <c r="P62" s="2"/>
    </row>
    <row r="63" spans="3:16">
      <c r="C63" s="2">
        <v>53</v>
      </c>
      <c r="D63" s="2">
        <f>'1、经济推算'!D55</f>
        <v>1330.2264000000005</v>
      </c>
      <c r="E63" s="2">
        <f>SUM('1、经济推算'!$I$3:I55)</f>
        <v>29.326428065999529</v>
      </c>
      <c r="F63" s="2">
        <f>体力消耗运算!E56</f>
        <v>64430</v>
      </c>
      <c r="G63" s="10"/>
      <c r="H63" s="2"/>
      <c r="I63" s="23"/>
      <c r="J63" s="2"/>
      <c r="K63" s="2"/>
      <c r="L63" s="2"/>
      <c r="M63" s="2"/>
      <c r="N63" s="2"/>
      <c r="O63" s="2"/>
      <c r="P63" s="2"/>
    </row>
    <row r="64" spans="3:16">
      <c r="C64" s="2">
        <v>54</v>
      </c>
      <c r="D64" s="2">
        <f>'1、经济推算'!D56</f>
        <v>1369.2264000000005</v>
      </c>
      <c r="E64" s="2">
        <f>SUM('1、经济推算'!$I$3:I56)</f>
        <v>32.299677492616297</v>
      </c>
      <c r="F64" s="2">
        <f>体力消耗运算!E57</f>
        <v>68892</v>
      </c>
      <c r="G64" s="10"/>
      <c r="H64" s="2"/>
      <c r="I64" s="23"/>
      <c r="J64" s="2"/>
      <c r="K64" s="2"/>
      <c r="L64" s="2"/>
      <c r="M64" s="2"/>
      <c r="N64" s="2"/>
      <c r="O64" s="2"/>
      <c r="P64" s="2"/>
    </row>
    <row r="65" spans="3:16">
      <c r="C65" s="2">
        <v>55</v>
      </c>
      <c r="D65" s="2">
        <f>'1、经济推算'!D57</f>
        <v>1408.2264000000002</v>
      </c>
      <c r="E65" s="2">
        <f>SUM('1、经济推算'!$I$3:I57)</f>
        <v>35.572508748479606</v>
      </c>
      <c r="F65" s="2">
        <f>体力消耗运算!E58</f>
        <v>73579</v>
      </c>
      <c r="G65" s="10"/>
      <c r="H65" s="2"/>
      <c r="I65" s="23"/>
      <c r="J65" s="2"/>
      <c r="K65" s="2"/>
      <c r="L65" s="2"/>
      <c r="M65" s="2"/>
      <c r="N65" s="2"/>
      <c r="O65" s="2"/>
      <c r="P65" s="2"/>
    </row>
    <row r="66" spans="3:16">
      <c r="C66" s="2">
        <v>56</v>
      </c>
      <c r="D66" s="2">
        <f>'1、经济推算'!D58</f>
        <v>1447.2264000000005</v>
      </c>
      <c r="E66" s="2">
        <f>SUM('1、经济推算'!$I$3:I58)</f>
        <v>39.17510741829394</v>
      </c>
      <c r="F66" s="2">
        <f>体力消耗运算!E59</f>
        <v>78499</v>
      </c>
      <c r="G66" s="10"/>
      <c r="H66" s="2"/>
      <c r="I66" s="23"/>
      <c r="J66" s="2"/>
      <c r="K66" s="2"/>
      <c r="L66" s="2"/>
      <c r="M66" s="2"/>
      <c r="N66" s="2"/>
      <c r="O66" s="2"/>
      <c r="P66" s="2"/>
    </row>
    <row r="67" spans="3:16">
      <c r="C67" s="2">
        <v>57</v>
      </c>
      <c r="D67" s="2">
        <f>'1、经济推算'!D59</f>
        <v>1486.2264000000002</v>
      </c>
      <c r="E67" s="2">
        <f>SUM('1、经济推算'!$I$3:I59)</f>
        <v>43.140700558024719</v>
      </c>
      <c r="F67" s="2">
        <f>体力消耗运算!E60</f>
        <v>83659</v>
      </c>
      <c r="G67" s="10"/>
      <c r="H67" s="2"/>
      <c r="I67" s="23"/>
      <c r="J67" s="2"/>
      <c r="K67" s="2"/>
      <c r="L67" s="2"/>
      <c r="M67" s="2"/>
      <c r="N67" s="2"/>
      <c r="O67" s="2"/>
      <c r="P67" s="2"/>
    </row>
    <row r="68" spans="3:16">
      <c r="C68" s="2">
        <v>58</v>
      </c>
      <c r="D68" s="2">
        <f>'1、经济推算'!D60</f>
        <v>1525.2264000000005</v>
      </c>
      <c r="E68" s="2">
        <f>SUM('1、经济推算'!$I$3:I60)</f>
        <v>47.505863150695717</v>
      </c>
      <c r="F68" s="2">
        <f>体力消耗运算!E61</f>
        <v>89066</v>
      </c>
      <c r="G68" s="10"/>
      <c r="H68" s="2"/>
      <c r="I68" s="23"/>
      <c r="J68" s="2"/>
      <c r="K68" s="2"/>
      <c r="L68" s="2"/>
      <c r="M68" s="2"/>
      <c r="N68" s="2"/>
      <c r="O68" s="2"/>
      <c r="P68" s="2"/>
    </row>
    <row r="69" spans="3:16">
      <c r="C69" s="2">
        <v>59</v>
      </c>
      <c r="D69" s="2">
        <f>'1、经济推算'!D61</f>
        <v>1564.2264000000002</v>
      </c>
      <c r="E69" s="2">
        <f>SUM('1、经济推算'!$I$3:I61)</f>
        <v>52.310855440385765</v>
      </c>
      <c r="F69" s="2">
        <f>体力消耗运算!E62</f>
        <v>94730</v>
      </c>
      <c r="G69" s="10"/>
      <c r="H69" s="2"/>
      <c r="I69" s="23"/>
      <c r="J69" s="2"/>
      <c r="K69" s="2"/>
      <c r="L69" s="2"/>
      <c r="M69" s="2"/>
      <c r="N69" s="2"/>
      <c r="O69" s="2"/>
      <c r="P69" s="2"/>
    </row>
    <row r="70" spans="3:16">
      <c r="C70" s="2">
        <v>60</v>
      </c>
      <c r="D70" s="2">
        <f>'1、经济推算'!D62</f>
        <v>1611.0264000000004</v>
      </c>
      <c r="E70" s="2">
        <f>SUM('1、经济推算'!$I$3:I62)</f>
        <v>57.599994255683271</v>
      </c>
      <c r="F70" s="2">
        <f>体力消耗运算!E63</f>
        <v>100656</v>
      </c>
      <c r="G70" s="10"/>
      <c r="H70" s="2"/>
      <c r="I70" s="23"/>
      <c r="J70" s="2"/>
      <c r="K70" s="2"/>
      <c r="L70" s="2"/>
      <c r="M70" s="2"/>
      <c r="N70" s="2"/>
      <c r="O70" s="2"/>
      <c r="P70" s="2"/>
    </row>
    <row r="71" spans="3:16">
      <c r="C71" s="2">
        <v>61</v>
      </c>
      <c r="D71" s="2">
        <f>'1、经济推算'!D63</f>
        <v>1657.8264000000006</v>
      </c>
      <c r="E71" s="2">
        <f>SUM('1、经济推算'!$I$3:I63)</f>
        <v>63.42206174734438</v>
      </c>
      <c r="F71" s="2">
        <f>体力消耗运算!E64</f>
        <v>106854</v>
      </c>
      <c r="G71" s="10"/>
      <c r="H71" s="2"/>
      <c r="I71" s="23"/>
      <c r="J71" s="2"/>
      <c r="K71" s="2"/>
      <c r="L71" s="2"/>
      <c r="M71" s="2"/>
      <c r="N71" s="2"/>
      <c r="O71" s="2"/>
      <c r="P71" s="2"/>
    </row>
    <row r="72" spans="3:16">
      <c r="C72" s="2">
        <v>62</v>
      </c>
      <c r="D72" s="2">
        <f>'1、经济推算'!D64</f>
        <v>1704.6264000000006</v>
      </c>
      <c r="E72" s="2">
        <f>SUM('1、经济推算'!$I$3:I64)</f>
        <v>69.830755309975032</v>
      </c>
      <c r="F72" s="2">
        <f>体力消耗运算!E65</f>
        <v>113332</v>
      </c>
      <c r="G72" s="10"/>
      <c r="H72" s="2"/>
      <c r="I72" s="23"/>
      <c r="J72" s="2"/>
      <c r="K72" s="2"/>
      <c r="L72" s="2"/>
      <c r="M72" s="2"/>
      <c r="N72" s="2"/>
      <c r="O72" s="2"/>
      <c r="P72" s="2"/>
    </row>
    <row r="73" spans="3:16">
      <c r="C73" s="2">
        <v>63</v>
      </c>
      <c r="D73" s="2">
        <f>'1、经济推算'!D65</f>
        <v>1751.4264000000007</v>
      </c>
      <c r="E73" s="2">
        <f>SUM('1、经济推算'!$I$3:I65)</f>
        <v>76.885182837400592</v>
      </c>
      <c r="F73" s="2">
        <f>体力消耗运算!E66</f>
        <v>120096</v>
      </c>
      <c r="G73" s="10"/>
      <c r="H73" s="2"/>
      <c r="I73" s="23"/>
      <c r="J73" s="2"/>
      <c r="K73" s="2"/>
      <c r="L73" s="2"/>
      <c r="M73" s="2"/>
      <c r="N73" s="2"/>
      <c r="O73" s="2"/>
      <c r="P73" s="2"/>
    </row>
    <row r="74" spans="3:16">
      <c r="C74" s="2">
        <v>64</v>
      </c>
      <c r="D74" s="2">
        <f>'1、经济推算'!D66</f>
        <v>1798.2264000000009</v>
      </c>
      <c r="E74" s="2">
        <f>SUM('1、经济推算'!$I$3:I66)</f>
        <v>84.650407879502907</v>
      </c>
      <c r="F74" s="2">
        <f>体力消耗运算!E67</f>
        <v>127157</v>
      </c>
      <c r="G74" s="10"/>
      <c r="H74" s="2"/>
      <c r="I74" s="23"/>
      <c r="J74" s="2"/>
      <c r="K74" s="2"/>
      <c r="L74" s="2"/>
      <c r="M74" s="2"/>
      <c r="N74" s="2"/>
      <c r="O74" s="2"/>
      <c r="P74" s="2"/>
    </row>
    <row r="75" spans="3:16">
      <c r="C75" s="2">
        <v>65</v>
      </c>
      <c r="D75" s="2">
        <f>'1、经济推算'!D67</f>
        <v>1845.0264000000006</v>
      </c>
      <c r="E75" s="2">
        <f>SUM('1、经济推算'!$I$3:I67)</f>
        <v>93.19804972855006</v>
      </c>
      <c r="F75" s="2">
        <f>体力消耗运算!E68</f>
        <v>134521</v>
      </c>
      <c r="G75" s="10"/>
      <c r="H75" s="2"/>
      <c r="I75" s="23"/>
      <c r="J75" s="2"/>
      <c r="K75" s="2"/>
      <c r="L75" s="2"/>
      <c r="M75" s="2"/>
      <c r="N75" s="2"/>
      <c r="O75" s="2"/>
      <c r="P75" s="2"/>
    </row>
    <row r="76" spans="3:16">
      <c r="C76" s="2">
        <v>66</v>
      </c>
      <c r="D76" s="2">
        <f>'1、经济推算'!D68</f>
        <v>1891.8264000000013</v>
      </c>
      <c r="E76" s="2">
        <f>SUM('1、经济推算'!$I$3:I68)</f>
        <v>102.60694396966296</v>
      </c>
      <c r="F76" s="2">
        <f>体力消耗运算!E69</f>
        <v>142198</v>
      </c>
      <c r="G76" s="10"/>
      <c r="H76" s="2"/>
      <c r="I76" s="23"/>
      <c r="J76" s="2"/>
      <c r="K76" s="2"/>
      <c r="L76" s="2"/>
      <c r="M76" s="2"/>
      <c r="N76" s="2"/>
      <c r="O76" s="2"/>
      <c r="P76" s="2"/>
    </row>
    <row r="77" spans="3:16">
      <c r="C77" s="2">
        <v>67</v>
      </c>
      <c r="D77" s="2">
        <f>'1、经济推算'!D69</f>
        <v>1938.6264000000015</v>
      </c>
      <c r="E77" s="2">
        <f>SUM('1、经济推算'!$I$3:I69)</f>
        <v>112.96386958772875</v>
      </c>
      <c r="F77" s="2">
        <f>体力消耗运算!E70</f>
        <v>150197</v>
      </c>
      <c r="G77" s="10"/>
      <c r="H77" s="2"/>
      <c r="I77" s="23"/>
      <c r="J77" s="2"/>
      <c r="K77" s="2"/>
      <c r="L77" s="2"/>
      <c r="M77" s="2"/>
      <c r="N77" s="2"/>
      <c r="O77" s="2"/>
      <c r="P77" s="2"/>
    </row>
    <row r="78" spans="3:16">
      <c r="C78" s="2">
        <v>68</v>
      </c>
      <c r="D78" s="2">
        <f>'1、经济推算'!D70</f>
        <v>1985.4264000000014</v>
      </c>
      <c r="E78" s="2">
        <f>SUM('1、经济推算'!$I$3:I70)</f>
        <v>124.3643493369261</v>
      </c>
      <c r="F78" s="2">
        <f>体力消耗运算!E71</f>
        <v>158525</v>
      </c>
      <c r="G78" s="10"/>
      <c r="H78" s="2"/>
      <c r="I78" s="23"/>
      <c r="J78" s="2"/>
      <c r="K78" s="2"/>
      <c r="L78" s="2"/>
      <c r="M78" s="2"/>
      <c r="N78" s="2"/>
      <c r="O78" s="2"/>
      <c r="P78" s="2"/>
    </row>
    <row r="79" spans="3:16">
      <c r="C79" s="2">
        <v>69</v>
      </c>
      <c r="D79" s="2">
        <f>'1、经济推算'!D71</f>
        <v>2032.2264000000014</v>
      </c>
      <c r="E79" s="2">
        <f>SUM('1、经济推算'!$I$3:I71)</f>
        <v>136.91353075473489</v>
      </c>
      <c r="F79" s="2">
        <f>体力消耗运算!E72</f>
        <v>167192</v>
      </c>
      <c r="G79" s="10"/>
      <c r="H79" s="2"/>
      <c r="I79" s="23"/>
      <c r="J79" s="2"/>
      <c r="K79" s="2"/>
      <c r="L79" s="2"/>
      <c r="M79" s="2"/>
      <c r="N79" s="2"/>
      <c r="O79" s="2"/>
      <c r="P79" s="2"/>
    </row>
    <row r="80" spans="3:16">
      <c r="C80" s="2">
        <v>70</v>
      </c>
      <c r="D80" s="2">
        <f>'1、经济推算'!D72</f>
        <v>2086.8264000000017</v>
      </c>
      <c r="E80" s="2">
        <f>SUM('1、经济推算'!$I$3:I72)</f>
        <v>150.72715594609272</v>
      </c>
      <c r="F80" s="2">
        <f>体力消耗运算!E73</f>
        <v>176207</v>
      </c>
      <c r="G80" s="10"/>
      <c r="H80" s="2"/>
      <c r="I80" s="23"/>
      <c r="J80" s="2"/>
      <c r="K80" s="2"/>
      <c r="L80" s="2"/>
      <c r="M80" s="2"/>
      <c r="N80" s="2"/>
      <c r="O80" s="2"/>
      <c r="P80" s="2"/>
    </row>
    <row r="81" spans="3:16">
      <c r="C81" s="2">
        <v>71</v>
      </c>
      <c r="D81" s="2">
        <f>'1、经济推算'!D73</f>
        <v>2141.4264000000012</v>
      </c>
      <c r="E81" s="2">
        <f>SUM('1、经济推算'!$I$3:I73)</f>
        <v>165.93262908209542</v>
      </c>
      <c r="F81" s="2">
        <f>体力消耗运算!E74</f>
        <v>185578</v>
      </c>
      <c r="G81" s="10"/>
      <c r="H81" s="2"/>
      <c r="I81" s="23"/>
      <c r="J81" s="2"/>
      <c r="K81" s="2"/>
      <c r="L81" s="2"/>
      <c r="M81" s="2"/>
      <c r="N81" s="2"/>
      <c r="O81" s="2"/>
      <c r="P81" s="2"/>
    </row>
    <row r="82" spans="3:16">
      <c r="C82" s="2">
        <v>72</v>
      </c>
      <c r="D82" s="2">
        <f>'1、经济推算'!D74</f>
        <v>2196.0264000000016</v>
      </c>
      <c r="E82" s="2">
        <f>SUM('1、经济推算'!$I$3:I74)</f>
        <v>182.67019145886732</v>
      </c>
      <c r="F82" s="2">
        <f>体力消耗运算!E75</f>
        <v>195316</v>
      </c>
      <c r="G82" s="10"/>
      <c r="H82" s="2"/>
      <c r="I82" s="23"/>
      <c r="J82" s="2"/>
      <c r="K82" s="2"/>
      <c r="L82" s="2"/>
      <c r="M82" s="2"/>
      <c r="N82" s="2"/>
      <c r="O82" s="2"/>
      <c r="P82" s="2"/>
    </row>
    <row r="83" spans="3:16">
      <c r="C83" s="2">
        <v>73</v>
      </c>
      <c r="D83" s="2">
        <f>'1、经济推算'!D75</f>
        <v>2250.626400000001</v>
      </c>
      <c r="E83" s="2">
        <f>SUM('1、经济推算'!$I$3:I75)</f>
        <v>201.09421495426361</v>
      </c>
      <c r="F83" s="2">
        <f>体力消耗运算!E76</f>
        <v>205429</v>
      </c>
      <c r="G83" s="10"/>
      <c r="H83" s="2"/>
      <c r="I83" s="23"/>
      <c r="J83" s="2"/>
      <c r="K83" s="2"/>
      <c r="L83" s="2"/>
      <c r="M83" s="2"/>
      <c r="N83" s="2"/>
      <c r="O83" s="2"/>
      <c r="P83" s="2"/>
    </row>
    <row r="84" spans="3:16">
      <c r="C84" s="2">
        <v>74</v>
      </c>
      <c r="D84" s="2">
        <f>'1、经济推算'!D76</f>
        <v>2305.2264000000014</v>
      </c>
      <c r="E84" s="2">
        <f>SUM('1、经济推算'!$I$3:I76)</f>
        <v>221.37462581205909</v>
      </c>
      <c r="F84" s="2">
        <f>体力消耗运算!E77</f>
        <v>215927</v>
      </c>
      <c r="G84" s="10"/>
      <c r="H84" s="2"/>
      <c r="I84" s="23"/>
      <c r="J84" s="2"/>
      <c r="K84" s="2"/>
      <c r="L84" s="2"/>
      <c r="M84" s="2"/>
      <c r="N84" s="2"/>
      <c r="O84" s="2"/>
      <c r="P84" s="2"/>
    </row>
    <row r="85" spans="3:16">
      <c r="C85" s="2">
        <v>75</v>
      </c>
      <c r="D85" s="2">
        <f>'1、经济推算'!D77</f>
        <v>2359.8264000000017</v>
      </c>
      <c r="E85" s="2">
        <f>SUM('1、经济推算'!$I$3:I77)</f>
        <v>243.6984718852994</v>
      </c>
      <c r="F85" s="2">
        <f>体力消耗运算!E78</f>
        <v>226819</v>
      </c>
      <c r="G85" s="10"/>
      <c r="H85" s="2"/>
      <c r="I85" s="23"/>
      <c r="J85" s="2"/>
      <c r="K85" s="2"/>
      <c r="L85" s="2"/>
      <c r="M85" s="2"/>
      <c r="N85" s="2"/>
      <c r="O85" s="2"/>
      <c r="P85" s="2"/>
    </row>
    <row r="86" spans="3:16">
      <c r="C86" s="2">
        <v>76</v>
      </c>
      <c r="D86" s="2">
        <f>'1、经济推算'!D78</f>
        <v>2414.4264000000012</v>
      </c>
      <c r="E86" s="2">
        <f>SUM('1、经济推算'!$I$3:I78)</f>
        <v>268.27164779362505</v>
      </c>
      <c r="F86" s="2">
        <f>体力消耗运算!E79</f>
        <v>238115</v>
      </c>
      <c r="G86" s="10"/>
      <c r="H86" s="2"/>
      <c r="I86" s="23"/>
      <c r="J86" s="2"/>
      <c r="K86" s="2"/>
      <c r="L86" s="2"/>
      <c r="M86" s="2"/>
      <c r="N86" s="2"/>
      <c r="O86" s="2"/>
      <c r="P86" s="2"/>
    </row>
    <row r="87" spans="3:16">
      <c r="C87" s="2">
        <v>77</v>
      </c>
      <c r="D87" s="2">
        <f>'1、经济推算'!D79</f>
        <v>2469.0264000000011</v>
      </c>
      <c r="E87" s="2">
        <f>SUM('1、经济推算'!$I$3:I79)</f>
        <v>295.320793905833</v>
      </c>
      <c r="F87" s="2">
        <f>体力消耗运算!E80</f>
        <v>249825</v>
      </c>
      <c r="G87" s="10"/>
      <c r="H87" s="2"/>
      <c r="I87" s="23"/>
      <c r="J87" s="2"/>
      <c r="K87" s="2"/>
      <c r="L87" s="2"/>
      <c r="M87" s="2"/>
      <c r="N87" s="2"/>
      <c r="O87" s="2"/>
      <c r="P87" s="2"/>
    </row>
    <row r="88" spans="3:16">
      <c r="C88" s="2">
        <v>78</v>
      </c>
      <c r="D88" s="2">
        <f>'1、经济推算'!D80</f>
        <v>2523.626400000001</v>
      </c>
      <c r="E88" s="2">
        <f>SUM('1、经济推算'!$I$3:I80)</f>
        <v>325.09538666214337</v>
      </c>
      <c r="F88" s="2">
        <f>体力消耗运算!E81</f>
        <v>261958</v>
      </c>
      <c r="G88" s="10"/>
      <c r="H88" s="2"/>
      <c r="I88" s="23"/>
      <c r="J88" s="2"/>
      <c r="K88" s="2"/>
      <c r="L88" s="2"/>
      <c r="M88" s="2"/>
      <c r="N88" s="2"/>
      <c r="O88" s="2"/>
      <c r="P88" s="2"/>
    </row>
    <row r="89" spans="3:16">
      <c r="C89" s="2">
        <v>79</v>
      </c>
      <c r="D89" s="2">
        <f>'1、经济推算'!D81</f>
        <v>2578.2264000000009</v>
      </c>
      <c r="E89" s="2">
        <f>SUM('1、经济推算'!$I$3:I81)</f>
        <v>357.87003951538151</v>
      </c>
      <c r="F89" s="2">
        <f>体力消耗运算!E82</f>
        <v>274525</v>
      </c>
      <c r="G89" s="10"/>
      <c r="H89" s="2"/>
      <c r="I89" s="23"/>
      <c r="J89" s="2"/>
      <c r="K89" s="2"/>
      <c r="L89" s="2"/>
      <c r="M89" s="2"/>
      <c r="N89" s="2"/>
      <c r="O89" s="2"/>
      <c r="P89" s="2"/>
    </row>
    <row r="90" spans="3:16">
      <c r="C90" s="2">
        <v>80</v>
      </c>
      <c r="D90" s="2">
        <f>'1、经济推算'!D82</f>
        <v>2640.6264000000006</v>
      </c>
      <c r="E90" s="2">
        <f>SUM('1、经济推算'!$I$3:I82)</f>
        <v>393.94703571283947</v>
      </c>
      <c r="F90" s="2">
        <f>体力消耗运算!E83</f>
        <v>287536</v>
      </c>
      <c r="G90" s="10"/>
      <c r="H90" s="2"/>
      <c r="I90" s="23"/>
      <c r="J90" s="2"/>
      <c r="K90" s="2"/>
      <c r="L90" s="2"/>
      <c r="M90" s="2"/>
      <c r="N90" s="2"/>
      <c r="O90" s="2"/>
      <c r="P90" s="2"/>
    </row>
    <row r="91" spans="3:16">
      <c r="C91" s="2">
        <v>81</v>
      </c>
      <c r="D91" s="2">
        <f>'1、经济推算'!D83</f>
        <v>2703.0264000000006</v>
      </c>
      <c r="E91" s="2">
        <f>SUM('1、经济推算'!$I$3:I83)</f>
        <v>433.65911627886766</v>
      </c>
      <c r="F91" s="2">
        <f>体力消耗运算!E84</f>
        <v>301001</v>
      </c>
      <c r="G91" s="10"/>
      <c r="H91" s="2"/>
      <c r="I91" s="23"/>
      <c r="J91" s="2"/>
      <c r="K91" s="2"/>
      <c r="L91" s="2"/>
      <c r="M91" s="2"/>
      <c r="N91" s="2"/>
      <c r="O91" s="2"/>
      <c r="P91" s="2"/>
    </row>
    <row r="92" spans="3:16">
      <c r="C92" s="2">
        <v>82</v>
      </c>
      <c r="D92" s="2">
        <f>'1、经济推算'!D84</f>
        <v>2765.4264000000003</v>
      </c>
      <c r="E92" s="2">
        <f>SUM('1、经济推算'!$I$3:I84)</f>
        <v>477.37254891198234</v>
      </c>
      <c r="F92" s="2">
        <f>体力消耗运算!E85</f>
        <v>314930</v>
      </c>
      <c r="G92" s="10"/>
      <c r="H92" s="2"/>
      <c r="I92" s="23"/>
      <c r="J92" s="2"/>
      <c r="K92" s="2"/>
      <c r="L92" s="2"/>
      <c r="M92" s="2"/>
      <c r="N92" s="2"/>
      <c r="O92" s="2"/>
      <c r="P92" s="2"/>
    </row>
    <row r="93" spans="3:16">
      <c r="C93" s="2">
        <v>83</v>
      </c>
      <c r="D93" s="2">
        <f>'1、经济推算'!D85</f>
        <v>2827.8264000000008</v>
      </c>
      <c r="E93" s="2">
        <f>SUM('1、经济推算'!$I$3:I85)</f>
        <v>525.49050610117354</v>
      </c>
      <c r="F93" s="2">
        <f>体力消耗运算!E86</f>
        <v>329334</v>
      </c>
      <c r="G93" s="10"/>
      <c r="H93" s="2"/>
      <c r="I93" s="23"/>
      <c r="J93" s="2"/>
      <c r="K93" s="2"/>
      <c r="L93" s="2"/>
      <c r="M93" s="2"/>
      <c r="N93" s="2"/>
      <c r="O93" s="2"/>
      <c r="P93" s="2"/>
    </row>
    <row r="94" spans="3:16">
      <c r="C94" s="2">
        <v>84</v>
      </c>
      <c r="D94" s="2">
        <f>'1、经济推算'!D86</f>
        <v>2890.2264000000005</v>
      </c>
      <c r="E94" s="2">
        <f>SUM('1、经济推算'!$I$3:I86)</f>
        <v>578.45678361804994</v>
      </c>
      <c r="F94" s="2">
        <f>体力消耗运算!E87</f>
        <v>344223</v>
      </c>
      <c r="G94" s="10"/>
      <c r="H94" s="2"/>
      <c r="I94" s="23"/>
      <c r="J94" s="2"/>
      <c r="K94" s="2"/>
      <c r="L94" s="2"/>
      <c r="M94" s="2"/>
      <c r="N94" s="2"/>
      <c r="O94" s="2"/>
      <c r="P94" s="2"/>
    </row>
    <row r="95" spans="3:16">
      <c r="C95" s="2">
        <v>85</v>
      </c>
      <c r="D95" s="2">
        <f>'1、经济推算'!D87</f>
        <v>2952.6264000000006</v>
      </c>
      <c r="E95" s="2">
        <f>SUM('1、经济推算'!$I$3:I87)</f>
        <v>636.75989368077217</v>
      </c>
      <c r="F95" s="2">
        <f>体力消耗运算!E88</f>
        <v>359608</v>
      </c>
      <c r="G95" s="10"/>
      <c r="H95" s="2"/>
      <c r="I95" s="23"/>
      <c r="J95" s="2"/>
      <c r="K95" s="2"/>
      <c r="L95" s="2"/>
      <c r="M95" s="2"/>
      <c r="N95" s="2"/>
      <c r="O95" s="2"/>
      <c r="P95" s="2"/>
    </row>
    <row r="96" spans="3:16">
      <c r="C96" s="2">
        <v>86</v>
      </c>
      <c r="D96" s="2">
        <f>'1、经济推算'!D88</f>
        <v>3015.0264000000006</v>
      </c>
      <c r="E96" s="2">
        <f>SUM('1、经济推算'!$I$3:I88)</f>
        <v>700.93757054135222</v>
      </c>
      <c r="F96" s="2">
        <f>体力消耗运算!E89</f>
        <v>375500</v>
      </c>
      <c r="G96" s="10"/>
      <c r="H96" s="2"/>
      <c r="I96" s="23"/>
      <c r="J96" s="2"/>
      <c r="K96" s="2"/>
      <c r="L96" s="2"/>
      <c r="M96" s="2"/>
      <c r="N96" s="2"/>
      <c r="O96" s="2"/>
      <c r="P96" s="2"/>
    </row>
    <row r="97" spans="3:16">
      <c r="C97" s="2">
        <v>87</v>
      </c>
      <c r="D97" s="2">
        <f>'1、经济推算'!D89</f>
        <v>3077.4263999999994</v>
      </c>
      <c r="E97" s="2">
        <f>SUM('1、经济推算'!$I$3:I89)</f>
        <v>771.58173005171238</v>
      </c>
      <c r="F97" s="2">
        <f>体力消耗运算!E90</f>
        <v>391909</v>
      </c>
      <c r="G97" s="10"/>
      <c r="H97" s="2"/>
      <c r="I97" s="23"/>
      <c r="J97" s="2"/>
      <c r="K97" s="2"/>
      <c r="L97" s="2"/>
      <c r="M97" s="2"/>
      <c r="N97" s="2"/>
      <c r="O97" s="2"/>
      <c r="P97" s="2"/>
    </row>
    <row r="98" spans="3:16">
      <c r="C98" s="2">
        <v>88</v>
      </c>
      <c r="D98" s="2">
        <f>'1、经济推算'!D90</f>
        <v>3139.826399999999</v>
      </c>
      <c r="E98" s="2">
        <f>SUM('1、经济推算'!$I$3:I90)</f>
        <v>849.34392895097778</v>
      </c>
      <c r="F98" s="2">
        <f>体力消耗运算!E91</f>
        <v>408848</v>
      </c>
      <c r="G98" s="10"/>
      <c r="H98" s="2"/>
      <c r="I98" s="23"/>
      <c r="J98" s="2"/>
      <c r="K98" s="2"/>
      <c r="L98" s="2"/>
      <c r="M98" s="2"/>
      <c r="N98" s="2"/>
      <c r="O98" s="2"/>
      <c r="P98" s="2"/>
    </row>
    <row r="99" spans="3:16">
      <c r="C99" s="2">
        <v>89</v>
      </c>
      <c r="D99" s="2">
        <f>'1、经济推算'!D91</f>
        <v>3202.2263999999996</v>
      </c>
      <c r="E99" s="2">
        <f>SUM('1、经济推算'!$I$3:I91)</f>
        <v>934.94137422544668</v>
      </c>
      <c r="F99" s="2">
        <f>体力消耗运算!E92</f>
        <v>426327</v>
      </c>
      <c r="G99" s="10"/>
      <c r="H99" s="2"/>
      <c r="I99" s="23"/>
      <c r="J99" s="2"/>
      <c r="K99" s="2"/>
      <c r="L99" s="2"/>
      <c r="M99" s="2"/>
      <c r="N99" s="2"/>
      <c r="O99" s="2"/>
      <c r="P99" s="2"/>
    </row>
    <row r="100" spans="3:16">
      <c r="C100" s="2">
        <v>90</v>
      </c>
      <c r="D100" s="2">
        <f>'1、经济推算'!D92</f>
        <v>3264.6263999999987</v>
      </c>
      <c r="E100" s="2">
        <f>SUM('1、经济推算'!$I$3:I92)</f>
        <v>1029.163537966047</v>
      </c>
      <c r="F100" s="2">
        <f>体力消耗运算!E93</f>
        <v>444356</v>
      </c>
      <c r="G100" s="10"/>
      <c r="H100" s="2"/>
      <c r="I100" s="23"/>
      <c r="J100" s="2"/>
      <c r="K100" s="2"/>
      <c r="L100" s="2"/>
      <c r="M100" s="2"/>
      <c r="N100" s="2"/>
      <c r="O100" s="2"/>
      <c r="P100" s="2"/>
    </row>
    <row r="101" spans="3:16">
      <c r="C101" s="2">
        <v>91</v>
      </c>
      <c r="D101" s="2">
        <f>'1、经济推算'!D93</f>
        <v>3327.0263999999984</v>
      </c>
      <c r="E101" s="2">
        <f>SUM('1、经济推算'!$I$3:I93)</f>
        <v>1132.8794387326375</v>
      </c>
      <c r="F101" s="2">
        <f>体力消耗运算!E94</f>
        <v>462949</v>
      </c>
      <c r="G101" s="10"/>
      <c r="H101" s="2"/>
      <c r="I101" s="23"/>
      <c r="J101" s="2"/>
      <c r="K101" s="2"/>
      <c r="L101" s="2"/>
      <c r="M101" s="2"/>
      <c r="N101" s="2"/>
      <c r="O101" s="2"/>
      <c r="P101" s="2"/>
    </row>
    <row r="102" spans="3:16">
      <c r="C102" s="2">
        <v>92</v>
      </c>
      <c r="D102" s="2">
        <f>'1、经济推算'!D94</f>
        <v>3389.4263999999985</v>
      </c>
      <c r="E102" s="2">
        <f>SUM('1、经济推算'!$I$3:I94)</f>
        <v>1247.0456565817622</v>
      </c>
      <c r="F102" s="2">
        <f>体力消耗运算!E95</f>
        <v>482115</v>
      </c>
      <c r="G102" s="10"/>
      <c r="H102" s="2"/>
      <c r="I102" s="23"/>
      <c r="J102" s="2"/>
      <c r="K102" s="2"/>
      <c r="L102" s="2"/>
      <c r="M102" s="2"/>
      <c r="N102" s="2"/>
      <c r="O102" s="2"/>
      <c r="P102" s="2"/>
    </row>
    <row r="103" spans="3:16">
      <c r="C103" s="2">
        <v>93</v>
      </c>
      <c r="D103" s="2">
        <f>'1、经济推算'!D95</f>
        <v>3451.8263999999986</v>
      </c>
      <c r="E103" s="2">
        <f>SUM('1、经济推算'!$I$3:I95)</f>
        <v>1372.7151556810973</v>
      </c>
      <c r="F103" s="2">
        <f>体力消耗运算!E96</f>
        <v>501867</v>
      </c>
      <c r="G103" s="10"/>
      <c r="H103" s="2"/>
      <c r="I103" s="23"/>
      <c r="J103" s="2"/>
      <c r="K103" s="2"/>
      <c r="L103" s="2"/>
      <c r="M103" s="2"/>
      <c r="N103" s="2"/>
      <c r="O103" s="2"/>
      <c r="P103" s="2"/>
    </row>
    <row r="104" spans="3:16">
      <c r="C104" s="2">
        <v>94</v>
      </c>
      <c r="D104" s="2">
        <f>'1、经济推算'!D96</f>
        <v>3514.2263999999986</v>
      </c>
      <c r="E104" s="2">
        <f>SUM('1、经济推算'!$I$3:I96)</f>
        <v>1511.0469958822737</v>
      </c>
      <c r="F104" s="2">
        <f>体力消耗运算!E97</f>
        <v>522217</v>
      </c>
      <c r="G104" s="10"/>
      <c r="H104" s="2"/>
      <c r="I104" s="23"/>
      <c r="J104" s="2"/>
      <c r="K104" s="2"/>
      <c r="L104" s="2"/>
      <c r="M104" s="2"/>
      <c r="N104" s="2"/>
      <c r="O104" s="2"/>
      <c r="P104" s="2"/>
    </row>
    <row r="105" spans="3:16">
      <c r="C105" s="2">
        <v>95</v>
      </c>
      <c r="D105" s="2">
        <f>'1、经济推算'!D97</f>
        <v>3576.6263999999983</v>
      </c>
      <c r="E105" s="2">
        <f>SUM('1、经济推算'!$I$3:I97)</f>
        <v>1663.3170228226852</v>
      </c>
      <c r="F105" s="2">
        <f>体力消耗运算!E98</f>
        <v>543176</v>
      </c>
      <c r="G105" s="10"/>
      <c r="H105" s="2"/>
      <c r="I105" s="23"/>
      <c r="J105" s="2"/>
      <c r="K105" s="2"/>
      <c r="L105" s="2"/>
      <c r="M105" s="2"/>
      <c r="N105" s="2"/>
      <c r="O105" s="2"/>
      <c r="P105" s="2"/>
    </row>
    <row r="106" spans="3:16">
      <c r="C106" s="2">
        <v>96</v>
      </c>
      <c r="D106" s="2">
        <f>'1、经济推算'!D98</f>
        <v>3639.0263999999979</v>
      </c>
      <c r="E106" s="2">
        <f>SUM('1、经济推算'!$I$3:I98)</f>
        <v>1830.9296351519506</v>
      </c>
      <c r="F106" s="2">
        <f>体力消耗运算!E99</f>
        <v>564756</v>
      </c>
      <c r="G106" s="10"/>
      <c r="H106" s="2"/>
      <c r="I106" s="23"/>
      <c r="J106" s="2"/>
      <c r="K106" s="2"/>
      <c r="L106" s="2"/>
      <c r="M106" s="2"/>
      <c r="N106" s="2"/>
      <c r="O106" s="2"/>
      <c r="P106" s="2"/>
    </row>
    <row r="107" spans="3:16">
      <c r="C107" s="2">
        <v>97</v>
      </c>
      <c r="D107" s="2">
        <f>'1、经济推算'!D99</f>
        <v>3701.4263999999976</v>
      </c>
      <c r="E107" s="2">
        <f>SUM('1、经济推算'!$I$3:I99)</f>
        <v>2015.4307374130981</v>
      </c>
      <c r="F107" s="2">
        <f>体力消耗运算!E100</f>
        <v>586970</v>
      </c>
      <c r="G107" s="10"/>
      <c r="H107" s="2"/>
      <c r="I107" s="23"/>
      <c r="J107" s="2"/>
      <c r="K107" s="2"/>
      <c r="L107" s="2"/>
      <c r="M107" s="2"/>
      <c r="N107" s="2"/>
      <c r="O107" s="2"/>
      <c r="P107" s="2"/>
    </row>
    <row r="108" spans="3:16">
      <c r="C108" s="2">
        <v>98</v>
      </c>
      <c r="D108" s="2">
        <f>'1、经济推算'!D100</f>
        <v>3763.8263999999967</v>
      </c>
      <c r="E108" s="2">
        <f>SUM('1、经济推算'!$I$3:I100)</f>
        <v>2218.521998043936</v>
      </c>
      <c r="F108" s="2">
        <f>体力消耗运算!E101</f>
        <v>609829</v>
      </c>
      <c r="G108" s="10"/>
      <c r="H108" s="2"/>
      <c r="I108" s="23"/>
      <c r="J108" s="2"/>
      <c r="K108" s="2"/>
      <c r="L108" s="2"/>
      <c r="M108" s="2"/>
      <c r="N108" s="2"/>
      <c r="O108" s="2"/>
      <c r="P108" s="2"/>
    </row>
    <row r="109" spans="3:16">
      <c r="C109" s="2">
        <v>99</v>
      </c>
      <c r="D109" s="2">
        <f>'1、经济推算'!D101</f>
        <v>3826.2263999999968</v>
      </c>
      <c r="E109" s="2">
        <f>SUM('1、经济推算'!$I$3:I101)</f>
        <v>2442.0765440012947</v>
      </c>
      <c r="F109" s="2">
        <f>体力消耗运算!E102</f>
        <v>633345</v>
      </c>
      <c r="G109" s="10"/>
      <c r="H109" s="2"/>
      <c r="I109" s="23"/>
      <c r="J109" s="2"/>
      <c r="K109" s="2"/>
      <c r="L109" s="2"/>
      <c r="M109" s="2"/>
      <c r="N109" s="2"/>
      <c r="O109" s="2"/>
      <c r="P109" s="2"/>
    </row>
    <row r="110" spans="3:16">
      <c r="C110" s="2">
        <v>100</v>
      </c>
      <c r="D110" s="2">
        <f>'1、经济推算'!D102</f>
        <v>3888.6263999999974</v>
      </c>
      <c r="E110" s="2">
        <f>SUM('1、经济推算'!$I$3:I102)</f>
        <v>2688.1562367609158</v>
      </c>
      <c r="F110" s="2">
        <f>体力消耗运算!E103</f>
        <v>657533</v>
      </c>
      <c r="G110" s="10"/>
      <c r="H110" s="2"/>
      <c r="I110" s="23"/>
      <c r="J110" s="2"/>
      <c r="K110" s="2"/>
      <c r="L110" s="2"/>
      <c r="M110" s="2"/>
      <c r="N110" s="2"/>
      <c r="O110" s="2"/>
      <c r="P110" s="2"/>
    </row>
    <row r="111" spans="3:16">
      <c r="C111" s="2"/>
      <c r="D111" s="2"/>
      <c r="E111" s="2"/>
      <c r="F111" s="2"/>
      <c r="G111" s="10"/>
      <c r="H111" s="2"/>
      <c r="I111" s="23"/>
      <c r="J111" s="2"/>
      <c r="K111" s="2"/>
      <c r="L111" s="2"/>
      <c r="M111" s="2"/>
      <c r="N111" s="2"/>
      <c r="O111" s="2"/>
      <c r="P111" s="2"/>
    </row>
  </sheetData>
  <mergeCells count="1">
    <mergeCell ref="N4:O4"/>
  </mergeCells>
  <phoneticPr fontId="1" type="noConversion"/>
  <conditionalFormatting sqref="C11:C19 C41:C110 C21:C39 D43:E110 D35:D42 E13:E110 D11 F11:F110">
    <cfRule type="expression" dxfId="32" priority="10">
      <formula>MOD($D11,10)=0</formula>
    </cfRule>
  </conditionalFormatting>
  <conditionalFormatting sqref="D12:E34">
    <cfRule type="expression" dxfId="31" priority="9">
      <formula>MOD($D12,10)=0</formula>
    </cfRule>
  </conditionalFormatting>
  <conditionalFormatting sqref="C40">
    <cfRule type="expression" dxfId="30" priority="7">
      <formula>MOD($D40,10)=0</formula>
    </cfRule>
  </conditionalFormatting>
  <conditionalFormatting sqref="C35:D42 C11:D11 C43:G111 F36:G38 C12:G34 F41:G42 F11 H24:P111 H11:I23 K11:P23 E12:F110">
    <cfRule type="expression" dxfId="29" priority="6">
      <formula>MOD($C11,10)=0</formula>
    </cfRule>
  </conditionalFormatting>
  <conditionalFormatting sqref="E12:E110">
    <cfRule type="expression" dxfId="28" priority="5">
      <formula>MOD($D12,10)=0</formula>
    </cfRule>
  </conditionalFormatting>
  <conditionalFormatting sqref="G40">
    <cfRule type="expression" dxfId="27" priority="3">
      <formula>MOD($D40,10)=0</formula>
    </cfRule>
  </conditionalFormatting>
  <conditionalFormatting sqref="G40">
    <cfRule type="expression" dxfId="26" priority="2">
      <formula>MOD($C40,10)=0</formula>
    </cfRule>
  </conditionalFormatting>
  <conditionalFormatting sqref="G111:P111">
    <cfRule type="iconSet" priority="25">
      <iconSet iconSet="3Symbols2" showValue="0">
        <cfvo type="percent" val="0"/>
        <cfvo type="percent" val="2"/>
        <cfvo type="percent" val="3"/>
      </iconSet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BP108"/>
  <sheetViews>
    <sheetView workbookViewId="0">
      <selection activeCell="A22" sqref="A22"/>
    </sheetView>
  </sheetViews>
  <sheetFormatPr defaultRowHeight="13.5"/>
  <cols>
    <col min="2" max="2" width="22.25" customWidth="1"/>
    <col min="3" max="3" width="12.75" customWidth="1"/>
    <col min="4" max="4" width="13.5" customWidth="1"/>
    <col min="5" max="5" width="8.875" customWidth="1"/>
    <col min="6" max="6" width="13.875" customWidth="1"/>
    <col min="7" max="7" width="17.125" customWidth="1"/>
    <col min="8" max="8" width="16.75" customWidth="1"/>
    <col min="9" max="9" width="8.875" customWidth="1"/>
    <col min="10" max="10" width="23.75" customWidth="1"/>
    <col min="11" max="12" width="18.375" bestFit="1" customWidth="1"/>
    <col min="13" max="13" width="0" hidden="1" customWidth="1"/>
    <col min="14" max="14" width="14.875" hidden="1" customWidth="1"/>
    <col min="15" max="17" width="16.125" hidden="1" customWidth="1"/>
    <col min="18" max="19" width="15.75" hidden="1" customWidth="1"/>
    <col min="20" max="20" width="15.75" customWidth="1"/>
    <col min="21" max="21" width="10.5" customWidth="1"/>
    <col min="22" max="22" width="11.625" bestFit="1" customWidth="1"/>
    <col min="23" max="28" width="16.125" bestFit="1" customWidth="1"/>
    <col min="31" max="31" width="15.125" bestFit="1" customWidth="1"/>
    <col min="49" max="49" width="11" bestFit="1" customWidth="1"/>
  </cols>
  <sheetData>
    <row r="1" spans="2:68">
      <c r="C1" t="s">
        <v>215</v>
      </c>
      <c r="E1" s="44">
        <f>'[5]价值&amp;消耗'!J109</f>
        <v>0</v>
      </c>
      <c r="F1" s="45" t="str">
        <f>'[5]价值&amp;消耗'!K109</f>
        <v>6045</v>
      </c>
      <c r="G1" s="45">
        <f>'[5]价值&amp;消耗'!L109</f>
        <v>4</v>
      </c>
      <c r="H1" s="46" t="s">
        <v>189</v>
      </c>
      <c r="I1" s="44">
        <f>'[5]价值&amp;消耗'!X110</f>
        <v>0</v>
      </c>
      <c r="J1" s="45" t="str">
        <f>'[5]价值&amp;消耗'!Y110</f>
        <v>6044</v>
      </c>
      <c r="K1" s="45">
        <f>'[5]价值&amp;消耗'!Z110</f>
        <v>4</v>
      </c>
      <c r="L1" s="45" t="s">
        <v>189</v>
      </c>
      <c r="M1" s="44">
        <f>'[5]价值&amp;消耗'!X114</f>
        <v>0</v>
      </c>
      <c r="N1" s="45" t="str">
        <f>'[5]价值&amp;消耗'!Y114</f>
        <v>7012</v>
      </c>
      <c r="O1" s="45">
        <f>'[5]价值&amp;消耗'!Z114</f>
        <v>1</v>
      </c>
      <c r="P1" s="46" t="s">
        <v>189</v>
      </c>
      <c r="W1">
        <f>'[5]价值&amp;消耗'!X114</f>
        <v>0</v>
      </c>
      <c r="X1" t="str">
        <f>'[5]价值&amp;消耗'!Y114</f>
        <v>7012</v>
      </c>
      <c r="Y1">
        <f>'[5]价值&amp;消耗'!Z114</f>
        <v>1</v>
      </c>
      <c r="Z1">
        <f>'[5]价值&amp;消耗'!AA114</f>
        <v>70</v>
      </c>
      <c r="AF1" t="s">
        <v>559</v>
      </c>
      <c r="AG1" t="s">
        <v>560</v>
      </c>
      <c r="AH1" t="str">
        <f>[5]D_装备升级表!W15</f>
        <v>总估值</v>
      </c>
      <c r="AI1" t="str">
        <f>[5]D_装备升级表!X15</f>
        <v>金币价值</v>
      </c>
      <c r="AJ1" t="str">
        <f>[5]D_装备升级表!Y15</f>
        <v>钻石价值</v>
      </c>
      <c r="AK1" t="str">
        <f>[5]D_装备升级表!Z15</f>
        <v>稀有度</v>
      </c>
      <c r="AL1" t="s">
        <v>601</v>
      </c>
      <c r="AM1" t="str">
        <f>[5]D_装备升级表!AB15</f>
        <v>总值</v>
      </c>
      <c r="AN1" t="s">
        <v>564</v>
      </c>
      <c r="AW1" t="s">
        <v>1176</v>
      </c>
      <c r="AX1" t="s">
        <v>1150</v>
      </c>
      <c r="AY1" t="s">
        <v>1138</v>
      </c>
      <c r="AZ1" t="s">
        <v>1139</v>
      </c>
      <c r="BA1" t="s">
        <v>1144</v>
      </c>
      <c r="BB1" t="s">
        <v>1140</v>
      </c>
      <c r="BC1" t="s">
        <v>1141</v>
      </c>
      <c r="BD1" t="s">
        <v>1181</v>
      </c>
    </row>
    <row r="2" spans="2:68">
      <c r="C2">
        <f>G7/50</f>
        <v>1.0752688172043012E-4</v>
      </c>
      <c r="E2" s="47">
        <f>'[5]价值&amp;消耗'!J110</f>
        <v>0</v>
      </c>
      <c r="F2" s="17" t="str">
        <f>'[5]价值&amp;消耗'!K110</f>
        <v>6044</v>
      </c>
      <c r="G2" s="17">
        <f>'[5]价值&amp;消耗'!L110</f>
        <v>4</v>
      </c>
      <c r="H2" s="48">
        <f>'[5]价值&amp;消耗'!M110</f>
        <v>60</v>
      </c>
      <c r="I2" s="47">
        <f>'[5]价值&amp;消耗'!X111</f>
        <v>3204355</v>
      </c>
      <c r="J2" s="17" t="str">
        <f>'[5]价值&amp;消耗'!Y111</f>
        <v>6043</v>
      </c>
      <c r="K2" s="17">
        <f>'[5]价值&amp;消耗'!Z111</f>
        <v>4</v>
      </c>
      <c r="L2" s="17">
        <f>'[5]价值&amp;消耗'!AA111</f>
        <v>60</v>
      </c>
      <c r="M2" s="2">
        <f>[10]D_道具表!$A$101</f>
        <v>80610</v>
      </c>
      <c r="N2" s="2" t="s">
        <v>211</v>
      </c>
      <c r="O2" s="2">
        <f>'[5]价值&amp;消耗'!Z115</f>
        <v>1</v>
      </c>
      <c r="P2" s="2">
        <f>'[5]价值&amp;消耗'!AA115</f>
        <v>70</v>
      </c>
      <c r="Q2">
        <f t="shared" ref="Q2:Q7" si="0">P2/$G$6</f>
        <v>0.37634408602150538</v>
      </c>
      <c r="W2">
        <f>'[5]价值&amp;消耗'!X115</f>
        <v>0</v>
      </c>
      <c r="X2" t="str">
        <f>'[5]价值&amp;消耗'!Y115</f>
        <v>7015</v>
      </c>
      <c r="Y2">
        <f>'[5]价值&amp;消耗'!Z115</f>
        <v>1</v>
      </c>
      <c r="Z2">
        <f>'[5]价值&amp;消耗'!AA115</f>
        <v>70</v>
      </c>
      <c r="AA2">
        <f t="shared" ref="AA2:AA7" si="1">Z2/$G$6</f>
        <v>0.37634408602150538</v>
      </c>
      <c r="AD2">
        <f>[5]D_装备升级表!U3</f>
        <v>85200</v>
      </c>
      <c r="AE2" t="s">
        <v>665</v>
      </c>
      <c r="AF2">
        <f ca="1">[5]D_装备升级表!V16</f>
        <v>2019.7074124618819</v>
      </c>
      <c r="AG2">
        <f ca="1">AF2/$G$6</f>
        <v>10.858642002483236</v>
      </c>
      <c r="AH2">
        <f>[5]D_装备升级表!W16</f>
        <v>0</v>
      </c>
      <c r="AI2">
        <f>[5]D_装备升级表!X16</f>
        <v>0</v>
      </c>
      <c r="AJ2">
        <f>[5]D_装备升级表!Y16</f>
        <v>10</v>
      </c>
      <c r="AK2">
        <f>[5]D_装备升级表!Z16</f>
        <v>0</v>
      </c>
      <c r="AL2" t="s">
        <v>666</v>
      </c>
      <c r="AM2">
        <f ca="1">[5]D_装备升级表!AB16</f>
        <v>20197.074124618819</v>
      </c>
      <c r="AN2">
        <v>30</v>
      </c>
      <c r="AW2" t="s">
        <v>1177</v>
      </c>
      <c r="AX2">
        <v>70101</v>
      </c>
      <c r="AY2">
        <f>'[5]价值&amp;消耗'!$Y169</f>
        <v>8916.6666666666679</v>
      </c>
      <c r="AZ2">
        <f>AY2/'0、经济设定'!$C$31</f>
        <v>47.939068100358426</v>
      </c>
      <c r="BA2">
        <f>BC2/'0、经济设定'!$C$20</f>
        <v>20</v>
      </c>
      <c r="BB2">
        <f>BC2*'0、经济设定'!$E$20</f>
        <v>1000</v>
      </c>
      <c r="BC2" s="114">
        <f>VLOOKUP(AX2,[0]!游戏物价查询,7,FALSE)</f>
        <v>2</v>
      </c>
      <c r="BD2">
        <f>BC2*'0、经济设定'!$E$24</f>
        <v>20</v>
      </c>
    </row>
    <row r="3" spans="2:68">
      <c r="C3" t="s">
        <v>216</v>
      </c>
      <c r="E3" s="47">
        <f>'[5]价值&amp;消耗'!J111</f>
        <v>13372924.08</v>
      </c>
      <c r="F3" s="17" t="str">
        <f>'[5]价值&amp;消耗'!K111</f>
        <v>6043</v>
      </c>
      <c r="G3" s="17">
        <f>'[5]价值&amp;消耗'!L111</f>
        <v>4</v>
      </c>
      <c r="H3" s="48">
        <f>'[5]价值&amp;消耗'!M111</f>
        <v>60</v>
      </c>
      <c r="I3" s="47">
        <f>'[5]价值&amp;消耗'!X112</f>
        <v>0</v>
      </c>
      <c r="J3" s="17" t="str">
        <f>'[5]价值&amp;消耗'!Y112</f>
        <v>7010</v>
      </c>
      <c r="K3" s="17">
        <f>'[5]价值&amp;消耗'!Z112</f>
        <v>1</v>
      </c>
      <c r="L3" s="17">
        <f>'[5]价值&amp;消耗'!AA112</f>
        <v>70</v>
      </c>
      <c r="M3" s="2">
        <f>[10]D_道具表!$A$102</f>
        <v>87300</v>
      </c>
      <c r="N3" s="2" t="s">
        <v>212</v>
      </c>
      <c r="O3" s="2">
        <f>'[5]价值&amp;消耗'!Z116</f>
        <v>1</v>
      </c>
      <c r="P3" s="2">
        <f>'[5]价值&amp;消耗'!AA116</f>
        <v>70</v>
      </c>
      <c r="Q3">
        <f t="shared" si="0"/>
        <v>0.37634408602150538</v>
      </c>
      <c r="W3">
        <f>'[5]价值&amp;消耗'!X116</f>
        <v>0</v>
      </c>
      <c r="X3" t="str">
        <f>'[5]价值&amp;消耗'!Y116</f>
        <v>7014</v>
      </c>
      <c r="Y3">
        <f>'[5]价值&amp;消耗'!Z116</f>
        <v>1</v>
      </c>
      <c r="Z3">
        <f>'[5]价值&amp;消耗'!AA116</f>
        <v>70</v>
      </c>
      <c r="AA3">
        <f t="shared" si="1"/>
        <v>0.37634408602150538</v>
      </c>
      <c r="AD3">
        <f>[5]D_装备升级表!U4</f>
        <v>85300</v>
      </c>
      <c r="AE3" t="s">
        <v>667</v>
      </c>
      <c r="AF3">
        <f ca="1">[5]D_装备升级表!V17</f>
        <v>1328.0447276882121</v>
      </c>
      <c r="AG3">
        <f ca="1">AF3/$G$6</f>
        <v>7.1400254176785598</v>
      </c>
      <c r="AH3">
        <f>[5]D_装备升级表!W17</f>
        <v>0</v>
      </c>
      <c r="AI3">
        <f>[5]D_装备升级表!X17</f>
        <v>0</v>
      </c>
      <c r="AJ3">
        <f>[5]D_装备升级表!Y17</f>
        <v>30</v>
      </c>
      <c r="AK3">
        <f>[5]D_装备升级表!Z17</f>
        <v>0</v>
      </c>
      <c r="AL3" t="str">
        <f>[5]D_装备升级表!AA17</f>
        <v>紫色</v>
      </c>
      <c r="AM3">
        <f ca="1">[5]D_装备升级表!AB17</f>
        <v>39841.341830646365</v>
      </c>
      <c r="AN3">
        <v>30</v>
      </c>
      <c r="AW3" t="s">
        <v>1178</v>
      </c>
      <c r="AX3">
        <v>70201</v>
      </c>
      <c r="AY3">
        <f>'[5]价值&amp;消耗'!$Y170</f>
        <v>1783.3333333333335</v>
      </c>
      <c r="AZ3">
        <f>AY3/'0、经济设定'!$C$31</f>
        <v>9.5878136200716852</v>
      </c>
      <c r="BA3">
        <f>BC3/'0、经济设定'!$C$20</f>
        <v>100</v>
      </c>
      <c r="BB3">
        <f>BC3*'0、经济设定'!$E$20</f>
        <v>5000</v>
      </c>
      <c r="BC3" s="114">
        <f>VLOOKUP(AX3,[0]!游戏物价查询,7,FALSE)</f>
        <v>10</v>
      </c>
      <c r="BD3">
        <f>BC3*'0、经济设定'!$E$24</f>
        <v>100</v>
      </c>
    </row>
    <row r="4" spans="2:68" ht="14.25" thickBot="1">
      <c r="C4">
        <f>C2/10</f>
        <v>1.0752688172043012E-5</v>
      </c>
      <c r="E4" s="49">
        <f>'[5]价值&amp;消耗'!J112</f>
        <v>0</v>
      </c>
      <c r="F4" s="50" t="str">
        <f>'[5]价值&amp;消耗'!K112</f>
        <v>7010</v>
      </c>
      <c r="G4" s="50">
        <f>'[5]价值&amp;消耗'!L112</f>
        <v>1</v>
      </c>
      <c r="H4" s="51">
        <f>'[5]价值&amp;消耗'!M112</f>
        <v>70</v>
      </c>
      <c r="I4" s="49">
        <f>'[5]价值&amp;消耗'!X113</f>
        <v>0</v>
      </c>
      <c r="J4" s="50" t="str">
        <f>'[5]价值&amp;消耗'!Y113</f>
        <v>7011</v>
      </c>
      <c r="K4" s="50">
        <f>'[5]价值&amp;消耗'!Z113</f>
        <v>1</v>
      </c>
      <c r="L4" s="50">
        <f>'[5]价值&amp;消耗'!AA113</f>
        <v>70</v>
      </c>
      <c r="M4" s="2">
        <f>[10]D_道具表!$A$103</f>
        <v>83300</v>
      </c>
      <c r="N4" s="2" t="s">
        <v>668</v>
      </c>
      <c r="O4" s="2">
        <f>'[5]价值&amp;消耗'!Z117</f>
        <v>1</v>
      </c>
      <c r="P4" s="2">
        <f>'[5]价值&amp;消耗'!AA117</f>
        <v>70</v>
      </c>
      <c r="Q4">
        <f t="shared" si="0"/>
        <v>0.37634408602150538</v>
      </c>
      <c r="W4">
        <f>'[5]价值&amp;消耗'!X117</f>
        <v>1042690</v>
      </c>
      <c r="X4" t="str">
        <f>'[5]价值&amp;消耗'!Y117</f>
        <v>7013</v>
      </c>
      <c r="Y4">
        <f>'[5]价值&amp;消耗'!Z117</f>
        <v>1</v>
      </c>
      <c r="Z4">
        <f>'[5]价值&amp;消耗'!AA117</f>
        <v>70</v>
      </c>
      <c r="AA4">
        <f t="shared" si="1"/>
        <v>0.37634408602150538</v>
      </c>
      <c r="AD4">
        <f>[5]D_装备升级表!U5</f>
        <v>85400</v>
      </c>
      <c r="AE4" t="s">
        <v>669</v>
      </c>
      <c r="AF4">
        <f ca="1">[5]D_装备升级表!V18</f>
        <v>1248.4901080620789</v>
      </c>
      <c r="AG4">
        <f ca="1">AF4/$G$6</f>
        <v>6.7123124089359081</v>
      </c>
      <c r="AH4">
        <f>[5]D_装备升级表!W18</f>
        <v>0</v>
      </c>
      <c r="AI4">
        <f>[5]D_装备升级表!X18</f>
        <v>0</v>
      </c>
      <c r="AJ4">
        <f>[5]D_装备升级表!Y18</f>
        <v>80</v>
      </c>
      <c r="AK4">
        <f>[5]D_装备升级表!Z18</f>
        <v>0</v>
      </c>
      <c r="AL4" t="str">
        <f>[5]D_装备升级表!AA18</f>
        <v>橙色</v>
      </c>
      <c r="AM4">
        <f ca="1">[5]D_装备升级表!AB18</f>
        <v>99879.208644966318</v>
      </c>
      <c r="AN4">
        <v>40</v>
      </c>
      <c r="AW4" t="s">
        <v>1179</v>
      </c>
      <c r="AX4">
        <v>70301</v>
      </c>
      <c r="AY4">
        <f>'[5]价值&amp;消耗'!$Y171</f>
        <v>356.66666666666669</v>
      </c>
      <c r="AZ4">
        <f>AY4/'0、经济设定'!$C$31</f>
        <v>1.9175627240143369</v>
      </c>
      <c r="BA4">
        <f>BC4/'0、经济设定'!$C$20</f>
        <v>500</v>
      </c>
      <c r="BB4">
        <f>BC4*'0、经济设定'!$E$20</f>
        <v>25000</v>
      </c>
      <c r="BC4" s="114">
        <f>VLOOKUP(AX4,[0]!游戏物价查询,7,FALSE)</f>
        <v>50</v>
      </c>
      <c r="BD4">
        <f>BC4*'0、经济设定'!$E$24</f>
        <v>500</v>
      </c>
    </row>
    <row r="5" spans="2:68">
      <c r="C5" t="s">
        <v>217</v>
      </c>
      <c r="F5" t="s">
        <v>219</v>
      </c>
      <c r="G5">
        <f>'[5]价值&amp;消耗'!$L$113</f>
        <v>1</v>
      </c>
      <c r="I5" t="s">
        <v>218</v>
      </c>
      <c r="J5" t="str">
        <f>'[5]价值&amp;消耗'!$Y$109</f>
        <v>6045</v>
      </c>
      <c r="M5" s="2">
        <f>[10]D_道具表!$A$105</f>
        <v>83302</v>
      </c>
      <c r="N5" s="2" t="s">
        <v>213</v>
      </c>
      <c r="O5" s="2">
        <f>'[5]价值&amp;消耗'!Z118</f>
        <v>2</v>
      </c>
      <c r="P5" s="2">
        <f>'[5]价值&amp;消耗'!AA118</f>
        <v>70</v>
      </c>
      <c r="Q5">
        <f t="shared" si="0"/>
        <v>0.37634408602150538</v>
      </c>
      <c r="W5">
        <f>'[5]价值&amp;消耗'!X118</f>
        <v>0</v>
      </c>
      <c r="X5" t="str">
        <f>'[5]价值&amp;消耗'!Y118</f>
        <v>7020</v>
      </c>
      <c r="Y5">
        <f>'[5]价值&amp;消耗'!Z118</f>
        <v>2</v>
      </c>
      <c r="Z5">
        <f>'[5]价值&amp;消耗'!AA118</f>
        <v>70</v>
      </c>
      <c r="AA5">
        <f t="shared" si="1"/>
        <v>0.37634408602150538</v>
      </c>
      <c r="AD5">
        <f>[5]D_装备升级表!U6</f>
        <v>85500</v>
      </c>
      <c r="AE5" t="s">
        <v>670</v>
      </c>
      <c r="AF5">
        <f ca="1">[5]D_装备升级表!V19</f>
        <v>1669.2910991566057</v>
      </c>
      <c r="AG5">
        <f ca="1">AF5/$G$6</f>
        <v>8.9746833287989549</v>
      </c>
      <c r="AH5">
        <f>[5]D_装备升级表!W19</f>
        <v>0</v>
      </c>
      <c r="AI5">
        <f>[5]D_装备升级表!X19</f>
        <v>0</v>
      </c>
      <c r="AJ5">
        <f>[5]D_装备升级表!Y19</f>
        <v>100</v>
      </c>
      <c r="AK5">
        <f>[5]D_装备升级表!Z19</f>
        <v>0</v>
      </c>
      <c r="AL5" t="s">
        <v>671</v>
      </c>
      <c r="AM5">
        <f ca="1">[5]D_装备升级表!AB19</f>
        <v>166929.10991566058</v>
      </c>
      <c r="AN5">
        <v>40</v>
      </c>
      <c r="AW5" t="s">
        <v>1180</v>
      </c>
      <c r="AX5">
        <v>70010</v>
      </c>
      <c r="AY5">
        <f>SUM('[5]价值&amp;消耗'!$Y$173:$Y$178)</f>
        <v>8690</v>
      </c>
      <c r="AZ5">
        <f>AY5/'0、经济设定'!$C$31</f>
        <v>46.72043010752688</v>
      </c>
      <c r="BA5">
        <f>BC5/'0、经济设定'!$C$20</f>
        <v>30</v>
      </c>
      <c r="BB5">
        <f>BC5*'0、经济设定'!$E$20</f>
        <v>1500</v>
      </c>
      <c r="BC5" s="114">
        <f>VLOOKUP(AX5,[0]!游戏物价查询,7,FALSE)</f>
        <v>3</v>
      </c>
      <c r="BD5">
        <f>BC5*'0、经济设定'!$E$24</f>
        <v>30</v>
      </c>
    </row>
    <row r="6" spans="2:68">
      <c r="C6">
        <f>C4/10</f>
        <v>1.0752688172043011E-6</v>
      </c>
      <c r="F6" t="s">
        <v>196</v>
      </c>
      <c r="G6">
        <f>6*31</f>
        <v>186</v>
      </c>
      <c r="I6" t="s">
        <v>214</v>
      </c>
      <c r="J6">
        <f>J5/G6</f>
        <v>32.5</v>
      </c>
      <c r="M6" s="2">
        <f>[10]D_道具表!$A$105</f>
        <v>83302</v>
      </c>
      <c r="N6" s="2" t="s">
        <v>672</v>
      </c>
      <c r="O6" s="2">
        <f>'[5]价值&amp;消耗'!Z119</f>
        <v>2</v>
      </c>
      <c r="P6" s="2">
        <f>'[5]价值&amp;消耗'!AA119</f>
        <v>70</v>
      </c>
      <c r="Q6">
        <f t="shared" si="0"/>
        <v>0.37634408602150538</v>
      </c>
      <c r="W6">
        <f>'[5]价值&amp;消耗'!X119</f>
        <v>0</v>
      </c>
      <c r="X6" t="str">
        <f>'[5]价值&amp;消耗'!Y119</f>
        <v>7021</v>
      </c>
      <c r="Y6">
        <f>'[5]价值&amp;消耗'!Z119</f>
        <v>2</v>
      </c>
      <c r="Z6">
        <f>'[5]价值&amp;消耗'!AA119</f>
        <v>70</v>
      </c>
      <c r="AA6">
        <f t="shared" si="1"/>
        <v>0.37634408602150538</v>
      </c>
    </row>
    <row r="7" spans="2:68">
      <c r="F7" t="s">
        <v>214</v>
      </c>
      <c r="G7">
        <f>G5/G6</f>
        <v>5.3763440860215058E-3</v>
      </c>
      <c r="J7" t="s">
        <v>222</v>
      </c>
      <c r="K7" t="s">
        <v>220</v>
      </c>
      <c r="L7" t="s">
        <v>221</v>
      </c>
      <c r="M7" s="2">
        <f>[10]D_道具表!$A$104</f>
        <v>83301</v>
      </c>
      <c r="N7" s="2" t="s">
        <v>673</v>
      </c>
      <c r="O7" s="2">
        <f>'[5]价值&amp;消耗'!Z120</f>
        <v>2</v>
      </c>
      <c r="P7" s="2">
        <f>'[5]价值&amp;消耗'!AA120</f>
        <v>70</v>
      </c>
      <c r="Q7">
        <f t="shared" si="0"/>
        <v>0.37634408602150538</v>
      </c>
      <c r="W7">
        <f>'[5]价值&amp;消耗'!X120</f>
        <v>0</v>
      </c>
      <c r="X7" t="str">
        <f>'[5]价值&amp;消耗'!Y120</f>
        <v>7022</v>
      </c>
      <c r="Y7">
        <f>'[5]价值&amp;消耗'!Z120</f>
        <v>2</v>
      </c>
      <c r="Z7">
        <f>'[5]价值&amp;消耗'!AA120</f>
        <v>70</v>
      </c>
      <c r="AA7">
        <f t="shared" si="1"/>
        <v>0.37634408602150538</v>
      </c>
      <c r="AW7" t="s">
        <v>1148</v>
      </c>
    </row>
    <row r="8" spans="2:68">
      <c r="J8">
        <f>J6/K2</f>
        <v>8.125</v>
      </c>
      <c r="K8">
        <f>J8/10</f>
        <v>0.8125</v>
      </c>
      <c r="L8">
        <f>K8/10</f>
        <v>8.1250000000000003E-2</v>
      </c>
      <c r="AE8" t="s">
        <v>554</v>
      </c>
      <c r="AW8" s="111" t="s">
        <v>1149</v>
      </c>
      <c r="AX8" s="111" t="s">
        <v>1150</v>
      </c>
      <c r="AY8" s="75" t="s">
        <v>56</v>
      </c>
      <c r="AZ8" s="75" t="s">
        <v>50</v>
      </c>
      <c r="BA8" s="75" t="s">
        <v>584</v>
      </c>
      <c r="BB8" s="75" t="s">
        <v>603</v>
      </c>
      <c r="BC8" s="75" t="s">
        <v>604</v>
      </c>
      <c r="BD8" s="75" t="s">
        <v>605</v>
      </c>
      <c r="BE8" s="75" t="s">
        <v>606</v>
      </c>
      <c r="BF8" s="75" t="s">
        <v>597</v>
      </c>
      <c r="BG8" s="75" t="s">
        <v>555</v>
      </c>
      <c r="BH8" s="75" t="s">
        <v>556</v>
      </c>
      <c r="BI8" s="75" t="s">
        <v>557</v>
      </c>
      <c r="BJ8" s="75" t="s">
        <v>558</v>
      </c>
      <c r="BK8" s="75" t="s">
        <v>598</v>
      </c>
      <c r="BL8" s="75" t="s">
        <v>607</v>
      </c>
      <c r="BM8" s="76" t="s">
        <v>1145</v>
      </c>
      <c r="BN8" s="76" t="s">
        <v>1146</v>
      </c>
      <c r="BO8" s="76" t="s">
        <v>1147</v>
      </c>
      <c r="BP8" s="76" t="s">
        <v>1151</v>
      </c>
    </row>
    <row r="9" spans="2:68">
      <c r="B9" s="2" t="s">
        <v>210</v>
      </c>
      <c r="C9" s="2" t="s">
        <v>209</v>
      </c>
      <c r="D9" s="2" t="str">
        <f>副本规划!D5</f>
        <v>天数</v>
      </c>
      <c r="E9" s="2" t="str">
        <f>副本规划!E5</f>
        <v>等级</v>
      </c>
      <c r="F9" s="2" t="str">
        <f>副本规划!F5</f>
        <v>普通关卡</v>
      </c>
      <c r="G9" s="36" t="s">
        <v>181</v>
      </c>
      <c r="H9" s="36" t="s">
        <v>182</v>
      </c>
      <c r="I9" s="2" t="s">
        <v>179</v>
      </c>
      <c r="J9" s="36" t="s">
        <v>184</v>
      </c>
      <c r="K9" s="36" t="s">
        <v>183</v>
      </c>
      <c r="L9" s="36" t="s">
        <v>185</v>
      </c>
      <c r="Q9" s="42" t="s">
        <v>193</v>
      </c>
      <c r="R9" s="42" t="s">
        <v>674</v>
      </c>
      <c r="S9" s="42" t="s">
        <v>191</v>
      </c>
      <c r="T9" s="41" t="s">
        <v>186</v>
      </c>
      <c r="U9" s="41" t="s">
        <v>187</v>
      </c>
      <c r="V9" s="41" t="s">
        <v>188</v>
      </c>
      <c r="W9" s="20" t="s">
        <v>211</v>
      </c>
      <c r="X9" s="20" t="s">
        <v>212</v>
      </c>
      <c r="Y9" s="20" t="s">
        <v>675</v>
      </c>
      <c r="Z9" s="20" t="s">
        <v>213</v>
      </c>
      <c r="AA9" s="20" t="s">
        <v>672</v>
      </c>
      <c r="AB9" s="20" t="s">
        <v>676</v>
      </c>
      <c r="AE9" s="79" t="s">
        <v>637</v>
      </c>
      <c r="AF9" s="79" t="s">
        <v>631</v>
      </c>
      <c r="AG9" s="79" t="s">
        <v>583</v>
      </c>
      <c r="AH9" s="79" t="s">
        <v>584</v>
      </c>
      <c r="AI9" s="79" t="s">
        <v>633</v>
      </c>
      <c r="AJ9" s="79" t="s">
        <v>632</v>
      </c>
      <c r="AK9" s="79" t="s">
        <v>635</v>
      </c>
      <c r="AL9" s="79" t="s">
        <v>634</v>
      </c>
      <c r="AM9" s="79" t="s">
        <v>597</v>
      </c>
      <c r="AN9" s="79" t="s">
        <v>555</v>
      </c>
      <c r="AO9" s="79" t="s">
        <v>556</v>
      </c>
      <c r="AP9" s="79" t="s">
        <v>557</v>
      </c>
      <c r="AQ9" s="79" t="s">
        <v>558</v>
      </c>
      <c r="AR9" s="79" t="s">
        <v>598</v>
      </c>
      <c r="AS9" s="79" t="s">
        <v>562</v>
      </c>
      <c r="AW9" s="2" t="s">
        <v>1177</v>
      </c>
      <c r="AX9" s="2">
        <v>70101</v>
      </c>
      <c r="AY9" s="111"/>
      <c r="AZ9" s="111"/>
      <c r="BA9" s="111"/>
      <c r="BB9" s="111"/>
      <c r="BC9" s="111"/>
      <c r="BD9" s="111"/>
      <c r="BE9" s="111"/>
      <c r="BF9" s="111"/>
      <c r="BG9" s="111"/>
      <c r="BH9" s="111"/>
      <c r="BI9" s="111"/>
      <c r="BJ9" s="111"/>
      <c r="BK9" s="111"/>
      <c r="BL9" s="111"/>
      <c r="BM9" s="111"/>
      <c r="BN9" s="111"/>
      <c r="BO9" s="111"/>
      <c r="BP9" s="2">
        <f>1-SUM(AY9:BO9)</f>
        <v>1</v>
      </c>
    </row>
    <row r="10" spans="2:68">
      <c r="B10" s="2"/>
      <c r="C10" s="2">
        <f>副本规划!G6</f>
        <v>0</v>
      </c>
      <c r="D10" s="2">
        <f>副本规划!D6</f>
        <v>1.8345984399899647E-2</v>
      </c>
      <c r="E10" s="2">
        <f>副本规划!E6</f>
        <v>1</v>
      </c>
      <c r="F10" s="2">
        <f>副本规划!F6</f>
        <v>0</v>
      </c>
      <c r="G10" s="2"/>
      <c r="H10" s="2"/>
      <c r="I10" s="2">
        <f>副本规划!I6</f>
        <v>0</v>
      </c>
      <c r="AD10">
        <f>[5]D_装备升级表!U3</f>
        <v>85200</v>
      </c>
      <c r="AE10" s="2" t="str">
        <f>AE2</f>
        <v>高级装备升级石</v>
      </c>
      <c r="AF10" s="2">
        <v>0.5</v>
      </c>
      <c r="AG10" s="2"/>
      <c r="AH10" s="2"/>
      <c r="AI10" s="2">
        <v>0.19500000000000001</v>
      </c>
      <c r="AJ10" s="2"/>
      <c r="AK10" s="2"/>
      <c r="AL10" s="2"/>
      <c r="AM10" s="2">
        <v>0.3</v>
      </c>
      <c r="AN10" s="2">
        <v>0.3</v>
      </c>
      <c r="AO10" s="2"/>
      <c r="AP10" s="2"/>
      <c r="AQ10" s="2">
        <v>0.2</v>
      </c>
      <c r="AR10" s="2"/>
      <c r="AS10" s="2">
        <f>1-SUM(AG10:AQ10)</f>
        <v>5.0000000000001155E-3</v>
      </c>
      <c r="AW10" s="2" t="s">
        <v>1178</v>
      </c>
      <c r="AX10" s="2">
        <v>70201</v>
      </c>
      <c r="AY10" s="111"/>
      <c r="AZ10" s="111"/>
      <c r="BA10" s="111"/>
      <c r="BB10" s="111"/>
      <c r="BC10" s="111"/>
      <c r="BD10" s="111">
        <v>0.1</v>
      </c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2">
        <f>1-SUM(AY10:BO10)</f>
        <v>0.9</v>
      </c>
    </row>
    <row r="11" spans="2:68">
      <c r="B11" s="2"/>
      <c r="C11" s="2">
        <f>副本规划!G7</f>
        <v>0</v>
      </c>
      <c r="D11" s="2">
        <f>副本规划!D7</f>
        <v>2.0194508616081675E-2</v>
      </c>
      <c r="E11" s="2">
        <f>副本规划!E7</f>
        <v>2</v>
      </c>
      <c r="F11" s="2">
        <f>副本规划!F7</f>
        <v>1</v>
      </c>
      <c r="G11" s="2"/>
      <c r="H11" s="2"/>
      <c r="I11" s="2">
        <f>副本规划!I7</f>
        <v>0</v>
      </c>
      <c r="AD11">
        <f>[5]D_装备升级表!U4</f>
        <v>85300</v>
      </c>
      <c r="AE11" s="2" t="str">
        <f>AE3</f>
        <v>稀有装备升级石</v>
      </c>
      <c r="AF11" s="2"/>
      <c r="AG11" s="2"/>
      <c r="AH11" s="2">
        <v>0.6</v>
      </c>
      <c r="AI11" s="2">
        <v>0.02</v>
      </c>
      <c r="AJ11" s="2"/>
      <c r="AK11" s="2">
        <v>0.05</v>
      </c>
      <c r="AL11" s="2"/>
      <c r="AM11" s="2">
        <v>0.03</v>
      </c>
      <c r="AN11" s="2">
        <v>0.15</v>
      </c>
      <c r="AO11" s="2"/>
      <c r="AP11" s="2">
        <v>0.05</v>
      </c>
      <c r="AQ11" s="2"/>
      <c r="AR11" s="2"/>
      <c r="AS11" s="2">
        <f>1-SUM(AG11:AQ11)</f>
        <v>9.9999999999999867E-2</v>
      </c>
      <c r="AW11" s="2" t="s">
        <v>1179</v>
      </c>
      <c r="AX11" s="2">
        <v>70301</v>
      </c>
      <c r="AY11" s="2"/>
      <c r="AZ11" s="2"/>
      <c r="BA11" s="2"/>
      <c r="BB11" s="2"/>
      <c r="BC11" s="2"/>
      <c r="BD11" s="2">
        <v>0.1</v>
      </c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>
        <f>1-SUM(AY11:BO11)</f>
        <v>0.9</v>
      </c>
    </row>
    <row r="12" spans="2:68">
      <c r="B12" s="2"/>
      <c r="C12" s="2">
        <f>副本规划!G8</f>
        <v>0</v>
      </c>
      <c r="D12" s="2">
        <f>副本规划!D8</f>
        <v>2.2229288402056412E-2</v>
      </c>
      <c r="E12" s="2">
        <f>副本规划!E8</f>
        <v>3</v>
      </c>
      <c r="F12" s="2">
        <f>副本规划!F8</f>
        <v>2</v>
      </c>
      <c r="G12" s="2"/>
      <c r="H12" s="2"/>
      <c r="I12" s="2">
        <f>副本规划!I8</f>
        <v>0</v>
      </c>
      <c r="AD12">
        <f>[5]D_装备升级表!U5</f>
        <v>85400</v>
      </c>
      <c r="AE12" s="2" t="str">
        <f>AE4</f>
        <v>史诗装备升级石</v>
      </c>
      <c r="AF12" s="2"/>
      <c r="AG12" s="2"/>
      <c r="AH12" s="2">
        <v>0.3</v>
      </c>
      <c r="AI12" s="2"/>
      <c r="AJ12" s="2"/>
      <c r="AK12" s="2">
        <v>0.08</v>
      </c>
      <c r="AL12" s="2"/>
      <c r="AM12" s="2"/>
      <c r="AN12" s="2"/>
      <c r="AO12" s="2"/>
      <c r="AP12" s="2">
        <v>0.03</v>
      </c>
      <c r="AQ12" s="2"/>
      <c r="AR12" s="2"/>
      <c r="AS12" s="2">
        <f>1-SUM(AG12:AQ12)</f>
        <v>0.59</v>
      </c>
      <c r="AW12" s="2" t="s">
        <v>1180</v>
      </c>
      <c r="AX12" s="2">
        <v>70010</v>
      </c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>
        <f>1-SUM(AY12:BO12)</f>
        <v>1</v>
      </c>
    </row>
    <row r="13" spans="2:68">
      <c r="B13" s="2"/>
      <c r="C13" s="2">
        <f>副本规划!G9</f>
        <v>0</v>
      </c>
      <c r="D13" s="2">
        <f>副本规划!D9</f>
        <v>2.4469090694699824E-2</v>
      </c>
      <c r="E13" s="2">
        <f>副本规划!E9</f>
        <v>4</v>
      </c>
      <c r="F13" s="2">
        <f>副本规划!F9</f>
        <v>3</v>
      </c>
      <c r="G13" s="2"/>
      <c r="H13" s="2"/>
      <c r="I13" s="2">
        <f>副本规划!I9</f>
        <v>0</v>
      </c>
      <c r="AD13">
        <f>[5]D_装备升级表!U6</f>
        <v>85500</v>
      </c>
      <c r="AE13" s="2" t="str">
        <f>AE5</f>
        <v>传说装备升级石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>
        <f>1-SUM(AG13:AQ13)</f>
        <v>1</v>
      </c>
    </row>
    <row r="14" spans="2:68" s="5" customFormat="1">
      <c r="B14" s="43"/>
      <c r="C14" s="2">
        <f>副本规划!G10</f>
        <v>0</v>
      </c>
      <c r="D14" s="43">
        <f>副本规划!D10</f>
        <v>2.6934573369881559E-2</v>
      </c>
      <c r="E14" s="43">
        <f>副本规划!E10</f>
        <v>5</v>
      </c>
      <c r="F14" s="2">
        <f>副本规划!F10</f>
        <v>4</v>
      </c>
      <c r="G14" s="43"/>
      <c r="H14" s="43"/>
      <c r="I14" s="2">
        <f>副本规划!I10</f>
        <v>0</v>
      </c>
      <c r="Q14" s="5">
        <f>SUM('[5]价值&amp;消耗'!F$4:F$9)</f>
        <v>46</v>
      </c>
      <c r="R14" s="5">
        <f>SUM('[5]价值&amp;消耗'!G$4:G$9)</f>
        <v>0</v>
      </c>
      <c r="S14" s="5">
        <f>SUM('[5]价值&amp;消耗'!H$4:H$9)</f>
        <v>0</v>
      </c>
      <c r="T14" s="5">
        <f>SUM('[5]价值&amp;消耗'!T$4:T$9)</f>
        <v>0</v>
      </c>
      <c r="U14" s="5">
        <f>SUM('[5]价值&amp;消耗'!U$4:U$9)</f>
        <v>0</v>
      </c>
      <c r="V14" s="5">
        <f>SUM('[5]价值&amp;消耗'!V$4:V$9)</f>
        <v>0</v>
      </c>
    </row>
    <row r="15" spans="2:68">
      <c r="B15" s="2"/>
      <c r="C15" s="2">
        <f>副本规划!G11</f>
        <v>0</v>
      </c>
      <c r="D15" s="2">
        <f>副本规划!D11</f>
        <v>2.9648475771707979E-2</v>
      </c>
      <c r="E15" s="2">
        <f>副本规划!E11</f>
        <v>6</v>
      </c>
      <c r="F15" s="2">
        <f>副本规划!F11</f>
        <v>5</v>
      </c>
      <c r="G15" s="2"/>
      <c r="H15" s="2"/>
      <c r="I15" s="2">
        <f>副本规划!I11</f>
        <v>0</v>
      </c>
    </row>
    <row r="16" spans="2:68">
      <c r="B16" s="2"/>
      <c r="C16" s="2">
        <f>副本规划!G12</f>
        <v>0</v>
      </c>
      <c r="D16" s="2">
        <f>副本规划!D12</f>
        <v>3.2635828439313432E-2</v>
      </c>
      <c r="E16" s="2">
        <f>副本规划!E12</f>
        <v>7</v>
      </c>
      <c r="F16" s="2">
        <f>副本规划!F12</f>
        <v>6</v>
      </c>
      <c r="G16" s="2"/>
      <c r="H16" s="2"/>
      <c r="I16" s="2">
        <f>副本规划!I12</f>
        <v>0</v>
      </c>
      <c r="AE16" t="s">
        <v>561</v>
      </c>
    </row>
    <row r="17" spans="2:68">
      <c r="B17" s="2"/>
      <c r="C17" s="2">
        <f>副本规划!G13</f>
        <v>0</v>
      </c>
      <c r="D17" s="2">
        <f>副本规划!D13</f>
        <v>3.5924183965526733E-2</v>
      </c>
      <c r="E17" s="2">
        <f>副本规划!E13</f>
        <v>8</v>
      </c>
      <c r="F17" s="2">
        <f>副本规划!F13</f>
        <v>7</v>
      </c>
      <c r="G17" s="2"/>
      <c r="H17" s="2"/>
      <c r="I17" s="2">
        <f>副本规划!I13</f>
        <v>0</v>
      </c>
      <c r="AE17" s="79" t="s">
        <v>637</v>
      </c>
      <c r="AF17" s="79" t="s">
        <v>631</v>
      </c>
      <c r="AG17" s="79" t="s">
        <v>583</v>
      </c>
      <c r="AH17" s="79" t="s">
        <v>584</v>
      </c>
      <c r="AI17" s="79" t="s">
        <v>633</v>
      </c>
      <c r="AJ17" s="79" t="s">
        <v>632</v>
      </c>
      <c r="AK17" s="79" t="s">
        <v>635</v>
      </c>
      <c r="AL17" s="79" t="s">
        <v>634</v>
      </c>
      <c r="AM17" s="79" t="s">
        <v>597</v>
      </c>
      <c r="AN17" s="79" t="s">
        <v>555</v>
      </c>
      <c r="AO17" s="79" t="s">
        <v>556</v>
      </c>
      <c r="AP17" s="79" t="s">
        <v>557</v>
      </c>
      <c r="AQ17" s="79" t="s">
        <v>558</v>
      </c>
      <c r="AR17" s="79" t="s">
        <v>598</v>
      </c>
      <c r="AS17" s="79" t="s">
        <v>562</v>
      </c>
      <c r="AW17" s="111" t="s">
        <v>1149</v>
      </c>
      <c r="AX17" s="111" t="s">
        <v>1150</v>
      </c>
      <c r="AY17" s="75" t="s">
        <v>56</v>
      </c>
      <c r="AZ17" s="75" t="s">
        <v>50</v>
      </c>
      <c r="BA17" s="75" t="s">
        <v>584</v>
      </c>
      <c r="BB17" s="75" t="s">
        <v>603</v>
      </c>
      <c r="BC17" s="75" t="s">
        <v>604</v>
      </c>
      <c r="BD17" s="75" t="s">
        <v>605</v>
      </c>
      <c r="BE17" s="75" t="s">
        <v>606</v>
      </c>
      <c r="BF17" s="75" t="s">
        <v>597</v>
      </c>
      <c r="BG17" s="75" t="s">
        <v>555</v>
      </c>
      <c r="BH17" s="75" t="s">
        <v>556</v>
      </c>
      <c r="BI17" s="75" t="s">
        <v>557</v>
      </c>
      <c r="BJ17" s="75" t="s">
        <v>558</v>
      </c>
      <c r="BK17" s="75" t="s">
        <v>598</v>
      </c>
      <c r="BL17" s="75" t="s">
        <v>607</v>
      </c>
      <c r="BM17" s="76" t="s">
        <v>1145</v>
      </c>
      <c r="BN17" s="76" t="s">
        <v>1146</v>
      </c>
      <c r="BO17" s="76" t="s">
        <v>1147</v>
      </c>
      <c r="BP17" s="76" t="s">
        <v>1151</v>
      </c>
    </row>
    <row r="18" spans="2:68">
      <c r="B18" s="2"/>
      <c r="C18" s="2">
        <f>副本规划!G14</f>
        <v>0</v>
      </c>
      <c r="D18" s="2">
        <f>副本规划!D14</f>
        <v>3.9543871116640705E-2</v>
      </c>
      <c r="E18" s="2">
        <f>副本规划!E14</f>
        <v>9</v>
      </c>
      <c r="F18" s="2">
        <f>副本规划!F14</f>
        <v>8</v>
      </c>
      <c r="G18" s="2"/>
      <c r="H18" s="2"/>
      <c r="I18" s="2">
        <f>副本规划!I14</f>
        <v>0</v>
      </c>
      <c r="AE18" s="2" t="str">
        <f>AE10</f>
        <v>高级装备升级石</v>
      </c>
      <c r="AF18" s="2">
        <f t="shared" ref="AF18:AR18" ca="1" si="2">AF10*$AG2</f>
        <v>5.4293210012416182</v>
      </c>
      <c r="AG18" s="2">
        <f t="shared" ca="1" si="2"/>
        <v>0</v>
      </c>
      <c r="AH18" s="2">
        <f t="shared" ca="1" si="2"/>
        <v>0</v>
      </c>
      <c r="AI18" s="2">
        <f t="shared" ca="1" si="2"/>
        <v>2.117435190484231</v>
      </c>
      <c r="AJ18" s="2">
        <f t="shared" ca="1" si="2"/>
        <v>0</v>
      </c>
      <c r="AK18" s="2">
        <f t="shared" ca="1" si="2"/>
        <v>0</v>
      </c>
      <c r="AL18" s="2">
        <f t="shared" ca="1" si="2"/>
        <v>0</v>
      </c>
      <c r="AM18" s="2">
        <f t="shared" ca="1" si="2"/>
        <v>3.2575926007449709</v>
      </c>
      <c r="AN18" s="2">
        <f t="shared" ca="1" si="2"/>
        <v>3.2575926007449709</v>
      </c>
      <c r="AO18" s="2">
        <f t="shared" ca="1" si="2"/>
        <v>0</v>
      </c>
      <c r="AP18" s="2">
        <f t="shared" ca="1" si="2"/>
        <v>0</v>
      </c>
      <c r="AQ18" s="2">
        <f t="shared" ca="1" si="2"/>
        <v>2.1717284004966473</v>
      </c>
      <c r="AR18" s="2">
        <f t="shared" ca="1" si="2"/>
        <v>0</v>
      </c>
      <c r="AS18" s="2">
        <f ca="1">AS10*$AG2</f>
        <v>5.4293210012417437E-2</v>
      </c>
      <c r="AW18" s="2" t="s">
        <v>1177</v>
      </c>
      <c r="AX18" s="2">
        <v>70101</v>
      </c>
      <c r="AY18" s="111"/>
      <c r="AZ18" s="111"/>
      <c r="BA18" s="111"/>
      <c r="BB18" s="111"/>
      <c r="BC18" s="111"/>
      <c r="BD18" s="111"/>
      <c r="BE18" s="111"/>
      <c r="BF18" s="111"/>
      <c r="BG18" s="111"/>
      <c r="BH18" s="111"/>
      <c r="BI18" s="111"/>
      <c r="BJ18" s="111"/>
      <c r="BK18" s="111"/>
      <c r="BL18" s="111"/>
      <c r="BM18" s="111"/>
      <c r="BN18" s="111"/>
      <c r="BO18" s="111"/>
      <c r="BP18" s="2"/>
    </row>
    <row r="19" spans="2:68">
      <c r="B19" s="2"/>
      <c r="C19" s="2">
        <f>副本规划!G15</f>
        <v>0</v>
      </c>
      <c r="D19" s="2">
        <f>副本规划!D15</f>
        <v>4.3528274557051966E-2</v>
      </c>
      <c r="E19" s="2">
        <f>副本规划!E15</f>
        <v>10</v>
      </c>
      <c r="F19" s="2">
        <f>副本规划!F15</f>
        <v>9</v>
      </c>
      <c r="G19" s="2"/>
      <c r="H19" s="2"/>
      <c r="I19" s="2">
        <f>副本规划!I15</f>
        <v>0</v>
      </c>
      <c r="AE19" s="2" t="str">
        <f>AE11</f>
        <v>稀有装备升级石</v>
      </c>
      <c r="AF19" s="2">
        <f t="shared" ref="AF19:AR19" ca="1" si="3">AF11*$AG3</f>
        <v>0</v>
      </c>
      <c r="AG19" s="2">
        <f t="shared" ca="1" si="3"/>
        <v>0</v>
      </c>
      <c r="AH19" s="2">
        <f t="shared" ca="1" si="3"/>
        <v>4.2840152506071361</v>
      </c>
      <c r="AI19" s="2">
        <f t="shared" ca="1" si="3"/>
        <v>0.14280050835357119</v>
      </c>
      <c r="AJ19" s="2">
        <f t="shared" ca="1" si="3"/>
        <v>0</v>
      </c>
      <c r="AK19" s="2">
        <f t="shared" ca="1" si="3"/>
        <v>0.35700127088392802</v>
      </c>
      <c r="AL19" s="2">
        <f t="shared" ca="1" si="3"/>
        <v>0</v>
      </c>
      <c r="AM19" s="2">
        <f t="shared" ca="1" si="3"/>
        <v>0.21420076253035678</v>
      </c>
      <c r="AN19" s="2">
        <f t="shared" ca="1" si="3"/>
        <v>1.071003812651784</v>
      </c>
      <c r="AO19" s="2">
        <f t="shared" ca="1" si="3"/>
        <v>0</v>
      </c>
      <c r="AP19" s="2">
        <f t="shared" ca="1" si="3"/>
        <v>0.35700127088392802</v>
      </c>
      <c r="AQ19" s="2">
        <f t="shared" ca="1" si="3"/>
        <v>0</v>
      </c>
      <c r="AR19" s="2">
        <f t="shared" ca="1" si="3"/>
        <v>0</v>
      </c>
      <c r="AS19" s="2">
        <f ca="1">AS11*$AG3</f>
        <v>0.71400254176785505</v>
      </c>
      <c r="AW19" s="2" t="s">
        <v>1178</v>
      </c>
      <c r="AX19" s="2">
        <v>70201</v>
      </c>
      <c r="AY19" s="111"/>
      <c r="AZ19" s="111"/>
      <c r="BA19" s="111"/>
      <c r="BB19" s="111"/>
      <c r="BC19" s="111"/>
      <c r="BD19" s="111"/>
      <c r="BE19" s="111"/>
      <c r="BF19" s="111"/>
      <c r="BG19" s="111">
        <v>0.2</v>
      </c>
      <c r="BH19" s="111"/>
      <c r="BI19" s="111"/>
      <c r="BJ19" s="111"/>
      <c r="BK19" s="111"/>
      <c r="BL19" s="111"/>
      <c r="BM19" s="111"/>
      <c r="BN19" s="111"/>
      <c r="BO19" s="111"/>
      <c r="BP19" s="2"/>
    </row>
    <row r="20" spans="2:68">
      <c r="B20" s="2"/>
      <c r="C20" s="2">
        <f>副本规划!G16</f>
        <v>0</v>
      </c>
      <c r="D20" s="2">
        <f>副本规划!D16</f>
        <v>4.7914142758693441E-2</v>
      </c>
      <c r="E20" s="2">
        <f>副本规划!E16</f>
        <v>11</v>
      </c>
      <c r="F20" s="2">
        <f>副本规划!F16</f>
        <v>10</v>
      </c>
      <c r="G20" s="2"/>
      <c r="H20" s="2"/>
      <c r="I20" s="2">
        <f>副本规划!I16</f>
        <v>0</v>
      </c>
      <c r="AE20" s="2" t="str">
        <f>AE12</f>
        <v>史诗装备升级石</v>
      </c>
      <c r="AF20" s="2">
        <f t="shared" ref="AF20:AR20" ca="1" si="4">AF12*$AG4</f>
        <v>0</v>
      </c>
      <c r="AG20" s="2">
        <f t="shared" ca="1" si="4"/>
        <v>0</v>
      </c>
      <c r="AH20" s="2">
        <f t="shared" ca="1" si="4"/>
        <v>2.0136937226807725</v>
      </c>
      <c r="AI20" s="2">
        <f t="shared" ca="1" si="4"/>
        <v>0</v>
      </c>
      <c r="AJ20" s="2">
        <f t="shared" ca="1" si="4"/>
        <v>0</v>
      </c>
      <c r="AK20" s="2">
        <f t="shared" ca="1" si="4"/>
        <v>0.53698499271487266</v>
      </c>
      <c r="AL20" s="2">
        <f t="shared" ca="1" si="4"/>
        <v>0</v>
      </c>
      <c r="AM20" s="2">
        <f t="shared" ca="1" si="4"/>
        <v>0</v>
      </c>
      <c r="AN20" s="2">
        <f t="shared" ca="1" si="4"/>
        <v>0</v>
      </c>
      <c r="AO20" s="2">
        <f t="shared" ca="1" si="4"/>
        <v>0</v>
      </c>
      <c r="AP20" s="2">
        <f t="shared" ca="1" si="4"/>
        <v>0.20136937226807725</v>
      </c>
      <c r="AQ20" s="2">
        <f t="shared" ca="1" si="4"/>
        <v>0</v>
      </c>
      <c r="AR20" s="2">
        <f t="shared" ca="1" si="4"/>
        <v>0</v>
      </c>
      <c r="AS20" s="2">
        <f ca="1">AS12*$AG4</f>
        <v>3.9602643212721858</v>
      </c>
      <c r="AW20" s="2" t="s">
        <v>1179</v>
      </c>
      <c r="AX20" s="2">
        <v>70301</v>
      </c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</row>
    <row r="21" spans="2:68">
      <c r="B21" s="2"/>
      <c r="C21" s="2">
        <f>副本规划!G17</f>
        <v>0</v>
      </c>
      <c r="D21" s="2">
        <f>副本规划!D17</f>
        <v>5.2741926935133292E-2</v>
      </c>
      <c r="E21" s="2">
        <f>副本规划!E17</f>
        <v>12</v>
      </c>
      <c r="F21" s="2">
        <f>副本规划!F17</f>
        <v>11</v>
      </c>
      <c r="G21" s="2"/>
      <c r="H21" s="2"/>
      <c r="I21" s="2">
        <f>副本规划!I17</f>
        <v>0</v>
      </c>
      <c r="AE21" s="2" t="str">
        <f>AE13</f>
        <v>传说装备升级石</v>
      </c>
      <c r="AF21" s="2">
        <f t="shared" ref="AF21:AR21" ca="1" si="5">AF13*$AG5</f>
        <v>0</v>
      </c>
      <c r="AG21" s="2">
        <f t="shared" ca="1" si="5"/>
        <v>0</v>
      </c>
      <c r="AH21" s="2">
        <f t="shared" ca="1" si="5"/>
        <v>0</v>
      </c>
      <c r="AI21" s="2">
        <f t="shared" ca="1" si="5"/>
        <v>0</v>
      </c>
      <c r="AJ21" s="2">
        <f t="shared" ca="1" si="5"/>
        <v>0</v>
      </c>
      <c r="AK21" s="2">
        <f t="shared" ca="1" si="5"/>
        <v>0</v>
      </c>
      <c r="AL21" s="2">
        <f t="shared" ca="1" si="5"/>
        <v>0</v>
      </c>
      <c r="AM21" s="2">
        <f t="shared" ca="1" si="5"/>
        <v>0</v>
      </c>
      <c r="AN21" s="2">
        <f t="shared" ca="1" si="5"/>
        <v>0</v>
      </c>
      <c r="AO21" s="2">
        <f t="shared" ca="1" si="5"/>
        <v>0</v>
      </c>
      <c r="AP21" s="2">
        <f t="shared" ca="1" si="5"/>
        <v>0</v>
      </c>
      <c r="AQ21" s="2">
        <f t="shared" ca="1" si="5"/>
        <v>0</v>
      </c>
      <c r="AR21" s="2">
        <f t="shared" ca="1" si="5"/>
        <v>0</v>
      </c>
      <c r="AS21" s="2">
        <f ca="1">AS13*$AG5</f>
        <v>8.9746833287989549</v>
      </c>
      <c r="AW21" s="2" t="s">
        <v>1180</v>
      </c>
      <c r="AX21" s="2">
        <v>70010</v>
      </c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</row>
    <row r="22" spans="2:68">
      <c r="B22" s="2"/>
      <c r="C22" s="2">
        <f>副本规划!G18</f>
        <v>1</v>
      </c>
      <c r="D22" s="2">
        <f>副本规划!D18</f>
        <v>5.8056154126356126E-2</v>
      </c>
      <c r="E22" s="2">
        <f>副本规划!E18</f>
        <v>13</v>
      </c>
      <c r="F22" s="2">
        <f>副本规划!F18</f>
        <v>12</v>
      </c>
      <c r="G22" s="2"/>
      <c r="H22" s="2"/>
      <c r="I22" s="2">
        <f>副本规划!I18</f>
        <v>0</v>
      </c>
    </row>
    <row r="23" spans="2:68">
      <c r="B23" s="2"/>
      <c r="C23" s="2">
        <f>副本规划!G19</f>
        <v>2</v>
      </c>
      <c r="D23" s="2">
        <f>副本规划!D19</f>
        <v>6.3905837875217947E-2</v>
      </c>
      <c r="E23" s="2">
        <f>副本规划!E19</f>
        <v>14</v>
      </c>
      <c r="F23" s="2">
        <f>副本规划!F19</f>
        <v>13</v>
      </c>
      <c r="G23" s="2"/>
      <c r="H23" s="2"/>
      <c r="I23" s="2">
        <f>副本规划!I19</f>
        <v>0</v>
      </c>
    </row>
    <row r="24" spans="2:68" s="5" customFormat="1">
      <c r="B24" s="43"/>
      <c r="C24" s="2">
        <f>副本规划!G20</f>
        <v>3</v>
      </c>
      <c r="D24" s="43">
        <f>副本规划!D20</f>
        <v>7.0344930283275861E-2</v>
      </c>
      <c r="E24" s="43">
        <f>副本规划!E20</f>
        <v>15</v>
      </c>
      <c r="F24" s="2">
        <f>副本规划!F20</f>
        <v>14</v>
      </c>
      <c r="G24" s="43" t="s">
        <v>192</v>
      </c>
      <c r="H24" s="43" t="s">
        <v>199</v>
      </c>
      <c r="I24" s="2">
        <f>副本规划!I20</f>
        <v>0</v>
      </c>
      <c r="Q24" s="5">
        <f>SUM('[5]价值&amp;消耗'!F$16:F$21)</f>
        <v>76</v>
      </c>
      <c r="R24" s="5">
        <f>SUM('[5]价值&amp;消耗'!G$16:G$21)</f>
        <v>136</v>
      </c>
      <c r="S24" s="5">
        <f>SUM('[5]价值&amp;消耗'!H$16:H$21)</f>
        <v>7</v>
      </c>
      <c r="T24" s="5">
        <f>SUM('[5]价值&amp;消耗'!T$16:T$21)</f>
        <v>56</v>
      </c>
      <c r="U24" s="5">
        <f>SUM('[5]价值&amp;消耗'!U$16:U$21)</f>
        <v>86</v>
      </c>
      <c r="V24" s="5">
        <f>SUM('[5]价值&amp;消耗'!V$16:V$21)</f>
        <v>8</v>
      </c>
      <c r="W24" s="5">
        <f>'[5]价值&amp;消耗'!AD112</f>
        <v>393250</v>
      </c>
      <c r="X24" s="5">
        <f>'[5]价值&amp;消耗'!AE112</f>
        <v>1320</v>
      </c>
      <c r="Y24" s="5">
        <f>'[5]价值&amp;消耗'!AF112</f>
        <v>0.02</v>
      </c>
      <c r="Z24" s="5">
        <f>'[5]价值&amp;消耗'!AG112</f>
        <v>0.02</v>
      </c>
      <c r="AA24" s="5">
        <f>'[5]价值&amp;消耗'!AH112</f>
        <v>0</v>
      </c>
      <c r="AB24" s="5">
        <f>'[5]价值&amp;消耗'!AI112</f>
        <v>0</v>
      </c>
    </row>
    <row r="25" spans="2:68">
      <c r="B25" s="2"/>
      <c r="C25" s="2">
        <f>副本规划!G21</f>
        <v>4</v>
      </c>
      <c r="D25" s="2">
        <f>副本规划!D21</f>
        <v>7.7432819615340459E-2</v>
      </c>
      <c r="E25" s="2">
        <f>副本规划!E21</f>
        <v>16</v>
      </c>
      <c r="F25" s="2">
        <f>副本规划!F21</f>
        <v>15</v>
      </c>
      <c r="G25" s="2"/>
      <c r="H25" s="2"/>
      <c r="I25" s="2">
        <f>副本规划!I21</f>
        <v>0</v>
      </c>
      <c r="J25" t="s">
        <v>193</v>
      </c>
      <c r="K25" t="s">
        <v>203</v>
      </c>
      <c r="L25" t="s">
        <v>204</v>
      </c>
    </row>
    <row r="26" spans="2:68">
      <c r="B26" s="2"/>
      <c r="C26" s="2">
        <f>副本规划!G22</f>
        <v>5</v>
      </c>
      <c r="D26" s="2">
        <f>副本规划!D22</f>
        <v>8.5234878042196774E-2</v>
      </c>
      <c r="E26" s="2">
        <f>副本规划!E22</f>
        <v>17</v>
      </c>
      <c r="F26" s="2">
        <f>副本规划!F22</f>
        <v>16</v>
      </c>
      <c r="G26" s="2"/>
      <c r="H26" s="2"/>
      <c r="I26" s="2">
        <f>副本规划!I22</f>
        <v>0</v>
      </c>
      <c r="AE26" t="s">
        <v>563</v>
      </c>
    </row>
    <row r="27" spans="2:68">
      <c r="B27" s="2"/>
      <c r="C27" s="2">
        <f>副本规划!G23</f>
        <v>6</v>
      </c>
      <c r="D27" s="2">
        <f>副本规划!D23</f>
        <v>9.3823064573369475E-2</v>
      </c>
      <c r="E27" s="2">
        <f>副本规划!E23</f>
        <v>18</v>
      </c>
      <c r="F27" s="2">
        <f>副本规划!F23</f>
        <v>17</v>
      </c>
      <c r="G27" s="2" t="s">
        <v>193</v>
      </c>
      <c r="H27" s="2" t="s">
        <v>200</v>
      </c>
      <c r="I27" s="2">
        <f>副本规划!I23</f>
        <v>0</v>
      </c>
      <c r="AE27" s="79" t="s">
        <v>637</v>
      </c>
      <c r="AF27" s="79" t="s">
        <v>631</v>
      </c>
      <c r="AG27" s="79" t="s">
        <v>583</v>
      </c>
      <c r="AH27" s="79" t="s">
        <v>584</v>
      </c>
      <c r="AI27" s="79" t="s">
        <v>633</v>
      </c>
      <c r="AJ27" s="79" t="s">
        <v>632</v>
      </c>
      <c r="AK27" s="79" t="s">
        <v>635</v>
      </c>
      <c r="AL27" s="79" t="s">
        <v>634</v>
      </c>
      <c r="AM27" s="79" t="s">
        <v>597</v>
      </c>
      <c r="AN27" s="79" t="s">
        <v>555</v>
      </c>
      <c r="AO27" s="79" t="s">
        <v>556</v>
      </c>
      <c r="AP27" s="79" t="s">
        <v>557</v>
      </c>
      <c r="AQ27" s="79" t="s">
        <v>558</v>
      </c>
      <c r="AR27" s="79" t="s">
        <v>598</v>
      </c>
      <c r="AS27" s="79" t="s">
        <v>562</v>
      </c>
      <c r="AW27" s="111" t="s">
        <v>1149</v>
      </c>
      <c r="AX27" s="111" t="s">
        <v>1150</v>
      </c>
      <c r="AY27" s="75" t="s">
        <v>56</v>
      </c>
      <c r="AZ27" s="75" t="s">
        <v>50</v>
      </c>
      <c r="BA27" s="75" t="s">
        <v>584</v>
      </c>
      <c r="BB27" s="75" t="s">
        <v>603</v>
      </c>
      <c r="BC27" s="75" t="s">
        <v>604</v>
      </c>
      <c r="BD27" s="75" t="s">
        <v>605</v>
      </c>
      <c r="BE27" s="75" t="s">
        <v>606</v>
      </c>
      <c r="BF27" s="75" t="s">
        <v>597</v>
      </c>
      <c r="BG27" s="75" t="s">
        <v>555</v>
      </c>
      <c r="BH27" s="75" t="s">
        <v>556</v>
      </c>
      <c r="BI27" s="75" t="s">
        <v>557</v>
      </c>
      <c r="BJ27" s="75" t="s">
        <v>558</v>
      </c>
      <c r="BK27" s="75" t="s">
        <v>598</v>
      </c>
      <c r="BL27" s="75" t="s">
        <v>607</v>
      </c>
      <c r="BM27" s="76" t="s">
        <v>1145</v>
      </c>
      <c r="BN27" s="76" t="s">
        <v>1146</v>
      </c>
      <c r="BO27" s="76" t="s">
        <v>1147</v>
      </c>
      <c r="BP27" s="76" t="s">
        <v>1151</v>
      </c>
    </row>
    <row r="28" spans="2:68">
      <c r="B28" s="2"/>
      <c r="C28" s="2">
        <f>副本规划!G24</f>
        <v>7</v>
      </c>
      <c r="D28" s="2">
        <f>副本规划!D24</f>
        <v>0.10327658874082885</v>
      </c>
      <c r="E28" s="2">
        <f>副本规划!E24</f>
        <v>19</v>
      </c>
      <c r="F28" s="2">
        <f>副本规划!F24</f>
        <v>18</v>
      </c>
      <c r="G28" s="2"/>
      <c r="H28" s="2"/>
      <c r="I28" s="2">
        <f>副本规划!I24</f>
        <v>0</v>
      </c>
      <c r="AE28" s="2" t="str">
        <f>AE18</f>
        <v>高级装备升级石</v>
      </c>
      <c r="AF28" s="3">
        <v>15</v>
      </c>
      <c r="AG28" s="3"/>
      <c r="AH28" s="3">
        <v>9</v>
      </c>
      <c r="AI28" s="3">
        <v>5</v>
      </c>
      <c r="AJ28" s="3">
        <v>1</v>
      </c>
      <c r="AK28" s="3"/>
      <c r="AL28" s="3"/>
      <c r="AM28" s="3">
        <v>2</v>
      </c>
      <c r="AN28" s="3">
        <v>3</v>
      </c>
      <c r="AO28" s="3"/>
      <c r="AP28" s="3"/>
      <c r="AQ28" s="3">
        <v>1</v>
      </c>
      <c r="AR28" s="3"/>
      <c r="AS28" s="3"/>
      <c r="AW28" s="2" t="s">
        <v>1177</v>
      </c>
      <c r="AX28" s="2">
        <v>70101</v>
      </c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2"/>
    </row>
    <row r="29" spans="2:68">
      <c r="B29" s="2"/>
      <c r="C29" s="2">
        <f>副本规划!G25</f>
        <v>8</v>
      </c>
      <c r="D29" s="2">
        <f>副本规划!D25</f>
        <v>0.11368264115484583</v>
      </c>
      <c r="E29" s="2">
        <f>副本规划!E25</f>
        <v>20</v>
      </c>
      <c r="F29" s="2">
        <f>副本规划!F25</f>
        <v>19</v>
      </c>
      <c r="G29" s="2" t="s">
        <v>193</v>
      </c>
      <c r="H29" s="2" t="s">
        <v>201</v>
      </c>
      <c r="I29" s="2">
        <f>副本规划!I25</f>
        <v>0</v>
      </c>
      <c r="AE29" s="2" t="str">
        <f>AE19</f>
        <v>稀有装备升级石</v>
      </c>
      <c r="AF29" s="3"/>
      <c r="AG29" s="3"/>
      <c r="AH29" s="3">
        <v>6</v>
      </c>
      <c r="AI29" s="3">
        <v>5</v>
      </c>
      <c r="AJ29" s="3"/>
      <c r="AK29" s="3">
        <v>2</v>
      </c>
      <c r="AL29" s="3"/>
      <c r="AM29" s="3">
        <v>2</v>
      </c>
      <c r="AN29" s="3">
        <v>4</v>
      </c>
      <c r="AO29" s="3">
        <v>1</v>
      </c>
      <c r="AP29" s="3">
        <v>1</v>
      </c>
      <c r="AQ29" s="3"/>
      <c r="AR29" s="3"/>
      <c r="AS29" s="3"/>
      <c r="AW29" s="2" t="s">
        <v>1178</v>
      </c>
      <c r="AX29" s="2">
        <v>70201</v>
      </c>
      <c r="AY29" s="111"/>
      <c r="AZ29" s="111"/>
      <c r="BA29" s="111"/>
      <c r="BB29" s="111"/>
      <c r="BC29" s="111"/>
      <c r="BD29" s="111"/>
      <c r="BE29" s="111"/>
      <c r="BF29" s="111"/>
      <c r="BG29" s="111"/>
      <c r="BH29" s="111"/>
      <c r="BI29" s="111"/>
      <c r="BJ29" s="111"/>
      <c r="BK29" s="111"/>
      <c r="BL29" s="111"/>
      <c r="BM29" s="111"/>
      <c r="BN29" s="111"/>
      <c r="BO29" s="111"/>
      <c r="BP29" s="2"/>
    </row>
    <row r="30" spans="2:68">
      <c r="B30" s="43"/>
      <c r="C30" s="2">
        <f>副本规划!G26</f>
        <v>9</v>
      </c>
      <c r="D30" s="2">
        <f>副本规划!D26</f>
        <v>0.12513719766997147</v>
      </c>
      <c r="E30" s="2">
        <f>副本规划!E26</f>
        <v>21</v>
      </c>
      <c r="F30" s="2">
        <f>副本规划!F26</f>
        <v>20</v>
      </c>
      <c r="G30" s="2"/>
      <c r="H30" s="2"/>
      <c r="I30" s="2">
        <f>副本规划!I26</f>
        <v>0</v>
      </c>
      <c r="AE30" s="2" t="str">
        <f>AE20</f>
        <v>史诗装备升级石</v>
      </c>
      <c r="AF30" s="3"/>
      <c r="AG30" s="3"/>
      <c r="AH30" s="3">
        <v>3</v>
      </c>
      <c r="AI30" s="3"/>
      <c r="AJ30" s="3"/>
      <c r="AK30" s="3">
        <v>6</v>
      </c>
      <c r="AL30" s="3"/>
      <c r="AM30" s="3"/>
      <c r="AN30" s="3"/>
      <c r="AO30" s="3"/>
      <c r="AP30" s="3">
        <v>1</v>
      </c>
      <c r="AQ30" s="3"/>
      <c r="AR30" s="3"/>
      <c r="AS30" s="3"/>
      <c r="AW30" s="2" t="s">
        <v>1179</v>
      </c>
      <c r="AX30" s="2">
        <v>70301</v>
      </c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</row>
    <row r="31" spans="2:68">
      <c r="B31" s="2"/>
      <c r="C31" s="2">
        <f>副本规划!G27</f>
        <v>10</v>
      </c>
      <c r="D31" s="2">
        <f>副本规划!D27</f>
        <v>0.13774590457802735</v>
      </c>
      <c r="E31" s="2">
        <f>副本规划!E27</f>
        <v>22</v>
      </c>
      <c r="F31" s="2">
        <f>副本规划!F27</f>
        <v>21</v>
      </c>
      <c r="G31" s="2" t="s">
        <v>193</v>
      </c>
      <c r="H31" s="2" t="s">
        <v>202</v>
      </c>
      <c r="I31" s="2">
        <f>副本规划!I27</f>
        <v>0</v>
      </c>
      <c r="AE31" s="2" t="str">
        <f>AE21</f>
        <v>传说装备升级石</v>
      </c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W31" s="2" t="s">
        <v>1180</v>
      </c>
      <c r="AX31" s="2">
        <v>70010</v>
      </c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</row>
    <row r="32" spans="2:68">
      <c r="B32" s="2"/>
      <c r="C32" s="2">
        <f>副本规划!G28</f>
        <v>11</v>
      </c>
      <c r="D32" s="2">
        <f>副本规划!D28</f>
        <v>0.15162505299231335</v>
      </c>
      <c r="E32" s="2">
        <f>副本规划!E28</f>
        <v>23</v>
      </c>
      <c r="F32" s="2">
        <f>副本规划!F28</f>
        <v>22</v>
      </c>
      <c r="G32" s="2"/>
      <c r="H32" s="2"/>
      <c r="I32" s="2">
        <f>副本规划!I28</f>
        <v>0</v>
      </c>
    </row>
    <row r="33" spans="2:68">
      <c r="B33" s="2"/>
      <c r="C33" s="2">
        <f>副本规划!G29</f>
        <v>12</v>
      </c>
      <c r="D33" s="2">
        <f>副本规划!D29</f>
        <v>0.16690265140985627</v>
      </c>
      <c r="E33" s="2">
        <f>副本规划!E29</f>
        <v>24</v>
      </c>
      <c r="F33" s="2">
        <f>副本规划!F29</f>
        <v>23</v>
      </c>
      <c r="G33" s="2"/>
      <c r="H33" s="2"/>
      <c r="I33" s="2">
        <f>副本规划!I29</f>
        <v>0</v>
      </c>
      <c r="AE33" t="s">
        <v>571</v>
      </c>
    </row>
    <row r="34" spans="2:68">
      <c r="B34" s="2"/>
      <c r="C34" s="2">
        <f>副本规划!G30</f>
        <v>13</v>
      </c>
      <c r="D34" s="2">
        <f>副本规划!D30</f>
        <v>0.1837196063440267</v>
      </c>
      <c r="E34" s="2">
        <f>副本规划!E30</f>
        <v>25</v>
      </c>
      <c r="F34" s="2">
        <f>副本规划!F30</f>
        <v>24</v>
      </c>
      <c r="G34" s="2" t="s">
        <v>193</v>
      </c>
      <c r="H34" s="2" t="s">
        <v>198</v>
      </c>
      <c r="I34" s="2">
        <f>副本规划!I30</f>
        <v>0</v>
      </c>
      <c r="AE34" s="79" t="s">
        <v>637</v>
      </c>
      <c r="AF34" s="79" t="s">
        <v>631</v>
      </c>
      <c r="AG34" s="79" t="s">
        <v>583</v>
      </c>
      <c r="AH34" s="79" t="s">
        <v>584</v>
      </c>
      <c r="AI34" s="79" t="s">
        <v>633</v>
      </c>
      <c r="AJ34" s="79" t="s">
        <v>632</v>
      </c>
      <c r="AK34" s="79" t="s">
        <v>635</v>
      </c>
      <c r="AL34" s="79" t="s">
        <v>634</v>
      </c>
      <c r="AM34" s="79" t="s">
        <v>597</v>
      </c>
      <c r="AN34" s="79" t="s">
        <v>555</v>
      </c>
      <c r="AO34" s="79" t="s">
        <v>556</v>
      </c>
      <c r="AP34" s="79" t="s">
        <v>557</v>
      </c>
      <c r="AQ34" s="79" t="s">
        <v>558</v>
      </c>
      <c r="AR34" s="79" t="s">
        <v>598</v>
      </c>
      <c r="AS34" s="79" t="s">
        <v>562</v>
      </c>
      <c r="AW34" s="111" t="s">
        <v>1149</v>
      </c>
      <c r="AX34" s="111" t="s">
        <v>1150</v>
      </c>
      <c r="AY34" s="75" t="s">
        <v>56</v>
      </c>
      <c r="AZ34" s="75" t="s">
        <v>50</v>
      </c>
      <c r="BA34" s="75" t="s">
        <v>584</v>
      </c>
      <c r="BB34" s="75" t="s">
        <v>603</v>
      </c>
      <c r="BC34" s="75" t="s">
        <v>604</v>
      </c>
      <c r="BD34" s="75" t="s">
        <v>605</v>
      </c>
      <c r="BE34" s="75" t="s">
        <v>606</v>
      </c>
      <c r="BF34" s="75" t="s">
        <v>597</v>
      </c>
      <c r="BG34" s="75" t="s">
        <v>555</v>
      </c>
      <c r="BH34" s="75" t="s">
        <v>556</v>
      </c>
      <c r="BI34" s="75" t="s">
        <v>557</v>
      </c>
      <c r="BJ34" s="75" t="s">
        <v>558</v>
      </c>
      <c r="BK34" s="75" t="s">
        <v>598</v>
      </c>
      <c r="BL34" s="75" t="s">
        <v>607</v>
      </c>
      <c r="BM34" s="76" t="s">
        <v>1145</v>
      </c>
      <c r="BN34" s="76" t="s">
        <v>1146</v>
      </c>
      <c r="BO34" s="76" t="s">
        <v>1147</v>
      </c>
      <c r="BP34" s="76" t="s">
        <v>1151</v>
      </c>
    </row>
    <row r="35" spans="2:68">
      <c r="B35" s="2"/>
      <c r="C35" s="2">
        <f>副本规划!G31</f>
        <v>14</v>
      </c>
      <c r="D35" s="2">
        <f>副本规划!D31</f>
        <v>0.20223102191659306</v>
      </c>
      <c r="E35" s="2">
        <f>副本规划!E31</f>
        <v>26</v>
      </c>
      <c r="F35" s="2">
        <f>副本规划!F31</f>
        <v>25</v>
      </c>
      <c r="G35" s="2"/>
      <c r="H35" s="2"/>
      <c r="I35" s="2">
        <f>副本规划!I31</f>
        <v>0</v>
      </c>
      <c r="AE35" s="2" t="str">
        <f>AE28</f>
        <v>高级装备升级石</v>
      </c>
      <c r="AF35" s="2">
        <f ca="1">IFERROR(AF18/AF28,"")</f>
        <v>0.3619547334161079</v>
      </c>
      <c r="AG35" s="2" t="str">
        <f t="shared" ref="AG35:AI38" ca="1" si="6">IFERROR(AG18/AG28,"")</f>
        <v/>
      </c>
      <c r="AH35" s="2">
        <f t="shared" ca="1" si="6"/>
        <v>0</v>
      </c>
      <c r="AI35" s="2">
        <f t="shared" ca="1" si="6"/>
        <v>0.42348703809684618</v>
      </c>
      <c r="AJ35" s="2">
        <f t="shared" ref="AJ35:AS35" ca="1" si="7">IFERROR(AJ18/AJ28,"")</f>
        <v>0</v>
      </c>
      <c r="AK35" s="2" t="str">
        <f t="shared" ca="1" si="7"/>
        <v/>
      </c>
      <c r="AL35" s="2" t="str">
        <f t="shared" ca="1" si="7"/>
        <v/>
      </c>
      <c r="AM35" s="2">
        <f t="shared" ca="1" si="7"/>
        <v>1.6287963003724855</v>
      </c>
      <c r="AN35" s="2">
        <f t="shared" ca="1" si="7"/>
        <v>1.0858642002483236</v>
      </c>
      <c r="AO35" s="2" t="str">
        <f t="shared" ca="1" si="7"/>
        <v/>
      </c>
      <c r="AP35" s="2" t="str">
        <f t="shared" ca="1" si="7"/>
        <v/>
      </c>
      <c r="AQ35" s="2">
        <f t="shared" ca="1" si="7"/>
        <v>2.1717284004966473</v>
      </c>
      <c r="AR35" s="2" t="str">
        <f t="shared" ca="1" si="7"/>
        <v/>
      </c>
      <c r="AS35" s="2" t="str">
        <f t="shared" ca="1" si="7"/>
        <v/>
      </c>
      <c r="AW35" s="2" t="s">
        <v>1177</v>
      </c>
      <c r="AX35" s="2">
        <v>70101</v>
      </c>
      <c r="AY35" s="111"/>
      <c r="AZ35" s="111"/>
      <c r="BA35" s="111"/>
      <c r="BB35" s="111"/>
      <c r="BC35" s="111"/>
      <c r="BD35" s="111"/>
      <c r="BE35" s="111"/>
      <c r="BF35" s="111"/>
      <c r="BG35" s="111"/>
      <c r="BH35" s="111"/>
      <c r="BI35" s="111"/>
      <c r="BJ35" s="111"/>
      <c r="BK35" s="111"/>
      <c r="BL35" s="111"/>
      <c r="BM35" s="111"/>
      <c r="BN35" s="111"/>
      <c r="BO35" s="111"/>
      <c r="BP35" s="2"/>
    </row>
    <row r="36" spans="2:68">
      <c r="B36" s="2"/>
      <c r="C36" s="2">
        <f>副本规划!G32</f>
        <v>15</v>
      </c>
      <c r="D36" s="2">
        <f>副本规划!D32</f>
        <v>0.22260763039545486</v>
      </c>
      <c r="E36" s="2">
        <f>副本规划!E32</f>
        <v>27</v>
      </c>
      <c r="F36" s="2">
        <f>副本规划!F32</f>
        <v>26</v>
      </c>
      <c r="G36" s="2"/>
      <c r="H36" s="2"/>
      <c r="I36" s="2">
        <f>副本规划!I32</f>
        <v>0</v>
      </c>
      <c r="AE36" s="2" t="str">
        <f>AE29</f>
        <v>稀有装备升级石</v>
      </c>
      <c r="AF36" s="2" t="str">
        <f ca="1">IFERROR(AF19/AF29,"")</f>
        <v/>
      </c>
      <c r="AG36" s="2" t="str">
        <f t="shared" ca="1" si="6"/>
        <v/>
      </c>
      <c r="AH36" s="2">
        <f t="shared" ca="1" si="6"/>
        <v>0.71400254176785605</v>
      </c>
      <c r="AI36" s="2">
        <f t="shared" ca="1" si="6"/>
        <v>2.8560101670714239E-2</v>
      </c>
      <c r="AJ36" s="2" t="str">
        <f t="shared" ref="AJ36:AS36" ca="1" si="8">IFERROR(AJ19/AJ29,"")</f>
        <v/>
      </c>
      <c r="AK36" s="2">
        <f t="shared" ca="1" si="8"/>
        <v>0.17850063544196401</v>
      </c>
      <c r="AL36" s="2" t="str">
        <f t="shared" ca="1" si="8"/>
        <v/>
      </c>
      <c r="AM36" s="2">
        <f t="shared" ca="1" si="8"/>
        <v>0.10710038126517839</v>
      </c>
      <c r="AN36" s="2">
        <f t="shared" ca="1" si="8"/>
        <v>0.267750953162946</v>
      </c>
      <c r="AO36" s="2">
        <f t="shared" ca="1" si="8"/>
        <v>0</v>
      </c>
      <c r="AP36" s="2">
        <f t="shared" ca="1" si="8"/>
        <v>0.35700127088392802</v>
      </c>
      <c r="AQ36" s="2" t="str">
        <f t="shared" ca="1" si="8"/>
        <v/>
      </c>
      <c r="AR36" s="2" t="str">
        <f t="shared" ca="1" si="8"/>
        <v/>
      </c>
      <c r="AS36" s="2" t="str">
        <f t="shared" ca="1" si="8"/>
        <v/>
      </c>
      <c r="AW36" s="2" t="s">
        <v>1178</v>
      </c>
      <c r="AX36" s="2">
        <v>70201</v>
      </c>
      <c r="AY36" s="111"/>
      <c r="AZ36" s="111"/>
      <c r="BA36" s="111"/>
      <c r="BB36" s="111"/>
      <c r="BC36" s="111"/>
      <c r="BD36" s="111"/>
      <c r="BE36" s="111"/>
      <c r="BF36" s="111"/>
      <c r="BG36" s="111">
        <v>0.2</v>
      </c>
      <c r="BH36" s="111"/>
      <c r="BI36" s="111"/>
      <c r="BJ36" s="111"/>
      <c r="BK36" s="111"/>
      <c r="BL36" s="111"/>
      <c r="BM36" s="111"/>
      <c r="BN36" s="111"/>
      <c r="BO36" s="111"/>
      <c r="BP36" s="2"/>
    </row>
    <row r="37" spans="2:68">
      <c r="B37" s="2"/>
      <c r="C37" s="2">
        <f>副本规划!G33</f>
        <v>16</v>
      </c>
      <c r="D37" s="2">
        <f>副本规划!D33</f>
        <v>0.24503736687201849</v>
      </c>
      <c r="E37" s="2">
        <f>副本规划!E33</f>
        <v>28</v>
      </c>
      <c r="F37" s="2">
        <f>副本规划!F33</f>
        <v>27</v>
      </c>
      <c r="G37" s="2" t="s">
        <v>190</v>
      </c>
      <c r="H37" s="2" t="s">
        <v>197</v>
      </c>
      <c r="I37" s="2">
        <f>副本规划!I33</f>
        <v>0</v>
      </c>
      <c r="AE37" s="2" t="str">
        <f>AE30</f>
        <v>史诗装备升级石</v>
      </c>
      <c r="AF37" s="2" t="str">
        <f ca="1">IFERROR(AF20/AF30,"")</f>
        <v/>
      </c>
      <c r="AG37" s="2" t="str">
        <f t="shared" ca="1" si="6"/>
        <v/>
      </c>
      <c r="AH37" s="2">
        <f t="shared" ca="1" si="6"/>
        <v>0.67123124089359087</v>
      </c>
      <c r="AI37" s="2" t="str">
        <f t="shared" ca="1" si="6"/>
        <v/>
      </c>
      <c r="AJ37" s="2" t="str">
        <f t="shared" ref="AJ37:AS37" ca="1" si="9">IFERROR(AJ20/AJ30,"")</f>
        <v/>
      </c>
      <c r="AK37" s="2">
        <f t="shared" ca="1" si="9"/>
        <v>8.9497498785812105E-2</v>
      </c>
      <c r="AL37" s="2" t="str">
        <f t="shared" ca="1" si="9"/>
        <v/>
      </c>
      <c r="AM37" s="2" t="str">
        <f t="shared" ca="1" si="9"/>
        <v/>
      </c>
      <c r="AN37" s="2" t="str">
        <f t="shared" ca="1" si="9"/>
        <v/>
      </c>
      <c r="AO37" s="2" t="str">
        <f t="shared" ca="1" si="9"/>
        <v/>
      </c>
      <c r="AP37" s="2">
        <f t="shared" ca="1" si="9"/>
        <v>0.20136937226807725</v>
      </c>
      <c r="AQ37" s="2" t="str">
        <f t="shared" ca="1" si="9"/>
        <v/>
      </c>
      <c r="AR37" s="2" t="str">
        <f t="shared" ca="1" si="9"/>
        <v/>
      </c>
      <c r="AS37" s="2" t="str">
        <f t="shared" ca="1" si="9"/>
        <v/>
      </c>
      <c r="AW37" s="2" t="s">
        <v>1179</v>
      </c>
      <c r="AX37" s="2">
        <v>70301</v>
      </c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</row>
    <row r="38" spans="2:68">
      <c r="B38" s="2"/>
      <c r="C38" s="2">
        <f>副本规划!G34</f>
        <v>17</v>
      </c>
      <c r="D38" s="2">
        <f>副本规划!D34</f>
        <v>0.26972710260159238</v>
      </c>
      <c r="E38" s="2">
        <f>副本规划!E34</f>
        <v>29</v>
      </c>
      <c r="F38" s="2">
        <f>副本规划!F34</f>
        <v>28</v>
      </c>
      <c r="G38" s="2"/>
      <c r="H38" s="2"/>
      <c r="I38" s="2">
        <f>副本规划!I34</f>
        <v>0</v>
      </c>
      <c r="AE38" s="2" t="str">
        <f>AE31</f>
        <v>传说装备升级石</v>
      </c>
      <c r="AF38" s="2" t="str">
        <f ca="1">IFERROR(AF21/AF31,"")</f>
        <v/>
      </c>
      <c r="AG38" s="2" t="str">
        <f t="shared" ca="1" si="6"/>
        <v/>
      </c>
      <c r="AH38" s="2" t="str">
        <f t="shared" ca="1" si="6"/>
        <v/>
      </c>
      <c r="AI38" s="2" t="str">
        <f t="shared" ca="1" si="6"/>
        <v/>
      </c>
      <c r="AJ38" s="2"/>
      <c r="AK38" s="2" t="str">
        <f ca="1">IFERROR(AK21/AK31,"")</f>
        <v/>
      </c>
      <c r="AL38" s="2"/>
      <c r="AM38" s="2"/>
      <c r="AN38" s="2" t="str">
        <f ca="1">IFERROR(AN21/AN31,"")</f>
        <v/>
      </c>
      <c r="AO38" s="2" t="str">
        <f ca="1">IFERROR(AO21/AO31,"")</f>
        <v/>
      </c>
      <c r="AP38" s="2" t="str">
        <f ca="1">IFERROR(AP21/AP31,"")</f>
        <v/>
      </c>
      <c r="AQ38" s="2" t="str">
        <f ca="1">IFERROR(AQ21/AQ31,"")</f>
        <v/>
      </c>
      <c r="AR38" s="2"/>
      <c r="AS38" s="2" t="str">
        <f ca="1">IFERROR(AS21/AS31,"")</f>
        <v/>
      </c>
      <c r="AW38" s="2" t="s">
        <v>1180</v>
      </c>
      <c r="AX38" s="2">
        <v>70010</v>
      </c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</row>
    <row r="39" spans="2:68" s="5" customFormat="1">
      <c r="B39" s="43"/>
      <c r="C39" s="2">
        <f>副本规划!G35</f>
        <v>18</v>
      </c>
      <c r="D39" s="43">
        <f>副本规划!D35</f>
        <v>0.29690455299353663</v>
      </c>
      <c r="E39" s="43">
        <f>副本规划!E35</f>
        <v>30</v>
      </c>
      <c r="F39" s="2">
        <f>副本规划!F35</f>
        <v>29</v>
      </c>
      <c r="G39" s="43"/>
      <c r="H39" s="43"/>
      <c r="I39" s="2">
        <f>副本规划!I35</f>
        <v>0</v>
      </c>
      <c r="Q39" s="5">
        <f>SUM('[5]价值&amp;消耗'!F$40:F$45)</f>
        <v>47</v>
      </c>
      <c r="R39" s="5">
        <f>SUM('[5]价值&amp;消耗'!G$40:G$45)</f>
        <v>210</v>
      </c>
      <c r="S39" s="5">
        <f>SUM('[5]价值&amp;消耗'!H$40:H$45)</f>
        <v>199</v>
      </c>
      <c r="T39" s="5">
        <f>SUM('[5]价值&amp;消耗'!T$40:T$45)</f>
        <v>23</v>
      </c>
      <c r="U39" s="5">
        <f>SUM('[5]价值&amp;消耗'!U$40:U$45)</f>
        <v>101</v>
      </c>
      <c r="V39" s="5">
        <f>SUM('[5]价值&amp;消耗'!V$40:V$45)</f>
        <v>34</v>
      </c>
      <c r="W39" s="5">
        <f>'[5]价值&amp;消耗'!AD113</f>
        <v>172480</v>
      </c>
      <c r="X39" s="5">
        <f>'[5]价值&amp;消耗'!AE113</f>
        <v>605</v>
      </c>
      <c r="Y39" s="5">
        <f>'[5]价值&amp;消耗'!AF113</f>
        <v>0.02</v>
      </c>
      <c r="Z39" s="5">
        <f>'[5]价值&amp;消耗'!AG113</f>
        <v>0.02</v>
      </c>
      <c r="AA39" s="5">
        <f>'[5]价值&amp;消耗'!AH113</f>
        <v>0</v>
      </c>
      <c r="AB39" s="5">
        <f>'[5]价值&amp;消耗'!AI113</f>
        <v>0</v>
      </c>
    </row>
    <row r="40" spans="2:68">
      <c r="B40" s="2"/>
      <c r="C40" s="2">
        <f>副本规划!G36</f>
        <v>19</v>
      </c>
      <c r="D40" s="2">
        <f>副本规划!D36</f>
        <v>0.32682037784871604</v>
      </c>
      <c r="E40" s="2">
        <f>副本规划!E36</f>
        <v>31</v>
      </c>
      <c r="F40" s="2">
        <f>副本规划!F36</f>
        <v>30</v>
      </c>
      <c r="G40" s="2" t="s">
        <v>190</v>
      </c>
      <c r="H40" s="2"/>
      <c r="I40" s="2">
        <f>副本规划!I36</f>
        <v>0</v>
      </c>
    </row>
    <row r="41" spans="2:68">
      <c r="B41" s="2"/>
      <c r="C41" s="2">
        <f>副本规划!G37</f>
        <v>20</v>
      </c>
      <c r="D41" s="2">
        <f>副本规划!D37</f>
        <v>0.35975049321491137</v>
      </c>
      <c r="E41" s="2">
        <f>副本规划!E37</f>
        <v>32</v>
      </c>
      <c r="F41" s="2">
        <f>副本规划!F37</f>
        <v>31</v>
      </c>
      <c r="G41" s="2"/>
      <c r="H41" s="2"/>
      <c r="I41" s="2">
        <f>副本规划!I37</f>
        <v>0</v>
      </c>
      <c r="J41" t="s">
        <v>194</v>
      </c>
      <c r="L41" t="s">
        <v>205</v>
      </c>
      <c r="AE41" t="s">
        <v>565</v>
      </c>
    </row>
    <row r="42" spans="2:68">
      <c r="B42" s="2"/>
      <c r="C42" s="2">
        <f>副本规划!G38</f>
        <v>21</v>
      </c>
      <c r="D42" s="2">
        <f>副本规划!D38</f>
        <v>0.39599861618261806</v>
      </c>
      <c r="E42" s="2">
        <f>副本规划!E38</f>
        <v>33</v>
      </c>
      <c r="F42" s="2">
        <f>副本规划!F38</f>
        <v>32</v>
      </c>
      <c r="G42" s="2"/>
      <c r="H42" s="2"/>
      <c r="I42" s="2">
        <f>副本规划!I38</f>
        <v>0</v>
      </c>
      <c r="AE42" s="79" t="s">
        <v>637</v>
      </c>
      <c r="AF42" s="79" t="s">
        <v>631</v>
      </c>
      <c r="AG42" s="79" t="s">
        <v>583</v>
      </c>
      <c r="AH42" s="79" t="s">
        <v>584</v>
      </c>
      <c r="AI42" s="79" t="s">
        <v>633</v>
      </c>
      <c r="AJ42" s="79" t="s">
        <v>632</v>
      </c>
      <c r="AK42" s="79" t="s">
        <v>635</v>
      </c>
      <c r="AL42" s="79" t="s">
        <v>634</v>
      </c>
      <c r="AM42" s="79" t="s">
        <v>597</v>
      </c>
      <c r="AN42" s="79" t="s">
        <v>555</v>
      </c>
      <c r="AO42" s="79" t="s">
        <v>556</v>
      </c>
      <c r="AP42" s="79" t="s">
        <v>557</v>
      </c>
      <c r="AQ42" s="79" t="s">
        <v>558</v>
      </c>
      <c r="AR42" s="79" t="s">
        <v>598</v>
      </c>
      <c r="AS42" s="79" t="s">
        <v>562</v>
      </c>
      <c r="AW42" s="111" t="s">
        <v>1149</v>
      </c>
      <c r="AX42" s="111" t="s">
        <v>1150</v>
      </c>
      <c r="AY42" s="75" t="s">
        <v>56</v>
      </c>
      <c r="AZ42" s="75" t="s">
        <v>50</v>
      </c>
      <c r="BA42" s="75" t="s">
        <v>584</v>
      </c>
      <c r="BB42" s="75" t="s">
        <v>603</v>
      </c>
      <c r="BC42" s="75" t="s">
        <v>604</v>
      </c>
      <c r="BD42" s="75" t="s">
        <v>605</v>
      </c>
      <c r="BE42" s="75" t="s">
        <v>606</v>
      </c>
      <c r="BF42" s="75" t="s">
        <v>597</v>
      </c>
      <c r="BG42" s="75" t="s">
        <v>555</v>
      </c>
      <c r="BH42" s="75" t="s">
        <v>556</v>
      </c>
      <c r="BI42" s="75" t="s">
        <v>557</v>
      </c>
      <c r="BJ42" s="75" t="s">
        <v>558</v>
      </c>
      <c r="BK42" s="75" t="s">
        <v>598</v>
      </c>
      <c r="BL42" s="75" t="s">
        <v>607</v>
      </c>
      <c r="BM42" s="76" t="s">
        <v>1145</v>
      </c>
      <c r="BN42" s="76" t="s">
        <v>1146</v>
      </c>
      <c r="BO42" s="76" t="s">
        <v>1147</v>
      </c>
      <c r="BP42" s="76" t="s">
        <v>1151</v>
      </c>
    </row>
    <row r="43" spans="2:68">
      <c r="B43" s="2"/>
      <c r="C43" s="2">
        <f>副本规划!G39</f>
        <v>22</v>
      </c>
      <c r="D43" s="2">
        <f>副本规划!D39</f>
        <v>0.43589906609208962</v>
      </c>
      <c r="E43" s="2">
        <f>副本规划!E39</f>
        <v>34</v>
      </c>
      <c r="F43" s="2">
        <f>副本规划!F39</f>
        <v>33</v>
      </c>
      <c r="G43" s="2" t="s">
        <v>190</v>
      </c>
      <c r="H43" s="2"/>
      <c r="I43" s="2">
        <f>副本规划!I39</f>
        <v>0</v>
      </c>
      <c r="AE43" s="2" t="str">
        <f>AE35</f>
        <v>高级装备升级石</v>
      </c>
      <c r="AF43" s="2">
        <v>0.36</v>
      </c>
      <c r="AG43" s="2"/>
      <c r="AH43" s="2">
        <v>0.3</v>
      </c>
      <c r="AI43" s="2">
        <f>[8]D_金币十连抽!$S$51</f>
        <v>2.865329512893983E-2</v>
      </c>
      <c r="AJ43" s="2"/>
      <c r="AK43" s="2"/>
      <c r="AL43" s="2"/>
      <c r="AM43" s="2">
        <f>[8]D_金币商场!$U$82</f>
        <v>1.2274122059324923</v>
      </c>
      <c r="AN43" s="2">
        <f>[8]D_神秘商店!$X$86</f>
        <v>1.1741682974559686</v>
      </c>
      <c r="AO43" s="2"/>
      <c r="AP43" s="2"/>
      <c r="AQ43" s="2">
        <f>[8]D_红包积分商城!$U$6</f>
        <v>5</v>
      </c>
      <c r="AR43" s="2"/>
      <c r="AS43" s="2"/>
      <c r="AW43" s="2" t="s">
        <v>1177</v>
      </c>
      <c r="AX43" s="2">
        <v>70101</v>
      </c>
      <c r="AY43" s="111"/>
      <c r="AZ43" s="111"/>
      <c r="BA43" s="111"/>
      <c r="BB43" s="111"/>
      <c r="BC43" s="111"/>
      <c r="BD43" s="111"/>
      <c r="BE43" s="111"/>
      <c r="BF43" s="111">
        <f>[8]D_金币商场!$U$70</f>
        <v>1.2274122059324923</v>
      </c>
      <c r="BG43" s="111">
        <f>[8]D_神秘商店!$X$79</f>
        <v>0.9393346379647749</v>
      </c>
      <c r="BH43" s="111"/>
      <c r="BI43" s="111"/>
      <c r="BJ43" s="111">
        <f>[8]D_红包积分商城!$U$7</f>
        <v>10</v>
      </c>
      <c r="BK43" s="111"/>
      <c r="BL43" s="111"/>
      <c r="BM43" s="111"/>
      <c r="BN43" s="111"/>
      <c r="BO43" s="111"/>
      <c r="BP43" s="2"/>
    </row>
    <row r="44" spans="2:68">
      <c r="B44" s="2"/>
      <c r="C44" s="2">
        <f>副本规划!G40</f>
        <v>23</v>
      </c>
      <c r="D44" s="2">
        <f>副本规划!D40</f>
        <v>0.47981984798737787</v>
      </c>
      <c r="E44" s="2">
        <f>副本规划!E40</f>
        <v>35</v>
      </c>
      <c r="F44" s="2">
        <f>副本规划!F40</f>
        <v>34</v>
      </c>
      <c r="G44" s="2"/>
      <c r="H44" s="2"/>
      <c r="I44" s="2">
        <f>副本规划!I40</f>
        <v>1</v>
      </c>
      <c r="AE44" s="2" t="str">
        <f>AE36</f>
        <v>稀有装备升级石</v>
      </c>
      <c r="AF44" s="2"/>
      <c r="AG44" s="2"/>
      <c r="AH44" s="2">
        <v>0.5</v>
      </c>
      <c r="AI44" s="2">
        <f>[8]D_金币十连抽!$S$52</f>
        <v>9.5510983763132766E-3</v>
      </c>
      <c r="AJ44" s="2"/>
      <c r="AK44" s="2">
        <f>[8]D_钻石十连抽!$AB$131</f>
        <v>0</v>
      </c>
      <c r="AL44" s="2"/>
      <c r="AM44" s="2">
        <f>[8]D_金币商场!$U$83</f>
        <v>0.81827480395499497</v>
      </c>
      <c r="AN44" s="2">
        <f>[8]D_神秘商店!$X$87</f>
        <v>0.23483365949119372</v>
      </c>
      <c r="AO44" s="2"/>
      <c r="AP44" s="2">
        <f>[8]D_VIP商城!$T$38</f>
        <v>2.1707670043415339</v>
      </c>
      <c r="AQ44" s="2"/>
      <c r="AR44" s="2"/>
      <c r="AS44" s="2"/>
      <c r="AW44" s="2" t="s">
        <v>1178</v>
      </c>
      <c r="AX44" s="2">
        <v>70201</v>
      </c>
      <c r="AY44" s="111"/>
      <c r="AZ44" s="111"/>
      <c r="BA44" s="111"/>
      <c r="BB44" s="111"/>
      <c r="BC44" s="111"/>
      <c r="BD44" s="111">
        <f>[8]D_钻石十连抽!$AB$133</f>
        <v>0</v>
      </c>
      <c r="BE44" s="111"/>
      <c r="BF44" s="111">
        <f>[8]D_金币商场!$U$71</f>
        <v>0.81827480395499497</v>
      </c>
      <c r="BG44" s="111">
        <f>[8]D_神秘商店!$X$80</f>
        <v>0.70450097847358117</v>
      </c>
      <c r="BH44" s="111"/>
      <c r="BI44" s="111">
        <f>[8]D_VIP商城!$T$40</f>
        <v>2.1707670043415339</v>
      </c>
      <c r="BJ44" s="111"/>
      <c r="BK44" s="111"/>
      <c r="BL44" s="111"/>
      <c r="BM44" s="111"/>
      <c r="BN44" s="111"/>
      <c r="BO44" s="111"/>
      <c r="BP44" s="2"/>
    </row>
    <row r="45" spans="2:68">
      <c r="B45" s="2"/>
      <c r="C45" s="2">
        <f>副本规划!G41</f>
        <v>24</v>
      </c>
      <c r="D45" s="2">
        <f>副本规划!D41</f>
        <v>0.5281660467563194</v>
      </c>
      <c r="E45" s="2">
        <f>副本规划!E41</f>
        <v>36</v>
      </c>
      <c r="F45" s="2">
        <f>副本规划!F41</f>
        <v>35</v>
      </c>
      <c r="G45" s="2" t="s">
        <v>190</v>
      </c>
      <c r="H45" s="2"/>
      <c r="I45" s="2">
        <f>副本规划!I41</f>
        <v>0</v>
      </c>
      <c r="AE45" s="2" t="str">
        <f>AE37</f>
        <v>史诗装备升级石</v>
      </c>
      <c r="AF45" s="2"/>
      <c r="AG45" s="2"/>
      <c r="AH45" s="2">
        <v>0.3</v>
      </c>
      <c r="AI45" s="2"/>
      <c r="AJ45" s="2"/>
      <c r="AK45" s="2">
        <f>[8]D_钻石十连抽!$AB$132</f>
        <v>0</v>
      </c>
      <c r="AL45" s="2"/>
      <c r="AM45" s="2"/>
      <c r="AN45" s="2"/>
      <c r="AO45" s="2"/>
      <c r="AP45" s="2">
        <f>[8]D_VIP商城!$T$39</f>
        <v>1.3024602026049203</v>
      </c>
      <c r="AQ45" s="2"/>
      <c r="AR45" s="2"/>
      <c r="AS45" s="2"/>
      <c r="AW45" s="2" t="s">
        <v>1179</v>
      </c>
      <c r="AX45" s="2">
        <v>70301</v>
      </c>
      <c r="AY45" s="2"/>
      <c r="AZ45" s="2"/>
      <c r="BA45" s="2"/>
      <c r="BB45" s="2"/>
      <c r="BC45" s="2"/>
      <c r="BD45" s="2">
        <f>[8]D_钻石十连抽!$AB$134</f>
        <v>0</v>
      </c>
      <c r="BE45" s="2"/>
      <c r="BF45" s="2"/>
      <c r="BG45" s="2"/>
      <c r="BH45" s="2"/>
      <c r="BI45" s="2">
        <f>[8]D_VIP商城!$T$41</f>
        <v>1.3024602026049203</v>
      </c>
      <c r="BJ45" s="2"/>
      <c r="BK45" s="2"/>
      <c r="BL45" s="2"/>
      <c r="BM45" s="2"/>
      <c r="BN45" s="2"/>
      <c r="BO45" s="2"/>
      <c r="BP45" s="2"/>
    </row>
    <row r="46" spans="2:68">
      <c r="B46" s="2"/>
      <c r="C46" s="2">
        <f>副本规划!G42</f>
        <v>25</v>
      </c>
      <c r="D46" s="2">
        <f>副本规划!D42</f>
        <v>0.58138356326088625</v>
      </c>
      <c r="E46" s="2">
        <f>副本规划!E42</f>
        <v>37</v>
      </c>
      <c r="F46" s="2">
        <f>副本规划!F42</f>
        <v>36</v>
      </c>
      <c r="G46" s="2"/>
      <c r="H46" s="2"/>
      <c r="I46" s="2">
        <f>副本规划!I42</f>
        <v>0</v>
      </c>
      <c r="AE46" s="2" t="str">
        <f>AE38</f>
        <v>传说装备升级石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W46" s="2" t="s">
        <v>1180</v>
      </c>
      <c r="AX46" s="2">
        <v>70010</v>
      </c>
      <c r="AY46" s="2"/>
      <c r="AZ46" s="2"/>
      <c r="BA46" s="2"/>
      <c r="BB46" s="2"/>
      <c r="BC46" s="2"/>
      <c r="BD46" s="2"/>
      <c r="BE46" s="2"/>
      <c r="BF46" s="2">
        <f>[8]D_金币商场!$U$77</f>
        <v>1.8411183088987384</v>
      </c>
      <c r="BG46" s="2"/>
      <c r="BH46" s="2"/>
      <c r="BI46" s="2"/>
      <c r="BJ46" s="2"/>
      <c r="BK46" s="2"/>
      <c r="BL46" s="2"/>
      <c r="BM46" s="2"/>
      <c r="BN46" s="2"/>
      <c r="BO46" s="2"/>
      <c r="BP46" s="2"/>
    </row>
    <row r="47" spans="2:68">
      <c r="B47" s="2"/>
      <c r="C47" s="2">
        <f>副本规划!G43</f>
        <v>26</v>
      </c>
      <c r="D47" s="2">
        <f>副本规划!D43</f>
        <v>0.6399632269165374</v>
      </c>
      <c r="E47" s="2">
        <f>副本规划!E43</f>
        <v>38</v>
      </c>
      <c r="F47" s="2">
        <f>副本规划!F43</f>
        <v>37</v>
      </c>
      <c r="G47" s="2" t="s">
        <v>190</v>
      </c>
      <c r="H47" s="2"/>
      <c r="I47" s="2">
        <f>副本规划!I43</f>
        <v>0</v>
      </c>
    </row>
    <row r="48" spans="2:68">
      <c r="B48" s="2"/>
      <c r="C48" s="2">
        <f>副本规划!G44</f>
        <v>27</v>
      </c>
      <c r="D48" s="2">
        <f>副本规划!D44</f>
        <v>0.70444532265121429</v>
      </c>
      <c r="E48" s="2">
        <f>副本规划!E44</f>
        <v>39</v>
      </c>
      <c r="F48" s="2">
        <f>副本规划!F44</f>
        <v>38</v>
      </c>
      <c r="G48" s="2" t="s">
        <v>190</v>
      </c>
      <c r="H48" s="2"/>
      <c r="I48" s="2">
        <f>副本规划!I44</f>
        <v>0</v>
      </c>
    </row>
    <row r="49" spans="2:28">
      <c r="B49" s="2"/>
      <c r="C49" s="2">
        <f>副本规划!G45</f>
        <v>28</v>
      </c>
      <c r="D49" s="2">
        <f>副本规划!D45</f>
        <v>0.77542457399648657</v>
      </c>
      <c r="E49" s="2">
        <f>副本规划!E45</f>
        <v>40</v>
      </c>
      <c r="F49" s="2">
        <f>副本规划!F45</f>
        <v>39</v>
      </c>
      <c r="G49" s="2" t="s">
        <v>191</v>
      </c>
      <c r="H49" s="2"/>
      <c r="I49" s="2">
        <f>副本规划!I45</f>
        <v>2</v>
      </c>
      <c r="J49" t="s">
        <v>195</v>
      </c>
      <c r="L49" t="s">
        <v>206</v>
      </c>
    </row>
    <row r="50" spans="2:28">
      <c r="B50" s="2"/>
      <c r="C50" s="2">
        <f>副本规划!G46</f>
        <v>29</v>
      </c>
      <c r="D50" s="2">
        <f>副本规划!D46</f>
        <v>0.85355562827030251</v>
      </c>
      <c r="E50" s="2">
        <f>副本规划!E46</f>
        <v>41</v>
      </c>
      <c r="F50" s="2">
        <f>副本规划!F46</f>
        <v>40</v>
      </c>
      <c r="G50" s="2" t="s">
        <v>191</v>
      </c>
      <c r="H50" s="2"/>
      <c r="I50" s="2">
        <f>副本规划!I46</f>
        <v>0</v>
      </c>
    </row>
    <row r="51" spans="2:28">
      <c r="B51" s="2"/>
      <c r="C51" s="2">
        <f>副本规划!G47</f>
        <v>30</v>
      </c>
      <c r="D51" s="2">
        <f>副本规划!D47</f>
        <v>0.9395590944416109</v>
      </c>
      <c r="E51" s="2">
        <f>副本规划!E47</f>
        <v>42</v>
      </c>
      <c r="F51" s="2">
        <f>副本规划!F47</f>
        <v>41</v>
      </c>
      <c r="G51" s="2" t="s">
        <v>191</v>
      </c>
      <c r="H51" s="2"/>
      <c r="I51" s="2">
        <f>副本规划!I47</f>
        <v>0</v>
      </c>
    </row>
    <row r="52" spans="2:28">
      <c r="B52" s="2"/>
      <c r="C52" s="2">
        <f>副本规划!G48</f>
        <v>31</v>
      </c>
      <c r="D52" s="2">
        <f>副本规划!D48</f>
        <v>1.0342281893645782</v>
      </c>
      <c r="E52" s="2">
        <f>副本规划!E48</f>
        <v>43</v>
      </c>
      <c r="F52" s="2">
        <f>副本规划!F48</f>
        <v>42</v>
      </c>
      <c r="G52" s="2" t="s">
        <v>191</v>
      </c>
      <c r="H52" s="2"/>
      <c r="I52" s="2">
        <f>副本规划!I48</f>
        <v>0</v>
      </c>
    </row>
    <row r="53" spans="2:28">
      <c r="B53" s="2"/>
      <c r="C53" s="2">
        <f>副本规划!G49</f>
        <v>32</v>
      </c>
      <c r="D53" s="2">
        <f>副本规划!D49</f>
        <v>1.1384360536811409</v>
      </c>
      <c r="E53" s="2">
        <f>副本规划!E49</f>
        <v>44</v>
      </c>
      <c r="F53" s="2">
        <f>副本规划!F49</f>
        <v>43</v>
      </c>
      <c r="G53" s="2" t="s">
        <v>191</v>
      </c>
      <c r="H53" s="2"/>
      <c r="I53" s="2">
        <f>副本规划!I49</f>
        <v>0</v>
      </c>
    </row>
    <row r="54" spans="2:28" s="5" customFormat="1">
      <c r="B54" s="43"/>
      <c r="C54" s="2">
        <f>副本规划!G50</f>
        <v>33</v>
      </c>
      <c r="D54" s="43">
        <f>副本规划!D50</f>
        <v>1.2531438048670518</v>
      </c>
      <c r="E54" s="43">
        <f>副本规划!E50</f>
        <v>45</v>
      </c>
      <c r="F54" s="2">
        <f>副本规划!F50</f>
        <v>44</v>
      </c>
      <c r="G54" s="43" t="s">
        <v>191</v>
      </c>
      <c r="H54" s="43"/>
      <c r="I54" s="2">
        <f>副本规划!I50</f>
        <v>0</v>
      </c>
      <c r="Q54" s="5">
        <f>SUM('[5]价值&amp;消耗'!F$52:F$57)</f>
        <v>22</v>
      </c>
      <c r="R54" s="5">
        <f>SUM('[5]价值&amp;消耗'!G$52:G$57)</f>
        <v>116</v>
      </c>
      <c r="S54" s="5">
        <f>SUM('[5]价值&amp;消耗'!H$52:H$57)</f>
        <v>439</v>
      </c>
      <c r="T54" s="5">
        <f>SUM('[5]价值&amp;消耗'!T$52:T$57)</f>
        <v>0</v>
      </c>
      <c r="U54" s="5">
        <f>SUM('[5]价值&amp;消耗'!U$52:U$57)</f>
        <v>33</v>
      </c>
      <c r="V54" s="5">
        <f>SUM('[5]价值&amp;消耗'!V$52:V$57)</f>
        <v>169</v>
      </c>
      <c r="W54" s="5">
        <f>'[5]价值&amp;消耗'!AD114</f>
        <v>86240</v>
      </c>
      <c r="X54" s="5">
        <f>'[5]价值&amp;消耗'!AE114</f>
        <v>330</v>
      </c>
      <c r="Y54" s="5">
        <f>'[5]价值&amp;消耗'!AF114</f>
        <v>0.02</v>
      </c>
      <c r="Z54" s="5">
        <f>'[5]价值&amp;消耗'!AG114</f>
        <v>0.02</v>
      </c>
      <c r="AA54" s="5">
        <f>'[5]价值&amp;消耗'!AH114</f>
        <v>0</v>
      </c>
      <c r="AB54" s="5">
        <f>'[5]价值&amp;消耗'!AI114</f>
        <v>0</v>
      </c>
    </row>
    <row r="55" spans="2:28">
      <c r="B55" s="2"/>
      <c r="C55" s="2">
        <f>副本规划!G51</f>
        <v>34</v>
      </c>
      <c r="D55" s="2">
        <f>副本规划!D51</f>
        <v>1.3794094016953091</v>
      </c>
      <c r="E55" s="2">
        <f>副本规划!E51</f>
        <v>46</v>
      </c>
      <c r="F55" s="2">
        <f>副本规划!F51</f>
        <v>45</v>
      </c>
      <c r="G55" s="2" t="s">
        <v>191</v>
      </c>
      <c r="H55" s="2"/>
      <c r="I55" s="2">
        <f>副本规划!I51</f>
        <v>0</v>
      </c>
    </row>
    <row r="56" spans="2:28">
      <c r="B56" s="2"/>
      <c r="C56" s="2">
        <f>副本规划!G52</f>
        <v>35</v>
      </c>
      <c r="D56" s="2">
        <f>副本规划!D52</f>
        <v>1.5183974018746234</v>
      </c>
      <c r="E56" s="2">
        <f>副本规划!E52</f>
        <v>47</v>
      </c>
      <c r="F56" s="2">
        <f>副本规划!F52</f>
        <v>46</v>
      </c>
      <c r="G56" s="2" t="s">
        <v>191</v>
      </c>
      <c r="H56" s="2"/>
      <c r="I56" s="2">
        <f>副本规划!I52</f>
        <v>3</v>
      </c>
    </row>
    <row r="57" spans="2:28">
      <c r="B57" s="2"/>
      <c r="C57" s="2">
        <f>副本规划!G53</f>
        <v>36</v>
      </c>
      <c r="D57" s="2">
        <f>副本规划!D53</f>
        <v>1.6713897028584002</v>
      </c>
      <c r="E57" s="2">
        <f>副本规划!E53</f>
        <v>48</v>
      </c>
      <c r="F57" s="2">
        <f>副本规划!F53</f>
        <v>47</v>
      </c>
      <c r="G57" s="2" t="s">
        <v>191</v>
      </c>
      <c r="H57" s="2"/>
      <c r="I57" s="2">
        <f>副本规划!I53</f>
        <v>0</v>
      </c>
      <c r="J57" t="s">
        <v>191</v>
      </c>
      <c r="L57" t="s">
        <v>207</v>
      </c>
    </row>
    <row r="58" spans="2:28">
      <c r="B58" s="2"/>
      <c r="C58" s="2">
        <f>副本规划!G54</f>
        <v>37</v>
      </c>
      <c r="D58" s="2">
        <f>副本规划!D54</f>
        <v>1.8397973648875856</v>
      </c>
      <c r="E58" s="2">
        <f>副本规划!E54</f>
        <v>49</v>
      </c>
      <c r="F58" s="2">
        <f>副本规划!F54</f>
        <v>48</v>
      </c>
      <c r="G58" s="2" t="s">
        <v>191</v>
      </c>
      <c r="H58" s="2"/>
      <c r="I58" s="2">
        <f>副本规划!I54</f>
        <v>0</v>
      </c>
    </row>
    <row r="59" spans="2:28">
      <c r="B59" s="2"/>
      <c r="C59" s="2">
        <f>副本规划!G55</f>
        <v>38</v>
      </c>
      <c r="D59" s="2">
        <f>副本规划!D55</f>
        <v>2.0251736253122479</v>
      </c>
      <c r="E59" s="2">
        <f>副本规划!E55</f>
        <v>50</v>
      </c>
      <c r="F59" s="2">
        <f>副本规划!F55</f>
        <v>49</v>
      </c>
      <c r="G59" s="2" t="s">
        <v>191</v>
      </c>
      <c r="H59" s="2"/>
      <c r="I59" s="2">
        <f>副本规划!I55</f>
        <v>0</v>
      </c>
    </row>
    <row r="60" spans="2:28">
      <c r="B60" s="2"/>
      <c r="C60" s="2">
        <f>副本规划!G56</f>
        <v>39</v>
      </c>
      <c r="D60" s="2">
        <f>副本规划!D56</f>
        <v>2.2292282242240029</v>
      </c>
      <c r="E60" s="2">
        <f>副本规划!E56</f>
        <v>51</v>
      </c>
      <c r="F60" s="2">
        <f>副本规划!F56</f>
        <v>50</v>
      </c>
      <c r="G60" s="2" t="s">
        <v>191</v>
      </c>
      <c r="H60" s="2"/>
      <c r="I60" s="2">
        <f>副本规划!I56</f>
        <v>0</v>
      </c>
    </row>
    <row r="61" spans="2:28">
      <c r="B61" s="2"/>
      <c r="C61" s="2">
        <f>副本规划!G57</f>
        <v>40</v>
      </c>
      <c r="D61" s="2">
        <f>副本规划!D57</f>
        <v>2.4538431735257733</v>
      </c>
      <c r="E61" s="2">
        <f>副本规划!E57</f>
        <v>52</v>
      </c>
      <c r="F61" s="2">
        <f>副本规划!F57</f>
        <v>51</v>
      </c>
      <c r="G61" s="2" t="s">
        <v>191</v>
      </c>
      <c r="H61" s="2"/>
      <c r="I61" s="2">
        <f>副本规划!I57</f>
        <v>0</v>
      </c>
    </row>
    <row r="62" spans="2:28">
      <c r="B62" s="2"/>
      <c r="C62" s="2">
        <f>副本规划!G58</f>
        <v>41</v>
      </c>
      <c r="D62" s="2">
        <f>副本规划!D58</f>
        <v>2.7010901148782449</v>
      </c>
      <c r="E62" s="2">
        <f>副本规划!E58</f>
        <v>53</v>
      </c>
      <c r="F62" s="2">
        <f>副本规划!F58</f>
        <v>52</v>
      </c>
      <c r="G62" s="2" t="s">
        <v>191</v>
      </c>
      <c r="H62" s="2"/>
      <c r="I62" s="2">
        <f>副本规划!I58</f>
        <v>0</v>
      </c>
    </row>
    <row r="63" spans="2:28">
      <c r="B63" s="2"/>
      <c r="C63" s="2">
        <f>副本规划!G59</f>
        <v>42</v>
      </c>
      <c r="D63" s="2">
        <f>副本规划!D59</f>
        <v>2.9732494266167659</v>
      </c>
      <c r="E63" s="2">
        <f>副本规划!E59</f>
        <v>54</v>
      </c>
      <c r="F63" s="2">
        <f>副本规划!F59</f>
        <v>53</v>
      </c>
      <c r="G63" s="2" t="s">
        <v>191</v>
      </c>
      <c r="H63" s="2"/>
      <c r="I63" s="2">
        <f>副本规划!I59</f>
        <v>0</v>
      </c>
    </row>
    <row r="64" spans="2:28">
      <c r="B64" s="2"/>
      <c r="C64" s="2">
        <f>副本规划!G60</f>
        <v>43</v>
      </c>
      <c r="D64" s="2">
        <f>副本规划!D60</f>
        <v>3.272831255863307</v>
      </c>
      <c r="E64" s="2">
        <f>副本规划!E60</f>
        <v>55</v>
      </c>
      <c r="F64" s="2">
        <f>副本规划!F60</f>
        <v>54</v>
      </c>
      <c r="G64" s="2" t="s">
        <v>191</v>
      </c>
      <c r="H64" s="2"/>
      <c r="I64" s="2">
        <f>副本规划!I60</f>
        <v>4</v>
      </c>
      <c r="J64" t="s">
        <v>191</v>
      </c>
      <c r="L64" t="s">
        <v>208</v>
      </c>
    </row>
    <row r="65" spans="2:28">
      <c r="B65" s="2"/>
      <c r="C65" s="2">
        <f>副本规划!G61</f>
        <v>44</v>
      </c>
      <c r="D65" s="2">
        <f>副本规划!D61</f>
        <v>3.6025986698143324</v>
      </c>
      <c r="E65" s="2">
        <f>副本规划!E61</f>
        <v>56</v>
      </c>
      <c r="F65" s="2">
        <f>副本规划!F61</f>
        <v>55</v>
      </c>
      <c r="G65" s="2" t="s">
        <v>191</v>
      </c>
      <c r="H65" s="2"/>
      <c r="I65" s="2">
        <f>副本规划!I61</f>
        <v>0</v>
      </c>
    </row>
    <row r="66" spans="2:28">
      <c r="B66" s="2"/>
      <c r="C66" s="2">
        <f>副本规划!G62</f>
        <v>45</v>
      </c>
      <c r="D66" s="2">
        <f>副本规划!D62</f>
        <v>3.9655931397307782</v>
      </c>
      <c r="E66" s="2">
        <f>副本规划!E62</f>
        <v>57</v>
      </c>
      <c r="F66" s="2">
        <f>副本规划!F62</f>
        <v>56</v>
      </c>
      <c r="G66" s="2" t="s">
        <v>191</v>
      </c>
      <c r="H66" s="2"/>
      <c r="I66" s="2">
        <f>副本规划!I62</f>
        <v>0</v>
      </c>
    </row>
    <row r="67" spans="2:28">
      <c r="B67" s="2"/>
      <c r="C67" s="2">
        <f>副本规划!G63</f>
        <v>46</v>
      </c>
      <c r="D67" s="2">
        <f>副本规划!D63</f>
        <v>4.3651625926709956</v>
      </c>
      <c r="E67" s="2">
        <f>副本规划!E63</f>
        <v>58</v>
      </c>
      <c r="F67" s="2">
        <f>副本规划!F63</f>
        <v>57</v>
      </c>
      <c r="G67" s="2" t="s">
        <v>191</v>
      </c>
      <c r="H67" s="2"/>
      <c r="I67" s="2">
        <f>副本规划!I63</f>
        <v>0</v>
      </c>
    </row>
    <row r="68" spans="2:28">
      <c r="B68" s="2"/>
      <c r="C68" s="2">
        <f>副本规划!G64</f>
        <v>47</v>
      </c>
      <c r="D68" s="2">
        <f>副本规划!D64</f>
        <v>4.8049922896900519</v>
      </c>
      <c r="E68" s="2">
        <f>副本规划!E64</f>
        <v>59</v>
      </c>
      <c r="F68" s="2">
        <f>副本规划!F64</f>
        <v>58</v>
      </c>
      <c r="G68" s="2" t="s">
        <v>191</v>
      </c>
      <c r="H68" s="2"/>
      <c r="I68" s="2">
        <f>副本规划!I64</f>
        <v>0</v>
      </c>
    </row>
    <row r="69" spans="2:28" s="5" customFormat="1">
      <c r="B69" s="43"/>
      <c r="C69" s="2">
        <f>副本规划!G65</f>
        <v>48</v>
      </c>
      <c r="D69" s="43">
        <f>副本规划!D65</f>
        <v>5.2891388152975081</v>
      </c>
      <c r="E69" s="43">
        <f>副本规划!E65</f>
        <v>60</v>
      </c>
      <c r="F69" s="2">
        <f>副本规划!F65</f>
        <v>59</v>
      </c>
      <c r="G69" s="43" t="s">
        <v>191</v>
      </c>
      <c r="H69" s="43"/>
      <c r="I69" s="2">
        <f>副本规划!I65</f>
        <v>0</v>
      </c>
      <c r="Q69" s="5">
        <f>SUM('[5]价值&amp;消耗'!F$70:F$75)</f>
        <v>13</v>
      </c>
      <c r="R69" s="5">
        <f>SUM('[5]价值&amp;消耗'!G$70:G$75)</f>
        <v>76</v>
      </c>
      <c r="S69" s="5">
        <f>SUM('[5]价值&amp;消耗'!H$70:H$75)</f>
        <v>1554</v>
      </c>
      <c r="T69" s="5">
        <f>SUM('[5]价值&amp;消耗'!T$70:T$75)</f>
        <v>0</v>
      </c>
      <c r="U69" s="5">
        <f>SUM('[5]价值&amp;消耗'!U$70:U$75)</f>
        <v>30</v>
      </c>
      <c r="V69" s="5">
        <f>SUM('[5]价值&amp;消耗'!V$70:V$75)</f>
        <v>217</v>
      </c>
      <c r="W69" s="5">
        <f>'[5]价值&amp;消耗'!AD115</f>
        <v>86240</v>
      </c>
      <c r="X69" s="5">
        <f>'[5]价值&amp;消耗'!AE115</f>
        <v>330</v>
      </c>
      <c r="Y69" s="5">
        <f>'[5]价值&amp;消耗'!AF115</f>
        <v>0.02</v>
      </c>
      <c r="Z69" s="5">
        <f>'[5]价值&amp;消耗'!AG115</f>
        <v>0.02</v>
      </c>
      <c r="AA69" s="5">
        <f>'[5]价值&amp;消耗'!AH115</f>
        <v>0</v>
      </c>
      <c r="AB69" s="5">
        <f>'[5]价值&amp;消耗'!AI115</f>
        <v>0</v>
      </c>
    </row>
    <row r="70" spans="2:28">
      <c r="B70" s="2"/>
      <c r="C70" s="2">
        <f>副本规划!G66</f>
        <v>49</v>
      </c>
      <c r="D70" s="2">
        <f>副本规划!D66</f>
        <v>5.8220674916611079</v>
      </c>
      <c r="E70" s="2">
        <f>副本规划!E66</f>
        <v>61</v>
      </c>
      <c r="F70" s="2">
        <f>副本规划!F66</f>
        <v>60</v>
      </c>
      <c r="G70" s="2" t="s">
        <v>191</v>
      </c>
      <c r="H70" s="2"/>
      <c r="I70" s="2">
        <f>副本规划!I66</f>
        <v>0</v>
      </c>
    </row>
    <row r="71" spans="2:28">
      <c r="B71" s="2"/>
      <c r="C71" s="2">
        <f>副本规划!G67</f>
        <v>50</v>
      </c>
      <c r="D71" s="2">
        <f>副本规划!D67</f>
        <v>6.4086935626306527</v>
      </c>
      <c r="E71" s="2">
        <f>副本规划!E67</f>
        <v>62</v>
      </c>
      <c r="F71" s="2">
        <f>副本规划!F67</f>
        <v>61</v>
      </c>
      <c r="G71" s="2" t="s">
        <v>191</v>
      </c>
      <c r="H71" s="2"/>
      <c r="I71" s="2">
        <f>副本规划!I67</f>
        <v>0</v>
      </c>
    </row>
    <row r="72" spans="2:28">
      <c r="B72" s="2"/>
      <c r="C72" s="2">
        <f>副本规划!G68</f>
        <v>51</v>
      </c>
      <c r="D72" s="2">
        <f>副本规划!D68</f>
        <v>7.0544275274255561</v>
      </c>
      <c r="E72" s="2">
        <f>副本规划!E68</f>
        <v>63</v>
      </c>
      <c r="F72" s="2">
        <f>副本规划!F68</f>
        <v>62</v>
      </c>
      <c r="G72" s="2" t="s">
        <v>191</v>
      </c>
      <c r="H72" s="2"/>
      <c r="I72" s="2">
        <f>副本规划!I68</f>
        <v>5</v>
      </c>
    </row>
    <row r="73" spans="2:28">
      <c r="B73" s="2"/>
      <c r="C73" s="2">
        <f>副本规划!G69</f>
        <v>52</v>
      </c>
      <c r="D73" s="2">
        <f>副本规划!D69</f>
        <v>7.7652250421023155</v>
      </c>
      <c r="E73" s="2">
        <f>副本规划!E69</f>
        <v>64</v>
      </c>
      <c r="F73" s="2">
        <f>副本规划!F69</f>
        <v>63</v>
      </c>
      <c r="G73" s="2" t="s">
        <v>191</v>
      </c>
      <c r="H73" s="2"/>
      <c r="I73" s="2">
        <f>副本规划!I69</f>
        <v>0</v>
      </c>
      <c r="J73" t="s">
        <v>191</v>
      </c>
      <c r="L73" t="s">
        <v>208</v>
      </c>
    </row>
    <row r="74" spans="2:28">
      <c r="B74" s="2"/>
      <c r="C74" s="2">
        <f>副本规划!G70</f>
        <v>53</v>
      </c>
      <c r="D74" s="2">
        <f>副本规划!D70</f>
        <v>8.5476418490471513</v>
      </c>
      <c r="E74" s="2">
        <f>副本规划!E70</f>
        <v>65</v>
      </c>
      <c r="F74" s="2">
        <f>副本规划!F70</f>
        <v>64</v>
      </c>
      <c r="G74" s="2" t="s">
        <v>191</v>
      </c>
      <c r="H74" s="2"/>
      <c r="I74" s="2">
        <f>副本规划!I70</f>
        <v>0</v>
      </c>
    </row>
    <row r="75" spans="2:28">
      <c r="B75" s="2"/>
      <c r="C75" s="2">
        <f>副本规划!G71</f>
        <v>54</v>
      </c>
      <c r="D75" s="2">
        <f>副本规划!D71</f>
        <v>9.4088942411129057</v>
      </c>
      <c r="E75" s="2">
        <f>副本规划!E71</f>
        <v>66</v>
      </c>
      <c r="F75" s="2">
        <f>副本规划!F71</f>
        <v>65</v>
      </c>
      <c r="G75" s="2" t="s">
        <v>191</v>
      </c>
      <c r="H75" s="2"/>
      <c r="I75" s="2">
        <f>副本规划!I71</f>
        <v>0</v>
      </c>
    </row>
    <row r="76" spans="2:28">
      <c r="B76" s="2"/>
      <c r="C76" s="2">
        <f>副本规划!G72</f>
        <v>55</v>
      </c>
      <c r="D76" s="2">
        <f>副本规划!D72</f>
        <v>10.356925618065782</v>
      </c>
      <c r="E76" s="2">
        <f>副本规划!E72</f>
        <v>67</v>
      </c>
      <c r="F76" s="2">
        <f>副本规划!F72</f>
        <v>66</v>
      </c>
      <c r="G76" s="2" t="s">
        <v>191</v>
      </c>
      <c r="H76" s="2"/>
      <c r="I76" s="2">
        <f>副本规划!I72</f>
        <v>0</v>
      </c>
    </row>
    <row r="77" spans="2:28">
      <c r="B77" s="2"/>
      <c r="C77" s="2">
        <f>副本规划!G73</f>
        <v>56</v>
      </c>
      <c r="D77" s="2">
        <f>副本规划!D73</f>
        <v>11.400479749197352</v>
      </c>
      <c r="E77" s="2">
        <f>副本规划!E73</f>
        <v>68</v>
      </c>
      <c r="F77" s="2">
        <f>副本规划!F73</f>
        <v>67</v>
      </c>
      <c r="G77" s="2" t="s">
        <v>191</v>
      </c>
      <c r="H77" s="2"/>
      <c r="I77" s="2">
        <f>副本规划!I73</f>
        <v>0</v>
      </c>
    </row>
    <row r="78" spans="2:28">
      <c r="B78" s="2"/>
      <c r="C78" s="2">
        <f>副本规划!G74</f>
        <v>57</v>
      </c>
      <c r="D78" s="2">
        <f>副本规划!D74</f>
        <v>12.549181417808791</v>
      </c>
      <c r="E78" s="2">
        <f>副本规划!E74</f>
        <v>69</v>
      </c>
      <c r="F78" s="2">
        <f>副本规划!F74</f>
        <v>68</v>
      </c>
      <c r="G78" s="2" t="s">
        <v>191</v>
      </c>
      <c r="H78" s="2"/>
      <c r="I78" s="2">
        <f>副本规划!I74</f>
        <v>0</v>
      </c>
    </row>
    <row r="79" spans="2:28" s="5" customFormat="1">
      <c r="B79" s="43"/>
      <c r="C79" s="2">
        <f>副本规划!G75</f>
        <v>58</v>
      </c>
      <c r="D79" s="43">
        <f>副本规划!D75</f>
        <v>13.813625191357827</v>
      </c>
      <c r="E79" s="43">
        <f>副本规划!E75</f>
        <v>70</v>
      </c>
      <c r="F79" s="2">
        <f>副本规划!F75</f>
        <v>69</v>
      </c>
      <c r="G79" s="43" t="s">
        <v>191</v>
      </c>
      <c r="H79" s="43"/>
      <c r="I79" s="2">
        <f>副本规划!I75</f>
        <v>0</v>
      </c>
      <c r="Q79" s="5">
        <f>SUM('[5]价值&amp;消耗'!F$88:F$93)</f>
        <v>13</v>
      </c>
      <c r="R79" s="5">
        <f>SUM('[5]价值&amp;消耗'!G$88:G$93)</f>
        <v>72</v>
      </c>
      <c r="S79" s="5">
        <f>SUM('[5]价值&amp;消耗'!H$88:H$93)</f>
        <v>2841</v>
      </c>
      <c r="T79" s="5">
        <f>SUM('[5]价值&amp;消耗'!T$88:T$93)</f>
        <v>0</v>
      </c>
      <c r="U79" s="5">
        <f>SUM('[5]价值&amp;消耗'!U$88:U$93)</f>
        <v>46</v>
      </c>
      <c r="V79" s="5">
        <f>SUM('[5]价值&amp;消耗'!V$88:V$93)</f>
        <v>151</v>
      </c>
      <c r="W79" s="5">
        <f>'[5]价值&amp;消耗'!AD116</f>
        <v>172480</v>
      </c>
      <c r="X79" s="5">
        <f>'[5]价值&amp;消耗'!AE116</f>
        <v>605</v>
      </c>
      <c r="Y79" s="5">
        <f>'[5]价值&amp;消耗'!AF116</f>
        <v>0.02</v>
      </c>
      <c r="Z79" s="5">
        <f>'[5]价值&amp;消耗'!AG116</f>
        <v>0.02</v>
      </c>
      <c r="AA79" s="5">
        <f>'[5]价值&amp;消耗'!AH116</f>
        <v>0</v>
      </c>
      <c r="AB79" s="5">
        <f>'[5]价值&amp;消耗'!AI116</f>
        <v>0</v>
      </c>
    </row>
    <row r="80" spans="2:28">
      <c r="B80" s="2"/>
      <c r="C80" s="2">
        <f>副本规划!G76</f>
        <v>59</v>
      </c>
      <c r="D80" s="2">
        <f>副本规划!D76</f>
        <v>15.20547313600269</v>
      </c>
      <c r="E80" s="2">
        <f>副本规划!E76</f>
        <v>71</v>
      </c>
      <c r="F80" s="2">
        <f>副本规划!F76</f>
        <v>70</v>
      </c>
      <c r="G80" s="2"/>
      <c r="H80" s="2"/>
      <c r="I80" s="2">
        <f>副本规划!I76</f>
        <v>6</v>
      </c>
    </row>
    <row r="81" spans="2:28">
      <c r="B81" s="2"/>
      <c r="C81" s="2">
        <f>副本规划!G77</f>
        <v>60</v>
      </c>
      <c r="D81" s="2">
        <f>副本规划!D77</f>
        <v>16.737562376771915</v>
      </c>
      <c r="E81" s="2">
        <f>副本规划!E77</f>
        <v>72</v>
      </c>
      <c r="F81" s="2">
        <f>副本规划!F77</f>
        <v>71</v>
      </c>
      <c r="G81" s="2"/>
      <c r="H81" s="2"/>
      <c r="I81" s="2">
        <f>副本规划!I77</f>
        <v>0</v>
      </c>
    </row>
    <row r="82" spans="2:28">
      <c r="B82" s="2"/>
      <c r="C82" s="2">
        <f>副本规划!G78</f>
        <v>61</v>
      </c>
      <c r="D82" s="2">
        <f>副本规划!D78</f>
        <v>18.424023495396291</v>
      </c>
      <c r="E82" s="2">
        <f>副本规划!E78</f>
        <v>73</v>
      </c>
      <c r="F82" s="2">
        <f>副本规划!F78</f>
        <v>72</v>
      </c>
      <c r="G82" s="2"/>
      <c r="H82" s="2"/>
      <c r="I82" s="2">
        <f>副本规划!I78</f>
        <v>0</v>
      </c>
    </row>
    <row r="83" spans="2:28">
      <c r="B83" s="2"/>
      <c r="C83" s="2">
        <f>副本规划!G79</f>
        <v>62</v>
      </c>
      <c r="D83" s="2">
        <f>副本规划!D79</f>
        <v>20.280410857795498</v>
      </c>
      <c r="E83" s="2">
        <f>副本规划!E79</f>
        <v>74</v>
      </c>
      <c r="F83" s="2">
        <f>副本规划!F79</f>
        <v>0</v>
      </c>
      <c r="G83" s="2"/>
      <c r="H83" s="2"/>
      <c r="I83" s="2">
        <f>副本规划!I79</f>
        <v>0</v>
      </c>
    </row>
    <row r="84" spans="2:28">
      <c r="B84" s="2"/>
      <c r="C84" s="2">
        <f>副本规划!G80</f>
        <v>63</v>
      </c>
      <c r="D84" s="2">
        <f>副本规划!D80</f>
        <v>22.323846073240301</v>
      </c>
      <c r="E84" s="2">
        <f>副本规划!E80</f>
        <v>75</v>
      </c>
      <c r="F84" s="2">
        <f>副本规划!F80</f>
        <v>0</v>
      </c>
      <c r="G84" s="2"/>
      <c r="H84" s="2"/>
      <c r="I84" s="2">
        <f>副本规划!I80</f>
        <v>0</v>
      </c>
    </row>
    <row r="85" spans="2:28">
      <c r="B85" s="2"/>
      <c r="C85" s="2">
        <f>副本规划!G81</f>
        <v>64</v>
      </c>
      <c r="D85" s="2">
        <f>副本规划!D81</f>
        <v>24.573175908325663</v>
      </c>
      <c r="E85" s="2">
        <f>副本规划!E81</f>
        <v>76</v>
      </c>
      <c r="F85" s="2">
        <f>副本规划!F81</f>
        <v>0</v>
      </c>
      <c r="G85" s="2"/>
      <c r="H85" s="2"/>
      <c r="I85" s="2">
        <f>副本规划!I81</f>
        <v>0</v>
      </c>
    </row>
    <row r="86" spans="2:28">
      <c r="B86" s="2"/>
      <c r="C86" s="2">
        <f>副本规划!G82</f>
        <v>65</v>
      </c>
      <c r="D86" s="2">
        <f>副本规划!D82</f>
        <v>27.049146112207946</v>
      </c>
      <c r="E86" s="2">
        <f>副本规划!E82</f>
        <v>77</v>
      </c>
      <c r="F86" s="2">
        <f>副本规划!F82</f>
        <v>0</v>
      </c>
      <c r="G86" s="2"/>
      <c r="H86" s="2"/>
      <c r="I86" s="2">
        <f>副本规划!I82</f>
        <v>0</v>
      </c>
    </row>
    <row r="87" spans="2:28">
      <c r="B87" s="2"/>
      <c r="C87" s="2">
        <f>副本规划!G83</f>
        <v>66</v>
      </c>
      <c r="D87" s="2">
        <f>副本规划!D83</f>
        <v>29.774592756310394</v>
      </c>
      <c r="E87" s="2">
        <f>副本规划!E83</f>
        <v>78</v>
      </c>
      <c r="F87" s="2">
        <f>副本规划!F83</f>
        <v>0</v>
      </c>
      <c r="G87" s="2"/>
      <c r="H87" s="2"/>
      <c r="I87" s="2">
        <f>副本规划!I83</f>
        <v>0</v>
      </c>
    </row>
    <row r="88" spans="2:28">
      <c r="B88" s="2"/>
      <c r="C88" s="2">
        <f>副本规划!G84</f>
        <v>67</v>
      </c>
      <c r="D88" s="2">
        <f>副本规划!D84</f>
        <v>32.77465285323813</v>
      </c>
      <c r="E88" s="2">
        <f>副本规划!E84</f>
        <v>79</v>
      </c>
      <c r="F88" s="2">
        <f>副本规划!F84</f>
        <v>0</v>
      </c>
      <c r="G88" s="2"/>
      <c r="H88" s="2"/>
      <c r="I88" s="2">
        <f>副本规划!I84</f>
        <v>0</v>
      </c>
    </row>
    <row r="89" spans="2:28" s="5" customFormat="1">
      <c r="B89" s="2"/>
      <c r="C89" s="2">
        <f>副本规划!G85</f>
        <v>68</v>
      </c>
      <c r="D89" s="43">
        <f>副本规划!D85</f>
        <v>36.076996197457966</v>
      </c>
      <c r="E89" s="43">
        <f>副本规划!E85</f>
        <v>80</v>
      </c>
      <c r="F89" s="2">
        <f>副本规划!F85</f>
        <v>0</v>
      </c>
      <c r="G89" s="43"/>
      <c r="H89" s="43"/>
      <c r="I89" s="2">
        <f>副本规划!I85</f>
        <v>0</v>
      </c>
      <c r="Q89" s="5">
        <f>SUM('[5]价值&amp;消耗'!F$100:F$105)</f>
        <v>0</v>
      </c>
      <c r="R89" s="5">
        <f>SUM('[5]价值&amp;消耗'!G$100:G$105)</f>
        <v>40</v>
      </c>
      <c r="S89" s="5">
        <f>SUM('[5]价值&amp;消耗'!H$100:H$105)</f>
        <v>5417</v>
      </c>
      <c r="T89" s="5">
        <f>SUM('[5]价值&amp;消耗'!T$100:T$105)</f>
        <v>0</v>
      </c>
      <c r="U89" s="5">
        <f>SUM('[5]价值&amp;消耗'!U$100:U$105)</f>
        <v>5</v>
      </c>
      <c r="V89" s="5">
        <f>SUM('[5]价值&amp;消耗'!V$100:V$105)</f>
        <v>513</v>
      </c>
      <c r="W89" s="5">
        <f>'[5]价值&amp;消耗'!AD117</f>
        <v>132000</v>
      </c>
      <c r="X89" s="5">
        <f>'[5]价值&amp;消耗'!AE117</f>
        <v>440</v>
      </c>
      <c r="Y89" s="5">
        <f>'[5]价值&amp;消耗'!AF117</f>
        <v>0.02</v>
      </c>
      <c r="Z89" s="5">
        <f>'[5]价值&amp;消耗'!AG117</f>
        <v>0.02</v>
      </c>
      <c r="AA89" s="5">
        <f>'[5]价值&amp;消耗'!AH117</f>
        <v>0</v>
      </c>
      <c r="AB89" s="5">
        <f>'[5]价值&amp;消耗'!AI117</f>
        <v>0</v>
      </c>
    </row>
    <row r="90" spans="2:28">
      <c r="C90" s="2">
        <f>副本规划!G86</f>
        <v>69</v>
      </c>
      <c r="D90" s="43">
        <f>副本规划!D86</f>
        <v>39.712080566028185</v>
      </c>
      <c r="E90" s="43">
        <f>副本规划!E86</f>
        <v>81</v>
      </c>
      <c r="F90" s="2">
        <f>副本规划!F86</f>
        <v>0</v>
      </c>
    </row>
    <row r="91" spans="2:28">
      <c r="C91" s="2">
        <f>副本规划!G87</f>
        <v>70</v>
      </c>
      <c r="D91" s="43">
        <f>副本规划!D87</f>
        <v>43.713432633114657</v>
      </c>
      <c r="E91" s="43">
        <f>副本规划!E87</f>
        <v>82</v>
      </c>
      <c r="F91" s="2">
        <f>副本规划!F87</f>
        <v>0</v>
      </c>
    </row>
    <row r="92" spans="2:28">
      <c r="C92" s="2">
        <f>副本规划!G88</f>
        <v>71</v>
      </c>
      <c r="D92" s="43">
        <f>副本规划!D88</f>
        <v>48.117957189191152</v>
      </c>
      <c r="E92" s="43">
        <f>副本规划!E88</f>
        <v>83</v>
      </c>
      <c r="F92" s="2">
        <f>副本规划!F88</f>
        <v>0</v>
      </c>
    </row>
    <row r="93" spans="2:28">
      <c r="C93" s="2">
        <f>副本规划!G89</f>
        <v>72</v>
      </c>
      <c r="D93" s="43">
        <f>副本规划!D89</f>
        <v>52.96627751687641</v>
      </c>
      <c r="E93" s="43">
        <f>副本规划!E89</f>
        <v>84</v>
      </c>
      <c r="F93" s="2">
        <f>副本规划!F89</f>
        <v>0</v>
      </c>
    </row>
    <row r="94" spans="2:28">
      <c r="C94" s="2">
        <f>副本规划!G90</f>
        <v>0</v>
      </c>
      <c r="D94" s="43">
        <f>副本规划!D90</f>
        <v>0</v>
      </c>
      <c r="E94" s="43">
        <f>副本规划!E90</f>
        <v>0</v>
      </c>
      <c r="F94" s="2">
        <f>副本规划!F90</f>
        <v>0</v>
      </c>
    </row>
    <row r="95" spans="2:28">
      <c r="C95" s="2">
        <f>副本规划!G91</f>
        <v>0</v>
      </c>
      <c r="D95" s="43">
        <f>副本规划!D91</f>
        <v>0</v>
      </c>
      <c r="E95" s="43">
        <f>副本规划!E91</f>
        <v>0</v>
      </c>
      <c r="F95" s="2">
        <f>副本规划!F91</f>
        <v>0</v>
      </c>
    </row>
    <row r="96" spans="2:28">
      <c r="C96" s="2">
        <f>副本规划!G92</f>
        <v>0</v>
      </c>
      <c r="D96" s="43">
        <f>副本规划!D92</f>
        <v>0</v>
      </c>
      <c r="E96" s="43">
        <f>副本规划!E92</f>
        <v>0</v>
      </c>
      <c r="F96" s="2">
        <f>副本规划!F92</f>
        <v>0</v>
      </c>
    </row>
    <row r="97" spans="3:6">
      <c r="C97" s="2">
        <f>副本规划!G93</f>
        <v>0</v>
      </c>
      <c r="D97" s="43">
        <f>副本规划!D93</f>
        <v>0</v>
      </c>
      <c r="E97" s="43">
        <f>副本规划!E93</f>
        <v>0</v>
      </c>
      <c r="F97" s="2">
        <f>副本规划!F93</f>
        <v>0</v>
      </c>
    </row>
    <row r="100" spans="3:6">
      <c r="F100" t="s">
        <v>550</v>
      </c>
    </row>
    <row r="101" spans="3:6">
      <c r="C101">
        <f>[5]D_装备升级表!U3</f>
        <v>85200</v>
      </c>
      <c r="D101" t="s">
        <v>665</v>
      </c>
      <c r="F101">
        <f ca="1">[5]D_装备升级表!V16</f>
        <v>2019.7074124618819</v>
      </c>
    </row>
    <row r="102" spans="3:6">
      <c r="C102">
        <f>[5]D_装备升级表!U4</f>
        <v>85300</v>
      </c>
      <c r="D102" t="s">
        <v>667</v>
      </c>
      <c r="F102">
        <f ca="1">[5]D_装备升级表!V17</f>
        <v>1328.0447276882121</v>
      </c>
    </row>
    <row r="103" spans="3:6">
      <c r="C103">
        <f>[5]D_装备升级表!U5</f>
        <v>85400</v>
      </c>
      <c r="D103" t="s">
        <v>669</v>
      </c>
      <c r="F103">
        <f ca="1">[5]D_装备升级表!V18</f>
        <v>1248.4901080620789</v>
      </c>
    </row>
    <row r="104" spans="3:6">
      <c r="C104">
        <f>[5]D_装备升级表!U6</f>
        <v>85500</v>
      </c>
      <c r="D104" t="s">
        <v>670</v>
      </c>
      <c r="F104">
        <f ca="1">[5]D_装备升级表!V19</f>
        <v>1669.2910991566057</v>
      </c>
    </row>
    <row r="106" spans="3:6">
      <c r="D106" t="s">
        <v>551</v>
      </c>
      <c r="E106">
        <f ca="1">F101/$G$6</f>
        <v>10.858642002483236</v>
      </c>
    </row>
    <row r="107" spans="3:6">
      <c r="D107" t="s">
        <v>552</v>
      </c>
      <c r="E107">
        <f ca="1">F102/$G$6</f>
        <v>7.1400254176785598</v>
      </c>
    </row>
    <row r="108" spans="3:6">
      <c r="D108" t="s">
        <v>553</v>
      </c>
      <c r="E108">
        <f ca="1">F103/$G$6</f>
        <v>6.7123124089359081</v>
      </c>
    </row>
  </sheetData>
  <phoneticPr fontId="1" type="noConversion"/>
  <conditionalFormatting sqref="I10:I89">
    <cfRule type="cellIs" dxfId="25" priority="20" operator="greaterThan">
      <formula>0</formula>
    </cfRule>
  </conditionalFormatting>
  <conditionalFormatting sqref="F10:F97">
    <cfRule type="cellIs" dxfId="24" priority="19" operator="greaterThan">
      <formula>0</formula>
    </cfRule>
  </conditionalFormatting>
  <conditionalFormatting sqref="C10:C97">
    <cfRule type="cellIs" dxfId="23" priority="18" operator="greaterThan">
      <formula>0</formula>
    </cfRule>
  </conditionalFormatting>
  <conditionalFormatting sqref="AG43:AI46 AK43:AK46 AN43:AQ46 AS43:AS46">
    <cfRule type="expression" dxfId="22" priority="5">
      <formula>OR(AG35/AG43&lt;0.9,AG35/AG43&gt;1.1)</formula>
    </cfRule>
  </conditionalFormatting>
  <conditionalFormatting sqref="AN10:AQ10 AG10:AI10 AK1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1:AQ11 AG11:AI11 AK1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:AQ12 AG12:AI12 AK12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3:AQ13 AG13:AI13 AK1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S18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9:AS1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0:AS20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1:AS2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U100"/>
  <sheetViews>
    <sheetView topLeftCell="A10" workbookViewId="0">
      <selection activeCell="A35" sqref="A35"/>
    </sheetView>
  </sheetViews>
  <sheetFormatPr defaultRowHeight="13.5"/>
  <cols>
    <col min="2" max="2" width="20.25" customWidth="1"/>
    <col min="3" max="3" width="12.75" bestFit="1" customWidth="1"/>
    <col min="4" max="4" width="11.625" bestFit="1" customWidth="1"/>
    <col min="5" max="5" width="12.75" bestFit="1" customWidth="1"/>
    <col min="10" max="10" width="12.75" bestFit="1" customWidth="1"/>
    <col min="11" max="11" width="22.625" customWidth="1"/>
    <col min="12" max="12" width="18.375" customWidth="1"/>
    <col min="20" max="20" width="13" bestFit="1" customWidth="1"/>
  </cols>
  <sheetData>
    <row r="2" spans="2:21">
      <c r="B2" s="20" t="s">
        <v>223</v>
      </c>
      <c r="C2" s="2">
        <f>'[11]消耗&amp;估值'!$J$3*0.75</f>
        <v>181744.58546906529</v>
      </c>
      <c r="F2" t="s">
        <v>226</v>
      </c>
      <c r="J2" t="s">
        <v>268</v>
      </c>
      <c r="K2" t="s">
        <v>227</v>
      </c>
      <c r="L2" t="s">
        <v>228</v>
      </c>
    </row>
    <row r="3" spans="2:21">
      <c r="B3" s="20" t="s">
        <v>224</v>
      </c>
      <c r="C3" s="2">
        <f>'[11]消耗&amp;估值'!$J$4</f>
        <v>44763.774408578116</v>
      </c>
      <c r="F3">
        <f>6*31</f>
        <v>186</v>
      </c>
      <c r="J3">
        <f>C2/F3</f>
        <v>977.1214272530392</v>
      </c>
      <c r="K3">
        <v>5</v>
      </c>
      <c r="L3">
        <f>J3/K3</f>
        <v>195.42428545060784</v>
      </c>
    </row>
    <row r="4" spans="2:21">
      <c r="B4" s="20" t="s">
        <v>225</v>
      </c>
      <c r="C4" s="2">
        <f>ROUND(C2/C3/5,0)*5</f>
        <v>5</v>
      </c>
      <c r="D4">
        <f>C2/C3</f>
        <v>4.0600817931527562</v>
      </c>
      <c r="F4">
        <v>186</v>
      </c>
      <c r="J4">
        <f>C5*C10/F4</f>
        <v>406.51119974708689</v>
      </c>
      <c r="K4">
        <v>5</v>
      </c>
      <c r="L4">
        <f>J4/K4</f>
        <v>81.302239949417384</v>
      </c>
      <c r="M4" s="8"/>
      <c r="N4" s="8"/>
    </row>
    <row r="5" spans="2:21">
      <c r="B5" s="20" t="s">
        <v>266</v>
      </c>
      <c r="C5" s="2">
        <f>'[11]消耗&amp;估值'!$J$16</f>
        <v>75611.083152958163</v>
      </c>
      <c r="D5">
        <f>C5/C2</f>
        <v>0.41602935767144439</v>
      </c>
    </row>
    <row r="6" spans="2:21">
      <c r="B6" s="20" t="s">
        <v>267</v>
      </c>
      <c r="C6" s="2">
        <f>'[11]消耗&amp;估值'!$J$17</f>
        <v>166715.03080579554</v>
      </c>
      <c r="D6">
        <f>C6/C2</f>
        <v>0.91730397566188882</v>
      </c>
    </row>
    <row r="7" spans="2:21">
      <c r="B7" s="3" t="s">
        <v>1030</v>
      </c>
      <c r="C7" s="3">
        <v>2</v>
      </c>
    </row>
    <row r="8" spans="2:21">
      <c r="B8" s="3" t="s">
        <v>507</v>
      </c>
      <c r="C8" s="3">
        <v>4</v>
      </c>
      <c r="L8">
        <f>100000/186</f>
        <v>537.63440860215053</v>
      </c>
    </row>
    <row r="9" spans="2:21">
      <c r="B9" s="3" t="s">
        <v>270</v>
      </c>
      <c r="C9" s="3">
        <v>12</v>
      </c>
      <c r="L9">
        <f>L8/20</f>
        <v>26.881720430107528</v>
      </c>
    </row>
    <row r="10" spans="2:21">
      <c r="B10" s="3" t="s">
        <v>271</v>
      </c>
      <c r="C10" s="3">
        <v>1</v>
      </c>
    </row>
    <row r="11" spans="2:21">
      <c r="B11" s="61"/>
      <c r="C11" s="61"/>
    </row>
    <row r="13" spans="2:21">
      <c r="B13" s="2" t="str">
        <f>'[11]消耗&amp;估值'!I8</f>
        <v>张数</v>
      </c>
      <c r="C13" s="2" t="str">
        <f>'[11]消耗&amp;估值'!J8</f>
        <v>属性价值</v>
      </c>
      <c r="D13" s="2" t="str">
        <f>'[11]消耗&amp;估值'!K8</f>
        <v>龙魂需求量</v>
      </c>
      <c r="E13" s="2" t="str">
        <f>'[11]消耗&amp;估值'!L8</f>
        <v>龙魂/属性</v>
      </c>
    </row>
    <row r="14" spans="2:21">
      <c r="B14" s="2">
        <f>'[11]消耗&amp;估值'!I9</f>
        <v>1</v>
      </c>
      <c r="C14" s="2">
        <f>'[11]消耗&amp;估值'!J9</f>
        <v>655.46828845205755</v>
      </c>
      <c r="D14" s="2">
        <f>'[11]消耗&amp;估值'!K9</f>
        <v>2028.6666666666665</v>
      </c>
      <c r="E14" s="2">
        <f>'[11]消耗&amp;估值'!L9</f>
        <v>3.0949882738912211</v>
      </c>
    </row>
    <row r="15" spans="2:21">
      <c r="B15" s="2">
        <f>'[11]消耗&amp;估值'!I10</f>
        <v>2</v>
      </c>
      <c r="C15" s="2">
        <f>'[11]消耗&amp;估值'!J10</f>
        <v>1904.1873426363941</v>
      </c>
      <c r="D15" s="2">
        <f>'[11]消耗&amp;估值'!K10</f>
        <v>6498.0793650793657</v>
      </c>
      <c r="E15" s="2">
        <f>'[11]消耗&amp;估值'!L10</f>
        <v>3.4125210369703516</v>
      </c>
    </row>
    <row r="16" spans="2:21">
      <c r="B16" s="2">
        <f>'[11]消耗&amp;估值'!I11</f>
        <v>3</v>
      </c>
      <c r="C16" s="2">
        <f>'[11]消耗&amp;估值'!J11</f>
        <v>3844.2373171886156</v>
      </c>
      <c r="D16" s="2">
        <f>'[11]消耗&amp;估值'!K11</f>
        <v>13668.988636363638</v>
      </c>
      <c r="E16" s="2">
        <f>'[11]消耗&amp;估值'!L11</f>
        <v>3.5557088463935163</v>
      </c>
      <c r="G16" s="99" t="s">
        <v>229</v>
      </c>
      <c r="H16" s="163" t="s">
        <v>1484</v>
      </c>
      <c r="I16" s="163" t="s">
        <v>1485</v>
      </c>
      <c r="J16" s="99" t="s">
        <v>230</v>
      </c>
      <c r="K16" s="99" t="s">
        <v>432</v>
      </c>
      <c r="L16" s="99" t="s">
        <v>269</v>
      </c>
      <c r="Q16" s="86" t="s">
        <v>1024</v>
      </c>
      <c r="R16" s="2" t="s">
        <v>430</v>
      </c>
      <c r="S16" s="2" t="s">
        <v>1029</v>
      </c>
      <c r="T16" s="2" t="s">
        <v>431</v>
      </c>
      <c r="U16" s="2" t="s">
        <v>432</v>
      </c>
    </row>
    <row r="17" spans="2:21">
      <c r="B17" s="2">
        <f>'[11]消耗&amp;估值'!I12</f>
        <v>4</v>
      </c>
      <c r="C17" s="2">
        <f>'[11]消耗&amp;估值'!J12</f>
        <v>7281.5532501892067</v>
      </c>
      <c r="D17" s="2">
        <f>'[11]消耗&amp;估值'!K12</f>
        <v>33245.196581196586</v>
      </c>
      <c r="E17" s="2">
        <f>'[11]消耗&amp;估值'!L12</f>
        <v>4.5656737565343946</v>
      </c>
      <c r="G17" s="2">
        <v>1</v>
      </c>
      <c r="H17" s="2">
        <v>0</v>
      </c>
      <c r="I17" s="2">
        <f>升级时间!K4</f>
        <v>0</v>
      </c>
      <c r="J17" s="2">
        <f>副本规划!G6</f>
        <v>0</v>
      </c>
      <c r="K17" s="2">
        <v>0</v>
      </c>
      <c r="L17" s="2">
        <f>K17*$C$9*H17/$C$10*M17</f>
        <v>0</v>
      </c>
      <c r="M17">
        <v>1.38</v>
      </c>
      <c r="N17">
        <f>K17*升级时间!K4*$C$9/$C$10</f>
        <v>0</v>
      </c>
      <c r="Q17" s="98">
        <f>[12]D_奖励表!$A75</f>
        <v>501201</v>
      </c>
      <c r="R17" s="2">
        <v>1</v>
      </c>
      <c r="S17" s="2">
        <f>[12]D_奖励表!$D75</f>
        <v>10</v>
      </c>
      <c r="T17" s="2" t="str">
        <f>[12]D_奖励表!$B75</f>
        <v>精英巴闭</v>
      </c>
      <c r="U17" s="2">
        <f>S17*$C$7</f>
        <v>20</v>
      </c>
    </row>
    <row r="18" spans="2:21">
      <c r="B18" s="2">
        <f>'[11]消耗&amp;估值'!I13</f>
        <v>5</v>
      </c>
      <c r="C18" s="2">
        <f>'[11]消耗&amp;估值'!J13</f>
        <v>12321.256905446699</v>
      </c>
      <c r="D18" s="2">
        <f>'[11]消耗&amp;估值'!K13</f>
        <v>68837.166666666672</v>
      </c>
      <c r="E18" s="2">
        <f>'[11]消耗&amp;估值'!L13</f>
        <v>5.5868623789701779</v>
      </c>
      <c r="G18" s="2">
        <v>2</v>
      </c>
      <c r="H18" s="2">
        <v>3.9445677061810437E-3</v>
      </c>
      <c r="I18" s="2">
        <f>升级时间!K5</f>
        <v>3.995139087029519E-3</v>
      </c>
      <c r="J18" s="2">
        <f>副本规划!G7</f>
        <v>0</v>
      </c>
      <c r="K18" s="2">
        <f t="shared" ref="K18:K49" si="0">IF(J18=0,K17,SUMIF(R:R,J18,U:U))</f>
        <v>0</v>
      </c>
      <c r="L18" s="2">
        <f t="shared" ref="L18:L81" si="1">K18*$C$9*H18/$C$10*M18</f>
        <v>0</v>
      </c>
      <c r="M18">
        <v>1.37</v>
      </c>
      <c r="N18">
        <f>K18*升级时间!K5*$C$9/$C$10</f>
        <v>0</v>
      </c>
      <c r="Q18" s="98">
        <f>[12]D_奖励表!$A76</f>
        <v>501202</v>
      </c>
      <c r="R18" s="2">
        <v>2</v>
      </c>
      <c r="S18" s="2">
        <f>[12]D_奖励表!$D76</f>
        <v>10</v>
      </c>
      <c r="T18" s="2" t="str">
        <f>[12]D_奖励表!$B76</f>
        <v>精英大傻保镖</v>
      </c>
      <c r="U18" s="2">
        <f t="shared" ref="U18:U46" si="2">S18*$C$7</f>
        <v>20</v>
      </c>
    </row>
    <row r="19" spans="2:21">
      <c r="B19" s="2">
        <f>'[11]消耗&amp;估值'!I14</f>
        <v>6</v>
      </c>
      <c r="C19" s="2">
        <f>'[11]消耗&amp;估值'!J14</f>
        <v>18757.071304665136</v>
      </c>
      <c r="D19" s="2">
        <f>'[11]消耗&amp;估值'!K14</f>
        <v>118048.01604278077</v>
      </c>
      <c r="E19" s="2">
        <f>'[11]消耗&amp;估值'!L14</f>
        <v>6.2935206741694607</v>
      </c>
      <c r="G19" s="2">
        <v>3</v>
      </c>
      <c r="H19" s="2">
        <v>0</v>
      </c>
      <c r="I19" s="2">
        <f>升级时间!K6</f>
        <v>0</v>
      </c>
      <c r="J19" s="2">
        <f>副本规划!G8</f>
        <v>0</v>
      </c>
      <c r="K19" s="2">
        <f t="shared" si="0"/>
        <v>0</v>
      </c>
      <c r="L19" s="2">
        <f t="shared" si="1"/>
        <v>0</v>
      </c>
      <c r="M19">
        <v>1.36</v>
      </c>
      <c r="N19">
        <f>K19*升级时间!K6*$C$9/$C$10</f>
        <v>0</v>
      </c>
      <c r="Q19" s="98">
        <f>[12]D_奖励表!$A77</f>
        <v>501203</v>
      </c>
      <c r="R19" s="2">
        <v>3</v>
      </c>
      <c r="S19" s="2">
        <f>[12]D_奖励表!$D77</f>
        <v>10</v>
      </c>
      <c r="T19" s="2" t="str">
        <f>[12]D_奖励表!$B77</f>
        <v>精英偷车贼</v>
      </c>
      <c r="U19" s="2">
        <f t="shared" si="2"/>
        <v>20</v>
      </c>
    </row>
    <row r="20" spans="2:21">
      <c r="G20" s="2">
        <v>4</v>
      </c>
      <c r="H20" s="2">
        <v>0</v>
      </c>
      <c r="I20" s="2">
        <f>升级时间!K7</f>
        <v>0</v>
      </c>
      <c r="J20" s="2">
        <f>副本规划!G9</f>
        <v>0</v>
      </c>
      <c r="K20" s="2">
        <f t="shared" si="0"/>
        <v>0</v>
      </c>
      <c r="L20" s="2">
        <f t="shared" si="1"/>
        <v>0</v>
      </c>
      <c r="M20">
        <v>1.35</v>
      </c>
      <c r="N20">
        <f>K20*升级时间!K7*$C$9/$C$10</f>
        <v>0</v>
      </c>
      <c r="Q20" s="98">
        <f>[12]D_奖励表!$A78</f>
        <v>501204</v>
      </c>
      <c r="R20" s="2">
        <v>4</v>
      </c>
      <c r="S20" s="2">
        <f>[12]D_奖励表!$D78</f>
        <v>10</v>
      </c>
      <c r="T20" s="2" t="str">
        <f>[12]D_奖励表!$B78</f>
        <v>精英丧彪手下</v>
      </c>
      <c r="U20" s="2">
        <f t="shared" si="2"/>
        <v>20</v>
      </c>
    </row>
    <row r="21" spans="2:21">
      <c r="G21" s="2">
        <v>5</v>
      </c>
      <c r="H21" s="2">
        <v>1.1429132071755332E-2</v>
      </c>
      <c r="I21" s="2">
        <f>升级时间!K8</f>
        <v>1.1429132071755332E-2</v>
      </c>
      <c r="J21" s="2">
        <f>副本规划!G10</f>
        <v>0</v>
      </c>
      <c r="K21" s="2">
        <f t="shared" si="0"/>
        <v>0</v>
      </c>
      <c r="L21" s="2">
        <f t="shared" si="1"/>
        <v>0</v>
      </c>
      <c r="M21">
        <v>1.34</v>
      </c>
      <c r="N21">
        <f>K21*升级时间!K8*$C$9/$C$10</f>
        <v>0</v>
      </c>
      <c r="Q21" s="98">
        <f>[12]D_奖励表!$A79</f>
        <v>501205</v>
      </c>
      <c r="R21" s="2">
        <v>5</v>
      </c>
      <c r="S21" s="2">
        <f>[12]D_奖励表!$D79</f>
        <v>10</v>
      </c>
      <c r="T21" s="2" t="str">
        <f>[12]D_奖励表!$B79</f>
        <v>精英丧彪</v>
      </c>
      <c r="U21" s="2">
        <f t="shared" si="2"/>
        <v>20</v>
      </c>
    </row>
    <row r="22" spans="2:21">
      <c r="G22" s="2">
        <v>6</v>
      </c>
      <c r="H22" s="2">
        <v>-3.0342828509084953E-3</v>
      </c>
      <c r="I22" s="2">
        <f>升级时间!K9</f>
        <v>0</v>
      </c>
      <c r="J22" s="2">
        <f>副本规划!G11</f>
        <v>0</v>
      </c>
      <c r="K22" s="2">
        <f t="shared" si="0"/>
        <v>0</v>
      </c>
      <c r="L22" s="2">
        <f t="shared" si="1"/>
        <v>0</v>
      </c>
      <c r="M22">
        <v>1.33</v>
      </c>
      <c r="N22">
        <f>K22*升级时间!K9*$C$9/$C$10</f>
        <v>0</v>
      </c>
      <c r="Q22" s="98">
        <f>[12]D_奖励表!$A80</f>
        <v>501206</v>
      </c>
      <c r="R22" s="2">
        <v>6</v>
      </c>
      <c r="S22" s="2">
        <f>[12]D_奖励表!$D80</f>
        <v>10</v>
      </c>
      <c r="T22" s="2" t="str">
        <f>[12]D_奖励表!$B80</f>
        <v>精英拦截者</v>
      </c>
      <c r="U22" s="2">
        <f t="shared" si="2"/>
        <v>20</v>
      </c>
    </row>
    <row r="23" spans="2:21">
      <c r="G23" s="2">
        <v>7</v>
      </c>
      <c r="H23" s="2">
        <v>1.3805986971633653E-2</v>
      </c>
      <c r="I23" s="2">
        <f>升级时间!K10</f>
        <v>1.3805986971633653E-2</v>
      </c>
      <c r="J23" s="2">
        <f>副本规划!G12</f>
        <v>0</v>
      </c>
      <c r="K23" s="2">
        <f t="shared" si="0"/>
        <v>0</v>
      </c>
      <c r="L23" s="2">
        <f t="shared" si="1"/>
        <v>0</v>
      </c>
      <c r="M23">
        <v>1.32</v>
      </c>
      <c r="N23">
        <f>K23*升级时间!K10*$C$9/$C$10</f>
        <v>0</v>
      </c>
      <c r="Q23" s="98">
        <f>[12]D_奖励表!$A81</f>
        <v>501207</v>
      </c>
      <c r="R23" s="2">
        <v>7</v>
      </c>
      <c r="S23" s="2">
        <f>[12]D_奖励表!$D81</f>
        <v>10</v>
      </c>
      <c r="T23" s="2" t="str">
        <f>[12]D_奖励表!$B81</f>
        <v>精英靓坤手下</v>
      </c>
      <c r="U23" s="2">
        <f t="shared" si="2"/>
        <v>20</v>
      </c>
    </row>
    <row r="24" spans="2:21">
      <c r="G24" s="2">
        <v>8</v>
      </c>
      <c r="H24" s="2">
        <v>7.6362785081197128E-3</v>
      </c>
      <c r="I24" s="2">
        <f>升级时间!K11</f>
        <v>3.6411394210901942E-3</v>
      </c>
      <c r="J24" s="2">
        <f>副本规划!G13</f>
        <v>0</v>
      </c>
      <c r="K24" s="2">
        <f t="shared" si="0"/>
        <v>0</v>
      </c>
      <c r="L24" s="2">
        <f t="shared" si="1"/>
        <v>0</v>
      </c>
      <c r="M24">
        <v>1.31</v>
      </c>
      <c r="N24">
        <f>K24*升级时间!K11*$C$9/$C$10</f>
        <v>0</v>
      </c>
      <c r="Q24" s="98">
        <f>[12]D_奖励表!$A82</f>
        <v>501208</v>
      </c>
      <c r="R24" s="2">
        <v>8</v>
      </c>
      <c r="S24" s="2">
        <f>[12]D_奖励表!$D82</f>
        <v>10</v>
      </c>
      <c r="T24" s="2" t="str">
        <f>[12]D_奖励表!$B82</f>
        <v>精英阿强</v>
      </c>
      <c r="U24" s="2">
        <f t="shared" si="2"/>
        <v>20</v>
      </c>
    </row>
    <row r="25" spans="2:21">
      <c r="G25" s="2">
        <v>9</v>
      </c>
      <c r="H25" s="2">
        <v>1.8256268486299448E-2</v>
      </c>
      <c r="I25" s="2">
        <f>升级时间!K12</f>
        <v>1.8256268486299448E-2</v>
      </c>
      <c r="J25" s="2">
        <f>副本规划!G14</f>
        <v>0</v>
      </c>
      <c r="K25" s="2">
        <f t="shared" si="0"/>
        <v>0</v>
      </c>
      <c r="L25" s="2">
        <f t="shared" si="1"/>
        <v>0</v>
      </c>
      <c r="M25">
        <v>1.3</v>
      </c>
      <c r="N25">
        <f>K25*升级时间!K12*$C$9/$C$10</f>
        <v>0</v>
      </c>
      <c r="Q25" s="98">
        <f>[12]D_奖励表!$A83</f>
        <v>501209</v>
      </c>
      <c r="R25" s="2">
        <v>9</v>
      </c>
      <c r="S25" s="2">
        <f>[12]D_奖励表!$D83</f>
        <v>10</v>
      </c>
      <c r="T25" s="2" t="str">
        <f>[12]D_奖励表!$B83</f>
        <v>精英靓坤</v>
      </c>
      <c r="U25" s="2">
        <f t="shared" si="2"/>
        <v>20</v>
      </c>
    </row>
    <row r="26" spans="2:21">
      <c r="G26" s="2">
        <v>10</v>
      </c>
      <c r="H26" s="2">
        <v>4.5927052792990482E-3</v>
      </c>
      <c r="I26" s="2">
        <f>升级时间!K13</f>
        <v>-9.942449890350688E-3</v>
      </c>
      <c r="J26" s="2">
        <f>副本规划!G15</f>
        <v>0</v>
      </c>
      <c r="K26" s="2">
        <f t="shared" si="0"/>
        <v>0</v>
      </c>
      <c r="L26" s="2">
        <f t="shared" si="1"/>
        <v>0</v>
      </c>
      <c r="M26">
        <v>1.29</v>
      </c>
      <c r="N26">
        <f>K26*升级时间!K13*$C$9/$C$10</f>
        <v>0</v>
      </c>
      <c r="Q26" s="98">
        <f>[12]D_奖励表!$A84</f>
        <v>502201</v>
      </c>
      <c r="R26" s="2">
        <v>10</v>
      </c>
      <c r="S26" s="2">
        <f>[12]D_奖励表!$D84</f>
        <v>10</v>
      </c>
      <c r="T26" s="2" t="str">
        <f>[12]D_奖励表!$B84</f>
        <v>精英议员保镖</v>
      </c>
      <c r="U26" s="2">
        <f t="shared" si="2"/>
        <v>20</v>
      </c>
    </row>
    <row r="27" spans="2:21">
      <c r="G27" s="2">
        <v>11</v>
      </c>
      <c r="H27" s="2">
        <v>1.6755803876123999E-2</v>
      </c>
      <c r="I27" s="2">
        <f>升级时间!K14</f>
        <v>5.0469288783506023E-3</v>
      </c>
      <c r="J27" s="2">
        <f>副本规划!G16</f>
        <v>0</v>
      </c>
      <c r="K27" s="2">
        <f t="shared" si="0"/>
        <v>0</v>
      </c>
      <c r="L27" s="2">
        <f t="shared" si="1"/>
        <v>0</v>
      </c>
      <c r="M27">
        <v>1.28</v>
      </c>
      <c r="N27">
        <f>K27*升级时间!K14*$C$9/$C$10</f>
        <v>0</v>
      </c>
      <c r="Q27" s="98">
        <f>[12]D_奖励表!$A85</f>
        <v>502202</v>
      </c>
      <c r="R27" s="2">
        <v>11</v>
      </c>
      <c r="S27" s="2">
        <f>[12]D_奖励表!$D85</f>
        <v>10</v>
      </c>
      <c r="T27" s="2" t="str">
        <f>[12]D_奖励表!$B85</f>
        <v>精英张议员</v>
      </c>
      <c r="U27" s="2">
        <f t="shared" si="2"/>
        <v>20</v>
      </c>
    </row>
    <row r="28" spans="2:21">
      <c r="G28" s="2">
        <v>12</v>
      </c>
      <c r="H28" s="2">
        <v>1.2163098596824953E-2</v>
      </c>
      <c r="I28" s="2">
        <f>升级时间!K15</f>
        <v>-2.3468219284330301E-2</v>
      </c>
      <c r="J28" s="2">
        <f>副本规划!G17</f>
        <v>0</v>
      </c>
      <c r="K28" s="2">
        <f t="shared" si="0"/>
        <v>0</v>
      </c>
      <c r="L28" s="2">
        <f t="shared" si="1"/>
        <v>0</v>
      </c>
      <c r="M28">
        <v>1.27</v>
      </c>
      <c r="N28">
        <f>K28*升级时间!K15*$C$9/$C$10</f>
        <v>0</v>
      </c>
      <c r="Q28" s="98">
        <f>[12]D_奖励表!$A86</f>
        <v>502203</v>
      </c>
      <c r="R28" s="2">
        <v>12</v>
      </c>
      <c r="S28" s="2">
        <f>[12]D_奖励表!$D86</f>
        <v>10</v>
      </c>
      <c r="T28" s="2" t="str">
        <f>[12]D_奖励表!$B86</f>
        <v>精英枪手</v>
      </c>
      <c r="U28" s="2">
        <f t="shared" si="2"/>
        <v>20</v>
      </c>
    </row>
    <row r="29" spans="2:21">
      <c r="G29" s="2">
        <v>13</v>
      </c>
      <c r="H29" s="2">
        <v>-2.5386052258103531E-2</v>
      </c>
      <c r="I29" s="2">
        <f>升级时间!K16</f>
        <v>0</v>
      </c>
      <c r="J29" s="2">
        <f>副本规划!G18</f>
        <v>1</v>
      </c>
      <c r="K29" s="2">
        <f t="shared" si="0"/>
        <v>20</v>
      </c>
      <c r="L29" s="2">
        <f>K29*$C$9*H29/$C$10*M29</f>
        <v>-7.6767422028505079</v>
      </c>
      <c r="M29">
        <v>1.26</v>
      </c>
      <c r="N29">
        <f>K29*升级时间!K16*$C$9/$C$10</f>
        <v>0</v>
      </c>
      <c r="O29">
        <f>N29*M29</f>
        <v>0</v>
      </c>
      <c r="Q29" s="98">
        <f>[12]D_奖励表!$A87</f>
        <v>502204</v>
      </c>
      <c r="R29" s="2">
        <v>13</v>
      </c>
      <c r="S29" s="2">
        <f>[12]D_奖励表!$D87</f>
        <v>10</v>
      </c>
      <c r="T29" s="2" t="str">
        <f>[12]D_奖励表!$B87</f>
        <v>精英大飞手下</v>
      </c>
      <c r="U29" s="2">
        <f t="shared" si="2"/>
        <v>20</v>
      </c>
    </row>
    <row r="30" spans="2:21">
      <c r="G30" s="2">
        <v>14</v>
      </c>
      <c r="H30" s="2">
        <v>2.7303885231876761E-2</v>
      </c>
      <c r="I30" s="2">
        <f>升级时间!K17</f>
        <v>0</v>
      </c>
      <c r="J30" s="2">
        <f>副本规划!G19</f>
        <v>2</v>
      </c>
      <c r="K30" s="2">
        <f t="shared" si="0"/>
        <v>20</v>
      </c>
      <c r="L30" s="2">
        <f t="shared" si="1"/>
        <v>8.1911655695630277</v>
      </c>
      <c r="M30">
        <v>1.25</v>
      </c>
      <c r="N30">
        <f>K30*升级时间!K17*$C$9/$C$10</f>
        <v>0</v>
      </c>
      <c r="O30">
        <f t="shared" ref="O30:O93" si="3">N30*M30</f>
        <v>0</v>
      </c>
      <c r="Q30" s="98">
        <f>[12]D_奖励表!$A88</f>
        <v>502205</v>
      </c>
      <c r="R30" s="2">
        <v>14</v>
      </c>
      <c r="S30" s="2">
        <f>[12]D_奖励表!$D88</f>
        <v>10</v>
      </c>
      <c r="T30" s="2" t="str">
        <f>[12]D_奖励表!$B88</f>
        <v>精英大飞弟子</v>
      </c>
      <c r="U30" s="2">
        <f t="shared" si="2"/>
        <v>20</v>
      </c>
    </row>
    <row r="31" spans="2:21">
      <c r="G31" s="2">
        <v>15</v>
      </c>
      <c r="H31" s="2">
        <v>1.3677177260330133E-2</v>
      </c>
      <c r="I31" s="2">
        <f>升级时间!K18</f>
        <v>0</v>
      </c>
      <c r="J31" s="2">
        <f>副本规划!G20</f>
        <v>3</v>
      </c>
      <c r="K31" s="2">
        <f t="shared" si="0"/>
        <v>20</v>
      </c>
      <c r="L31" s="2">
        <f t="shared" si="1"/>
        <v>4.0703279526742477</v>
      </c>
      <c r="M31">
        <v>1.24</v>
      </c>
      <c r="N31">
        <f>K31*升级时间!K18*$C$9/$C$10</f>
        <v>0</v>
      </c>
      <c r="O31">
        <f t="shared" si="3"/>
        <v>0</v>
      </c>
      <c r="Q31" s="98">
        <f>[12]D_奖励表!$A89</f>
        <v>502206</v>
      </c>
      <c r="R31" s="2">
        <v>15</v>
      </c>
      <c r="S31" s="2">
        <f>[12]D_奖励表!$D89</f>
        <v>10</v>
      </c>
      <c r="T31" s="2" t="str">
        <f>[12]D_奖励表!$B89</f>
        <v>精英追踪者</v>
      </c>
      <c r="U31" s="2">
        <f t="shared" si="2"/>
        <v>20</v>
      </c>
    </row>
    <row r="32" spans="2:21">
      <c r="G32" s="2">
        <v>16</v>
      </c>
      <c r="H32" s="2">
        <v>4.4917667017320362E-2</v>
      </c>
      <c r="I32" s="2">
        <f>升级时间!K19</f>
        <v>0</v>
      </c>
      <c r="J32" s="2">
        <f>副本规划!G21</f>
        <v>4</v>
      </c>
      <c r="K32" s="2">
        <f t="shared" si="0"/>
        <v>20</v>
      </c>
      <c r="L32" s="2">
        <f t="shared" si="1"/>
        <v>13.25969530351297</v>
      </c>
      <c r="M32">
        <v>1.23</v>
      </c>
      <c r="N32">
        <f>K32*升级时间!K19*$C$9/$C$10</f>
        <v>0</v>
      </c>
      <c r="O32">
        <f t="shared" si="3"/>
        <v>0</v>
      </c>
      <c r="Q32" s="98">
        <f>[12]D_奖励表!$A90</f>
        <v>502207</v>
      </c>
      <c r="R32" s="2">
        <v>16</v>
      </c>
      <c r="S32" s="2">
        <f>[12]D_奖励表!$D90</f>
        <v>10</v>
      </c>
      <c r="T32" s="2" t="str">
        <f>[12]D_奖励表!$B90</f>
        <v>精英雷公保镖</v>
      </c>
      <c r="U32" s="2">
        <f t="shared" si="2"/>
        <v>20</v>
      </c>
    </row>
    <row r="33" spans="6:21">
      <c r="G33" s="2">
        <v>17</v>
      </c>
      <c r="H33" s="2">
        <v>4.3454057642598687E-2</v>
      </c>
      <c r="I33" s="2">
        <f>升级时间!K20</f>
        <v>0</v>
      </c>
      <c r="J33" s="2">
        <f>副本规划!G22</f>
        <v>5</v>
      </c>
      <c r="K33" s="2">
        <f t="shared" si="0"/>
        <v>20</v>
      </c>
      <c r="L33" s="2">
        <f t="shared" si="1"/>
        <v>12.723348077752895</v>
      </c>
      <c r="M33">
        <v>1.22</v>
      </c>
      <c r="N33">
        <f>K33*升级时间!K20*$C$9/$C$10</f>
        <v>0</v>
      </c>
      <c r="O33">
        <f t="shared" si="3"/>
        <v>0</v>
      </c>
      <c r="Q33" s="98">
        <f>[12]D_奖励表!$A91</f>
        <v>502208</v>
      </c>
      <c r="R33" s="2">
        <v>17</v>
      </c>
      <c r="S33" s="2">
        <f>[12]D_奖励表!$D91</f>
        <v>10</v>
      </c>
      <c r="T33" s="2" t="str">
        <f>[12]D_奖励表!$B91</f>
        <v>精英赌场警卫</v>
      </c>
      <c r="U33" s="2">
        <f t="shared" si="2"/>
        <v>20</v>
      </c>
    </row>
    <row r="34" spans="6:21">
      <c r="G34" s="2">
        <v>18</v>
      </c>
      <c r="H34" s="2">
        <v>6.8941048478269235E-2</v>
      </c>
      <c r="I34" s="2">
        <f>升级时间!K21</f>
        <v>0</v>
      </c>
      <c r="J34" s="2">
        <f>副本规划!G23</f>
        <v>6</v>
      </c>
      <c r="K34" s="2">
        <f t="shared" si="0"/>
        <v>20</v>
      </c>
      <c r="L34" s="2">
        <f t="shared" si="1"/>
        <v>20.020480478089382</v>
      </c>
      <c r="M34">
        <v>1.21</v>
      </c>
      <c r="N34">
        <f>K34*升级时间!K21*$C$9/$C$10</f>
        <v>0</v>
      </c>
      <c r="O34">
        <f t="shared" si="3"/>
        <v>0</v>
      </c>
      <c r="Q34" s="98">
        <f>[12]D_奖励表!$A92</f>
        <v>502209</v>
      </c>
      <c r="R34" s="2">
        <v>18</v>
      </c>
      <c r="S34" s="2">
        <f>[12]D_奖励表!$D92</f>
        <v>10</v>
      </c>
      <c r="T34" s="2" t="str">
        <f>[12]D_奖励表!$B92</f>
        <v>精英丁瑶护卫</v>
      </c>
      <c r="U34" s="2">
        <f t="shared" si="2"/>
        <v>20</v>
      </c>
    </row>
    <row r="35" spans="6:21">
      <c r="G35" s="2">
        <v>19</v>
      </c>
      <c r="H35" s="2">
        <v>3.8306190186681077E-2</v>
      </c>
      <c r="I35" s="2">
        <f>升级时间!K22</f>
        <v>0</v>
      </c>
      <c r="J35" s="2">
        <f>副本规划!G24</f>
        <v>7</v>
      </c>
      <c r="K35" s="2">
        <f t="shared" si="0"/>
        <v>20</v>
      </c>
      <c r="L35" s="2">
        <f t="shared" si="1"/>
        <v>11.03218277376415</v>
      </c>
      <c r="M35">
        <v>1.2</v>
      </c>
      <c r="N35">
        <f>K35*升级时间!K22*$C$9/$C$10</f>
        <v>0</v>
      </c>
      <c r="O35">
        <f t="shared" si="3"/>
        <v>0</v>
      </c>
      <c r="Q35" s="98">
        <f>[12]D_奖励表!$A93</f>
        <v>503201</v>
      </c>
      <c r="R35" s="2">
        <v>19</v>
      </c>
      <c r="S35" s="2">
        <f>[12]D_奖励表!$D93</f>
        <v>10</v>
      </c>
      <c r="T35" s="2" t="str">
        <f>[12]D_奖励表!$B93</f>
        <v>精英乌鸦手下</v>
      </c>
      <c r="U35" s="2">
        <f t="shared" si="2"/>
        <v>20</v>
      </c>
    </row>
    <row r="36" spans="6:21">
      <c r="G36" s="2">
        <v>20</v>
      </c>
      <c r="H36" s="2">
        <v>6.3916494665177695E-2</v>
      </c>
      <c r="I36" s="2">
        <f>升级时间!K23</f>
        <v>0</v>
      </c>
      <c r="J36" s="2">
        <f>副本规划!G25</f>
        <v>8</v>
      </c>
      <c r="K36" s="2">
        <f t="shared" si="0"/>
        <v>20</v>
      </c>
      <c r="L36" s="2">
        <f t="shared" si="1"/>
        <v>18.254550876374751</v>
      </c>
      <c r="M36">
        <v>1.19</v>
      </c>
      <c r="N36">
        <f>K36*升级时间!K23*$C$9/$C$10</f>
        <v>0</v>
      </c>
      <c r="O36">
        <f t="shared" si="3"/>
        <v>0</v>
      </c>
      <c r="Q36" s="98">
        <f>[12]D_奖励表!$A94</f>
        <v>503202</v>
      </c>
      <c r="R36" s="2">
        <v>20</v>
      </c>
      <c r="S36" s="2">
        <f>[12]D_奖励表!$D94</f>
        <v>10</v>
      </c>
      <c r="T36" s="2" t="str">
        <f>[12]D_奖励表!$B94</f>
        <v>精英笑面虎</v>
      </c>
      <c r="U36" s="2">
        <f t="shared" si="2"/>
        <v>20</v>
      </c>
    </row>
    <row r="37" spans="6:21">
      <c r="G37" s="2">
        <v>21</v>
      </c>
      <c r="H37" s="2">
        <v>7.7918689713971548E-2</v>
      </c>
      <c r="I37" s="2">
        <f>升级时间!K24</f>
        <v>0</v>
      </c>
      <c r="J37" s="2">
        <f>副本规划!G26</f>
        <v>9</v>
      </c>
      <c r="K37" s="2">
        <f t="shared" si="0"/>
        <v>20</v>
      </c>
      <c r="L37" s="2">
        <f t="shared" si="1"/>
        <v>22.066572926996738</v>
      </c>
      <c r="M37">
        <v>1.18</v>
      </c>
      <c r="N37">
        <f>K37*升级时间!K24*$C$9/$C$10</f>
        <v>0</v>
      </c>
      <c r="O37">
        <f t="shared" si="3"/>
        <v>0</v>
      </c>
      <c r="Q37" s="98">
        <f>[12]D_奖励表!$A95</f>
        <v>503203</v>
      </c>
      <c r="R37" s="2">
        <v>21</v>
      </c>
      <c r="S37" s="2">
        <f>[12]D_奖励表!$D95</f>
        <v>10</v>
      </c>
      <c r="T37" s="2" t="str">
        <f>[12]D_奖励表!$B95</f>
        <v>精英东星杀手</v>
      </c>
      <c r="U37" s="2">
        <f t="shared" si="2"/>
        <v>20</v>
      </c>
    </row>
    <row r="38" spans="6:21">
      <c r="G38" s="2">
        <v>22</v>
      </c>
      <c r="H38" s="2">
        <v>9.4338529951046357E-2</v>
      </c>
      <c r="I38" s="2">
        <f>升级时间!K25</f>
        <v>0</v>
      </c>
      <c r="J38" s="2">
        <f>副本规划!G27</f>
        <v>10</v>
      </c>
      <c r="K38" s="2">
        <f t="shared" si="0"/>
        <v>20</v>
      </c>
      <c r="L38" s="2">
        <f t="shared" si="1"/>
        <v>26.490259210253814</v>
      </c>
      <c r="M38">
        <v>1.17</v>
      </c>
      <c r="N38">
        <f>K38*升级时间!K25*$C$9/$C$10</f>
        <v>0</v>
      </c>
      <c r="O38">
        <f t="shared" si="3"/>
        <v>0</v>
      </c>
      <c r="Q38" s="98">
        <f>[12]D_奖励表!$A96</f>
        <v>503204</v>
      </c>
      <c r="R38" s="2">
        <v>22</v>
      </c>
      <c r="S38" s="2">
        <f>[12]D_奖励表!$D96</f>
        <v>10</v>
      </c>
      <c r="T38" s="2" t="str">
        <f>[12]D_奖励表!$B96</f>
        <v>精英赏金猎手</v>
      </c>
      <c r="U38" s="2">
        <f t="shared" si="2"/>
        <v>20</v>
      </c>
    </row>
    <row r="39" spans="6:21">
      <c r="G39" s="2">
        <v>23</v>
      </c>
      <c r="H39" s="2">
        <v>0.16349325585749946</v>
      </c>
      <c r="I39" s="2">
        <f>升级时间!K26</f>
        <v>0</v>
      </c>
      <c r="J39" s="2">
        <f>副本规划!G28</f>
        <v>11</v>
      </c>
      <c r="K39" s="2">
        <f t="shared" si="0"/>
        <v>20</v>
      </c>
      <c r="L39" s="2">
        <f t="shared" si="1"/>
        <v>45.516522430727846</v>
      </c>
      <c r="M39">
        <v>1.1599999999999999</v>
      </c>
      <c r="N39">
        <f>K39*升级时间!K26*$C$9/$C$10</f>
        <v>0</v>
      </c>
      <c r="O39">
        <f t="shared" si="3"/>
        <v>0</v>
      </c>
      <c r="Q39" s="98">
        <f>[12]D_奖励表!$A97</f>
        <v>503205</v>
      </c>
      <c r="R39" s="2">
        <v>23</v>
      </c>
      <c r="S39" s="2">
        <f>[12]D_奖励表!$D97</f>
        <v>10</v>
      </c>
      <c r="T39" s="2" t="str">
        <f>[12]D_奖励表!$B97</f>
        <v>精英追杀者</v>
      </c>
      <c r="U39" s="2">
        <f t="shared" si="2"/>
        <v>20</v>
      </c>
    </row>
    <row r="40" spans="6:21">
      <c r="G40" s="2">
        <v>24</v>
      </c>
      <c r="H40" s="2">
        <v>0.13538813054373336</v>
      </c>
      <c r="I40" s="2">
        <f>升级时间!K27</f>
        <v>0</v>
      </c>
      <c r="J40" s="2">
        <f>副本规划!G29</f>
        <v>12</v>
      </c>
      <c r="K40" s="2">
        <f t="shared" si="0"/>
        <v>20</v>
      </c>
      <c r="L40" s="2">
        <f t="shared" si="1"/>
        <v>37.3671240300704</v>
      </c>
      <c r="M40">
        <v>1.1499999999999999</v>
      </c>
      <c r="N40">
        <f>K40*升级时间!K27*$C$9/$C$10</f>
        <v>0</v>
      </c>
      <c r="O40">
        <f t="shared" si="3"/>
        <v>0</v>
      </c>
      <c r="Q40" s="98">
        <f>[12]D_奖励表!$A98</f>
        <v>503206</v>
      </c>
      <c r="R40" s="2">
        <v>24</v>
      </c>
      <c r="S40" s="2">
        <f>[12]D_奖励表!$D98</f>
        <v>10</v>
      </c>
      <c r="T40" s="2" t="str">
        <f>[12]D_奖励表!$B98</f>
        <v>精英弹药守卫</v>
      </c>
      <c r="U40" s="2">
        <f t="shared" si="2"/>
        <v>20</v>
      </c>
    </row>
    <row r="41" spans="6:21">
      <c r="G41" s="2">
        <v>25</v>
      </c>
      <c r="H41" s="2">
        <v>0.21602667109452101</v>
      </c>
      <c r="I41" s="2">
        <f>升级时间!K28</f>
        <v>0</v>
      </c>
      <c r="J41" s="2">
        <f>副本规划!G30</f>
        <v>13</v>
      </c>
      <c r="K41" s="2">
        <f t="shared" si="0"/>
        <v>20</v>
      </c>
      <c r="L41" s="2">
        <f t="shared" si="1"/>
        <v>59.104897211460937</v>
      </c>
      <c r="M41">
        <v>1.1399999999999999</v>
      </c>
      <c r="N41">
        <f>K41*升级时间!K28*$C$9/$C$10</f>
        <v>0</v>
      </c>
      <c r="O41">
        <f t="shared" si="3"/>
        <v>0</v>
      </c>
      <c r="Q41" s="98">
        <f>[12]D_奖励表!$A99</f>
        <v>503207</v>
      </c>
      <c r="R41" s="2">
        <v>25</v>
      </c>
      <c r="S41" s="2">
        <f>[12]D_奖励表!$D99</f>
        <v>10</v>
      </c>
      <c r="T41" s="2" t="str">
        <f>[12]D_奖励表!$B99</f>
        <v>精英人质看守</v>
      </c>
      <c r="U41" s="2">
        <f t="shared" si="2"/>
        <v>20</v>
      </c>
    </row>
    <row r="42" spans="6:21">
      <c r="F42" t="s">
        <v>231</v>
      </c>
      <c r="G42" s="2">
        <v>26</v>
      </c>
      <c r="H42" s="2">
        <v>0.21673181760776961</v>
      </c>
      <c r="I42" s="2">
        <f>升级时间!K29</f>
        <v>0</v>
      </c>
      <c r="J42" s="2">
        <f>副本规划!G31</f>
        <v>14</v>
      </c>
      <c r="K42" s="2">
        <f t="shared" si="0"/>
        <v>20</v>
      </c>
      <c r="L42" s="2">
        <f t="shared" si="1"/>
        <v>58.777668935227112</v>
      </c>
      <c r="M42">
        <v>1.1299999999999999</v>
      </c>
      <c r="N42">
        <f>K42*升级时间!K29*$C$9/$C$10</f>
        <v>0</v>
      </c>
      <c r="O42">
        <f t="shared" si="3"/>
        <v>0</v>
      </c>
      <c r="Q42" s="98">
        <f>[12]D_奖励表!$A100</f>
        <v>503208</v>
      </c>
      <c r="R42" s="2">
        <v>26</v>
      </c>
      <c r="S42" s="2">
        <f>[12]D_奖励表!$D100</f>
        <v>10</v>
      </c>
      <c r="T42" s="2" t="str">
        <f>[12]D_奖励表!$B100</f>
        <v>精英乌鸦心腹</v>
      </c>
      <c r="U42" s="2">
        <f t="shared" si="2"/>
        <v>20</v>
      </c>
    </row>
    <row r="43" spans="6:21">
      <c r="G43" s="2">
        <v>27</v>
      </c>
      <c r="H43" s="2">
        <v>0.28120235596192833</v>
      </c>
      <c r="I43" s="2">
        <f>升级时间!K30</f>
        <v>0.22327960665936386</v>
      </c>
      <c r="J43" s="2">
        <f>副本规划!G32</f>
        <v>15</v>
      </c>
      <c r="K43" s="2">
        <f t="shared" si="0"/>
        <v>20</v>
      </c>
      <c r="L43" s="2">
        <f t="shared" si="1"/>
        <v>75.587193282566332</v>
      </c>
      <c r="M43">
        <v>1.1200000000000001</v>
      </c>
      <c r="N43">
        <f>K43*升级时间!K30*$C$9/$C$10</f>
        <v>53.587105598247327</v>
      </c>
      <c r="O43">
        <f t="shared" si="3"/>
        <v>60.017558270037014</v>
      </c>
      <c r="Q43" s="98">
        <f>[12]D_奖励表!$A101</f>
        <v>503209</v>
      </c>
      <c r="R43" s="2">
        <v>27</v>
      </c>
      <c r="S43" s="2">
        <f>[12]D_奖励表!$D101</f>
        <v>10</v>
      </c>
      <c r="T43" s="2" t="str">
        <f>[12]D_奖励表!$B101</f>
        <v>精英乌鸦</v>
      </c>
      <c r="U43" s="2">
        <f t="shared" si="2"/>
        <v>20</v>
      </c>
    </row>
    <row r="44" spans="6:21">
      <c r="G44" s="2">
        <v>28</v>
      </c>
      <c r="H44" s="2">
        <v>0.21325645264961574</v>
      </c>
      <c r="I44" s="2">
        <f>升级时间!K31</f>
        <v>0.10496609525786471</v>
      </c>
      <c r="J44" s="2">
        <f>副本规划!G33</f>
        <v>16</v>
      </c>
      <c r="K44" s="2">
        <f t="shared" si="0"/>
        <v>20</v>
      </c>
      <c r="L44" s="2">
        <f t="shared" si="1"/>
        <v>56.811518985857631</v>
      </c>
      <c r="M44">
        <v>1.1100000000000001</v>
      </c>
      <c r="N44">
        <f>K44*升级时间!K31*$C$9/$C$10</f>
        <v>25.191862861887529</v>
      </c>
      <c r="O44">
        <f t="shared" si="3"/>
        <v>27.962967776695159</v>
      </c>
      <c r="Q44" s="98">
        <f>[12]D_奖励表!$A102</f>
        <v>504201</v>
      </c>
      <c r="R44" s="2">
        <v>28</v>
      </c>
      <c r="S44" s="2">
        <f>[12]D_奖励表!$D102</f>
        <v>12</v>
      </c>
      <c r="T44" s="2" t="str">
        <f>[12]D_奖励表!$B102</f>
        <v>精英袭击者</v>
      </c>
      <c r="U44" s="2">
        <f t="shared" si="2"/>
        <v>24</v>
      </c>
    </row>
    <row r="45" spans="6:21">
      <c r="G45" s="2">
        <v>29</v>
      </c>
      <c r="H45" s="2">
        <v>0.27752552057141772</v>
      </c>
      <c r="I45" s="2">
        <f>升级时间!K32</f>
        <v>0.20197410843763797</v>
      </c>
      <c r="J45" s="2">
        <f>副本规划!G34</f>
        <v>17</v>
      </c>
      <c r="K45" s="2">
        <f t="shared" si="0"/>
        <v>20</v>
      </c>
      <c r="L45" s="2">
        <f t="shared" si="1"/>
        <v>73.266737430854278</v>
      </c>
      <c r="M45">
        <v>1.1000000000000001</v>
      </c>
      <c r="N45">
        <f>K45*升级时间!K32*$C$9/$C$10</f>
        <v>48.473786025033107</v>
      </c>
      <c r="O45">
        <f t="shared" si="3"/>
        <v>53.321164627536419</v>
      </c>
      <c r="Q45" s="98">
        <f>[12]D_奖励表!$A103</f>
        <v>504202</v>
      </c>
      <c r="R45" s="2">
        <v>29</v>
      </c>
      <c r="S45" s="2">
        <f>[12]D_奖励表!$D103</f>
        <v>12</v>
      </c>
      <c r="T45" s="2" t="str">
        <f>[12]D_奖励表!$B103</f>
        <v>精英生番手下</v>
      </c>
      <c r="U45" s="2">
        <f t="shared" si="2"/>
        <v>24</v>
      </c>
    </row>
    <row r="46" spans="6:21">
      <c r="G46" s="2">
        <v>30</v>
      </c>
      <c r="H46" s="2">
        <v>0.31240528000596091</v>
      </c>
      <c r="I46" s="2">
        <f>升级时间!K33</f>
        <v>0.24705904283657248</v>
      </c>
      <c r="J46" s="2">
        <f>副本规划!G35</f>
        <v>18</v>
      </c>
      <c r="K46" s="2">
        <f t="shared" si="0"/>
        <v>20</v>
      </c>
      <c r="L46" s="2">
        <f t="shared" si="1"/>
        <v>81.725221249559382</v>
      </c>
      <c r="M46">
        <v>1.0900000000000001</v>
      </c>
      <c r="N46">
        <f>K46*升级时间!K33*$C$9/$C$10</f>
        <v>59.294170280777394</v>
      </c>
      <c r="O46">
        <f t="shared" si="3"/>
        <v>64.630645606047366</v>
      </c>
      <c r="Q46" s="98">
        <f>[12]D_奖励表!$A104</f>
        <v>504203</v>
      </c>
      <c r="R46" s="2">
        <v>30</v>
      </c>
      <c r="S46" s="2">
        <f>[12]D_奖励表!$D104</f>
        <v>12</v>
      </c>
      <c r="T46" s="2" t="str">
        <f>[12]D_奖励表!$B104</f>
        <v>精英混混头目</v>
      </c>
      <c r="U46" s="2">
        <f t="shared" si="2"/>
        <v>24</v>
      </c>
    </row>
    <row r="47" spans="6:21">
      <c r="G47" s="2">
        <v>31</v>
      </c>
      <c r="H47" s="2">
        <v>0.40479480609621937</v>
      </c>
      <c r="I47" s="2">
        <f>升级时间!K34</f>
        <v>0.35201515299786718</v>
      </c>
      <c r="J47" s="2">
        <f>副本规划!G36</f>
        <v>19</v>
      </c>
      <c r="K47" s="2">
        <f t="shared" si="0"/>
        <v>20</v>
      </c>
      <c r="L47" s="2">
        <f t="shared" si="1"/>
        <v>104.92281374014007</v>
      </c>
      <c r="M47">
        <v>1.08</v>
      </c>
      <c r="N47">
        <f>K47*升级时间!K34*$C$9/$C$10</f>
        <v>84.483636719488118</v>
      </c>
      <c r="O47">
        <f t="shared" si="3"/>
        <v>91.24232765704717</v>
      </c>
      <c r="Q47" s="98">
        <f>[12]D_奖励表!$A105</f>
        <v>504204</v>
      </c>
      <c r="R47" s="2">
        <v>31</v>
      </c>
      <c r="S47" s="2">
        <f>[12]D_奖励表!$D105</f>
        <v>12</v>
      </c>
      <c r="T47" s="2" t="str">
        <f>[12]D_奖励表!$B105</f>
        <v>精英黑星</v>
      </c>
      <c r="U47" s="2">
        <f t="shared" ref="U47:U88" si="4">S47*$C$7</f>
        <v>24</v>
      </c>
    </row>
    <row r="48" spans="6:21">
      <c r="G48" s="2">
        <v>32</v>
      </c>
      <c r="H48" s="2">
        <v>0.50924825289467257</v>
      </c>
      <c r="I48" s="2">
        <f>升级时间!K35</f>
        <v>0.46400855023894211</v>
      </c>
      <c r="J48" s="2">
        <f>副本规划!G37</f>
        <v>20</v>
      </c>
      <c r="K48" s="2">
        <f t="shared" si="0"/>
        <v>20</v>
      </c>
      <c r="L48" s="2">
        <f t="shared" si="1"/>
        <v>130.77495134335192</v>
      </c>
      <c r="M48">
        <v>1.07</v>
      </c>
      <c r="N48">
        <f>K48*升级时间!K35*$C$9/$C$10</f>
        <v>111.36205205734609</v>
      </c>
      <c r="O48">
        <f t="shared" si="3"/>
        <v>119.15739570136033</v>
      </c>
      <c r="Q48" s="98">
        <f>[12]D_奖励表!$A106</f>
        <v>504205</v>
      </c>
      <c r="R48" s="2">
        <v>32</v>
      </c>
      <c r="S48" s="2">
        <f>[12]D_奖励表!$D106</f>
        <v>12</v>
      </c>
      <c r="T48" s="2" t="str">
        <f>[12]D_奖励表!$B106</f>
        <v>精英生番</v>
      </c>
      <c r="U48" s="2">
        <f t="shared" si="4"/>
        <v>24</v>
      </c>
    </row>
    <row r="49" spans="7:21">
      <c r="G49" s="2">
        <v>33</v>
      </c>
      <c r="H49" s="2">
        <v>0.45998724333621055</v>
      </c>
      <c r="I49" s="2">
        <f>升级时间!K36</f>
        <v>0.41097756545916919</v>
      </c>
      <c r="J49" s="2">
        <f>副本规划!G38</f>
        <v>21</v>
      </c>
      <c r="K49" s="2">
        <f t="shared" si="0"/>
        <v>20</v>
      </c>
      <c r="L49" s="2">
        <f t="shared" si="1"/>
        <v>117.02075470473197</v>
      </c>
      <c r="M49">
        <v>1.06</v>
      </c>
      <c r="N49">
        <f>K49*升级时间!K36*$C$9/$C$10</f>
        <v>98.634615710200606</v>
      </c>
      <c r="O49">
        <f t="shared" si="3"/>
        <v>104.55269265281265</v>
      </c>
      <c r="Q49" s="98">
        <f>[12]D_奖励表!$A107</f>
        <v>504206</v>
      </c>
      <c r="R49" s="2">
        <v>33</v>
      </c>
      <c r="S49" s="2">
        <f>[12]D_奖励表!$D107</f>
        <v>12</v>
      </c>
      <c r="T49" s="2" t="str">
        <f>[12]D_奖励表!$B107</f>
        <v>精英毒贩头目</v>
      </c>
      <c r="U49" s="2">
        <f t="shared" si="4"/>
        <v>24</v>
      </c>
    </row>
    <row r="50" spans="7:21">
      <c r="G50" s="2">
        <v>34</v>
      </c>
      <c r="H50" s="2">
        <v>0.6317473144191339</v>
      </c>
      <c r="I50" s="2">
        <f>升级时间!K37</f>
        <v>0.58776427017050703</v>
      </c>
      <c r="J50" s="2">
        <f>副本规划!G39</f>
        <v>22</v>
      </c>
      <c r="K50" s="2">
        <f t="shared" ref="K50:K81" si="5">IF(J50=0,K49,SUMIF(R:R,J50,U:U))</f>
        <v>20</v>
      </c>
      <c r="L50" s="2">
        <f t="shared" si="1"/>
        <v>159.20032323362176</v>
      </c>
      <c r="M50">
        <v>1.05</v>
      </c>
      <c r="N50">
        <f>K50*升级时间!K37*$C$9/$C$10</f>
        <v>141.0634248409217</v>
      </c>
      <c r="O50">
        <f t="shared" si="3"/>
        <v>148.11659608296779</v>
      </c>
      <c r="Q50" s="98">
        <f>[12]D_奖励表!$A108</f>
        <v>504207</v>
      </c>
      <c r="R50" s="2">
        <v>34</v>
      </c>
      <c r="S50" s="2">
        <f>[12]D_奖励表!$D108</f>
        <v>12</v>
      </c>
      <c r="T50" s="2" t="str">
        <f>[12]D_奖励表!$B108</f>
        <v>精英耀阳手下</v>
      </c>
      <c r="U50" s="2">
        <f t="shared" si="4"/>
        <v>24</v>
      </c>
    </row>
    <row r="51" spans="7:21">
      <c r="G51" s="2">
        <v>35</v>
      </c>
      <c r="H51" s="2">
        <v>0.60282897688048043</v>
      </c>
      <c r="I51" s="2">
        <f>升级时间!K38</f>
        <v>0.56615479075265474</v>
      </c>
      <c r="J51" s="2">
        <f>副本规划!G40</f>
        <v>23</v>
      </c>
      <c r="K51" s="2">
        <f t="shared" si="5"/>
        <v>20</v>
      </c>
      <c r="L51" s="2">
        <f t="shared" si="1"/>
        <v>150.4661126293679</v>
      </c>
      <c r="M51">
        <v>1.04</v>
      </c>
      <c r="N51">
        <f>K51*升级时间!K38*$C$9/$C$10</f>
        <v>135.87714978063713</v>
      </c>
      <c r="O51">
        <f t="shared" si="3"/>
        <v>141.31223577186262</v>
      </c>
      <c r="Q51" s="98">
        <f>[12]D_奖励表!$A109</f>
        <v>504208</v>
      </c>
      <c r="R51" s="2">
        <v>35</v>
      </c>
      <c r="S51" s="2">
        <f>[12]D_奖励表!$D109</f>
        <v>12</v>
      </c>
      <c r="T51" s="2" t="str">
        <f>[12]D_奖励表!$B109</f>
        <v>精英东星拳师</v>
      </c>
      <c r="U51" s="2">
        <f t="shared" si="4"/>
        <v>24</v>
      </c>
    </row>
    <row r="52" spans="7:21">
      <c r="G52" s="2">
        <v>36</v>
      </c>
      <c r="H52" s="2">
        <v>0.72482388247729956</v>
      </c>
      <c r="I52" s="2">
        <f>升级时间!K39</f>
        <v>0.6928818493982255</v>
      </c>
      <c r="J52" s="2">
        <f>副本规划!G41</f>
        <v>24</v>
      </c>
      <c r="K52" s="2">
        <f t="shared" si="5"/>
        <v>20</v>
      </c>
      <c r="L52" s="2">
        <f t="shared" si="1"/>
        <v>179.17646374838847</v>
      </c>
      <c r="M52">
        <v>1.03</v>
      </c>
      <c r="N52">
        <f>K52*升级时间!K39*$C$9/$C$10</f>
        <v>166.29164385557411</v>
      </c>
      <c r="O52">
        <f t="shared" si="3"/>
        <v>171.28039317124134</v>
      </c>
      <c r="Q52" s="98">
        <f>[12]D_奖励表!$A110</f>
        <v>504209</v>
      </c>
      <c r="R52" s="2">
        <v>36</v>
      </c>
      <c r="S52" s="2">
        <f>[12]D_奖励表!$D110</f>
        <v>12</v>
      </c>
      <c r="T52" s="2" t="str">
        <f>[12]D_奖励表!$B110</f>
        <v>精英耀阳</v>
      </c>
      <c r="U52" s="2">
        <f t="shared" si="4"/>
        <v>24</v>
      </c>
    </row>
    <row r="53" spans="7:21">
      <c r="G53" s="2">
        <v>37</v>
      </c>
      <c r="H53" s="2">
        <v>0.62033794316086177</v>
      </c>
      <c r="I53" s="2">
        <f>升级时间!K40</f>
        <v>0.59312806313053945</v>
      </c>
      <c r="J53" s="2">
        <f>副本规划!G42</f>
        <v>25</v>
      </c>
      <c r="K53" s="2">
        <f t="shared" si="5"/>
        <v>20</v>
      </c>
      <c r="L53" s="2">
        <f t="shared" si="1"/>
        <v>151.85872848577895</v>
      </c>
      <c r="M53">
        <v>1.02</v>
      </c>
      <c r="N53">
        <f>K53*升级时间!K40*$C$9/$C$10</f>
        <v>142.35073515132947</v>
      </c>
      <c r="O53">
        <f t="shared" si="3"/>
        <v>145.19774985435606</v>
      </c>
      <c r="Q53" s="98">
        <f>[12]D_奖励表!$A111</f>
        <v>505201</v>
      </c>
      <c r="R53" s="2">
        <v>37</v>
      </c>
      <c r="S53" s="2">
        <f>[12]D_奖励表!$D111</f>
        <v>12</v>
      </c>
      <c r="T53" s="2" t="str">
        <f>[12]D_奖励表!$B111</f>
        <v>精英司徒手下</v>
      </c>
      <c r="U53" s="2">
        <f t="shared" si="4"/>
        <v>24</v>
      </c>
    </row>
    <row r="54" spans="7:21">
      <c r="G54" s="2">
        <v>38</v>
      </c>
      <c r="H54" s="2">
        <v>0.81241603540969376</v>
      </c>
      <c r="I54" s="2">
        <f>升级时间!K41</f>
        <v>0.78993830842812307</v>
      </c>
      <c r="J54" s="2">
        <f>副本规划!G43</f>
        <v>26</v>
      </c>
      <c r="K54" s="2">
        <f t="shared" si="5"/>
        <v>20</v>
      </c>
      <c r="L54" s="2">
        <f t="shared" si="1"/>
        <v>196.92964698330977</v>
      </c>
      <c r="M54">
        <v>1.01</v>
      </c>
      <c r="N54">
        <f>K54*升级时间!K41*$C$9/$C$10</f>
        <v>189.58519402274953</v>
      </c>
      <c r="O54">
        <f t="shared" si="3"/>
        <v>191.48104596297702</v>
      </c>
      <c r="Q54" s="98">
        <f>[12]D_奖励表!$A112</f>
        <v>505202</v>
      </c>
      <c r="R54" s="2">
        <v>38</v>
      </c>
      <c r="S54" s="2">
        <f>[12]D_奖励表!$D112</f>
        <v>12</v>
      </c>
      <c r="T54" s="2" t="str">
        <f>[12]D_奖励表!$B112</f>
        <v>精英破坏分子</v>
      </c>
      <c r="U54" s="2">
        <f t="shared" si="4"/>
        <v>24</v>
      </c>
    </row>
    <row r="55" spans="7:21">
      <c r="G55" s="2">
        <v>39</v>
      </c>
      <c r="H55" s="2">
        <v>0.82344195201328518</v>
      </c>
      <c r="I55" s="2">
        <f>升级时间!K42</f>
        <v>0.80569637808046635</v>
      </c>
      <c r="J55" s="2">
        <f>副本规划!G44</f>
        <v>27</v>
      </c>
      <c r="K55" s="2">
        <f t="shared" si="5"/>
        <v>20</v>
      </c>
      <c r="L55" s="2">
        <f t="shared" si="1"/>
        <v>197.62606848318845</v>
      </c>
      <c r="M55">
        <v>1</v>
      </c>
      <c r="N55">
        <f>K55*升级时间!K42*$C$9/$C$10</f>
        <v>193.3671307393119</v>
      </c>
      <c r="O55">
        <f t="shared" si="3"/>
        <v>193.3671307393119</v>
      </c>
      <c r="Q55" s="98">
        <f>[12]D_奖励表!$A113</f>
        <v>505203</v>
      </c>
      <c r="R55" s="2">
        <v>39</v>
      </c>
      <c r="S55" s="2">
        <f>[12]D_奖励表!$D113</f>
        <v>12</v>
      </c>
      <c r="T55" s="2" t="str">
        <f>[12]D_奖励表!$B113</f>
        <v>精英地痞头目</v>
      </c>
      <c r="U55" s="2">
        <f t="shared" si="4"/>
        <v>24</v>
      </c>
    </row>
    <row r="56" spans="7:21">
      <c r="G56" s="2">
        <v>40</v>
      </c>
      <c r="H56" s="2">
        <v>0.97359582615639106</v>
      </c>
      <c r="I56" s="2">
        <f>升级时间!K43</f>
        <v>0.96060699133404548</v>
      </c>
      <c r="J56" s="2">
        <f>副本规划!G45</f>
        <v>28</v>
      </c>
      <c r="K56" s="2">
        <f t="shared" si="5"/>
        <v>24</v>
      </c>
      <c r="L56" s="2">
        <f t="shared" si="1"/>
        <v>280.39559793304062</v>
      </c>
      <c r="M56">
        <v>1</v>
      </c>
      <c r="N56">
        <f>K56*升级时间!K43*$C$9/$C$10</f>
        <v>276.65481350420509</v>
      </c>
      <c r="O56">
        <f t="shared" si="3"/>
        <v>276.65481350420509</v>
      </c>
      <c r="Q56" s="98">
        <f>[12]D_奖励表!$A114</f>
        <v>505204</v>
      </c>
      <c r="R56" s="2">
        <v>40</v>
      </c>
      <c r="S56" s="2">
        <f>[12]D_奖励表!$D114</f>
        <v>12</v>
      </c>
      <c r="T56" s="2" t="str">
        <f>[12]D_奖励表!$B114</f>
        <v>精英外籍打手</v>
      </c>
      <c r="U56" s="2">
        <f t="shared" si="4"/>
        <v>24</v>
      </c>
    </row>
    <row r="57" spans="7:21">
      <c r="G57" s="2">
        <v>41</v>
      </c>
      <c r="H57" s="2">
        <v>1.1458513919640054</v>
      </c>
      <c r="I57" s="2">
        <f>升级时间!K44</f>
        <v>1.1375857698043312</v>
      </c>
      <c r="J57" s="2">
        <f>副本规划!G46</f>
        <v>29</v>
      </c>
      <c r="K57" s="2">
        <f t="shared" si="5"/>
        <v>24</v>
      </c>
      <c r="L57" s="2">
        <f t="shared" si="1"/>
        <v>330.00520088563354</v>
      </c>
      <c r="M57">
        <v>1</v>
      </c>
      <c r="N57">
        <f>K57*升级时间!K44*$C$9/$C$10</f>
        <v>327.62470170364742</v>
      </c>
      <c r="O57">
        <f t="shared" si="3"/>
        <v>327.62470170364742</v>
      </c>
      <c r="Q57" s="98">
        <f>[12]D_奖励表!$A115</f>
        <v>505205</v>
      </c>
      <c r="R57" s="2">
        <v>41</v>
      </c>
      <c r="S57" s="2">
        <f>[12]D_奖励表!$D115</f>
        <v>12</v>
      </c>
      <c r="T57" s="2" t="str">
        <f>[12]D_奖励表!$B115</f>
        <v>精英长毛</v>
      </c>
      <c r="U57" s="2">
        <f t="shared" si="4"/>
        <v>24</v>
      </c>
    </row>
    <row r="58" spans="7:21">
      <c r="G58" s="2">
        <v>42</v>
      </c>
      <c r="H58" s="2">
        <v>1.0838356097031341</v>
      </c>
      <c r="I58" s="2">
        <f>升级时间!K45</f>
        <v>1.080293200206131</v>
      </c>
      <c r="J58" s="2">
        <f>副本规划!G47</f>
        <v>30</v>
      </c>
      <c r="K58" s="2">
        <f t="shared" si="5"/>
        <v>24</v>
      </c>
      <c r="L58" s="2">
        <f t="shared" si="1"/>
        <v>312.14465559450264</v>
      </c>
      <c r="M58">
        <v>1</v>
      </c>
      <c r="N58">
        <f>K58*升级时间!K45*$C$9/$C$10</f>
        <v>311.12444165936574</v>
      </c>
      <c r="O58">
        <f t="shared" si="3"/>
        <v>311.12444165936574</v>
      </c>
      <c r="Q58" s="98">
        <f>[12]D_奖励表!$A116</f>
        <v>505206</v>
      </c>
      <c r="R58" s="2">
        <v>42</v>
      </c>
      <c r="S58" s="2">
        <f>[12]D_奖励表!$D116</f>
        <v>12</v>
      </c>
      <c r="T58" s="2" t="str">
        <f>[12]D_奖励表!$B116</f>
        <v>精英大头仔</v>
      </c>
      <c r="U58" s="2">
        <f t="shared" si="4"/>
        <v>24</v>
      </c>
    </row>
    <row r="59" spans="7:21">
      <c r="G59" s="2">
        <v>43</v>
      </c>
      <c r="H59" s="2">
        <v>1.3593878364433654</v>
      </c>
      <c r="I59" s="2">
        <f>升级时间!K46</f>
        <v>1.3570262301120297</v>
      </c>
      <c r="J59" s="2">
        <f>副本规划!G48</f>
        <v>31</v>
      </c>
      <c r="K59" s="2">
        <f t="shared" si="5"/>
        <v>24</v>
      </c>
      <c r="L59" s="2">
        <f t="shared" si="1"/>
        <v>391.50369689568925</v>
      </c>
      <c r="M59">
        <v>1</v>
      </c>
      <c r="N59">
        <f>K59*升级时间!K46*$C$9/$C$10</f>
        <v>390.82355427226452</v>
      </c>
      <c r="O59">
        <f t="shared" si="3"/>
        <v>390.82355427226452</v>
      </c>
      <c r="Q59" s="98">
        <f>[12]D_奖励表!$A117</f>
        <v>505207</v>
      </c>
      <c r="R59" s="2">
        <v>43</v>
      </c>
      <c r="S59" s="2">
        <f>[12]D_奖励表!$D117</f>
        <v>12</v>
      </c>
      <c r="T59" s="2" t="str">
        <f>[12]D_奖励表!$B117</f>
        <v>精英阿勇</v>
      </c>
      <c r="U59" s="2">
        <f t="shared" si="4"/>
        <v>24</v>
      </c>
    </row>
    <row r="60" spans="7:21">
      <c r="G60" s="2">
        <v>44</v>
      </c>
      <c r="H60" s="2">
        <v>1.3870658626466179</v>
      </c>
      <c r="I60" s="2">
        <f>升级时间!K47</f>
        <v>1.3894274689779536</v>
      </c>
      <c r="J60" s="2">
        <f>副本规划!G49</f>
        <v>32</v>
      </c>
      <c r="K60" s="2">
        <f t="shared" si="5"/>
        <v>24</v>
      </c>
      <c r="L60" s="2">
        <f t="shared" si="1"/>
        <v>399.47496844222599</v>
      </c>
      <c r="M60">
        <v>1</v>
      </c>
      <c r="N60">
        <f>K60*升级时间!K47*$C$9/$C$10</f>
        <v>400.1551110656506</v>
      </c>
      <c r="O60">
        <f t="shared" si="3"/>
        <v>400.1551110656506</v>
      </c>
      <c r="Q60" s="98">
        <f>[12]D_奖励表!$A118</f>
        <v>505208</v>
      </c>
      <c r="R60" s="2">
        <v>44</v>
      </c>
      <c r="S60" s="2">
        <f>[12]D_奖励表!$D118</f>
        <v>12</v>
      </c>
      <c r="T60" s="2" t="str">
        <f>[12]D_奖励表!$B118</f>
        <v>精英非法裁判</v>
      </c>
      <c r="U60" s="2">
        <f t="shared" si="4"/>
        <v>24</v>
      </c>
    </row>
    <row r="61" spans="7:21">
      <c r="G61" s="2">
        <v>45</v>
      </c>
      <c r="H61" s="2">
        <v>1.6016886460383921</v>
      </c>
      <c r="I61" s="2">
        <f>升级时间!K48</f>
        <v>1.6087734650323986</v>
      </c>
      <c r="J61" s="2">
        <f>副本规划!G50</f>
        <v>33</v>
      </c>
      <c r="K61" s="2">
        <f t="shared" si="5"/>
        <v>24</v>
      </c>
      <c r="L61" s="2">
        <f t="shared" si="1"/>
        <v>461.28633005905692</v>
      </c>
      <c r="M61">
        <v>1</v>
      </c>
      <c r="N61">
        <f>K61*升级时间!K48*$C$9/$C$10</f>
        <v>463.32675792933082</v>
      </c>
      <c r="O61">
        <f t="shared" si="3"/>
        <v>463.32675792933082</v>
      </c>
      <c r="Q61" s="98">
        <f>[12]D_奖励表!$A119</f>
        <v>505209</v>
      </c>
      <c r="R61" s="2">
        <v>45</v>
      </c>
      <c r="S61" s="2">
        <f>[12]D_奖励表!$D119</f>
        <v>12</v>
      </c>
      <c r="T61" s="2" t="str">
        <f>[12]D_奖励表!$B119</f>
        <v>精英司徒浩南</v>
      </c>
      <c r="U61" s="2">
        <f t="shared" si="4"/>
        <v>24</v>
      </c>
    </row>
    <row r="62" spans="7:21">
      <c r="G62" s="2">
        <v>46</v>
      </c>
      <c r="H62" s="2">
        <v>1.4367540598579178</v>
      </c>
      <c r="I62" s="2">
        <f>升级时间!K49</f>
        <v>1.4485620915145954</v>
      </c>
      <c r="J62" s="2">
        <f>副本规划!G51</f>
        <v>34</v>
      </c>
      <c r="K62" s="2">
        <f t="shared" si="5"/>
        <v>24</v>
      </c>
      <c r="L62" s="2">
        <f t="shared" si="1"/>
        <v>413.78516923908035</v>
      </c>
      <c r="M62">
        <v>1</v>
      </c>
      <c r="N62">
        <f>K62*升级时间!K49*$C$9/$C$10</f>
        <v>417.18588235620342</v>
      </c>
      <c r="O62">
        <f t="shared" si="3"/>
        <v>417.18588235620342</v>
      </c>
      <c r="Q62" s="98">
        <f>[12]D_奖励表!$A120</f>
        <v>506201</v>
      </c>
      <c r="R62" s="2">
        <v>46</v>
      </c>
      <c r="S62" s="2">
        <f>[12]D_奖励表!$D120</f>
        <v>14</v>
      </c>
      <c r="T62" s="2" t="str">
        <f>[12]D_奖励表!$B120</f>
        <v>精英鬼冢</v>
      </c>
      <c r="U62" s="2">
        <f t="shared" si="4"/>
        <v>28</v>
      </c>
    </row>
    <row r="63" spans="7:21">
      <c r="G63" s="2">
        <v>47</v>
      </c>
      <c r="H63" s="2">
        <v>1.7664343037123595</v>
      </c>
      <c r="I63" s="2">
        <f>升级时间!K50</f>
        <v>1.779423138534705</v>
      </c>
      <c r="J63" s="2">
        <f>副本规划!G52</f>
        <v>35</v>
      </c>
      <c r="K63" s="2">
        <f t="shared" si="5"/>
        <v>24</v>
      </c>
      <c r="L63" s="2">
        <f t="shared" si="1"/>
        <v>508.73307946915952</v>
      </c>
      <c r="M63">
        <v>1</v>
      </c>
      <c r="N63">
        <f>K63*升级时间!K50*$C$9/$C$10</f>
        <v>512.47386389799499</v>
      </c>
      <c r="O63">
        <f t="shared" si="3"/>
        <v>512.47386389799499</v>
      </c>
      <c r="Q63" s="98">
        <f>[12]D_奖励表!$A121</f>
        <v>506202</v>
      </c>
      <c r="R63" s="2">
        <v>47</v>
      </c>
      <c r="S63" s="2">
        <f>[12]D_奖励表!$D121</f>
        <v>14</v>
      </c>
      <c r="T63" s="2" t="str">
        <f>[12]D_奖励表!$B121</f>
        <v>精英暗魔</v>
      </c>
      <c r="U63" s="2">
        <f t="shared" si="4"/>
        <v>28</v>
      </c>
    </row>
    <row r="64" spans="7:21">
      <c r="G64" s="2">
        <v>48</v>
      </c>
      <c r="H64" s="2">
        <v>1.7926953661168108</v>
      </c>
      <c r="I64" s="2">
        <f>升级时间!K51</f>
        <v>1.806865004104824</v>
      </c>
      <c r="J64" s="2">
        <f>副本规划!G53</f>
        <v>36</v>
      </c>
      <c r="K64" s="2">
        <f t="shared" si="5"/>
        <v>24</v>
      </c>
      <c r="L64" s="2">
        <f t="shared" si="1"/>
        <v>516.29626544164148</v>
      </c>
      <c r="M64">
        <v>1</v>
      </c>
      <c r="N64">
        <f>K64*升级时间!K51*$C$9/$C$10</f>
        <v>520.37712118218928</v>
      </c>
      <c r="O64">
        <f t="shared" si="3"/>
        <v>520.37712118218928</v>
      </c>
      <c r="Q64" s="98">
        <f>[12]D_奖励表!$A122</f>
        <v>506203</v>
      </c>
      <c r="R64" s="2">
        <v>48</v>
      </c>
      <c r="S64" s="2">
        <f>[12]D_奖励表!$D122</f>
        <v>14</v>
      </c>
      <c r="T64" s="2" t="str">
        <f>[12]D_奖励表!$B122</f>
        <v>精英血狂</v>
      </c>
      <c r="U64" s="2">
        <f t="shared" si="4"/>
        <v>28</v>
      </c>
    </row>
    <row r="65" spans="7:21">
      <c r="G65" s="2">
        <v>49</v>
      </c>
      <c r="H65" s="2">
        <v>2.0544085797554157</v>
      </c>
      <c r="I65" s="2">
        <f>升级时间!K52</f>
        <v>2.0697590209090966</v>
      </c>
      <c r="J65" s="2">
        <f>副本规划!G54</f>
        <v>37</v>
      </c>
      <c r="K65" s="2">
        <f t="shared" si="5"/>
        <v>24</v>
      </c>
      <c r="L65" s="2">
        <f t="shared" si="1"/>
        <v>591.66967096955977</v>
      </c>
      <c r="M65">
        <v>1</v>
      </c>
      <c r="N65">
        <f>K65*升级时间!K52*$C$9/$C$10</f>
        <v>596.09059802181991</v>
      </c>
      <c r="O65">
        <f t="shared" si="3"/>
        <v>596.09059802181991</v>
      </c>
      <c r="Q65" s="98">
        <f>[12]D_奖励表!$A123</f>
        <v>506204</v>
      </c>
      <c r="R65" s="2">
        <v>49</v>
      </c>
      <c r="S65" s="2">
        <f>[12]D_奖励表!$D123</f>
        <v>14</v>
      </c>
      <c r="T65" s="2" t="str">
        <f>[12]D_奖励表!$B123</f>
        <v>精英獠牙</v>
      </c>
      <c r="U65" s="2">
        <f t="shared" si="4"/>
        <v>28</v>
      </c>
    </row>
    <row r="66" spans="7:21">
      <c r="G66" s="2">
        <v>50</v>
      </c>
      <c r="H66" s="2">
        <v>2.2075680681676784</v>
      </c>
      <c r="I66" s="2">
        <f>升级时间!K53</f>
        <v>2.2240681391493489</v>
      </c>
      <c r="J66" s="2">
        <f>副本规划!G55</f>
        <v>38</v>
      </c>
      <c r="K66" s="2">
        <f t="shared" si="5"/>
        <v>24</v>
      </c>
      <c r="L66" s="2">
        <f t="shared" si="1"/>
        <v>635.77960363229136</v>
      </c>
      <c r="M66">
        <v>1</v>
      </c>
      <c r="N66">
        <f>K66*升级时间!K53*$C$9/$C$10</f>
        <v>640.53162407501247</v>
      </c>
      <c r="O66">
        <f t="shared" si="3"/>
        <v>640.53162407501247</v>
      </c>
      <c r="Q66" s="98">
        <f>[12]D_奖励表!$A124</f>
        <v>506205</v>
      </c>
      <c r="R66" s="2">
        <v>50</v>
      </c>
      <c r="S66" s="2">
        <f>[12]D_奖励表!$D124</f>
        <v>14</v>
      </c>
      <c r="T66" s="2" t="str">
        <f>[12]D_奖励表!$B124</f>
        <v>精英陈浩南</v>
      </c>
      <c r="U66" s="2">
        <f t="shared" si="4"/>
        <v>28</v>
      </c>
    </row>
    <row r="67" spans="7:21">
      <c r="G67" s="2">
        <v>51</v>
      </c>
      <c r="H67" s="2">
        <v>2.2183166858357382</v>
      </c>
      <c r="I67" s="2">
        <f>升级时间!K54</f>
        <v>2.2359953333160996</v>
      </c>
      <c r="J67" s="2">
        <f>副本规划!G56</f>
        <v>39</v>
      </c>
      <c r="K67" s="2">
        <f t="shared" si="5"/>
        <v>24</v>
      </c>
      <c r="L67" s="2">
        <f t="shared" si="1"/>
        <v>638.87520552069259</v>
      </c>
      <c r="M67">
        <v>1</v>
      </c>
      <c r="N67">
        <f>K67*升级时间!K54*$C$9/$C$10</f>
        <v>643.96665599503672</v>
      </c>
      <c r="O67">
        <f t="shared" si="3"/>
        <v>643.96665599503672</v>
      </c>
      <c r="Q67" s="98">
        <f>[12]D_奖励表!$A125</f>
        <v>506206</v>
      </c>
      <c r="R67" s="2">
        <v>51</v>
      </c>
      <c r="S67" s="2">
        <f>[12]D_奖励表!$D125</f>
        <v>14</v>
      </c>
      <c r="T67" s="2" t="str">
        <f>[12]D_奖励表!$B125</f>
        <v>精英毒牙</v>
      </c>
      <c r="U67" s="2">
        <f t="shared" si="4"/>
        <v>28</v>
      </c>
    </row>
    <row r="68" spans="7:21">
      <c r="G68" s="2">
        <v>52</v>
      </c>
      <c r="H68" s="2">
        <v>2.125539143858802</v>
      </c>
      <c r="I68" s="2">
        <f>升级时间!K55</f>
        <v>2.1443963678378539</v>
      </c>
      <c r="J68" s="2">
        <f>副本规划!G57</f>
        <v>40</v>
      </c>
      <c r="K68" s="2">
        <f t="shared" si="5"/>
        <v>24</v>
      </c>
      <c r="L68" s="2">
        <f t="shared" si="1"/>
        <v>612.15527343133499</v>
      </c>
      <c r="M68">
        <v>1</v>
      </c>
      <c r="N68">
        <f>K68*升级时间!K55*$C$9/$C$10</f>
        <v>617.5861539373019</v>
      </c>
      <c r="O68">
        <f t="shared" si="3"/>
        <v>617.5861539373019</v>
      </c>
      <c r="Q68" s="98">
        <f>[12]D_奖励表!$A126</f>
        <v>506207</v>
      </c>
      <c r="R68" s="2">
        <v>52</v>
      </c>
      <c r="S68" s="2">
        <f>[12]D_奖励表!$D126</f>
        <v>14</v>
      </c>
      <c r="T68" s="2" t="str">
        <f>[12]D_奖励表!$B126</f>
        <v>精英织田</v>
      </c>
      <c r="U68" s="2">
        <f t="shared" si="4"/>
        <v>28</v>
      </c>
    </row>
    <row r="69" spans="7:21">
      <c r="G69" s="2">
        <v>53</v>
      </c>
      <c r="H69" s="2">
        <v>2.7215688507766904</v>
      </c>
      <c r="I69" s="2">
        <f>升级时间!K56</f>
        <v>2.7427832277531237</v>
      </c>
      <c r="J69" s="2">
        <f>副本规划!G58</f>
        <v>41</v>
      </c>
      <c r="K69" s="2">
        <f t="shared" si="5"/>
        <v>24</v>
      </c>
      <c r="L69" s="2">
        <f t="shared" si="1"/>
        <v>783.81182902368687</v>
      </c>
      <c r="M69">
        <v>1</v>
      </c>
      <c r="N69">
        <f>K69*升级时间!K56*$C$9/$C$10</f>
        <v>789.92156959289957</v>
      </c>
      <c r="O69">
        <f t="shared" si="3"/>
        <v>789.92156959289957</v>
      </c>
      <c r="Q69" s="98">
        <f>[12]D_奖励表!$A127</f>
        <v>506208</v>
      </c>
      <c r="R69" s="2">
        <v>53</v>
      </c>
      <c r="S69" s="2">
        <f>[12]D_奖励表!$D127</f>
        <v>14</v>
      </c>
      <c r="T69" s="2" t="str">
        <f>[12]D_奖励表!$B127</f>
        <v>精英太乙部下</v>
      </c>
      <c r="U69" s="2">
        <f t="shared" si="4"/>
        <v>28</v>
      </c>
    </row>
    <row r="70" spans="7:21">
      <c r="G70" s="2">
        <v>54</v>
      </c>
      <c r="H70" s="2">
        <v>2.9130639602839641</v>
      </c>
      <c r="I70" s="2">
        <f>升级时间!K57</f>
        <v>2.9366354902577791</v>
      </c>
      <c r="J70" s="2">
        <f>副本规划!G59</f>
        <v>42</v>
      </c>
      <c r="K70" s="2">
        <f t="shared" si="5"/>
        <v>24</v>
      </c>
      <c r="L70" s="2">
        <f t="shared" si="1"/>
        <v>838.96242056178164</v>
      </c>
      <c r="M70">
        <v>1</v>
      </c>
      <c r="N70">
        <f>K70*升级时间!K57*$C$9/$C$10</f>
        <v>845.75102119424048</v>
      </c>
      <c r="O70">
        <f t="shared" si="3"/>
        <v>845.75102119424048</v>
      </c>
      <c r="Q70" s="98">
        <f>[12]D_奖励表!$A128</f>
        <v>506209</v>
      </c>
      <c r="R70" s="2">
        <v>54</v>
      </c>
      <c r="S70" s="2">
        <f>[12]D_奖励表!$D128</f>
        <v>14</v>
      </c>
      <c r="T70" s="2" t="str">
        <f>[12]D_奖励表!$B128</f>
        <v>精英太乙</v>
      </c>
      <c r="U70" s="2">
        <f t="shared" si="4"/>
        <v>28</v>
      </c>
    </row>
    <row r="71" spans="7:21">
      <c r="G71" s="2">
        <v>55</v>
      </c>
      <c r="H71" s="2">
        <v>3.1151662582794546</v>
      </c>
      <c r="I71" s="2">
        <f>升级时间!K58</f>
        <v>3.141094941250651</v>
      </c>
      <c r="J71" s="2">
        <f>副本规划!G60</f>
        <v>43</v>
      </c>
      <c r="K71" s="2">
        <f t="shared" si="5"/>
        <v>24</v>
      </c>
      <c r="L71" s="2">
        <f t="shared" si="1"/>
        <v>897.16788238448294</v>
      </c>
      <c r="M71">
        <v>1</v>
      </c>
      <c r="N71">
        <f>K71*升级时间!K58*$C$9/$C$10</f>
        <v>904.63534308018745</v>
      </c>
      <c r="O71">
        <f t="shared" si="3"/>
        <v>904.63534308018745</v>
      </c>
      <c r="Q71" s="98">
        <f>[12]D_奖励表!$A129</f>
        <v>507201</v>
      </c>
      <c r="R71" s="2">
        <v>55</v>
      </c>
      <c r="S71" s="2">
        <f>[12]D_奖励表!$D129</f>
        <v>14</v>
      </c>
      <c r="T71" s="2" t="str">
        <f>[12]D_奖励表!$B129</f>
        <v>精英白虎堂</v>
      </c>
      <c r="U71" s="2">
        <f t="shared" si="4"/>
        <v>28</v>
      </c>
    </row>
    <row r="72" spans="7:21">
      <c r="G72" s="2">
        <v>56</v>
      </c>
      <c r="H72" s="2">
        <v>3.3046813592689279</v>
      </c>
      <c r="I72" s="2">
        <f>升级时间!K59</f>
        <v>3.3329671952375062</v>
      </c>
      <c r="J72" s="2">
        <f>副本规划!G61</f>
        <v>44</v>
      </c>
      <c r="K72" s="2">
        <f t="shared" si="5"/>
        <v>24</v>
      </c>
      <c r="L72" s="2">
        <f t="shared" si="1"/>
        <v>951.74823146945118</v>
      </c>
      <c r="M72">
        <v>1</v>
      </c>
      <c r="N72">
        <f>K72*升级时间!K59*$C$9/$C$10</f>
        <v>959.89455222840184</v>
      </c>
      <c r="O72">
        <f t="shared" si="3"/>
        <v>959.89455222840184</v>
      </c>
      <c r="Q72" s="98">
        <f>[12]D_奖励表!$A130</f>
        <v>507202</v>
      </c>
      <c r="R72" s="2">
        <v>56</v>
      </c>
      <c r="S72" s="2">
        <f>[12]D_奖励表!$D130</f>
        <v>14</v>
      </c>
      <c r="T72" s="2" t="str">
        <f>[12]D_奖励表!$B130</f>
        <v>精英玄武堂</v>
      </c>
      <c r="U72" s="2">
        <f t="shared" si="4"/>
        <v>28</v>
      </c>
    </row>
    <row r="73" spans="7:21">
      <c r="G73" s="2">
        <v>57</v>
      </c>
      <c r="H73" s="2">
        <v>3.5243680186248847</v>
      </c>
      <c r="I73" s="2">
        <f>升级时间!K60</f>
        <v>3.5550110075908443</v>
      </c>
      <c r="J73" s="2">
        <f>副本规划!G62</f>
        <v>45</v>
      </c>
      <c r="K73" s="2">
        <f t="shared" si="5"/>
        <v>24</v>
      </c>
      <c r="L73" s="2">
        <f t="shared" si="1"/>
        <v>1015.0179893639668</v>
      </c>
      <c r="M73">
        <v>1</v>
      </c>
      <c r="N73">
        <f>K73*升级时间!K60*$C$9/$C$10</f>
        <v>1023.8431701861632</v>
      </c>
      <c r="O73">
        <f t="shared" si="3"/>
        <v>1023.8431701861632</v>
      </c>
      <c r="Q73" s="98">
        <f>[12]D_奖励表!$A131</f>
        <v>507203</v>
      </c>
      <c r="R73" s="2">
        <v>57</v>
      </c>
      <c r="S73" s="2">
        <f>[12]D_奖励表!$D131</f>
        <v>14</v>
      </c>
      <c r="T73" s="2" t="str">
        <f>[12]D_奖励表!$B131</f>
        <v>精英朱雀堂</v>
      </c>
      <c r="U73" s="2">
        <f t="shared" si="4"/>
        <v>28</v>
      </c>
    </row>
    <row r="74" spans="7:21">
      <c r="G74" s="2">
        <v>58</v>
      </c>
      <c r="H74" s="2">
        <v>3.7556990137879058</v>
      </c>
      <c r="I74" s="2">
        <f>升级时间!K61</f>
        <v>3.7886991557512468</v>
      </c>
      <c r="J74" s="2">
        <f>副本规划!G63</f>
        <v>46</v>
      </c>
      <c r="K74" s="2">
        <f t="shared" si="5"/>
        <v>28</v>
      </c>
      <c r="L74" s="2">
        <f t="shared" si="1"/>
        <v>1261.9148686327364</v>
      </c>
      <c r="M74">
        <v>1</v>
      </c>
      <c r="N74">
        <f>K74*升级时间!K61*$C$9/$C$10</f>
        <v>1273.0029163324189</v>
      </c>
      <c r="O74">
        <f t="shared" si="3"/>
        <v>1273.0029163324189</v>
      </c>
      <c r="Q74" s="98">
        <f>[12]D_奖励表!$A132</f>
        <v>507204</v>
      </c>
      <c r="R74" s="2">
        <v>58</v>
      </c>
      <c r="S74" s="2">
        <f>[12]D_奖励表!$D132</f>
        <v>14</v>
      </c>
      <c r="T74" s="2" t="str">
        <f>[12]D_奖励表!$B132</f>
        <v>精英青龙堂</v>
      </c>
      <c r="U74" s="2">
        <f t="shared" si="4"/>
        <v>28</v>
      </c>
    </row>
    <row r="75" spans="7:21">
      <c r="G75" s="2">
        <v>59</v>
      </c>
      <c r="H75" s="2">
        <v>3.7162874156716872</v>
      </c>
      <c r="I75" s="2">
        <f>升级时间!K62</f>
        <v>3.7516447106324096</v>
      </c>
      <c r="J75" s="2">
        <f>副本规划!G64</f>
        <v>47</v>
      </c>
      <c r="K75" s="2">
        <f t="shared" si="5"/>
        <v>28</v>
      </c>
      <c r="L75" s="2">
        <f t="shared" si="1"/>
        <v>1248.672571665687</v>
      </c>
      <c r="M75">
        <v>1</v>
      </c>
      <c r="N75">
        <f>K75*升级时间!K62*$C$9/$C$10</f>
        <v>1260.5526227724897</v>
      </c>
      <c r="O75">
        <f t="shared" si="3"/>
        <v>1260.5526227724897</v>
      </c>
      <c r="Q75" s="98">
        <f>[12]D_奖励表!$A133</f>
        <v>507205</v>
      </c>
      <c r="R75" s="2">
        <v>59</v>
      </c>
      <c r="S75" s="2">
        <f>[12]D_奖励表!$D133</f>
        <v>14</v>
      </c>
      <c r="T75" s="2" t="str">
        <f>[12]D_奖励表!$B133</f>
        <v>精英佐维</v>
      </c>
      <c r="U75" s="2">
        <f t="shared" si="4"/>
        <v>28</v>
      </c>
    </row>
    <row r="76" spans="7:21">
      <c r="G76" s="2">
        <v>60</v>
      </c>
      <c r="H76" s="2">
        <v>4.2328191787174303</v>
      </c>
      <c r="I76" s="2">
        <f>升级时间!K63</f>
        <v>4.2704626415545279</v>
      </c>
      <c r="J76" s="2">
        <f>副本规划!G65</f>
        <v>48</v>
      </c>
      <c r="K76" s="2">
        <f t="shared" si="5"/>
        <v>28</v>
      </c>
      <c r="L76" s="2">
        <f t="shared" si="1"/>
        <v>1422.2272440490565</v>
      </c>
      <c r="M76">
        <v>1</v>
      </c>
      <c r="N76">
        <f>K76*升级时间!K63*$C$9/$C$10</f>
        <v>1434.8754475623214</v>
      </c>
      <c r="O76">
        <f t="shared" si="3"/>
        <v>1434.8754475623214</v>
      </c>
      <c r="Q76" s="98">
        <f>[12]D_奖励表!$A134</f>
        <v>507206</v>
      </c>
      <c r="R76" s="2">
        <v>60</v>
      </c>
      <c r="S76" s="2">
        <f>[12]D_奖励表!$D134</f>
        <v>14</v>
      </c>
      <c r="T76" s="2" t="str">
        <f>[12]D_奖励表!$B134</f>
        <v>精英傲虎</v>
      </c>
      <c r="U76" s="2">
        <f t="shared" si="4"/>
        <v>28</v>
      </c>
    </row>
    <row r="77" spans="7:21">
      <c r="G77" s="2">
        <v>61</v>
      </c>
      <c r="H77" s="2">
        <v>4.1245001144036824</v>
      </c>
      <c r="I77" s="2">
        <f>升级时间!K64</f>
        <v>4.1644962936680985</v>
      </c>
      <c r="J77" s="2">
        <f>副本规划!G66</f>
        <v>49</v>
      </c>
      <c r="K77" s="2">
        <f t="shared" si="5"/>
        <v>28</v>
      </c>
      <c r="L77" s="2">
        <f t="shared" si="1"/>
        <v>1385.8320384396372</v>
      </c>
      <c r="M77">
        <v>1</v>
      </c>
      <c r="N77">
        <f>K77*升级时间!K64*$C$9/$C$10</f>
        <v>1399.2707546724812</v>
      </c>
      <c r="O77">
        <f t="shared" si="3"/>
        <v>1399.2707546724812</v>
      </c>
      <c r="Q77" s="98">
        <f>[12]D_奖励表!$A135</f>
        <v>507207</v>
      </c>
      <c r="R77" s="2">
        <v>61</v>
      </c>
      <c r="S77" s="2">
        <f>[12]D_奖励表!$D135</f>
        <v>14</v>
      </c>
      <c r="T77" s="2" t="str">
        <f>[12]D_奖励表!$B135</f>
        <v>精英狂龙</v>
      </c>
      <c r="U77" s="2">
        <f t="shared" si="4"/>
        <v>28</v>
      </c>
    </row>
    <row r="78" spans="7:21">
      <c r="G78" s="2">
        <v>62</v>
      </c>
      <c r="H78" s="2">
        <v>4.7822255188248688</v>
      </c>
      <c r="I78" s="2">
        <f>升级时间!K65</f>
        <v>4.8245744145166034</v>
      </c>
      <c r="J78" s="2">
        <f>副本规划!G67</f>
        <v>50</v>
      </c>
      <c r="K78" s="2">
        <f t="shared" si="5"/>
        <v>28</v>
      </c>
      <c r="L78" s="2">
        <f t="shared" si="1"/>
        <v>1606.8277743251558</v>
      </c>
      <c r="M78">
        <v>1</v>
      </c>
      <c r="N78">
        <f>K78*升级时间!K65*$C$9/$C$10</f>
        <v>1621.0570032775786</v>
      </c>
      <c r="O78">
        <f t="shared" si="3"/>
        <v>1621.0570032775786</v>
      </c>
      <c r="Q78" s="98">
        <f>[12]D_奖励表!$A136</f>
        <v>507208</v>
      </c>
      <c r="R78" s="2">
        <v>62</v>
      </c>
      <c r="S78" s="2">
        <f>[12]D_奖励表!$D136</f>
        <v>14</v>
      </c>
      <c r="T78" s="2" t="str">
        <f>[12]D_奖励表!$B136</f>
        <v>精英山崎</v>
      </c>
      <c r="U78" s="2">
        <f t="shared" si="4"/>
        <v>28</v>
      </c>
    </row>
    <row r="79" spans="7:21">
      <c r="G79" s="2">
        <v>63</v>
      </c>
      <c r="H79" s="2">
        <v>5.0769738328393421</v>
      </c>
      <c r="I79" s="2">
        <f>升级时间!K66</f>
        <v>5.1216754449583952</v>
      </c>
      <c r="J79" s="2">
        <f>副本规划!G68</f>
        <v>51</v>
      </c>
      <c r="K79" s="2">
        <f t="shared" si="5"/>
        <v>28</v>
      </c>
      <c r="L79" s="2">
        <f t="shared" si="1"/>
        <v>1705.863207834019</v>
      </c>
      <c r="M79">
        <v>1</v>
      </c>
      <c r="N79">
        <f>K79*升级时间!K66*$C$9/$C$10</f>
        <v>1720.8829495060206</v>
      </c>
      <c r="O79">
        <f t="shared" si="3"/>
        <v>1720.8829495060206</v>
      </c>
      <c r="Q79" s="98">
        <f>[12]D_奖励表!$A137</f>
        <v>507209</v>
      </c>
      <c r="R79" s="2">
        <v>63</v>
      </c>
      <c r="S79" s="2">
        <f>[12]D_奖励表!$D137</f>
        <v>14</v>
      </c>
      <c r="T79" s="2" t="str">
        <f>[12]D_奖励表!$B137</f>
        <v>精英杀手首领</v>
      </c>
      <c r="U79" s="2">
        <f t="shared" si="4"/>
        <v>28</v>
      </c>
    </row>
    <row r="80" spans="7:21">
      <c r="G80" s="2">
        <v>64</v>
      </c>
      <c r="H80" s="2">
        <v>5.3762864167228139</v>
      </c>
      <c r="I80" s="2">
        <f>升级时间!K67</f>
        <v>5.425693461696504</v>
      </c>
      <c r="J80" s="2">
        <f>副本规划!G69</f>
        <v>52</v>
      </c>
      <c r="K80" s="2">
        <f t="shared" si="5"/>
        <v>28</v>
      </c>
      <c r="L80" s="2">
        <f t="shared" si="1"/>
        <v>1806.4322360188655</v>
      </c>
      <c r="M80">
        <v>1</v>
      </c>
      <c r="N80">
        <f>K80*升级时间!K67*$C$9/$C$10</f>
        <v>1823.0330031300255</v>
      </c>
      <c r="O80">
        <f t="shared" si="3"/>
        <v>1823.0330031300255</v>
      </c>
      <c r="Q80" s="98">
        <f>[12]D_奖励表!$A138</f>
        <v>508201</v>
      </c>
      <c r="R80" s="2">
        <v>64</v>
      </c>
      <c r="S80" s="2">
        <f>[12]D_奖励表!$D138</f>
        <v>14</v>
      </c>
      <c r="T80" s="2" t="str">
        <f>[12]D_奖励表!$B138</f>
        <v>精英复仇靓坤</v>
      </c>
      <c r="U80" s="2">
        <f t="shared" si="4"/>
        <v>28</v>
      </c>
    </row>
    <row r="81" spans="7:21">
      <c r="G81" s="2">
        <v>65</v>
      </c>
      <c r="H81" s="2">
        <v>5.6569184321733754</v>
      </c>
      <c r="I81" s="2">
        <f>升级时间!K68</f>
        <v>5.7110309100017034</v>
      </c>
      <c r="J81" s="2">
        <f>副本规划!G70</f>
        <v>53</v>
      </c>
      <c r="K81" s="2">
        <f t="shared" si="5"/>
        <v>28</v>
      </c>
      <c r="L81" s="2">
        <f t="shared" si="1"/>
        <v>1900.7245932102542</v>
      </c>
      <c r="M81">
        <v>1</v>
      </c>
      <c r="N81">
        <f>K81*升级时间!K68*$C$9/$C$10</f>
        <v>1918.9063857605724</v>
      </c>
      <c r="O81">
        <f t="shared" si="3"/>
        <v>1918.9063857605724</v>
      </c>
      <c r="Q81" s="98">
        <f>[12]D_奖励表!$A139</f>
        <v>508202</v>
      </c>
      <c r="R81" s="2">
        <v>65</v>
      </c>
      <c r="S81" s="2">
        <f>[12]D_奖励表!$D139</f>
        <v>14</v>
      </c>
      <c r="T81" s="2" t="str">
        <f>[12]D_奖励表!$B139</f>
        <v>精英复仇乌鸦</v>
      </c>
      <c r="U81" s="2">
        <f t="shared" si="4"/>
        <v>28</v>
      </c>
    </row>
    <row r="82" spans="7:21">
      <c r="G82" s="2">
        <v>66</v>
      </c>
      <c r="H82" s="2">
        <v>5.9758056167321376</v>
      </c>
      <c r="I82" s="2">
        <f>升级时间!K69</f>
        <v>6.0346235274151026</v>
      </c>
      <c r="J82" s="2">
        <f>副本规划!G71</f>
        <v>54</v>
      </c>
      <c r="K82" s="2">
        <f t="shared" ref="K82:K100" si="6">IF(J82=0,K81,SUMIF(R:R,J82,U:U))</f>
        <v>28</v>
      </c>
      <c r="L82" s="2">
        <f t="shared" ref="L82:L100" si="7">K82*$C$9*H82/$C$10*M82</f>
        <v>2007.8706872219982</v>
      </c>
      <c r="M82">
        <v>1</v>
      </c>
      <c r="N82">
        <f>K82*升级时间!K69*$C$9/$C$10</f>
        <v>2027.6335052114746</v>
      </c>
      <c r="O82">
        <f t="shared" si="3"/>
        <v>2027.6335052114746</v>
      </c>
      <c r="Q82" s="98">
        <f>[12]D_奖励表!$A140</f>
        <v>508203</v>
      </c>
      <c r="R82" s="2">
        <v>66</v>
      </c>
      <c r="S82" s="2">
        <f>[12]D_奖励表!$D140</f>
        <v>14</v>
      </c>
      <c r="T82" s="2" t="str">
        <f>[12]D_奖励表!$B140</f>
        <v>精英复仇司徒</v>
      </c>
      <c r="U82" s="2">
        <f t="shared" si="4"/>
        <v>28</v>
      </c>
    </row>
    <row r="83" spans="7:21">
      <c r="G83" s="2">
        <v>67</v>
      </c>
      <c r="H83" s="2">
        <v>6.309844295082832</v>
      </c>
      <c r="I83" s="2">
        <f>升级时间!K70</f>
        <v>6.3733676386204339</v>
      </c>
      <c r="J83" s="2">
        <f>副本规划!G72</f>
        <v>55</v>
      </c>
      <c r="K83" s="2">
        <f t="shared" si="6"/>
        <v>28</v>
      </c>
      <c r="L83" s="2">
        <f t="shared" si="7"/>
        <v>2120.1076831478317</v>
      </c>
      <c r="M83">
        <v>1</v>
      </c>
      <c r="N83">
        <f>K83*升级时间!K70*$C$9/$C$10</f>
        <v>2141.4515265764658</v>
      </c>
      <c r="O83">
        <f t="shared" si="3"/>
        <v>2141.4515265764658</v>
      </c>
      <c r="Q83" s="98">
        <f>[12]D_奖励表!$A141</f>
        <v>508204</v>
      </c>
      <c r="R83" s="2">
        <v>67</v>
      </c>
      <c r="S83" s="2">
        <f>[12]D_奖励表!$D141</f>
        <v>14</v>
      </c>
      <c r="T83" s="2" t="str">
        <f>[12]D_奖励表!$B141</f>
        <v>精英生番</v>
      </c>
      <c r="U83" s="2">
        <f t="shared" si="4"/>
        <v>28</v>
      </c>
    </row>
    <row r="84" spans="7:21">
      <c r="G84" s="2">
        <v>68</v>
      </c>
      <c r="H84" s="2">
        <v>6.6593638475252828</v>
      </c>
      <c r="I84" s="2">
        <f>升级时间!K71</f>
        <v>6.7275926239175217</v>
      </c>
      <c r="J84" s="2">
        <f>副本规划!G73</f>
        <v>56</v>
      </c>
      <c r="K84" s="2">
        <f t="shared" si="6"/>
        <v>28</v>
      </c>
      <c r="L84" s="2">
        <f t="shared" si="7"/>
        <v>2237.5462527684949</v>
      </c>
      <c r="M84">
        <v>1</v>
      </c>
      <c r="N84">
        <f>K84*升级时间!K71*$C$9/$C$10</f>
        <v>2260.4711216362871</v>
      </c>
      <c r="O84">
        <f t="shared" si="3"/>
        <v>2260.4711216362871</v>
      </c>
      <c r="Q84" s="98">
        <f>[12]D_奖励表!$A142</f>
        <v>508205</v>
      </c>
      <c r="R84" s="2">
        <v>68</v>
      </c>
      <c r="S84" s="2">
        <f>[12]D_奖励表!$D142</f>
        <v>14</v>
      </c>
      <c r="T84" s="2" t="str">
        <f>[12]D_奖励表!$B142</f>
        <v>精英耀阳</v>
      </c>
      <c r="U84" s="2">
        <f t="shared" si="4"/>
        <v>28</v>
      </c>
    </row>
    <row r="85" spans="7:21">
      <c r="G85" s="2">
        <v>69</v>
      </c>
      <c r="H85" s="2">
        <v>7.0248348173449529</v>
      </c>
      <c r="I85" s="2">
        <f>升级时间!K72</f>
        <v>7.0977690265918296</v>
      </c>
      <c r="J85" s="2">
        <f>副本规划!G74</f>
        <v>57</v>
      </c>
      <c r="K85" s="2">
        <f t="shared" si="6"/>
        <v>28</v>
      </c>
      <c r="L85" s="2">
        <f t="shared" si="7"/>
        <v>2360.3444986279042</v>
      </c>
      <c r="M85">
        <v>1</v>
      </c>
      <c r="N85">
        <f>K85*升级时间!K72*$C$9/$C$10</f>
        <v>2384.8503929348549</v>
      </c>
      <c r="O85">
        <f t="shared" si="3"/>
        <v>2384.8503929348549</v>
      </c>
      <c r="Q85" s="98">
        <f>[12]D_奖励表!$A143</f>
        <v>508206</v>
      </c>
      <c r="R85" s="2">
        <v>69</v>
      </c>
      <c r="S85" s="2">
        <f>[12]D_奖励表!$D143</f>
        <v>14</v>
      </c>
      <c r="T85" s="2" t="str">
        <f>[12]D_奖励表!$B143</f>
        <v>精英赌王</v>
      </c>
      <c r="U85" s="2">
        <f t="shared" si="4"/>
        <v>28</v>
      </c>
    </row>
    <row r="86" spans="7:21">
      <c r="G86" s="2">
        <v>70</v>
      </c>
      <c r="H86" s="2">
        <v>6.8526580263280135</v>
      </c>
      <c r="I86" s="2">
        <f>升级时间!K73</f>
        <v>6.9301518117080239</v>
      </c>
      <c r="J86" s="2">
        <f>副本规划!G75</f>
        <v>58</v>
      </c>
      <c r="K86" s="2">
        <f t="shared" si="6"/>
        <v>28</v>
      </c>
      <c r="L86" s="2">
        <f t="shared" si="7"/>
        <v>2302.4930968462127</v>
      </c>
      <c r="M86">
        <v>1</v>
      </c>
      <c r="N86">
        <f>K86*升级时间!K73*$C$9/$C$10</f>
        <v>2328.5310087338962</v>
      </c>
      <c r="O86">
        <f t="shared" si="3"/>
        <v>2328.5310087338962</v>
      </c>
      <c r="Q86" s="98">
        <f>[12]D_奖励表!$A144</f>
        <v>508207</v>
      </c>
      <c r="R86" s="2">
        <v>70</v>
      </c>
      <c r="S86" s="2">
        <f>[12]D_奖励表!$D144</f>
        <v>14</v>
      </c>
      <c r="T86" s="2" t="str">
        <f>[12]D_奖励表!$B144</f>
        <v>精英地中海</v>
      </c>
      <c r="U86" s="2">
        <f t="shared" si="4"/>
        <v>28</v>
      </c>
    </row>
    <row r="87" spans="7:21">
      <c r="G87" s="2">
        <v>71</v>
      </c>
      <c r="H87" s="2">
        <v>7.7671316597426729</v>
      </c>
      <c r="I87" s="2">
        <f>升级时间!K74</f>
        <v>7.8493220381760178</v>
      </c>
      <c r="J87" s="2">
        <f>副本规划!G76</f>
        <v>59</v>
      </c>
      <c r="K87" s="2">
        <f t="shared" si="6"/>
        <v>28</v>
      </c>
      <c r="L87" s="2">
        <f t="shared" si="7"/>
        <v>2609.7562376735382</v>
      </c>
      <c r="M87">
        <v>1</v>
      </c>
      <c r="N87">
        <f>K87*升级时间!K74*$C$9/$C$10</f>
        <v>2637.372204827142</v>
      </c>
      <c r="O87">
        <f t="shared" si="3"/>
        <v>2637.372204827142</v>
      </c>
      <c r="Q87" s="98">
        <f>[12]D_奖励表!$A145</f>
        <v>508208</v>
      </c>
      <c r="R87" s="2">
        <v>71</v>
      </c>
      <c r="S87" s="2">
        <f>[12]D_奖励表!$D145</f>
        <v>14</v>
      </c>
      <c r="T87" s="2" t="str">
        <f>[12]D_奖励表!$B145</f>
        <v>精英山鸡</v>
      </c>
      <c r="U87" s="2">
        <f t="shared" si="4"/>
        <v>28</v>
      </c>
    </row>
    <row r="88" spans="7:21">
      <c r="G88" s="2">
        <v>72</v>
      </c>
      <c r="H88" s="2">
        <v>8.1587335885296604</v>
      </c>
      <c r="I88" s="2">
        <f>升级时间!K75</f>
        <v>8.2456205600163397</v>
      </c>
      <c r="J88" s="2">
        <f>副本规划!G77</f>
        <v>60</v>
      </c>
      <c r="K88" s="2">
        <f t="shared" si="6"/>
        <v>28</v>
      </c>
      <c r="L88" s="2">
        <f t="shared" si="7"/>
        <v>2741.334485745966</v>
      </c>
      <c r="M88">
        <v>1</v>
      </c>
      <c r="N88">
        <f>K88*升级时间!K75*$C$9/$C$10</f>
        <v>2770.5285081654902</v>
      </c>
      <c r="O88">
        <f t="shared" si="3"/>
        <v>2770.5285081654902</v>
      </c>
      <c r="Q88" s="98">
        <f>[12]D_奖励表!$A146</f>
        <v>508209</v>
      </c>
      <c r="R88" s="2">
        <v>72</v>
      </c>
      <c r="S88" s="2">
        <f>[12]D_奖励表!$D146</f>
        <v>14</v>
      </c>
      <c r="T88" s="2" t="str">
        <f>[12]D_奖励表!$B146</f>
        <v>精英雷复轰</v>
      </c>
      <c r="U88" s="2">
        <f t="shared" si="4"/>
        <v>28</v>
      </c>
    </row>
    <row r="89" spans="7:21">
      <c r="G89" s="2">
        <v>73</v>
      </c>
      <c r="H89" s="2">
        <v>8.56794774126665</v>
      </c>
      <c r="I89" s="2">
        <f>升级时间!K76</f>
        <v>8.659531305806663</v>
      </c>
      <c r="J89" s="2">
        <f>副本规划!G78</f>
        <v>61</v>
      </c>
      <c r="K89" s="2">
        <f t="shared" si="6"/>
        <v>28</v>
      </c>
      <c r="L89" s="2">
        <f t="shared" si="7"/>
        <v>2878.8304410655946</v>
      </c>
      <c r="M89">
        <v>1</v>
      </c>
      <c r="N89">
        <f>K89*升级时间!K76*$C$9/$C$10</f>
        <v>2909.6025187510386</v>
      </c>
      <c r="O89">
        <f t="shared" si="3"/>
        <v>2909.6025187510386</v>
      </c>
      <c r="Q89" s="98"/>
      <c r="R89" s="2"/>
      <c r="S89" s="2"/>
      <c r="T89" s="2"/>
      <c r="U89" s="2"/>
    </row>
    <row r="90" spans="7:21">
      <c r="G90" s="2">
        <v>74</v>
      </c>
      <c r="H90" s="2">
        <v>8.9858505911523086</v>
      </c>
      <c r="I90" s="2">
        <f>升级时间!K77</f>
        <v>9.084479045272321</v>
      </c>
      <c r="J90" s="2">
        <f>副本规划!G79</f>
        <v>62</v>
      </c>
      <c r="K90" s="2">
        <f t="shared" si="6"/>
        <v>28</v>
      </c>
      <c r="L90" s="2">
        <f t="shared" si="7"/>
        <v>3019.2457986271756</v>
      </c>
      <c r="M90">
        <v>1</v>
      </c>
      <c r="N90">
        <f>K90*升级时间!K77*$C$9/$C$10</f>
        <v>3052.3849592115002</v>
      </c>
      <c r="O90">
        <f t="shared" si="3"/>
        <v>3052.3849592115002</v>
      </c>
      <c r="Q90" s="98"/>
      <c r="R90" s="2"/>
      <c r="S90" s="2"/>
      <c r="T90" s="2"/>
      <c r="U90" s="2"/>
    </row>
    <row r="91" spans="7:21">
      <c r="G91" s="2">
        <v>75</v>
      </c>
      <c r="H91" s="2">
        <v>10.173712906201539</v>
      </c>
      <c r="I91" s="2">
        <f>升级时间!K78</f>
        <v>10.279386249901554</v>
      </c>
      <c r="J91" s="2">
        <f>副本规划!G80</f>
        <v>63</v>
      </c>
      <c r="K91" s="2">
        <f t="shared" si="6"/>
        <v>28</v>
      </c>
      <c r="L91" s="2">
        <f t="shared" si="7"/>
        <v>3418.3675364837172</v>
      </c>
      <c r="M91">
        <v>1</v>
      </c>
      <c r="N91">
        <f>K91*升级时间!K78*$C$9/$C$10</f>
        <v>3453.8737799669225</v>
      </c>
      <c r="O91">
        <f t="shared" si="3"/>
        <v>3453.8737799669225</v>
      </c>
    </row>
    <row r="92" spans="7:21">
      <c r="G92" s="2">
        <v>76</v>
      </c>
      <c r="H92" s="2">
        <v>10.676060499186141</v>
      </c>
      <c r="I92" s="2">
        <f>升级时间!K79</f>
        <v>10.788778732466158</v>
      </c>
      <c r="J92" s="2">
        <f>副本规划!G81</f>
        <v>64</v>
      </c>
      <c r="K92" s="2">
        <f t="shared" si="6"/>
        <v>28</v>
      </c>
      <c r="L92" s="2">
        <f t="shared" si="7"/>
        <v>3587.1563277265432</v>
      </c>
      <c r="M92">
        <v>1</v>
      </c>
      <c r="N92">
        <f>K92*升级时间!K79*$C$9/$C$10</f>
        <v>3625.0296541086291</v>
      </c>
      <c r="O92">
        <f t="shared" si="3"/>
        <v>3625.0296541086291</v>
      </c>
    </row>
    <row r="93" spans="7:21">
      <c r="G93" s="2">
        <v>77</v>
      </c>
      <c r="H93" s="2">
        <v>11.197851987411546</v>
      </c>
      <c r="I93" s="2">
        <f>升级时间!K80</f>
        <v>11.317615110271564</v>
      </c>
      <c r="J93" s="2">
        <f>副本规划!G82</f>
        <v>65</v>
      </c>
      <c r="K93" s="2">
        <f t="shared" si="6"/>
        <v>28</v>
      </c>
      <c r="L93" s="2">
        <f t="shared" si="7"/>
        <v>3762.4782677702797</v>
      </c>
      <c r="M93">
        <v>1</v>
      </c>
      <c r="N93">
        <f>K93*升级时间!K80*$C$9/$C$10</f>
        <v>3802.7186770512458</v>
      </c>
      <c r="O93">
        <f t="shared" si="3"/>
        <v>3802.7186770512458</v>
      </c>
    </row>
    <row r="94" spans="7:21">
      <c r="G94" s="2">
        <v>78</v>
      </c>
      <c r="H94" s="2">
        <v>11.739510064252554</v>
      </c>
      <c r="I94" s="2">
        <f>升级时间!K81</f>
        <v>11.866318076692572</v>
      </c>
      <c r="J94" s="2">
        <f>副本规划!G83</f>
        <v>66</v>
      </c>
      <c r="K94" s="2">
        <f t="shared" si="6"/>
        <v>28</v>
      </c>
      <c r="L94" s="2">
        <f t="shared" si="7"/>
        <v>3944.4753815888585</v>
      </c>
      <c r="M94">
        <v>1</v>
      </c>
      <c r="N94">
        <f>K94*升级时间!K81*$C$9/$C$10</f>
        <v>3987.0828737687038</v>
      </c>
      <c r="O94">
        <f>N94*M94</f>
        <v>3987.0828737687038</v>
      </c>
    </row>
    <row r="95" spans="7:21">
      <c r="G95" s="2">
        <v>79</v>
      </c>
      <c r="H95" s="2">
        <v>12.301551354945033</v>
      </c>
      <c r="I95" s="2">
        <f>升级时间!K82</f>
        <v>12.435404256965052</v>
      </c>
      <c r="J95" s="2">
        <f>副本规划!G84</f>
        <v>67</v>
      </c>
      <c r="K95" s="2">
        <f t="shared" si="6"/>
        <v>28</v>
      </c>
      <c r="L95" s="2">
        <f t="shared" si="7"/>
        <v>4133.3212552615314</v>
      </c>
      <c r="M95">
        <v>1</v>
      </c>
      <c r="N95">
        <f>K95*升级时间!K82*$C$9/$C$10</f>
        <v>4178.2958303402575</v>
      </c>
      <c r="O95">
        <f>N95*M95</f>
        <v>4178.2958303402575</v>
      </c>
    </row>
    <row r="96" spans="7:21">
      <c r="G96" s="2">
        <v>80</v>
      </c>
      <c r="H96" s="2">
        <v>12.860285707387431</v>
      </c>
      <c r="I96" s="2">
        <f>升级时间!K83</f>
        <v>13.000919299486762</v>
      </c>
      <c r="J96" s="2">
        <f>副本规划!G85</f>
        <v>68</v>
      </c>
      <c r="K96" s="2">
        <f t="shared" si="6"/>
        <v>28</v>
      </c>
      <c r="L96" s="2">
        <f t="shared" si="7"/>
        <v>4321.0559976821769</v>
      </c>
      <c r="M96">
        <v>1</v>
      </c>
      <c r="N96">
        <f>K96*升级时间!K83*$C$9/$C$10</f>
        <v>4368.3088846275514</v>
      </c>
      <c r="O96">
        <f>N96*M96</f>
        <v>4368.3088846275514</v>
      </c>
    </row>
    <row r="97" spans="7:14">
      <c r="G97" s="2">
        <v>81</v>
      </c>
      <c r="H97" s="2">
        <v>13.463369428173399</v>
      </c>
      <c r="I97" s="2">
        <f>升级时间!K84</f>
        <v>13.611034699877697</v>
      </c>
      <c r="J97" s="2">
        <f>副本规划!G86</f>
        <v>69</v>
      </c>
      <c r="K97" s="2">
        <f t="shared" si="6"/>
        <v>28</v>
      </c>
      <c r="L97" s="2">
        <f t="shared" si="7"/>
        <v>4523.6921278662621</v>
      </c>
      <c r="M97">
        <v>1</v>
      </c>
      <c r="N97">
        <f>SUM(N17:N96)</f>
        <v>70471.245972450793</v>
      </c>
    </row>
    <row r="98" spans="7:14">
      <c r="G98" s="2">
        <v>82</v>
      </c>
      <c r="H98" s="2">
        <v>14.088204477870731</v>
      </c>
      <c r="I98" s="2">
        <f>升级时间!K85</f>
        <v>14.242901429179994</v>
      </c>
      <c r="J98" s="2">
        <f>副本规划!G87</f>
        <v>70</v>
      </c>
      <c r="K98" s="2">
        <f t="shared" si="6"/>
        <v>28</v>
      </c>
      <c r="L98" s="2">
        <f t="shared" si="7"/>
        <v>4733.6367045645657</v>
      </c>
      <c r="M98">
        <v>1</v>
      </c>
    </row>
    <row r="99" spans="7:14">
      <c r="G99" s="2">
        <v>83</v>
      </c>
      <c r="H99" s="2">
        <v>14.735306512983788</v>
      </c>
      <c r="I99" s="2">
        <f>升级时间!K86</f>
        <v>14.89703514389802</v>
      </c>
      <c r="J99" s="2">
        <f>副本规划!G88</f>
        <v>71</v>
      </c>
      <c r="K99" s="2">
        <f t="shared" si="6"/>
        <v>28</v>
      </c>
      <c r="L99" s="2">
        <f t="shared" si="7"/>
        <v>4951.0629883625525</v>
      </c>
      <c r="M99">
        <v>1</v>
      </c>
    </row>
    <row r="100" spans="7:14">
      <c r="G100" s="2">
        <v>84</v>
      </c>
      <c r="H100" s="2">
        <v>15.386393166539662</v>
      </c>
      <c r="I100" s="2">
        <f>升级时间!K87</f>
        <v>15.559841263462172</v>
      </c>
      <c r="J100" s="2">
        <f>副本规划!G89</f>
        <v>72</v>
      </c>
      <c r="K100" s="2">
        <f t="shared" si="6"/>
        <v>28</v>
      </c>
      <c r="L100" s="2">
        <f t="shared" si="7"/>
        <v>5169.8281039573267</v>
      </c>
      <c r="M100">
        <v>1</v>
      </c>
    </row>
  </sheetData>
  <phoneticPr fontId="1" type="noConversion"/>
  <conditionalFormatting sqref="J17:J100">
    <cfRule type="cellIs" dxfId="21" priority="1" operator="greater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178"/>
  <sheetViews>
    <sheetView workbookViewId="0">
      <selection activeCell="A8" sqref="A8"/>
    </sheetView>
  </sheetViews>
  <sheetFormatPr defaultRowHeight="13.5"/>
  <cols>
    <col min="1" max="1" width="13" bestFit="1" customWidth="1"/>
    <col min="2" max="2" width="20.75" bestFit="1" customWidth="1"/>
    <col min="4" max="4" width="17.25" bestFit="1" customWidth="1"/>
    <col min="5" max="5" width="11.625" bestFit="1" customWidth="1"/>
    <col min="6" max="6" width="8.75" customWidth="1"/>
    <col min="7" max="7" width="12.75" customWidth="1"/>
    <col min="8" max="8" width="9.375" customWidth="1"/>
    <col min="10" max="11" width="9" bestFit="1" customWidth="1"/>
    <col min="15" max="15" width="10.125" customWidth="1"/>
    <col min="16" max="16" width="9.5" customWidth="1"/>
  </cols>
  <sheetData>
    <row r="1" spans="1:19">
      <c r="A1" s="2" t="s">
        <v>495</v>
      </c>
      <c r="B1" s="104">
        <f>L113/E2*F2</f>
        <v>35024862.967741922</v>
      </c>
      <c r="D1" s="2" t="str">
        <f>[13]猎命辅助表!I1</f>
        <v>每天命格副本次数</v>
      </c>
      <c r="E1" s="2">
        <f>[13]猎命辅助表!J1</f>
        <v>2</v>
      </c>
      <c r="F1" s="105">
        <f>[13]猎命辅助表!K1</f>
        <v>0</v>
      </c>
      <c r="G1" s="17"/>
      <c r="I1" t="s">
        <v>504</v>
      </c>
    </row>
    <row r="2" spans="1:19">
      <c r="A2" s="2" t="s">
        <v>496</v>
      </c>
      <c r="B2" s="104">
        <f>[13]命格辅助表!$O$28</f>
        <v>25600</v>
      </c>
      <c r="D2" s="2" t="str">
        <f>[13]猎命辅助表!I2</f>
        <v>每天经验获取</v>
      </c>
      <c r="E2" s="2">
        <f>[13]猎命辅助表!J2</f>
        <v>1000</v>
      </c>
      <c r="F2" s="105">
        <f>[13]猎命辅助表!M2</f>
        <v>3495.9139784946237</v>
      </c>
      <c r="G2" s="17"/>
      <c r="I2" s="101" t="s">
        <v>500</v>
      </c>
      <c r="J2" s="101" t="s">
        <v>1052</v>
      </c>
      <c r="K2" s="63" t="s">
        <v>677</v>
      </c>
      <c r="L2" s="63">
        <v>1.2</v>
      </c>
      <c r="M2" s="63" t="s">
        <v>501</v>
      </c>
      <c r="N2" s="64" t="s">
        <v>502</v>
      </c>
      <c r="O2" s="63" t="s">
        <v>503</v>
      </c>
    </row>
    <row r="3" spans="1:19">
      <c r="A3" s="2" t="s">
        <v>506</v>
      </c>
      <c r="B3" s="104">
        <f>ROUND([13]猎命辅助表!$H$89/500,0)*500</f>
        <v>1000</v>
      </c>
      <c r="D3" s="2" t="str">
        <f>[13]猎命辅助表!I3</f>
        <v>炉渣出售价格</v>
      </c>
      <c r="E3" s="2">
        <f>[13]猎命辅助表!J3</f>
        <v>1200</v>
      </c>
      <c r="F3" s="105">
        <f>[13]猎命辅助表!K3</f>
        <v>0</v>
      </c>
      <c r="G3" s="17"/>
      <c r="I3" s="2">
        <v>1701</v>
      </c>
      <c r="J3" s="2">
        <f>SUMIF(副本规划!R:R,I3,副本规划!E:E)</f>
        <v>23</v>
      </c>
      <c r="K3" s="2">
        <f>副本规划!AB20</f>
        <v>12</v>
      </c>
      <c r="L3" s="3">
        <v>1</v>
      </c>
      <c r="M3" s="2">
        <v>12800</v>
      </c>
      <c r="N3" s="4">
        <v>1</v>
      </c>
      <c r="O3" s="2">
        <f t="shared" ref="O3:O8" si="0">M3*$E$1</f>
        <v>25600</v>
      </c>
    </row>
    <row r="4" spans="1:19">
      <c r="A4" s="2" t="s">
        <v>549</v>
      </c>
      <c r="B4" s="104">
        <f>B3*'0、经济设定'!E19</f>
        <v>2</v>
      </c>
      <c r="D4" s="2" t="str">
        <f>[13]猎命辅助表!I4</f>
        <v>获得炉渣比例</v>
      </c>
      <c r="E4" s="2">
        <f>[13]猎命辅助表!J4</f>
        <v>0.31452124286620164</v>
      </c>
      <c r="F4" s="105">
        <f>[13]猎命辅助表!K4</f>
        <v>0</v>
      </c>
      <c r="G4" s="17"/>
      <c r="I4" s="2">
        <v>1702</v>
      </c>
      <c r="J4" s="2">
        <f>SUMIF(副本规划!R:R,I4,副本规划!E:E)</f>
        <v>33</v>
      </c>
      <c r="K4" s="2">
        <f>副本规划!AB21</f>
        <v>12</v>
      </c>
      <c r="L4" s="3">
        <f>L3*$L$2</f>
        <v>1.2</v>
      </c>
      <c r="M4" s="2">
        <f>ROUND(M$3/K$3*L4*K4/400,0)*400</f>
        <v>15200</v>
      </c>
      <c r="N4" s="2">
        <f>M4/M3</f>
        <v>1.1875</v>
      </c>
      <c r="O4" s="2">
        <f t="shared" si="0"/>
        <v>30400</v>
      </c>
    </row>
    <row r="5" spans="1:19">
      <c r="A5" s="4" t="s">
        <v>498</v>
      </c>
      <c r="B5" s="104">
        <f>O113</f>
        <v>6875042.6995481933</v>
      </c>
      <c r="D5" s="2" t="str">
        <f>[13]猎命辅助表!I5</f>
        <v>平均花费</v>
      </c>
      <c r="E5" s="2">
        <f>[13]猎命辅助表!J5</f>
        <v>2438.5542168674697</v>
      </c>
      <c r="F5" s="105">
        <f>[13]猎命辅助表!K5</f>
        <v>0</v>
      </c>
      <c r="G5" s="17"/>
      <c r="I5" s="2">
        <v>1703</v>
      </c>
      <c r="J5" s="2">
        <f>SUMIF(副本规划!R:R,I5,副本规划!E:E)</f>
        <v>43</v>
      </c>
      <c r="K5" s="2">
        <f>副本规划!AB22</f>
        <v>12</v>
      </c>
      <c r="L5" s="3">
        <f>L4*$L$2</f>
        <v>1.44</v>
      </c>
      <c r="M5" s="2">
        <f>ROUND(M$3/K$3*L5*K5/400,0)*400</f>
        <v>18400</v>
      </c>
      <c r="N5" s="2">
        <f>M5/M4</f>
        <v>1.2105263157894737</v>
      </c>
      <c r="O5" s="2">
        <f t="shared" si="0"/>
        <v>36800</v>
      </c>
    </row>
    <row r="6" spans="1:19">
      <c r="A6" s="4" t="s">
        <v>497</v>
      </c>
      <c r="B6" s="104">
        <f>M113</f>
        <v>3429600</v>
      </c>
      <c r="C6">
        <f>B5/B6</f>
        <v>2.0046194015477585</v>
      </c>
      <c r="D6" s="2" t="str">
        <f>[13]猎命辅助表!I6</f>
        <v>平均经验获得</v>
      </c>
      <c r="E6" s="2">
        <f>[13]猎命辅助表!J6</f>
        <v>16.622143310082432</v>
      </c>
      <c r="F6" s="105">
        <f>[13]猎命辅助表!K6</f>
        <v>0</v>
      </c>
      <c r="G6" s="17"/>
      <c r="I6" s="2">
        <v>1704</v>
      </c>
      <c r="J6" s="2">
        <f>SUMIF(副本规划!R:R,I6,副本规划!E:E)</f>
        <v>52</v>
      </c>
      <c r="K6" s="2">
        <f>副本规划!AB23</f>
        <v>12</v>
      </c>
      <c r="L6" s="3">
        <f>L5*$L$2</f>
        <v>1.728</v>
      </c>
      <c r="M6" s="2">
        <f>ROUND(M$3/K$3*L6*K6/400,0)*400</f>
        <v>22000</v>
      </c>
      <c r="N6" s="2">
        <f>M6/M5</f>
        <v>1.1956521739130435</v>
      </c>
      <c r="O6" s="2">
        <f t="shared" si="0"/>
        <v>44000</v>
      </c>
    </row>
    <row r="7" spans="1:19">
      <c r="A7" s="4" t="s">
        <v>499</v>
      </c>
      <c r="B7" s="104">
        <f>B1-B5-B6</f>
        <v>24720220.268193729</v>
      </c>
      <c r="D7" s="2" t="str">
        <f>[13]猎命辅助表!I7</f>
        <v>每天猎命次数</v>
      </c>
      <c r="E7" s="2">
        <f>[13]猎命辅助表!J7</f>
        <v>60</v>
      </c>
      <c r="F7" s="105">
        <f>[13]猎命辅助表!K7</f>
        <v>60.160713413740915</v>
      </c>
      <c r="G7" s="17"/>
      <c r="I7" s="2">
        <v>1705</v>
      </c>
      <c r="J7" s="2">
        <f>SUMIF(副本规划!R:R,I7,副本规划!E:E)</f>
        <v>61</v>
      </c>
      <c r="K7" s="2">
        <f>副本规划!AB24</f>
        <v>12</v>
      </c>
      <c r="L7" s="3">
        <f>L6*$L$2</f>
        <v>2.0735999999999999</v>
      </c>
      <c r="M7" s="2">
        <f>ROUND(M$3/K$3*L7*K7/400,0)*400</f>
        <v>26400</v>
      </c>
      <c r="N7" s="2">
        <f>M7/M6</f>
        <v>1.2</v>
      </c>
      <c r="O7" s="2">
        <f t="shared" si="0"/>
        <v>52800</v>
      </c>
    </row>
    <row r="8" spans="1:19">
      <c r="A8" s="2" t="s">
        <v>1053</v>
      </c>
      <c r="B8" s="104">
        <v>24</v>
      </c>
      <c r="D8" s="2" t="str">
        <f>[13]猎命辅助表!I8</f>
        <v>每天总花费</v>
      </c>
      <c r="E8" s="2">
        <f>[13]猎命辅助表!J8</f>
        <v>140000</v>
      </c>
      <c r="F8" s="105">
        <f>[13]猎命辅助表!K8</f>
        <v>146705.16138483325</v>
      </c>
      <c r="G8" s="17"/>
      <c r="I8" s="2">
        <v>1706</v>
      </c>
      <c r="J8" s="2">
        <f>SUMIF(副本规划!R:R,I8,副本规划!E:E)</f>
        <v>70</v>
      </c>
      <c r="K8" s="2">
        <f>副本规划!AB25</f>
        <v>12</v>
      </c>
      <c r="L8" s="3">
        <f>L7*$L$2</f>
        <v>2.4883199999999999</v>
      </c>
      <c r="M8" s="2">
        <f>ROUND(M$3/K$3*L8*K8/400,0)*400</f>
        <v>32000</v>
      </c>
      <c r="N8" s="2">
        <f>M8/M7</f>
        <v>1.2121212121212122</v>
      </c>
      <c r="O8" s="2">
        <f t="shared" si="0"/>
        <v>64000</v>
      </c>
    </row>
    <row r="9" spans="1:19">
      <c r="C9" s="17"/>
      <c r="D9" s="61"/>
      <c r="E9" s="17"/>
      <c r="F9" s="17"/>
      <c r="G9" s="17"/>
      <c r="H9" s="17"/>
      <c r="N9" s="17"/>
      <c r="O9" s="17"/>
      <c r="P9" s="61"/>
      <c r="Q9" s="17"/>
      <c r="R9" s="17"/>
      <c r="S9" s="17"/>
    </row>
    <row r="10" spans="1:19">
      <c r="A10" s="65" t="s">
        <v>505</v>
      </c>
      <c r="B10" s="65">
        <v>10</v>
      </c>
    </row>
    <row r="11" spans="1:19">
      <c r="F11">
        <v>0.03</v>
      </c>
    </row>
    <row r="12" spans="1:19">
      <c r="A12" s="2" t="s">
        <v>398</v>
      </c>
      <c r="B12" s="2"/>
      <c r="C12" s="2" t="s">
        <v>392</v>
      </c>
      <c r="D12" s="2" t="s">
        <v>397</v>
      </c>
      <c r="E12" s="2" t="s">
        <v>493</v>
      </c>
      <c r="F12" s="64" t="s">
        <v>492</v>
      </c>
      <c r="G12" s="64" t="s">
        <v>1107</v>
      </c>
      <c r="H12" s="4" t="s">
        <v>494</v>
      </c>
      <c r="I12" s="61"/>
      <c r="J12" t="s">
        <v>393</v>
      </c>
      <c r="K12" t="s">
        <v>1054</v>
      </c>
      <c r="L12" t="s">
        <v>394</v>
      </c>
      <c r="M12" t="s">
        <v>395</v>
      </c>
      <c r="N12" t="s">
        <v>396</v>
      </c>
      <c r="O12" t="s">
        <v>1055</v>
      </c>
      <c r="P12" t="s">
        <v>433</v>
      </c>
      <c r="Q12" t="s">
        <v>434</v>
      </c>
    </row>
    <row r="13" spans="1:19">
      <c r="A13" s="2">
        <v>1</v>
      </c>
      <c r="B13" t="s">
        <v>1061</v>
      </c>
      <c r="C13" s="2">
        <v>30</v>
      </c>
      <c r="D13" s="2">
        <v>1</v>
      </c>
      <c r="E13" s="2">
        <f t="shared" ref="E13:E19" si="1">((VLOOKUP(C13,$J$13:$O$112,6,0)-VLOOKUP(C13-5,$J$13:$O$112,6,0))/15*(D13-1)+VLOOKUP(C13-5,$J$13:$O$112,6,0))/$B$10</f>
        <v>6418.9631024096379</v>
      </c>
      <c r="F13" s="3">
        <f>F14-$F$11*I13</f>
        <v>0.57999999999999963</v>
      </c>
      <c r="G13" s="3">
        <v>0.8</v>
      </c>
      <c r="H13" s="2">
        <f>E13*F13*G13</f>
        <v>2978.3988795180703</v>
      </c>
      <c r="I13">
        <v>1</v>
      </c>
      <c r="J13">
        <v>1</v>
      </c>
      <c r="L13">
        <f t="shared" ref="L13:L44" si="2">K13*$E$5</f>
        <v>0</v>
      </c>
    </row>
    <row r="14" spans="1:19">
      <c r="A14" s="2">
        <v>2</v>
      </c>
      <c r="B14" t="s">
        <v>1062</v>
      </c>
      <c r="C14" s="2">
        <v>30</v>
      </c>
      <c r="D14" s="2">
        <v>2</v>
      </c>
      <c r="E14" s="2">
        <f t="shared" si="1"/>
        <v>6450.3181475903602</v>
      </c>
      <c r="F14" s="3">
        <f t="shared" ref="F14:F26" si="3">F15-$F$11*I14</f>
        <v>0.60999999999999965</v>
      </c>
      <c r="G14" s="3">
        <v>0.9</v>
      </c>
      <c r="H14" s="2">
        <f t="shared" ref="H14:H77" si="4">E14*F14*G14</f>
        <v>3541.2246630271056</v>
      </c>
      <c r="I14">
        <v>1</v>
      </c>
      <c r="J14">
        <v>2</v>
      </c>
      <c r="K14">
        <v>0</v>
      </c>
      <c r="L14">
        <f t="shared" si="2"/>
        <v>0</v>
      </c>
    </row>
    <row r="15" spans="1:19">
      <c r="A15" s="2">
        <v>3</v>
      </c>
      <c r="B15" t="s">
        <v>1063</v>
      </c>
      <c r="C15" s="2">
        <v>30</v>
      </c>
      <c r="D15" s="2">
        <v>3</v>
      </c>
      <c r="E15" s="2">
        <f t="shared" si="1"/>
        <v>6481.6731927710844</v>
      </c>
      <c r="F15" s="3">
        <f t="shared" si="3"/>
        <v>0.63999999999999968</v>
      </c>
      <c r="G15" s="3">
        <v>1.2</v>
      </c>
      <c r="H15" s="2">
        <f t="shared" si="4"/>
        <v>4977.9250120481893</v>
      </c>
      <c r="I15">
        <v>1</v>
      </c>
      <c r="J15">
        <v>3</v>
      </c>
      <c r="K15">
        <v>0</v>
      </c>
      <c r="L15">
        <f t="shared" si="2"/>
        <v>0</v>
      </c>
    </row>
    <row r="16" spans="1:19">
      <c r="A16" s="2">
        <v>4</v>
      </c>
      <c r="B16" t="s">
        <v>1064</v>
      </c>
      <c r="C16" s="2">
        <v>30</v>
      </c>
      <c r="D16" s="2">
        <v>4</v>
      </c>
      <c r="E16" s="2">
        <f t="shared" si="1"/>
        <v>6513.0282379518067</v>
      </c>
      <c r="F16" s="3">
        <f t="shared" si="3"/>
        <v>0.66999999999999971</v>
      </c>
      <c r="G16" s="3">
        <v>0.82</v>
      </c>
      <c r="H16" s="2">
        <f t="shared" si="4"/>
        <v>3578.2577139307205</v>
      </c>
      <c r="I16">
        <v>1</v>
      </c>
      <c r="J16">
        <v>4</v>
      </c>
      <c r="K16">
        <v>0</v>
      </c>
      <c r="L16">
        <f t="shared" si="2"/>
        <v>0</v>
      </c>
    </row>
    <row r="17" spans="1:18">
      <c r="A17" s="2">
        <v>5</v>
      </c>
      <c r="B17" t="s">
        <v>1065</v>
      </c>
      <c r="C17" s="2">
        <v>30</v>
      </c>
      <c r="D17" s="2">
        <v>5</v>
      </c>
      <c r="E17" s="2">
        <f t="shared" si="1"/>
        <v>6544.3832831325299</v>
      </c>
      <c r="F17" s="3">
        <f t="shared" si="3"/>
        <v>0.69999999999999973</v>
      </c>
      <c r="G17" s="3">
        <v>0.9</v>
      </c>
      <c r="H17" s="2">
        <f t="shared" si="4"/>
        <v>4122.9614683734926</v>
      </c>
      <c r="I17">
        <v>1</v>
      </c>
      <c r="J17">
        <v>5</v>
      </c>
      <c r="K17">
        <v>0</v>
      </c>
      <c r="L17">
        <f t="shared" si="2"/>
        <v>0</v>
      </c>
    </row>
    <row r="18" spans="1:18">
      <c r="A18" s="2">
        <v>6</v>
      </c>
      <c r="B18" t="s">
        <v>1066</v>
      </c>
      <c r="C18" s="2">
        <v>30</v>
      </c>
      <c r="D18" s="2">
        <v>6</v>
      </c>
      <c r="E18" s="2">
        <f t="shared" si="1"/>
        <v>6575.7383283132531</v>
      </c>
      <c r="F18" s="3">
        <f t="shared" si="3"/>
        <v>0.72999999999999976</v>
      </c>
      <c r="G18" s="3">
        <v>1.21</v>
      </c>
      <c r="H18" s="2">
        <f t="shared" si="4"/>
        <v>5808.3496653990942</v>
      </c>
      <c r="I18">
        <v>1</v>
      </c>
      <c r="J18">
        <v>6</v>
      </c>
      <c r="K18">
        <v>0</v>
      </c>
      <c r="L18">
        <f t="shared" si="2"/>
        <v>0</v>
      </c>
    </row>
    <row r="19" spans="1:18">
      <c r="A19" s="2">
        <v>7</v>
      </c>
      <c r="B19" t="s">
        <v>1067</v>
      </c>
      <c r="C19" s="2">
        <v>30</v>
      </c>
      <c r="D19" s="2">
        <v>7</v>
      </c>
      <c r="E19" s="2">
        <f t="shared" si="1"/>
        <v>6607.0933734939754</v>
      </c>
      <c r="F19" s="3">
        <f t="shared" si="3"/>
        <v>0.75999999999999979</v>
      </c>
      <c r="G19" s="3">
        <v>0.84</v>
      </c>
      <c r="H19" s="2">
        <f t="shared" si="4"/>
        <v>4217.9684096385527</v>
      </c>
      <c r="I19">
        <v>1</v>
      </c>
      <c r="J19">
        <v>7</v>
      </c>
      <c r="K19">
        <v>0</v>
      </c>
      <c r="L19">
        <f t="shared" si="2"/>
        <v>0</v>
      </c>
    </row>
    <row r="20" spans="1:18">
      <c r="A20" s="2">
        <v>8</v>
      </c>
      <c r="B20" t="s">
        <v>1068</v>
      </c>
      <c r="C20" s="2">
        <v>30</v>
      </c>
      <c r="D20" s="2">
        <v>8</v>
      </c>
      <c r="E20" s="2">
        <f t="shared" ref="E20:E27" si="5">((VLOOKUP(C20,$J$13:$O$112,6,0)-VLOOKUP(C20-5,$J$13:$O$112,6,0))/15*(D20-1)+VLOOKUP(C20-5,$J$13:$O$112,6,0))/$B$10</f>
        <v>6638.4484186746977</v>
      </c>
      <c r="F20" s="3">
        <f t="shared" si="3"/>
        <v>0.78999999999999981</v>
      </c>
      <c r="G20" s="3">
        <v>0.9</v>
      </c>
      <c r="H20" s="2">
        <f t="shared" si="4"/>
        <v>4719.9368256777088</v>
      </c>
      <c r="I20">
        <v>1</v>
      </c>
      <c r="J20">
        <v>8</v>
      </c>
      <c r="K20">
        <v>0</v>
      </c>
      <c r="L20">
        <f t="shared" si="2"/>
        <v>0</v>
      </c>
    </row>
    <row r="21" spans="1:18">
      <c r="A21" s="2">
        <v>9</v>
      </c>
      <c r="B21" t="s">
        <v>1069</v>
      </c>
      <c r="C21" s="2">
        <v>30</v>
      </c>
      <c r="D21" s="2">
        <v>9</v>
      </c>
      <c r="E21" s="2">
        <f t="shared" si="5"/>
        <v>6669.8034638554218</v>
      </c>
      <c r="F21" s="3">
        <f t="shared" si="3"/>
        <v>0.81999999999999984</v>
      </c>
      <c r="G21" s="3">
        <v>1.22</v>
      </c>
      <c r="H21" s="2">
        <f t="shared" si="4"/>
        <v>6672.4713852409632</v>
      </c>
      <c r="I21">
        <v>1</v>
      </c>
      <c r="J21">
        <v>9</v>
      </c>
      <c r="K21">
        <v>0</v>
      </c>
      <c r="L21">
        <f t="shared" si="2"/>
        <v>0</v>
      </c>
    </row>
    <row r="22" spans="1:18">
      <c r="A22" s="2">
        <v>10</v>
      </c>
      <c r="B22" t="s">
        <v>1070</v>
      </c>
      <c r="C22" s="2">
        <v>30</v>
      </c>
      <c r="D22" s="2">
        <v>10</v>
      </c>
      <c r="E22" s="2">
        <f t="shared" si="5"/>
        <v>6701.158509036145</v>
      </c>
      <c r="F22" s="3">
        <f t="shared" si="3"/>
        <v>0.84999999999999987</v>
      </c>
      <c r="G22" s="3">
        <v>0.86</v>
      </c>
      <c r="H22" s="2">
        <f t="shared" si="4"/>
        <v>4898.5468701054206</v>
      </c>
      <c r="I22">
        <v>1</v>
      </c>
      <c r="J22">
        <v>10</v>
      </c>
      <c r="K22">
        <v>0</v>
      </c>
      <c r="L22">
        <f t="shared" si="2"/>
        <v>0</v>
      </c>
    </row>
    <row r="23" spans="1:18">
      <c r="A23" s="2">
        <v>11</v>
      </c>
      <c r="B23" t="s">
        <v>1071</v>
      </c>
      <c r="C23" s="2">
        <v>30</v>
      </c>
      <c r="D23" s="2">
        <v>11</v>
      </c>
      <c r="E23" s="2">
        <f t="shared" si="5"/>
        <v>6732.5135542168673</v>
      </c>
      <c r="F23" s="3">
        <f t="shared" si="3"/>
        <v>0.87999999999999989</v>
      </c>
      <c r="G23" s="3">
        <v>0.9</v>
      </c>
      <c r="H23" s="2">
        <f t="shared" si="4"/>
        <v>5332.1507349397589</v>
      </c>
      <c r="I23">
        <v>1</v>
      </c>
      <c r="J23">
        <v>11</v>
      </c>
      <c r="K23">
        <v>0</v>
      </c>
      <c r="L23">
        <f t="shared" si="2"/>
        <v>0</v>
      </c>
    </row>
    <row r="24" spans="1:18">
      <c r="A24" s="2">
        <v>12</v>
      </c>
      <c r="B24" t="s">
        <v>1072</v>
      </c>
      <c r="C24" s="2">
        <v>30</v>
      </c>
      <c r="D24" s="2">
        <v>12</v>
      </c>
      <c r="E24" s="2">
        <f t="shared" si="5"/>
        <v>6763.8685993975905</v>
      </c>
      <c r="F24" s="3">
        <f t="shared" si="3"/>
        <v>0.90999999999999992</v>
      </c>
      <c r="G24" s="3">
        <v>1.23</v>
      </c>
      <c r="H24" s="2">
        <f t="shared" si="4"/>
        <v>7570.7981233057226</v>
      </c>
      <c r="I24">
        <v>1</v>
      </c>
      <c r="J24">
        <v>12</v>
      </c>
      <c r="K24">
        <v>0</v>
      </c>
      <c r="L24">
        <f t="shared" si="2"/>
        <v>0</v>
      </c>
    </row>
    <row r="25" spans="1:18">
      <c r="A25" s="2">
        <v>13</v>
      </c>
      <c r="B25" t="s">
        <v>1073</v>
      </c>
      <c r="C25" s="2">
        <v>30</v>
      </c>
      <c r="D25" s="2">
        <v>13</v>
      </c>
      <c r="E25" s="2">
        <f t="shared" si="5"/>
        <v>6795.2236445783128</v>
      </c>
      <c r="F25" s="3">
        <f t="shared" si="3"/>
        <v>0.94</v>
      </c>
      <c r="G25" s="3">
        <v>0.88</v>
      </c>
      <c r="H25" s="2">
        <f t="shared" si="4"/>
        <v>5621.0089987951806</v>
      </c>
      <c r="I25">
        <v>1</v>
      </c>
      <c r="J25">
        <v>13</v>
      </c>
      <c r="K25">
        <v>0</v>
      </c>
      <c r="L25">
        <f t="shared" si="2"/>
        <v>0</v>
      </c>
    </row>
    <row r="26" spans="1:18">
      <c r="A26" s="2">
        <v>14</v>
      </c>
      <c r="B26" t="s">
        <v>1074</v>
      </c>
      <c r="C26" s="2">
        <v>30</v>
      </c>
      <c r="D26" s="2">
        <v>14</v>
      </c>
      <c r="E26" s="2">
        <f t="shared" si="5"/>
        <v>6826.5786897590369</v>
      </c>
      <c r="F26" s="3">
        <f t="shared" si="3"/>
        <v>0.97</v>
      </c>
      <c r="G26" s="3">
        <v>0.9</v>
      </c>
      <c r="H26" s="2">
        <f t="shared" si="4"/>
        <v>5959.6031961596391</v>
      </c>
      <c r="I26">
        <v>1</v>
      </c>
      <c r="J26">
        <v>14</v>
      </c>
      <c r="K26">
        <v>0</v>
      </c>
      <c r="L26">
        <f t="shared" si="2"/>
        <v>0</v>
      </c>
      <c r="R26">
        <v>78928.996140813222</v>
      </c>
    </row>
    <row r="27" spans="1:18">
      <c r="A27" s="2">
        <v>15</v>
      </c>
      <c r="B27" t="s">
        <v>1075</v>
      </c>
      <c r="C27" s="2">
        <v>30</v>
      </c>
      <c r="D27" s="2">
        <v>15</v>
      </c>
      <c r="E27" s="2">
        <f t="shared" si="5"/>
        <v>6857.9337349397592</v>
      </c>
      <c r="F27" s="3">
        <v>1</v>
      </c>
      <c r="G27" s="3">
        <v>1.25</v>
      </c>
      <c r="H27" s="2">
        <f t="shared" si="4"/>
        <v>8572.4171686746995</v>
      </c>
      <c r="I27" s="54">
        <v>1</v>
      </c>
      <c r="J27">
        <v>15</v>
      </c>
      <c r="K27">
        <v>0</v>
      </c>
      <c r="L27">
        <f t="shared" si="2"/>
        <v>0</v>
      </c>
      <c r="R27">
        <f>SUM(H13:H27)</f>
        <v>78572.019114834315</v>
      </c>
    </row>
    <row r="28" spans="1:18">
      <c r="A28" s="2">
        <v>1</v>
      </c>
      <c r="B28" t="s">
        <v>1076</v>
      </c>
      <c r="C28" s="2">
        <v>35</v>
      </c>
      <c r="D28" s="2">
        <v>1</v>
      </c>
      <c r="E28" s="2">
        <f t="shared" ref="E28:E34" si="6">((VLOOKUP(C28,$J$13:$O$112,6,0)-VLOOKUP(C28-5,$J$13:$O$112,6,0))/15*(D28-1)+VLOOKUP(C28-5,$J$13:$O$112,6,0))/$B$10</f>
        <v>6889.2887801204824</v>
      </c>
      <c r="F28" s="2">
        <f t="shared" ref="F28:F41" si="7">F13+$F$11</f>
        <v>0.60999999999999965</v>
      </c>
      <c r="G28" s="2">
        <f>G13</f>
        <v>0.8</v>
      </c>
      <c r="H28" s="2">
        <f t="shared" si="4"/>
        <v>3361.9729246987936</v>
      </c>
      <c r="J28">
        <v>16</v>
      </c>
      <c r="K28">
        <v>0</v>
      </c>
      <c r="L28">
        <f t="shared" si="2"/>
        <v>0</v>
      </c>
    </row>
    <row r="29" spans="1:18">
      <c r="A29" s="2">
        <v>2</v>
      </c>
      <c r="B29" t="s">
        <v>1077</v>
      </c>
      <c r="C29" s="2">
        <v>35</v>
      </c>
      <c r="D29" s="2">
        <v>2</v>
      </c>
      <c r="E29" s="2">
        <f t="shared" si="6"/>
        <v>6920.6438253012047</v>
      </c>
      <c r="F29" s="2">
        <f t="shared" si="7"/>
        <v>0.63999999999999968</v>
      </c>
      <c r="G29" s="2">
        <f t="shared" ref="G29:G92" si="8">G14</f>
        <v>0.9</v>
      </c>
      <c r="H29" s="2">
        <f t="shared" si="4"/>
        <v>3986.290843373492</v>
      </c>
      <c r="J29">
        <v>17</v>
      </c>
      <c r="K29">
        <v>0</v>
      </c>
      <c r="L29">
        <f t="shared" si="2"/>
        <v>0</v>
      </c>
    </row>
    <row r="30" spans="1:18">
      <c r="A30" s="2">
        <v>3</v>
      </c>
      <c r="B30" t="s">
        <v>1078</v>
      </c>
      <c r="C30" s="2">
        <v>35</v>
      </c>
      <c r="D30" s="2">
        <v>3</v>
      </c>
      <c r="E30" s="2">
        <f t="shared" si="6"/>
        <v>6951.998870481928</v>
      </c>
      <c r="F30" s="2">
        <f t="shared" si="7"/>
        <v>0.66999999999999971</v>
      </c>
      <c r="G30" s="2">
        <f t="shared" si="8"/>
        <v>1.2</v>
      </c>
      <c r="H30" s="2">
        <f t="shared" si="4"/>
        <v>5589.407091867467</v>
      </c>
      <c r="J30">
        <v>18</v>
      </c>
      <c r="K30">
        <v>0</v>
      </c>
      <c r="L30">
        <f t="shared" si="2"/>
        <v>0</v>
      </c>
    </row>
    <row r="31" spans="1:18">
      <c r="A31" s="2">
        <v>4</v>
      </c>
      <c r="B31" t="s">
        <v>1079</v>
      </c>
      <c r="C31" s="2">
        <v>35</v>
      </c>
      <c r="D31" s="2">
        <v>4</v>
      </c>
      <c r="E31" s="2">
        <f t="shared" si="6"/>
        <v>6983.3539156626503</v>
      </c>
      <c r="F31" s="2">
        <f t="shared" si="7"/>
        <v>0.69999999999999973</v>
      </c>
      <c r="G31" s="2">
        <f t="shared" si="8"/>
        <v>0.82</v>
      </c>
      <c r="H31" s="2">
        <f t="shared" si="4"/>
        <v>4008.4451475903597</v>
      </c>
      <c r="J31">
        <v>19</v>
      </c>
      <c r="K31">
        <v>0</v>
      </c>
      <c r="L31">
        <f t="shared" si="2"/>
        <v>0</v>
      </c>
    </row>
    <row r="32" spans="1:18">
      <c r="A32" s="2">
        <v>5</v>
      </c>
      <c r="B32" t="s">
        <v>1080</v>
      </c>
      <c r="C32" s="2">
        <v>35</v>
      </c>
      <c r="D32" s="2">
        <v>5</v>
      </c>
      <c r="E32" s="2">
        <f t="shared" si="6"/>
        <v>7014.7089608433744</v>
      </c>
      <c r="F32" s="2">
        <f t="shared" si="7"/>
        <v>0.72999999999999976</v>
      </c>
      <c r="G32" s="2">
        <f t="shared" si="8"/>
        <v>0.9</v>
      </c>
      <c r="H32" s="2">
        <f t="shared" si="4"/>
        <v>4608.6637872740957</v>
      </c>
      <c r="J32">
        <v>20</v>
      </c>
      <c r="K32">
        <v>0</v>
      </c>
      <c r="L32">
        <f t="shared" si="2"/>
        <v>0</v>
      </c>
    </row>
    <row r="33" spans="1:18">
      <c r="A33" s="2">
        <v>6</v>
      </c>
      <c r="B33" t="s">
        <v>1081</v>
      </c>
      <c r="C33" s="2">
        <v>35</v>
      </c>
      <c r="D33" s="2">
        <v>6</v>
      </c>
      <c r="E33" s="2">
        <f t="shared" si="6"/>
        <v>7046.0640060240967</v>
      </c>
      <c r="F33" s="2">
        <f t="shared" si="7"/>
        <v>0.75999999999999979</v>
      </c>
      <c r="G33" s="2">
        <f t="shared" si="8"/>
        <v>1.21</v>
      </c>
      <c r="H33" s="2">
        <f t="shared" si="4"/>
        <v>6479.5604599397575</v>
      </c>
      <c r="J33">
        <v>21</v>
      </c>
      <c r="K33">
        <v>0</v>
      </c>
      <c r="L33">
        <f t="shared" si="2"/>
        <v>0</v>
      </c>
    </row>
    <row r="34" spans="1:18">
      <c r="A34" s="2">
        <v>7</v>
      </c>
      <c r="B34" t="s">
        <v>1082</v>
      </c>
      <c r="C34" s="2">
        <v>35</v>
      </c>
      <c r="D34" s="2">
        <v>7</v>
      </c>
      <c r="E34" s="2">
        <f t="shared" si="6"/>
        <v>7077.4190512048199</v>
      </c>
      <c r="F34" s="2">
        <f t="shared" si="7"/>
        <v>0.78999999999999981</v>
      </c>
      <c r="G34" s="2">
        <f t="shared" si="8"/>
        <v>0.84</v>
      </c>
      <c r="H34" s="2">
        <f t="shared" si="4"/>
        <v>4696.5752823795174</v>
      </c>
      <c r="J34">
        <v>22</v>
      </c>
      <c r="K34">
        <v>0</v>
      </c>
      <c r="L34">
        <f t="shared" si="2"/>
        <v>0</v>
      </c>
    </row>
    <row r="35" spans="1:18">
      <c r="A35" s="2">
        <v>8</v>
      </c>
      <c r="B35" t="s">
        <v>1083</v>
      </c>
      <c r="C35" s="2">
        <v>35</v>
      </c>
      <c r="D35" s="2">
        <v>8</v>
      </c>
      <c r="E35" s="2">
        <f t="shared" ref="E35:E42" si="9">((VLOOKUP(C35,$J$13:$O$112,6,0)-VLOOKUP(C35-5,$J$13:$O$112,6,0))/15*(D35-1)+VLOOKUP(C35-5,$J$13:$O$112,6,0))/$B$10</f>
        <v>7108.7740963855422</v>
      </c>
      <c r="F35" s="2">
        <f t="shared" si="7"/>
        <v>0.81999999999999984</v>
      </c>
      <c r="G35" s="2">
        <f t="shared" si="8"/>
        <v>0.9</v>
      </c>
      <c r="H35" s="2">
        <f t="shared" si="4"/>
        <v>5246.2752831325288</v>
      </c>
      <c r="J35" s="30">
        <v>23</v>
      </c>
      <c r="K35">
        <f>E7-20</f>
        <v>40</v>
      </c>
      <c r="L35">
        <f>K35*$E$5</f>
        <v>97542.168674698783</v>
      </c>
      <c r="M35">
        <f>VLOOKUP(J35,命币的投放!$J$3:$O$8,6,1)</f>
        <v>25600</v>
      </c>
    </row>
    <row r="36" spans="1:18">
      <c r="A36" s="2">
        <v>9</v>
      </c>
      <c r="B36" t="s">
        <v>1084</v>
      </c>
      <c r="C36" s="2">
        <v>35</v>
      </c>
      <c r="D36" s="2">
        <v>9</v>
      </c>
      <c r="E36" s="2">
        <f t="shared" si="9"/>
        <v>7140.1291415662654</v>
      </c>
      <c r="F36" s="2">
        <f t="shared" si="7"/>
        <v>0.84999999999999987</v>
      </c>
      <c r="G36" s="2">
        <f t="shared" si="8"/>
        <v>1.22</v>
      </c>
      <c r="H36" s="2">
        <f t="shared" si="4"/>
        <v>7404.3139198042154</v>
      </c>
      <c r="J36">
        <v>24</v>
      </c>
      <c r="K36">
        <f>K35+0.5</f>
        <v>40.5</v>
      </c>
      <c r="L36">
        <f t="shared" si="2"/>
        <v>98761.445783132527</v>
      </c>
      <c r="M36">
        <f>VLOOKUP(J36,命币的投放!$J$3:$O$8,6,1)</f>
        <v>25600</v>
      </c>
      <c r="N36">
        <f t="shared" ref="N36:N46" si="10">L36-M36</f>
        <v>73161.445783132527</v>
      </c>
      <c r="O36">
        <f t="shared" ref="O36:O46" si="11">($N$112*1.05-$N$47*0.9)/($J$112-$J$47-1)*(J36-$J$47)+$N$47*0.9</f>
        <v>63248.979668674699</v>
      </c>
      <c r="P36">
        <f t="shared" ref="P36:P46" si="12">M36/L36</f>
        <v>0.25921046210901283</v>
      </c>
      <c r="Q36">
        <f t="shared" ref="Q36:Q46" si="13">O36/L36</f>
        <v>0.64042176749377844</v>
      </c>
    </row>
    <row r="37" spans="1:18">
      <c r="A37" s="2">
        <v>10</v>
      </c>
      <c r="B37" t="s">
        <v>1085</v>
      </c>
      <c r="C37" s="2">
        <v>35</v>
      </c>
      <c r="D37" s="2">
        <v>10</v>
      </c>
      <c r="E37" s="2">
        <f t="shared" si="9"/>
        <v>7171.4841867469877</v>
      </c>
      <c r="F37" s="2">
        <f t="shared" si="7"/>
        <v>0.87999999999999989</v>
      </c>
      <c r="G37" s="2">
        <f t="shared" si="8"/>
        <v>0.86</v>
      </c>
      <c r="H37" s="2">
        <f t="shared" si="4"/>
        <v>5427.3792325301192</v>
      </c>
      <c r="J37">
        <v>25</v>
      </c>
      <c r="K37">
        <f>K36+0.5</f>
        <v>41</v>
      </c>
      <c r="L37">
        <f t="shared" si="2"/>
        <v>99980.722891566256</v>
      </c>
      <c r="M37">
        <f>VLOOKUP(J37,命币的投放!$J$3:$O$8,6,1)</f>
        <v>25600</v>
      </c>
      <c r="N37">
        <f t="shared" si="10"/>
        <v>74380.722891566256</v>
      </c>
      <c r="O37">
        <f t="shared" si="11"/>
        <v>64189.631024096379</v>
      </c>
      <c r="P37">
        <f t="shared" si="12"/>
        <v>0.25604935891256148</v>
      </c>
      <c r="Q37">
        <f t="shared" si="13"/>
        <v>0.64202007314663068</v>
      </c>
    </row>
    <row r="38" spans="1:18">
      <c r="A38" s="2">
        <v>11</v>
      </c>
      <c r="B38" t="s">
        <v>1086</v>
      </c>
      <c r="C38" s="2">
        <v>35</v>
      </c>
      <c r="D38" s="2">
        <v>11</v>
      </c>
      <c r="E38" s="2">
        <f t="shared" si="9"/>
        <v>7202.83923192771</v>
      </c>
      <c r="F38" s="2">
        <f t="shared" si="7"/>
        <v>0.90999999999999992</v>
      </c>
      <c r="G38" s="2">
        <f t="shared" si="8"/>
        <v>0.9</v>
      </c>
      <c r="H38" s="2">
        <f t="shared" si="4"/>
        <v>5899.1253309487938</v>
      </c>
      <c r="J38">
        <v>26</v>
      </c>
      <c r="K38">
        <f t="shared" ref="K38:K101" si="14">K37+0.5</f>
        <v>41.5</v>
      </c>
      <c r="L38">
        <f t="shared" si="2"/>
        <v>101199.99999999999</v>
      </c>
      <c r="M38">
        <f>VLOOKUP(J38,命币的投放!$J$3:$O$8,6,1)</f>
        <v>25600</v>
      </c>
      <c r="N38">
        <f t="shared" si="10"/>
        <v>75599.999999999985</v>
      </c>
      <c r="O38">
        <f t="shared" si="11"/>
        <v>65130.282379518074</v>
      </c>
      <c r="P38">
        <f t="shared" si="12"/>
        <v>0.25296442687747039</v>
      </c>
      <c r="Q38">
        <f t="shared" si="13"/>
        <v>0.64357986541025769</v>
      </c>
    </row>
    <row r="39" spans="1:18">
      <c r="A39" s="2">
        <v>12</v>
      </c>
      <c r="B39" t="s">
        <v>1087</v>
      </c>
      <c r="C39" s="2">
        <v>35</v>
      </c>
      <c r="D39" s="2">
        <v>12</v>
      </c>
      <c r="E39" s="2">
        <f t="shared" si="9"/>
        <v>7234.1942771084332</v>
      </c>
      <c r="F39" s="2">
        <f t="shared" si="7"/>
        <v>0.94</v>
      </c>
      <c r="G39" s="2">
        <f t="shared" si="8"/>
        <v>1.23</v>
      </c>
      <c r="H39" s="2">
        <f t="shared" si="4"/>
        <v>8364.1754231927698</v>
      </c>
      <c r="J39">
        <v>27</v>
      </c>
      <c r="K39">
        <f t="shared" si="14"/>
        <v>42</v>
      </c>
      <c r="L39">
        <f t="shared" si="2"/>
        <v>102419.27710843373</v>
      </c>
      <c r="M39">
        <f>VLOOKUP(J39,命币的投放!$J$3:$O$8,6,1)</f>
        <v>25600</v>
      </c>
      <c r="N39">
        <f t="shared" si="10"/>
        <v>76819.277108433729</v>
      </c>
      <c r="O39">
        <f t="shared" si="11"/>
        <v>66070.933734939754</v>
      </c>
      <c r="P39">
        <f t="shared" si="12"/>
        <v>0.24995294560511952</v>
      </c>
      <c r="Q39">
        <f t="shared" si="13"/>
        <v>0.64510251976284583</v>
      </c>
    </row>
    <row r="40" spans="1:18">
      <c r="A40" s="2">
        <v>13</v>
      </c>
      <c r="B40" t="s">
        <v>1088</v>
      </c>
      <c r="C40" s="2">
        <v>35</v>
      </c>
      <c r="D40" s="2">
        <v>13</v>
      </c>
      <c r="E40" s="2">
        <f t="shared" si="9"/>
        <v>7265.5493222891573</v>
      </c>
      <c r="F40" s="2">
        <f t="shared" si="7"/>
        <v>0.97</v>
      </c>
      <c r="G40" s="2">
        <f t="shared" si="8"/>
        <v>0.88</v>
      </c>
      <c r="H40" s="2">
        <f t="shared" si="4"/>
        <v>6201.8729015060244</v>
      </c>
      <c r="J40">
        <v>28</v>
      </c>
      <c r="K40">
        <f t="shared" si="14"/>
        <v>42.5</v>
      </c>
      <c r="L40">
        <f t="shared" si="2"/>
        <v>103638.55421686746</v>
      </c>
      <c r="M40">
        <f>VLOOKUP(J40,命币的投放!$J$3:$O$8,6,1)</f>
        <v>25600</v>
      </c>
      <c r="N40">
        <f t="shared" si="10"/>
        <v>78038.554216867458</v>
      </c>
      <c r="O40">
        <f t="shared" si="11"/>
        <v>67011.585090361448</v>
      </c>
      <c r="P40">
        <f t="shared" si="12"/>
        <v>0.24701232271564755</v>
      </c>
      <c r="Q40">
        <f t="shared" si="13"/>
        <v>0.64658934695419679</v>
      </c>
    </row>
    <row r="41" spans="1:18">
      <c r="A41" s="2">
        <v>14</v>
      </c>
      <c r="B41" t="s">
        <v>1089</v>
      </c>
      <c r="C41" s="2">
        <v>35</v>
      </c>
      <c r="D41" s="2">
        <v>14</v>
      </c>
      <c r="E41" s="2">
        <f t="shared" si="9"/>
        <v>7296.9043674698796</v>
      </c>
      <c r="F41" s="2">
        <f t="shared" si="7"/>
        <v>1</v>
      </c>
      <c r="G41" s="2">
        <f t="shared" si="8"/>
        <v>0.9</v>
      </c>
      <c r="H41" s="2">
        <f t="shared" si="4"/>
        <v>6567.2139307228917</v>
      </c>
      <c r="J41">
        <v>29</v>
      </c>
      <c r="K41">
        <f t="shared" si="14"/>
        <v>43</v>
      </c>
      <c r="L41">
        <f t="shared" si="2"/>
        <v>104857.8313253012</v>
      </c>
      <c r="M41">
        <f>VLOOKUP(J41,命币的投放!$J$3:$O$8,6,1)</f>
        <v>25600</v>
      </c>
      <c r="N41">
        <f t="shared" si="10"/>
        <v>79257.831325301202</v>
      </c>
      <c r="O41">
        <f t="shared" si="11"/>
        <v>67952.236445783128</v>
      </c>
      <c r="P41">
        <f t="shared" si="12"/>
        <v>0.24414008640500046</v>
      </c>
      <c r="Q41">
        <f t="shared" si="13"/>
        <v>0.64804159676900452</v>
      </c>
      <c r="R41">
        <v>87701</v>
      </c>
    </row>
    <row r="42" spans="1:18">
      <c r="A42" s="2">
        <v>15</v>
      </c>
      <c r="B42" t="s">
        <v>1090</v>
      </c>
      <c r="C42" s="2">
        <v>35</v>
      </c>
      <c r="D42" s="2">
        <v>15</v>
      </c>
      <c r="E42" s="2">
        <f t="shared" si="9"/>
        <v>7328.2594126506028</v>
      </c>
      <c r="F42" s="2">
        <f t="shared" ref="F42:F92" si="15">F27+$F$11</f>
        <v>1.03</v>
      </c>
      <c r="G42" s="2">
        <f t="shared" si="8"/>
        <v>1.25</v>
      </c>
      <c r="H42" s="2">
        <f t="shared" si="4"/>
        <v>9435.133993787651</v>
      </c>
      <c r="J42">
        <v>30</v>
      </c>
      <c r="K42">
        <f t="shared" si="14"/>
        <v>43.5</v>
      </c>
      <c r="L42">
        <f t="shared" si="2"/>
        <v>106077.10843373493</v>
      </c>
      <c r="M42">
        <f>VLOOKUP(J42,命币的投放!$J$3:$O$8,6,1)</f>
        <v>25600</v>
      </c>
      <c r="N42">
        <f t="shared" si="10"/>
        <v>80477.108433734931</v>
      </c>
      <c r="O42">
        <f t="shared" si="11"/>
        <v>68892.887801204823</v>
      </c>
      <c r="P42">
        <f t="shared" si="12"/>
        <v>0.24133387851528784</v>
      </c>
      <c r="Q42">
        <f t="shared" si="13"/>
        <v>0.64946046153059844</v>
      </c>
      <c r="R42">
        <f>SUM(H28:H42)</f>
        <v>87276.405552748474</v>
      </c>
    </row>
    <row r="43" spans="1:18">
      <c r="A43" s="2">
        <v>1</v>
      </c>
      <c r="B43" t="s">
        <v>1091</v>
      </c>
      <c r="C43" s="2">
        <f>INT((A43-1)/15)*5+40</f>
        <v>40</v>
      </c>
      <c r="D43" s="2">
        <v>1</v>
      </c>
      <c r="E43" s="2">
        <f>((VLOOKUP(C43,$J$13:$O$112,6,0)-VLOOKUP(C43-5,$J$13:$O$112,6,0))/15*(D43-1)+VLOOKUP(C43-5,$J$13:$O$112,6,0))/$B$10</f>
        <v>7359.6144578313251</v>
      </c>
      <c r="F43" s="2">
        <f t="shared" si="15"/>
        <v>0.63999999999999968</v>
      </c>
      <c r="G43" s="2">
        <f t="shared" si="8"/>
        <v>0.8</v>
      </c>
      <c r="H43" s="2">
        <f t="shared" si="4"/>
        <v>3768.1226024096368</v>
      </c>
      <c r="J43">
        <v>31</v>
      </c>
      <c r="K43">
        <f t="shared" si="14"/>
        <v>44</v>
      </c>
      <c r="L43">
        <f t="shared" si="2"/>
        <v>107296.38554216866</v>
      </c>
      <c r="M43">
        <f>VLOOKUP(J43,命币的投放!$J$3:$O$8,6,1)</f>
        <v>25600</v>
      </c>
      <c r="N43">
        <f t="shared" si="10"/>
        <v>81696.38554216866</v>
      </c>
      <c r="O43">
        <f t="shared" si="11"/>
        <v>69833.539156626503</v>
      </c>
      <c r="P43">
        <f t="shared" si="12"/>
        <v>0.23859144807761412</v>
      </c>
      <c r="Q43">
        <f t="shared" si="13"/>
        <v>0.65084707936579234</v>
      </c>
    </row>
    <row r="44" spans="1:18">
      <c r="A44" s="2">
        <v>2</v>
      </c>
      <c r="B44" t="s">
        <v>1092</v>
      </c>
      <c r="C44" s="2">
        <f t="shared" ref="C44:C107" si="16">INT((A44-1)/15)*5+40</f>
        <v>40</v>
      </c>
      <c r="D44" s="2">
        <v>2</v>
      </c>
      <c r="E44" s="2">
        <f t="shared" ref="E44:E74" si="17">((VLOOKUP(C44,$J$13:$O$112,6,0)-VLOOKUP(C44-5,$J$13:$O$112,6,0))/15*(D44-1)+VLOOKUP(C44-5,$J$13:$O$112,6,0))/$B$10</f>
        <v>7390.9695030120474</v>
      </c>
      <c r="F44" s="2">
        <f t="shared" si="15"/>
        <v>0.66999999999999971</v>
      </c>
      <c r="G44" s="2">
        <f t="shared" si="8"/>
        <v>0.9</v>
      </c>
      <c r="H44" s="2">
        <f t="shared" si="4"/>
        <v>4456.7546103162631</v>
      </c>
      <c r="J44">
        <v>32</v>
      </c>
      <c r="K44">
        <f t="shared" si="14"/>
        <v>44.5</v>
      </c>
      <c r="L44">
        <f t="shared" si="2"/>
        <v>108515.6626506024</v>
      </c>
      <c r="M44">
        <f>VLOOKUP(J44,命币的投放!$J$3:$O$8,6,1)</f>
        <v>25600</v>
      </c>
      <c r="N44">
        <f t="shared" si="10"/>
        <v>82915.662650602404</v>
      </c>
      <c r="O44">
        <f t="shared" si="11"/>
        <v>70774.190512048197</v>
      </c>
      <c r="P44">
        <f t="shared" si="12"/>
        <v>0.23591064529022518</v>
      </c>
      <c r="Q44">
        <f t="shared" si="13"/>
        <v>0.65220253724963373</v>
      </c>
    </row>
    <row r="45" spans="1:18">
      <c r="A45" s="2">
        <v>3</v>
      </c>
      <c r="B45" t="s">
        <v>1093</v>
      </c>
      <c r="C45" s="2">
        <f t="shared" si="16"/>
        <v>40</v>
      </c>
      <c r="D45" s="2">
        <v>3</v>
      </c>
      <c r="E45" s="2">
        <f t="shared" si="17"/>
        <v>7422.3245481927706</v>
      </c>
      <c r="F45" s="2">
        <f t="shared" si="15"/>
        <v>0.69999999999999973</v>
      </c>
      <c r="G45" s="2">
        <f t="shared" si="8"/>
        <v>1.2</v>
      </c>
      <c r="H45" s="2">
        <f t="shared" si="4"/>
        <v>6234.7526204819251</v>
      </c>
      <c r="J45">
        <v>33</v>
      </c>
      <c r="K45">
        <f t="shared" si="14"/>
        <v>45</v>
      </c>
      <c r="L45">
        <f t="shared" ref="L45:L76" si="18">K45*$E$5</f>
        <v>109734.93975903613</v>
      </c>
      <c r="M45">
        <f>VLOOKUP(J45,命币的投放!$J$3:$O$8,6,1)</f>
        <v>30400</v>
      </c>
      <c r="N45">
        <f t="shared" si="10"/>
        <v>79334.939759036133</v>
      </c>
      <c r="O45">
        <f t="shared" si="11"/>
        <v>71714.841867469877</v>
      </c>
      <c r="P45">
        <f t="shared" si="12"/>
        <v>0.27703118137900751</v>
      </c>
      <c r="Q45">
        <f t="shared" si="13"/>
        <v>0.65352787384716737</v>
      </c>
    </row>
    <row r="46" spans="1:18">
      <c r="A46" s="2">
        <v>4</v>
      </c>
      <c r="B46" t="s">
        <v>1094</v>
      </c>
      <c r="C46" s="2">
        <f t="shared" si="16"/>
        <v>40</v>
      </c>
      <c r="D46" s="2">
        <v>4</v>
      </c>
      <c r="E46" s="2">
        <f t="shared" si="17"/>
        <v>7453.6795933734929</v>
      </c>
      <c r="F46" s="2">
        <f t="shared" si="15"/>
        <v>0.72999999999999976</v>
      </c>
      <c r="G46" s="2">
        <f t="shared" si="8"/>
        <v>0.82</v>
      </c>
      <c r="H46" s="2">
        <f t="shared" si="4"/>
        <v>4461.7726045933705</v>
      </c>
      <c r="J46">
        <v>34</v>
      </c>
      <c r="K46">
        <f t="shared" si="14"/>
        <v>45.5</v>
      </c>
      <c r="L46">
        <f t="shared" si="18"/>
        <v>110954.21686746988</v>
      </c>
      <c r="M46">
        <f>VLOOKUP(J46,命币的投放!$J$3:$O$8,6,1)</f>
        <v>30400</v>
      </c>
      <c r="N46">
        <f t="shared" si="10"/>
        <v>80554.216867469877</v>
      </c>
      <c r="O46">
        <f t="shared" si="11"/>
        <v>72655.493222891571</v>
      </c>
      <c r="P46">
        <f t="shared" si="12"/>
        <v>0.27398688268253485</v>
      </c>
      <c r="Q46">
        <f t="shared" si="13"/>
        <v>0.65482408216783228</v>
      </c>
    </row>
    <row r="47" spans="1:18">
      <c r="A47" s="2">
        <v>5</v>
      </c>
      <c r="B47" t="s">
        <v>1095</v>
      </c>
      <c r="C47" s="2">
        <f>INT((A47-1)/15)*5+40</f>
        <v>40</v>
      </c>
      <c r="D47" s="2">
        <v>5</v>
      </c>
      <c r="E47" s="2">
        <f t="shared" si="17"/>
        <v>7485.0346385542171</v>
      </c>
      <c r="F47" s="2">
        <f t="shared" si="15"/>
        <v>0.75999999999999979</v>
      </c>
      <c r="G47" s="2">
        <f t="shared" si="8"/>
        <v>0.9</v>
      </c>
      <c r="H47" s="2">
        <f t="shared" si="4"/>
        <v>5119.7636927710828</v>
      </c>
      <c r="J47" s="8">
        <v>35</v>
      </c>
      <c r="K47">
        <f t="shared" si="14"/>
        <v>46</v>
      </c>
      <c r="L47">
        <f>K47*$E$5</f>
        <v>112173.49397590361</v>
      </c>
      <c r="M47">
        <f>VLOOKUP(J47,命币的投放!$J$3:$O$8,6,1)</f>
        <v>30400</v>
      </c>
      <c r="N47">
        <f>L47-M47</f>
        <v>81773.493975903606</v>
      </c>
      <c r="O47">
        <f>($N$112*1.05-$N$47*0.9)/($J$112-$J$47-1)*(J47-$J$47)+$N$47*0.9</f>
        <v>73596.144578313251</v>
      </c>
      <c r="P47">
        <f>M47/L47</f>
        <v>0.27100876439250732</v>
      </c>
      <c r="Q47">
        <f>O47/L47</f>
        <v>0.65609211204674345</v>
      </c>
    </row>
    <row r="48" spans="1:18">
      <c r="A48" s="2">
        <v>6</v>
      </c>
      <c r="B48" t="s">
        <v>1096</v>
      </c>
      <c r="C48" s="2">
        <f t="shared" si="16"/>
        <v>40</v>
      </c>
      <c r="D48" s="2">
        <v>6</v>
      </c>
      <c r="E48" s="2">
        <f t="shared" si="17"/>
        <v>7516.3896837349403</v>
      </c>
      <c r="F48" s="2">
        <f t="shared" si="15"/>
        <v>0.78999999999999981</v>
      </c>
      <c r="G48" s="2">
        <f t="shared" si="8"/>
        <v>1.21</v>
      </c>
      <c r="H48" s="2">
        <f t="shared" si="4"/>
        <v>7184.9168986822269</v>
      </c>
      <c r="J48">
        <v>36</v>
      </c>
      <c r="K48">
        <f t="shared" si="14"/>
        <v>46.5</v>
      </c>
      <c r="L48">
        <f t="shared" si="18"/>
        <v>113392.77108433734</v>
      </c>
      <c r="M48">
        <f>VLOOKUP(J48,命币的投放!$J$3:$O$8,6,1)</f>
        <v>30400</v>
      </c>
      <c r="N48">
        <f t="shared" ref="N48:N111" si="19">L48-M48</f>
        <v>82992.771084337335</v>
      </c>
      <c r="O48">
        <f t="shared" ref="O48:O111" si="20">($N$112*1.05-$N$47*0.9)/($J$112-$J$47-1)*(J48-$J$47)+$N$47*0.9</f>
        <v>74536.795933734931</v>
      </c>
      <c r="P48">
        <f t="shared" ref="P48:P111" si="21">M48/L48</f>
        <v>0.26809469165710403</v>
      </c>
      <c r="Q48">
        <f t="shared" ref="Q48:Q111" si="22">O48/L48</f>
        <v>0.65733287246589311</v>
      </c>
    </row>
    <row r="49" spans="1:18">
      <c r="A49" s="2">
        <v>7</v>
      </c>
      <c r="B49" t="s">
        <v>1097</v>
      </c>
      <c r="C49" s="2">
        <f t="shared" si="16"/>
        <v>40</v>
      </c>
      <c r="D49" s="2">
        <v>7</v>
      </c>
      <c r="E49" s="2">
        <f>((VLOOKUP(C49,$J$13:$O$112,6,0)-VLOOKUP(C49-5,$J$13:$O$112,6,0))/15*(D49-1)+VLOOKUP(C49-5,$J$13:$O$112,6,0))/$B$10</f>
        <v>7547.7447289156626</v>
      </c>
      <c r="F49" s="2">
        <f t="shared" si="15"/>
        <v>0.81999999999999984</v>
      </c>
      <c r="G49" s="2">
        <f t="shared" si="8"/>
        <v>0.84</v>
      </c>
      <c r="H49" s="2">
        <f t="shared" si="4"/>
        <v>5198.8865692771078</v>
      </c>
      <c r="J49">
        <v>37</v>
      </c>
      <c r="K49">
        <f t="shared" si="14"/>
        <v>47</v>
      </c>
      <c r="L49">
        <f t="shared" si="18"/>
        <v>114612.04819277108</v>
      </c>
      <c r="M49">
        <f>VLOOKUP(J49,命币的投放!$J$3:$O$8,6,1)</f>
        <v>30400</v>
      </c>
      <c r="N49">
        <f t="shared" si="19"/>
        <v>84212.048192771079</v>
      </c>
      <c r="O49">
        <f t="shared" si="20"/>
        <v>75477.447289156626</v>
      </c>
      <c r="P49">
        <f t="shared" si="21"/>
        <v>0.2652426204692625</v>
      </c>
      <c r="Q49">
        <f t="shared" si="22"/>
        <v>0.65854723372718871</v>
      </c>
    </row>
    <row r="50" spans="1:18">
      <c r="A50" s="2">
        <v>8</v>
      </c>
      <c r="B50" t="s">
        <v>1098</v>
      </c>
      <c r="C50" s="2">
        <f>INT((A50-1)/15)*5+40</f>
        <v>40</v>
      </c>
      <c r="D50" s="2">
        <v>8</v>
      </c>
      <c r="E50" s="2">
        <f t="shared" si="17"/>
        <v>7579.0997740963849</v>
      </c>
      <c r="F50" s="2">
        <f t="shared" si="15"/>
        <v>0.84999999999999987</v>
      </c>
      <c r="G50" s="2">
        <f t="shared" si="8"/>
        <v>0.9</v>
      </c>
      <c r="H50" s="2">
        <f t="shared" si="4"/>
        <v>5798.0113271837336</v>
      </c>
      <c r="J50">
        <v>38</v>
      </c>
      <c r="K50">
        <f t="shared" si="14"/>
        <v>47.5</v>
      </c>
      <c r="L50">
        <f t="shared" si="18"/>
        <v>115831.32530120481</v>
      </c>
      <c r="M50">
        <f>VLOOKUP(J50,命币的投放!$J$3:$O$8,6,1)</f>
        <v>30400</v>
      </c>
      <c r="N50">
        <f t="shared" si="19"/>
        <v>85431.325301204808</v>
      </c>
      <c r="O50">
        <f t="shared" si="20"/>
        <v>76418.098644578306</v>
      </c>
      <c r="P50">
        <f t="shared" si="21"/>
        <v>0.26245059288537553</v>
      </c>
      <c r="Q50">
        <f t="shared" si="22"/>
        <v>0.65973602948824628</v>
      </c>
    </row>
    <row r="51" spans="1:18">
      <c r="A51" s="2">
        <v>9</v>
      </c>
      <c r="B51" t="s">
        <v>1099</v>
      </c>
      <c r="C51" s="2">
        <f t="shared" si="16"/>
        <v>40</v>
      </c>
      <c r="D51" s="2">
        <v>9</v>
      </c>
      <c r="E51" s="2">
        <f t="shared" si="17"/>
        <v>7610.4548192771081</v>
      </c>
      <c r="F51" s="2">
        <f t="shared" si="15"/>
        <v>0.87999999999999989</v>
      </c>
      <c r="G51" s="2">
        <f t="shared" si="8"/>
        <v>1.22</v>
      </c>
      <c r="H51" s="2">
        <f t="shared" si="4"/>
        <v>8170.5842939759023</v>
      </c>
      <c r="J51">
        <v>39</v>
      </c>
      <c r="K51">
        <f t="shared" si="14"/>
        <v>48</v>
      </c>
      <c r="L51">
        <f t="shared" si="18"/>
        <v>117050.60240963855</v>
      </c>
      <c r="M51">
        <f>VLOOKUP(J51,命币的投放!$J$3:$O$8,6,1)</f>
        <v>30400</v>
      </c>
      <c r="N51">
        <f t="shared" si="19"/>
        <v>86650.602409638552</v>
      </c>
      <c r="O51">
        <f t="shared" si="20"/>
        <v>77358.75</v>
      </c>
      <c r="P51">
        <f t="shared" si="21"/>
        <v>0.25971673254281952</v>
      </c>
      <c r="Q51">
        <f t="shared" si="22"/>
        <v>0.66090005867094859</v>
      </c>
    </row>
    <row r="52" spans="1:18">
      <c r="A52" s="2">
        <v>10</v>
      </c>
      <c r="B52" t="s">
        <v>1100</v>
      </c>
      <c r="C52" s="2">
        <f t="shared" si="16"/>
        <v>40</v>
      </c>
      <c r="D52" s="2">
        <v>10</v>
      </c>
      <c r="E52" s="2">
        <f t="shared" si="17"/>
        <v>7641.8098644578304</v>
      </c>
      <c r="F52" s="2">
        <f t="shared" si="15"/>
        <v>0.90999999999999992</v>
      </c>
      <c r="G52" s="2">
        <f t="shared" si="8"/>
        <v>0.86</v>
      </c>
      <c r="H52" s="2">
        <f t="shared" si="4"/>
        <v>5980.4803999246969</v>
      </c>
      <c r="J52">
        <v>40</v>
      </c>
      <c r="K52">
        <f t="shared" si="14"/>
        <v>48.5</v>
      </c>
      <c r="L52">
        <f t="shared" si="18"/>
        <v>118269.87951807228</v>
      </c>
      <c r="M52">
        <f>VLOOKUP(J52,命币的投放!$J$3:$O$8,6,1)</f>
        <v>30400</v>
      </c>
      <c r="N52">
        <f t="shared" si="19"/>
        <v>87869.879518072281</v>
      </c>
      <c r="O52">
        <f t="shared" si="20"/>
        <v>78299.40135542168</v>
      </c>
      <c r="P52">
        <f t="shared" si="21"/>
        <v>0.25703924045474924</v>
      </c>
      <c r="Q52">
        <f t="shared" si="22"/>
        <v>0.66204008725194574</v>
      </c>
    </row>
    <row r="53" spans="1:18">
      <c r="A53" s="2">
        <v>11</v>
      </c>
      <c r="B53" t="s">
        <v>1101</v>
      </c>
      <c r="C53" s="2">
        <f t="shared" si="16"/>
        <v>40</v>
      </c>
      <c r="D53" s="2">
        <v>11</v>
      </c>
      <c r="E53" s="2">
        <f t="shared" si="17"/>
        <v>7673.1649096385536</v>
      </c>
      <c r="F53" s="2">
        <f t="shared" si="15"/>
        <v>0.94</v>
      </c>
      <c r="G53" s="2">
        <f t="shared" si="8"/>
        <v>0.9</v>
      </c>
      <c r="H53" s="2">
        <f t="shared" si="4"/>
        <v>6491.4975135542154</v>
      </c>
      <c r="J53">
        <v>41</v>
      </c>
      <c r="K53">
        <f t="shared" si="14"/>
        <v>49</v>
      </c>
      <c r="L53">
        <f t="shared" si="18"/>
        <v>119489.15662650601</v>
      </c>
      <c r="M53">
        <f>VLOOKUP(J53,命币的投放!$J$3:$O$8,6,1)</f>
        <v>30400</v>
      </c>
      <c r="N53">
        <f t="shared" si="19"/>
        <v>89089.15662650601</v>
      </c>
      <c r="O53">
        <f t="shared" si="20"/>
        <v>79240.052710843374</v>
      </c>
      <c r="P53">
        <f t="shared" si="21"/>
        <v>0.25441639106235381</v>
      </c>
      <c r="Q53">
        <f t="shared" si="22"/>
        <v>0.66315684994353485</v>
      </c>
    </row>
    <row r="54" spans="1:18">
      <c r="A54" s="2">
        <v>12</v>
      </c>
      <c r="B54" t="s">
        <v>1102</v>
      </c>
      <c r="C54" s="2">
        <f t="shared" si="16"/>
        <v>40</v>
      </c>
      <c r="D54" s="2">
        <v>12</v>
      </c>
      <c r="E54" s="2">
        <f t="shared" si="17"/>
        <v>7704.5199548192759</v>
      </c>
      <c r="F54" s="2">
        <f t="shared" si="15"/>
        <v>0.97</v>
      </c>
      <c r="G54" s="2">
        <f t="shared" si="8"/>
        <v>1.23</v>
      </c>
      <c r="H54" s="2">
        <f t="shared" si="4"/>
        <v>9192.2627580948774</v>
      </c>
      <c r="J54">
        <v>42</v>
      </c>
      <c r="K54">
        <f t="shared" si="14"/>
        <v>49.5</v>
      </c>
      <c r="L54">
        <f t="shared" si="18"/>
        <v>120708.43373493975</v>
      </c>
      <c r="M54">
        <f>VLOOKUP(J54,命币的投放!$J$3:$O$8,6,1)</f>
        <v>30400</v>
      </c>
      <c r="N54">
        <f t="shared" si="19"/>
        <v>90308.433734939754</v>
      </c>
      <c r="O54">
        <f t="shared" si="20"/>
        <v>80180.704066265054</v>
      </c>
      <c r="P54">
        <f t="shared" si="21"/>
        <v>0.25184652852637046</v>
      </c>
      <c r="Q54">
        <f t="shared" si="22"/>
        <v>0.66425105177266741</v>
      </c>
    </row>
    <row r="55" spans="1:18">
      <c r="A55" s="2">
        <v>13</v>
      </c>
      <c r="B55" t="s">
        <v>1103</v>
      </c>
      <c r="C55" s="2">
        <f t="shared" si="16"/>
        <v>40</v>
      </c>
      <c r="D55" s="2">
        <v>13</v>
      </c>
      <c r="E55" s="2">
        <f t="shared" si="17"/>
        <v>7735.875</v>
      </c>
      <c r="F55" s="2">
        <f t="shared" si="15"/>
        <v>1</v>
      </c>
      <c r="G55" s="2">
        <f t="shared" si="8"/>
        <v>0.88</v>
      </c>
      <c r="H55" s="2">
        <f t="shared" si="4"/>
        <v>6807.57</v>
      </c>
      <c r="J55">
        <v>43</v>
      </c>
      <c r="K55">
        <f t="shared" si="14"/>
        <v>50</v>
      </c>
      <c r="L55">
        <f t="shared" si="18"/>
        <v>121927.71084337348</v>
      </c>
      <c r="M55">
        <f>VLOOKUP(J55,命币的投放!$J$3:$O$8,6,1)</f>
        <v>36800</v>
      </c>
      <c r="N55">
        <f t="shared" si="19"/>
        <v>85127.710843373483</v>
      </c>
      <c r="O55">
        <f t="shared" si="20"/>
        <v>81121.355421686749</v>
      </c>
      <c r="P55">
        <f t="shared" si="21"/>
        <v>0.30181818181818182</v>
      </c>
      <c r="Q55">
        <f t="shared" si="22"/>
        <v>0.66532336956521743</v>
      </c>
    </row>
    <row r="56" spans="1:18">
      <c r="A56" s="2">
        <v>14</v>
      </c>
      <c r="B56" t="s">
        <v>1104</v>
      </c>
      <c r="C56" s="2">
        <f t="shared" si="16"/>
        <v>40</v>
      </c>
      <c r="D56" s="2">
        <v>14</v>
      </c>
      <c r="E56" s="2">
        <f t="shared" si="17"/>
        <v>7767.2300451807223</v>
      </c>
      <c r="F56" s="2">
        <f t="shared" si="15"/>
        <v>1.03</v>
      </c>
      <c r="G56" s="2">
        <f t="shared" si="8"/>
        <v>0.9</v>
      </c>
      <c r="H56" s="2">
        <f t="shared" si="4"/>
        <v>7200.2222518825301</v>
      </c>
      <c r="J56">
        <v>44</v>
      </c>
      <c r="K56">
        <f t="shared" si="14"/>
        <v>50.5</v>
      </c>
      <c r="L56">
        <f t="shared" si="18"/>
        <v>123146.98795180721</v>
      </c>
      <c r="M56">
        <f>VLOOKUP(J56,命币的投放!$J$3:$O$8,6,1)</f>
        <v>36800</v>
      </c>
      <c r="N56">
        <f t="shared" si="19"/>
        <v>86346.987951807212</v>
      </c>
      <c r="O56">
        <f t="shared" si="20"/>
        <v>82062.006777108429</v>
      </c>
      <c r="P56">
        <f t="shared" si="21"/>
        <v>0.29882988298829888</v>
      </c>
      <c r="Q56">
        <f t="shared" si="22"/>
        <v>0.66637445334207335</v>
      </c>
      <c r="R56">
        <v>96896</v>
      </c>
    </row>
    <row r="57" spans="1:18">
      <c r="A57" s="2">
        <v>15</v>
      </c>
      <c r="B57" t="s">
        <v>1105</v>
      </c>
      <c r="C57" s="2">
        <f t="shared" si="16"/>
        <v>40</v>
      </c>
      <c r="D57" s="2">
        <v>15</v>
      </c>
      <c r="E57" s="2">
        <f t="shared" si="17"/>
        <v>7798.5850903614455</v>
      </c>
      <c r="F57" s="2">
        <f t="shared" si="15"/>
        <v>1.06</v>
      </c>
      <c r="G57" s="2">
        <f t="shared" si="8"/>
        <v>1.25</v>
      </c>
      <c r="H57" s="2">
        <f t="shared" si="4"/>
        <v>10333.125244728915</v>
      </c>
      <c r="J57">
        <v>45</v>
      </c>
      <c r="K57">
        <f t="shared" si="14"/>
        <v>51</v>
      </c>
      <c r="L57">
        <f t="shared" si="18"/>
        <v>124366.26506024096</v>
      </c>
      <c r="M57">
        <f>VLOOKUP(J57,命币的投放!$J$3:$O$8,6,1)</f>
        <v>36800</v>
      </c>
      <c r="N57">
        <f t="shared" si="19"/>
        <v>87566.265060240956</v>
      </c>
      <c r="O57">
        <f t="shared" si="20"/>
        <v>83002.658132530123</v>
      </c>
      <c r="P57">
        <f t="shared" si="21"/>
        <v>0.29590017825311943</v>
      </c>
      <c r="Q57">
        <f t="shared" si="22"/>
        <v>0.66740492763310866</v>
      </c>
      <c r="R57">
        <f>SUM(H43:H57)</f>
        <v>96398.723387876467</v>
      </c>
    </row>
    <row r="58" spans="1:18">
      <c r="A58" s="2">
        <v>16</v>
      </c>
      <c r="B58" t="s">
        <v>272</v>
      </c>
      <c r="C58" s="2">
        <f t="shared" si="16"/>
        <v>45</v>
      </c>
      <c r="D58" s="2">
        <v>1</v>
      </c>
      <c r="E58" s="2">
        <f t="shared" si="17"/>
        <v>7829.9401355421678</v>
      </c>
      <c r="F58" s="2">
        <f t="shared" si="15"/>
        <v>0.66999999999999971</v>
      </c>
      <c r="G58" s="2">
        <f t="shared" si="8"/>
        <v>0.8</v>
      </c>
      <c r="H58" s="2">
        <f t="shared" si="4"/>
        <v>4196.8479126505999</v>
      </c>
      <c r="J58">
        <v>46</v>
      </c>
      <c r="K58">
        <f t="shared" si="14"/>
        <v>51.5</v>
      </c>
      <c r="L58">
        <f t="shared" si="18"/>
        <v>125585.54216867468</v>
      </c>
      <c r="M58">
        <f>VLOOKUP(J58,命币的投放!$J$3:$O$8,6,1)</f>
        <v>36800</v>
      </c>
      <c r="N58">
        <f t="shared" si="19"/>
        <v>88785.542168674685</v>
      </c>
      <c r="O58">
        <f t="shared" si="20"/>
        <v>83943.309487951803</v>
      </c>
      <c r="P58">
        <f t="shared" si="21"/>
        <v>0.29302736098852605</v>
      </c>
      <c r="Q58">
        <f t="shared" si="22"/>
        <v>0.66841539271460915</v>
      </c>
    </row>
    <row r="59" spans="1:18">
      <c r="A59" s="2">
        <v>17</v>
      </c>
      <c r="B59" t="s">
        <v>273</v>
      </c>
      <c r="C59" s="2">
        <f t="shared" si="16"/>
        <v>45</v>
      </c>
      <c r="D59" s="2">
        <v>2</v>
      </c>
      <c r="E59" s="2">
        <f t="shared" si="17"/>
        <v>7861.295180722891</v>
      </c>
      <c r="F59" s="2">
        <f t="shared" si="15"/>
        <v>0.69999999999999973</v>
      </c>
      <c r="G59" s="2">
        <f t="shared" si="8"/>
        <v>0.9</v>
      </c>
      <c r="H59" s="2">
        <f t="shared" si="4"/>
        <v>4952.61596385542</v>
      </c>
      <c r="J59">
        <v>47</v>
      </c>
      <c r="K59">
        <f t="shared" si="14"/>
        <v>52</v>
      </c>
      <c r="L59">
        <f t="shared" si="18"/>
        <v>126804.81927710843</v>
      </c>
      <c r="M59">
        <f>VLOOKUP(J59,命币的投放!$J$3:$O$8,6,1)</f>
        <v>36800</v>
      </c>
      <c r="N59">
        <f t="shared" si="19"/>
        <v>90004.819277108429</v>
      </c>
      <c r="O59">
        <f t="shared" si="20"/>
        <v>84883.960843373497</v>
      </c>
      <c r="P59">
        <f t="shared" si="21"/>
        <v>0.29020979020979021</v>
      </c>
      <c r="Q59">
        <f t="shared" si="22"/>
        <v>0.66940642577531173</v>
      </c>
    </row>
    <row r="60" spans="1:18">
      <c r="A60" s="2">
        <v>18</v>
      </c>
      <c r="B60" t="s">
        <v>274</v>
      </c>
      <c r="C60" s="2">
        <f t="shared" si="16"/>
        <v>45</v>
      </c>
      <c r="D60" s="2">
        <v>3</v>
      </c>
      <c r="E60" s="2">
        <f t="shared" si="17"/>
        <v>7892.6502259036133</v>
      </c>
      <c r="F60" s="2">
        <f t="shared" si="15"/>
        <v>0.72999999999999976</v>
      </c>
      <c r="G60" s="2">
        <f t="shared" si="8"/>
        <v>1.2</v>
      </c>
      <c r="H60" s="2">
        <f t="shared" si="4"/>
        <v>6913.9615978915626</v>
      </c>
      <c r="J60">
        <v>48</v>
      </c>
      <c r="K60">
        <f t="shared" si="14"/>
        <v>52.5</v>
      </c>
      <c r="L60">
        <f t="shared" si="18"/>
        <v>128024.09638554216</v>
      </c>
      <c r="M60">
        <f>VLOOKUP(J60,命币的投放!$J$3:$O$8,6,1)</f>
        <v>36800</v>
      </c>
      <c r="N60">
        <f t="shared" si="19"/>
        <v>91224.096385542158</v>
      </c>
      <c r="O60">
        <f t="shared" si="20"/>
        <v>85824.612198795177</v>
      </c>
      <c r="P60">
        <f t="shared" si="21"/>
        <v>0.28744588744588745</v>
      </c>
      <c r="Q60">
        <f t="shared" si="22"/>
        <v>0.67037858201581035</v>
      </c>
    </row>
    <row r="61" spans="1:18">
      <c r="A61" s="2">
        <v>19</v>
      </c>
      <c r="B61" t="s">
        <v>275</v>
      </c>
      <c r="C61" s="2">
        <f t="shared" si="16"/>
        <v>45</v>
      </c>
      <c r="D61" s="2">
        <v>4</v>
      </c>
      <c r="E61" s="2">
        <f t="shared" si="17"/>
        <v>7924.0052710843374</v>
      </c>
      <c r="F61" s="2">
        <f t="shared" si="15"/>
        <v>0.75999999999999979</v>
      </c>
      <c r="G61" s="2">
        <f t="shared" si="8"/>
        <v>0.82</v>
      </c>
      <c r="H61" s="2">
        <f t="shared" si="4"/>
        <v>4938.2400849397582</v>
      </c>
      <c r="J61">
        <v>49</v>
      </c>
      <c r="K61">
        <f t="shared" si="14"/>
        <v>53</v>
      </c>
      <c r="L61">
        <f t="shared" si="18"/>
        <v>129243.37349397589</v>
      </c>
      <c r="M61">
        <f>VLOOKUP(J61,命币的投放!$J$3:$O$8,6,1)</f>
        <v>36800</v>
      </c>
      <c r="N61">
        <f t="shared" si="19"/>
        <v>92443.373493975887</v>
      </c>
      <c r="O61">
        <f t="shared" si="20"/>
        <v>86765.263554216857</v>
      </c>
      <c r="P61">
        <f t="shared" si="21"/>
        <v>0.28473413379073759</v>
      </c>
      <c r="Q61">
        <f t="shared" si="22"/>
        <v>0.67133239568573344</v>
      </c>
    </row>
    <row r="62" spans="1:18">
      <c r="A62" s="2">
        <v>20</v>
      </c>
      <c r="B62" t="s">
        <v>276</v>
      </c>
      <c r="C62" s="2">
        <f t="shared" si="16"/>
        <v>45</v>
      </c>
      <c r="D62" s="2">
        <v>5</v>
      </c>
      <c r="E62" s="2">
        <f t="shared" si="17"/>
        <v>7955.3603162650597</v>
      </c>
      <c r="F62" s="2">
        <f t="shared" si="15"/>
        <v>0.78999999999999981</v>
      </c>
      <c r="G62" s="2">
        <f t="shared" si="8"/>
        <v>0.9</v>
      </c>
      <c r="H62" s="2">
        <f t="shared" si="4"/>
        <v>5656.2611848644556</v>
      </c>
      <c r="J62">
        <v>50</v>
      </c>
      <c r="K62">
        <f t="shared" si="14"/>
        <v>53.5</v>
      </c>
      <c r="L62">
        <f t="shared" si="18"/>
        <v>130462.65060240963</v>
      </c>
      <c r="M62">
        <f>VLOOKUP(J62,命币的投放!$J$3:$O$8,6,1)</f>
        <v>36800</v>
      </c>
      <c r="N62">
        <f t="shared" si="19"/>
        <v>93662.650602409631</v>
      </c>
      <c r="O62">
        <f t="shared" si="20"/>
        <v>87705.914909638552</v>
      </c>
      <c r="P62">
        <f t="shared" si="21"/>
        <v>0.28207306711979613</v>
      </c>
      <c r="Q62">
        <f t="shared" si="22"/>
        <v>0.67226838106276088</v>
      </c>
    </row>
    <row r="63" spans="1:18">
      <c r="A63" s="2">
        <v>21</v>
      </c>
      <c r="B63" t="s">
        <v>277</v>
      </c>
      <c r="C63" s="2">
        <f t="shared" si="16"/>
        <v>45</v>
      </c>
      <c r="D63" s="2">
        <v>6</v>
      </c>
      <c r="E63" s="2">
        <f t="shared" si="17"/>
        <v>7986.7153614457829</v>
      </c>
      <c r="F63" s="2">
        <f t="shared" si="15"/>
        <v>0.81999999999999984</v>
      </c>
      <c r="G63" s="2">
        <f t="shared" si="8"/>
        <v>1.21</v>
      </c>
      <c r="H63" s="2">
        <f t="shared" si="4"/>
        <v>7924.4189816265043</v>
      </c>
      <c r="J63">
        <v>51</v>
      </c>
      <c r="K63">
        <f t="shared" si="14"/>
        <v>54</v>
      </c>
      <c r="L63">
        <f t="shared" si="18"/>
        <v>131681.92771084336</v>
      </c>
      <c r="M63">
        <f>VLOOKUP(J63,命币的投放!$J$3:$O$8,6,1)</f>
        <v>36800</v>
      </c>
      <c r="N63">
        <f t="shared" si="19"/>
        <v>94881.92771084336</v>
      </c>
      <c r="O63">
        <f t="shared" si="20"/>
        <v>88646.566265060246</v>
      </c>
      <c r="P63">
        <f t="shared" si="21"/>
        <v>0.27946127946127947</v>
      </c>
      <c r="Q63">
        <f t="shared" si="22"/>
        <v>0.67318703337725083</v>
      </c>
    </row>
    <row r="64" spans="1:18">
      <c r="A64" s="2">
        <v>22</v>
      </c>
      <c r="B64" t="s">
        <v>278</v>
      </c>
      <c r="C64" s="2">
        <f t="shared" si="16"/>
        <v>45</v>
      </c>
      <c r="D64" s="2">
        <v>7</v>
      </c>
      <c r="E64" s="2">
        <f t="shared" si="17"/>
        <v>8018.0704066265052</v>
      </c>
      <c r="F64" s="2">
        <f t="shared" si="15"/>
        <v>0.84999999999999987</v>
      </c>
      <c r="G64" s="2">
        <f t="shared" si="8"/>
        <v>0.84</v>
      </c>
      <c r="H64" s="2">
        <f t="shared" si="4"/>
        <v>5724.9022703313231</v>
      </c>
      <c r="J64">
        <v>52</v>
      </c>
      <c r="K64">
        <f t="shared" si="14"/>
        <v>54.5</v>
      </c>
      <c r="L64">
        <f t="shared" si="18"/>
        <v>132901.2048192771</v>
      </c>
      <c r="M64">
        <f>VLOOKUP(J64,命币的投放!$J$3:$O$8,6,1)</f>
        <v>44000</v>
      </c>
      <c r="N64">
        <f t="shared" si="19"/>
        <v>88901.204819277104</v>
      </c>
      <c r="O64">
        <f t="shared" si="20"/>
        <v>89587.217620481926</v>
      </c>
      <c r="P64">
        <f t="shared" si="21"/>
        <v>0.33107299561228559</v>
      </c>
      <c r="Q64">
        <f t="shared" si="22"/>
        <v>0.67408882968597017</v>
      </c>
    </row>
    <row r="65" spans="1:17">
      <c r="A65" s="2">
        <v>23</v>
      </c>
      <c r="B65" t="s">
        <v>279</v>
      </c>
      <c r="C65" s="2">
        <f t="shared" si="16"/>
        <v>45</v>
      </c>
      <c r="D65" s="2">
        <v>8</v>
      </c>
      <c r="E65" s="2">
        <f t="shared" si="17"/>
        <v>8049.4254518072285</v>
      </c>
      <c r="F65" s="2">
        <f t="shared" si="15"/>
        <v>0.87999999999999989</v>
      </c>
      <c r="G65" s="2">
        <f t="shared" si="8"/>
        <v>0.9</v>
      </c>
      <c r="H65" s="2">
        <f t="shared" si="4"/>
        <v>6375.1449578313241</v>
      </c>
      <c r="J65">
        <v>53</v>
      </c>
      <c r="K65">
        <f t="shared" si="14"/>
        <v>55</v>
      </c>
      <c r="L65">
        <f t="shared" si="18"/>
        <v>134120.48192771082</v>
      </c>
      <c r="M65">
        <f>VLOOKUP(J65,命币的投放!$J$3:$O$8,6,1)</f>
        <v>44000</v>
      </c>
      <c r="N65">
        <f t="shared" si="19"/>
        <v>90120.481927710818</v>
      </c>
      <c r="O65">
        <f t="shared" si="20"/>
        <v>90527.868975903606</v>
      </c>
      <c r="P65">
        <f t="shared" si="21"/>
        <v>0.32806324110671942</v>
      </c>
      <c r="Q65">
        <f t="shared" si="22"/>
        <v>0.67497422969816756</v>
      </c>
    </row>
    <row r="66" spans="1:17">
      <c r="A66" s="2">
        <v>24</v>
      </c>
      <c r="B66" t="s">
        <v>280</v>
      </c>
      <c r="C66" s="2">
        <f t="shared" si="16"/>
        <v>45</v>
      </c>
      <c r="D66" s="2">
        <v>9</v>
      </c>
      <c r="E66" s="2">
        <f t="shared" si="17"/>
        <v>8080.7804969879526</v>
      </c>
      <c r="F66" s="2">
        <f t="shared" si="15"/>
        <v>0.90999999999999992</v>
      </c>
      <c r="G66" s="2">
        <f t="shared" si="8"/>
        <v>1.22</v>
      </c>
      <c r="H66" s="2">
        <f t="shared" si="4"/>
        <v>8971.2825077560228</v>
      </c>
      <c r="J66">
        <v>54</v>
      </c>
      <c r="K66">
        <f t="shared" si="14"/>
        <v>55.5</v>
      </c>
      <c r="L66">
        <f t="shared" si="18"/>
        <v>135339.75903614456</v>
      </c>
      <c r="M66">
        <f>VLOOKUP(J66,命币的投放!$J$3:$O$8,6,1)</f>
        <v>44000</v>
      </c>
      <c r="N66">
        <f t="shared" si="19"/>
        <v>91339.759036144562</v>
      </c>
      <c r="O66">
        <f t="shared" si="20"/>
        <v>91468.520331325301</v>
      </c>
      <c r="P66">
        <f t="shared" si="21"/>
        <v>0.32510771641206426</v>
      </c>
      <c r="Q66">
        <f t="shared" si="22"/>
        <v>0.67584367655699185</v>
      </c>
    </row>
    <row r="67" spans="1:17">
      <c r="A67" s="2">
        <v>25</v>
      </c>
      <c r="B67" t="s">
        <v>281</v>
      </c>
      <c r="C67" s="2">
        <f t="shared" si="16"/>
        <v>45</v>
      </c>
      <c r="D67" s="2">
        <v>10</v>
      </c>
      <c r="E67" s="2">
        <f t="shared" si="17"/>
        <v>8112.1355421686749</v>
      </c>
      <c r="F67" s="2">
        <f t="shared" si="15"/>
        <v>0.94</v>
      </c>
      <c r="G67" s="2">
        <f t="shared" si="8"/>
        <v>0.86</v>
      </c>
      <c r="H67" s="2">
        <f t="shared" si="4"/>
        <v>6557.8503722891564</v>
      </c>
      <c r="J67">
        <v>55</v>
      </c>
      <c r="K67">
        <f t="shared" si="14"/>
        <v>56</v>
      </c>
      <c r="L67">
        <f t="shared" si="18"/>
        <v>136559.03614457831</v>
      </c>
      <c r="M67">
        <f>VLOOKUP(J67,命币的投放!$J$3:$O$8,6,1)</f>
        <v>44000</v>
      </c>
      <c r="N67">
        <f t="shared" si="19"/>
        <v>92559.036144578306</v>
      </c>
      <c r="O67">
        <f t="shared" si="20"/>
        <v>92409.171686746995</v>
      </c>
      <c r="P67">
        <f t="shared" si="21"/>
        <v>0.32220496894409939</v>
      </c>
      <c r="Q67">
        <f t="shared" si="22"/>
        <v>0.67669759757905146</v>
      </c>
    </row>
    <row r="68" spans="1:17">
      <c r="A68" s="2">
        <v>26</v>
      </c>
      <c r="B68" t="s">
        <v>282</v>
      </c>
      <c r="C68" s="2">
        <f t="shared" si="16"/>
        <v>45</v>
      </c>
      <c r="D68" s="2">
        <v>11</v>
      </c>
      <c r="E68" s="2">
        <f t="shared" si="17"/>
        <v>8143.4905873493972</v>
      </c>
      <c r="F68" s="2">
        <f t="shared" si="15"/>
        <v>0.97</v>
      </c>
      <c r="G68" s="2">
        <f t="shared" si="8"/>
        <v>0.9</v>
      </c>
      <c r="H68" s="2">
        <f t="shared" si="4"/>
        <v>7109.2672827560236</v>
      </c>
      <c r="J68">
        <v>56</v>
      </c>
      <c r="K68">
        <f t="shared" si="14"/>
        <v>56.5</v>
      </c>
      <c r="L68">
        <f t="shared" si="18"/>
        <v>137778.31325301205</v>
      </c>
      <c r="M68">
        <f>VLOOKUP(J68,命币的投放!$J$3:$O$8,6,1)</f>
        <v>44000</v>
      </c>
      <c r="N68">
        <f t="shared" si="19"/>
        <v>93778.313253012049</v>
      </c>
      <c r="O68">
        <f t="shared" si="20"/>
        <v>93349.823042168675</v>
      </c>
      <c r="P68">
        <f t="shared" si="21"/>
        <v>0.31935359753751441</v>
      </c>
      <c r="Q68">
        <f t="shared" si="22"/>
        <v>0.67753640495470291</v>
      </c>
    </row>
    <row r="69" spans="1:17">
      <c r="A69" s="2">
        <v>27</v>
      </c>
      <c r="B69" t="s">
        <v>283</v>
      </c>
      <c r="C69" s="2">
        <f t="shared" si="16"/>
        <v>45</v>
      </c>
      <c r="D69" s="2">
        <v>12</v>
      </c>
      <c r="E69" s="2">
        <f t="shared" si="17"/>
        <v>8174.8456325301204</v>
      </c>
      <c r="F69" s="2">
        <f t="shared" si="15"/>
        <v>1</v>
      </c>
      <c r="G69" s="2">
        <f t="shared" si="8"/>
        <v>1.23</v>
      </c>
      <c r="H69" s="2">
        <f t="shared" si="4"/>
        <v>10055.060128012048</v>
      </c>
      <c r="J69">
        <v>57</v>
      </c>
      <c r="K69">
        <f t="shared" si="14"/>
        <v>57</v>
      </c>
      <c r="L69">
        <f t="shared" si="18"/>
        <v>138997.59036144576</v>
      </c>
      <c r="M69">
        <f>VLOOKUP(J69,命币的投放!$J$3:$O$8,6,1)</f>
        <v>44000</v>
      </c>
      <c r="N69">
        <f t="shared" si="19"/>
        <v>94997.590361445764</v>
      </c>
      <c r="O69">
        <f t="shared" si="20"/>
        <v>94290.474397590355</v>
      </c>
      <c r="P69">
        <f t="shared" si="21"/>
        <v>0.31655225019069416</v>
      </c>
      <c r="Q69">
        <f t="shared" si="22"/>
        <v>0.67836049641148333</v>
      </c>
    </row>
    <row r="70" spans="1:17">
      <c r="A70" s="2">
        <v>28</v>
      </c>
      <c r="B70" t="s">
        <v>284</v>
      </c>
      <c r="C70" s="2">
        <f t="shared" si="16"/>
        <v>45</v>
      </c>
      <c r="D70" s="2">
        <v>13</v>
      </c>
      <c r="E70" s="2">
        <f t="shared" si="17"/>
        <v>8206.2006777108436</v>
      </c>
      <c r="F70" s="2">
        <f t="shared" si="15"/>
        <v>1.03</v>
      </c>
      <c r="G70" s="2">
        <f t="shared" si="8"/>
        <v>0.88</v>
      </c>
      <c r="H70" s="2">
        <f t="shared" si="4"/>
        <v>7438.1002942771092</v>
      </c>
      <c r="J70">
        <v>58</v>
      </c>
      <c r="K70">
        <f t="shared" si="14"/>
        <v>57.5</v>
      </c>
      <c r="L70">
        <f t="shared" si="18"/>
        <v>140216.86746987951</v>
      </c>
      <c r="M70">
        <f>VLOOKUP(J70,命币的投放!$J$3:$O$8,6,1)</f>
        <v>44000</v>
      </c>
      <c r="N70">
        <f t="shared" si="19"/>
        <v>96216.867469879508</v>
      </c>
      <c r="O70">
        <f t="shared" si="20"/>
        <v>95231.125753012049</v>
      </c>
      <c r="P70">
        <f t="shared" si="21"/>
        <v>0.31379962192816635</v>
      </c>
      <c r="Q70">
        <f t="shared" si="22"/>
        <v>0.67917025584292845</v>
      </c>
    </row>
    <row r="71" spans="1:17">
      <c r="A71" s="2">
        <v>29</v>
      </c>
      <c r="B71" t="s">
        <v>285</v>
      </c>
      <c r="C71" s="2">
        <f t="shared" si="16"/>
        <v>45</v>
      </c>
      <c r="D71" s="2">
        <v>14</v>
      </c>
      <c r="E71" s="2">
        <f t="shared" si="17"/>
        <v>8237.5557228915677</v>
      </c>
      <c r="F71" s="2">
        <f t="shared" si="15"/>
        <v>1.06</v>
      </c>
      <c r="G71" s="2">
        <f t="shared" si="8"/>
        <v>0.9</v>
      </c>
      <c r="H71" s="2">
        <f t="shared" si="4"/>
        <v>7858.628159638557</v>
      </c>
      <c r="J71">
        <v>59</v>
      </c>
      <c r="K71">
        <f t="shared" si="14"/>
        <v>58</v>
      </c>
      <c r="L71">
        <f t="shared" si="18"/>
        <v>141436.14457831325</v>
      </c>
      <c r="M71">
        <f>VLOOKUP(J71,命币的投放!$J$3:$O$8,6,1)</f>
        <v>44000</v>
      </c>
      <c r="N71">
        <f t="shared" si="19"/>
        <v>97436.144578313251</v>
      </c>
      <c r="O71">
        <f t="shared" si="20"/>
        <v>96171.777108433729</v>
      </c>
      <c r="P71">
        <f t="shared" si="21"/>
        <v>0.31109445277361319</v>
      </c>
      <c r="Q71">
        <f t="shared" si="22"/>
        <v>0.67996605390486575</v>
      </c>
    </row>
    <row r="72" spans="1:17">
      <c r="A72" s="2">
        <v>30</v>
      </c>
      <c r="B72" t="s">
        <v>286</v>
      </c>
      <c r="C72" s="2">
        <f t="shared" si="16"/>
        <v>45</v>
      </c>
      <c r="D72" s="2">
        <v>15</v>
      </c>
      <c r="E72" s="2">
        <f t="shared" si="17"/>
        <v>8268.91076807229</v>
      </c>
      <c r="F72" s="2">
        <f t="shared" si="15"/>
        <v>1.0900000000000001</v>
      </c>
      <c r="G72" s="2">
        <f t="shared" si="8"/>
        <v>1.25</v>
      </c>
      <c r="H72" s="2">
        <f t="shared" si="4"/>
        <v>11266.390921498496</v>
      </c>
      <c r="J72">
        <v>60</v>
      </c>
      <c r="K72">
        <f t="shared" si="14"/>
        <v>58.5</v>
      </c>
      <c r="L72">
        <f t="shared" si="18"/>
        <v>142655.42168674697</v>
      </c>
      <c r="M72">
        <f>VLOOKUP(J72,命币的投放!$J$3:$O$8,6,1)</f>
        <v>44000</v>
      </c>
      <c r="N72">
        <f t="shared" si="19"/>
        <v>98655.421686746966</v>
      </c>
      <c r="O72">
        <f t="shared" si="20"/>
        <v>97112.428463855424</v>
      </c>
      <c r="P72">
        <f t="shared" si="21"/>
        <v>0.3084355258268302</v>
      </c>
      <c r="Q72">
        <f t="shared" si="22"/>
        <v>0.68074824858112915</v>
      </c>
    </row>
    <row r="73" spans="1:17">
      <c r="A73" s="2">
        <v>31</v>
      </c>
      <c r="B73" t="s">
        <v>287</v>
      </c>
      <c r="C73" s="2">
        <f t="shared" si="16"/>
        <v>50</v>
      </c>
      <c r="D73" s="2">
        <v>1</v>
      </c>
      <c r="E73" s="2">
        <f t="shared" si="17"/>
        <v>8300.2658132530123</v>
      </c>
      <c r="F73" s="2">
        <f t="shared" si="15"/>
        <v>0.69999999999999973</v>
      </c>
      <c r="G73" s="2">
        <f t="shared" si="8"/>
        <v>0.8</v>
      </c>
      <c r="H73" s="2">
        <f t="shared" si="4"/>
        <v>4648.1488554216849</v>
      </c>
      <c r="J73">
        <v>61</v>
      </c>
      <c r="K73">
        <f t="shared" si="14"/>
        <v>59</v>
      </c>
      <c r="L73">
        <f t="shared" si="18"/>
        <v>143874.69879518071</v>
      </c>
      <c r="M73">
        <f>VLOOKUP(J73,命币的投放!$J$3:$O$8,6,1)</f>
        <v>52800</v>
      </c>
      <c r="N73">
        <f t="shared" si="19"/>
        <v>91074.69879518071</v>
      </c>
      <c r="O73">
        <f t="shared" si="20"/>
        <v>98053.079819277104</v>
      </c>
      <c r="P73">
        <f t="shared" si="21"/>
        <v>0.36698599852616071</v>
      </c>
      <c r="Q73">
        <f t="shared" si="22"/>
        <v>0.68151718572050646</v>
      </c>
    </row>
    <row r="74" spans="1:17">
      <c r="A74" s="2">
        <v>32</v>
      </c>
      <c r="B74" t="s">
        <v>288</v>
      </c>
      <c r="C74" s="2">
        <f t="shared" si="16"/>
        <v>50</v>
      </c>
      <c r="D74" s="2">
        <v>2</v>
      </c>
      <c r="E74" s="2">
        <f t="shared" si="17"/>
        <v>8331.6208584337346</v>
      </c>
      <c r="F74" s="2">
        <f t="shared" si="15"/>
        <v>0.72999999999999976</v>
      </c>
      <c r="G74" s="2">
        <f t="shared" si="8"/>
        <v>0.9</v>
      </c>
      <c r="H74" s="2">
        <f t="shared" si="4"/>
        <v>5473.8749039909617</v>
      </c>
      <c r="J74">
        <v>62</v>
      </c>
      <c r="K74">
        <f t="shared" si="14"/>
        <v>59.5</v>
      </c>
      <c r="L74">
        <f t="shared" si="18"/>
        <v>145093.97590361445</v>
      </c>
      <c r="M74">
        <f>VLOOKUP(J74,命币的投放!$J$3:$O$8,6,1)</f>
        <v>52800</v>
      </c>
      <c r="N74">
        <f t="shared" si="19"/>
        <v>92293.975903614453</v>
      </c>
      <c r="O74">
        <f t="shared" si="20"/>
        <v>98993.731174698798</v>
      </c>
      <c r="P74">
        <f t="shared" si="21"/>
        <v>0.36390208257215934</v>
      </c>
      <c r="Q74">
        <f t="shared" si="22"/>
        <v>0.68227319954661714</v>
      </c>
    </row>
    <row r="75" spans="1:17">
      <c r="A75" s="2">
        <v>33</v>
      </c>
      <c r="B75" t="s">
        <v>289</v>
      </c>
      <c r="C75" s="2">
        <f t="shared" si="16"/>
        <v>50</v>
      </c>
      <c r="D75" s="2">
        <v>3</v>
      </c>
      <c r="E75" s="2">
        <f t="shared" ref="E75:E106" si="23">((VLOOKUP(C75,$J$13:$O$112,6,0)-VLOOKUP(C75-5,$J$13:$O$112,6,0))/15*(D75-1)+VLOOKUP(C75-5,$J$13:$O$112,6,0))/$B$10</f>
        <v>8362.9759036144569</v>
      </c>
      <c r="F75" s="2">
        <f t="shared" si="15"/>
        <v>0.75999999999999979</v>
      </c>
      <c r="G75" s="2">
        <f t="shared" si="8"/>
        <v>1.2</v>
      </c>
      <c r="H75" s="2">
        <f t="shared" si="4"/>
        <v>7627.0340240963824</v>
      </c>
      <c r="J75">
        <v>63</v>
      </c>
      <c r="K75">
        <f t="shared" si="14"/>
        <v>60</v>
      </c>
      <c r="L75">
        <f t="shared" si="18"/>
        <v>146313.25301204817</v>
      </c>
      <c r="M75">
        <f>VLOOKUP(J75,命币的投放!$J$3:$O$8,6,1)</f>
        <v>52800</v>
      </c>
      <c r="N75">
        <f t="shared" si="19"/>
        <v>93513.253012048168</v>
      </c>
      <c r="O75">
        <f t="shared" si="20"/>
        <v>99934.382530120478</v>
      </c>
      <c r="P75">
        <f t="shared" si="21"/>
        <v>0.36086956521739139</v>
      </c>
      <c r="Q75">
        <f t="shared" si="22"/>
        <v>0.68301661314229256</v>
      </c>
    </row>
    <row r="76" spans="1:17">
      <c r="A76" s="2">
        <v>34</v>
      </c>
      <c r="B76" t="s">
        <v>290</v>
      </c>
      <c r="C76" s="2">
        <f t="shared" si="16"/>
        <v>50</v>
      </c>
      <c r="D76" s="2">
        <v>4</v>
      </c>
      <c r="E76" s="2">
        <f t="shared" si="23"/>
        <v>8394.330948795181</v>
      </c>
      <c r="F76" s="2">
        <f t="shared" si="15"/>
        <v>0.78999999999999981</v>
      </c>
      <c r="G76" s="2">
        <f t="shared" si="8"/>
        <v>0.82</v>
      </c>
      <c r="H76" s="2">
        <f t="shared" si="4"/>
        <v>5437.8475886295164</v>
      </c>
      <c r="J76">
        <v>64</v>
      </c>
      <c r="K76">
        <f t="shared" si="14"/>
        <v>60.5</v>
      </c>
      <c r="L76">
        <f t="shared" si="18"/>
        <v>147532.53012048191</v>
      </c>
      <c r="M76">
        <f>VLOOKUP(J76,命币的投放!$J$3:$O$8,6,1)</f>
        <v>52800</v>
      </c>
      <c r="N76">
        <f t="shared" si="19"/>
        <v>94732.530120481912</v>
      </c>
      <c r="O76">
        <f t="shared" si="20"/>
        <v>100875.03388554216</v>
      </c>
      <c r="P76">
        <f t="shared" si="21"/>
        <v>0.35788717211642118</v>
      </c>
      <c r="Q76">
        <f t="shared" si="22"/>
        <v>0.68374773890994023</v>
      </c>
    </row>
    <row r="77" spans="1:17">
      <c r="A77" s="2">
        <v>35</v>
      </c>
      <c r="B77" t="s">
        <v>291</v>
      </c>
      <c r="C77" s="2">
        <f t="shared" si="16"/>
        <v>50</v>
      </c>
      <c r="D77" s="2">
        <v>5</v>
      </c>
      <c r="E77" s="2">
        <f t="shared" si="23"/>
        <v>8425.6859939759051</v>
      </c>
      <c r="F77" s="2">
        <f t="shared" si="15"/>
        <v>0.81999999999999984</v>
      </c>
      <c r="G77" s="2">
        <f t="shared" si="8"/>
        <v>0.9</v>
      </c>
      <c r="H77" s="2">
        <f t="shared" si="4"/>
        <v>6218.1562635542168</v>
      </c>
      <c r="J77">
        <v>65</v>
      </c>
      <c r="K77">
        <f t="shared" si="14"/>
        <v>61</v>
      </c>
      <c r="L77">
        <f t="shared" ref="L77:L108" si="24">K77*$E$5</f>
        <v>148751.80722891566</v>
      </c>
      <c r="M77">
        <f>VLOOKUP(J77,命币的投放!$J$3:$O$8,6,1)</f>
        <v>52800</v>
      </c>
      <c r="N77">
        <f t="shared" si="19"/>
        <v>95951.807228915655</v>
      </c>
      <c r="O77">
        <f t="shared" si="20"/>
        <v>101815.68524096385</v>
      </c>
      <c r="P77">
        <f t="shared" si="21"/>
        <v>0.35495367070563083</v>
      </c>
      <c r="Q77">
        <f t="shared" si="22"/>
        <v>0.68446687900926584</v>
      </c>
    </row>
    <row r="78" spans="1:17">
      <c r="A78" s="2">
        <v>36</v>
      </c>
      <c r="B78" t="s">
        <v>292</v>
      </c>
      <c r="C78" s="2">
        <f t="shared" si="16"/>
        <v>50</v>
      </c>
      <c r="D78" s="2">
        <v>6</v>
      </c>
      <c r="E78" s="2">
        <f t="shared" si="23"/>
        <v>8457.0410391566274</v>
      </c>
      <c r="F78" s="2">
        <f t="shared" si="15"/>
        <v>0.84999999999999987</v>
      </c>
      <c r="G78" s="2">
        <f t="shared" si="8"/>
        <v>1.21</v>
      </c>
      <c r="H78" s="2">
        <f t="shared" ref="H78:H141" si="25">E78*F78*G78</f>
        <v>8698.0667087725888</v>
      </c>
      <c r="J78">
        <v>66</v>
      </c>
      <c r="K78">
        <f t="shared" si="14"/>
        <v>61.5</v>
      </c>
      <c r="L78">
        <f t="shared" si="24"/>
        <v>149971.0843373494</v>
      </c>
      <c r="M78">
        <f>VLOOKUP(J78,命币的投放!$J$3:$O$8,6,1)</f>
        <v>52800</v>
      </c>
      <c r="N78">
        <f t="shared" si="19"/>
        <v>97171.084337349399</v>
      </c>
      <c r="O78">
        <f t="shared" si="20"/>
        <v>102756.33659638555</v>
      </c>
      <c r="P78">
        <f t="shared" si="21"/>
        <v>0.35206786850477201</v>
      </c>
      <c r="Q78">
        <f t="shared" si="22"/>
        <v>0.68517432577364312</v>
      </c>
    </row>
    <row r="79" spans="1:17">
      <c r="A79" s="2">
        <v>37</v>
      </c>
      <c r="B79" t="s">
        <v>293</v>
      </c>
      <c r="C79" s="2">
        <f t="shared" si="16"/>
        <v>50</v>
      </c>
      <c r="D79" s="2">
        <v>7</v>
      </c>
      <c r="E79" s="2">
        <f t="shared" si="23"/>
        <v>8488.3960843373497</v>
      </c>
      <c r="F79" s="2">
        <f t="shared" si="15"/>
        <v>0.87999999999999989</v>
      </c>
      <c r="G79" s="2">
        <f t="shared" si="8"/>
        <v>0.84</v>
      </c>
      <c r="H79" s="2">
        <f t="shared" si="25"/>
        <v>6274.6223855421676</v>
      </c>
      <c r="J79">
        <v>67</v>
      </c>
      <c r="K79">
        <f t="shared" si="14"/>
        <v>62</v>
      </c>
      <c r="L79">
        <f t="shared" si="24"/>
        <v>151190.36144578311</v>
      </c>
      <c r="M79">
        <f>VLOOKUP(J79,命币的投放!$J$3:$O$8,6,1)</f>
        <v>52800</v>
      </c>
      <c r="N79">
        <f t="shared" si="19"/>
        <v>98390.361445783114</v>
      </c>
      <c r="O79">
        <f t="shared" si="20"/>
        <v>103696.98795180723</v>
      </c>
      <c r="P79">
        <f t="shared" si="21"/>
        <v>0.34922861150070128</v>
      </c>
      <c r="Q79">
        <f t="shared" si="22"/>
        <v>0.68587036210633689</v>
      </c>
    </row>
    <row r="80" spans="1:17">
      <c r="A80" s="2">
        <v>38</v>
      </c>
      <c r="B80" t="s">
        <v>294</v>
      </c>
      <c r="C80" s="2">
        <f t="shared" si="16"/>
        <v>50</v>
      </c>
      <c r="D80" s="2">
        <v>8</v>
      </c>
      <c r="E80" s="2">
        <f t="shared" si="23"/>
        <v>8519.751129518072</v>
      </c>
      <c r="F80" s="2">
        <f t="shared" si="15"/>
        <v>0.90999999999999992</v>
      </c>
      <c r="G80" s="2">
        <f t="shared" si="8"/>
        <v>0.9</v>
      </c>
      <c r="H80" s="2">
        <f t="shared" si="25"/>
        <v>6977.6761750753012</v>
      </c>
      <c r="J80">
        <v>68</v>
      </c>
      <c r="K80">
        <f t="shared" si="14"/>
        <v>62.5</v>
      </c>
      <c r="L80">
        <f t="shared" si="24"/>
        <v>152409.63855421686</v>
      </c>
      <c r="M80">
        <f>VLOOKUP(J80,命币的投放!$J$3:$O$8,6,1)</f>
        <v>52800</v>
      </c>
      <c r="N80">
        <f t="shared" si="19"/>
        <v>99609.638554216857</v>
      </c>
      <c r="O80">
        <f t="shared" si="20"/>
        <v>104637.63930722891</v>
      </c>
      <c r="P80">
        <f t="shared" si="21"/>
        <v>0.3464347826086957</v>
      </c>
      <c r="Q80">
        <f t="shared" si="22"/>
        <v>0.68655526185770754</v>
      </c>
    </row>
    <row r="81" spans="1:18">
      <c r="A81" s="2">
        <v>39</v>
      </c>
      <c r="B81" t="s">
        <v>295</v>
      </c>
      <c r="C81" s="2">
        <f t="shared" si="16"/>
        <v>50</v>
      </c>
      <c r="D81" s="2">
        <v>9</v>
      </c>
      <c r="E81" s="2">
        <f t="shared" si="23"/>
        <v>8551.1061746987943</v>
      </c>
      <c r="F81" s="2">
        <f t="shared" si="15"/>
        <v>0.94</v>
      </c>
      <c r="G81" s="2">
        <f t="shared" si="8"/>
        <v>1.22</v>
      </c>
      <c r="H81" s="2">
        <f t="shared" si="25"/>
        <v>9806.4085611445771</v>
      </c>
      <c r="J81">
        <v>69</v>
      </c>
      <c r="K81">
        <f t="shared" si="14"/>
        <v>63</v>
      </c>
      <c r="L81">
        <f t="shared" si="24"/>
        <v>153628.9156626506</v>
      </c>
      <c r="M81">
        <f>VLOOKUP(J81,命币的投放!$J$3:$O$8,6,1)</f>
        <v>52800</v>
      </c>
      <c r="N81">
        <f t="shared" si="19"/>
        <v>100828.9156626506</v>
      </c>
      <c r="O81">
        <f t="shared" si="20"/>
        <v>105578.2906626506</v>
      </c>
      <c r="P81">
        <f t="shared" si="21"/>
        <v>0.34368530020703936</v>
      </c>
      <c r="Q81">
        <f t="shared" si="22"/>
        <v>0.68722929018445322</v>
      </c>
    </row>
    <row r="82" spans="1:18">
      <c r="A82" s="2">
        <v>40</v>
      </c>
      <c r="B82" t="s">
        <v>296</v>
      </c>
      <c r="C82" s="2">
        <f t="shared" si="16"/>
        <v>50</v>
      </c>
      <c r="D82" s="2">
        <v>10</v>
      </c>
      <c r="E82" s="2">
        <f t="shared" si="23"/>
        <v>8582.4612198795185</v>
      </c>
      <c r="F82" s="2">
        <f t="shared" si="15"/>
        <v>0.97</v>
      </c>
      <c r="G82" s="2">
        <f t="shared" si="8"/>
        <v>0.86</v>
      </c>
      <c r="H82" s="2">
        <f t="shared" si="25"/>
        <v>7159.4891496234941</v>
      </c>
      <c r="J82">
        <v>70</v>
      </c>
      <c r="K82">
        <f t="shared" si="14"/>
        <v>63.5</v>
      </c>
      <c r="L82">
        <f t="shared" si="24"/>
        <v>154848.19277108432</v>
      </c>
      <c r="M82">
        <f>VLOOKUP(J82,命币的投放!$J$3:$O$8,6,1)</f>
        <v>64000</v>
      </c>
      <c r="N82">
        <f t="shared" si="19"/>
        <v>90848.192771084316</v>
      </c>
      <c r="O82">
        <f t="shared" si="20"/>
        <v>106518.9420180723</v>
      </c>
      <c r="P82">
        <f t="shared" si="21"/>
        <v>0.41330802029192998</v>
      </c>
      <c r="Q82">
        <f t="shared" si="22"/>
        <v>0.68789270389188029</v>
      </c>
    </row>
    <row r="83" spans="1:18">
      <c r="A83" s="2">
        <v>41</v>
      </c>
      <c r="B83" t="s">
        <v>297</v>
      </c>
      <c r="C83" s="2">
        <f t="shared" si="16"/>
        <v>50</v>
      </c>
      <c r="D83" s="2">
        <v>11</v>
      </c>
      <c r="E83" s="2">
        <f t="shared" si="23"/>
        <v>8613.8162650602408</v>
      </c>
      <c r="F83" s="2">
        <f t="shared" si="15"/>
        <v>1</v>
      </c>
      <c r="G83" s="2">
        <f t="shared" si="8"/>
        <v>0.9</v>
      </c>
      <c r="H83" s="2">
        <f t="shared" si="25"/>
        <v>7752.4346385542167</v>
      </c>
      <c r="J83">
        <v>71</v>
      </c>
      <c r="K83">
        <f t="shared" si="14"/>
        <v>64</v>
      </c>
      <c r="L83">
        <f t="shared" si="24"/>
        <v>156067.46987951806</v>
      </c>
      <c r="M83">
        <f>VLOOKUP(J83,命币的投放!$J$3:$O$8,6,1)</f>
        <v>64000</v>
      </c>
      <c r="N83">
        <f t="shared" si="19"/>
        <v>92067.469879518059</v>
      </c>
      <c r="O83">
        <f t="shared" si="20"/>
        <v>107459.59337349398</v>
      </c>
      <c r="P83">
        <f t="shared" si="21"/>
        <v>0.41007905138339923</v>
      </c>
      <c r="Q83">
        <f t="shared" si="22"/>
        <v>0.68854575176012855</v>
      </c>
    </row>
    <row r="84" spans="1:18">
      <c r="A84" s="2">
        <v>42</v>
      </c>
      <c r="B84" t="s">
        <v>298</v>
      </c>
      <c r="C84" s="2">
        <f t="shared" si="16"/>
        <v>50</v>
      </c>
      <c r="D84" s="2">
        <v>12</v>
      </c>
      <c r="E84" s="2">
        <f t="shared" si="23"/>
        <v>8645.1713102409631</v>
      </c>
      <c r="F84" s="2">
        <f t="shared" si="15"/>
        <v>1.03</v>
      </c>
      <c r="G84" s="2">
        <f t="shared" si="8"/>
        <v>1.23</v>
      </c>
      <c r="H84" s="2">
        <f t="shared" si="25"/>
        <v>10952.567532944275</v>
      </c>
      <c r="J84">
        <v>72</v>
      </c>
      <c r="K84">
        <f t="shared" si="14"/>
        <v>64.5</v>
      </c>
      <c r="L84">
        <f t="shared" si="24"/>
        <v>157286.7469879518</v>
      </c>
      <c r="M84">
        <f>VLOOKUP(J84,命币的投放!$J$3:$O$8,6,1)</f>
        <v>64000</v>
      </c>
      <c r="N84">
        <f t="shared" si="19"/>
        <v>93286.746987951803</v>
      </c>
      <c r="O84">
        <f t="shared" si="20"/>
        <v>108400.24472891566</v>
      </c>
      <c r="P84">
        <f t="shared" si="21"/>
        <v>0.40690014400833413</v>
      </c>
      <c r="Q84">
        <f t="shared" si="22"/>
        <v>0.68918867485522561</v>
      </c>
    </row>
    <row r="85" spans="1:18">
      <c r="A85" s="2">
        <v>43</v>
      </c>
      <c r="B85" t="s">
        <v>299</v>
      </c>
      <c r="C85" s="2">
        <f t="shared" si="16"/>
        <v>50</v>
      </c>
      <c r="D85" s="2">
        <v>13</v>
      </c>
      <c r="E85" s="2">
        <f t="shared" si="23"/>
        <v>8676.5263554216872</v>
      </c>
      <c r="F85" s="2">
        <f t="shared" si="15"/>
        <v>1.06</v>
      </c>
      <c r="G85" s="2">
        <f t="shared" si="8"/>
        <v>0.88</v>
      </c>
      <c r="H85" s="2">
        <f t="shared" si="25"/>
        <v>8093.4637843373503</v>
      </c>
      <c r="J85">
        <v>73</v>
      </c>
      <c r="K85">
        <f t="shared" si="14"/>
        <v>65</v>
      </c>
      <c r="L85">
        <f t="shared" si="24"/>
        <v>158506.02409638552</v>
      </c>
      <c r="M85">
        <f>VLOOKUP(J85,命币的投放!$J$3:$O$8,6,1)</f>
        <v>64000</v>
      </c>
      <c r="N85">
        <f t="shared" si="19"/>
        <v>94506.024096385518</v>
      </c>
      <c r="O85">
        <f t="shared" si="20"/>
        <v>109340.89608433735</v>
      </c>
      <c r="P85">
        <f t="shared" si="21"/>
        <v>0.40377014290057772</v>
      </c>
      <c r="Q85">
        <f t="shared" si="22"/>
        <v>0.68982170682578303</v>
      </c>
    </row>
    <row r="86" spans="1:18">
      <c r="A86" s="2">
        <v>44</v>
      </c>
      <c r="B86" t="s">
        <v>300</v>
      </c>
      <c r="C86" s="2">
        <f t="shared" si="16"/>
        <v>50</v>
      </c>
      <c r="D86" s="2">
        <v>14</v>
      </c>
      <c r="E86" s="2">
        <f t="shared" si="23"/>
        <v>8707.8814006024095</v>
      </c>
      <c r="F86" s="2">
        <f t="shared" si="15"/>
        <v>1.0900000000000001</v>
      </c>
      <c r="G86" s="2">
        <f t="shared" si="8"/>
        <v>0.9</v>
      </c>
      <c r="H86" s="2">
        <f t="shared" si="25"/>
        <v>8542.4316539909632</v>
      </c>
      <c r="J86">
        <v>74</v>
      </c>
      <c r="K86">
        <f t="shared" si="14"/>
        <v>65.5</v>
      </c>
      <c r="L86">
        <f t="shared" si="24"/>
        <v>159725.30120481926</v>
      </c>
      <c r="M86">
        <f>VLOOKUP(J86,命币的投放!$J$3:$O$8,6,1)</f>
        <v>64000</v>
      </c>
      <c r="N86">
        <f t="shared" si="19"/>
        <v>95725.301204819261</v>
      </c>
      <c r="O86">
        <f t="shared" si="20"/>
        <v>110281.54743975904</v>
      </c>
      <c r="P86">
        <f t="shared" si="21"/>
        <v>0.40068792806927561</v>
      </c>
      <c r="Q86">
        <f t="shared" si="22"/>
        <v>0.69044507418610279</v>
      </c>
    </row>
    <row r="87" spans="1:18">
      <c r="A87" s="2">
        <v>45</v>
      </c>
      <c r="B87" t="s">
        <v>301</v>
      </c>
      <c r="C87" s="2">
        <f t="shared" si="16"/>
        <v>50</v>
      </c>
      <c r="D87" s="2">
        <v>15</v>
      </c>
      <c r="E87" s="2">
        <f t="shared" si="23"/>
        <v>8739.2364457831318</v>
      </c>
      <c r="F87" s="2">
        <f t="shared" si="15"/>
        <v>1.1200000000000001</v>
      </c>
      <c r="G87" s="2">
        <f t="shared" si="8"/>
        <v>1.25</v>
      </c>
      <c r="H87" s="2">
        <f t="shared" si="25"/>
        <v>12234.931024096386</v>
      </c>
      <c r="I87" s="62"/>
      <c r="J87">
        <v>75</v>
      </c>
      <c r="K87">
        <f t="shared" si="14"/>
        <v>66</v>
      </c>
      <c r="L87">
        <f t="shared" si="24"/>
        <v>160944.57831325301</v>
      </c>
      <c r="M87">
        <f>VLOOKUP(J87,命币的投放!$J$3:$O$8,6,1)</f>
        <v>64000</v>
      </c>
      <c r="N87">
        <f t="shared" si="19"/>
        <v>96944.578313253005</v>
      </c>
      <c r="O87">
        <f t="shared" si="20"/>
        <v>111222.19879518072</v>
      </c>
      <c r="P87">
        <f t="shared" si="21"/>
        <v>0.39765241346269015</v>
      </c>
      <c r="Q87">
        <f t="shared" si="22"/>
        <v>0.69105899658641756</v>
      </c>
    </row>
    <row r="88" spans="1:18">
      <c r="A88" s="2">
        <v>46</v>
      </c>
      <c r="B88" t="s">
        <v>302</v>
      </c>
      <c r="C88" s="2">
        <f t="shared" si="16"/>
        <v>55</v>
      </c>
      <c r="D88" s="2">
        <v>1</v>
      </c>
      <c r="E88" s="2">
        <f t="shared" si="23"/>
        <v>8770.5914909638559</v>
      </c>
      <c r="F88" s="2">
        <f t="shared" si="15"/>
        <v>0.72999999999999976</v>
      </c>
      <c r="G88" s="2">
        <f t="shared" si="8"/>
        <v>0.8</v>
      </c>
      <c r="H88" s="2">
        <f t="shared" si="25"/>
        <v>5122.0254307228906</v>
      </c>
      <c r="J88">
        <v>76</v>
      </c>
      <c r="K88">
        <f t="shared" si="14"/>
        <v>66.5</v>
      </c>
      <c r="L88">
        <f t="shared" si="24"/>
        <v>162163.85542168672</v>
      </c>
      <c r="M88">
        <f>VLOOKUP(J88,命币的投放!$J$3:$O$8,6,1)</f>
        <v>64000</v>
      </c>
      <c r="N88">
        <f t="shared" si="19"/>
        <v>98163.85542168672</v>
      </c>
      <c r="O88">
        <f t="shared" si="20"/>
        <v>112162.8501506024</v>
      </c>
      <c r="P88">
        <f t="shared" si="21"/>
        <v>0.39466254569229403</v>
      </c>
      <c r="Q88">
        <f t="shared" si="22"/>
        <v>0.69166368707093828</v>
      </c>
    </row>
    <row r="89" spans="1:18">
      <c r="A89" s="2">
        <v>47</v>
      </c>
      <c r="B89" t="s">
        <v>303</v>
      </c>
      <c r="C89" s="2">
        <f t="shared" si="16"/>
        <v>55</v>
      </c>
      <c r="D89" s="2">
        <v>2</v>
      </c>
      <c r="E89" s="2">
        <f t="shared" si="23"/>
        <v>8801.9465361445782</v>
      </c>
      <c r="F89" s="2">
        <f t="shared" si="15"/>
        <v>0.75999999999999979</v>
      </c>
      <c r="G89" s="2">
        <f t="shared" si="8"/>
        <v>0.9</v>
      </c>
      <c r="H89" s="2">
        <f t="shared" si="25"/>
        <v>6020.53143072289</v>
      </c>
      <c r="J89">
        <v>77</v>
      </c>
      <c r="K89">
        <f t="shared" si="14"/>
        <v>67</v>
      </c>
      <c r="L89">
        <f t="shared" si="24"/>
        <v>163383.13253012046</v>
      </c>
      <c r="M89">
        <f>VLOOKUP(J89,命币的投放!$J$3:$O$8,6,1)</f>
        <v>64000</v>
      </c>
      <c r="N89">
        <f t="shared" si="19"/>
        <v>99383.132530120463</v>
      </c>
      <c r="O89">
        <f t="shared" si="20"/>
        <v>113103.5015060241</v>
      </c>
      <c r="P89">
        <f t="shared" si="21"/>
        <v>0.39171730281399331</v>
      </c>
      <c r="Q89">
        <f t="shared" si="22"/>
        <v>0.69225935232434677</v>
      </c>
    </row>
    <row r="90" spans="1:18">
      <c r="A90" s="2">
        <v>48</v>
      </c>
      <c r="B90" t="s">
        <v>304</v>
      </c>
      <c r="C90" s="2">
        <f t="shared" si="16"/>
        <v>55</v>
      </c>
      <c r="D90" s="2">
        <v>3</v>
      </c>
      <c r="E90" s="2">
        <f t="shared" si="23"/>
        <v>8833.3015813253005</v>
      </c>
      <c r="F90" s="2">
        <f t="shared" si="15"/>
        <v>0.78999999999999981</v>
      </c>
      <c r="G90" s="2">
        <f t="shared" si="8"/>
        <v>1.2</v>
      </c>
      <c r="H90" s="2">
        <f t="shared" si="25"/>
        <v>8373.9698990963825</v>
      </c>
      <c r="J90">
        <v>78</v>
      </c>
      <c r="K90">
        <f t="shared" si="14"/>
        <v>67.5</v>
      </c>
      <c r="L90">
        <f t="shared" si="24"/>
        <v>164602.40963855421</v>
      </c>
      <c r="M90">
        <f>VLOOKUP(J90,命币的投放!$J$3:$O$8,6,1)</f>
        <v>64000</v>
      </c>
      <c r="N90">
        <f t="shared" si="19"/>
        <v>100602.40963855421</v>
      </c>
      <c r="O90">
        <f t="shared" si="20"/>
        <v>114044.15286144578</v>
      </c>
      <c r="P90">
        <f t="shared" si="21"/>
        <v>0.38881569316351927</v>
      </c>
      <c r="Q90">
        <f t="shared" si="22"/>
        <v>0.69284619290733418</v>
      </c>
    </row>
    <row r="91" spans="1:18">
      <c r="A91" s="2">
        <v>49</v>
      </c>
      <c r="B91" t="s">
        <v>305</v>
      </c>
      <c r="C91" s="2">
        <f t="shared" si="16"/>
        <v>55</v>
      </c>
      <c r="D91" s="2">
        <v>4</v>
      </c>
      <c r="E91" s="2">
        <f t="shared" si="23"/>
        <v>8864.6566265060246</v>
      </c>
      <c r="F91" s="2">
        <f t="shared" si="15"/>
        <v>0.81999999999999984</v>
      </c>
      <c r="G91" s="2">
        <f t="shared" si="8"/>
        <v>0.82</v>
      </c>
      <c r="H91" s="2">
        <f t="shared" si="25"/>
        <v>5960.5951156626497</v>
      </c>
      <c r="J91">
        <v>79</v>
      </c>
      <c r="K91">
        <f t="shared" si="14"/>
        <v>68</v>
      </c>
      <c r="L91">
        <f t="shared" si="24"/>
        <v>165821.68674698795</v>
      </c>
      <c r="M91">
        <f>VLOOKUP(J91,命币的投放!$J$3:$O$8,6,1)</f>
        <v>64000</v>
      </c>
      <c r="N91">
        <f t="shared" si="19"/>
        <v>101821.68674698795</v>
      </c>
      <c r="O91">
        <f t="shared" si="20"/>
        <v>114984.80421686746</v>
      </c>
      <c r="P91">
        <f t="shared" si="21"/>
        <v>0.38595675424319925</v>
      </c>
      <c r="Q91">
        <f t="shared" si="22"/>
        <v>0.69342440348174839</v>
      </c>
    </row>
    <row r="92" spans="1:18">
      <c r="A92" s="2">
        <v>50</v>
      </c>
      <c r="B92" t="s">
        <v>306</v>
      </c>
      <c r="C92" s="2">
        <f t="shared" si="16"/>
        <v>55</v>
      </c>
      <c r="D92" s="2">
        <v>5</v>
      </c>
      <c r="E92" s="2">
        <f t="shared" si="23"/>
        <v>8896.0116716867469</v>
      </c>
      <c r="F92" s="2">
        <f t="shared" si="15"/>
        <v>0.84999999999999987</v>
      </c>
      <c r="G92" s="2">
        <f t="shared" si="8"/>
        <v>0.9</v>
      </c>
      <c r="H92" s="2">
        <f t="shared" si="25"/>
        <v>6805.4489288403602</v>
      </c>
      <c r="J92">
        <v>80</v>
      </c>
      <c r="K92">
        <f t="shared" si="14"/>
        <v>68.5</v>
      </c>
      <c r="L92">
        <f t="shared" si="24"/>
        <v>167040.96385542167</v>
      </c>
      <c r="M92">
        <f>VLOOKUP(J92,命币的投放!$J$3:$O$8,6,1)</f>
        <v>64000</v>
      </c>
      <c r="N92">
        <f t="shared" si="19"/>
        <v>103040.96385542167</v>
      </c>
      <c r="O92">
        <f t="shared" si="20"/>
        <v>115925.45557228915</v>
      </c>
      <c r="P92">
        <f t="shared" si="21"/>
        <v>0.38313955165748254</v>
      </c>
      <c r="Q92">
        <f t="shared" si="22"/>
        <v>0.69399417302587929</v>
      </c>
      <c r="R92">
        <f>AVERAGE(K35:K92)</f>
        <v>54.25</v>
      </c>
    </row>
    <row r="93" spans="1:18">
      <c r="A93" s="2">
        <v>51</v>
      </c>
      <c r="B93" t="s">
        <v>307</v>
      </c>
      <c r="C93" s="2">
        <f t="shared" si="16"/>
        <v>55</v>
      </c>
      <c r="D93" s="2">
        <v>6</v>
      </c>
      <c r="E93" s="2">
        <f t="shared" si="23"/>
        <v>8927.3667168674692</v>
      </c>
      <c r="F93" s="2">
        <f t="shared" ref="F93:F156" si="26">F78+$F$11</f>
        <v>0.87999999999999989</v>
      </c>
      <c r="G93" s="2">
        <f t="shared" ref="G93:G156" si="27">G78</f>
        <v>1.21</v>
      </c>
      <c r="H93" s="2">
        <f t="shared" si="25"/>
        <v>9505.8600801204793</v>
      </c>
      <c r="J93">
        <v>81</v>
      </c>
      <c r="K93">
        <f t="shared" si="14"/>
        <v>69</v>
      </c>
      <c r="L93">
        <f t="shared" si="24"/>
        <v>168260.24096385541</v>
      </c>
      <c r="M93">
        <f>VLOOKUP(J93,命币的投放!$J$3:$O$8,6,1)</f>
        <v>64000</v>
      </c>
      <c r="N93">
        <f t="shared" si="19"/>
        <v>104260.24096385541</v>
      </c>
      <c r="O93">
        <f t="shared" si="20"/>
        <v>116866.10692771085</v>
      </c>
      <c r="P93">
        <f t="shared" si="21"/>
        <v>0.38036317809474712</v>
      </c>
      <c r="Q93">
        <f t="shared" si="22"/>
        <v>0.69455568504038501</v>
      </c>
    </row>
    <row r="94" spans="1:18">
      <c r="A94" s="2">
        <v>52</v>
      </c>
      <c r="B94" t="s">
        <v>308</v>
      </c>
      <c r="C94" s="2">
        <f t="shared" si="16"/>
        <v>55</v>
      </c>
      <c r="D94" s="2">
        <v>7</v>
      </c>
      <c r="E94" s="2">
        <f t="shared" si="23"/>
        <v>8958.7217620481933</v>
      </c>
      <c r="F94" s="2">
        <f t="shared" si="26"/>
        <v>0.90999999999999992</v>
      </c>
      <c r="G94" s="2">
        <f t="shared" si="27"/>
        <v>0.84</v>
      </c>
      <c r="H94" s="2">
        <f t="shared" si="25"/>
        <v>6848.046914909638</v>
      </c>
      <c r="J94">
        <v>82</v>
      </c>
      <c r="K94">
        <f t="shared" si="14"/>
        <v>69.5</v>
      </c>
      <c r="L94">
        <f t="shared" si="24"/>
        <v>169479.51807228915</v>
      </c>
      <c r="M94">
        <f>VLOOKUP(J94,命币的投放!$J$3:$O$8,6,1)</f>
        <v>64000</v>
      </c>
      <c r="N94">
        <f t="shared" si="19"/>
        <v>105479.51807228915</v>
      </c>
      <c r="O94">
        <f t="shared" si="20"/>
        <v>117806.75828313253</v>
      </c>
      <c r="P94">
        <f t="shared" si="21"/>
        <v>0.37762675235305826</v>
      </c>
      <c r="Q94">
        <f t="shared" si="22"/>
        <v>0.69510911774532946</v>
      </c>
    </row>
    <row r="95" spans="1:18">
      <c r="A95" s="2">
        <v>53</v>
      </c>
      <c r="B95" t="s">
        <v>309</v>
      </c>
      <c r="C95" s="2">
        <f t="shared" si="16"/>
        <v>55</v>
      </c>
      <c r="D95" s="2">
        <v>8</v>
      </c>
      <c r="E95" s="2">
        <f t="shared" si="23"/>
        <v>8990.0768072289156</v>
      </c>
      <c r="F95" s="2">
        <f t="shared" si="26"/>
        <v>0.94</v>
      </c>
      <c r="G95" s="2">
        <f t="shared" si="27"/>
        <v>0.9</v>
      </c>
      <c r="H95" s="2">
        <f t="shared" si="25"/>
        <v>7605.6049789156623</v>
      </c>
      <c r="J95">
        <v>83</v>
      </c>
      <c r="K95">
        <f t="shared" si="14"/>
        <v>70</v>
      </c>
      <c r="L95">
        <f t="shared" si="24"/>
        <v>170698.79518072287</v>
      </c>
      <c r="M95">
        <f>VLOOKUP(J95,命币的投放!$J$3:$O$8,6,1)</f>
        <v>64000</v>
      </c>
      <c r="N95">
        <f t="shared" si="19"/>
        <v>106698.79518072287</v>
      </c>
      <c r="O95">
        <f t="shared" si="20"/>
        <v>118747.40963855421</v>
      </c>
      <c r="P95">
        <f t="shared" si="21"/>
        <v>0.37492941840767935</v>
      </c>
      <c r="Q95">
        <f t="shared" si="22"/>
        <v>0.69565464426877477</v>
      </c>
    </row>
    <row r="96" spans="1:18">
      <c r="A96" s="2">
        <v>54</v>
      </c>
      <c r="B96" t="s">
        <v>310</v>
      </c>
      <c r="C96" s="2">
        <f t="shared" si="16"/>
        <v>55</v>
      </c>
      <c r="D96" s="2">
        <v>9</v>
      </c>
      <c r="E96" s="2">
        <f t="shared" si="23"/>
        <v>9021.4318524096398</v>
      </c>
      <c r="F96" s="2">
        <f t="shared" si="26"/>
        <v>0.97</v>
      </c>
      <c r="G96" s="2">
        <f t="shared" si="27"/>
        <v>1.22</v>
      </c>
      <c r="H96" s="2">
        <f t="shared" si="25"/>
        <v>10675.962454141567</v>
      </c>
      <c r="J96">
        <v>84</v>
      </c>
      <c r="K96">
        <f t="shared" si="14"/>
        <v>70.5</v>
      </c>
      <c r="L96">
        <f t="shared" si="24"/>
        <v>171918.07228915661</v>
      </c>
      <c r="M96">
        <f>VLOOKUP(J96,命币的投放!$J$3:$O$8,6,1)</f>
        <v>64000</v>
      </c>
      <c r="N96">
        <f t="shared" si="19"/>
        <v>107918.07228915661</v>
      </c>
      <c r="O96">
        <f t="shared" si="20"/>
        <v>119688.0609939759</v>
      </c>
      <c r="P96">
        <f t="shared" si="21"/>
        <v>0.37227034451826313</v>
      </c>
      <c r="Q96">
        <f t="shared" si="22"/>
        <v>0.69619243282734844</v>
      </c>
    </row>
    <row r="97" spans="1:17">
      <c r="A97" s="2">
        <v>55</v>
      </c>
      <c r="B97" t="s">
        <v>311</v>
      </c>
      <c r="C97" s="2">
        <f t="shared" si="16"/>
        <v>55</v>
      </c>
      <c r="D97" s="2">
        <v>10</v>
      </c>
      <c r="E97" s="2">
        <f t="shared" si="23"/>
        <v>9052.7868975903621</v>
      </c>
      <c r="F97" s="2">
        <f t="shared" si="26"/>
        <v>1</v>
      </c>
      <c r="G97" s="2">
        <f t="shared" si="27"/>
        <v>0.86</v>
      </c>
      <c r="H97" s="2">
        <f t="shared" si="25"/>
        <v>7785.3967319277117</v>
      </c>
      <c r="J97">
        <v>85</v>
      </c>
      <c r="K97">
        <f t="shared" si="14"/>
        <v>71</v>
      </c>
      <c r="L97">
        <f t="shared" si="24"/>
        <v>173137.34939759035</v>
      </c>
      <c r="M97">
        <f>VLOOKUP(J97,命币的投放!$J$3:$O$8,6,1)</f>
        <v>64000</v>
      </c>
      <c r="N97">
        <f t="shared" si="19"/>
        <v>109137.34939759035</v>
      </c>
      <c r="O97">
        <f t="shared" si="20"/>
        <v>120628.7123493976</v>
      </c>
      <c r="P97">
        <f t="shared" si="21"/>
        <v>0.36964872237376833</v>
      </c>
      <c r="Q97">
        <f t="shared" si="22"/>
        <v>0.69672264689918173</v>
      </c>
    </row>
    <row r="98" spans="1:17">
      <c r="A98" s="2">
        <v>56</v>
      </c>
      <c r="B98" t="s">
        <v>312</v>
      </c>
      <c r="C98" s="2">
        <f t="shared" si="16"/>
        <v>55</v>
      </c>
      <c r="D98" s="2">
        <v>11</v>
      </c>
      <c r="E98" s="2">
        <f t="shared" si="23"/>
        <v>9084.1419427710844</v>
      </c>
      <c r="F98" s="2">
        <f t="shared" si="26"/>
        <v>1.03</v>
      </c>
      <c r="G98" s="2">
        <f t="shared" si="27"/>
        <v>0.9</v>
      </c>
      <c r="H98" s="2">
        <f t="shared" si="25"/>
        <v>8420.9995809487955</v>
      </c>
      <c r="J98">
        <v>86</v>
      </c>
      <c r="K98">
        <f t="shared" si="14"/>
        <v>71.5</v>
      </c>
      <c r="L98">
        <f t="shared" si="24"/>
        <v>174356.62650602407</v>
      </c>
      <c r="M98">
        <f>VLOOKUP(J98,命币的投放!$J$3:$O$8,6,1)</f>
        <v>64000</v>
      </c>
      <c r="N98">
        <f t="shared" si="19"/>
        <v>110356.62650602407</v>
      </c>
      <c r="O98">
        <f t="shared" si="20"/>
        <v>121569.36370481928</v>
      </c>
      <c r="P98">
        <f t="shared" si="21"/>
        <v>0.36706376627325249</v>
      </c>
      <c r="Q98">
        <f t="shared" si="22"/>
        <v>0.69724544538959077</v>
      </c>
    </row>
    <row r="99" spans="1:17">
      <c r="A99" s="2">
        <v>57</v>
      </c>
      <c r="B99" t="s">
        <v>313</v>
      </c>
      <c r="C99" s="2">
        <f t="shared" si="16"/>
        <v>55</v>
      </c>
      <c r="D99" s="2">
        <v>12</v>
      </c>
      <c r="E99" s="2">
        <f t="shared" si="23"/>
        <v>9115.4969879518067</v>
      </c>
      <c r="F99" s="2">
        <f t="shared" si="26"/>
        <v>1.06</v>
      </c>
      <c r="G99" s="2">
        <f t="shared" si="27"/>
        <v>1.23</v>
      </c>
      <c r="H99" s="2">
        <f t="shared" si="25"/>
        <v>11884.784972891566</v>
      </c>
      <c r="J99">
        <v>87</v>
      </c>
      <c r="K99">
        <f t="shared" si="14"/>
        <v>72</v>
      </c>
      <c r="L99">
        <f t="shared" si="24"/>
        <v>175575.90361445781</v>
      </c>
      <c r="M99">
        <f>VLOOKUP(J99,命币的投放!$J$3:$O$8,6,1)</f>
        <v>64000</v>
      </c>
      <c r="N99">
        <f t="shared" si="19"/>
        <v>111575.90361445781</v>
      </c>
      <c r="O99">
        <f t="shared" si="20"/>
        <v>122510.01506024096</v>
      </c>
      <c r="P99">
        <f t="shared" si="21"/>
        <v>0.36451471234079935</v>
      </c>
      <c r="Q99">
        <f t="shared" si="22"/>
        <v>0.6977609827898551</v>
      </c>
    </row>
    <row r="100" spans="1:17">
      <c r="A100" s="2">
        <v>58</v>
      </c>
      <c r="B100" t="s">
        <v>314</v>
      </c>
      <c r="C100" s="2">
        <f t="shared" si="16"/>
        <v>55</v>
      </c>
      <c r="D100" s="2">
        <v>13</v>
      </c>
      <c r="E100" s="2">
        <f t="shared" si="23"/>
        <v>9146.8520331325308</v>
      </c>
      <c r="F100" s="2">
        <f t="shared" si="26"/>
        <v>1.0900000000000001</v>
      </c>
      <c r="G100" s="2">
        <f t="shared" si="27"/>
        <v>0.88</v>
      </c>
      <c r="H100" s="2">
        <f t="shared" si="25"/>
        <v>8773.6604701807246</v>
      </c>
      <c r="J100">
        <v>88</v>
      </c>
      <c r="K100">
        <f t="shared" si="14"/>
        <v>72.5</v>
      </c>
      <c r="L100">
        <f t="shared" si="24"/>
        <v>176795.18072289156</v>
      </c>
      <c r="M100">
        <f>VLOOKUP(J100,命币的投放!$J$3:$O$8,6,1)</f>
        <v>64000</v>
      </c>
      <c r="N100">
        <f t="shared" si="19"/>
        <v>112795.18072289156</v>
      </c>
      <c r="O100">
        <f t="shared" si="20"/>
        <v>123450.66641566265</v>
      </c>
      <c r="P100">
        <f t="shared" si="21"/>
        <v>0.36200081777293175</v>
      </c>
      <c r="Q100">
        <f t="shared" si="22"/>
        <v>0.69826940932942627</v>
      </c>
    </row>
    <row r="101" spans="1:17">
      <c r="A101" s="2">
        <v>59</v>
      </c>
      <c r="B101" t="s">
        <v>315</v>
      </c>
      <c r="C101" s="2">
        <f t="shared" si="16"/>
        <v>55</v>
      </c>
      <c r="D101" s="2">
        <v>14</v>
      </c>
      <c r="E101" s="2">
        <f t="shared" si="23"/>
        <v>9178.2070783132549</v>
      </c>
      <c r="F101" s="2">
        <f t="shared" si="26"/>
        <v>1.1200000000000001</v>
      </c>
      <c r="G101" s="2">
        <f t="shared" si="27"/>
        <v>0.9</v>
      </c>
      <c r="H101" s="2">
        <f t="shared" si="25"/>
        <v>9251.6327349397616</v>
      </c>
      <c r="J101">
        <v>89</v>
      </c>
      <c r="K101">
        <f t="shared" si="14"/>
        <v>73</v>
      </c>
      <c r="L101">
        <f t="shared" si="24"/>
        <v>178014.4578313253</v>
      </c>
      <c r="M101">
        <f>VLOOKUP(J101,命币的投放!$J$3:$O$8,6,1)</f>
        <v>64000</v>
      </c>
      <c r="N101">
        <f t="shared" si="19"/>
        <v>114014.4578313253</v>
      </c>
      <c r="O101">
        <f t="shared" si="20"/>
        <v>124391.31777108434</v>
      </c>
      <c r="P101">
        <f t="shared" si="21"/>
        <v>0.35952136011695274</v>
      </c>
      <c r="Q101">
        <f t="shared" si="22"/>
        <v>0.69877087112187997</v>
      </c>
    </row>
    <row r="102" spans="1:17">
      <c r="A102" s="2">
        <v>60</v>
      </c>
      <c r="B102" t="s">
        <v>316</v>
      </c>
      <c r="C102" s="2">
        <f t="shared" si="16"/>
        <v>55</v>
      </c>
      <c r="D102" s="2">
        <v>15</v>
      </c>
      <c r="E102" s="2">
        <f t="shared" si="23"/>
        <v>9209.5621234939772</v>
      </c>
      <c r="F102" s="2">
        <f t="shared" si="26"/>
        <v>1.1500000000000001</v>
      </c>
      <c r="G102" s="2">
        <f t="shared" si="27"/>
        <v>1.25</v>
      </c>
      <c r="H102" s="2">
        <f t="shared" si="25"/>
        <v>13238.745552522594</v>
      </c>
      <c r="J102">
        <v>90</v>
      </c>
      <c r="K102">
        <f t="shared" ref="K102:K112" si="28">K101+0.5</f>
        <v>73.5</v>
      </c>
      <c r="L102">
        <f t="shared" si="24"/>
        <v>179233.73493975902</v>
      </c>
      <c r="M102">
        <f>VLOOKUP(J102,命币的投放!$J$3:$O$8,6,1)</f>
        <v>64000</v>
      </c>
      <c r="N102">
        <f t="shared" si="19"/>
        <v>115233.73493975902</v>
      </c>
      <c r="O102">
        <f t="shared" si="20"/>
        <v>125331.96912650602</v>
      </c>
      <c r="P102">
        <f t="shared" si="21"/>
        <v>0.35707563657874219</v>
      </c>
      <c r="Q102">
        <f t="shared" si="22"/>
        <v>0.69926551030491257</v>
      </c>
    </row>
    <row r="103" spans="1:17">
      <c r="A103" s="2">
        <v>61</v>
      </c>
      <c r="B103" t="s">
        <v>317</v>
      </c>
      <c r="C103" s="2">
        <f t="shared" si="16"/>
        <v>60</v>
      </c>
      <c r="D103" s="2">
        <v>1</v>
      </c>
      <c r="E103" s="2">
        <f t="shared" si="23"/>
        <v>9240.9171686746995</v>
      </c>
      <c r="F103" s="2">
        <f t="shared" si="26"/>
        <v>0.75999999999999979</v>
      </c>
      <c r="G103" s="2">
        <f t="shared" si="27"/>
        <v>0.8</v>
      </c>
      <c r="H103" s="2">
        <f t="shared" si="25"/>
        <v>5618.4776385542164</v>
      </c>
      <c r="J103">
        <v>91</v>
      </c>
      <c r="K103">
        <f t="shared" si="28"/>
        <v>74</v>
      </c>
      <c r="L103">
        <f t="shared" si="24"/>
        <v>180453.01204819276</v>
      </c>
      <c r="M103">
        <f>VLOOKUP(J103,命币的投放!$J$3:$O$8,6,1)</f>
        <v>64000</v>
      </c>
      <c r="N103">
        <f t="shared" si="19"/>
        <v>116453.01204819276</v>
      </c>
      <c r="O103">
        <f t="shared" si="20"/>
        <v>126272.6204819277</v>
      </c>
      <c r="P103">
        <f t="shared" si="21"/>
        <v>0.35466296335861558</v>
      </c>
      <c r="Q103">
        <f t="shared" si="22"/>
        <v>0.69975346517466086</v>
      </c>
    </row>
    <row r="104" spans="1:17">
      <c r="A104" s="2">
        <v>62</v>
      </c>
      <c r="B104" t="s">
        <v>318</v>
      </c>
      <c r="C104" s="2">
        <f t="shared" si="16"/>
        <v>60</v>
      </c>
      <c r="D104" s="2">
        <v>2</v>
      </c>
      <c r="E104" s="2">
        <f t="shared" si="23"/>
        <v>9272.2722138554218</v>
      </c>
      <c r="F104" s="2">
        <f t="shared" si="26"/>
        <v>0.78999999999999981</v>
      </c>
      <c r="G104" s="2">
        <f t="shared" si="27"/>
        <v>0.9</v>
      </c>
      <c r="H104" s="2">
        <f t="shared" si="25"/>
        <v>6592.5855440512041</v>
      </c>
      <c r="J104">
        <v>92</v>
      </c>
      <c r="K104">
        <f t="shared" si="28"/>
        <v>74.5</v>
      </c>
      <c r="L104">
        <f t="shared" si="24"/>
        <v>181672.2891566265</v>
      </c>
      <c r="M104">
        <f>VLOOKUP(J104,命币的投放!$J$3:$O$8,6,1)</f>
        <v>64000</v>
      </c>
      <c r="N104">
        <f t="shared" si="19"/>
        <v>117672.2891566265</v>
      </c>
      <c r="O104">
        <f t="shared" si="20"/>
        <v>127213.2718373494</v>
      </c>
      <c r="P104">
        <f t="shared" si="21"/>
        <v>0.35228267501392685</v>
      </c>
      <c r="Q104">
        <f t="shared" si="22"/>
        <v>0.70023487031461396</v>
      </c>
    </row>
    <row r="105" spans="1:17">
      <c r="A105" s="2">
        <v>63</v>
      </c>
      <c r="B105" t="s">
        <v>319</v>
      </c>
      <c r="C105" s="2">
        <f t="shared" si="16"/>
        <v>60</v>
      </c>
      <c r="D105" s="2">
        <v>3</v>
      </c>
      <c r="E105" s="2">
        <f t="shared" si="23"/>
        <v>9303.6272590361441</v>
      </c>
      <c r="F105" s="2">
        <f t="shared" si="26"/>
        <v>0.81999999999999984</v>
      </c>
      <c r="G105" s="2">
        <f t="shared" si="27"/>
        <v>1.2</v>
      </c>
      <c r="H105" s="2">
        <f t="shared" si="25"/>
        <v>9154.7692228915639</v>
      </c>
      <c r="J105">
        <v>93</v>
      </c>
      <c r="K105">
        <f t="shared" si="28"/>
        <v>75</v>
      </c>
      <c r="L105">
        <f t="shared" si="24"/>
        <v>182891.56626506022</v>
      </c>
      <c r="M105">
        <f>VLOOKUP(J105,命币的投放!$J$3:$O$8,6,1)</f>
        <v>64000</v>
      </c>
      <c r="N105">
        <f t="shared" si="19"/>
        <v>118891.56626506022</v>
      </c>
      <c r="O105">
        <f t="shared" si="20"/>
        <v>128153.92319277108</v>
      </c>
      <c r="P105">
        <f t="shared" si="21"/>
        <v>0.34993412384716738</v>
      </c>
      <c r="Q105">
        <f t="shared" si="22"/>
        <v>0.7007098567193677</v>
      </c>
    </row>
    <row r="106" spans="1:17">
      <c r="A106" s="2">
        <v>64</v>
      </c>
      <c r="B106" t="s">
        <v>320</v>
      </c>
      <c r="C106" s="2">
        <f t="shared" si="16"/>
        <v>60</v>
      </c>
      <c r="D106" s="2">
        <v>4</v>
      </c>
      <c r="E106" s="2">
        <f t="shared" si="23"/>
        <v>9334.9823042168682</v>
      </c>
      <c r="F106" s="2">
        <f t="shared" si="26"/>
        <v>0.84999999999999987</v>
      </c>
      <c r="G106" s="2">
        <f t="shared" si="27"/>
        <v>0.82</v>
      </c>
      <c r="H106" s="2">
        <f t="shared" si="25"/>
        <v>6506.4826660391554</v>
      </c>
      <c r="J106">
        <v>94</v>
      </c>
      <c r="K106">
        <f t="shared" si="28"/>
        <v>75.5</v>
      </c>
      <c r="L106">
        <f t="shared" si="24"/>
        <v>184110.84337349396</v>
      </c>
      <c r="M106">
        <f>VLOOKUP(J106,命币的投放!$J$3:$O$8,6,1)</f>
        <v>64000</v>
      </c>
      <c r="N106">
        <f t="shared" si="19"/>
        <v>120110.84337349396</v>
      </c>
      <c r="O106">
        <f t="shared" si="20"/>
        <v>129094.57454819276</v>
      </c>
      <c r="P106">
        <f t="shared" si="21"/>
        <v>0.34761667931837814</v>
      </c>
      <c r="Q106">
        <f t="shared" si="22"/>
        <v>0.70117855191346223</v>
      </c>
    </row>
    <row r="107" spans="1:17">
      <c r="A107" s="2">
        <v>65</v>
      </c>
      <c r="B107" t="s">
        <v>321</v>
      </c>
      <c r="C107" s="2">
        <f t="shared" si="16"/>
        <v>60</v>
      </c>
      <c r="D107" s="2">
        <v>5</v>
      </c>
      <c r="E107" s="2">
        <f t="shared" ref="E107:E138" si="29">((VLOOKUP(C107,$J$13:$O$112,6,0)-VLOOKUP(C107-5,$J$13:$O$112,6,0))/15*(D107-1)+VLOOKUP(C107-5,$J$13:$O$112,6,0))/$B$10</f>
        <v>9366.3373493975923</v>
      </c>
      <c r="F107" s="2">
        <f t="shared" si="26"/>
        <v>0.87999999999999989</v>
      </c>
      <c r="G107" s="2">
        <f t="shared" si="27"/>
        <v>0.9</v>
      </c>
      <c r="H107" s="2">
        <f t="shared" si="25"/>
        <v>7418.1391807228929</v>
      </c>
      <c r="J107">
        <v>95</v>
      </c>
      <c r="K107">
        <f t="shared" si="28"/>
        <v>76</v>
      </c>
      <c r="L107">
        <f t="shared" si="24"/>
        <v>185330.1204819277</v>
      </c>
      <c r="M107">
        <f>VLOOKUP(J107,命币的投放!$J$3:$O$8,6,1)</f>
        <v>64000</v>
      </c>
      <c r="N107">
        <f t="shared" si="19"/>
        <v>121330.1204819277</v>
      </c>
      <c r="O107">
        <f t="shared" si="20"/>
        <v>130035.22590361445</v>
      </c>
      <c r="P107">
        <f t="shared" si="21"/>
        <v>0.34532972748075724</v>
      </c>
      <c r="Q107">
        <f t="shared" si="22"/>
        <v>0.70164108006552939</v>
      </c>
    </row>
    <row r="108" spans="1:17">
      <c r="A108" s="2">
        <v>66</v>
      </c>
      <c r="B108" t="s">
        <v>322</v>
      </c>
      <c r="C108" s="2">
        <f t="shared" ref="C108:C171" si="30">INT((A108-1)/15)*5+40</f>
        <v>60</v>
      </c>
      <c r="D108" s="2">
        <v>6</v>
      </c>
      <c r="E108" s="2">
        <f t="shared" si="29"/>
        <v>9397.6923945783146</v>
      </c>
      <c r="F108" s="2">
        <f t="shared" si="26"/>
        <v>0.90999999999999992</v>
      </c>
      <c r="G108" s="2">
        <f t="shared" si="27"/>
        <v>1.21</v>
      </c>
      <c r="H108" s="2">
        <f t="shared" si="25"/>
        <v>10347.79909567018</v>
      </c>
      <c r="J108">
        <v>96</v>
      </c>
      <c r="K108">
        <f t="shared" si="28"/>
        <v>76.5</v>
      </c>
      <c r="L108">
        <f t="shared" si="24"/>
        <v>186549.39759036142</v>
      </c>
      <c r="M108">
        <f>VLOOKUP(J108,命币的投放!$J$3:$O$8,6,1)</f>
        <v>64000</v>
      </c>
      <c r="N108">
        <f t="shared" si="19"/>
        <v>122549.39759036142</v>
      </c>
      <c r="O108">
        <f t="shared" si="20"/>
        <v>130975.87725903615</v>
      </c>
      <c r="P108">
        <f t="shared" si="21"/>
        <v>0.3430726704383994</v>
      </c>
      <c r="Q108">
        <f t="shared" si="22"/>
        <v>0.70209756209796181</v>
      </c>
    </row>
    <row r="109" spans="1:17">
      <c r="A109" s="2">
        <v>67</v>
      </c>
      <c r="B109" t="s">
        <v>323</v>
      </c>
      <c r="C109" s="2">
        <f t="shared" si="30"/>
        <v>60</v>
      </c>
      <c r="D109" s="2">
        <v>7</v>
      </c>
      <c r="E109" s="2">
        <f t="shared" si="29"/>
        <v>9429.0474397590369</v>
      </c>
      <c r="F109" s="2">
        <f t="shared" si="26"/>
        <v>0.94</v>
      </c>
      <c r="G109" s="2">
        <f t="shared" si="27"/>
        <v>0.84</v>
      </c>
      <c r="H109" s="2">
        <f t="shared" si="25"/>
        <v>7445.1758584337349</v>
      </c>
      <c r="J109">
        <v>97</v>
      </c>
      <c r="K109">
        <f t="shared" si="28"/>
        <v>77</v>
      </c>
      <c r="L109">
        <f>K109*$E$5</f>
        <v>187768.67469879516</v>
      </c>
      <c r="M109">
        <f>VLOOKUP(J109,命币的投放!$J$3:$O$8,6,1)</f>
        <v>64000</v>
      </c>
      <c r="N109">
        <f t="shared" si="19"/>
        <v>123768.67469879516</v>
      </c>
      <c r="O109">
        <f t="shared" si="20"/>
        <v>131916.52861445781</v>
      </c>
      <c r="P109">
        <f t="shared" si="21"/>
        <v>0.34084492582516301</v>
      </c>
      <c r="Q109">
        <f t="shared" si="22"/>
        <v>0.70254811579231047</v>
      </c>
    </row>
    <row r="110" spans="1:17">
      <c r="A110" s="2">
        <v>68</v>
      </c>
      <c r="B110" t="s">
        <v>324</v>
      </c>
      <c r="C110" s="2">
        <f t="shared" si="30"/>
        <v>60</v>
      </c>
      <c r="D110" s="2">
        <v>8</v>
      </c>
      <c r="E110" s="2">
        <f t="shared" si="29"/>
        <v>9460.4024849397592</v>
      </c>
      <c r="F110" s="2">
        <f t="shared" si="26"/>
        <v>0.97</v>
      </c>
      <c r="G110" s="2">
        <f t="shared" si="27"/>
        <v>0.9</v>
      </c>
      <c r="H110" s="2">
        <f t="shared" si="25"/>
        <v>8258.9313693524091</v>
      </c>
      <c r="J110">
        <v>98</v>
      </c>
      <c r="K110">
        <f t="shared" si="28"/>
        <v>77.5</v>
      </c>
      <c r="L110">
        <f>K110*$E$5</f>
        <v>188987.95180722891</v>
      </c>
      <c r="M110">
        <f>VLOOKUP(J110,命币的投放!$J$3:$O$8,6,1)</f>
        <v>64000</v>
      </c>
      <c r="N110">
        <f t="shared" si="19"/>
        <v>124987.95180722891</v>
      </c>
      <c r="O110">
        <f t="shared" si="20"/>
        <v>132857.17996987951</v>
      </c>
      <c r="P110">
        <f t="shared" si="21"/>
        <v>0.33864592630371032</v>
      </c>
      <c r="Q110">
        <f t="shared" si="22"/>
        <v>0.70299285589060312</v>
      </c>
    </row>
    <row r="111" spans="1:17">
      <c r="A111" s="2">
        <v>69</v>
      </c>
      <c r="B111" t="s">
        <v>325</v>
      </c>
      <c r="C111" s="2">
        <f t="shared" si="30"/>
        <v>60</v>
      </c>
      <c r="D111" s="2">
        <v>9</v>
      </c>
      <c r="E111" s="2">
        <f t="shared" si="29"/>
        <v>9491.7575301204815</v>
      </c>
      <c r="F111" s="2">
        <f t="shared" si="26"/>
        <v>1</v>
      </c>
      <c r="G111" s="2">
        <f t="shared" si="27"/>
        <v>1.22</v>
      </c>
      <c r="H111" s="2">
        <f t="shared" si="25"/>
        <v>11579.944186746987</v>
      </c>
      <c r="J111">
        <v>99</v>
      </c>
      <c r="K111">
        <f t="shared" si="28"/>
        <v>78</v>
      </c>
      <c r="L111">
        <f>K111*$E$5</f>
        <v>190207.22891566262</v>
      </c>
      <c r="M111">
        <f>VLOOKUP(J111,命币的投放!$J$3:$O$8,6,1)</f>
        <v>64000</v>
      </c>
      <c r="N111">
        <f t="shared" si="19"/>
        <v>126207.22891566262</v>
      </c>
      <c r="O111">
        <f t="shared" si="20"/>
        <v>133797.8313253012</v>
      </c>
      <c r="P111">
        <f t="shared" si="21"/>
        <v>0.33647511908381478</v>
      </c>
      <c r="Q111">
        <f t="shared" si="22"/>
        <v>0.70343189419276386</v>
      </c>
    </row>
    <row r="112" spans="1:17">
      <c r="A112" s="2">
        <v>70</v>
      </c>
      <c r="B112" t="s">
        <v>326</v>
      </c>
      <c r="C112" s="2">
        <f t="shared" si="30"/>
        <v>60</v>
      </c>
      <c r="D112" s="2">
        <v>10</v>
      </c>
      <c r="E112" s="2">
        <f t="shared" si="29"/>
        <v>9523.1125753012057</v>
      </c>
      <c r="F112" s="2">
        <f t="shared" si="26"/>
        <v>1.03</v>
      </c>
      <c r="G112" s="2">
        <f t="shared" si="27"/>
        <v>0.86</v>
      </c>
      <c r="H112" s="2">
        <f t="shared" si="25"/>
        <v>8435.5731192018084</v>
      </c>
      <c r="J112">
        <v>100</v>
      </c>
      <c r="K112">
        <f t="shared" si="28"/>
        <v>78.5</v>
      </c>
      <c r="L112">
        <f>K112*$E$5</f>
        <v>191426.50602409636</v>
      </c>
      <c r="M112">
        <f>VLOOKUP(J112,命币的投放!$J$3:$O$8,6,1)</f>
        <v>64000</v>
      </c>
      <c r="N112">
        <f>L112-M112</f>
        <v>127426.50602409636</v>
      </c>
      <c r="O112">
        <f>($N$112*1.05-$N$47*0.9)/($J$112-$J$47-1)*(J112-$J$47)+$N$47*0.9</f>
        <v>134738.4826807229</v>
      </c>
      <c r="P112">
        <f>M112/L112</f>
        <v>0.33433196545907712</v>
      </c>
      <c r="Q112">
        <f>O112/L112</f>
        <v>0.70386533965031106</v>
      </c>
    </row>
    <row r="113" spans="1:17">
      <c r="A113" s="2">
        <v>71</v>
      </c>
      <c r="B113" t="s">
        <v>327</v>
      </c>
      <c r="C113" s="2">
        <f t="shared" si="30"/>
        <v>60</v>
      </c>
      <c r="D113" s="2">
        <v>11</v>
      </c>
      <c r="E113" s="2">
        <f t="shared" si="29"/>
        <v>9554.467620481928</v>
      </c>
      <c r="F113" s="2">
        <f t="shared" si="26"/>
        <v>1.06</v>
      </c>
      <c r="G113" s="2">
        <f t="shared" si="27"/>
        <v>0.9</v>
      </c>
      <c r="H113" s="2">
        <f t="shared" si="25"/>
        <v>9114.9621099397591</v>
      </c>
      <c r="K113">
        <f>AVERAGE(K47:K112)</f>
        <v>62.25</v>
      </c>
      <c r="L113">
        <f>SUM(L47:L112)</f>
        <v>10018799.999999996</v>
      </c>
      <c r="M113">
        <f>SUM(M47:M112)</f>
        <v>3429600</v>
      </c>
      <c r="N113">
        <f>SUM(N47:N112)</f>
        <v>6589200</v>
      </c>
      <c r="O113">
        <f>SUM(O47:O112)</f>
        <v>6875042.6995481933</v>
      </c>
      <c r="P113">
        <f>AVERAGE(P47:P112)</f>
        <v>0.33757448150004576</v>
      </c>
      <c r="Q113">
        <f>AVERAGE(Q47:Q112)</f>
        <v>0.68412916606741159</v>
      </c>
    </row>
    <row r="114" spans="1:17">
      <c r="A114" s="2">
        <v>72</v>
      </c>
      <c r="B114" t="s">
        <v>328</v>
      </c>
      <c r="C114" s="2">
        <f t="shared" si="30"/>
        <v>60</v>
      </c>
      <c r="D114" s="2">
        <v>12</v>
      </c>
      <c r="E114" s="2">
        <f t="shared" si="29"/>
        <v>9585.8226656626503</v>
      </c>
      <c r="F114" s="2">
        <f t="shared" si="26"/>
        <v>1.0900000000000001</v>
      </c>
      <c r="G114" s="2">
        <f t="shared" si="27"/>
        <v>1.23</v>
      </c>
      <c r="H114" s="2">
        <f t="shared" si="25"/>
        <v>12851.712447853915</v>
      </c>
    </row>
    <row r="115" spans="1:17">
      <c r="A115" s="2">
        <v>73</v>
      </c>
      <c r="B115" t="s">
        <v>329</v>
      </c>
      <c r="C115" s="2">
        <f t="shared" si="30"/>
        <v>60</v>
      </c>
      <c r="D115" s="2">
        <v>13</v>
      </c>
      <c r="E115" s="2">
        <f t="shared" si="29"/>
        <v>9617.1777108433744</v>
      </c>
      <c r="F115" s="2">
        <f t="shared" si="26"/>
        <v>1.1200000000000001</v>
      </c>
      <c r="G115" s="2">
        <f t="shared" si="27"/>
        <v>0.88</v>
      </c>
      <c r="H115" s="2">
        <f t="shared" si="25"/>
        <v>9478.6903518072304</v>
      </c>
    </row>
    <row r="116" spans="1:17">
      <c r="A116" s="2">
        <v>74</v>
      </c>
      <c r="B116" t="s">
        <v>330</v>
      </c>
      <c r="C116" s="2">
        <f t="shared" si="30"/>
        <v>60</v>
      </c>
      <c r="D116" s="2">
        <v>14</v>
      </c>
      <c r="E116" s="2">
        <f t="shared" si="29"/>
        <v>9648.5327560240967</v>
      </c>
      <c r="F116" s="2">
        <f t="shared" si="26"/>
        <v>1.1500000000000001</v>
      </c>
      <c r="G116" s="2">
        <f t="shared" si="27"/>
        <v>0.9</v>
      </c>
      <c r="H116" s="2">
        <f t="shared" si="25"/>
        <v>9986.231402484942</v>
      </c>
    </row>
    <row r="117" spans="1:17">
      <c r="A117" s="2">
        <v>75</v>
      </c>
      <c r="B117" t="s">
        <v>331</v>
      </c>
      <c r="C117" s="2">
        <f t="shared" si="30"/>
        <v>60</v>
      </c>
      <c r="D117" s="2">
        <v>15</v>
      </c>
      <c r="E117" s="2">
        <f t="shared" si="29"/>
        <v>9679.887801204819</v>
      </c>
      <c r="F117" s="2">
        <f t="shared" si="26"/>
        <v>1.1800000000000002</v>
      </c>
      <c r="G117" s="2">
        <f t="shared" si="27"/>
        <v>1.25</v>
      </c>
      <c r="H117" s="2">
        <f t="shared" si="25"/>
        <v>14277.83450677711</v>
      </c>
    </row>
    <row r="118" spans="1:17">
      <c r="A118" s="2">
        <v>76</v>
      </c>
      <c r="B118" t="s">
        <v>332</v>
      </c>
      <c r="C118" s="2">
        <f t="shared" si="30"/>
        <v>65</v>
      </c>
      <c r="D118" s="2">
        <v>1</v>
      </c>
      <c r="E118" s="2">
        <f t="shared" si="29"/>
        <v>9711.2428463855431</v>
      </c>
      <c r="F118" s="2">
        <f t="shared" si="26"/>
        <v>0.78999999999999981</v>
      </c>
      <c r="G118" s="2">
        <f t="shared" si="27"/>
        <v>0.8</v>
      </c>
      <c r="H118" s="2">
        <f t="shared" si="25"/>
        <v>6137.505478915662</v>
      </c>
    </row>
    <row r="119" spans="1:17">
      <c r="A119" s="2">
        <v>77</v>
      </c>
      <c r="B119" t="s">
        <v>333</v>
      </c>
      <c r="C119" s="2">
        <f t="shared" si="30"/>
        <v>65</v>
      </c>
      <c r="D119" s="2">
        <v>2</v>
      </c>
      <c r="E119" s="2">
        <f t="shared" si="29"/>
        <v>9742.5978915662654</v>
      </c>
      <c r="F119" s="2">
        <f t="shared" si="26"/>
        <v>0.81999999999999984</v>
      </c>
      <c r="G119" s="2">
        <f t="shared" si="27"/>
        <v>0.9</v>
      </c>
      <c r="H119" s="2">
        <f t="shared" si="25"/>
        <v>7190.0372439759021</v>
      </c>
    </row>
    <row r="120" spans="1:17">
      <c r="A120" s="2">
        <v>78</v>
      </c>
      <c r="B120" t="s">
        <v>334</v>
      </c>
      <c r="C120" s="2">
        <f t="shared" si="30"/>
        <v>65</v>
      </c>
      <c r="D120" s="2">
        <v>3</v>
      </c>
      <c r="E120" s="2">
        <f t="shared" si="29"/>
        <v>9773.9529367469877</v>
      </c>
      <c r="F120" s="2">
        <f t="shared" si="26"/>
        <v>0.84999999999999987</v>
      </c>
      <c r="G120" s="2">
        <f t="shared" si="27"/>
        <v>1.2</v>
      </c>
      <c r="H120" s="2">
        <f t="shared" si="25"/>
        <v>9969.4319954819257</v>
      </c>
    </row>
    <row r="121" spans="1:17">
      <c r="A121" s="2">
        <v>79</v>
      </c>
      <c r="B121" t="s">
        <v>335</v>
      </c>
      <c r="C121" s="2">
        <f t="shared" si="30"/>
        <v>65</v>
      </c>
      <c r="D121" s="2">
        <v>4</v>
      </c>
      <c r="E121" s="2">
        <f t="shared" si="29"/>
        <v>9805.30798192771</v>
      </c>
      <c r="F121" s="2">
        <f t="shared" si="26"/>
        <v>0.87999999999999989</v>
      </c>
      <c r="G121" s="2">
        <f t="shared" si="27"/>
        <v>0.82</v>
      </c>
      <c r="H121" s="2">
        <f t="shared" si="25"/>
        <v>7075.5102397590344</v>
      </c>
    </row>
    <row r="122" spans="1:17">
      <c r="A122" s="2">
        <v>80</v>
      </c>
      <c r="B122" t="s">
        <v>336</v>
      </c>
      <c r="C122" s="2">
        <f t="shared" si="30"/>
        <v>65</v>
      </c>
      <c r="D122" s="2">
        <v>5</v>
      </c>
      <c r="E122" s="2">
        <f t="shared" si="29"/>
        <v>9836.6630271084341</v>
      </c>
      <c r="F122" s="2">
        <f t="shared" si="26"/>
        <v>0.90999999999999992</v>
      </c>
      <c r="G122" s="2">
        <f t="shared" si="27"/>
        <v>0.9</v>
      </c>
      <c r="H122" s="2">
        <f t="shared" si="25"/>
        <v>8056.2270192018068</v>
      </c>
    </row>
    <row r="123" spans="1:17">
      <c r="A123" s="2">
        <v>81</v>
      </c>
      <c r="B123" t="s">
        <v>337</v>
      </c>
      <c r="C123" s="2">
        <f t="shared" si="30"/>
        <v>65</v>
      </c>
      <c r="D123" s="2">
        <v>6</v>
      </c>
      <c r="E123" s="2">
        <f t="shared" si="29"/>
        <v>9868.0180722891564</v>
      </c>
      <c r="F123" s="2">
        <f t="shared" si="26"/>
        <v>0.94</v>
      </c>
      <c r="G123" s="2">
        <f t="shared" si="27"/>
        <v>1.21</v>
      </c>
      <c r="H123" s="2">
        <f t="shared" si="25"/>
        <v>11223.883755421686</v>
      </c>
    </row>
    <row r="124" spans="1:17">
      <c r="A124" s="2">
        <v>82</v>
      </c>
      <c r="B124" t="s">
        <v>338</v>
      </c>
      <c r="C124" s="2">
        <f t="shared" si="30"/>
        <v>65</v>
      </c>
      <c r="D124" s="2">
        <v>7</v>
      </c>
      <c r="E124" s="2">
        <f t="shared" si="29"/>
        <v>9899.3731174698805</v>
      </c>
      <c r="F124" s="2">
        <f t="shared" si="26"/>
        <v>0.97</v>
      </c>
      <c r="G124" s="2">
        <f t="shared" si="27"/>
        <v>0.84</v>
      </c>
      <c r="H124" s="2">
        <f t="shared" si="25"/>
        <v>8066.0092161144585</v>
      </c>
    </row>
    <row r="125" spans="1:17">
      <c r="A125" s="2">
        <v>83</v>
      </c>
      <c r="B125" t="s">
        <v>339</v>
      </c>
      <c r="C125" s="2">
        <f t="shared" si="30"/>
        <v>65</v>
      </c>
      <c r="D125" s="2">
        <v>8</v>
      </c>
      <c r="E125" s="2">
        <f t="shared" si="29"/>
        <v>9930.7281626506028</v>
      </c>
      <c r="F125" s="2">
        <f t="shared" si="26"/>
        <v>1</v>
      </c>
      <c r="G125" s="2">
        <f t="shared" si="27"/>
        <v>0.9</v>
      </c>
      <c r="H125" s="2">
        <f t="shared" si="25"/>
        <v>8937.6553463855435</v>
      </c>
    </row>
    <row r="126" spans="1:17">
      <c r="A126" s="2">
        <v>84</v>
      </c>
      <c r="B126" t="s">
        <v>340</v>
      </c>
      <c r="C126" s="2">
        <f t="shared" si="30"/>
        <v>65</v>
      </c>
      <c r="D126" s="2">
        <v>9</v>
      </c>
      <c r="E126" s="2">
        <f t="shared" si="29"/>
        <v>9962.0832078313251</v>
      </c>
      <c r="F126" s="2">
        <f t="shared" si="26"/>
        <v>1.03</v>
      </c>
      <c r="G126" s="2">
        <f t="shared" si="27"/>
        <v>1.22</v>
      </c>
      <c r="H126" s="2">
        <f t="shared" si="25"/>
        <v>12518.353758960844</v>
      </c>
    </row>
    <row r="127" spans="1:17">
      <c r="A127" s="2">
        <v>85</v>
      </c>
      <c r="B127" t="s">
        <v>341</v>
      </c>
      <c r="C127" s="2">
        <f t="shared" si="30"/>
        <v>65</v>
      </c>
      <c r="D127" s="2">
        <v>10</v>
      </c>
      <c r="E127" s="2">
        <f t="shared" si="29"/>
        <v>9993.4382530120474</v>
      </c>
      <c r="F127" s="2">
        <f t="shared" si="26"/>
        <v>1.06</v>
      </c>
      <c r="G127" s="2">
        <f t="shared" si="27"/>
        <v>0.86</v>
      </c>
      <c r="H127" s="2">
        <f t="shared" si="25"/>
        <v>9110.0183114457832</v>
      </c>
    </row>
    <row r="128" spans="1:17">
      <c r="A128" s="2">
        <v>86</v>
      </c>
      <c r="B128" t="s">
        <v>342</v>
      </c>
      <c r="C128" s="2">
        <f t="shared" si="30"/>
        <v>65</v>
      </c>
      <c r="D128" s="2">
        <v>11</v>
      </c>
      <c r="E128" s="2">
        <f t="shared" si="29"/>
        <v>10024.79329819277</v>
      </c>
      <c r="F128" s="2">
        <f t="shared" si="26"/>
        <v>1.0900000000000001</v>
      </c>
      <c r="G128" s="2">
        <f t="shared" si="27"/>
        <v>0.9</v>
      </c>
      <c r="H128" s="2">
        <f t="shared" si="25"/>
        <v>9834.3222255271085</v>
      </c>
    </row>
    <row r="129" spans="1:8">
      <c r="A129" s="2">
        <v>87</v>
      </c>
      <c r="B129" t="s">
        <v>343</v>
      </c>
      <c r="C129" s="2">
        <f t="shared" si="30"/>
        <v>65</v>
      </c>
      <c r="D129" s="2">
        <v>12</v>
      </c>
      <c r="E129" s="2">
        <f t="shared" si="29"/>
        <v>10056.148343373494</v>
      </c>
      <c r="F129" s="2">
        <f t="shared" si="26"/>
        <v>1.1200000000000001</v>
      </c>
      <c r="G129" s="2">
        <f t="shared" si="27"/>
        <v>1.23</v>
      </c>
      <c r="H129" s="2">
        <f t="shared" si="25"/>
        <v>13853.349957831328</v>
      </c>
    </row>
    <row r="130" spans="1:8">
      <c r="A130" s="2">
        <v>88</v>
      </c>
      <c r="B130" t="s">
        <v>344</v>
      </c>
      <c r="C130" s="2">
        <f t="shared" si="30"/>
        <v>65</v>
      </c>
      <c r="D130" s="2">
        <v>13</v>
      </c>
      <c r="E130" s="2">
        <f t="shared" si="29"/>
        <v>10087.503388554218</v>
      </c>
      <c r="F130" s="2">
        <f t="shared" si="26"/>
        <v>1.1500000000000001</v>
      </c>
      <c r="G130" s="2">
        <f t="shared" si="27"/>
        <v>0.88</v>
      </c>
      <c r="H130" s="2">
        <f t="shared" si="25"/>
        <v>10208.55342921687</v>
      </c>
    </row>
    <row r="131" spans="1:8">
      <c r="A131" s="2">
        <v>89</v>
      </c>
      <c r="B131" t="s">
        <v>345</v>
      </c>
      <c r="C131" s="2">
        <f t="shared" si="30"/>
        <v>65</v>
      </c>
      <c r="D131" s="2">
        <v>14</v>
      </c>
      <c r="E131" s="2">
        <f t="shared" si="29"/>
        <v>10118.85843373494</v>
      </c>
      <c r="F131" s="2">
        <f t="shared" si="26"/>
        <v>1.1800000000000002</v>
      </c>
      <c r="G131" s="2">
        <f t="shared" si="27"/>
        <v>0.9</v>
      </c>
      <c r="H131" s="2">
        <f t="shared" si="25"/>
        <v>10746.227656626508</v>
      </c>
    </row>
    <row r="132" spans="1:8">
      <c r="A132" s="2">
        <v>90</v>
      </c>
      <c r="B132" t="s">
        <v>346</v>
      </c>
      <c r="C132" s="2">
        <f t="shared" si="30"/>
        <v>65</v>
      </c>
      <c r="D132" s="2">
        <v>15</v>
      </c>
      <c r="E132" s="2">
        <f t="shared" si="29"/>
        <v>10150.213478915663</v>
      </c>
      <c r="F132" s="2">
        <f t="shared" si="26"/>
        <v>1.2100000000000002</v>
      </c>
      <c r="G132" s="2">
        <f t="shared" si="27"/>
        <v>1.25</v>
      </c>
      <c r="H132" s="2">
        <f t="shared" si="25"/>
        <v>15352.197886859942</v>
      </c>
    </row>
    <row r="133" spans="1:8">
      <c r="A133" s="2">
        <v>91</v>
      </c>
      <c r="B133" t="s">
        <v>347</v>
      </c>
      <c r="C133" s="2">
        <f t="shared" si="30"/>
        <v>70</v>
      </c>
      <c r="D133" s="2">
        <v>1</v>
      </c>
      <c r="E133" s="2">
        <f t="shared" si="29"/>
        <v>10181.568524096385</v>
      </c>
      <c r="F133" s="2">
        <f t="shared" si="26"/>
        <v>0.81999999999999984</v>
      </c>
      <c r="G133" s="2">
        <f t="shared" si="27"/>
        <v>0.8</v>
      </c>
      <c r="H133" s="2">
        <f t="shared" si="25"/>
        <v>6679.1089518072276</v>
      </c>
    </row>
    <row r="134" spans="1:8">
      <c r="A134" s="2">
        <v>92</v>
      </c>
      <c r="B134" t="s">
        <v>348</v>
      </c>
      <c r="C134" s="2">
        <f t="shared" si="30"/>
        <v>70</v>
      </c>
      <c r="D134" s="2">
        <v>2</v>
      </c>
      <c r="E134" s="2">
        <f t="shared" si="29"/>
        <v>10212.923569277107</v>
      </c>
      <c r="F134" s="2">
        <f t="shared" si="26"/>
        <v>0.84999999999999987</v>
      </c>
      <c r="G134" s="2">
        <f t="shared" si="27"/>
        <v>0.9</v>
      </c>
      <c r="H134" s="2">
        <f t="shared" si="25"/>
        <v>7812.8865304969859</v>
      </c>
    </row>
    <row r="135" spans="1:8">
      <c r="A135" s="2">
        <v>93</v>
      </c>
      <c r="B135" t="s">
        <v>349</v>
      </c>
      <c r="C135" s="2">
        <f t="shared" si="30"/>
        <v>70</v>
      </c>
      <c r="D135" s="2">
        <v>3</v>
      </c>
      <c r="E135" s="2">
        <f t="shared" si="29"/>
        <v>10244.278614457831</v>
      </c>
      <c r="F135" s="2">
        <f t="shared" si="26"/>
        <v>0.87999999999999989</v>
      </c>
      <c r="G135" s="2">
        <f t="shared" si="27"/>
        <v>1.2</v>
      </c>
      <c r="H135" s="2">
        <f t="shared" si="25"/>
        <v>10817.95821686747</v>
      </c>
    </row>
    <row r="136" spans="1:8">
      <c r="A136" s="2">
        <v>94</v>
      </c>
      <c r="B136" t="s">
        <v>350</v>
      </c>
      <c r="C136" s="2">
        <f t="shared" si="30"/>
        <v>70</v>
      </c>
      <c r="D136" s="2">
        <v>4</v>
      </c>
      <c r="E136" s="2">
        <f t="shared" si="29"/>
        <v>10275.633659638555</v>
      </c>
      <c r="F136" s="2">
        <f t="shared" si="26"/>
        <v>0.90999999999999992</v>
      </c>
      <c r="G136" s="2">
        <f t="shared" si="27"/>
        <v>0.82</v>
      </c>
      <c r="H136" s="2">
        <f t="shared" si="25"/>
        <v>7667.6778368222895</v>
      </c>
    </row>
    <row r="137" spans="1:8">
      <c r="A137" s="2">
        <v>95</v>
      </c>
      <c r="B137" t="s">
        <v>351</v>
      </c>
      <c r="C137" s="2">
        <f t="shared" si="30"/>
        <v>70</v>
      </c>
      <c r="D137" s="2">
        <v>5</v>
      </c>
      <c r="E137" s="2">
        <f t="shared" si="29"/>
        <v>10306.988704819278</v>
      </c>
      <c r="F137" s="2">
        <f t="shared" si="26"/>
        <v>0.94</v>
      </c>
      <c r="G137" s="2">
        <f t="shared" si="27"/>
        <v>0.9</v>
      </c>
      <c r="H137" s="2">
        <f t="shared" si="25"/>
        <v>8719.7124442771092</v>
      </c>
    </row>
    <row r="138" spans="1:8">
      <c r="A138" s="2">
        <v>96</v>
      </c>
      <c r="B138" t="s">
        <v>352</v>
      </c>
      <c r="C138" s="2">
        <f t="shared" si="30"/>
        <v>70</v>
      </c>
      <c r="D138" s="2">
        <v>6</v>
      </c>
      <c r="E138" s="2">
        <f t="shared" si="29"/>
        <v>10338.34375</v>
      </c>
      <c r="F138" s="2">
        <f t="shared" si="26"/>
        <v>0.97</v>
      </c>
      <c r="G138" s="2">
        <f t="shared" si="27"/>
        <v>1.21</v>
      </c>
      <c r="H138" s="2">
        <f t="shared" si="25"/>
        <v>12134.114059375001</v>
      </c>
    </row>
    <row r="139" spans="1:8">
      <c r="A139" s="2">
        <v>97</v>
      </c>
      <c r="B139" t="s">
        <v>353</v>
      </c>
      <c r="C139" s="2">
        <f t="shared" si="30"/>
        <v>70</v>
      </c>
      <c r="D139" s="2">
        <v>7</v>
      </c>
      <c r="E139" s="2">
        <f t="shared" ref="E139:E170" si="31">((VLOOKUP(C139,$J$13:$O$112,6,0)-VLOOKUP(C139-5,$J$13:$O$112,6,0))/15*(D139-1)+VLOOKUP(C139-5,$J$13:$O$112,6,0))/$B$10</f>
        <v>10369.698795180722</v>
      </c>
      <c r="F139" s="2">
        <f t="shared" si="26"/>
        <v>1</v>
      </c>
      <c r="G139" s="2">
        <f t="shared" si="27"/>
        <v>0.84</v>
      </c>
      <c r="H139" s="2">
        <f t="shared" si="25"/>
        <v>8710.5469879518059</v>
      </c>
    </row>
    <row r="140" spans="1:8">
      <c r="A140" s="2">
        <v>98</v>
      </c>
      <c r="B140" t="s">
        <v>354</v>
      </c>
      <c r="C140" s="2">
        <f t="shared" si="30"/>
        <v>70</v>
      </c>
      <c r="D140" s="2">
        <v>8</v>
      </c>
      <c r="E140" s="2">
        <f t="shared" si="31"/>
        <v>10401.053840361445</v>
      </c>
      <c r="F140" s="2">
        <f t="shared" si="26"/>
        <v>1.03</v>
      </c>
      <c r="G140" s="2">
        <f t="shared" si="27"/>
        <v>0.9</v>
      </c>
      <c r="H140" s="2">
        <f t="shared" si="25"/>
        <v>9641.7769100150599</v>
      </c>
    </row>
    <row r="141" spans="1:8">
      <c r="A141" s="2">
        <v>99</v>
      </c>
      <c r="B141" t="s">
        <v>355</v>
      </c>
      <c r="C141" s="2">
        <f t="shared" si="30"/>
        <v>70</v>
      </c>
      <c r="D141" s="2">
        <v>9</v>
      </c>
      <c r="E141" s="2">
        <f t="shared" si="31"/>
        <v>10432.408885542169</v>
      </c>
      <c r="F141" s="2">
        <f t="shared" si="26"/>
        <v>1.06</v>
      </c>
      <c r="G141" s="2">
        <f t="shared" si="27"/>
        <v>1.22</v>
      </c>
      <c r="H141" s="2">
        <f t="shared" si="25"/>
        <v>13491.191170783133</v>
      </c>
    </row>
    <row r="142" spans="1:8">
      <c r="A142" s="2">
        <v>100</v>
      </c>
      <c r="B142" t="s">
        <v>356</v>
      </c>
      <c r="C142" s="2">
        <f t="shared" si="30"/>
        <v>70</v>
      </c>
      <c r="D142" s="2">
        <v>10</v>
      </c>
      <c r="E142" s="2">
        <f t="shared" si="31"/>
        <v>10463.763930722893</v>
      </c>
      <c r="F142" s="2">
        <f t="shared" si="26"/>
        <v>1.0900000000000001</v>
      </c>
      <c r="G142" s="2">
        <f t="shared" si="27"/>
        <v>0.86</v>
      </c>
      <c r="H142" s="2">
        <f t="shared" ref="H142:H177" si="32">E142*F142*G142</f>
        <v>9808.7323086596407</v>
      </c>
    </row>
    <row r="143" spans="1:8">
      <c r="A143" s="2">
        <v>101</v>
      </c>
      <c r="B143" t="s">
        <v>357</v>
      </c>
      <c r="C143" s="2">
        <f t="shared" si="30"/>
        <v>70</v>
      </c>
      <c r="D143" s="2">
        <v>11</v>
      </c>
      <c r="E143" s="2">
        <f t="shared" si="31"/>
        <v>10495.118975903615</v>
      </c>
      <c r="F143" s="2">
        <f t="shared" si="26"/>
        <v>1.1200000000000001</v>
      </c>
      <c r="G143" s="2">
        <f t="shared" si="27"/>
        <v>0.9</v>
      </c>
      <c r="H143" s="2">
        <f t="shared" si="32"/>
        <v>10579.079927710845</v>
      </c>
    </row>
    <row r="144" spans="1:8">
      <c r="A144" s="2">
        <v>102</v>
      </c>
      <c r="B144" t="s">
        <v>358</v>
      </c>
      <c r="C144" s="2">
        <f t="shared" si="30"/>
        <v>70</v>
      </c>
      <c r="D144" s="2">
        <v>12</v>
      </c>
      <c r="E144" s="2">
        <f t="shared" si="31"/>
        <v>10526.474021084337</v>
      </c>
      <c r="F144" s="2">
        <f t="shared" si="26"/>
        <v>1.1500000000000001</v>
      </c>
      <c r="G144" s="2">
        <f t="shared" si="27"/>
        <v>1.23</v>
      </c>
      <c r="H144" s="2">
        <f t="shared" si="32"/>
        <v>14889.697502823798</v>
      </c>
    </row>
    <row r="145" spans="1:8">
      <c r="A145" s="2">
        <v>103</v>
      </c>
      <c r="B145" t="s">
        <v>359</v>
      </c>
      <c r="C145" s="2">
        <f t="shared" si="30"/>
        <v>70</v>
      </c>
      <c r="D145" s="2">
        <v>13</v>
      </c>
      <c r="E145" s="2">
        <f t="shared" si="31"/>
        <v>10557.82906626506</v>
      </c>
      <c r="F145" s="2">
        <f t="shared" si="26"/>
        <v>1.1800000000000002</v>
      </c>
      <c r="G145" s="2">
        <f t="shared" si="27"/>
        <v>0.88</v>
      </c>
      <c r="H145" s="2">
        <f t="shared" si="32"/>
        <v>10963.249702409641</v>
      </c>
    </row>
    <row r="146" spans="1:8">
      <c r="A146" s="2">
        <v>104</v>
      </c>
      <c r="B146" t="s">
        <v>360</v>
      </c>
      <c r="C146" s="2">
        <f t="shared" si="30"/>
        <v>70</v>
      </c>
      <c r="D146" s="2">
        <v>14</v>
      </c>
      <c r="E146" s="2">
        <f t="shared" si="31"/>
        <v>10589.184111445784</v>
      </c>
      <c r="F146" s="2">
        <f t="shared" si="26"/>
        <v>1.2100000000000002</v>
      </c>
      <c r="G146" s="2">
        <f t="shared" si="27"/>
        <v>0.9</v>
      </c>
      <c r="H146" s="2">
        <f t="shared" si="32"/>
        <v>11531.621497364462</v>
      </c>
    </row>
    <row r="147" spans="1:8">
      <c r="A147" s="2">
        <v>105</v>
      </c>
      <c r="B147" t="s">
        <v>361</v>
      </c>
      <c r="C147" s="2">
        <f t="shared" si="30"/>
        <v>70</v>
      </c>
      <c r="D147" s="2">
        <v>15</v>
      </c>
      <c r="E147" s="2">
        <f t="shared" si="31"/>
        <v>10620.539156626506</v>
      </c>
      <c r="F147" s="2">
        <f t="shared" si="26"/>
        <v>1.2400000000000002</v>
      </c>
      <c r="G147" s="2">
        <f t="shared" si="27"/>
        <v>1.25</v>
      </c>
      <c r="H147" s="2">
        <f t="shared" si="32"/>
        <v>16461.835692771088</v>
      </c>
    </row>
    <row r="148" spans="1:8">
      <c r="A148" s="2">
        <v>106</v>
      </c>
      <c r="B148" t="s">
        <v>362</v>
      </c>
      <c r="C148" s="2">
        <f t="shared" si="30"/>
        <v>75</v>
      </c>
      <c r="D148" s="2">
        <v>1</v>
      </c>
      <c r="E148" s="2">
        <f t="shared" si="31"/>
        <v>10651.89420180723</v>
      </c>
      <c r="F148" s="2">
        <f t="shared" si="26"/>
        <v>0.84999999999999987</v>
      </c>
      <c r="G148" s="2">
        <f t="shared" si="27"/>
        <v>0.8</v>
      </c>
      <c r="H148" s="2">
        <f t="shared" si="32"/>
        <v>7243.2880572289159</v>
      </c>
    </row>
    <row r="149" spans="1:8">
      <c r="A149" s="2">
        <v>107</v>
      </c>
      <c r="B149" t="s">
        <v>363</v>
      </c>
      <c r="C149" s="2">
        <f t="shared" si="30"/>
        <v>75</v>
      </c>
      <c r="D149" s="2">
        <v>2</v>
      </c>
      <c r="E149" s="2">
        <f t="shared" si="31"/>
        <v>10683.249246987953</v>
      </c>
      <c r="F149" s="2">
        <f t="shared" si="26"/>
        <v>0.87999999999999989</v>
      </c>
      <c r="G149" s="2">
        <f t="shared" si="27"/>
        <v>0.9</v>
      </c>
      <c r="H149" s="2">
        <f t="shared" si="32"/>
        <v>8461.1334036144563</v>
      </c>
    </row>
    <row r="150" spans="1:8">
      <c r="A150" s="2">
        <v>108</v>
      </c>
      <c r="B150" t="s">
        <v>364</v>
      </c>
      <c r="C150" s="2">
        <f t="shared" si="30"/>
        <v>75</v>
      </c>
      <c r="D150" s="2">
        <v>3</v>
      </c>
      <c r="E150" s="2">
        <f t="shared" si="31"/>
        <v>10714.604292168675</v>
      </c>
      <c r="F150" s="2">
        <f t="shared" si="26"/>
        <v>0.90999999999999992</v>
      </c>
      <c r="G150" s="2">
        <f t="shared" si="27"/>
        <v>1.2</v>
      </c>
      <c r="H150" s="2">
        <f t="shared" si="32"/>
        <v>11700.34788704819</v>
      </c>
    </row>
    <row r="151" spans="1:8">
      <c r="A151" s="2">
        <v>109</v>
      </c>
      <c r="B151" t="s">
        <v>365</v>
      </c>
      <c r="C151" s="2">
        <f t="shared" si="30"/>
        <v>75</v>
      </c>
      <c r="D151" s="2">
        <v>4</v>
      </c>
      <c r="E151" s="2">
        <f t="shared" si="31"/>
        <v>10745.959337349397</v>
      </c>
      <c r="F151" s="2">
        <f t="shared" si="26"/>
        <v>0.94</v>
      </c>
      <c r="G151" s="2">
        <f t="shared" si="27"/>
        <v>0.82</v>
      </c>
      <c r="H151" s="2">
        <f t="shared" si="32"/>
        <v>8282.9854572289132</v>
      </c>
    </row>
    <row r="152" spans="1:8">
      <c r="A152" s="2">
        <v>110</v>
      </c>
      <c r="B152" t="s">
        <v>366</v>
      </c>
      <c r="C152" s="2">
        <f t="shared" si="30"/>
        <v>75</v>
      </c>
      <c r="D152" s="2">
        <v>5</v>
      </c>
      <c r="E152" s="2">
        <f t="shared" si="31"/>
        <v>10777.314382530121</v>
      </c>
      <c r="F152" s="2">
        <f t="shared" si="26"/>
        <v>0.97</v>
      </c>
      <c r="G152" s="2">
        <f t="shared" si="27"/>
        <v>0.9</v>
      </c>
      <c r="H152" s="2">
        <f t="shared" si="32"/>
        <v>9408.5954559487964</v>
      </c>
    </row>
    <row r="153" spans="1:8">
      <c r="A153" s="2">
        <v>111</v>
      </c>
      <c r="B153" t="s">
        <v>367</v>
      </c>
      <c r="C153" s="2">
        <f t="shared" si="30"/>
        <v>75</v>
      </c>
      <c r="D153" s="2">
        <v>6</v>
      </c>
      <c r="E153" s="2">
        <f t="shared" si="31"/>
        <v>10808.669427710844</v>
      </c>
      <c r="F153" s="2">
        <f t="shared" si="26"/>
        <v>1</v>
      </c>
      <c r="G153" s="2">
        <f t="shared" si="27"/>
        <v>1.21</v>
      </c>
      <c r="H153" s="2">
        <f t="shared" si="32"/>
        <v>13078.490007530121</v>
      </c>
    </row>
    <row r="154" spans="1:8">
      <c r="A154" s="2">
        <v>112</v>
      </c>
      <c r="B154" t="s">
        <v>368</v>
      </c>
      <c r="C154" s="2">
        <f t="shared" si="30"/>
        <v>75</v>
      </c>
      <c r="D154" s="2">
        <v>7</v>
      </c>
      <c r="E154" s="2">
        <f t="shared" si="31"/>
        <v>10840.024472891568</v>
      </c>
      <c r="F154" s="2">
        <f t="shared" si="26"/>
        <v>1.03</v>
      </c>
      <c r="G154" s="2">
        <f t="shared" si="27"/>
        <v>0.84</v>
      </c>
      <c r="H154" s="2">
        <f t="shared" si="32"/>
        <v>9378.7891739457827</v>
      </c>
    </row>
    <row r="155" spans="1:8">
      <c r="A155" s="2">
        <v>113</v>
      </c>
      <c r="B155" t="s">
        <v>369</v>
      </c>
      <c r="C155" s="2">
        <f t="shared" si="30"/>
        <v>75</v>
      </c>
      <c r="D155" s="2">
        <v>8</v>
      </c>
      <c r="E155" s="2">
        <f t="shared" si="31"/>
        <v>10871.37951807229</v>
      </c>
      <c r="F155" s="2">
        <f t="shared" si="26"/>
        <v>1.06</v>
      </c>
      <c r="G155" s="2">
        <f t="shared" si="27"/>
        <v>0.9</v>
      </c>
      <c r="H155" s="2">
        <f t="shared" si="32"/>
        <v>10371.296060240966</v>
      </c>
    </row>
    <row r="156" spans="1:8">
      <c r="A156" s="2">
        <v>114</v>
      </c>
      <c r="B156" t="s">
        <v>370</v>
      </c>
      <c r="C156" s="2">
        <f t="shared" si="30"/>
        <v>75</v>
      </c>
      <c r="D156" s="2">
        <v>9</v>
      </c>
      <c r="E156" s="2">
        <f t="shared" si="31"/>
        <v>10902.734563253012</v>
      </c>
      <c r="F156" s="2">
        <f t="shared" si="26"/>
        <v>1.0900000000000001</v>
      </c>
      <c r="G156" s="2">
        <f t="shared" si="27"/>
        <v>1.22</v>
      </c>
      <c r="H156" s="2">
        <f t="shared" si="32"/>
        <v>14498.456422213856</v>
      </c>
    </row>
    <row r="157" spans="1:8">
      <c r="A157" s="2">
        <v>115</v>
      </c>
      <c r="B157" t="s">
        <v>371</v>
      </c>
      <c r="C157" s="2">
        <f t="shared" si="30"/>
        <v>75</v>
      </c>
      <c r="D157" s="2">
        <v>10</v>
      </c>
      <c r="E157" s="2">
        <f t="shared" si="31"/>
        <v>10934.089608433735</v>
      </c>
      <c r="F157" s="2">
        <f t="shared" ref="F157:F177" si="33">F142+$F$11</f>
        <v>1.1200000000000001</v>
      </c>
      <c r="G157" s="2">
        <f t="shared" ref="G157:G177" si="34">G142</f>
        <v>0.86</v>
      </c>
      <c r="H157" s="2">
        <f t="shared" si="32"/>
        <v>10531.715110843374</v>
      </c>
    </row>
    <row r="158" spans="1:8">
      <c r="A158" s="2">
        <v>116</v>
      </c>
      <c r="B158" t="s">
        <v>372</v>
      </c>
      <c r="C158" s="2">
        <f t="shared" si="30"/>
        <v>75</v>
      </c>
      <c r="D158" s="2">
        <v>11</v>
      </c>
      <c r="E158" s="2">
        <f t="shared" si="31"/>
        <v>10965.444653614457</v>
      </c>
      <c r="F158" s="2">
        <f t="shared" si="33"/>
        <v>1.1500000000000001</v>
      </c>
      <c r="G158" s="2">
        <f t="shared" si="34"/>
        <v>0.9</v>
      </c>
      <c r="H158" s="2">
        <f t="shared" si="32"/>
        <v>11349.235216490964</v>
      </c>
    </row>
    <row r="159" spans="1:8">
      <c r="A159" s="2">
        <v>117</v>
      </c>
      <c r="B159" t="s">
        <v>373</v>
      </c>
      <c r="C159" s="2">
        <f t="shared" si="30"/>
        <v>75</v>
      </c>
      <c r="D159" s="2">
        <v>12</v>
      </c>
      <c r="E159" s="2">
        <f t="shared" si="31"/>
        <v>10996.799698795181</v>
      </c>
      <c r="F159" s="2">
        <f t="shared" si="33"/>
        <v>1.1800000000000002</v>
      </c>
      <c r="G159" s="2">
        <f t="shared" si="34"/>
        <v>1.23</v>
      </c>
      <c r="H159" s="2">
        <f t="shared" si="32"/>
        <v>15960.755082831327</v>
      </c>
    </row>
    <row r="160" spans="1:8">
      <c r="A160" s="2">
        <v>118</v>
      </c>
      <c r="B160" t="s">
        <v>374</v>
      </c>
      <c r="C160" s="2">
        <f t="shared" si="30"/>
        <v>75</v>
      </c>
      <c r="D160" s="2">
        <v>13</v>
      </c>
      <c r="E160" s="2">
        <f t="shared" si="31"/>
        <v>11028.154743975905</v>
      </c>
      <c r="F160" s="2">
        <f t="shared" si="33"/>
        <v>1.2100000000000002</v>
      </c>
      <c r="G160" s="2">
        <f t="shared" si="34"/>
        <v>0.88</v>
      </c>
      <c r="H160" s="2">
        <f t="shared" si="32"/>
        <v>11742.779171385546</v>
      </c>
    </row>
    <row r="161" spans="1:8">
      <c r="A161" s="2">
        <v>119</v>
      </c>
      <c r="B161" t="s">
        <v>375</v>
      </c>
      <c r="C161" s="2">
        <f t="shared" si="30"/>
        <v>75</v>
      </c>
      <c r="D161" s="2">
        <v>14</v>
      </c>
      <c r="E161" s="2">
        <f t="shared" si="31"/>
        <v>11059.509789156627</v>
      </c>
      <c r="F161" s="2">
        <f t="shared" si="33"/>
        <v>1.2400000000000002</v>
      </c>
      <c r="G161" s="2">
        <f t="shared" si="34"/>
        <v>0.9</v>
      </c>
      <c r="H161" s="2">
        <f t="shared" si="32"/>
        <v>12342.412924698798</v>
      </c>
    </row>
    <row r="162" spans="1:8">
      <c r="A162" s="2">
        <v>120</v>
      </c>
      <c r="B162" t="s">
        <v>376</v>
      </c>
      <c r="C162" s="2">
        <f t="shared" si="30"/>
        <v>75</v>
      </c>
      <c r="D162" s="2">
        <v>15</v>
      </c>
      <c r="E162" s="2">
        <f t="shared" si="31"/>
        <v>11090.86483433735</v>
      </c>
      <c r="F162" s="2">
        <f t="shared" si="33"/>
        <v>1.2700000000000002</v>
      </c>
      <c r="G162" s="2">
        <f t="shared" si="34"/>
        <v>1.25</v>
      </c>
      <c r="H162" s="2">
        <f t="shared" si="32"/>
        <v>17606.747924510546</v>
      </c>
    </row>
    <row r="163" spans="1:8">
      <c r="A163" s="2">
        <v>121</v>
      </c>
      <c r="B163" t="s">
        <v>377</v>
      </c>
      <c r="C163" s="2">
        <f t="shared" si="30"/>
        <v>80</v>
      </c>
      <c r="D163" s="2">
        <v>1</v>
      </c>
      <c r="E163" s="2">
        <f t="shared" si="31"/>
        <v>11122.219879518072</v>
      </c>
      <c r="F163" s="2">
        <f t="shared" si="33"/>
        <v>0.87999999999999989</v>
      </c>
      <c r="G163" s="2">
        <f t="shared" si="34"/>
        <v>0.8</v>
      </c>
      <c r="H163" s="2">
        <f t="shared" si="32"/>
        <v>7830.0427951807214</v>
      </c>
    </row>
    <row r="164" spans="1:8">
      <c r="A164" s="2">
        <v>122</v>
      </c>
      <c r="B164" t="s">
        <v>378</v>
      </c>
      <c r="C164" s="2">
        <f t="shared" si="30"/>
        <v>80</v>
      </c>
      <c r="D164" s="2">
        <v>2</v>
      </c>
      <c r="E164" s="2">
        <f t="shared" si="31"/>
        <v>11153.574924698794</v>
      </c>
      <c r="F164" s="2">
        <f t="shared" si="33"/>
        <v>0.90999999999999992</v>
      </c>
      <c r="G164" s="2">
        <f t="shared" si="34"/>
        <v>0.9</v>
      </c>
      <c r="H164" s="2">
        <f t="shared" si="32"/>
        <v>9134.7778633283124</v>
      </c>
    </row>
    <row r="165" spans="1:8">
      <c r="A165" s="2">
        <v>123</v>
      </c>
      <c r="B165" t="s">
        <v>379</v>
      </c>
      <c r="C165" s="2">
        <f t="shared" si="30"/>
        <v>80</v>
      </c>
      <c r="D165" s="2">
        <v>3</v>
      </c>
      <c r="E165" s="2">
        <f t="shared" si="31"/>
        <v>11184.929969879518</v>
      </c>
      <c r="F165" s="2">
        <f t="shared" si="33"/>
        <v>0.94</v>
      </c>
      <c r="G165" s="2">
        <f t="shared" si="34"/>
        <v>1.2</v>
      </c>
      <c r="H165" s="2">
        <f t="shared" si="32"/>
        <v>12616.601006024097</v>
      </c>
    </row>
    <row r="166" spans="1:8">
      <c r="A166" s="2">
        <v>124</v>
      </c>
      <c r="B166" t="s">
        <v>380</v>
      </c>
      <c r="C166" s="2">
        <f t="shared" si="30"/>
        <v>80</v>
      </c>
      <c r="D166" s="2">
        <v>4</v>
      </c>
      <c r="E166" s="2">
        <f t="shared" si="31"/>
        <v>11216.285015060241</v>
      </c>
      <c r="F166" s="2">
        <f t="shared" si="33"/>
        <v>0.97</v>
      </c>
      <c r="G166" s="2">
        <f t="shared" si="34"/>
        <v>0.82</v>
      </c>
      <c r="H166" s="2">
        <f t="shared" si="32"/>
        <v>8921.4331009789148</v>
      </c>
    </row>
    <row r="167" spans="1:8">
      <c r="A167" s="2">
        <v>125</v>
      </c>
      <c r="B167" t="s">
        <v>381</v>
      </c>
      <c r="C167" s="2">
        <f t="shared" si="30"/>
        <v>80</v>
      </c>
      <c r="D167" s="2">
        <v>5</v>
      </c>
      <c r="E167" s="2">
        <f t="shared" si="31"/>
        <v>11247.640060240965</v>
      </c>
      <c r="F167" s="2">
        <f t="shared" si="33"/>
        <v>1</v>
      </c>
      <c r="G167" s="2">
        <f t="shared" si="34"/>
        <v>0.9</v>
      </c>
      <c r="H167" s="2">
        <f t="shared" si="32"/>
        <v>10122.876054216869</v>
      </c>
    </row>
    <row r="168" spans="1:8">
      <c r="A168" s="2">
        <v>126</v>
      </c>
      <c r="B168" t="s">
        <v>382</v>
      </c>
      <c r="C168" s="2">
        <f t="shared" si="30"/>
        <v>80</v>
      </c>
      <c r="D168" s="2">
        <v>6</v>
      </c>
      <c r="E168" s="2">
        <f t="shared" si="31"/>
        <v>11278.995105421687</v>
      </c>
      <c r="F168" s="2">
        <f t="shared" si="33"/>
        <v>1.03</v>
      </c>
      <c r="G168" s="2">
        <f t="shared" si="34"/>
        <v>1.21</v>
      </c>
      <c r="H168" s="2">
        <f t="shared" si="32"/>
        <v>14057.011599887048</v>
      </c>
    </row>
    <row r="169" spans="1:8">
      <c r="A169" s="2">
        <v>127</v>
      </c>
      <c r="B169" t="s">
        <v>383</v>
      </c>
      <c r="C169" s="2">
        <f t="shared" si="30"/>
        <v>80</v>
      </c>
      <c r="D169" s="2">
        <v>7</v>
      </c>
      <c r="E169" s="2">
        <f t="shared" si="31"/>
        <v>11310.350150602409</v>
      </c>
      <c r="F169" s="2">
        <f t="shared" si="33"/>
        <v>1.06</v>
      </c>
      <c r="G169" s="2">
        <f t="shared" si="34"/>
        <v>0.84</v>
      </c>
      <c r="H169" s="2">
        <f t="shared" si="32"/>
        <v>10070.735774096385</v>
      </c>
    </row>
    <row r="170" spans="1:8">
      <c r="A170" s="2">
        <v>128</v>
      </c>
      <c r="B170" t="s">
        <v>384</v>
      </c>
      <c r="C170" s="2">
        <f t="shared" si="30"/>
        <v>80</v>
      </c>
      <c r="D170" s="2">
        <v>8</v>
      </c>
      <c r="E170" s="2">
        <f t="shared" si="31"/>
        <v>11341.705195783132</v>
      </c>
      <c r="F170" s="2">
        <f t="shared" si="33"/>
        <v>1.0900000000000001</v>
      </c>
      <c r="G170" s="2">
        <f t="shared" si="34"/>
        <v>0.9</v>
      </c>
      <c r="H170" s="2">
        <f t="shared" si="32"/>
        <v>11126.212797063254</v>
      </c>
    </row>
    <row r="171" spans="1:8">
      <c r="A171" s="2">
        <v>129</v>
      </c>
      <c r="B171" t="s">
        <v>385</v>
      </c>
      <c r="C171" s="2">
        <f t="shared" si="30"/>
        <v>80</v>
      </c>
      <c r="D171" s="2">
        <v>9</v>
      </c>
      <c r="E171" s="2">
        <f t="shared" ref="E171:E177" si="35">((VLOOKUP(C171,$J$13:$O$112,6,0)-VLOOKUP(C171-5,$J$13:$O$112,6,0))/15*(D171-1)+VLOOKUP(C171-5,$J$13:$O$112,6,0))/$B$10</f>
        <v>11373.060240963856</v>
      </c>
      <c r="F171" s="2">
        <f t="shared" si="33"/>
        <v>1.1200000000000001</v>
      </c>
      <c r="G171" s="2">
        <f t="shared" si="34"/>
        <v>1.22</v>
      </c>
      <c r="H171" s="2">
        <f t="shared" si="32"/>
        <v>15540.149513253013</v>
      </c>
    </row>
    <row r="172" spans="1:8">
      <c r="A172" s="2">
        <v>130</v>
      </c>
      <c r="B172" t="s">
        <v>386</v>
      </c>
      <c r="C172" s="2">
        <f t="shared" ref="C172:C177" si="36">INT((A172-1)/15)*5+40</f>
        <v>80</v>
      </c>
      <c r="D172" s="2">
        <v>10</v>
      </c>
      <c r="E172" s="2">
        <f t="shared" si="35"/>
        <v>11404.415286144578</v>
      </c>
      <c r="F172" s="2">
        <f t="shared" si="33"/>
        <v>1.1500000000000001</v>
      </c>
      <c r="G172" s="2">
        <f t="shared" si="34"/>
        <v>0.86</v>
      </c>
      <c r="H172" s="2">
        <f t="shared" si="32"/>
        <v>11278.966717996989</v>
      </c>
    </row>
    <row r="173" spans="1:8">
      <c r="A173" s="2">
        <v>131</v>
      </c>
      <c r="B173" t="s">
        <v>387</v>
      </c>
      <c r="C173" s="2">
        <f t="shared" si="36"/>
        <v>80</v>
      </c>
      <c r="D173" s="2">
        <v>11</v>
      </c>
      <c r="E173" s="2">
        <f t="shared" si="35"/>
        <v>11435.770331325301</v>
      </c>
      <c r="F173" s="2">
        <f t="shared" si="33"/>
        <v>1.1800000000000002</v>
      </c>
      <c r="G173" s="2">
        <f t="shared" si="34"/>
        <v>0.9</v>
      </c>
      <c r="H173" s="2">
        <f t="shared" si="32"/>
        <v>12144.788091867471</v>
      </c>
    </row>
    <row r="174" spans="1:8">
      <c r="A174" s="2">
        <v>132</v>
      </c>
      <c r="B174" t="s">
        <v>388</v>
      </c>
      <c r="C174" s="2">
        <f t="shared" si="36"/>
        <v>80</v>
      </c>
      <c r="D174" s="2">
        <v>12</v>
      </c>
      <c r="E174" s="2">
        <f t="shared" si="35"/>
        <v>11467.125376506023</v>
      </c>
      <c r="F174" s="2">
        <f t="shared" si="33"/>
        <v>1.2100000000000002</v>
      </c>
      <c r="G174" s="2">
        <f t="shared" si="34"/>
        <v>1.23</v>
      </c>
      <c r="H174" s="2">
        <f t="shared" si="32"/>
        <v>17066.522697853918</v>
      </c>
    </row>
    <row r="175" spans="1:8">
      <c r="A175" s="2">
        <v>133</v>
      </c>
      <c r="B175" t="s">
        <v>389</v>
      </c>
      <c r="C175" s="2">
        <f t="shared" si="36"/>
        <v>80</v>
      </c>
      <c r="D175" s="2">
        <v>13</v>
      </c>
      <c r="E175" s="2">
        <f t="shared" si="35"/>
        <v>11498.480421686747</v>
      </c>
      <c r="F175" s="2">
        <f t="shared" si="33"/>
        <v>1.2400000000000002</v>
      </c>
      <c r="G175" s="2">
        <f t="shared" si="34"/>
        <v>0.88</v>
      </c>
      <c r="H175" s="2">
        <f t="shared" si="32"/>
        <v>12547.141836144581</v>
      </c>
    </row>
    <row r="176" spans="1:8">
      <c r="A176" s="2">
        <v>134</v>
      </c>
      <c r="B176" t="s">
        <v>390</v>
      </c>
      <c r="C176" s="2">
        <f t="shared" si="36"/>
        <v>80</v>
      </c>
      <c r="D176" s="2">
        <v>14</v>
      </c>
      <c r="E176" s="2">
        <f t="shared" si="35"/>
        <v>11529.835466867469</v>
      </c>
      <c r="F176" s="2">
        <f t="shared" si="33"/>
        <v>1.2700000000000002</v>
      </c>
      <c r="G176" s="2">
        <f t="shared" si="34"/>
        <v>0.9</v>
      </c>
      <c r="H176" s="2">
        <f t="shared" si="32"/>
        <v>13178.601938629519</v>
      </c>
    </row>
    <row r="177" spans="1:8">
      <c r="A177" s="2">
        <v>135</v>
      </c>
      <c r="B177" t="s">
        <v>391</v>
      </c>
      <c r="C177" s="2">
        <f t="shared" si="36"/>
        <v>80</v>
      </c>
      <c r="D177" s="2">
        <v>15</v>
      </c>
      <c r="E177" s="2">
        <f t="shared" si="35"/>
        <v>11561.190512048193</v>
      </c>
      <c r="F177" s="2">
        <f t="shared" si="33"/>
        <v>1.3000000000000003</v>
      </c>
      <c r="G177" s="2">
        <f t="shared" si="34"/>
        <v>1.25</v>
      </c>
      <c r="H177" s="2">
        <f t="shared" si="32"/>
        <v>18786.934582078316</v>
      </c>
    </row>
    <row r="178" spans="1:8">
      <c r="E178" s="54">
        <f>SUM(E163:E177)</f>
        <v>170125.57793674694</v>
      </c>
      <c r="H178" s="54">
        <f>SUM(H163:H177)</f>
        <v>184422.7963685994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92"/>
  <sheetViews>
    <sheetView topLeftCell="A4" workbookViewId="0">
      <selection activeCell="D36" sqref="D36"/>
    </sheetView>
  </sheetViews>
  <sheetFormatPr defaultRowHeight="13.5"/>
  <cols>
    <col min="1" max="1" width="13.125" customWidth="1"/>
    <col min="2" max="2" width="17.25" bestFit="1" customWidth="1"/>
    <col min="3" max="3" width="12.75" bestFit="1" customWidth="1"/>
    <col min="9" max="9" width="15.5" customWidth="1"/>
    <col min="11" max="11" width="13.75" customWidth="1"/>
    <col min="12" max="12" width="12.125" customWidth="1"/>
    <col min="13" max="13" width="13.875" bestFit="1" customWidth="1"/>
    <col min="14" max="14" width="23.5" customWidth="1"/>
  </cols>
  <sheetData>
    <row r="1" spans="1:50">
      <c r="A1" s="2" t="s">
        <v>232</v>
      </c>
      <c r="B1" s="2" t="s">
        <v>236</v>
      </c>
      <c r="AB1" t="s">
        <v>595</v>
      </c>
      <c r="AC1">
        <v>4</v>
      </c>
      <c r="AV1" s="2" t="s">
        <v>627</v>
      </c>
      <c r="AW1" s="2" t="s">
        <v>628</v>
      </c>
      <c r="AX1" s="2" t="s">
        <v>629</v>
      </c>
    </row>
    <row r="2" spans="1:50">
      <c r="A2" s="2" t="s">
        <v>233</v>
      </c>
      <c r="B2" s="2" t="s">
        <v>235</v>
      </c>
      <c r="N2" t="s">
        <v>429</v>
      </c>
      <c r="O2">
        <f>[14]价值评估!$E$3*C7*'0、经济设定'!C18</f>
        <v>368271.78325412271</v>
      </c>
      <c r="P2" t="s">
        <v>253</v>
      </c>
      <c r="Q2" t="s">
        <v>254</v>
      </c>
      <c r="AB2" t="s">
        <v>599</v>
      </c>
      <c r="AC2">
        <v>186</v>
      </c>
      <c r="AV2" s="2">
        <v>1</v>
      </c>
      <c r="AW2" s="2">
        <f>[14]D_马仔升星灵魂石!$E2</f>
        <v>10</v>
      </c>
      <c r="AX2" s="2">
        <f>AW2</f>
        <v>10</v>
      </c>
    </row>
    <row r="3" spans="1:50">
      <c r="A3" s="2" t="s">
        <v>234</v>
      </c>
      <c r="B3" s="2" t="s">
        <v>237</v>
      </c>
      <c r="P3" s="2">
        <f>[10]D_道具表!A91</f>
        <v>71010</v>
      </c>
      <c r="Q3" s="2" t="str">
        <f>[10]D_道具表!B91</f>
        <v>部位材料(衣服)</v>
      </c>
      <c r="R3" s="2">
        <v>100</v>
      </c>
      <c r="AV3" s="2">
        <v>2</v>
      </c>
      <c r="AW3" s="2">
        <f>[14]D_马仔升星灵魂石!$E3</f>
        <v>20</v>
      </c>
      <c r="AX3" s="2">
        <f t="shared" ref="AX3:AX11" si="0">AX2+AW3</f>
        <v>30</v>
      </c>
    </row>
    <row r="4" spans="1:50">
      <c r="A4" s="2"/>
      <c r="B4" s="2" t="s">
        <v>238</v>
      </c>
      <c r="C4" t="s">
        <v>251</v>
      </c>
      <c r="F4" t="s">
        <v>1371</v>
      </c>
      <c r="G4" t="s">
        <v>1372</v>
      </c>
      <c r="L4" t="s">
        <v>255</v>
      </c>
      <c r="P4" s="2">
        <f>[10]D_道具表!A92</f>
        <v>72010</v>
      </c>
      <c r="Q4" s="2" t="str">
        <f>[10]D_道具表!B92</f>
        <v>部位材料(裤子)</v>
      </c>
      <c r="R4" s="2">
        <v>500</v>
      </c>
      <c r="AB4" s="73" t="s">
        <v>20</v>
      </c>
      <c r="AC4" s="2" t="s">
        <v>626</v>
      </c>
      <c r="AD4" s="2" t="s">
        <v>627</v>
      </c>
      <c r="AE4" s="73" t="s">
        <v>406</v>
      </c>
      <c r="AF4" s="64" t="s">
        <v>581</v>
      </c>
      <c r="AG4" s="64" t="s">
        <v>582</v>
      </c>
      <c r="AH4" s="64" t="s">
        <v>585</v>
      </c>
      <c r="AI4" s="64" t="s">
        <v>630</v>
      </c>
      <c r="AJ4" s="70"/>
      <c r="AK4" s="70"/>
      <c r="AV4" s="2">
        <v>3</v>
      </c>
      <c r="AW4" s="2">
        <f>[14]D_马仔升星灵魂石!$E4</f>
        <v>30</v>
      </c>
      <c r="AX4" s="2">
        <f t="shared" si="0"/>
        <v>60</v>
      </c>
    </row>
    <row r="5" spans="1:50">
      <c r="A5" s="2" t="s">
        <v>239</v>
      </c>
      <c r="B5" s="2" t="s">
        <v>240</v>
      </c>
      <c r="E5" t="s">
        <v>1368</v>
      </c>
      <c r="F5">
        <v>100</v>
      </c>
      <c r="P5" s="2">
        <f>[10]D_道具表!A93</f>
        <v>73010</v>
      </c>
      <c r="Q5" s="2" t="str">
        <f>[10]D_道具表!B93</f>
        <v>部位材料(项链)</v>
      </c>
      <c r="R5" s="2">
        <v>5000</v>
      </c>
      <c r="AB5" s="73" t="s">
        <v>576</v>
      </c>
      <c r="AC5" s="2">
        <v>3</v>
      </c>
      <c r="AD5" s="2">
        <v>4</v>
      </c>
      <c r="AE5" s="73">
        <f>VLOOKUP(AD5,AV2:AX11,3,0)*AC5</f>
        <v>300</v>
      </c>
      <c r="AF5" s="2">
        <v>20</v>
      </c>
      <c r="AG5" s="2">
        <v>50</v>
      </c>
      <c r="AH5" s="2">
        <f>VLOOKUP(AG5,'1、经济推算'!$C$3:$K$102,8,0)-VLOOKUP(AF5,'1、经济推算'!$C$3:$K$102,8,0)</f>
        <v>20.882399489933391</v>
      </c>
      <c r="AI5" s="2">
        <f>AE5/AH5</f>
        <v>14.366165159545892</v>
      </c>
      <c r="AJ5" s="17"/>
      <c r="AK5" s="17"/>
      <c r="AV5" s="2">
        <v>4</v>
      </c>
      <c r="AW5" s="2">
        <f>[14]D_马仔升星灵魂石!$E5</f>
        <v>40</v>
      </c>
      <c r="AX5" s="2">
        <f t="shared" si="0"/>
        <v>100</v>
      </c>
    </row>
    <row r="6" spans="1:50">
      <c r="E6" t="s">
        <v>1369</v>
      </c>
      <c r="F6">
        <v>300</v>
      </c>
      <c r="AB6" s="73" t="s">
        <v>577</v>
      </c>
      <c r="AC6" s="2">
        <v>3</v>
      </c>
      <c r="AD6" s="2">
        <v>6</v>
      </c>
      <c r="AE6" s="73">
        <f>VLOOKUP(AD6,AV3:AX13,3,0)*AC6</f>
        <v>750</v>
      </c>
      <c r="AF6" s="2">
        <v>20</v>
      </c>
      <c r="AG6" s="2">
        <v>60</v>
      </c>
      <c r="AH6" s="2">
        <f>VLOOKUP(AG6,'1、经济推算'!$C$3:$K$102,8,0)-VLOOKUP(AF6,'1、经济推算'!$C$3:$K$102,8,0)</f>
        <v>56.540127192245151</v>
      </c>
      <c r="AI6" s="2">
        <f>AE6/AH6</f>
        <v>13.264915330839004</v>
      </c>
      <c r="AJ6" s="17"/>
      <c r="AK6" s="17"/>
      <c r="AV6" s="2">
        <v>5</v>
      </c>
      <c r="AW6" s="2">
        <f>[14]D_马仔升星灵魂石!$E6</f>
        <v>60</v>
      </c>
      <c r="AX6" s="2">
        <f t="shared" si="0"/>
        <v>160</v>
      </c>
    </row>
    <row r="7" spans="1:50">
      <c r="B7" t="s">
        <v>241</v>
      </c>
      <c r="C7" s="15">
        <f>[14]价值评估!$E$4</f>
        <v>12081297.5</v>
      </c>
      <c r="E7" t="s">
        <v>1370</v>
      </c>
      <c r="F7">
        <v>1000</v>
      </c>
      <c r="AB7" s="73" t="s">
        <v>578</v>
      </c>
      <c r="AC7" s="2">
        <v>3</v>
      </c>
      <c r="AD7" s="2">
        <v>8</v>
      </c>
      <c r="AE7" s="73">
        <f>VLOOKUP(AD7,AV4:AX14,3,0)*AC7</f>
        <v>1590</v>
      </c>
      <c r="AF7" s="2">
        <v>20</v>
      </c>
      <c r="AG7" s="2">
        <v>70</v>
      </c>
      <c r="AH7" s="2">
        <f>VLOOKUP(AG7,'1、经济推算'!$C$3:$K$102,8,0)-VLOOKUP(AF7,'1、经济推算'!$C$3:$K$102,8,0)</f>
        <v>149.66728888265462</v>
      </c>
      <c r="AI7" s="2">
        <f>AE7/AH7</f>
        <v>10.623563851995916</v>
      </c>
      <c r="AJ7" s="17"/>
      <c r="AK7" s="17"/>
      <c r="AV7" s="2">
        <v>6</v>
      </c>
      <c r="AW7" s="2">
        <f>[14]D_马仔升星灵魂石!$E7</f>
        <v>90</v>
      </c>
      <c r="AX7" s="2">
        <f t="shared" si="0"/>
        <v>250</v>
      </c>
    </row>
    <row r="8" spans="1:50">
      <c r="B8" t="s">
        <v>226</v>
      </c>
      <c r="C8" s="15">
        <f>C7/C9</f>
        <v>302.03243750000001</v>
      </c>
      <c r="D8" t="s">
        <v>1359</v>
      </c>
      <c r="AB8" s="73" t="s">
        <v>579</v>
      </c>
      <c r="AC8" s="2">
        <v>3</v>
      </c>
      <c r="AD8" s="2">
        <v>10</v>
      </c>
      <c r="AE8" s="73">
        <f>VLOOKUP(AD8,AV5:AX15,3,0)*AC8</f>
        <v>2940</v>
      </c>
      <c r="AF8" s="2">
        <v>20</v>
      </c>
      <c r="AG8" s="2">
        <v>80</v>
      </c>
      <c r="AH8" s="2">
        <f>VLOOKUP(AG8,'1、经济推算'!$C$3:$K$102,8,0)-VLOOKUP(AF8,'1、经济推算'!$C$3:$K$102,8,0)</f>
        <v>392.88716864940136</v>
      </c>
      <c r="AI8" s="2">
        <f>AE8/AH8</f>
        <v>7.4830644383389169</v>
      </c>
      <c r="AJ8" s="17"/>
      <c r="AK8" s="17"/>
      <c r="AV8" s="2">
        <v>7</v>
      </c>
      <c r="AW8" s="2">
        <f>[14]D_马仔升星灵魂石!$E8</f>
        <v>120</v>
      </c>
      <c r="AX8" s="2">
        <f t="shared" si="0"/>
        <v>370</v>
      </c>
    </row>
    <row r="9" spans="1:50">
      <c r="B9" t="s">
        <v>242</v>
      </c>
      <c r="C9" s="15">
        <f>[14]价值评估!$F$4</f>
        <v>40000</v>
      </c>
      <c r="D9">
        <f>C9/5</f>
        <v>8000</v>
      </c>
      <c r="AV9" s="2">
        <v>8</v>
      </c>
      <c r="AW9" s="2">
        <f>[14]D_马仔升星灵魂石!$E9</f>
        <v>160</v>
      </c>
      <c r="AX9" s="2">
        <f t="shared" si="0"/>
        <v>530</v>
      </c>
    </row>
    <row r="10" spans="1:50">
      <c r="AV10" s="2">
        <v>9</v>
      </c>
      <c r="AW10" s="2">
        <f>[14]D_马仔升星灵魂石!$E10</f>
        <v>200</v>
      </c>
      <c r="AX10" s="2">
        <f t="shared" si="0"/>
        <v>730</v>
      </c>
    </row>
    <row r="11" spans="1:50">
      <c r="B11" s="2" t="s">
        <v>244</v>
      </c>
      <c r="C11" s="2" t="s">
        <v>1205</v>
      </c>
      <c r="D11" s="2" t="s">
        <v>239</v>
      </c>
      <c r="E11" s="2" t="s">
        <v>243</v>
      </c>
      <c r="F11" s="4" t="s">
        <v>1483</v>
      </c>
      <c r="AB11" s="70" t="s">
        <v>554</v>
      </c>
      <c r="AV11" s="2">
        <v>10</v>
      </c>
      <c r="AW11" s="2">
        <f>[14]D_马仔升星灵魂石!$E11</f>
        <v>250</v>
      </c>
      <c r="AX11" s="2">
        <f t="shared" si="0"/>
        <v>980</v>
      </c>
    </row>
    <row r="12" spans="1:50">
      <c r="C12" s="2">
        <v>4</v>
      </c>
      <c r="D12" s="2">
        <v>6</v>
      </c>
      <c r="E12" s="2">
        <v>4</v>
      </c>
      <c r="F12" s="4">
        <v>2</v>
      </c>
      <c r="I12" s="2" t="s">
        <v>247</v>
      </c>
      <c r="J12" s="2" t="s">
        <v>229</v>
      </c>
      <c r="K12" s="2" t="s">
        <v>246</v>
      </c>
      <c r="L12" s="2" t="s">
        <v>252</v>
      </c>
      <c r="M12" s="4" t="s">
        <v>240</v>
      </c>
      <c r="N12" s="17" t="s">
        <v>256</v>
      </c>
      <c r="P12" s="2" t="str">
        <f>[14]D_马仔经验!A1</f>
        <v>等级</v>
      </c>
      <c r="Q12" s="2" t="str">
        <f>[14]D_马仔经验!B1</f>
        <v>quality1</v>
      </c>
      <c r="R12" s="2" t="str">
        <f>[14]D_马仔经验!C1</f>
        <v>quality2</v>
      </c>
      <c r="S12" s="2" t="str">
        <f>[14]D_马仔经验!D1</f>
        <v>quality3</v>
      </c>
      <c r="T12" s="2" t="str">
        <f>[14]D_马仔经验!E1</f>
        <v>quality4</v>
      </c>
      <c r="U12" s="2" t="str">
        <f>[14]D_马仔经验!F1</f>
        <v>总经验1</v>
      </c>
      <c r="V12" s="2" t="str">
        <f>[14]D_马仔经验!G1</f>
        <v>总经验2</v>
      </c>
      <c r="W12" s="2" t="str">
        <f>[14]D_马仔经验!H1</f>
        <v>总经验3</v>
      </c>
      <c r="X12" s="2" t="str">
        <f>[14]D_马仔经验!I1</f>
        <v>总经验4</v>
      </c>
      <c r="AB12" s="73" t="s">
        <v>20</v>
      </c>
      <c r="AC12" s="2" t="s">
        <v>631</v>
      </c>
      <c r="AD12" s="2" t="s">
        <v>583</v>
      </c>
      <c r="AE12" s="2" t="s">
        <v>584</v>
      </c>
      <c r="AF12" s="2" t="s">
        <v>633</v>
      </c>
      <c r="AG12" s="2" t="s">
        <v>632</v>
      </c>
      <c r="AH12" s="2" t="s">
        <v>635</v>
      </c>
      <c r="AI12" s="2" t="s">
        <v>634</v>
      </c>
      <c r="AJ12" s="2" t="s">
        <v>597</v>
      </c>
      <c r="AK12" s="2" t="s">
        <v>555</v>
      </c>
      <c r="AL12" s="2" t="s">
        <v>556</v>
      </c>
      <c r="AM12" s="2" t="s">
        <v>557</v>
      </c>
      <c r="AN12" s="2" t="s">
        <v>558</v>
      </c>
      <c r="AO12" s="2" t="s">
        <v>598</v>
      </c>
      <c r="AP12" s="4" t="s">
        <v>1183</v>
      </c>
      <c r="AQ12" s="4" t="s">
        <v>638</v>
      </c>
      <c r="AR12" s="4" t="s">
        <v>639</v>
      </c>
      <c r="AS12" s="2" t="s">
        <v>562</v>
      </c>
      <c r="AT12" s="17"/>
      <c r="AU12" s="17"/>
    </row>
    <row r="13" spans="1:50">
      <c r="C13" s="2">
        <f>$C$9*C12/SUM($C$12:$F$12)</f>
        <v>10000</v>
      </c>
      <c r="D13" s="2">
        <f>$C$9*D12/SUM($C$12:$F$12)</f>
        <v>15000</v>
      </c>
      <c r="E13" s="2">
        <f t="shared" ref="E13:F13" si="1">$C$9*E12/SUM($C$12:$F$12)</f>
        <v>10000</v>
      </c>
      <c r="F13" s="2">
        <f t="shared" si="1"/>
        <v>5000</v>
      </c>
      <c r="I13" s="2">
        <f>'装备&amp;装备材料的投放'!D10</f>
        <v>1.8345984399899647E-2</v>
      </c>
      <c r="J13" s="2">
        <v>1</v>
      </c>
      <c r="K13" s="2"/>
      <c r="L13" s="2"/>
      <c r="M13" s="2"/>
      <c r="N13" s="17"/>
      <c r="P13" s="2">
        <f>[14]D_马仔经验!A2</f>
        <v>1</v>
      </c>
      <c r="Q13" s="2">
        <f>[14]D_马仔经验!B2</f>
        <v>99</v>
      </c>
      <c r="R13" s="2">
        <f>[14]D_马仔经验!C2</f>
        <v>99</v>
      </c>
      <c r="S13" s="2">
        <f>[14]D_马仔经验!D2</f>
        <v>99</v>
      </c>
      <c r="T13" s="2">
        <f>[14]D_马仔经验!E2</f>
        <v>99</v>
      </c>
      <c r="U13" s="2">
        <f>[14]D_马仔经验!F2</f>
        <v>0</v>
      </c>
      <c r="V13" s="2">
        <f>[14]D_马仔经验!G2</f>
        <v>0</v>
      </c>
      <c r="W13" s="2">
        <f>[14]D_马仔经验!H2</f>
        <v>0</v>
      </c>
      <c r="X13" s="2">
        <f>[14]D_马仔经验!I2</f>
        <v>0</v>
      </c>
      <c r="AB13" s="73" t="s">
        <v>576</v>
      </c>
      <c r="AC13" s="2"/>
      <c r="AD13" s="2"/>
      <c r="AE13" s="2"/>
      <c r="AF13" s="2">
        <v>0.15</v>
      </c>
      <c r="AG13" s="2"/>
      <c r="AH13" s="2"/>
      <c r="AI13" s="2"/>
      <c r="AJ13" s="2">
        <v>0.3</v>
      </c>
      <c r="AK13" s="2"/>
      <c r="AL13" s="2"/>
      <c r="AM13" s="2"/>
      <c r="AN13" s="2"/>
      <c r="AO13" s="2"/>
      <c r="AP13" s="2"/>
      <c r="AQ13" s="2">
        <v>0.3</v>
      </c>
      <c r="AR13" s="2"/>
      <c r="AS13" s="2">
        <f>1-SUM(AC13:AR13)</f>
        <v>0.25</v>
      </c>
      <c r="AT13">
        <f>SUM(AC13:AS13)</f>
        <v>1</v>
      </c>
      <c r="AU13" s="17"/>
    </row>
    <row r="14" spans="1:50">
      <c r="C14">
        <f>F24*2</f>
        <v>4800</v>
      </c>
      <c r="E14">
        <f>F35*2</f>
        <v>10000</v>
      </c>
      <c r="I14" s="2">
        <f>'装备&amp;装备材料的投放'!D11</f>
        <v>2.0194508616081675E-2</v>
      </c>
      <c r="J14" s="2">
        <v>2</v>
      </c>
      <c r="K14" s="2"/>
      <c r="L14" s="2"/>
      <c r="M14" s="2"/>
      <c r="N14" s="17"/>
      <c r="P14" s="2">
        <f>[14]D_马仔经验!A3</f>
        <v>2</v>
      </c>
      <c r="Q14" s="2">
        <f>[14]D_马仔经验!B3</f>
        <v>101</v>
      </c>
      <c r="R14" s="2">
        <f>[14]D_马仔经验!C3</f>
        <v>101</v>
      </c>
      <c r="S14" s="2">
        <f>[14]D_马仔经验!D3</f>
        <v>101</v>
      </c>
      <c r="T14" s="2">
        <f>[14]D_马仔经验!E3</f>
        <v>101</v>
      </c>
      <c r="U14" s="2">
        <f>[14]D_马仔经验!F3</f>
        <v>99</v>
      </c>
      <c r="V14" s="2">
        <f>[14]D_马仔经验!G3</f>
        <v>99</v>
      </c>
      <c r="W14" s="2">
        <f>[14]D_马仔经验!H3</f>
        <v>99</v>
      </c>
      <c r="X14" s="2">
        <f>[14]D_马仔经验!I3</f>
        <v>99</v>
      </c>
      <c r="AB14" s="73" t="s">
        <v>577</v>
      </c>
      <c r="AC14" s="2"/>
      <c r="AD14" s="2"/>
      <c r="AE14" s="2"/>
      <c r="AF14" s="2"/>
      <c r="AG14" s="2"/>
      <c r="AH14" s="2">
        <v>0.05</v>
      </c>
      <c r="AI14" s="2">
        <v>0.255</v>
      </c>
      <c r="AJ14" s="2">
        <v>0.21</v>
      </c>
      <c r="AK14" s="2">
        <v>0.11</v>
      </c>
      <c r="AL14" s="2"/>
      <c r="AM14" s="2">
        <v>0.2</v>
      </c>
      <c r="AN14" s="2"/>
      <c r="AO14" s="2">
        <v>0.1</v>
      </c>
      <c r="AP14" s="2"/>
      <c r="AQ14" s="2">
        <v>0.3</v>
      </c>
      <c r="AR14" s="2"/>
      <c r="AS14" s="2">
        <f>1-SUM(AC14:AR14)</f>
        <v>-0.22499999999999987</v>
      </c>
      <c r="AT14">
        <f>SUM(AC14:AS14)</f>
        <v>1</v>
      </c>
      <c r="AU14" s="17"/>
    </row>
    <row r="15" spans="1:50">
      <c r="I15" s="2">
        <f>'装备&amp;装备材料的投放'!D12</f>
        <v>2.2229288402056412E-2</v>
      </c>
      <c r="J15" s="2">
        <v>3</v>
      </c>
      <c r="K15" s="2"/>
      <c r="L15" s="2"/>
      <c r="M15" s="2"/>
      <c r="N15" s="17"/>
      <c r="P15" s="2">
        <f>[14]D_马仔经验!A4</f>
        <v>3</v>
      </c>
      <c r="Q15" s="2">
        <f>[14]D_马仔经验!B4</f>
        <v>103</v>
      </c>
      <c r="R15" s="2">
        <f>[14]D_马仔经验!C4</f>
        <v>103</v>
      </c>
      <c r="S15" s="2">
        <f>[14]D_马仔经验!D4</f>
        <v>103</v>
      </c>
      <c r="T15" s="2">
        <f>[14]D_马仔经验!E4</f>
        <v>103</v>
      </c>
      <c r="U15" s="2">
        <f>[14]D_马仔经验!F4</f>
        <v>200</v>
      </c>
      <c r="V15" s="2">
        <f>[14]D_马仔经验!G4</f>
        <v>200</v>
      </c>
      <c r="W15" s="2">
        <f>[14]D_马仔经验!H4</f>
        <v>200</v>
      </c>
      <c r="X15" s="2">
        <f>[14]D_马仔经验!I4</f>
        <v>200</v>
      </c>
      <c r="AB15" s="73" t="s">
        <v>578</v>
      </c>
      <c r="AC15" s="2"/>
      <c r="AD15" s="2"/>
      <c r="AE15" s="2"/>
      <c r="AF15" s="2"/>
      <c r="AG15" s="2"/>
      <c r="AH15" s="2">
        <v>0.1</v>
      </c>
      <c r="AI15" s="2">
        <v>0.5</v>
      </c>
      <c r="AJ15" s="2">
        <v>0.15</v>
      </c>
      <c r="AK15" s="2">
        <v>0.08</v>
      </c>
      <c r="AL15" s="2"/>
      <c r="AM15" s="2">
        <v>0.24</v>
      </c>
      <c r="AN15" s="2"/>
      <c r="AO15" s="2"/>
      <c r="AP15" s="2"/>
      <c r="AQ15" s="2">
        <v>0.3</v>
      </c>
      <c r="AR15" s="2"/>
      <c r="AS15" s="2">
        <f>1-SUM(AC15:AR15)</f>
        <v>-0.36999999999999988</v>
      </c>
      <c r="AT15">
        <f>SUM(AC15:AS15)</f>
        <v>1</v>
      </c>
      <c r="AU15" s="17"/>
    </row>
    <row r="16" spans="1:50">
      <c r="I16" s="2">
        <f>'装备&amp;装备材料的投放'!D13</f>
        <v>2.4469090694699824E-2</v>
      </c>
      <c r="J16" s="2">
        <v>4</v>
      </c>
      <c r="K16" s="2"/>
      <c r="L16" s="2"/>
      <c r="M16" s="2"/>
      <c r="N16" s="17"/>
      <c r="P16" s="2">
        <f>[14]D_马仔经验!A5</f>
        <v>4</v>
      </c>
      <c r="Q16" s="2">
        <f>[14]D_马仔经验!B5</f>
        <v>107</v>
      </c>
      <c r="R16" s="2">
        <f>[14]D_马仔经验!C5</f>
        <v>107</v>
      </c>
      <c r="S16" s="2">
        <f>[14]D_马仔经验!D5</f>
        <v>107</v>
      </c>
      <c r="T16" s="2">
        <f>[14]D_马仔经验!E5</f>
        <v>107</v>
      </c>
      <c r="U16" s="2">
        <f>[14]D_马仔经验!F5</f>
        <v>303</v>
      </c>
      <c r="V16" s="2">
        <f>[14]D_马仔经验!G5</f>
        <v>303</v>
      </c>
      <c r="W16" s="2">
        <f>[14]D_马仔经验!H5</f>
        <v>303</v>
      </c>
      <c r="X16" s="2">
        <f>[14]D_马仔经验!I5</f>
        <v>303</v>
      </c>
      <c r="AB16" s="73" t="s">
        <v>579</v>
      </c>
      <c r="AC16" s="2"/>
      <c r="AD16" s="2"/>
      <c r="AE16" s="2"/>
      <c r="AF16" s="2"/>
      <c r="AG16" s="2"/>
      <c r="AH16" s="2">
        <v>0.06</v>
      </c>
      <c r="AI16" s="2">
        <v>0.5</v>
      </c>
      <c r="AJ16" s="2"/>
      <c r="AK16" s="2">
        <v>2.5000000000000001E-2</v>
      </c>
      <c r="AL16" s="2"/>
      <c r="AM16" s="2">
        <v>0.13</v>
      </c>
      <c r="AN16" s="2"/>
      <c r="AO16" s="2"/>
      <c r="AP16" s="2"/>
      <c r="AQ16" s="2"/>
      <c r="AR16" s="2"/>
      <c r="AS16" s="2">
        <f>1-SUM(AC16:AR16)</f>
        <v>0.28499999999999992</v>
      </c>
      <c r="AT16">
        <f>SUM(AC16:AS16)</f>
        <v>1</v>
      </c>
      <c r="AU16" s="17"/>
    </row>
    <row r="17" spans="2:47">
      <c r="I17" s="2">
        <f>'装备&amp;装备材料的投放'!D14</f>
        <v>2.6934573369881559E-2</v>
      </c>
      <c r="J17" s="2">
        <v>5</v>
      </c>
      <c r="K17" s="2"/>
      <c r="L17" s="2"/>
      <c r="M17" s="2"/>
      <c r="N17" s="17"/>
      <c r="P17" s="2">
        <f>[14]D_马仔经验!A6</f>
        <v>5</v>
      </c>
      <c r="Q17" s="2">
        <f>[14]D_马仔经验!B6</f>
        <v>113</v>
      </c>
      <c r="R17" s="2">
        <f>[14]D_马仔经验!C6</f>
        <v>113</v>
      </c>
      <c r="S17" s="2">
        <f>[14]D_马仔经验!D6</f>
        <v>113</v>
      </c>
      <c r="T17" s="2">
        <f>[14]D_马仔经验!E6</f>
        <v>113</v>
      </c>
      <c r="U17" s="2">
        <f>[14]D_马仔经验!F6</f>
        <v>410</v>
      </c>
      <c r="V17" s="2">
        <f>[14]D_马仔经验!G6</f>
        <v>410</v>
      </c>
      <c r="W17" s="2">
        <f>[14]D_马仔经验!H6</f>
        <v>410</v>
      </c>
      <c r="X17" s="2">
        <f>[14]D_马仔经验!I6</f>
        <v>410</v>
      </c>
    </row>
    <row r="18" spans="2:47">
      <c r="I18" s="2">
        <f>'装备&amp;装备材料的投放'!D15</f>
        <v>2.9648475771707979E-2</v>
      </c>
      <c r="J18" s="2">
        <v>6</v>
      </c>
      <c r="K18" s="2"/>
      <c r="L18" s="2"/>
      <c r="M18" s="2"/>
      <c r="N18" s="17"/>
      <c r="P18" s="2">
        <f>[14]D_马仔经验!A7</f>
        <v>6</v>
      </c>
      <c r="Q18" s="2">
        <f>[14]D_马仔经验!B7</f>
        <v>122</v>
      </c>
      <c r="R18" s="2">
        <f>[14]D_马仔经验!C7</f>
        <v>122</v>
      </c>
      <c r="S18" s="2">
        <f>[14]D_马仔经验!D7</f>
        <v>122</v>
      </c>
      <c r="T18" s="2">
        <f>[14]D_马仔经验!E7</f>
        <v>122</v>
      </c>
      <c r="U18" s="2">
        <f>[14]D_马仔经验!F7</f>
        <v>523</v>
      </c>
      <c r="V18" s="2">
        <f>[14]D_马仔经验!G7</f>
        <v>523</v>
      </c>
      <c r="W18" s="2">
        <f>[14]D_马仔经验!H7</f>
        <v>523</v>
      </c>
      <c r="X18" s="2">
        <f>[14]D_马仔经验!I7</f>
        <v>523</v>
      </c>
    </row>
    <row r="19" spans="2:47">
      <c r="I19" s="2">
        <f>'装备&amp;装备材料的投放'!D16</f>
        <v>3.2635828439313432E-2</v>
      </c>
      <c r="J19" s="2">
        <v>7</v>
      </c>
      <c r="K19" s="2"/>
      <c r="L19" s="2"/>
      <c r="M19" s="2"/>
      <c r="N19" s="17"/>
      <c r="P19" s="2">
        <f>[14]D_马仔经验!A8</f>
        <v>7</v>
      </c>
      <c r="Q19" s="2">
        <f>[14]D_马仔经验!B8</f>
        <v>136</v>
      </c>
      <c r="R19" s="2">
        <f>[14]D_马仔经验!C8</f>
        <v>136</v>
      </c>
      <c r="S19" s="2">
        <f>[14]D_马仔经验!D8</f>
        <v>136</v>
      </c>
      <c r="T19" s="2">
        <f>[14]D_马仔经验!E8</f>
        <v>136</v>
      </c>
      <c r="U19" s="2">
        <f>[14]D_马仔经验!F8</f>
        <v>645</v>
      </c>
      <c r="V19" s="2">
        <f>[14]D_马仔经验!G8</f>
        <v>645</v>
      </c>
      <c r="W19" s="2">
        <f>[14]D_马仔经验!H8</f>
        <v>645</v>
      </c>
      <c r="X19" s="2">
        <f>[14]D_马仔经验!I8</f>
        <v>645</v>
      </c>
      <c r="AB19" s="70" t="s">
        <v>590</v>
      </c>
    </row>
    <row r="20" spans="2:47">
      <c r="B20" s="161" t="s">
        <v>1360</v>
      </c>
      <c r="C20" s="161" t="s">
        <v>1363</v>
      </c>
      <c r="D20" s="161" t="s">
        <v>1364</v>
      </c>
      <c r="E20" s="161" t="s">
        <v>1365</v>
      </c>
      <c r="F20" s="160" t="s">
        <v>1366</v>
      </c>
      <c r="G20" s="160"/>
      <c r="I20" s="2">
        <f>'装备&amp;装备材料的投放'!D17</f>
        <v>3.5924183965526733E-2</v>
      </c>
      <c r="J20" s="2">
        <v>8</v>
      </c>
      <c r="K20" s="2"/>
      <c r="L20" s="2"/>
      <c r="M20" s="2"/>
      <c r="N20" s="17"/>
      <c r="P20" s="2">
        <f>[14]D_马仔经验!A9</f>
        <v>8</v>
      </c>
      <c r="Q20" s="2">
        <f>[14]D_马仔经验!B9</f>
        <v>155</v>
      </c>
      <c r="R20" s="2">
        <f>[14]D_马仔经验!C9</f>
        <v>155</v>
      </c>
      <c r="S20" s="2">
        <f>[14]D_马仔经验!D9</f>
        <v>155</v>
      </c>
      <c r="T20" s="2">
        <f>[14]D_马仔经验!E9</f>
        <v>155</v>
      </c>
      <c r="U20" s="2">
        <f>[14]D_马仔经验!F9</f>
        <v>781</v>
      </c>
      <c r="V20" s="2">
        <f>[14]D_马仔经验!G9</f>
        <v>781</v>
      </c>
      <c r="W20" s="2">
        <f>[14]D_马仔经验!H9</f>
        <v>781</v>
      </c>
      <c r="X20" s="2">
        <f>[14]D_马仔经验!I9</f>
        <v>781</v>
      </c>
      <c r="AB20" s="79" t="s">
        <v>20</v>
      </c>
      <c r="AC20" s="2" t="s">
        <v>631</v>
      </c>
      <c r="AD20" s="2" t="s">
        <v>583</v>
      </c>
      <c r="AE20" s="2" t="s">
        <v>584</v>
      </c>
      <c r="AF20" s="2" t="s">
        <v>633</v>
      </c>
      <c r="AG20" s="2" t="s">
        <v>632</v>
      </c>
      <c r="AH20" s="2" t="s">
        <v>635</v>
      </c>
      <c r="AI20" s="2" t="s">
        <v>634</v>
      </c>
      <c r="AJ20" s="2" t="s">
        <v>597</v>
      </c>
      <c r="AK20" s="2" t="s">
        <v>555</v>
      </c>
      <c r="AL20" s="2" t="s">
        <v>556</v>
      </c>
      <c r="AM20" s="2" t="s">
        <v>557</v>
      </c>
      <c r="AN20" s="2" t="s">
        <v>558</v>
      </c>
      <c r="AO20" s="2" t="s">
        <v>598</v>
      </c>
      <c r="AP20" s="4" t="s">
        <v>1183</v>
      </c>
      <c r="AQ20" s="4" t="s">
        <v>638</v>
      </c>
      <c r="AR20" s="4" t="s">
        <v>639</v>
      </c>
      <c r="AS20" s="2" t="s">
        <v>562</v>
      </c>
      <c r="AT20" s="17"/>
      <c r="AU20" s="17"/>
    </row>
    <row r="21" spans="2:47">
      <c r="B21" s="161" t="s">
        <v>576</v>
      </c>
      <c r="C21" s="161">
        <v>13</v>
      </c>
      <c r="D21" s="161"/>
      <c r="E21" s="161"/>
      <c r="F21">
        <f>C21*$F$5+D21*$F$6+E21*$F$7</f>
        <v>1300</v>
      </c>
      <c r="I21" s="2">
        <f>'装备&amp;装备材料的投放'!D18</f>
        <v>3.9543871116640705E-2</v>
      </c>
      <c r="J21" s="2">
        <v>9</v>
      </c>
      <c r="K21" s="2"/>
      <c r="L21" s="2"/>
      <c r="M21" s="2"/>
      <c r="N21" s="17"/>
      <c r="P21" s="2">
        <f>[14]D_马仔经验!A10</f>
        <v>9</v>
      </c>
      <c r="Q21" s="2">
        <f>[14]D_马仔经验!B10</f>
        <v>180</v>
      </c>
      <c r="R21" s="2">
        <f>[14]D_马仔经验!C10</f>
        <v>180</v>
      </c>
      <c r="S21" s="2">
        <f>[14]D_马仔经验!D10</f>
        <v>180</v>
      </c>
      <c r="T21" s="2">
        <f>[14]D_马仔经验!E10</f>
        <v>180</v>
      </c>
      <c r="U21" s="2">
        <f>[14]D_马仔经验!F10</f>
        <v>936</v>
      </c>
      <c r="V21" s="2">
        <f>[14]D_马仔经验!G10</f>
        <v>936</v>
      </c>
      <c r="W21" s="2">
        <f>[14]D_马仔经验!H10</f>
        <v>936</v>
      </c>
      <c r="X21" s="2">
        <f>[14]D_马仔经验!I10</f>
        <v>936</v>
      </c>
      <c r="AB21" s="79" t="s">
        <v>576</v>
      </c>
      <c r="AC21" s="2">
        <f t="shared" ref="AC21:AO21" si="2">$AI5*AC13</f>
        <v>0</v>
      </c>
      <c r="AD21" s="2">
        <f t="shared" si="2"/>
        <v>0</v>
      </c>
      <c r="AE21" s="2">
        <f t="shared" si="2"/>
        <v>0</v>
      </c>
      <c r="AF21" s="2">
        <f t="shared" si="2"/>
        <v>2.1549247739318838</v>
      </c>
      <c r="AG21" s="2">
        <f t="shared" si="2"/>
        <v>0</v>
      </c>
      <c r="AH21" s="2">
        <f t="shared" si="2"/>
        <v>0</v>
      </c>
      <c r="AI21" s="2">
        <f t="shared" si="2"/>
        <v>0</v>
      </c>
      <c r="AJ21" s="2">
        <f t="shared" si="2"/>
        <v>4.3098495478637675</v>
      </c>
      <c r="AK21" s="2">
        <f t="shared" si="2"/>
        <v>0</v>
      </c>
      <c r="AL21" s="2">
        <f t="shared" si="2"/>
        <v>0</v>
      </c>
      <c r="AM21" s="2">
        <f t="shared" si="2"/>
        <v>0</v>
      </c>
      <c r="AN21" s="2">
        <f t="shared" si="2"/>
        <v>0</v>
      </c>
      <c r="AO21" s="2">
        <f t="shared" si="2"/>
        <v>0</v>
      </c>
      <c r="AP21" s="2">
        <f t="shared" ref="AP21:AS24" si="3">$AI5*AP13</f>
        <v>0</v>
      </c>
      <c r="AQ21" s="2">
        <f t="shared" si="3"/>
        <v>4.3098495478637675</v>
      </c>
      <c r="AR21" s="2">
        <f t="shared" si="3"/>
        <v>0</v>
      </c>
      <c r="AS21" s="2">
        <f t="shared" si="3"/>
        <v>3.5915412898864729</v>
      </c>
      <c r="AT21" s="17"/>
      <c r="AU21" s="17"/>
    </row>
    <row r="22" spans="2:47">
      <c r="B22" s="161" t="s">
        <v>577</v>
      </c>
      <c r="C22" s="161">
        <v>5</v>
      </c>
      <c r="D22" s="161">
        <v>3</v>
      </c>
      <c r="E22" s="161"/>
      <c r="F22">
        <f t="shared" ref="F22:F25" si="4">C22*$F$5+D22*$F$6+E22*$F$7</f>
        <v>1400</v>
      </c>
      <c r="I22" s="2">
        <f>'装备&amp;装备材料的投放'!D19</f>
        <v>4.3528274557051966E-2</v>
      </c>
      <c r="J22" s="2">
        <v>10</v>
      </c>
      <c r="K22" s="2"/>
      <c r="L22" s="2"/>
      <c r="M22" s="2"/>
      <c r="N22" s="17"/>
      <c r="P22" s="2">
        <f>[14]D_马仔经验!A11</f>
        <v>10</v>
      </c>
      <c r="Q22" s="2">
        <f>[14]D_马仔经验!B11</f>
        <v>213</v>
      </c>
      <c r="R22" s="2">
        <f>[14]D_马仔经验!C11</f>
        <v>213</v>
      </c>
      <c r="S22" s="2">
        <f>[14]D_马仔经验!D11</f>
        <v>213</v>
      </c>
      <c r="T22" s="2">
        <f>[14]D_马仔经验!E11</f>
        <v>213</v>
      </c>
      <c r="U22" s="2">
        <f>[14]D_马仔经验!F11</f>
        <v>1116</v>
      </c>
      <c r="V22" s="2">
        <f>[14]D_马仔经验!G11</f>
        <v>1116</v>
      </c>
      <c r="W22" s="2">
        <f>[14]D_马仔经验!H11</f>
        <v>1116</v>
      </c>
      <c r="X22" s="2">
        <f>[14]D_马仔经验!I11</f>
        <v>1116</v>
      </c>
      <c r="AB22" s="79" t="s">
        <v>577</v>
      </c>
      <c r="AC22" s="2">
        <f t="shared" ref="AC22:AO22" si="5">$AI6*AC14</f>
        <v>0</v>
      </c>
      <c r="AD22" s="2">
        <f t="shared" si="5"/>
        <v>0</v>
      </c>
      <c r="AE22" s="2">
        <f t="shared" si="5"/>
        <v>0</v>
      </c>
      <c r="AF22" s="2">
        <f t="shared" si="5"/>
        <v>0</v>
      </c>
      <c r="AG22" s="2">
        <f t="shared" si="5"/>
        <v>0</v>
      </c>
      <c r="AH22" s="2">
        <f t="shared" si="5"/>
        <v>0.66324576654195022</v>
      </c>
      <c r="AI22" s="2">
        <f t="shared" si="5"/>
        <v>3.382553409363946</v>
      </c>
      <c r="AJ22" s="2">
        <f t="shared" si="5"/>
        <v>2.7856322194761907</v>
      </c>
      <c r="AK22" s="2">
        <f t="shared" si="5"/>
        <v>1.4591406863922904</v>
      </c>
      <c r="AL22" s="2">
        <f>$AI6*AL14</f>
        <v>0</v>
      </c>
      <c r="AM22" s="2">
        <f t="shared" si="5"/>
        <v>2.6529830661678009</v>
      </c>
      <c r="AN22" s="2">
        <f t="shared" si="5"/>
        <v>0</v>
      </c>
      <c r="AO22" s="2">
        <f t="shared" si="5"/>
        <v>1.3264915330839004</v>
      </c>
      <c r="AP22" s="2">
        <f t="shared" si="3"/>
        <v>0</v>
      </c>
      <c r="AQ22" s="2">
        <f t="shared" si="3"/>
        <v>3.9794745992517013</v>
      </c>
      <c r="AR22" s="2">
        <f t="shared" si="3"/>
        <v>0</v>
      </c>
      <c r="AS22" s="2">
        <f t="shared" si="3"/>
        <v>-2.9846059494387744</v>
      </c>
      <c r="AT22" s="17"/>
      <c r="AU22" s="17"/>
    </row>
    <row r="23" spans="2:47">
      <c r="B23" s="161" t="s">
        <v>1361</v>
      </c>
      <c r="C23" s="161">
        <v>5</v>
      </c>
      <c r="D23" s="161">
        <v>5</v>
      </c>
      <c r="E23" s="161"/>
      <c r="F23">
        <f t="shared" si="4"/>
        <v>2000</v>
      </c>
      <c r="I23" s="2">
        <f>'装备&amp;装备材料的投放'!D20</f>
        <v>4.7914142758693441E-2</v>
      </c>
      <c r="J23" s="2">
        <v>11</v>
      </c>
      <c r="K23" s="2"/>
      <c r="L23" s="2"/>
      <c r="M23" s="2"/>
      <c r="N23" s="17"/>
      <c r="P23" s="2">
        <f>[14]D_马仔经验!A12</f>
        <v>11</v>
      </c>
      <c r="Q23" s="2">
        <f>[14]D_马仔经验!B12</f>
        <v>253</v>
      </c>
      <c r="R23" s="2">
        <f>[14]D_马仔经验!C12</f>
        <v>253</v>
      </c>
      <c r="S23" s="2">
        <f>[14]D_马仔经验!D12</f>
        <v>253</v>
      </c>
      <c r="T23" s="2">
        <f>[14]D_马仔经验!E12</f>
        <v>253</v>
      </c>
      <c r="U23" s="2">
        <f>[14]D_马仔经验!F12</f>
        <v>1329</v>
      </c>
      <c r="V23" s="2">
        <f>[14]D_马仔经验!G12</f>
        <v>1329</v>
      </c>
      <c r="W23" s="2">
        <f>[14]D_马仔经验!H12</f>
        <v>1329</v>
      </c>
      <c r="X23" s="2">
        <f>[14]D_马仔经验!I12</f>
        <v>1329</v>
      </c>
      <c r="AB23" s="79" t="s">
        <v>578</v>
      </c>
      <c r="AC23" s="2">
        <f t="shared" ref="AC23:AO23" si="6">$AI7*AC15</f>
        <v>0</v>
      </c>
      <c r="AD23" s="2">
        <f t="shared" si="6"/>
        <v>0</v>
      </c>
      <c r="AE23" s="2">
        <f t="shared" si="6"/>
        <v>0</v>
      </c>
      <c r="AF23" s="2">
        <f t="shared" si="6"/>
        <v>0</v>
      </c>
      <c r="AG23" s="2">
        <f t="shared" si="6"/>
        <v>0</v>
      </c>
      <c r="AH23" s="2">
        <f t="shared" si="6"/>
        <v>1.0623563851995916</v>
      </c>
      <c r="AI23" s="2">
        <f t="shared" si="6"/>
        <v>5.3117819259979582</v>
      </c>
      <c r="AJ23" s="2">
        <f t="shared" si="6"/>
        <v>1.5935345777993875</v>
      </c>
      <c r="AK23" s="2">
        <f t="shared" si="6"/>
        <v>0.84988510815967333</v>
      </c>
      <c r="AL23" s="2">
        <f t="shared" si="6"/>
        <v>0</v>
      </c>
      <c r="AM23" s="2">
        <f t="shared" si="6"/>
        <v>2.5496553244790197</v>
      </c>
      <c r="AN23" s="2">
        <f t="shared" si="6"/>
        <v>0</v>
      </c>
      <c r="AO23" s="2">
        <f t="shared" si="6"/>
        <v>0</v>
      </c>
      <c r="AP23" s="2">
        <f t="shared" si="3"/>
        <v>0</v>
      </c>
      <c r="AQ23" s="2">
        <f t="shared" si="3"/>
        <v>3.1870691555987749</v>
      </c>
      <c r="AR23" s="2">
        <f t="shared" si="3"/>
        <v>0</v>
      </c>
      <c r="AS23" s="2">
        <f t="shared" si="3"/>
        <v>-3.9307186252384878</v>
      </c>
      <c r="AT23" s="17"/>
      <c r="AU23" s="17"/>
    </row>
    <row r="24" spans="2:47">
      <c r="B24" s="161" t="s">
        <v>579</v>
      </c>
      <c r="C24" s="161">
        <v>5</v>
      </c>
      <c r="D24" s="161">
        <v>3</v>
      </c>
      <c r="E24" s="161">
        <v>1</v>
      </c>
      <c r="F24">
        <f t="shared" si="4"/>
        <v>2400</v>
      </c>
      <c r="I24" s="2">
        <f>'装备&amp;装备材料的投放'!D21</f>
        <v>5.2741926935133292E-2</v>
      </c>
      <c r="J24" s="2">
        <v>12</v>
      </c>
      <c r="K24" s="2"/>
      <c r="L24" s="2"/>
      <c r="M24" s="2"/>
      <c r="N24" s="17"/>
      <c r="P24" s="2">
        <f>[14]D_马仔经验!A13</f>
        <v>12</v>
      </c>
      <c r="Q24" s="2">
        <f>[14]D_马仔经验!B13</f>
        <v>303</v>
      </c>
      <c r="R24" s="2">
        <f>[14]D_马仔经验!C13</f>
        <v>303</v>
      </c>
      <c r="S24" s="2">
        <f>[14]D_马仔经验!D13</f>
        <v>303</v>
      </c>
      <c r="T24" s="2">
        <f>[14]D_马仔经验!E13</f>
        <v>303</v>
      </c>
      <c r="U24" s="2">
        <f>[14]D_马仔经验!F13</f>
        <v>1582</v>
      </c>
      <c r="V24" s="2">
        <f>[14]D_马仔经验!G13</f>
        <v>1582</v>
      </c>
      <c r="W24" s="2">
        <f>[14]D_马仔经验!H13</f>
        <v>1582</v>
      </c>
      <c r="X24" s="2">
        <f>[14]D_马仔经验!I13</f>
        <v>1582</v>
      </c>
      <c r="AB24" s="79" t="s">
        <v>579</v>
      </c>
      <c r="AC24" s="2">
        <f t="shared" ref="AC24:AO24" si="7">$AI8*AC16</f>
        <v>0</v>
      </c>
      <c r="AD24" s="2">
        <f t="shared" si="7"/>
        <v>0</v>
      </c>
      <c r="AE24" s="2">
        <f t="shared" si="7"/>
        <v>0</v>
      </c>
      <c r="AF24" s="2">
        <f t="shared" si="7"/>
        <v>0</v>
      </c>
      <c r="AG24" s="2">
        <f t="shared" si="7"/>
        <v>0</v>
      </c>
      <c r="AH24" s="2">
        <f t="shared" si="7"/>
        <v>0.44898386630033499</v>
      </c>
      <c r="AI24" s="2">
        <f t="shared" si="7"/>
        <v>3.7415322191694584</v>
      </c>
      <c r="AJ24" s="2">
        <f t="shared" si="7"/>
        <v>0</v>
      </c>
      <c r="AK24" s="2">
        <f t="shared" si="7"/>
        <v>0.18707661095847294</v>
      </c>
      <c r="AL24" s="2">
        <f t="shared" si="7"/>
        <v>0</v>
      </c>
      <c r="AM24" s="2">
        <f t="shared" si="7"/>
        <v>0.97279837698405924</v>
      </c>
      <c r="AN24" s="2">
        <f t="shared" si="7"/>
        <v>0</v>
      </c>
      <c r="AO24" s="2">
        <f t="shared" si="7"/>
        <v>0</v>
      </c>
      <c r="AP24" s="2">
        <f t="shared" si="3"/>
        <v>0</v>
      </c>
      <c r="AQ24" s="2">
        <f t="shared" si="3"/>
        <v>0</v>
      </c>
      <c r="AR24" s="2">
        <f t="shared" si="3"/>
        <v>0</v>
      </c>
      <c r="AS24" s="2">
        <f t="shared" si="3"/>
        <v>2.1326733649265908</v>
      </c>
      <c r="AT24" s="17"/>
      <c r="AU24" s="17"/>
    </row>
    <row r="25" spans="2:47">
      <c r="B25" s="161" t="s">
        <v>1362</v>
      </c>
      <c r="C25" s="161">
        <v>5</v>
      </c>
      <c r="D25" s="161">
        <v>1</v>
      </c>
      <c r="E25" s="161">
        <v>2</v>
      </c>
      <c r="F25">
        <f t="shared" si="4"/>
        <v>2800</v>
      </c>
      <c r="I25" s="2">
        <f>'装备&amp;装备材料的投放'!D22</f>
        <v>5.8056154126356126E-2</v>
      </c>
      <c r="J25" s="2">
        <v>13</v>
      </c>
      <c r="K25" s="2"/>
      <c r="L25" s="2"/>
      <c r="M25" s="2"/>
      <c r="N25" s="17"/>
      <c r="P25" s="2">
        <f>[14]D_马仔经验!A14</f>
        <v>13</v>
      </c>
      <c r="Q25" s="2">
        <f>[14]D_马仔经验!B14</f>
        <v>363</v>
      </c>
      <c r="R25" s="2">
        <f>[14]D_马仔经验!C14</f>
        <v>363</v>
      </c>
      <c r="S25" s="2">
        <f>[14]D_马仔经验!D14</f>
        <v>363</v>
      </c>
      <c r="T25" s="2">
        <f>[14]D_马仔经验!E14</f>
        <v>363</v>
      </c>
      <c r="U25" s="2">
        <f>[14]D_马仔经验!F14</f>
        <v>1885</v>
      </c>
      <c r="V25" s="2">
        <f>[14]D_马仔经验!G14</f>
        <v>1885</v>
      </c>
      <c r="W25" s="2">
        <f>[14]D_马仔经验!H14</f>
        <v>1885</v>
      </c>
      <c r="X25" s="2">
        <f>[14]D_马仔经验!I14</f>
        <v>1885</v>
      </c>
      <c r="AI25">
        <f>SUM(AI21:AI24)</f>
        <v>12.435867554531363</v>
      </c>
    </row>
    <row r="26" spans="2:47">
      <c r="I26" s="2">
        <f>'装备&amp;装备材料的投放'!D23</f>
        <v>6.3905837875217947E-2</v>
      </c>
      <c r="J26" s="2">
        <v>14</v>
      </c>
      <c r="K26" s="2"/>
      <c r="L26" s="2"/>
      <c r="M26" s="2"/>
      <c r="N26" s="17"/>
      <c r="P26" s="2">
        <f>[14]D_马仔经验!A15</f>
        <v>14</v>
      </c>
      <c r="Q26" s="2">
        <f>[14]D_马仔经验!B15</f>
        <v>435</v>
      </c>
      <c r="R26" s="2">
        <f>[14]D_马仔经验!C15</f>
        <v>435</v>
      </c>
      <c r="S26" s="2">
        <f>[14]D_马仔经验!D15</f>
        <v>435</v>
      </c>
      <c r="T26" s="2">
        <f>[14]D_马仔经验!E15</f>
        <v>435</v>
      </c>
      <c r="U26" s="2">
        <f>[14]D_马仔经验!F15</f>
        <v>2248</v>
      </c>
      <c r="V26" s="2">
        <f>[14]D_马仔经验!G15</f>
        <v>2248</v>
      </c>
      <c r="W26" s="2">
        <f>[14]D_马仔经验!H15</f>
        <v>2248</v>
      </c>
      <c r="X26" s="2">
        <f>[14]D_马仔经验!I15</f>
        <v>2248</v>
      </c>
    </row>
    <row r="27" spans="2:47" s="30" customFormat="1">
      <c r="H27" s="30" t="s">
        <v>245</v>
      </c>
      <c r="I27" s="3">
        <f>'装备&amp;装备材料的投放'!D24</f>
        <v>7.0344930283275861E-2</v>
      </c>
      <c r="J27" s="3">
        <v>15</v>
      </c>
      <c r="K27" s="3">
        <v>1</v>
      </c>
      <c r="L27" s="3"/>
      <c r="M27" s="3"/>
      <c r="N27" s="52"/>
      <c r="P27" s="3">
        <f>[14]D_马仔经验!A16</f>
        <v>15</v>
      </c>
      <c r="Q27" s="3">
        <f>[14]D_马仔经验!B16</f>
        <v>520</v>
      </c>
      <c r="R27" s="3">
        <f>[14]D_马仔经验!C16</f>
        <v>520</v>
      </c>
      <c r="S27" s="3">
        <f>[14]D_马仔经验!D16</f>
        <v>520</v>
      </c>
      <c r="T27" s="3">
        <f>[14]D_马仔经验!E16</f>
        <v>520</v>
      </c>
      <c r="U27" s="3">
        <f>[14]D_马仔经验!F16</f>
        <v>2683</v>
      </c>
      <c r="V27" s="3">
        <f>[14]D_马仔经验!G16</f>
        <v>2683</v>
      </c>
      <c r="W27" s="3">
        <f>[14]D_马仔经验!H16</f>
        <v>2683</v>
      </c>
      <c r="X27" s="3">
        <f>[14]D_马仔经验!I16</f>
        <v>2683</v>
      </c>
    </row>
    <row r="28" spans="2:47">
      <c r="I28" s="2">
        <f>'装备&amp;装备材料的投放'!D25</f>
        <v>7.7432819615340459E-2</v>
      </c>
      <c r="J28" s="2">
        <v>16</v>
      </c>
      <c r="K28" s="2"/>
      <c r="L28" s="2"/>
      <c r="M28" s="2"/>
      <c r="N28" s="17"/>
      <c r="P28" s="2">
        <f>[14]D_马仔经验!A17</f>
        <v>16</v>
      </c>
      <c r="Q28" s="2">
        <f>[14]D_马仔经验!B17</f>
        <v>620</v>
      </c>
      <c r="R28" s="2">
        <f>[14]D_马仔经验!C17</f>
        <v>620</v>
      </c>
      <c r="S28" s="2">
        <f>[14]D_马仔经验!D17</f>
        <v>620</v>
      </c>
      <c r="T28" s="2">
        <f>[14]D_马仔经验!E17</f>
        <v>620</v>
      </c>
      <c r="U28" s="2">
        <f>[14]D_马仔经验!F17</f>
        <v>3203</v>
      </c>
      <c r="V28" s="2">
        <f>[14]D_马仔经验!G17</f>
        <v>3203</v>
      </c>
      <c r="W28" s="2">
        <f>[14]D_马仔经验!H17</f>
        <v>3203</v>
      </c>
      <c r="X28" s="2">
        <f>[14]D_马仔经验!I17</f>
        <v>3203</v>
      </c>
      <c r="AB28" s="70" t="s">
        <v>563</v>
      </c>
    </row>
    <row r="29" spans="2:47">
      <c r="B29" s="161" t="s">
        <v>1367</v>
      </c>
      <c r="C29" s="161" t="s">
        <v>1363</v>
      </c>
      <c r="D29" s="161" t="s">
        <v>1364</v>
      </c>
      <c r="E29" s="161" t="s">
        <v>1365</v>
      </c>
      <c r="F29" s="160" t="s">
        <v>1366</v>
      </c>
      <c r="G29" s="160"/>
      <c r="I29" s="2">
        <f>'装备&amp;装备材料的投放'!D26</f>
        <v>8.5234878042196774E-2</v>
      </c>
      <c r="J29" s="2">
        <v>17</v>
      </c>
      <c r="K29" s="2"/>
      <c r="L29" s="2"/>
      <c r="M29" s="2"/>
      <c r="N29" s="17"/>
      <c r="P29" s="2">
        <f>[14]D_马仔经验!A18</f>
        <v>17</v>
      </c>
      <c r="Q29" s="2">
        <f>[14]D_马仔经验!B18</f>
        <v>735</v>
      </c>
      <c r="R29" s="2">
        <f>[14]D_马仔经验!C18</f>
        <v>735</v>
      </c>
      <c r="S29" s="2">
        <f>[14]D_马仔经验!D18</f>
        <v>735</v>
      </c>
      <c r="T29" s="2">
        <f>[14]D_马仔经验!E18</f>
        <v>735</v>
      </c>
      <c r="U29" s="2">
        <f>[14]D_马仔经验!F18</f>
        <v>3823</v>
      </c>
      <c r="V29" s="2">
        <f>[14]D_马仔经验!G18</f>
        <v>3823</v>
      </c>
      <c r="W29" s="2">
        <f>[14]D_马仔经验!H18</f>
        <v>3823</v>
      </c>
      <c r="X29" s="2">
        <f>[14]D_马仔经验!I18</f>
        <v>3823</v>
      </c>
      <c r="AB29" s="73" t="s">
        <v>20</v>
      </c>
      <c r="AC29" s="2" t="s">
        <v>631</v>
      </c>
      <c r="AD29" s="2" t="s">
        <v>583</v>
      </c>
      <c r="AE29" s="2" t="s">
        <v>584</v>
      </c>
      <c r="AF29" s="2" t="s">
        <v>633</v>
      </c>
      <c r="AG29" s="2" t="s">
        <v>632</v>
      </c>
      <c r="AH29" s="2" t="s">
        <v>635</v>
      </c>
      <c r="AI29" s="2" t="s">
        <v>634</v>
      </c>
      <c r="AJ29" s="2" t="s">
        <v>597</v>
      </c>
      <c r="AK29" s="2" t="s">
        <v>555</v>
      </c>
      <c r="AL29" s="2" t="s">
        <v>556</v>
      </c>
      <c r="AM29" s="2" t="s">
        <v>557</v>
      </c>
      <c r="AN29" s="2" t="s">
        <v>558</v>
      </c>
      <c r="AO29" s="2" t="s">
        <v>598</v>
      </c>
      <c r="AP29" s="4" t="s">
        <v>1183</v>
      </c>
      <c r="AQ29" s="4" t="s">
        <v>638</v>
      </c>
      <c r="AR29" s="4" t="s">
        <v>639</v>
      </c>
      <c r="AS29" s="2" t="s">
        <v>562</v>
      </c>
      <c r="AT29" s="17"/>
      <c r="AU29" s="17"/>
    </row>
    <row r="30" spans="2:47">
      <c r="B30" s="161">
        <v>1</v>
      </c>
      <c r="C30" s="161">
        <v>20</v>
      </c>
      <c r="D30" s="161"/>
      <c r="E30" s="161"/>
      <c r="F30">
        <f>C30*$F$5+D30*$F$6+E30*$F$7</f>
        <v>2000</v>
      </c>
      <c r="I30" s="2">
        <f>'装备&amp;装备材料的投放'!D27</f>
        <v>9.3823064573369475E-2</v>
      </c>
      <c r="J30" s="2">
        <v>18</v>
      </c>
      <c r="K30" s="2"/>
      <c r="L30" s="2"/>
      <c r="M30" s="2"/>
      <c r="N30" s="17"/>
      <c r="P30" s="2">
        <f>[14]D_马仔经验!A19</f>
        <v>18</v>
      </c>
      <c r="Q30" s="2">
        <f>[14]D_马仔经验!B19</f>
        <v>868</v>
      </c>
      <c r="R30" s="2">
        <f>[14]D_马仔经验!C19</f>
        <v>868</v>
      </c>
      <c r="S30" s="2">
        <f>[14]D_马仔经验!D19</f>
        <v>868</v>
      </c>
      <c r="T30" s="2">
        <f>[14]D_马仔经验!E19</f>
        <v>868</v>
      </c>
      <c r="U30" s="2">
        <f>[14]D_马仔经验!F19</f>
        <v>4558</v>
      </c>
      <c r="V30" s="2">
        <f>[14]D_马仔经验!G19</f>
        <v>4558</v>
      </c>
      <c r="W30" s="2">
        <f>[14]D_马仔经验!H19</f>
        <v>4558</v>
      </c>
      <c r="X30" s="2">
        <f>[14]D_马仔经验!I19</f>
        <v>4558</v>
      </c>
      <c r="AB30" s="73" t="s">
        <v>576</v>
      </c>
      <c r="AC30" s="3"/>
      <c r="AD30" s="3">
        <v>10</v>
      </c>
      <c r="AE30" s="3">
        <v>10</v>
      </c>
      <c r="AF30" s="3">
        <v>5</v>
      </c>
      <c r="AG30" s="3">
        <v>1</v>
      </c>
      <c r="AH30" s="3">
        <v>1</v>
      </c>
      <c r="AI30" s="3">
        <v>0.2</v>
      </c>
      <c r="AJ30" s="3">
        <v>2</v>
      </c>
      <c r="AK30" s="3">
        <v>1</v>
      </c>
      <c r="AL30" s="3">
        <v>1</v>
      </c>
      <c r="AM30" s="3">
        <v>1</v>
      </c>
      <c r="AN30" s="3">
        <v>1</v>
      </c>
      <c r="AO30" s="3">
        <v>1</v>
      </c>
      <c r="AP30" s="3">
        <v>1</v>
      </c>
      <c r="AQ30" s="3">
        <v>2</v>
      </c>
      <c r="AR30" s="3">
        <v>1</v>
      </c>
      <c r="AS30" s="3">
        <v>1</v>
      </c>
      <c r="AT30" s="61"/>
      <c r="AU30" s="61"/>
    </row>
    <row r="31" spans="2:47">
      <c r="B31" s="161">
        <v>2</v>
      </c>
      <c r="C31" s="161">
        <v>20</v>
      </c>
      <c r="D31" s="161">
        <v>2</v>
      </c>
      <c r="E31" s="161"/>
      <c r="F31">
        <f t="shared" ref="F31:F35" si="8">C31*$F$5+D31*$F$6+E31*$F$7</f>
        <v>2600</v>
      </c>
      <c r="I31" s="2">
        <f>'装备&amp;装备材料的投放'!D28</f>
        <v>0.10327658874082885</v>
      </c>
      <c r="J31" s="2">
        <v>19</v>
      </c>
      <c r="K31" s="2"/>
      <c r="L31" s="2"/>
      <c r="M31" s="2"/>
      <c r="N31" s="17"/>
      <c r="P31" s="2">
        <f>[14]D_马仔经验!A20</f>
        <v>19</v>
      </c>
      <c r="Q31" s="2">
        <f>[14]D_马仔经验!B20</f>
        <v>1019</v>
      </c>
      <c r="R31" s="2">
        <f>[14]D_马仔经验!C20</f>
        <v>1019</v>
      </c>
      <c r="S31" s="2">
        <f>[14]D_马仔经验!D20</f>
        <v>1019</v>
      </c>
      <c r="T31" s="2">
        <f>[14]D_马仔经验!E20</f>
        <v>1019</v>
      </c>
      <c r="U31" s="2">
        <f>[14]D_马仔经验!F20</f>
        <v>5426</v>
      </c>
      <c r="V31" s="2">
        <f>[14]D_马仔经验!G20</f>
        <v>5426</v>
      </c>
      <c r="W31" s="2">
        <f>[14]D_马仔经验!H20</f>
        <v>5426</v>
      </c>
      <c r="X31" s="2">
        <f>[14]D_马仔经验!I20</f>
        <v>5426</v>
      </c>
      <c r="AB31" s="73" t="s">
        <v>577</v>
      </c>
      <c r="AC31" s="3"/>
      <c r="AD31" s="3">
        <v>8</v>
      </c>
      <c r="AE31" s="3">
        <v>10</v>
      </c>
      <c r="AF31" s="3">
        <v>5</v>
      </c>
      <c r="AG31" s="3">
        <v>2</v>
      </c>
      <c r="AH31" s="3">
        <v>2</v>
      </c>
      <c r="AI31" s="3">
        <v>0.4</v>
      </c>
      <c r="AJ31" s="3">
        <v>2</v>
      </c>
      <c r="AK31" s="3">
        <v>1</v>
      </c>
      <c r="AL31" s="3">
        <v>1</v>
      </c>
      <c r="AM31" s="3">
        <v>1</v>
      </c>
      <c r="AN31" s="3">
        <v>1</v>
      </c>
      <c r="AO31" s="3">
        <v>1</v>
      </c>
      <c r="AP31" s="3">
        <v>1</v>
      </c>
      <c r="AQ31" s="3">
        <v>2</v>
      </c>
      <c r="AR31" s="3">
        <v>1</v>
      </c>
      <c r="AS31" s="3">
        <v>1</v>
      </c>
      <c r="AT31" s="61"/>
      <c r="AU31" s="61"/>
    </row>
    <row r="32" spans="2:47">
      <c r="B32" s="162">
        <v>3</v>
      </c>
      <c r="C32" s="161">
        <v>20</v>
      </c>
      <c r="D32" s="161">
        <v>4</v>
      </c>
      <c r="E32" s="161"/>
      <c r="F32">
        <f t="shared" si="8"/>
        <v>3200</v>
      </c>
      <c r="I32" s="2">
        <f>'装备&amp;装备材料的投放'!D29</f>
        <v>0.11368264115484583</v>
      </c>
      <c r="J32" s="2">
        <v>20</v>
      </c>
      <c r="K32" s="2"/>
      <c r="L32" s="2"/>
      <c r="M32" s="2"/>
      <c r="P32" s="2">
        <f>[14]D_马仔经验!A21</f>
        <v>20</v>
      </c>
      <c r="Q32" s="2">
        <f>[14]D_马仔经验!B21</f>
        <v>1192</v>
      </c>
      <c r="R32" s="2">
        <f>[14]D_马仔经验!C21</f>
        <v>1192</v>
      </c>
      <c r="S32" s="2">
        <f>[14]D_马仔经验!D21</f>
        <v>1192</v>
      </c>
      <c r="T32" s="2">
        <f>[14]D_马仔经验!E21</f>
        <v>1192</v>
      </c>
      <c r="U32" s="2">
        <f>[14]D_马仔经验!F21</f>
        <v>6445</v>
      </c>
      <c r="V32" s="2">
        <f>[14]D_马仔经验!G21</f>
        <v>6445</v>
      </c>
      <c r="W32" s="2">
        <f>[14]D_马仔经验!H21</f>
        <v>6445</v>
      </c>
      <c r="X32" s="2">
        <f>[14]D_马仔经验!I21</f>
        <v>6445</v>
      </c>
      <c r="AB32" s="73" t="s">
        <v>578</v>
      </c>
      <c r="AC32" s="3"/>
      <c r="AD32" s="3">
        <v>6</v>
      </c>
      <c r="AE32" s="3">
        <v>10</v>
      </c>
      <c r="AF32" s="3">
        <v>10</v>
      </c>
      <c r="AG32" s="3">
        <v>3</v>
      </c>
      <c r="AH32" s="3">
        <v>6.5</v>
      </c>
      <c r="AI32" s="3">
        <v>0.8</v>
      </c>
      <c r="AJ32" s="3">
        <v>2</v>
      </c>
      <c r="AK32" s="3">
        <v>1</v>
      </c>
      <c r="AL32" s="3">
        <v>1</v>
      </c>
      <c r="AM32" s="3">
        <v>1</v>
      </c>
      <c r="AN32" s="3">
        <v>1</v>
      </c>
      <c r="AO32" s="3">
        <v>1</v>
      </c>
      <c r="AP32" s="3">
        <v>1</v>
      </c>
      <c r="AQ32" s="3">
        <v>2</v>
      </c>
      <c r="AR32" s="3">
        <v>1</v>
      </c>
      <c r="AS32" s="3">
        <v>1</v>
      </c>
      <c r="AT32" s="61"/>
      <c r="AU32" s="61"/>
    </row>
    <row r="33" spans="2:47">
      <c r="B33" s="162">
        <v>4</v>
      </c>
      <c r="C33" s="161">
        <v>20</v>
      </c>
      <c r="D33" s="161">
        <v>6</v>
      </c>
      <c r="E33" s="161"/>
      <c r="F33">
        <f t="shared" si="8"/>
        <v>3800</v>
      </c>
      <c r="I33" s="2">
        <f>'装备&amp;装备材料的投放'!D30</f>
        <v>0.12513719766997147</v>
      </c>
      <c r="J33" s="2">
        <v>21</v>
      </c>
      <c r="K33" s="2"/>
      <c r="L33" s="2">
        <v>1</v>
      </c>
      <c r="M33" s="2">
        <v>7000</v>
      </c>
      <c r="N33" s="17">
        <f>M33/3</f>
        <v>2333.3333333333335</v>
      </c>
      <c r="P33" s="2">
        <f>[14]D_马仔经验!A22</f>
        <v>21</v>
      </c>
      <c r="Q33" s="2">
        <f>[14]D_马仔经验!B22</f>
        <v>1386</v>
      </c>
      <c r="R33" s="2">
        <f>[14]D_马仔经验!C22</f>
        <v>1386</v>
      </c>
      <c r="S33" s="2">
        <f>[14]D_马仔经验!D22</f>
        <v>1386</v>
      </c>
      <c r="T33" s="2">
        <f>[14]D_马仔经验!E22</f>
        <v>1386</v>
      </c>
      <c r="U33" s="2">
        <f>[14]D_马仔经验!F22</f>
        <v>7637</v>
      </c>
      <c r="V33" s="2">
        <f>[14]D_马仔经验!G22</f>
        <v>7637</v>
      </c>
      <c r="W33" s="2">
        <f>[14]D_马仔经验!H22</f>
        <v>7637</v>
      </c>
      <c r="X33" s="2">
        <f>[14]D_马仔经验!I22</f>
        <v>7637</v>
      </c>
      <c r="AB33" s="73" t="s">
        <v>579</v>
      </c>
      <c r="AC33" s="3"/>
      <c r="AD33" s="3">
        <v>6</v>
      </c>
      <c r="AE33" s="3">
        <v>10</v>
      </c>
      <c r="AF33" s="3">
        <v>10</v>
      </c>
      <c r="AG33" s="3">
        <v>4</v>
      </c>
      <c r="AH33" s="3">
        <v>10</v>
      </c>
      <c r="AI33" s="3">
        <v>1</v>
      </c>
      <c r="AJ33" s="3">
        <v>2</v>
      </c>
      <c r="AK33" s="3">
        <v>1</v>
      </c>
      <c r="AL33" s="3">
        <v>1</v>
      </c>
      <c r="AM33" s="3">
        <v>1</v>
      </c>
      <c r="AN33" s="3">
        <v>1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 s="61"/>
      <c r="AU33" s="61"/>
    </row>
    <row r="34" spans="2:47">
      <c r="B34" s="162">
        <v>5</v>
      </c>
      <c r="C34" s="161">
        <v>0</v>
      </c>
      <c r="D34" s="161">
        <v>8</v>
      </c>
      <c r="E34" s="161">
        <v>2</v>
      </c>
      <c r="F34">
        <f t="shared" si="8"/>
        <v>4400</v>
      </c>
      <c r="I34" s="2">
        <f>'装备&amp;装备材料的投放'!D31</f>
        <v>0.13774590457802735</v>
      </c>
      <c r="J34" s="2">
        <v>22</v>
      </c>
      <c r="K34" s="2"/>
      <c r="L34" s="2"/>
      <c r="M34" s="2"/>
      <c r="N34" s="17"/>
      <c r="P34" s="2">
        <f>[14]D_马仔经验!A23</f>
        <v>22</v>
      </c>
      <c r="Q34" s="2">
        <f>[14]D_马仔经验!B23</f>
        <v>1604</v>
      </c>
      <c r="R34" s="2">
        <f>[14]D_马仔经验!C23</f>
        <v>1604</v>
      </c>
      <c r="S34" s="2">
        <f>[14]D_马仔经验!D23</f>
        <v>1604</v>
      </c>
      <c r="T34" s="2">
        <f>[14]D_马仔经验!E23</f>
        <v>1604</v>
      </c>
      <c r="U34" s="2">
        <f>[14]D_马仔经验!F23</f>
        <v>9023</v>
      </c>
      <c r="V34" s="2">
        <f>[14]D_马仔经验!G23</f>
        <v>9023</v>
      </c>
      <c r="W34" s="2">
        <f>[14]D_马仔经验!H23</f>
        <v>9023</v>
      </c>
      <c r="X34" s="2">
        <f>[14]D_马仔经验!I23</f>
        <v>9023</v>
      </c>
    </row>
    <row r="35" spans="2:47">
      <c r="B35" s="162">
        <v>6</v>
      </c>
      <c r="C35" s="162">
        <v>0</v>
      </c>
      <c r="D35" s="162">
        <v>10</v>
      </c>
      <c r="E35" s="162">
        <v>2</v>
      </c>
      <c r="F35">
        <f t="shared" si="8"/>
        <v>5000</v>
      </c>
      <c r="I35" s="2">
        <f>'装备&amp;装备材料的投放'!D32</f>
        <v>0.15162505299231335</v>
      </c>
      <c r="J35" s="2">
        <v>23</v>
      </c>
      <c r="K35" s="2"/>
      <c r="L35" s="2"/>
      <c r="M35" s="2"/>
      <c r="N35" s="17"/>
      <c r="P35" s="2">
        <f>[14]D_马仔经验!A24</f>
        <v>23</v>
      </c>
      <c r="Q35" s="2">
        <f>[14]D_马仔经验!B24</f>
        <v>1848</v>
      </c>
      <c r="R35" s="2">
        <f>[14]D_马仔经验!C24</f>
        <v>1848</v>
      </c>
      <c r="S35" s="2">
        <f>[14]D_马仔经验!D24</f>
        <v>1848</v>
      </c>
      <c r="T35" s="2">
        <f>[14]D_马仔经验!E24</f>
        <v>1848</v>
      </c>
      <c r="U35" s="2">
        <f>[14]D_马仔经验!F24</f>
        <v>10627</v>
      </c>
      <c r="V35" s="2">
        <f>[14]D_马仔经验!G24</f>
        <v>10627</v>
      </c>
      <c r="W35" s="2">
        <f>[14]D_马仔经验!H24</f>
        <v>10627</v>
      </c>
      <c r="X35" s="2">
        <f>[14]D_马仔经验!I24</f>
        <v>10627</v>
      </c>
      <c r="AB35" s="70" t="s">
        <v>571</v>
      </c>
    </row>
    <row r="36" spans="2:47">
      <c r="I36" s="2">
        <f>'装备&amp;装备材料的投放'!D33</f>
        <v>0.16690265140985627</v>
      </c>
      <c r="J36" s="2">
        <v>24</v>
      </c>
      <c r="K36" s="2"/>
      <c r="L36" s="2"/>
      <c r="M36" s="2"/>
      <c r="N36" s="17"/>
      <c r="P36" s="2">
        <f>[14]D_马仔经验!A25</f>
        <v>24</v>
      </c>
      <c r="Q36" s="2">
        <f>[14]D_马仔经验!B25</f>
        <v>2119</v>
      </c>
      <c r="R36" s="2">
        <f>[14]D_马仔经验!C25</f>
        <v>2119</v>
      </c>
      <c r="S36" s="2">
        <f>[14]D_马仔经验!D25</f>
        <v>2119</v>
      </c>
      <c r="T36" s="2">
        <f>[14]D_马仔经验!E25</f>
        <v>2119</v>
      </c>
      <c r="U36" s="2">
        <f>[14]D_马仔经验!F25</f>
        <v>12475</v>
      </c>
      <c r="V36" s="2">
        <f>[14]D_马仔经验!G25</f>
        <v>12475</v>
      </c>
      <c r="W36" s="2">
        <f>[14]D_马仔经验!H25</f>
        <v>12475</v>
      </c>
      <c r="X36" s="2">
        <f>[14]D_马仔经验!I25</f>
        <v>12475</v>
      </c>
      <c r="AB36" s="73" t="s">
        <v>20</v>
      </c>
      <c r="AC36" s="2" t="s">
        <v>631</v>
      </c>
      <c r="AD36" s="2" t="s">
        <v>583</v>
      </c>
      <c r="AE36" s="2" t="s">
        <v>584</v>
      </c>
      <c r="AF36" s="2" t="s">
        <v>633</v>
      </c>
      <c r="AG36" s="2" t="s">
        <v>632</v>
      </c>
      <c r="AH36" s="2" t="s">
        <v>635</v>
      </c>
      <c r="AI36" s="2" t="s">
        <v>634</v>
      </c>
      <c r="AJ36" s="2" t="s">
        <v>597</v>
      </c>
      <c r="AK36" s="2" t="s">
        <v>555</v>
      </c>
      <c r="AL36" s="2" t="s">
        <v>556</v>
      </c>
      <c r="AM36" s="2" t="s">
        <v>557</v>
      </c>
      <c r="AN36" s="2" t="s">
        <v>558</v>
      </c>
      <c r="AO36" s="2" t="s">
        <v>598</v>
      </c>
      <c r="AP36" s="4" t="s">
        <v>1183</v>
      </c>
      <c r="AQ36" s="4" t="s">
        <v>638</v>
      </c>
      <c r="AR36" s="4" t="s">
        <v>639</v>
      </c>
      <c r="AS36" s="2" t="s">
        <v>562</v>
      </c>
      <c r="AT36" s="17"/>
      <c r="AU36" s="17"/>
    </row>
    <row r="37" spans="2:47">
      <c r="I37" s="2">
        <f>'装备&amp;装备材料的投放'!D34</f>
        <v>0.1837196063440267</v>
      </c>
      <c r="J37" s="2">
        <v>25</v>
      </c>
      <c r="K37" s="2"/>
      <c r="L37" s="2"/>
      <c r="M37" s="2"/>
      <c r="N37" s="17"/>
      <c r="P37" s="2">
        <f>[14]D_马仔经验!A26</f>
        <v>25</v>
      </c>
      <c r="Q37" s="2">
        <f>[14]D_马仔经验!B26</f>
        <v>2419</v>
      </c>
      <c r="R37" s="2">
        <f>[14]D_马仔经验!C26</f>
        <v>2419</v>
      </c>
      <c r="S37" s="2">
        <f>[14]D_马仔经验!D26</f>
        <v>2419</v>
      </c>
      <c r="T37" s="2">
        <f>[14]D_马仔经验!E26</f>
        <v>2419</v>
      </c>
      <c r="U37" s="2">
        <f>[14]D_马仔经验!F26</f>
        <v>14594</v>
      </c>
      <c r="V37" s="2">
        <f>[14]D_马仔经验!G26</f>
        <v>14594</v>
      </c>
      <c r="W37" s="2">
        <f>[14]D_马仔经验!H26</f>
        <v>14594</v>
      </c>
      <c r="X37" s="2">
        <f>[14]D_马仔经验!I26</f>
        <v>14594</v>
      </c>
      <c r="AB37" s="73" t="s">
        <v>576</v>
      </c>
      <c r="AC37" s="2">
        <f t="shared" ref="AC37:AM37" si="9">IFERROR(AC21/AC30,0)</f>
        <v>0</v>
      </c>
      <c r="AD37" s="2">
        <f t="shared" si="9"/>
        <v>0</v>
      </c>
      <c r="AE37" s="2">
        <f t="shared" si="9"/>
        <v>0</v>
      </c>
      <c r="AF37" s="2">
        <f t="shared" si="9"/>
        <v>0.43098495478637677</v>
      </c>
      <c r="AG37" s="2">
        <f t="shared" si="9"/>
        <v>0</v>
      </c>
      <c r="AH37" s="2">
        <f t="shared" si="9"/>
        <v>0</v>
      </c>
      <c r="AI37" s="2">
        <f t="shared" si="9"/>
        <v>0</v>
      </c>
      <c r="AJ37" s="2">
        <f t="shared" si="9"/>
        <v>2.1549247739318838</v>
      </c>
      <c r="AK37" s="2">
        <f t="shared" si="9"/>
        <v>0</v>
      </c>
      <c r="AL37" s="2">
        <f t="shared" si="9"/>
        <v>0</v>
      </c>
      <c r="AM37" s="2">
        <f t="shared" si="9"/>
        <v>0</v>
      </c>
      <c r="AN37" s="2">
        <f t="shared" ref="AN37:AS40" si="10">IFERROR(AN21/AN30,0)</f>
        <v>0</v>
      </c>
      <c r="AO37" s="2">
        <f t="shared" si="10"/>
        <v>0</v>
      </c>
      <c r="AP37" s="2">
        <f t="shared" si="10"/>
        <v>0</v>
      </c>
      <c r="AQ37" s="2">
        <f t="shared" si="10"/>
        <v>2.1549247739318838</v>
      </c>
      <c r="AR37" s="2">
        <f t="shared" si="10"/>
        <v>0</v>
      </c>
      <c r="AS37" s="2">
        <f t="shared" si="10"/>
        <v>3.5915412898864729</v>
      </c>
      <c r="AT37" s="17"/>
      <c r="AU37" s="17"/>
    </row>
    <row r="38" spans="2:47">
      <c r="I38" s="2">
        <f>'装备&amp;装备材料的投放'!D35</f>
        <v>0.20223102191659306</v>
      </c>
      <c r="J38" s="2">
        <v>26</v>
      </c>
      <c r="K38" s="2"/>
      <c r="L38" s="2"/>
      <c r="M38" s="2"/>
      <c r="N38" s="17"/>
      <c r="P38" s="2">
        <f>[14]D_马仔经验!A27</f>
        <v>26</v>
      </c>
      <c r="Q38" s="2">
        <f>[14]D_马仔经验!B27</f>
        <v>2751</v>
      </c>
      <c r="R38" s="2">
        <f>[14]D_马仔经验!C27</f>
        <v>2751</v>
      </c>
      <c r="S38" s="2">
        <f>[14]D_马仔经验!D27</f>
        <v>2751</v>
      </c>
      <c r="T38" s="2">
        <f>[14]D_马仔经验!E27</f>
        <v>2751</v>
      </c>
      <c r="U38" s="2">
        <f>[14]D_马仔经验!F27</f>
        <v>17013</v>
      </c>
      <c r="V38" s="2">
        <f>[14]D_马仔经验!G27</f>
        <v>17013</v>
      </c>
      <c r="W38" s="2">
        <f>[14]D_马仔经验!H27</f>
        <v>17013</v>
      </c>
      <c r="X38" s="2">
        <f>[14]D_马仔经验!I27</f>
        <v>17013</v>
      </c>
      <c r="AB38" s="73" t="s">
        <v>577</v>
      </c>
      <c r="AC38" s="2">
        <f t="shared" ref="AC38:AM38" si="11">IFERROR(AC22/AC31,0)</f>
        <v>0</v>
      </c>
      <c r="AD38" s="2">
        <f t="shared" si="11"/>
        <v>0</v>
      </c>
      <c r="AE38" s="2">
        <f t="shared" si="11"/>
        <v>0</v>
      </c>
      <c r="AF38" s="2">
        <f t="shared" si="11"/>
        <v>0</v>
      </c>
      <c r="AG38" s="2">
        <f t="shared" si="11"/>
        <v>0</v>
      </c>
      <c r="AH38" s="2">
        <f t="shared" si="11"/>
        <v>0.33162288327097511</v>
      </c>
      <c r="AI38" s="2">
        <f t="shared" si="11"/>
        <v>8.4563835234098637</v>
      </c>
      <c r="AJ38" s="2">
        <f t="shared" si="11"/>
        <v>1.3928161097380953</v>
      </c>
      <c r="AK38" s="2">
        <f t="shared" si="11"/>
        <v>1.4591406863922904</v>
      </c>
      <c r="AL38" s="2">
        <f t="shared" si="11"/>
        <v>0</v>
      </c>
      <c r="AM38" s="2">
        <f t="shared" si="11"/>
        <v>2.6529830661678009</v>
      </c>
      <c r="AN38" s="2">
        <f t="shared" si="10"/>
        <v>0</v>
      </c>
      <c r="AO38" s="2">
        <f t="shared" si="10"/>
        <v>1.3264915330839004</v>
      </c>
      <c r="AP38" s="2">
        <f t="shared" si="10"/>
        <v>0</v>
      </c>
      <c r="AQ38" s="2">
        <f t="shared" si="10"/>
        <v>1.9897372996258507</v>
      </c>
      <c r="AR38" s="2">
        <f t="shared" si="10"/>
        <v>0</v>
      </c>
      <c r="AS38" s="2">
        <f t="shared" si="10"/>
        <v>-2.9846059494387744</v>
      </c>
      <c r="AT38" s="17"/>
      <c r="AU38" s="17"/>
    </row>
    <row r="39" spans="2:47">
      <c r="I39" s="2">
        <f>'装备&amp;装备材料的投放'!D36</f>
        <v>0.22260763039545486</v>
      </c>
      <c r="J39" s="2">
        <v>27</v>
      </c>
      <c r="K39" s="2"/>
      <c r="L39" s="2"/>
      <c r="M39" s="2"/>
      <c r="N39" s="17"/>
      <c r="P39" s="2">
        <f>[14]D_马仔经验!A28</f>
        <v>27</v>
      </c>
      <c r="Q39" s="2">
        <f>[14]D_马仔经验!B28</f>
        <v>3116</v>
      </c>
      <c r="R39" s="2">
        <f>[14]D_马仔经验!C28</f>
        <v>3116</v>
      </c>
      <c r="S39" s="2">
        <f>[14]D_马仔经验!D28</f>
        <v>3116</v>
      </c>
      <c r="T39" s="2">
        <f>[14]D_马仔经验!E28</f>
        <v>3116</v>
      </c>
      <c r="U39" s="2">
        <f>[14]D_马仔经验!F28</f>
        <v>19764</v>
      </c>
      <c r="V39" s="2">
        <f>[14]D_马仔经验!G28</f>
        <v>19764</v>
      </c>
      <c r="W39" s="2">
        <f>[14]D_马仔经验!H28</f>
        <v>19764</v>
      </c>
      <c r="X39" s="2">
        <f>[14]D_马仔经验!I28</f>
        <v>19764</v>
      </c>
      <c r="AB39" s="73" t="s">
        <v>578</v>
      </c>
      <c r="AC39" s="2">
        <f t="shared" ref="AC39:AM39" si="12">IFERROR(AC23/AC32,0)</f>
        <v>0</v>
      </c>
      <c r="AD39" s="2">
        <f t="shared" si="12"/>
        <v>0</v>
      </c>
      <c r="AE39" s="2">
        <f t="shared" si="12"/>
        <v>0</v>
      </c>
      <c r="AF39" s="2">
        <f t="shared" si="12"/>
        <v>0</v>
      </c>
      <c r="AG39" s="2">
        <f t="shared" si="12"/>
        <v>0</v>
      </c>
      <c r="AH39" s="2">
        <f t="shared" si="12"/>
        <v>0.16343944387686024</v>
      </c>
      <c r="AI39" s="2">
        <f t="shared" si="12"/>
        <v>6.6397274074974471</v>
      </c>
      <c r="AJ39" s="2">
        <f t="shared" si="12"/>
        <v>0.79676728889969373</v>
      </c>
      <c r="AK39" s="2">
        <f t="shared" si="12"/>
        <v>0.84988510815967333</v>
      </c>
      <c r="AL39" s="2">
        <f t="shared" si="12"/>
        <v>0</v>
      </c>
      <c r="AM39" s="2">
        <f t="shared" si="12"/>
        <v>2.5496553244790197</v>
      </c>
      <c r="AN39" s="2">
        <f t="shared" si="10"/>
        <v>0</v>
      </c>
      <c r="AO39" s="2">
        <f t="shared" si="10"/>
        <v>0</v>
      </c>
      <c r="AP39" s="2">
        <f t="shared" si="10"/>
        <v>0</v>
      </c>
      <c r="AQ39" s="2">
        <f t="shared" si="10"/>
        <v>1.5935345777993875</v>
      </c>
      <c r="AR39" s="2">
        <f t="shared" si="10"/>
        <v>0</v>
      </c>
      <c r="AS39" s="2">
        <f t="shared" si="10"/>
        <v>-3.9307186252384878</v>
      </c>
      <c r="AT39" s="17"/>
      <c r="AU39" s="17"/>
    </row>
    <row r="40" spans="2:47">
      <c r="I40" s="2">
        <f>'装备&amp;装备材料的投放'!D37</f>
        <v>0.24503736687201849</v>
      </c>
      <c r="J40" s="2">
        <v>28</v>
      </c>
      <c r="K40" s="2"/>
      <c r="L40" s="2"/>
      <c r="M40" s="2"/>
      <c r="N40" s="17"/>
      <c r="P40" s="2">
        <f>[14]D_马仔经验!A29</f>
        <v>28</v>
      </c>
      <c r="Q40" s="2">
        <f>[14]D_马仔经验!B29</f>
        <v>3517</v>
      </c>
      <c r="R40" s="2">
        <f>[14]D_马仔经验!C29</f>
        <v>3517</v>
      </c>
      <c r="S40" s="2">
        <f>[14]D_马仔经验!D29</f>
        <v>3517</v>
      </c>
      <c r="T40" s="2">
        <f>[14]D_马仔经验!E29</f>
        <v>3517</v>
      </c>
      <c r="U40" s="2">
        <f>[14]D_马仔经验!F29</f>
        <v>22880</v>
      </c>
      <c r="V40" s="2">
        <f>[14]D_马仔经验!G29</f>
        <v>22880</v>
      </c>
      <c r="W40" s="2">
        <f>[14]D_马仔经验!H29</f>
        <v>22880</v>
      </c>
      <c r="X40" s="2">
        <f>[14]D_马仔经验!I29</f>
        <v>22880</v>
      </c>
      <c r="AB40" s="73" t="s">
        <v>579</v>
      </c>
      <c r="AC40" s="2">
        <f t="shared" ref="AC40:AM40" si="13">IFERROR(AC24/AC33,0)</f>
        <v>0</v>
      </c>
      <c r="AD40" s="2">
        <f t="shared" si="13"/>
        <v>0</v>
      </c>
      <c r="AE40" s="2">
        <f t="shared" si="13"/>
        <v>0</v>
      </c>
      <c r="AF40" s="2">
        <f t="shared" si="13"/>
        <v>0</v>
      </c>
      <c r="AG40" s="2">
        <f t="shared" si="13"/>
        <v>0</v>
      </c>
      <c r="AH40" s="2">
        <f t="shared" si="13"/>
        <v>4.4898386630033496E-2</v>
      </c>
      <c r="AI40" s="2">
        <f t="shared" si="13"/>
        <v>3.7415322191694584</v>
      </c>
      <c r="AJ40" s="2">
        <f t="shared" si="13"/>
        <v>0</v>
      </c>
      <c r="AK40" s="2">
        <f t="shared" si="13"/>
        <v>0.18707661095847294</v>
      </c>
      <c r="AL40" s="2">
        <f t="shared" si="13"/>
        <v>0</v>
      </c>
      <c r="AM40" s="2">
        <f t="shared" si="13"/>
        <v>0.97279837698405924</v>
      </c>
      <c r="AN40" s="2">
        <f t="shared" si="10"/>
        <v>0</v>
      </c>
      <c r="AO40" s="2">
        <f t="shared" si="10"/>
        <v>0</v>
      </c>
      <c r="AP40" s="2">
        <f t="shared" si="10"/>
        <v>0</v>
      </c>
      <c r="AQ40" s="2">
        <f t="shared" si="10"/>
        <v>0</v>
      </c>
      <c r="AR40" s="2">
        <f t="shared" si="10"/>
        <v>0</v>
      </c>
      <c r="AS40" s="2">
        <f t="shared" si="10"/>
        <v>2.1326733649265908</v>
      </c>
      <c r="AT40" s="17"/>
      <c r="AU40" s="17"/>
    </row>
    <row r="41" spans="2:47">
      <c r="I41" s="2">
        <f>'装备&amp;装备材料的投放'!D38</f>
        <v>0.26972710260159238</v>
      </c>
      <c r="J41" s="2">
        <v>29</v>
      </c>
      <c r="K41" s="2"/>
      <c r="L41" s="2"/>
      <c r="M41" s="2"/>
      <c r="N41" s="17"/>
      <c r="P41" s="2">
        <f>[14]D_马仔经验!A30</f>
        <v>29</v>
      </c>
      <c r="Q41" s="2">
        <f>[14]D_马仔经验!B30</f>
        <v>3955</v>
      </c>
      <c r="R41" s="2">
        <f>[14]D_马仔经验!C30</f>
        <v>3955</v>
      </c>
      <c r="S41" s="2">
        <f>[14]D_马仔经验!D30</f>
        <v>3955</v>
      </c>
      <c r="T41" s="2">
        <f>[14]D_马仔经验!E30</f>
        <v>3955</v>
      </c>
      <c r="U41" s="2">
        <f>[14]D_马仔经验!F30</f>
        <v>26397</v>
      </c>
      <c r="V41" s="2">
        <f>[14]D_马仔经验!G30</f>
        <v>26397</v>
      </c>
      <c r="W41" s="2">
        <f>[14]D_马仔经验!H30</f>
        <v>26397</v>
      </c>
      <c r="X41" s="2">
        <f>[14]D_马仔经验!I30</f>
        <v>26397</v>
      </c>
    </row>
    <row r="42" spans="2:47" s="30" customFormat="1">
      <c r="H42" s="30" t="s">
        <v>248</v>
      </c>
      <c r="I42" s="3">
        <f>'装备&amp;装备材料的投放'!D39</f>
        <v>0.29690455299353663</v>
      </c>
      <c r="J42" s="3">
        <v>30</v>
      </c>
      <c r="K42" s="3">
        <v>2</v>
      </c>
      <c r="L42" s="3"/>
      <c r="M42" s="3"/>
      <c r="N42" s="52"/>
      <c r="P42" s="3">
        <f>[14]D_马仔经验!A31</f>
        <v>30</v>
      </c>
      <c r="Q42" s="3">
        <f>[14]D_马仔经验!B31</f>
        <v>4432</v>
      </c>
      <c r="R42" s="3">
        <f>[14]D_马仔经验!C31</f>
        <v>4432</v>
      </c>
      <c r="S42" s="3">
        <f>[14]D_马仔经验!D31</f>
        <v>4432</v>
      </c>
      <c r="T42" s="3">
        <f>[14]D_马仔经验!E31</f>
        <v>4432</v>
      </c>
      <c r="U42" s="3">
        <f>[14]D_马仔经验!F31</f>
        <v>30352</v>
      </c>
      <c r="V42" s="3">
        <f>[14]D_马仔经验!G31</f>
        <v>30352</v>
      </c>
      <c r="W42" s="3">
        <f>[14]D_马仔经验!H31</f>
        <v>30352</v>
      </c>
      <c r="X42" s="3">
        <f>[14]D_马仔经验!I31</f>
        <v>30352</v>
      </c>
    </row>
    <row r="43" spans="2:47">
      <c r="I43" s="2">
        <f>'装备&amp;装备材料的投放'!D40</f>
        <v>0.32682037784871604</v>
      </c>
      <c r="J43" s="2">
        <v>31</v>
      </c>
      <c r="K43" s="2"/>
      <c r="L43" s="2"/>
      <c r="M43" s="2"/>
      <c r="N43" s="17"/>
      <c r="P43" s="2">
        <f>[14]D_马仔经验!A32</f>
        <v>31</v>
      </c>
      <c r="Q43" s="2">
        <f>[14]D_马仔经验!B32</f>
        <v>4951</v>
      </c>
      <c r="R43" s="2">
        <f>[14]D_马仔经验!C32</f>
        <v>4951</v>
      </c>
      <c r="S43" s="2">
        <f>[14]D_马仔经验!D32</f>
        <v>4951</v>
      </c>
      <c r="T43" s="2">
        <f>[14]D_马仔经验!E32</f>
        <v>4951</v>
      </c>
      <c r="U43" s="2">
        <f>[14]D_马仔经验!F32</f>
        <v>34784</v>
      </c>
      <c r="V43" s="2">
        <f>[14]D_马仔经验!G32</f>
        <v>34784</v>
      </c>
      <c r="W43" s="2">
        <f>[14]D_马仔经验!H32</f>
        <v>34784</v>
      </c>
      <c r="X43" s="2">
        <f>[14]D_马仔经验!I32</f>
        <v>34784</v>
      </c>
    </row>
    <row r="44" spans="2:47">
      <c r="I44" s="2">
        <f>'装备&amp;装备材料的投放'!D41</f>
        <v>0.35975049321491137</v>
      </c>
      <c r="J44" s="2">
        <v>32</v>
      </c>
      <c r="K44" s="2"/>
      <c r="L44" s="2"/>
      <c r="M44" s="2"/>
      <c r="N44" s="17"/>
      <c r="P44" s="2">
        <f>[14]D_马仔经验!A33</f>
        <v>32</v>
      </c>
      <c r="Q44" s="2">
        <f>[14]D_马仔经验!B33</f>
        <v>5515</v>
      </c>
      <c r="R44" s="2">
        <f>[14]D_马仔经验!C33</f>
        <v>5515</v>
      </c>
      <c r="S44" s="2">
        <f>[14]D_马仔经验!D33</f>
        <v>5515</v>
      </c>
      <c r="T44" s="2">
        <f>[14]D_马仔经验!E33</f>
        <v>5515</v>
      </c>
      <c r="U44" s="2">
        <f>[14]D_马仔经验!F33</f>
        <v>39735</v>
      </c>
      <c r="V44" s="2">
        <f>[14]D_马仔经验!G33</f>
        <v>39735</v>
      </c>
      <c r="W44" s="2">
        <f>[14]D_马仔经验!H33</f>
        <v>39735</v>
      </c>
      <c r="X44" s="2">
        <f>[14]D_马仔经验!I33</f>
        <v>39735</v>
      </c>
      <c r="AB44" t="s">
        <v>565</v>
      </c>
    </row>
    <row r="45" spans="2:47">
      <c r="I45" s="2">
        <f>'装备&amp;装备材料的投放'!D42</f>
        <v>0.39599861618261806</v>
      </c>
      <c r="J45" s="2">
        <v>33</v>
      </c>
      <c r="K45" s="2"/>
      <c r="L45" s="2">
        <v>2</v>
      </c>
      <c r="M45" s="2">
        <v>9000</v>
      </c>
      <c r="N45" s="17">
        <f>M45/3</f>
        <v>3000</v>
      </c>
      <c r="P45" s="2">
        <f>[14]D_马仔经验!A34</f>
        <v>33</v>
      </c>
      <c r="Q45" s="2">
        <f>[14]D_马仔经验!B34</f>
        <v>6125</v>
      </c>
      <c r="R45" s="2">
        <f>[14]D_马仔经验!C34</f>
        <v>6125</v>
      </c>
      <c r="S45" s="2">
        <f>[14]D_马仔经验!D34</f>
        <v>6125</v>
      </c>
      <c r="T45" s="2">
        <f>[14]D_马仔经验!E34</f>
        <v>6125</v>
      </c>
      <c r="U45" s="2">
        <f>[14]D_马仔经验!F34</f>
        <v>45250</v>
      </c>
      <c r="V45" s="2">
        <f>[14]D_马仔经验!G34</f>
        <v>45250</v>
      </c>
      <c r="W45" s="2">
        <f>[14]D_马仔经验!H34</f>
        <v>45250</v>
      </c>
      <c r="X45" s="2">
        <f>[14]D_马仔经验!I34</f>
        <v>45250</v>
      </c>
      <c r="AB45" s="73" t="s">
        <v>20</v>
      </c>
      <c r="AC45" s="2" t="s">
        <v>631</v>
      </c>
      <c r="AD45" s="2" t="s">
        <v>583</v>
      </c>
      <c r="AE45" s="2" t="s">
        <v>584</v>
      </c>
      <c r="AF45" s="2" t="s">
        <v>633</v>
      </c>
      <c r="AG45" s="2" t="s">
        <v>632</v>
      </c>
      <c r="AH45" s="2" t="s">
        <v>635</v>
      </c>
      <c r="AI45" s="2" t="s">
        <v>634</v>
      </c>
      <c r="AJ45" s="2" t="s">
        <v>597</v>
      </c>
      <c r="AK45" s="2" t="s">
        <v>555</v>
      </c>
      <c r="AL45" s="2" t="s">
        <v>556</v>
      </c>
      <c r="AM45" s="2" t="s">
        <v>557</v>
      </c>
      <c r="AN45" s="2" t="s">
        <v>558</v>
      </c>
      <c r="AO45" s="2" t="s">
        <v>598</v>
      </c>
      <c r="AP45" s="4" t="s">
        <v>638</v>
      </c>
      <c r="AQ45" s="4" t="s">
        <v>639</v>
      </c>
      <c r="AR45" s="4" t="s">
        <v>640</v>
      </c>
      <c r="AS45" s="2" t="s">
        <v>562</v>
      </c>
      <c r="AT45" s="17"/>
      <c r="AU45" s="17"/>
    </row>
    <row r="46" spans="2:47">
      <c r="I46" s="2">
        <f>'装备&amp;装备材料的投放'!D43</f>
        <v>0.43589906609208962</v>
      </c>
      <c r="J46" s="2">
        <v>34</v>
      </c>
      <c r="K46" s="2"/>
      <c r="L46" s="2"/>
      <c r="M46" s="2"/>
      <c r="N46" s="17"/>
      <c r="P46" s="2">
        <f>[14]D_马仔经验!A35</f>
        <v>34</v>
      </c>
      <c r="Q46" s="2">
        <f>[14]D_马仔经验!B35</f>
        <v>6784</v>
      </c>
      <c r="R46" s="2">
        <f>[14]D_马仔经验!C35</f>
        <v>6784</v>
      </c>
      <c r="S46" s="2">
        <f>[14]D_马仔经验!D35</f>
        <v>6784</v>
      </c>
      <c r="T46" s="2">
        <f>[14]D_马仔经验!E35</f>
        <v>6784</v>
      </c>
      <c r="U46" s="2">
        <f>[14]D_马仔经验!F35</f>
        <v>51375</v>
      </c>
      <c r="V46" s="2">
        <f>[14]D_马仔经验!G35</f>
        <v>51375</v>
      </c>
      <c r="W46" s="2">
        <f>[14]D_马仔经验!H35</f>
        <v>51375</v>
      </c>
      <c r="X46" s="2">
        <f>[14]D_马仔经验!I35</f>
        <v>51375</v>
      </c>
      <c r="AB46" s="73" t="s">
        <v>576</v>
      </c>
      <c r="AC46" s="2"/>
      <c r="AD46" s="2"/>
      <c r="AE46" s="2"/>
      <c r="AF46" s="2" t="e">
        <f>[8]D_金币十连抽!#REF!</f>
        <v>#REF!</v>
      </c>
      <c r="AG46" s="2" t="e">
        <f>[8]D_十连抽!#REF!+[8]D_十连抽!#REF!</f>
        <v>#REF!</v>
      </c>
      <c r="AH46" s="2"/>
      <c r="AI46" s="2"/>
      <c r="AJ46" s="2" t="e">
        <f>[8]D_金币商场!#REF!</f>
        <v>#REF!</v>
      </c>
      <c r="AK46" s="2"/>
      <c r="AL46" s="2"/>
      <c r="AM46" s="2"/>
      <c r="AN46" s="2"/>
      <c r="AO46" s="2"/>
      <c r="AP46" s="2"/>
      <c r="AQ46" s="2"/>
      <c r="AR46" s="2"/>
      <c r="AS46" s="2"/>
      <c r="AT46" s="17"/>
      <c r="AU46" s="17"/>
    </row>
    <row r="47" spans="2:47">
      <c r="H47" t="s">
        <v>250</v>
      </c>
      <c r="I47" s="2">
        <f>'装备&amp;装备材料的投放'!D44</f>
        <v>0.47981984798737787</v>
      </c>
      <c r="J47" s="2">
        <v>35</v>
      </c>
      <c r="K47" s="2"/>
      <c r="L47" s="2"/>
      <c r="M47" s="2"/>
      <c r="N47" s="17"/>
      <c r="P47" s="2">
        <f>[14]D_马仔经验!A36</f>
        <v>35</v>
      </c>
      <c r="Q47" s="2">
        <f>[14]D_马仔经验!B36</f>
        <v>7494</v>
      </c>
      <c r="R47" s="2">
        <f>[14]D_马仔经验!C36</f>
        <v>7494</v>
      </c>
      <c r="S47" s="2">
        <f>[14]D_马仔经验!D36</f>
        <v>7494</v>
      </c>
      <c r="T47" s="2">
        <f>[14]D_马仔经验!E36</f>
        <v>7494</v>
      </c>
      <c r="U47" s="2">
        <f>[14]D_马仔经验!F36</f>
        <v>58159</v>
      </c>
      <c r="V47" s="2">
        <f>[14]D_马仔经验!G36</f>
        <v>58159</v>
      </c>
      <c r="W47" s="2">
        <f>[14]D_马仔经验!H36</f>
        <v>58159</v>
      </c>
      <c r="X47" s="2">
        <f>[14]D_马仔经验!I36</f>
        <v>58159</v>
      </c>
      <c r="AB47" s="73" t="s">
        <v>577</v>
      </c>
      <c r="AC47" s="2"/>
      <c r="AD47" s="2"/>
      <c r="AE47" s="2"/>
      <c r="AF47" s="2"/>
      <c r="AG47" s="2"/>
      <c r="AH47" s="2">
        <f>[8]D_钻石十连抽!$AB$88</f>
        <v>0</v>
      </c>
      <c r="AI47" s="2">
        <f>[8]D_十连抽!$Z$35</f>
        <v>7.5373878364905291</v>
      </c>
      <c r="AJ47" s="2">
        <f>[8]D_金币商场!$U$36</f>
        <v>1.301056938288442</v>
      </c>
      <c r="AK47" s="2">
        <f>[8]D_神秘商店!$X$37</f>
        <v>1.1518590998043055</v>
      </c>
      <c r="AL47" s="2">
        <f>[8]D_钻石商场!$S$5</f>
        <v>2.289017341040462</v>
      </c>
      <c r="AM47" s="2">
        <f>[8]D_VIP商城!$T$5</f>
        <v>2.1707670043415339</v>
      </c>
      <c r="AN47" s="2"/>
      <c r="AO47" s="2"/>
      <c r="AP47" s="2"/>
      <c r="AQ47" s="2"/>
      <c r="AR47" s="2"/>
      <c r="AS47" s="2"/>
      <c r="AT47" s="17"/>
      <c r="AU47" s="17"/>
    </row>
    <row r="48" spans="2:47">
      <c r="I48" s="2">
        <f>'装备&amp;装备材料的投放'!D45</f>
        <v>0.5281660467563194</v>
      </c>
      <c r="J48" s="2">
        <v>36</v>
      </c>
      <c r="K48" s="2"/>
      <c r="L48" s="2"/>
      <c r="M48" s="2"/>
      <c r="N48" s="17"/>
      <c r="P48" s="2">
        <f>[14]D_马仔经验!A37</f>
        <v>36</v>
      </c>
      <c r="Q48" s="2">
        <f>[14]D_马仔经验!B37</f>
        <v>8258</v>
      </c>
      <c r="R48" s="2">
        <f>[14]D_马仔经验!C37</f>
        <v>8258</v>
      </c>
      <c r="S48" s="2">
        <f>[14]D_马仔经验!D37</f>
        <v>8258</v>
      </c>
      <c r="T48" s="2">
        <f>[14]D_马仔经验!E37</f>
        <v>8258</v>
      </c>
      <c r="U48" s="2">
        <f>[14]D_马仔经验!F37</f>
        <v>65653</v>
      </c>
      <c r="V48" s="2">
        <f>[14]D_马仔经验!G37</f>
        <v>65653</v>
      </c>
      <c r="W48" s="2">
        <f>[14]D_马仔经验!H37</f>
        <v>65653</v>
      </c>
      <c r="X48" s="2">
        <f>[14]D_马仔经验!I37</f>
        <v>65653</v>
      </c>
      <c r="AB48" s="73" t="s">
        <v>578</v>
      </c>
      <c r="AC48" s="2"/>
      <c r="AD48" s="2"/>
      <c r="AE48" s="2"/>
      <c r="AF48" s="2"/>
      <c r="AG48" s="2"/>
      <c r="AH48" s="2">
        <f>[8]D_钻石十连抽!$AB$95</f>
        <v>0</v>
      </c>
      <c r="AI48" s="2">
        <f>[8]D_十连抽!$Z$41</f>
        <v>7.5373878364905282</v>
      </c>
      <c r="AJ48" s="2">
        <f>[8]D_金币商场!$U$43</f>
        <v>1.0433003750426184</v>
      </c>
      <c r="AK48" s="2">
        <f>[8]D_神秘商店!$X$44</f>
        <v>0.89823874755381605</v>
      </c>
      <c r="AL48" s="2">
        <f>[8]D_钻石商场!$S$9</f>
        <v>1.0900082576383152</v>
      </c>
      <c r="AM48" s="2">
        <f>[8]D_VIP商城!$T$12</f>
        <v>3.0390738060781475</v>
      </c>
      <c r="AN48" s="2"/>
      <c r="AO48" s="2"/>
      <c r="AP48" s="2"/>
      <c r="AQ48" s="2"/>
      <c r="AR48" s="2"/>
      <c r="AS48" s="2"/>
      <c r="AT48" s="17"/>
      <c r="AU48" s="17"/>
    </row>
    <row r="49" spans="8:47">
      <c r="I49" s="2">
        <f>'装备&amp;装备材料的投放'!D46</f>
        <v>0.58138356326088625</v>
      </c>
      <c r="J49" s="2">
        <v>37</v>
      </c>
      <c r="K49" s="2"/>
      <c r="L49" s="2"/>
      <c r="M49" s="2"/>
      <c r="N49" s="17"/>
      <c r="P49" s="2">
        <f>[14]D_马仔经验!A38</f>
        <v>37</v>
      </c>
      <c r="Q49" s="2">
        <f>[14]D_马仔经验!B38</f>
        <v>9079</v>
      </c>
      <c r="R49" s="2">
        <f>[14]D_马仔经验!C38</f>
        <v>9079</v>
      </c>
      <c r="S49" s="2">
        <f>[14]D_马仔经验!D38</f>
        <v>9079</v>
      </c>
      <c r="T49" s="2">
        <f>[14]D_马仔经验!E38</f>
        <v>9079</v>
      </c>
      <c r="U49" s="2">
        <f>[14]D_马仔经验!F38</f>
        <v>73911</v>
      </c>
      <c r="V49" s="2">
        <f>[14]D_马仔经验!G38</f>
        <v>73911</v>
      </c>
      <c r="W49" s="2">
        <f>[14]D_马仔经验!H38</f>
        <v>73911</v>
      </c>
      <c r="X49" s="2">
        <f>[14]D_马仔经验!I38</f>
        <v>73911</v>
      </c>
      <c r="AB49" s="73" t="s">
        <v>579</v>
      </c>
      <c r="AC49" s="2"/>
      <c r="AD49" s="2"/>
      <c r="AE49" s="2"/>
      <c r="AF49" s="2"/>
      <c r="AG49" s="2"/>
      <c r="AH49" s="2">
        <f>[8]D_钻石十连抽!$AB$98</f>
        <v>0</v>
      </c>
      <c r="AI49" s="2">
        <f>[8]D_十连抽!$Z$44</f>
        <v>3.5</v>
      </c>
      <c r="AJ49" s="2"/>
      <c r="AK49" s="2" t="e">
        <f>[8]D_神秘商店!#REF!</f>
        <v>#REF!</v>
      </c>
      <c r="AL49" s="2"/>
      <c r="AM49" s="2" t="e">
        <f>[8]D_VIP商城!#REF!</f>
        <v>#REF!</v>
      </c>
      <c r="AN49" s="2"/>
      <c r="AO49" s="2"/>
      <c r="AP49" s="2"/>
      <c r="AQ49" s="2"/>
      <c r="AR49" s="2"/>
      <c r="AS49" s="2"/>
      <c r="AT49" s="17"/>
      <c r="AU49" s="17"/>
    </row>
    <row r="50" spans="8:47">
      <c r="I50" s="2">
        <f>'装备&amp;装备材料的投放'!D47</f>
        <v>0.6399632269165374</v>
      </c>
      <c r="J50" s="2">
        <v>38</v>
      </c>
      <c r="K50" s="2"/>
      <c r="L50" s="2"/>
      <c r="M50" s="2"/>
      <c r="N50" s="17"/>
      <c r="P50" s="2">
        <f>[14]D_马仔经验!A39</f>
        <v>38</v>
      </c>
      <c r="Q50" s="2">
        <f>[14]D_马仔经验!B39</f>
        <v>9959</v>
      </c>
      <c r="R50" s="2">
        <f>[14]D_马仔经验!C39</f>
        <v>9959</v>
      </c>
      <c r="S50" s="2">
        <f>[14]D_马仔经验!D39</f>
        <v>9959</v>
      </c>
      <c r="T50" s="2">
        <f>[14]D_马仔经验!E39</f>
        <v>9959</v>
      </c>
      <c r="U50" s="2">
        <f>[14]D_马仔经验!F39</f>
        <v>82990</v>
      </c>
      <c r="V50" s="2">
        <f>[14]D_马仔经验!G39</f>
        <v>82990</v>
      </c>
      <c r="W50" s="2">
        <f>[14]D_马仔经验!H39</f>
        <v>82990</v>
      </c>
      <c r="X50" s="2">
        <f>[14]D_马仔经验!I39</f>
        <v>82990</v>
      </c>
    </row>
    <row r="51" spans="8:47">
      <c r="I51" s="2">
        <f>'装备&amp;装备材料的投放'!D48</f>
        <v>0.70444532265121429</v>
      </c>
      <c r="J51" s="2">
        <v>39</v>
      </c>
      <c r="K51" s="2"/>
      <c r="L51" s="2"/>
      <c r="M51" s="2"/>
      <c r="N51" s="17"/>
      <c r="P51" s="2">
        <f>[14]D_马仔经验!A40</f>
        <v>39</v>
      </c>
      <c r="Q51" s="2">
        <f>[14]D_马仔经验!B40</f>
        <v>10900</v>
      </c>
      <c r="R51" s="2">
        <f>[14]D_马仔经验!C40</f>
        <v>10900</v>
      </c>
      <c r="S51" s="2">
        <f>[14]D_马仔经验!D40</f>
        <v>10900</v>
      </c>
      <c r="T51" s="2">
        <f>[14]D_马仔经验!E40</f>
        <v>10900</v>
      </c>
      <c r="U51" s="2">
        <f>[14]D_马仔经验!F40</f>
        <v>92949</v>
      </c>
      <c r="V51" s="2">
        <f>[14]D_马仔经验!G40</f>
        <v>92949</v>
      </c>
      <c r="W51" s="2">
        <f>[14]D_马仔经验!H40</f>
        <v>92949</v>
      </c>
      <c r="X51" s="2">
        <f>[14]D_马仔经验!I40</f>
        <v>92949</v>
      </c>
    </row>
    <row r="52" spans="8:47" s="30" customFormat="1">
      <c r="H52" s="30" t="s">
        <v>249</v>
      </c>
      <c r="I52" s="3">
        <f>'装备&amp;装备材料的投放'!D49</f>
        <v>0.77542457399648657</v>
      </c>
      <c r="J52" s="3">
        <v>40</v>
      </c>
      <c r="K52" s="3">
        <v>3</v>
      </c>
      <c r="L52" s="3"/>
      <c r="M52" s="3"/>
      <c r="N52" s="52"/>
      <c r="P52" s="3">
        <f>[14]D_马仔经验!A41</f>
        <v>40</v>
      </c>
      <c r="Q52" s="3">
        <f>[14]D_马仔经验!B41</f>
        <v>11906</v>
      </c>
      <c r="R52" s="3">
        <f>[14]D_马仔经验!C41</f>
        <v>11906</v>
      </c>
      <c r="S52" s="3">
        <f>[14]D_马仔经验!D41</f>
        <v>11906</v>
      </c>
      <c r="T52" s="3">
        <f>[14]D_马仔经验!E41</f>
        <v>11906</v>
      </c>
      <c r="U52" s="3">
        <f>[14]D_马仔经验!F41</f>
        <v>103849</v>
      </c>
      <c r="V52" s="3">
        <f>[14]D_马仔经验!G41</f>
        <v>103849</v>
      </c>
      <c r="W52" s="3">
        <f>[14]D_马仔经验!H41</f>
        <v>103849</v>
      </c>
      <c r="X52" s="3">
        <f>[14]D_马仔经验!I41</f>
        <v>103849</v>
      </c>
    </row>
    <row r="53" spans="8:47">
      <c r="I53" s="2">
        <f>'装备&amp;装备材料的投放'!D50</f>
        <v>0.85355562827030251</v>
      </c>
      <c r="J53" s="2">
        <v>41</v>
      </c>
      <c r="K53" s="2"/>
      <c r="L53" s="2">
        <v>3</v>
      </c>
      <c r="M53" s="2">
        <v>11000</v>
      </c>
      <c r="N53" s="17">
        <f>M53/3</f>
        <v>3666.6666666666665</v>
      </c>
      <c r="P53" s="2">
        <f>[14]D_马仔经验!A42</f>
        <v>41</v>
      </c>
      <c r="Q53" s="2">
        <f>[14]D_马仔经验!B42</f>
        <v>12980</v>
      </c>
      <c r="R53" s="2">
        <f>[14]D_马仔经验!C42</f>
        <v>12980</v>
      </c>
      <c r="S53" s="2">
        <f>[14]D_马仔经验!D42</f>
        <v>12980</v>
      </c>
      <c r="T53" s="2">
        <f>[14]D_马仔经验!E42</f>
        <v>12980</v>
      </c>
      <c r="U53" s="2">
        <f>[14]D_马仔经验!F42</f>
        <v>115755</v>
      </c>
      <c r="V53" s="2">
        <f>[14]D_马仔经验!G42</f>
        <v>115755</v>
      </c>
      <c r="W53" s="2">
        <f>[14]D_马仔经验!H42</f>
        <v>115755</v>
      </c>
      <c r="X53" s="2">
        <f>[14]D_马仔经验!I42</f>
        <v>115755</v>
      </c>
    </row>
    <row r="54" spans="8:47">
      <c r="I54" s="2">
        <f>'装备&amp;装备材料的投放'!D51</f>
        <v>0.9395590944416109</v>
      </c>
      <c r="J54" s="2">
        <v>42</v>
      </c>
      <c r="K54" s="2"/>
      <c r="L54" s="2"/>
      <c r="M54" s="2"/>
      <c r="N54" s="17"/>
      <c r="P54" s="2">
        <f>[14]D_马仔经验!A43</f>
        <v>42</v>
      </c>
      <c r="Q54" s="2">
        <f>[14]D_马仔经验!B43</f>
        <v>14123</v>
      </c>
      <c r="R54" s="2">
        <f>[14]D_马仔经验!C43</f>
        <v>14123</v>
      </c>
      <c r="S54" s="2">
        <f>[14]D_马仔经验!D43</f>
        <v>14123</v>
      </c>
      <c r="T54" s="2">
        <f>[14]D_马仔经验!E43</f>
        <v>14123</v>
      </c>
      <c r="U54" s="2">
        <f>[14]D_马仔经验!F43</f>
        <v>128735</v>
      </c>
      <c r="V54" s="2">
        <f>[14]D_马仔经验!G43</f>
        <v>128735</v>
      </c>
      <c r="W54" s="2">
        <f>[14]D_马仔经验!H43</f>
        <v>128735</v>
      </c>
      <c r="X54" s="2">
        <f>[14]D_马仔经验!I43</f>
        <v>128735</v>
      </c>
      <c r="AB54" s="2"/>
      <c r="AC54" s="2" t="s">
        <v>1165</v>
      </c>
      <c r="AD54" s="2" t="s">
        <v>1165</v>
      </c>
      <c r="AE54" s="2" t="s">
        <v>1166</v>
      </c>
      <c r="AF54" s="2" t="s">
        <v>1167</v>
      </c>
      <c r="AG54" s="2" t="s">
        <v>1168</v>
      </c>
      <c r="AH54" s="2" t="s">
        <v>1172</v>
      </c>
      <c r="AI54" s="2" t="s">
        <v>1169</v>
      </c>
      <c r="AJ54" s="2" t="s">
        <v>1170</v>
      </c>
      <c r="AK54" s="2" t="s">
        <v>1171</v>
      </c>
    </row>
    <row r="55" spans="8:47">
      <c r="I55" s="2">
        <f>'装备&amp;装备材料的投放'!D52</f>
        <v>1.0342281893645782</v>
      </c>
      <c r="J55" s="2">
        <v>43</v>
      </c>
      <c r="K55" s="2"/>
      <c r="L55" s="2"/>
      <c r="M55" s="2"/>
      <c r="N55" s="17"/>
      <c r="P55" s="2">
        <f>[14]D_马仔经验!A44</f>
        <v>43</v>
      </c>
      <c r="Q55" s="2">
        <f>[14]D_马仔经验!B44</f>
        <v>15340</v>
      </c>
      <c r="R55" s="2">
        <f>[14]D_马仔经验!C44</f>
        <v>15340</v>
      </c>
      <c r="S55" s="2">
        <f>[14]D_马仔经验!D44</f>
        <v>15340</v>
      </c>
      <c r="T55" s="2">
        <f>[14]D_马仔经验!E44</f>
        <v>15340</v>
      </c>
      <c r="U55" s="2">
        <f>[14]D_马仔经验!F44</f>
        <v>142858</v>
      </c>
      <c r="V55" s="2">
        <f>[14]D_马仔经验!G44</f>
        <v>142858</v>
      </c>
      <c r="W55" s="2">
        <f>[14]D_马仔经验!H44</f>
        <v>142858</v>
      </c>
      <c r="X55" s="2">
        <f>[14]D_马仔经验!I44</f>
        <v>142858</v>
      </c>
      <c r="AB55" s="3" t="s">
        <v>868</v>
      </c>
      <c r="AC55" s="107">
        <v>1</v>
      </c>
      <c r="AD55" s="107">
        <v>1</v>
      </c>
      <c r="AE55" s="107"/>
      <c r="AF55" s="107"/>
      <c r="AG55" s="107"/>
      <c r="AH55" s="107">
        <v>1</v>
      </c>
      <c r="AI55" s="107"/>
      <c r="AJ55" s="107"/>
      <c r="AK55" s="107"/>
    </row>
    <row r="56" spans="8:47">
      <c r="I56" s="2">
        <f>'装备&amp;装备材料的投放'!D53</f>
        <v>1.1384360536811409</v>
      </c>
      <c r="J56" s="2">
        <v>44</v>
      </c>
      <c r="K56" s="2"/>
      <c r="L56" s="2"/>
      <c r="M56" s="2"/>
      <c r="N56" s="17"/>
      <c r="P56" s="2">
        <f>[14]D_马仔经验!A45</f>
        <v>44</v>
      </c>
      <c r="Q56" s="2">
        <f>[14]D_马仔经验!B45</f>
        <v>16633</v>
      </c>
      <c r="R56" s="2">
        <f>[14]D_马仔经验!C45</f>
        <v>16633</v>
      </c>
      <c r="S56" s="2">
        <f>[14]D_马仔经验!D45</f>
        <v>16633</v>
      </c>
      <c r="T56" s="2">
        <f>[14]D_马仔经验!E45</f>
        <v>16633</v>
      </c>
      <c r="U56" s="2">
        <f>[14]D_马仔经验!F45</f>
        <v>158198</v>
      </c>
      <c r="V56" s="2">
        <f>[14]D_马仔经验!G45</f>
        <v>158198</v>
      </c>
      <c r="W56" s="2">
        <f>[14]D_马仔经验!H45</f>
        <v>158198</v>
      </c>
      <c r="X56" s="2">
        <f>[14]D_马仔经验!I45</f>
        <v>158198</v>
      </c>
      <c r="AB56" s="3" t="s">
        <v>481</v>
      </c>
      <c r="AC56" s="107">
        <v>1</v>
      </c>
      <c r="AD56" s="107">
        <v>1</v>
      </c>
      <c r="AE56" s="107"/>
      <c r="AF56" s="107"/>
      <c r="AG56" s="107"/>
      <c r="AH56" s="107"/>
      <c r="AI56" s="107"/>
      <c r="AJ56" s="107"/>
      <c r="AK56" s="107"/>
    </row>
    <row r="57" spans="8:47">
      <c r="I57" s="2">
        <f>'装备&amp;装备材料的投放'!D54</f>
        <v>1.2531438048670518</v>
      </c>
      <c r="J57" s="2">
        <v>45</v>
      </c>
      <c r="K57" s="2"/>
      <c r="L57" s="2"/>
      <c r="M57" s="2"/>
      <c r="N57" s="17"/>
      <c r="P57" s="2">
        <f>[14]D_马仔经验!A46</f>
        <v>45</v>
      </c>
      <c r="Q57" s="2">
        <f>[14]D_马仔经验!B46</f>
        <v>18005</v>
      </c>
      <c r="R57" s="2">
        <f>[14]D_马仔经验!C46</f>
        <v>18005</v>
      </c>
      <c r="S57" s="2">
        <f>[14]D_马仔经验!D46</f>
        <v>18005</v>
      </c>
      <c r="T57" s="2">
        <f>[14]D_马仔经验!E46</f>
        <v>18005</v>
      </c>
      <c r="U57" s="2">
        <f>[14]D_马仔经验!F46</f>
        <v>174831</v>
      </c>
      <c r="V57" s="2">
        <f>[14]D_马仔经验!G46</f>
        <v>174831</v>
      </c>
      <c r="W57" s="2">
        <f>[14]D_马仔经验!H46</f>
        <v>174831</v>
      </c>
      <c r="X57" s="2">
        <f>[14]D_马仔经验!I46</f>
        <v>174831</v>
      </c>
      <c r="AB57" s="3" t="s">
        <v>482</v>
      </c>
      <c r="AC57" s="107">
        <v>1</v>
      </c>
      <c r="AD57" s="107">
        <v>1</v>
      </c>
      <c r="AE57" s="107"/>
      <c r="AF57" s="107"/>
      <c r="AG57" s="107"/>
      <c r="AH57" s="107"/>
      <c r="AI57" s="107">
        <v>1</v>
      </c>
      <c r="AJ57" s="107"/>
      <c r="AK57" s="107"/>
    </row>
    <row r="58" spans="8:47">
      <c r="I58" s="2">
        <f>'装备&amp;装备材料的投放'!D55</f>
        <v>1.3794094016953091</v>
      </c>
      <c r="J58" s="2">
        <v>46</v>
      </c>
      <c r="K58" s="2"/>
      <c r="L58" s="2"/>
      <c r="M58" s="2"/>
      <c r="N58" s="17"/>
      <c r="P58" s="2">
        <f>[14]D_马仔经验!A47</f>
        <v>46</v>
      </c>
      <c r="Q58" s="2">
        <f>[14]D_马仔经验!B47</f>
        <v>19459</v>
      </c>
      <c r="R58" s="2">
        <f>[14]D_马仔经验!C47</f>
        <v>19459</v>
      </c>
      <c r="S58" s="2">
        <f>[14]D_马仔经验!D47</f>
        <v>19459</v>
      </c>
      <c r="T58" s="2">
        <f>[14]D_马仔经验!E47</f>
        <v>19459</v>
      </c>
      <c r="U58" s="2">
        <f>[14]D_马仔经验!F47</f>
        <v>192836</v>
      </c>
      <c r="V58" s="2">
        <f>[14]D_马仔经验!G47</f>
        <v>192836</v>
      </c>
      <c r="W58" s="2">
        <f>[14]D_马仔经验!H47</f>
        <v>192836</v>
      </c>
      <c r="X58" s="2">
        <f>[14]D_马仔经验!I47</f>
        <v>192836</v>
      </c>
      <c r="AB58" s="3" t="s">
        <v>483</v>
      </c>
      <c r="AC58" s="107"/>
      <c r="AD58" s="107"/>
      <c r="AE58" s="107"/>
      <c r="AF58" s="107"/>
      <c r="AG58" s="107"/>
      <c r="AH58" s="107"/>
      <c r="AI58" s="107"/>
      <c r="AJ58" s="107"/>
      <c r="AK58" s="107"/>
    </row>
    <row r="59" spans="8:47">
      <c r="I59" s="2">
        <f>'装备&amp;装备材料的投放'!D56</f>
        <v>1.5183974018746234</v>
      </c>
      <c r="J59" s="2">
        <v>47</v>
      </c>
      <c r="K59" s="2"/>
      <c r="L59" s="2"/>
      <c r="M59" s="2"/>
      <c r="N59" s="17"/>
      <c r="P59" s="2">
        <f>[14]D_马仔经验!A48</f>
        <v>47</v>
      </c>
      <c r="Q59" s="2">
        <f>[14]D_马仔经验!B48</f>
        <v>20999</v>
      </c>
      <c r="R59" s="2">
        <f>[14]D_马仔经验!C48</f>
        <v>20999</v>
      </c>
      <c r="S59" s="2">
        <f>[14]D_马仔经验!D48</f>
        <v>20999</v>
      </c>
      <c r="T59" s="2">
        <f>[14]D_马仔经验!E48</f>
        <v>20999</v>
      </c>
      <c r="U59" s="2">
        <f>[14]D_马仔经验!F48</f>
        <v>212295</v>
      </c>
      <c r="V59" s="2">
        <f>[14]D_马仔经验!G48</f>
        <v>212295</v>
      </c>
      <c r="W59" s="2">
        <f>[14]D_马仔经验!H48</f>
        <v>212295</v>
      </c>
      <c r="X59" s="2">
        <f>[14]D_马仔经验!I48</f>
        <v>212295</v>
      </c>
      <c r="AB59" s="3" t="s">
        <v>484</v>
      </c>
      <c r="AC59" s="107"/>
      <c r="AD59" s="107"/>
      <c r="AE59" s="107"/>
      <c r="AF59" s="107"/>
      <c r="AG59" s="107"/>
      <c r="AH59" s="107"/>
      <c r="AI59" s="107"/>
      <c r="AJ59" s="107"/>
      <c r="AK59" s="107"/>
    </row>
    <row r="60" spans="8:47">
      <c r="I60" s="2">
        <f>'装备&amp;装备材料的投放'!D57</f>
        <v>1.6713897028584002</v>
      </c>
      <c r="J60" s="2">
        <v>48</v>
      </c>
      <c r="K60" s="2"/>
      <c r="L60" s="2"/>
      <c r="M60" s="2"/>
      <c r="N60" s="17"/>
      <c r="P60" s="2">
        <f>[14]D_马仔经验!A49</f>
        <v>48</v>
      </c>
      <c r="Q60" s="2">
        <f>[14]D_马仔经验!B49</f>
        <v>22627</v>
      </c>
      <c r="R60" s="2">
        <f>[14]D_马仔经验!C49</f>
        <v>22627</v>
      </c>
      <c r="S60" s="2">
        <f>[14]D_马仔经验!D49</f>
        <v>22627</v>
      </c>
      <c r="T60" s="2">
        <f>[14]D_马仔经验!E49</f>
        <v>22627</v>
      </c>
      <c r="U60" s="2">
        <f>[14]D_马仔经验!F49</f>
        <v>233294</v>
      </c>
      <c r="V60" s="2">
        <f>[14]D_马仔经验!G49</f>
        <v>233294</v>
      </c>
      <c r="W60" s="2">
        <f>[14]D_马仔经验!H49</f>
        <v>233294</v>
      </c>
      <c r="X60" s="2">
        <f>[14]D_马仔经验!I49</f>
        <v>233294</v>
      </c>
      <c r="AB60" s="112" t="s">
        <v>869</v>
      </c>
      <c r="AC60" s="107">
        <v>1</v>
      </c>
      <c r="AD60" s="107">
        <v>1</v>
      </c>
      <c r="AE60" s="107"/>
      <c r="AF60" s="107"/>
      <c r="AG60" s="107"/>
      <c r="AH60" s="107"/>
      <c r="AI60" s="107"/>
      <c r="AJ60" s="107">
        <v>1</v>
      </c>
      <c r="AK60" s="107"/>
    </row>
    <row r="61" spans="8:47">
      <c r="I61" s="2">
        <f>'装备&amp;装备材料的投放'!D58</f>
        <v>1.8397973648875856</v>
      </c>
      <c r="J61" s="2">
        <v>49</v>
      </c>
      <c r="K61" s="2"/>
      <c r="L61" s="2">
        <v>4</v>
      </c>
      <c r="M61" s="2">
        <v>13000</v>
      </c>
      <c r="N61" s="17">
        <f>M61/3</f>
        <v>4333.333333333333</v>
      </c>
      <c r="P61" s="2">
        <f>[14]D_马仔经验!A50</f>
        <v>49</v>
      </c>
      <c r="Q61" s="2">
        <f>[14]D_马仔经验!B50</f>
        <v>24348</v>
      </c>
      <c r="R61" s="2">
        <f>[14]D_马仔经验!C50</f>
        <v>24348</v>
      </c>
      <c r="S61" s="2">
        <f>[14]D_马仔经验!D50</f>
        <v>24348</v>
      </c>
      <c r="T61" s="2">
        <f>[14]D_马仔经验!E50</f>
        <v>24348</v>
      </c>
      <c r="U61" s="2">
        <f>[14]D_马仔经验!F50</f>
        <v>255921</v>
      </c>
      <c r="V61" s="2">
        <f>[14]D_马仔经验!G50</f>
        <v>255921</v>
      </c>
      <c r="W61" s="2">
        <f>[14]D_马仔经验!H50</f>
        <v>255921</v>
      </c>
      <c r="X61" s="2">
        <f>[14]D_马仔经验!I50</f>
        <v>255921</v>
      </c>
      <c r="AB61" s="112" t="s">
        <v>1164</v>
      </c>
      <c r="AC61" s="107">
        <v>1</v>
      </c>
      <c r="AD61" s="107">
        <v>1</v>
      </c>
      <c r="AE61" s="107"/>
      <c r="AF61" s="107"/>
      <c r="AG61" s="107">
        <v>1</v>
      </c>
      <c r="AH61" s="107"/>
      <c r="AI61" s="107"/>
      <c r="AJ61" s="107"/>
      <c r="AK61" s="107"/>
    </row>
    <row r="62" spans="8:47">
      <c r="I62" s="2">
        <f>'装备&amp;装备材料的投放'!D59</f>
        <v>2.0251736253122479</v>
      </c>
      <c r="J62" s="2">
        <v>50</v>
      </c>
      <c r="K62" s="2">
        <v>4</v>
      </c>
      <c r="L62" s="2"/>
      <c r="M62" s="2"/>
      <c r="N62" s="17"/>
      <c r="P62" s="2">
        <f>[14]D_马仔经验!A51</f>
        <v>50</v>
      </c>
      <c r="Q62" s="2">
        <f>[14]D_马仔经验!B51</f>
        <v>26163</v>
      </c>
      <c r="R62" s="2">
        <f>[14]D_马仔经验!C51</f>
        <v>26163</v>
      </c>
      <c r="S62" s="2">
        <f>[14]D_马仔经验!D51</f>
        <v>26163</v>
      </c>
      <c r="T62" s="2">
        <f>[14]D_马仔经验!E51</f>
        <v>26163</v>
      </c>
      <c r="U62" s="2">
        <f>[14]D_马仔经验!F51</f>
        <v>280269</v>
      </c>
      <c r="V62" s="2">
        <f>[14]D_马仔经验!G51</f>
        <v>280269</v>
      </c>
      <c r="W62" s="2">
        <f>[14]D_马仔经验!H51</f>
        <v>280269</v>
      </c>
      <c r="X62" s="2">
        <f>[14]D_马仔经验!I51</f>
        <v>280269</v>
      </c>
      <c r="AB62" s="112" t="s">
        <v>485</v>
      </c>
      <c r="AC62" s="107">
        <v>1</v>
      </c>
      <c r="AD62" s="107">
        <v>1</v>
      </c>
      <c r="AE62" s="107"/>
      <c r="AF62" s="107"/>
      <c r="AG62" s="107"/>
      <c r="AH62" s="107"/>
      <c r="AI62" s="107"/>
      <c r="AJ62" s="107"/>
      <c r="AK62" s="107"/>
    </row>
    <row r="63" spans="8:47">
      <c r="I63" s="2">
        <f>'装备&amp;装备材料的投放'!D60</f>
        <v>2.2292282242240029</v>
      </c>
      <c r="J63" s="2">
        <v>51</v>
      </c>
      <c r="K63" s="2"/>
      <c r="L63" s="2"/>
      <c r="M63" s="2"/>
      <c r="N63" s="17"/>
      <c r="P63" s="2">
        <f>[14]D_马仔经验!A52</f>
        <v>51</v>
      </c>
      <c r="Q63" s="2">
        <f>[14]D_马仔经验!B52</f>
        <v>28077</v>
      </c>
      <c r="R63" s="2">
        <f>[14]D_马仔经验!C52</f>
        <v>28077</v>
      </c>
      <c r="S63" s="2">
        <f>[14]D_马仔经验!D52</f>
        <v>28077</v>
      </c>
      <c r="T63" s="2">
        <f>[14]D_马仔经验!E52</f>
        <v>28077</v>
      </c>
      <c r="U63" s="2">
        <f>[14]D_马仔经验!F52</f>
        <v>306432</v>
      </c>
      <c r="V63" s="2">
        <f>[14]D_马仔经验!G52</f>
        <v>306432</v>
      </c>
      <c r="W63" s="2">
        <f>[14]D_马仔经验!H52</f>
        <v>306432</v>
      </c>
      <c r="X63" s="2">
        <f>[14]D_马仔经验!I52</f>
        <v>306432</v>
      </c>
      <c r="AB63" s="112" t="s">
        <v>486</v>
      </c>
      <c r="AC63" s="107"/>
      <c r="AD63" s="107"/>
      <c r="AE63" s="107" t="s">
        <v>1173</v>
      </c>
      <c r="AF63" s="107"/>
      <c r="AG63" s="107"/>
      <c r="AH63" s="107"/>
      <c r="AI63" s="107">
        <v>1</v>
      </c>
      <c r="AJ63" s="107"/>
      <c r="AK63" s="107"/>
    </row>
    <row r="64" spans="8:47">
      <c r="I64" s="2">
        <f>'装备&amp;装备材料的投放'!D61</f>
        <v>2.4538431735257733</v>
      </c>
      <c r="J64" s="2">
        <v>52</v>
      </c>
      <c r="K64" s="2"/>
      <c r="L64" s="2"/>
      <c r="M64" s="2"/>
      <c r="N64" s="17"/>
      <c r="P64" s="2">
        <f>[14]D_马仔经验!A53</f>
        <v>52</v>
      </c>
      <c r="Q64" s="2">
        <f>[14]D_马仔经验!B53</f>
        <v>30093</v>
      </c>
      <c r="R64" s="2">
        <f>[14]D_马仔经验!C53</f>
        <v>30093</v>
      </c>
      <c r="S64" s="2">
        <f>[14]D_马仔经验!D53</f>
        <v>30093</v>
      </c>
      <c r="T64" s="2">
        <f>[14]D_马仔经验!E53</f>
        <v>30093</v>
      </c>
      <c r="U64" s="2">
        <f>[14]D_马仔经验!F53</f>
        <v>334509</v>
      </c>
      <c r="V64" s="2">
        <f>[14]D_马仔经验!G53</f>
        <v>334509</v>
      </c>
      <c r="W64" s="2">
        <f>[14]D_马仔经验!H53</f>
        <v>334509</v>
      </c>
      <c r="X64" s="2">
        <f>[14]D_马仔经验!I53</f>
        <v>334509</v>
      </c>
      <c r="AB64" s="113" t="s">
        <v>870</v>
      </c>
      <c r="AC64" s="107">
        <v>1</v>
      </c>
      <c r="AD64" s="107">
        <v>1</v>
      </c>
      <c r="AE64" s="107"/>
      <c r="AF64" s="107"/>
      <c r="AG64" s="107"/>
      <c r="AH64" s="107"/>
      <c r="AI64" s="107"/>
      <c r="AJ64" s="107"/>
      <c r="AK64" s="107"/>
    </row>
    <row r="65" spans="9:37">
      <c r="I65" s="2">
        <f>'装备&amp;装备材料的投放'!D62</f>
        <v>2.7010901148782449</v>
      </c>
      <c r="J65" s="2">
        <v>53</v>
      </c>
      <c r="K65" s="2"/>
      <c r="L65" s="2"/>
      <c r="M65" s="2"/>
      <c r="N65" s="17"/>
      <c r="P65" s="2">
        <f>[14]D_马仔经验!A54</f>
        <v>53</v>
      </c>
      <c r="Q65" s="2">
        <f>[14]D_马仔经验!B54</f>
        <v>32215</v>
      </c>
      <c r="R65" s="2">
        <f>[14]D_马仔经验!C54</f>
        <v>32215</v>
      </c>
      <c r="S65" s="2">
        <f>[14]D_马仔经验!D54</f>
        <v>32215</v>
      </c>
      <c r="T65" s="2">
        <f>[14]D_马仔经验!E54</f>
        <v>32215</v>
      </c>
      <c r="U65" s="2">
        <f>[14]D_马仔经验!F54</f>
        <v>364602</v>
      </c>
      <c r="V65" s="2">
        <f>[14]D_马仔经验!G54</f>
        <v>364602</v>
      </c>
      <c r="W65" s="2">
        <f>[14]D_马仔经验!H54</f>
        <v>364602</v>
      </c>
      <c r="X65" s="2">
        <f>[14]D_马仔经验!I54</f>
        <v>364602</v>
      </c>
      <c r="AB65" s="113" t="s">
        <v>871</v>
      </c>
      <c r="AC65" s="107">
        <v>1</v>
      </c>
      <c r="AD65" s="107">
        <v>1</v>
      </c>
      <c r="AE65" s="107"/>
      <c r="AF65" s="107"/>
      <c r="AG65" s="107"/>
      <c r="AH65" s="107"/>
      <c r="AI65" s="107"/>
      <c r="AJ65" s="107"/>
      <c r="AK65" s="107"/>
    </row>
    <row r="66" spans="9:37">
      <c r="I66" s="2">
        <f>'装备&amp;装备材料的投放'!D63</f>
        <v>2.9732494266167659</v>
      </c>
      <c r="J66" s="2">
        <v>54</v>
      </c>
      <c r="K66" s="2"/>
      <c r="L66" s="2"/>
      <c r="M66" s="2"/>
      <c r="N66" s="17"/>
      <c r="P66" s="2">
        <f>[14]D_马仔经验!A55</f>
        <v>54</v>
      </c>
      <c r="Q66" s="2">
        <f>[14]D_马仔经验!B55</f>
        <v>34446</v>
      </c>
      <c r="R66" s="2">
        <f>[14]D_马仔经验!C55</f>
        <v>34446</v>
      </c>
      <c r="S66" s="2">
        <f>[14]D_马仔经验!D55</f>
        <v>34446</v>
      </c>
      <c r="T66" s="2">
        <f>[14]D_马仔经验!E55</f>
        <v>34446</v>
      </c>
      <c r="U66" s="2">
        <f>[14]D_马仔经验!F55</f>
        <v>396817</v>
      </c>
      <c r="V66" s="2">
        <f>[14]D_马仔经验!G55</f>
        <v>396817</v>
      </c>
      <c r="W66" s="2">
        <f>[14]D_马仔经验!H55</f>
        <v>396817</v>
      </c>
      <c r="X66" s="2">
        <f>[14]D_马仔经验!I55</f>
        <v>396817</v>
      </c>
      <c r="AB66" s="113" t="s">
        <v>487</v>
      </c>
      <c r="AC66" s="107">
        <v>1</v>
      </c>
      <c r="AD66" s="107">
        <v>1</v>
      </c>
      <c r="AE66" s="107"/>
      <c r="AF66" s="107"/>
      <c r="AG66" s="107"/>
      <c r="AH66" s="107"/>
      <c r="AI66" s="107"/>
      <c r="AJ66" s="107"/>
      <c r="AK66" s="107"/>
    </row>
    <row r="67" spans="9:37">
      <c r="I67" s="2">
        <f>'装备&amp;装备材料的投放'!D64</f>
        <v>3.272831255863307</v>
      </c>
      <c r="J67" s="2">
        <v>55</v>
      </c>
      <c r="K67" s="2"/>
      <c r="L67" s="2"/>
      <c r="M67" s="2"/>
      <c r="N67" s="17"/>
      <c r="P67" s="2">
        <f>[14]D_马仔经验!A56</f>
        <v>55</v>
      </c>
      <c r="Q67" s="2">
        <f>[14]D_马仔经验!B56</f>
        <v>36789</v>
      </c>
      <c r="R67" s="2">
        <f>[14]D_马仔经验!C56</f>
        <v>36789</v>
      </c>
      <c r="S67" s="2">
        <f>[14]D_马仔经验!D56</f>
        <v>36789</v>
      </c>
      <c r="T67" s="2">
        <f>[14]D_马仔经验!E56</f>
        <v>36789</v>
      </c>
      <c r="U67" s="2">
        <f>[14]D_马仔经验!F56</f>
        <v>431263</v>
      </c>
      <c r="V67" s="2">
        <f>[14]D_马仔经验!G56</f>
        <v>431263</v>
      </c>
      <c r="W67" s="2">
        <f>[14]D_马仔经验!H56</f>
        <v>431263</v>
      </c>
      <c r="X67" s="2">
        <f>[14]D_马仔经验!I56</f>
        <v>431263</v>
      </c>
      <c r="AB67" s="113" t="s">
        <v>872</v>
      </c>
      <c r="AC67" s="107"/>
      <c r="AD67" s="107"/>
      <c r="AE67" s="107"/>
      <c r="AF67" s="107"/>
      <c r="AG67" s="107"/>
      <c r="AH67" s="107"/>
      <c r="AI67" s="107">
        <v>1</v>
      </c>
      <c r="AJ67" s="107"/>
      <c r="AK67" s="107"/>
    </row>
    <row r="68" spans="9:37">
      <c r="I68" s="2">
        <f>'装备&amp;装备材料的投放'!D65</f>
        <v>3.6025986698143324</v>
      </c>
      <c r="J68" s="2">
        <v>56</v>
      </c>
      <c r="K68" s="2"/>
      <c r="L68" s="2">
        <v>5</v>
      </c>
      <c r="M68" s="2">
        <v>15000</v>
      </c>
      <c r="N68" s="17">
        <f>M68/3</f>
        <v>5000</v>
      </c>
      <c r="P68" s="2">
        <f>[14]D_马仔经验!A57</f>
        <v>56</v>
      </c>
      <c r="Q68" s="2">
        <f>[14]D_马仔经验!B57</f>
        <v>39249</v>
      </c>
      <c r="R68" s="2">
        <f>[14]D_马仔经验!C57</f>
        <v>39249</v>
      </c>
      <c r="S68" s="2">
        <f>[14]D_马仔经验!D57</f>
        <v>39249</v>
      </c>
      <c r="T68" s="2">
        <f>[14]D_马仔经验!E57</f>
        <v>39249</v>
      </c>
      <c r="U68" s="2">
        <f>[14]D_马仔经验!F57</f>
        <v>468052</v>
      </c>
      <c r="V68" s="2">
        <f>[14]D_马仔经验!G57</f>
        <v>468052</v>
      </c>
      <c r="W68" s="2">
        <f>[14]D_马仔经验!H57</f>
        <v>468052</v>
      </c>
      <c r="X68" s="2">
        <f>[14]D_马仔经验!I57</f>
        <v>468052</v>
      </c>
      <c r="AB68" s="11" t="s">
        <v>873</v>
      </c>
      <c r="AC68" s="107"/>
      <c r="AD68" s="107"/>
      <c r="AE68" s="107"/>
      <c r="AF68" s="107"/>
      <c r="AG68" s="107"/>
      <c r="AH68" s="107"/>
      <c r="AI68" s="107"/>
      <c r="AJ68" s="107"/>
      <c r="AK68" s="107">
        <v>1</v>
      </c>
    </row>
    <row r="69" spans="9:37">
      <c r="I69" s="2">
        <f>'装备&amp;装备材料的投放'!D66</f>
        <v>3.9655931397307782</v>
      </c>
      <c r="J69" s="2">
        <v>57</v>
      </c>
      <c r="K69" s="2"/>
      <c r="L69" s="2"/>
      <c r="M69" s="2"/>
      <c r="N69" s="17"/>
      <c r="P69" s="2">
        <f>[14]D_马仔经验!A58</f>
        <v>57</v>
      </c>
      <c r="Q69" s="2">
        <f>[14]D_马仔经验!B58</f>
        <v>41829</v>
      </c>
      <c r="R69" s="2">
        <f>[14]D_马仔经验!C58</f>
        <v>41829</v>
      </c>
      <c r="S69" s="2">
        <f>[14]D_马仔经验!D58</f>
        <v>41829</v>
      </c>
      <c r="T69" s="2">
        <f>[14]D_马仔经验!E58</f>
        <v>41829</v>
      </c>
      <c r="U69" s="2">
        <f>[14]D_马仔经验!F58</f>
        <v>507301</v>
      </c>
      <c r="V69" s="2">
        <f>[14]D_马仔经验!G58</f>
        <v>507301</v>
      </c>
      <c r="W69" s="2">
        <f>[14]D_马仔经验!H58</f>
        <v>507301</v>
      </c>
      <c r="X69" s="2">
        <f>[14]D_马仔经验!I58</f>
        <v>507301</v>
      </c>
      <c r="AB69" s="11" t="s">
        <v>874</v>
      </c>
      <c r="AC69" s="107"/>
      <c r="AD69" s="107"/>
      <c r="AE69" s="107"/>
      <c r="AF69" s="107"/>
      <c r="AG69" s="107"/>
      <c r="AH69" s="107"/>
      <c r="AI69" s="107"/>
      <c r="AJ69" s="107"/>
      <c r="AK69" s="107"/>
    </row>
    <row r="70" spans="9:37">
      <c r="I70" s="2">
        <f>'装备&amp;装备材料的投放'!D67</f>
        <v>4.3651625926709956</v>
      </c>
      <c r="J70" s="2">
        <v>58</v>
      </c>
      <c r="K70" s="2"/>
      <c r="L70" s="2"/>
      <c r="M70" s="2"/>
      <c r="N70" s="17"/>
      <c r="P70" s="2">
        <f>[14]D_马仔经验!A59</f>
        <v>58</v>
      </c>
      <c r="Q70" s="2">
        <f>[14]D_马仔经验!B59</f>
        <v>44533</v>
      </c>
      <c r="R70" s="2">
        <f>[14]D_马仔经验!C59</f>
        <v>44533</v>
      </c>
      <c r="S70" s="2">
        <f>[14]D_马仔经验!D59</f>
        <v>44533</v>
      </c>
      <c r="T70" s="2">
        <f>[14]D_马仔经验!E59</f>
        <v>44533</v>
      </c>
      <c r="U70" s="2">
        <f>[14]D_马仔经验!F59</f>
        <v>549130</v>
      </c>
      <c r="V70" s="2">
        <f>[14]D_马仔经验!G59</f>
        <v>549130</v>
      </c>
      <c r="W70" s="2">
        <f>[14]D_马仔经验!H59</f>
        <v>549130</v>
      </c>
      <c r="X70" s="2">
        <f>[14]D_马仔经验!I59</f>
        <v>549130</v>
      </c>
      <c r="AB70" s="11" t="s">
        <v>488</v>
      </c>
      <c r="AC70" s="107"/>
      <c r="AD70" s="107"/>
      <c r="AE70" s="107"/>
      <c r="AF70" s="107"/>
      <c r="AG70" s="107"/>
      <c r="AH70" s="107"/>
      <c r="AI70" s="107"/>
      <c r="AJ70" s="107"/>
      <c r="AK70" s="107"/>
    </row>
    <row r="71" spans="9:37">
      <c r="I71" s="2">
        <f>'装备&amp;装备材料的投放'!D68</f>
        <v>4.8049922896900519</v>
      </c>
      <c r="J71" s="2">
        <v>59</v>
      </c>
      <c r="K71" s="2"/>
      <c r="L71" s="2"/>
      <c r="M71" s="2"/>
      <c r="N71" s="17"/>
      <c r="P71" s="2">
        <f>[14]D_马仔经验!A60</f>
        <v>59</v>
      </c>
      <c r="Q71" s="2">
        <f>[14]D_马仔经验!B60</f>
        <v>47365</v>
      </c>
      <c r="R71" s="2">
        <f>[14]D_马仔经验!C60</f>
        <v>47365</v>
      </c>
      <c r="S71" s="2">
        <f>[14]D_马仔经验!D60</f>
        <v>47365</v>
      </c>
      <c r="T71" s="2">
        <f>[14]D_马仔经验!E60</f>
        <v>47365</v>
      </c>
      <c r="U71" s="2">
        <f>[14]D_马仔经验!F60</f>
        <v>593663</v>
      </c>
      <c r="V71" s="2">
        <f>[14]D_马仔经验!G60</f>
        <v>593663</v>
      </c>
      <c r="W71" s="2">
        <f>[14]D_马仔经验!H60</f>
        <v>593663</v>
      </c>
      <c r="X71" s="2">
        <f>[14]D_马仔经验!I60</f>
        <v>593663</v>
      </c>
      <c r="AB71" s="112" t="s">
        <v>1113</v>
      </c>
      <c r="AC71" s="107"/>
      <c r="AD71" s="107"/>
      <c r="AE71" s="107"/>
      <c r="AF71" s="107" t="s">
        <v>1173</v>
      </c>
      <c r="AG71" s="107"/>
      <c r="AH71" s="107"/>
      <c r="AI71" s="107"/>
      <c r="AJ71" s="107"/>
      <c r="AK71" s="107"/>
    </row>
    <row r="72" spans="9:37">
      <c r="I72" s="2">
        <f>'装备&amp;装备材料的投放'!D69</f>
        <v>5.2891388152975081</v>
      </c>
      <c r="J72" s="2">
        <v>60</v>
      </c>
      <c r="K72" s="2">
        <v>5</v>
      </c>
      <c r="L72" s="2"/>
      <c r="M72" s="2"/>
      <c r="N72" s="17"/>
      <c r="P72" s="2">
        <f>[14]D_马仔经验!A61</f>
        <v>60</v>
      </c>
      <c r="Q72" s="2">
        <f>[14]D_马仔经验!B61</f>
        <v>50328</v>
      </c>
      <c r="R72" s="2">
        <f>[14]D_马仔经验!C61</f>
        <v>50328</v>
      </c>
      <c r="S72" s="2">
        <f>[14]D_马仔经验!D61</f>
        <v>50328</v>
      </c>
      <c r="T72" s="2">
        <f>[14]D_马仔经验!E61</f>
        <v>50328</v>
      </c>
      <c r="U72" s="2">
        <f>[14]D_马仔经验!F61</f>
        <v>641028</v>
      </c>
      <c r="V72" s="2">
        <f>[14]D_马仔经验!G61</f>
        <v>641028</v>
      </c>
      <c r="W72" s="2">
        <f>[14]D_马仔经验!H61</f>
        <v>641028</v>
      </c>
      <c r="X72" s="2">
        <f>[14]D_马仔经验!I61</f>
        <v>641028</v>
      </c>
      <c r="AB72" s="113" t="s">
        <v>1114</v>
      </c>
      <c r="AC72" s="107"/>
      <c r="AD72" s="107"/>
      <c r="AE72" s="107"/>
      <c r="AF72" s="107"/>
      <c r="AG72" s="107"/>
      <c r="AH72" s="107"/>
      <c r="AI72" s="107"/>
      <c r="AJ72" s="107"/>
      <c r="AK72" s="107"/>
    </row>
    <row r="73" spans="9:37">
      <c r="I73" s="2">
        <f>'装备&amp;装备材料的投放'!D70</f>
        <v>5.8220674916611079</v>
      </c>
      <c r="J73" s="2">
        <v>61</v>
      </c>
      <c r="K73" s="2"/>
      <c r="L73" s="2"/>
      <c r="M73" s="2"/>
      <c r="N73" s="17"/>
      <c r="P73" s="2">
        <f>[14]D_马仔经验!A62</f>
        <v>61</v>
      </c>
      <c r="Q73" s="2">
        <f>[14]D_马仔经验!B62</f>
        <v>53427</v>
      </c>
      <c r="R73" s="2">
        <f>[14]D_马仔经验!C62</f>
        <v>53427</v>
      </c>
      <c r="S73" s="2">
        <f>[14]D_马仔经验!D62</f>
        <v>53427</v>
      </c>
      <c r="T73" s="2">
        <f>[14]D_马仔经验!E62</f>
        <v>53427</v>
      </c>
      <c r="U73" s="2">
        <f>[14]D_马仔经验!F62</f>
        <v>691356</v>
      </c>
      <c r="V73" s="2">
        <f>[14]D_马仔经验!G62</f>
        <v>691356</v>
      </c>
      <c r="W73" s="2">
        <f>[14]D_马仔经验!H62</f>
        <v>691356</v>
      </c>
      <c r="X73" s="2">
        <f>[14]D_马仔经验!I62</f>
        <v>691356</v>
      </c>
      <c r="AB73" s="113" t="s">
        <v>1115</v>
      </c>
      <c r="AC73" s="107"/>
      <c r="AD73" s="107"/>
      <c r="AE73" s="107"/>
      <c r="AF73" s="107"/>
      <c r="AG73" s="107"/>
      <c r="AH73" s="107"/>
      <c r="AI73" s="107"/>
      <c r="AJ73" s="107"/>
      <c r="AK73" s="107"/>
    </row>
    <row r="74" spans="9:37">
      <c r="I74" s="2">
        <f>'装备&amp;装备材料的投放'!D71</f>
        <v>6.4086935626306527</v>
      </c>
      <c r="J74" s="2">
        <v>62</v>
      </c>
      <c r="K74" s="2"/>
      <c r="L74" s="2"/>
      <c r="M74" s="2"/>
      <c r="N74" s="17"/>
      <c r="P74" s="2">
        <f>[14]D_马仔经验!A63</f>
        <v>62</v>
      </c>
      <c r="Q74" s="2">
        <f>[14]D_马仔经验!B63</f>
        <v>56666</v>
      </c>
      <c r="R74" s="2">
        <f>[14]D_马仔经验!C63</f>
        <v>56666</v>
      </c>
      <c r="S74" s="2">
        <f>[14]D_马仔经验!D63</f>
        <v>56666</v>
      </c>
      <c r="T74" s="2">
        <f>[14]D_马仔经验!E63</f>
        <v>56666</v>
      </c>
      <c r="U74" s="2">
        <f>[14]D_马仔经验!F63</f>
        <v>744783</v>
      </c>
      <c r="V74" s="2">
        <f>[14]D_马仔经验!G63</f>
        <v>744783</v>
      </c>
      <c r="W74" s="2">
        <f>[14]D_马仔经验!H63</f>
        <v>744783</v>
      </c>
      <c r="X74" s="2">
        <f>[14]D_马仔经验!I63</f>
        <v>744783</v>
      </c>
    </row>
    <row r="75" spans="9:37">
      <c r="I75" s="2">
        <f>'装备&amp;装备材料的投放'!D72</f>
        <v>7.0544275274255561</v>
      </c>
      <c r="J75" s="2">
        <v>63</v>
      </c>
      <c r="K75" s="2"/>
      <c r="L75" s="2"/>
      <c r="M75" s="2"/>
      <c r="N75" s="17"/>
      <c r="P75" s="2">
        <f>[14]D_马仔经验!A64</f>
        <v>63</v>
      </c>
      <c r="Q75" s="2">
        <f>[14]D_马仔经验!B64</f>
        <v>60048</v>
      </c>
      <c r="R75" s="2">
        <f>[14]D_马仔经验!C64</f>
        <v>60048</v>
      </c>
      <c r="S75" s="2">
        <f>[14]D_马仔经验!D64</f>
        <v>60048</v>
      </c>
      <c r="T75" s="2">
        <f>[14]D_马仔经验!E64</f>
        <v>60048</v>
      </c>
      <c r="U75" s="2">
        <f>[14]D_马仔经验!F64</f>
        <v>801449</v>
      </c>
      <c r="V75" s="2">
        <f>[14]D_马仔经验!G64</f>
        <v>801449</v>
      </c>
      <c r="W75" s="2">
        <f>[14]D_马仔经验!H64</f>
        <v>801449</v>
      </c>
      <c r="X75" s="2">
        <f>[14]D_马仔经验!I64</f>
        <v>801449</v>
      </c>
    </row>
    <row r="76" spans="9:37">
      <c r="I76" s="2">
        <f>'装备&amp;装备材料的投放'!D73</f>
        <v>7.7652250421023155</v>
      </c>
      <c r="J76" s="2">
        <v>64</v>
      </c>
      <c r="K76" s="2"/>
      <c r="L76" s="2"/>
      <c r="M76" s="2"/>
      <c r="N76" s="17"/>
      <c r="P76" s="2">
        <f>[14]D_马仔经验!A65</f>
        <v>64</v>
      </c>
      <c r="Q76" s="2">
        <f>[14]D_马仔经验!B65</f>
        <v>63578</v>
      </c>
      <c r="R76" s="2">
        <f>[14]D_马仔经验!C65</f>
        <v>63578</v>
      </c>
      <c r="S76" s="2">
        <f>[14]D_马仔经验!D65</f>
        <v>63578</v>
      </c>
      <c r="T76" s="2">
        <f>[14]D_马仔经验!E65</f>
        <v>63578</v>
      </c>
      <c r="U76" s="2">
        <f>[14]D_马仔经验!F65</f>
        <v>861497</v>
      </c>
      <c r="V76" s="2">
        <f>[14]D_马仔经验!G65</f>
        <v>861497</v>
      </c>
      <c r="W76" s="2">
        <f>[14]D_马仔经验!H65</f>
        <v>861497</v>
      </c>
      <c r="X76" s="2">
        <f>[14]D_马仔经验!I65</f>
        <v>861497</v>
      </c>
    </row>
    <row r="77" spans="9:37">
      <c r="I77" s="2">
        <f>'装备&amp;装备材料的投放'!D74</f>
        <v>8.5476418490471513</v>
      </c>
      <c r="J77" s="2">
        <v>65</v>
      </c>
      <c r="K77" s="2"/>
      <c r="L77" s="2">
        <v>6</v>
      </c>
      <c r="M77" s="2">
        <v>17000</v>
      </c>
      <c r="N77" s="17">
        <f>M77/3</f>
        <v>5666.666666666667</v>
      </c>
      <c r="P77" s="2">
        <f>[14]D_马仔经验!A66</f>
        <v>65</v>
      </c>
      <c r="Q77" s="2">
        <f>[14]D_马仔经验!B66</f>
        <v>67260</v>
      </c>
      <c r="R77" s="2">
        <f>[14]D_马仔经验!C66</f>
        <v>67260</v>
      </c>
      <c r="S77" s="2">
        <f>[14]D_马仔经验!D66</f>
        <v>67260</v>
      </c>
      <c r="T77" s="2">
        <f>[14]D_马仔经验!E66</f>
        <v>67260</v>
      </c>
      <c r="U77" s="2">
        <f>[14]D_马仔经验!F66</f>
        <v>925075</v>
      </c>
      <c r="V77" s="2">
        <f>[14]D_马仔经验!G66</f>
        <v>925075</v>
      </c>
      <c r="W77" s="2">
        <f>[14]D_马仔经验!H66</f>
        <v>925075</v>
      </c>
      <c r="X77" s="2">
        <f>[14]D_马仔经验!I66</f>
        <v>925075</v>
      </c>
    </row>
    <row r="78" spans="9:37">
      <c r="I78" s="2">
        <f>'装备&amp;装备材料的投放'!D75</f>
        <v>9.4088942411129057</v>
      </c>
      <c r="J78" s="2">
        <v>66</v>
      </c>
      <c r="K78" s="2"/>
      <c r="L78" s="2"/>
      <c r="M78" s="2"/>
      <c r="N78" s="17"/>
      <c r="P78" s="2">
        <f>[14]D_马仔经验!A67</f>
        <v>66</v>
      </c>
      <c r="Q78" s="2">
        <f>[14]D_马仔经验!B67</f>
        <v>71099</v>
      </c>
      <c r="R78" s="2">
        <f>[14]D_马仔经验!C67</f>
        <v>71099</v>
      </c>
      <c r="S78" s="2">
        <f>[14]D_马仔经验!D67</f>
        <v>71099</v>
      </c>
      <c r="T78" s="2">
        <f>[14]D_马仔经验!E67</f>
        <v>71099</v>
      </c>
      <c r="U78" s="2">
        <f>[14]D_马仔经验!F67</f>
        <v>992335</v>
      </c>
      <c r="V78" s="2">
        <f>[14]D_马仔经验!G67</f>
        <v>992335</v>
      </c>
      <c r="W78" s="2">
        <f>[14]D_马仔经验!H67</f>
        <v>992335</v>
      </c>
      <c r="X78" s="2">
        <f>[14]D_马仔经验!I67</f>
        <v>992335</v>
      </c>
    </row>
    <row r="79" spans="9:37">
      <c r="I79" s="2">
        <f>'装备&amp;装备材料的投放'!D76</f>
        <v>10.356925618065782</v>
      </c>
      <c r="J79" s="2">
        <v>67</v>
      </c>
      <c r="K79" s="2"/>
      <c r="L79" s="2"/>
      <c r="M79" s="2"/>
      <c r="N79" s="17"/>
      <c r="P79" s="2">
        <f>[14]D_马仔经验!A68</f>
        <v>67</v>
      </c>
      <c r="Q79" s="2">
        <f>[14]D_马仔经验!B68</f>
        <v>75098</v>
      </c>
      <c r="R79" s="2">
        <f>[14]D_马仔经验!C68</f>
        <v>75098</v>
      </c>
      <c r="S79" s="2">
        <f>[14]D_马仔经验!D68</f>
        <v>75098</v>
      </c>
      <c r="T79" s="2">
        <f>[14]D_马仔经验!E68</f>
        <v>75098</v>
      </c>
      <c r="U79" s="2">
        <f>[14]D_马仔经验!F68</f>
        <v>1063434</v>
      </c>
      <c r="V79" s="2">
        <f>[14]D_马仔经验!G68</f>
        <v>1063434</v>
      </c>
      <c r="W79" s="2">
        <f>[14]D_马仔经验!H68</f>
        <v>1063434</v>
      </c>
      <c r="X79" s="2">
        <f>[14]D_马仔经验!I68</f>
        <v>1063434</v>
      </c>
    </row>
    <row r="80" spans="9:37">
      <c r="I80" s="2">
        <f>'装备&amp;装备材料的投放'!D77</f>
        <v>11.400479749197352</v>
      </c>
      <c r="J80" s="2">
        <v>68</v>
      </c>
      <c r="K80" s="2"/>
      <c r="L80" s="2"/>
      <c r="M80" s="2"/>
      <c r="N80" s="17"/>
      <c r="P80" s="2">
        <f>[14]D_马仔经验!A69</f>
        <v>68</v>
      </c>
      <c r="Q80" s="2">
        <f>[14]D_马仔经验!B69</f>
        <v>79262</v>
      </c>
      <c r="R80" s="2">
        <f>[14]D_马仔经验!C69</f>
        <v>79262</v>
      </c>
      <c r="S80" s="2">
        <f>[14]D_马仔经验!D69</f>
        <v>79262</v>
      </c>
      <c r="T80" s="2">
        <f>[14]D_马仔经验!E69</f>
        <v>79262</v>
      </c>
      <c r="U80" s="2">
        <f>[14]D_马仔经验!F69</f>
        <v>1138532</v>
      </c>
      <c r="V80" s="2">
        <f>[14]D_马仔经验!G69</f>
        <v>1138532</v>
      </c>
      <c r="W80" s="2">
        <f>[14]D_马仔经验!H69</f>
        <v>1138532</v>
      </c>
      <c r="X80" s="2">
        <f>[14]D_马仔经验!I69</f>
        <v>1138532</v>
      </c>
    </row>
    <row r="81" spans="9:24">
      <c r="I81" s="2">
        <f>'装备&amp;装备材料的投放'!D78</f>
        <v>12.549181417808791</v>
      </c>
      <c r="J81" s="2">
        <v>69</v>
      </c>
      <c r="K81" s="2"/>
      <c r="L81" s="2"/>
      <c r="M81" s="2"/>
      <c r="N81" s="17"/>
      <c r="P81" s="2">
        <f>[14]D_马仔经验!A70</f>
        <v>69</v>
      </c>
      <c r="Q81" s="2">
        <f>[14]D_马仔经验!B70</f>
        <v>83596</v>
      </c>
      <c r="R81" s="2">
        <f>[14]D_马仔经验!C70</f>
        <v>83596</v>
      </c>
      <c r="S81" s="2">
        <f>[14]D_马仔经验!D70</f>
        <v>83596</v>
      </c>
      <c r="T81" s="2">
        <f>[14]D_马仔经验!E70</f>
        <v>83596</v>
      </c>
      <c r="U81" s="2">
        <f>[14]D_马仔经验!F70</f>
        <v>1217794</v>
      </c>
      <c r="V81" s="2">
        <f>[14]D_马仔经验!G70</f>
        <v>1217794</v>
      </c>
      <c r="W81" s="2">
        <f>[14]D_马仔经验!H70</f>
        <v>1217794</v>
      </c>
      <c r="X81" s="2">
        <f>[14]D_马仔经验!I70</f>
        <v>1217794</v>
      </c>
    </row>
    <row r="82" spans="9:24">
      <c r="I82" s="2">
        <f>'装备&amp;装备材料的投放'!D79</f>
        <v>13.813625191357827</v>
      </c>
      <c r="J82" s="2">
        <v>70</v>
      </c>
      <c r="K82" s="2"/>
      <c r="L82" s="2"/>
      <c r="M82" s="2"/>
      <c r="N82" s="17"/>
      <c r="P82" s="2">
        <f>[14]D_马仔经验!A71</f>
        <v>70</v>
      </c>
      <c r="Q82" s="2">
        <f>[14]D_马仔经验!B71</f>
        <v>88103</v>
      </c>
      <c r="R82" s="2">
        <f>[14]D_马仔经验!C71</f>
        <v>88103</v>
      </c>
      <c r="S82" s="2">
        <f>[14]D_马仔经验!D71</f>
        <v>88103</v>
      </c>
      <c r="T82" s="2">
        <f>[14]D_马仔经验!E71</f>
        <v>88103</v>
      </c>
      <c r="U82" s="2">
        <f>[14]D_马仔经验!F71</f>
        <v>1301390</v>
      </c>
      <c r="V82" s="2">
        <f>[14]D_马仔经验!G71</f>
        <v>1301390</v>
      </c>
      <c r="W82" s="2">
        <f>[14]D_马仔经验!H71</f>
        <v>1301390</v>
      </c>
      <c r="X82" s="2">
        <f>[14]D_马仔经验!I71</f>
        <v>1301390</v>
      </c>
    </row>
    <row r="83" spans="9:24">
      <c r="I83" s="2">
        <f>'装备&amp;装备材料的投放'!D80</f>
        <v>15.20547313600269</v>
      </c>
      <c r="J83" s="2">
        <v>71</v>
      </c>
      <c r="K83" s="2"/>
      <c r="L83" s="2"/>
      <c r="M83" s="2"/>
      <c r="N83" s="17"/>
      <c r="P83" s="2">
        <f>[14]D_马仔经验!A72</f>
        <v>71</v>
      </c>
      <c r="Q83" s="2">
        <f>[14]D_马仔经验!B72</f>
        <v>92789</v>
      </c>
      <c r="R83" s="2">
        <f>[14]D_马仔经验!C72</f>
        <v>92789</v>
      </c>
      <c r="S83" s="2">
        <f>[14]D_马仔经验!D72</f>
        <v>92789</v>
      </c>
      <c r="T83" s="2">
        <f>[14]D_马仔经验!E72</f>
        <v>92789</v>
      </c>
      <c r="U83" s="2">
        <f>[14]D_马仔经验!F72</f>
        <v>1389493</v>
      </c>
      <c r="V83" s="2">
        <f>[14]D_马仔经验!G72</f>
        <v>1389493</v>
      </c>
      <c r="W83" s="2">
        <f>[14]D_马仔经验!H72</f>
        <v>1389493</v>
      </c>
      <c r="X83" s="2">
        <f>[14]D_马仔经验!I72</f>
        <v>1389493</v>
      </c>
    </row>
    <row r="84" spans="9:24">
      <c r="I84" s="2">
        <f>'装备&amp;装备材料的投放'!D81</f>
        <v>16.737562376771915</v>
      </c>
      <c r="J84" s="2">
        <v>72</v>
      </c>
      <c r="K84" s="2"/>
      <c r="L84" s="2"/>
      <c r="M84" s="2"/>
      <c r="N84" s="17"/>
      <c r="P84" s="2">
        <f>[14]D_马仔经验!A73</f>
        <v>72</v>
      </c>
      <c r="Q84" s="2">
        <f>[14]D_马仔经验!B73</f>
        <v>97658</v>
      </c>
      <c r="R84" s="2">
        <f>[14]D_马仔经验!C73</f>
        <v>97658</v>
      </c>
      <c r="S84" s="2">
        <f>[14]D_马仔经验!D73</f>
        <v>97658</v>
      </c>
      <c r="T84" s="2">
        <f>[14]D_马仔经验!E73</f>
        <v>97658</v>
      </c>
      <c r="U84" s="2">
        <f>[14]D_马仔经验!F73</f>
        <v>1482282</v>
      </c>
      <c r="V84" s="2">
        <f>[14]D_马仔经验!G73</f>
        <v>1482282</v>
      </c>
      <c r="W84" s="2">
        <f>[14]D_马仔经验!H73</f>
        <v>1482282</v>
      </c>
      <c r="X84" s="2">
        <f>[14]D_马仔经验!I73</f>
        <v>1482282</v>
      </c>
    </row>
    <row r="85" spans="9:24">
      <c r="I85" s="2">
        <f>'装备&amp;装备材料的投放'!D82</f>
        <v>18.424023495396291</v>
      </c>
      <c r="J85" s="2">
        <v>73</v>
      </c>
      <c r="K85" s="2"/>
      <c r="L85" s="2"/>
      <c r="M85" s="2"/>
      <c r="N85" s="17"/>
      <c r="P85" s="2">
        <f>[14]D_马仔经验!A74</f>
        <v>73</v>
      </c>
      <c r="Q85" s="2">
        <f>[14]D_马仔经验!B74</f>
        <v>102714</v>
      </c>
      <c r="R85" s="2">
        <f>[14]D_马仔经验!C74</f>
        <v>102714</v>
      </c>
      <c r="S85" s="2">
        <f>[14]D_马仔经验!D74</f>
        <v>102714</v>
      </c>
      <c r="T85" s="2">
        <f>[14]D_马仔经验!E74</f>
        <v>102714</v>
      </c>
      <c r="U85" s="2">
        <f>[14]D_马仔经验!F74</f>
        <v>1579940</v>
      </c>
      <c r="V85" s="2">
        <f>[14]D_马仔经验!G74</f>
        <v>1579940</v>
      </c>
      <c r="W85" s="2">
        <f>[14]D_马仔经验!H74</f>
        <v>1579940</v>
      </c>
      <c r="X85" s="2">
        <f>[14]D_马仔经验!I74</f>
        <v>1579940</v>
      </c>
    </row>
    <row r="86" spans="9:24">
      <c r="I86" s="2">
        <f>'装备&amp;装备材料的投放'!D83</f>
        <v>20.280410857795498</v>
      </c>
      <c r="J86" s="2">
        <v>74</v>
      </c>
      <c r="K86" s="2"/>
      <c r="L86" s="2"/>
      <c r="M86" s="2"/>
      <c r="N86" s="17"/>
      <c r="P86" s="2">
        <f>[14]D_马仔经验!A75</f>
        <v>74</v>
      </c>
      <c r="Q86" s="2">
        <f>[14]D_马仔经验!B75</f>
        <v>107963</v>
      </c>
      <c r="R86" s="2">
        <f>[14]D_马仔经验!C75</f>
        <v>107963</v>
      </c>
      <c r="S86" s="2">
        <f>[14]D_马仔经验!D75</f>
        <v>107963</v>
      </c>
      <c r="T86" s="2">
        <f>[14]D_马仔经验!E75</f>
        <v>107963</v>
      </c>
      <c r="U86" s="2">
        <f>[14]D_马仔经验!F75</f>
        <v>1682654</v>
      </c>
      <c r="V86" s="2">
        <f>[14]D_马仔经验!G75</f>
        <v>1682654</v>
      </c>
      <c r="W86" s="2">
        <f>[14]D_马仔经验!H75</f>
        <v>1682654</v>
      </c>
      <c r="X86" s="2">
        <f>[14]D_马仔经验!I75</f>
        <v>1682654</v>
      </c>
    </row>
    <row r="87" spans="9:24">
      <c r="I87" s="2">
        <f>'装备&amp;装备材料的投放'!D84</f>
        <v>22.323846073240301</v>
      </c>
      <c r="J87" s="2">
        <v>75</v>
      </c>
      <c r="K87" s="2"/>
      <c r="L87" s="2"/>
      <c r="M87" s="2"/>
      <c r="N87" s="17"/>
      <c r="P87" s="2">
        <f>[14]D_马仔经验!A76</f>
        <v>75</v>
      </c>
      <c r="Q87" s="2">
        <f>[14]D_马仔经验!B76</f>
        <v>113409</v>
      </c>
      <c r="R87" s="2">
        <f>[14]D_马仔经验!C76</f>
        <v>113409</v>
      </c>
      <c r="S87" s="2">
        <f>[14]D_马仔经验!D76</f>
        <v>113409</v>
      </c>
      <c r="T87" s="2">
        <f>[14]D_马仔经验!E76</f>
        <v>113409</v>
      </c>
      <c r="U87" s="2">
        <f>[14]D_马仔经验!F76</f>
        <v>1790617</v>
      </c>
      <c r="V87" s="2">
        <f>[14]D_马仔经验!G76</f>
        <v>1790617</v>
      </c>
      <c r="W87" s="2">
        <f>[14]D_马仔经验!H76</f>
        <v>1790617</v>
      </c>
      <c r="X87" s="2">
        <f>[14]D_马仔经验!I76</f>
        <v>1790617</v>
      </c>
    </row>
    <row r="88" spans="9:24">
      <c r="I88" s="2">
        <f>'装备&amp;装备材料的投放'!D85</f>
        <v>24.573175908325663</v>
      </c>
      <c r="J88" s="2">
        <v>76</v>
      </c>
      <c r="K88" s="2"/>
      <c r="L88" s="2"/>
      <c r="M88" s="2"/>
      <c r="N88" s="17"/>
      <c r="P88" s="2">
        <f>[14]D_马仔经验!A77</f>
        <v>76</v>
      </c>
      <c r="Q88" s="2">
        <f>[14]D_马仔经验!B77</f>
        <v>119057</v>
      </c>
      <c r="R88" s="2">
        <f>[14]D_马仔经验!C77</f>
        <v>119057</v>
      </c>
      <c r="S88" s="2">
        <f>[14]D_马仔经验!D77</f>
        <v>119057</v>
      </c>
      <c r="T88" s="2">
        <f>[14]D_马仔经验!E77</f>
        <v>119057</v>
      </c>
      <c r="U88" s="2">
        <f>[14]D_马仔经验!F77</f>
        <v>1904026</v>
      </c>
      <c r="V88" s="2">
        <f>[14]D_马仔经验!G77</f>
        <v>1904026</v>
      </c>
      <c r="W88" s="2">
        <f>[14]D_马仔经验!H77</f>
        <v>1904026</v>
      </c>
      <c r="X88" s="2">
        <f>[14]D_马仔经验!I77</f>
        <v>1904026</v>
      </c>
    </row>
    <row r="89" spans="9:24">
      <c r="I89" s="2">
        <f>'装备&amp;装备材料的投放'!D86</f>
        <v>27.049146112207946</v>
      </c>
      <c r="J89" s="2">
        <v>77</v>
      </c>
      <c r="K89" s="2"/>
      <c r="L89" s="2"/>
      <c r="M89" s="2"/>
      <c r="N89" s="17"/>
      <c r="P89" s="2">
        <f>[14]D_马仔经验!A78</f>
        <v>77</v>
      </c>
      <c r="Q89" s="2">
        <f>[14]D_马仔经验!B78</f>
        <v>124912</v>
      </c>
      <c r="R89" s="2">
        <f>[14]D_马仔经验!C78</f>
        <v>124912</v>
      </c>
      <c r="S89" s="2">
        <f>[14]D_马仔经验!D78</f>
        <v>124912</v>
      </c>
      <c r="T89" s="2">
        <f>[14]D_马仔经验!E78</f>
        <v>124912</v>
      </c>
      <c r="U89" s="2">
        <f>[14]D_马仔经验!F78</f>
        <v>2023083</v>
      </c>
      <c r="V89" s="2">
        <f>[14]D_马仔经验!G78</f>
        <v>2023083</v>
      </c>
      <c r="W89" s="2">
        <f>[14]D_马仔经验!H78</f>
        <v>2023083</v>
      </c>
      <c r="X89" s="2">
        <f>[14]D_马仔经验!I78</f>
        <v>2023083</v>
      </c>
    </row>
    <row r="90" spans="9:24">
      <c r="I90" s="2">
        <f>'装备&amp;装备材料的投放'!D87</f>
        <v>29.774592756310394</v>
      </c>
      <c r="J90" s="2">
        <v>78</v>
      </c>
      <c r="K90" s="2"/>
      <c r="L90" s="2"/>
      <c r="M90" s="2"/>
      <c r="N90" s="17"/>
      <c r="P90" s="2">
        <f>[14]D_马仔经验!A79</f>
        <v>78</v>
      </c>
      <c r="Q90" s="2">
        <f>[14]D_马仔经验!B79</f>
        <v>130979</v>
      </c>
      <c r="R90" s="2">
        <f>[14]D_马仔经验!C79</f>
        <v>130979</v>
      </c>
      <c r="S90" s="2">
        <f>[14]D_马仔经验!D79</f>
        <v>130979</v>
      </c>
      <c r="T90" s="2">
        <f>[14]D_马仔经验!E79</f>
        <v>130979</v>
      </c>
      <c r="U90" s="2">
        <f>[14]D_马仔经验!F79</f>
        <v>2147995</v>
      </c>
      <c r="V90" s="2">
        <f>[14]D_马仔经验!G79</f>
        <v>2147995</v>
      </c>
      <c r="W90" s="2">
        <f>[14]D_马仔经验!H79</f>
        <v>2147995</v>
      </c>
      <c r="X90" s="2">
        <f>[14]D_马仔经验!I79</f>
        <v>2147995</v>
      </c>
    </row>
    <row r="91" spans="9:24">
      <c r="I91" s="2">
        <f>'装备&amp;装备材料的投放'!D88</f>
        <v>32.77465285323813</v>
      </c>
      <c r="J91" s="2">
        <v>79</v>
      </c>
      <c r="K91" s="2"/>
      <c r="L91" s="2"/>
      <c r="M91" s="2"/>
      <c r="N91" s="17"/>
      <c r="P91" s="2">
        <f>[14]D_马仔经验!A80</f>
        <v>79</v>
      </c>
      <c r="Q91" s="2">
        <f>[14]D_马仔经验!B80</f>
        <v>137262</v>
      </c>
      <c r="R91" s="2">
        <f>[14]D_马仔经验!C80</f>
        <v>137262</v>
      </c>
      <c r="S91" s="2">
        <f>[14]D_马仔经验!D80</f>
        <v>137262</v>
      </c>
      <c r="T91" s="2">
        <f>[14]D_马仔经验!E80</f>
        <v>137262</v>
      </c>
      <c r="U91" s="2">
        <f>[14]D_马仔经验!F80</f>
        <v>2278974</v>
      </c>
      <c r="V91" s="2">
        <f>[14]D_马仔经验!G80</f>
        <v>2278974</v>
      </c>
      <c r="W91" s="2">
        <f>[14]D_马仔经验!H80</f>
        <v>2278974</v>
      </c>
      <c r="X91" s="2">
        <f>[14]D_马仔经验!I80</f>
        <v>2278974</v>
      </c>
    </row>
    <row r="92" spans="9:24">
      <c r="I92" s="2">
        <f>'装备&amp;装备材料的投放'!D89</f>
        <v>36.076996197457966</v>
      </c>
      <c r="J92" s="2">
        <v>80</v>
      </c>
      <c r="K92" s="2"/>
      <c r="L92" s="2"/>
      <c r="M92" s="2"/>
      <c r="N92" s="17"/>
      <c r="P92" s="2">
        <f>[14]D_马仔经验!A81</f>
        <v>80</v>
      </c>
      <c r="Q92" s="2">
        <f>[14]D_马仔经验!B81</f>
        <v>143768</v>
      </c>
      <c r="R92" s="2">
        <f>[14]D_马仔经验!C81</f>
        <v>143768</v>
      </c>
      <c r="S92" s="2">
        <f>[14]D_马仔经验!D81</f>
        <v>143768</v>
      </c>
      <c r="T92" s="2">
        <f>[14]D_马仔经验!E81</f>
        <v>143768</v>
      </c>
      <c r="U92" s="2">
        <f>[14]D_马仔经验!F81</f>
        <v>2416236</v>
      </c>
      <c r="V92" s="2">
        <f>[14]D_马仔经验!G81</f>
        <v>2416236</v>
      </c>
      <c r="W92" s="2">
        <f>[14]D_马仔经验!H81</f>
        <v>2416236</v>
      </c>
      <c r="X92" s="2">
        <f>[14]D_马仔经验!I81</f>
        <v>2416236</v>
      </c>
    </row>
  </sheetData>
  <phoneticPr fontId="1" type="noConversion"/>
  <conditionalFormatting sqref="K13:K93">
    <cfRule type="cellIs" dxfId="20" priority="24" operator="greaterThan">
      <formula>0</formula>
    </cfRule>
  </conditionalFormatting>
  <conditionalFormatting sqref="L13:L92">
    <cfRule type="cellIs" dxfId="19" priority="23" operator="greaterThan">
      <formula>0</formula>
    </cfRule>
  </conditionalFormatting>
  <conditionalFormatting sqref="AC46:AM49">
    <cfRule type="expression" dxfId="18" priority="39">
      <formula>OR(AC37/AC46&lt;0.9,AC37/AC46&gt;1.1)</formula>
    </cfRule>
  </conditionalFormatting>
  <conditionalFormatting sqref="AC21:AR2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2:AR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R2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R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6:AO49">
    <cfRule type="expression" dxfId="17" priority="3">
      <formula>OR(AO37/AO46&lt;0.9,AO37/AO46&gt;1.1)</formula>
    </cfRule>
  </conditionalFormatting>
  <conditionalFormatting sqref="AC55:AK73">
    <cfRule type="duplicateValues" dxfId="16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BH118"/>
  <sheetViews>
    <sheetView topLeftCell="A70" workbookViewId="0">
      <selection activeCell="R80" sqref="R80"/>
    </sheetView>
  </sheetViews>
  <sheetFormatPr defaultRowHeight="13.5"/>
  <cols>
    <col min="1" max="1" width="9" style="87"/>
    <col min="2" max="2" width="13" style="87" bestFit="1" customWidth="1"/>
    <col min="3" max="3" width="9" style="87"/>
    <col min="4" max="4" width="9.75" style="93" customWidth="1"/>
    <col min="5" max="5" width="9" style="87"/>
    <col min="9" max="9" width="13" bestFit="1" customWidth="1"/>
    <col min="10" max="10" width="9.375" customWidth="1"/>
    <col min="13" max="14" width="10.5" customWidth="1"/>
    <col min="15" max="16" width="11.25" customWidth="1"/>
    <col min="17" max="17" width="11.875" customWidth="1"/>
    <col min="18" max="18" width="13" bestFit="1" customWidth="1"/>
    <col min="19" max="19" width="12.75" customWidth="1"/>
    <col min="20" max="21" width="13" bestFit="1" customWidth="1"/>
    <col min="22" max="22" width="13" customWidth="1"/>
    <col min="23" max="23" width="13" bestFit="1" customWidth="1"/>
    <col min="46" max="46" width="9" style="87"/>
    <col min="47" max="47" width="14" style="87" customWidth="1"/>
  </cols>
  <sheetData>
    <row r="1" spans="1:58">
      <c r="A1" s="93" t="str">
        <f>[14]价值评估!P5</f>
        <v>ID</v>
      </c>
      <c r="B1" s="93" t="str">
        <f>[14]价值评估!Q5</f>
        <v>名称</v>
      </c>
      <c r="C1" s="93" t="str">
        <f>[14]价值评估!R5</f>
        <v>属性估值</v>
      </c>
      <c r="D1" s="93" t="str">
        <f>[14]价值评估!S5</f>
        <v>需求量</v>
      </c>
      <c r="E1" s="93" t="s">
        <v>982</v>
      </c>
      <c r="I1" s="2" t="s">
        <v>594</v>
      </c>
      <c r="J1" s="2">
        <f>[2]马仔规划!$B$1</f>
        <v>19</v>
      </c>
      <c r="AA1" t="s">
        <v>983</v>
      </c>
      <c r="AC1">
        <v>16</v>
      </c>
      <c r="AT1" s="100" t="s">
        <v>1031</v>
      </c>
      <c r="AU1" s="100" t="s">
        <v>254</v>
      </c>
      <c r="AV1" t="s">
        <v>1340</v>
      </c>
    </row>
    <row r="2" spans="1:58">
      <c r="A2" s="88">
        <v>92131</v>
      </c>
      <c r="B2" s="88" t="s">
        <v>738</v>
      </c>
      <c r="C2" s="88">
        <f>[14]价值评估!R6</f>
        <v>16.48</v>
      </c>
      <c r="D2" s="94">
        <f>INT([14]价值评估!S6)</f>
        <v>250</v>
      </c>
      <c r="E2" s="88">
        <f>马仔装备价格评估!G2</f>
        <v>4</v>
      </c>
      <c r="I2" s="2" t="s">
        <v>595</v>
      </c>
      <c r="J2" s="2">
        <v>4</v>
      </c>
      <c r="AA2" t="s">
        <v>984</v>
      </c>
      <c r="AC2">
        <v>4</v>
      </c>
      <c r="AS2">
        <v>1</v>
      </c>
      <c r="AT2" s="149">
        <v>92131</v>
      </c>
      <c r="AU2" s="149" t="s">
        <v>1210</v>
      </c>
      <c r="AV2">
        <v>1</v>
      </c>
      <c r="AW2" s="149">
        <v>92131</v>
      </c>
      <c r="AX2" s="149">
        <v>92011</v>
      </c>
      <c r="AY2" s="149">
        <v>92228</v>
      </c>
      <c r="AZ2" s="149">
        <v>92232</v>
      </c>
      <c r="BA2" s="149">
        <v>92121</v>
      </c>
      <c r="BB2" s="149">
        <v>92243</v>
      </c>
      <c r="BC2" s="149">
        <v>92244</v>
      </c>
      <c r="BD2" s="157">
        <v>92263</v>
      </c>
      <c r="BE2" s="157">
        <v>92277</v>
      </c>
    </row>
    <row r="3" spans="1:58">
      <c r="A3" s="88">
        <v>92011</v>
      </c>
      <c r="B3" s="88" t="s">
        <v>735</v>
      </c>
      <c r="C3" s="88">
        <f>[14]价值评估!R7</f>
        <v>20</v>
      </c>
      <c r="D3" s="94">
        <f>INT([14]价值评估!S7)</f>
        <v>126</v>
      </c>
      <c r="E3" s="88">
        <f>马仔装备价格评估!G3</f>
        <v>4</v>
      </c>
      <c r="I3" s="2" t="s">
        <v>599</v>
      </c>
      <c r="J3" s="2">
        <v>186</v>
      </c>
      <c r="AA3" t="s">
        <v>985</v>
      </c>
      <c r="AC3">
        <v>186</v>
      </c>
      <c r="AS3">
        <v>2</v>
      </c>
      <c r="AT3" s="149">
        <v>92011</v>
      </c>
      <c r="AU3" s="149" t="s">
        <v>1207</v>
      </c>
      <c r="AV3">
        <v>1</v>
      </c>
      <c r="AW3" s="149">
        <v>92131</v>
      </c>
      <c r="AX3" s="149">
        <v>92011</v>
      </c>
      <c r="AY3" s="149">
        <v>92243</v>
      </c>
      <c r="AZ3" s="149">
        <v>92228</v>
      </c>
      <c r="BA3" s="149">
        <v>92232</v>
      </c>
      <c r="BB3" s="149">
        <v>92244</v>
      </c>
      <c r="BC3" s="149">
        <v>92121</v>
      </c>
      <c r="BD3" s="157">
        <v>92277</v>
      </c>
      <c r="BE3" s="157">
        <v>92263</v>
      </c>
    </row>
    <row r="4" spans="1:58">
      <c r="A4" s="88">
        <v>92228</v>
      </c>
      <c r="B4" s="88" t="s">
        <v>739</v>
      </c>
      <c r="C4" s="88">
        <f>[14]价值评估!R8</f>
        <v>8</v>
      </c>
      <c r="D4" s="94">
        <f>INT([14]价值评估!S8)</f>
        <v>253</v>
      </c>
      <c r="E4" s="88">
        <f>马仔装备价格评估!G4</f>
        <v>2</v>
      </c>
      <c r="I4" s="2" t="s">
        <v>979</v>
      </c>
      <c r="J4" s="2">
        <v>0.3</v>
      </c>
      <c r="AS4">
        <v>3</v>
      </c>
      <c r="AT4" s="149">
        <v>92228</v>
      </c>
      <c r="AU4" s="149" t="s">
        <v>1211</v>
      </c>
      <c r="AV4">
        <v>1</v>
      </c>
      <c r="AW4" s="149">
        <v>92243</v>
      </c>
      <c r="AX4" s="149">
        <v>92131</v>
      </c>
      <c r="AY4" s="149">
        <v>92011</v>
      </c>
      <c r="AZ4" s="149">
        <v>92121</v>
      </c>
      <c r="BA4" s="149">
        <v>92232</v>
      </c>
      <c r="BB4" s="149">
        <v>92244</v>
      </c>
      <c r="BC4" s="149">
        <v>92228</v>
      </c>
      <c r="BD4" s="157">
        <v>92263</v>
      </c>
      <c r="BE4" s="157">
        <v>92277</v>
      </c>
    </row>
    <row r="5" spans="1:58">
      <c r="A5" s="88">
        <v>92232</v>
      </c>
      <c r="B5" s="88" t="s">
        <v>746</v>
      </c>
      <c r="C5" s="88">
        <f>[14]价值评估!R9</f>
        <v>16.48</v>
      </c>
      <c r="D5" s="94">
        <f>INT([14]价值评估!S9)</f>
        <v>718</v>
      </c>
      <c r="E5" s="88">
        <f>马仔装备价格评估!G5</f>
        <v>4</v>
      </c>
      <c r="N5" s="174" t="s">
        <v>1021</v>
      </c>
      <c r="O5" s="174"/>
      <c r="P5" s="174"/>
      <c r="AS5">
        <v>4</v>
      </c>
      <c r="AT5" s="149">
        <v>92232</v>
      </c>
      <c r="AU5" s="149" t="s">
        <v>1218</v>
      </c>
      <c r="AV5">
        <v>1</v>
      </c>
      <c r="AW5" s="149">
        <v>92121</v>
      </c>
      <c r="AX5" s="149">
        <v>92011</v>
      </c>
      <c r="AY5" s="149">
        <v>92131</v>
      </c>
      <c r="AZ5" s="149">
        <v>92232</v>
      </c>
      <c r="BA5" s="149">
        <v>92243</v>
      </c>
      <c r="BB5" s="149">
        <v>92228</v>
      </c>
      <c r="BC5" s="149">
        <v>92131</v>
      </c>
      <c r="BD5" s="157">
        <v>92277</v>
      </c>
      <c r="BE5" s="157">
        <v>92263</v>
      </c>
    </row>
    <row r="6" spans="1:58">
      <c r="A6" s="88">
        <v>92121</v>
      </c>
      <c r="B6" s="88" t="s">
        <v>740</v>
      </c>
      <c r="C6" s="88">
        <f>[14]价值评估!R10</f>
        <v>20</v>
      </c>
      <c r="D6" s="94">
        <f>INT([14]价值评估!S10)</f>
        <v>259</v>
      </c>
      <c r="E6" s="88">
        <f>马仔装备价格评估!G6</f>
        <v>4</v>
      </c>
      <c r="I6" s="71" t="s">
        <v>20</v>
      </c>
      <c r="J6" s="2" t="s">
        <v>596</v>
      </c>
      <c r="K6" s="71" t="s">
        <v>980</v>
      </c>
      <c r="L6" s="71" t="s">
        <v>981</v>
      </c>
      <c r="M6" s="64" t="s">
        <v>593</v>
      </c>
      <c r="N6" s="64" t="s">
        <v>1022</v>
      </c>
      <c r="O6" s="64" t="s">
        <v>1023</v>
      </c>
      <c r="P6" s="64" t="s">
        <v>585</v>
      </c>
      <c r="Q6" s="64" t="s">
        <v>588</v>
      </c>
      <c r="R6" s="64" t="s">
        <v>587</v>
      </c>
      <c r="S6" s="64" t="s">
        <v>600</v>
      </c>
      <c r="AA6" t="s">
        <v>986</v>
      </c>
      <c r="AB6" t="s">
        <v>987</v>
      </c>
      <c r="AC6" t="s">
        <v>988</v>
      </c>
      <c r="AD6" t="s">
        <v>989</v>
      </c>
      <c r="AE6" t="s">
        <v>990</v>
      </c>
      <c r="AF6" t="s">
        <v>991</v>
      </c>
      <c r="AG6" t="s">
        <v>992</v>
      </c>
      <c r="AH6" t="s">
        <v>993</v>
      </c>
      <c r="AI6" t="s">
        <v>994</v>
      </c>
      <c r="AJ6" t="s">
        <v>995</v>
      </c>
      <c r="AK6" t="s">
        <v>996</v>
      </c>
      <c r="AS6">
        <v>5</v>
      </c>
      <c r="AT6" s="149">
        <v>92121</v>
      </c>
      <c r="AU6" s="149" t="s">
        <v>1212</v>
      </c>
      <c r="AV6">
        <v>1</v>
      </c>
      <c r="AW6" s="149">
        <v>92232</v>
      </c>
      <c r="AX6" s="149">
        <v>92011</v>
      </c>
      <c r="AY6" s="149">
        <v>92121</v>
      </c>
      <c r="AZ6" s="149">
        <v>92131</v>
      </c>
      <c r="BA6" s="149">
        <v>92228</v>
      </c>
      <c r="BB6" s="149">
        <v>92244</v>
      </c>
      <c r="BC6" s="149">
        <v>92243</v>
      </c>
      <c r="BD6" s="157">
        <v>92263</v>
      </c>
      <c r="BE6" s="157">
        <v>92277</v>
      </c>
    </row>
    <row r="7" spans="1:58">
      <c r="A7" s="88">
        <v>92243</v>
      </c>
      <c r="B7" s="88" t="s">
        <v>737</v>
      </c>
      <c r="C7" s="88">
        <f>[14]价值评估!R11</f>
        <v>8</v>
      </c>
      <c r="D7" s="94">
        <f>INT([14]价值评估!S11)</f>
        <v>333</v>
      </c>
      <c r="E7" s="88">
        <f>马仔装备价格评估!G7</f>
        <v>2</v>
      </c>
      <c r="I7" s="71" t="s">
        <v>576</v>
      </c>
      <c r="J7" s="2">
        <v>12</v>
      </c>
      <c r="K7" s="71">
        <v>0</v>
      </c>
      <c r="L7" s="71">
        <f>[14]价值评估!Z6*J7/$J$1</f>
        <v>2029.2631578947369</v>
      </c>
      <c r="M7" s="2">
        <f>[14]价值评估!$AA6</f>
        <v>1</v>
      </c>
      <c r="N7" s="2">
        <v>20</v>
      </c>
      <c r="O7" s="71">
        <v>60</v>
      </c>
      <c r="P7" s="2">
        <f>VLOOKUP(O7,'1、经济推算'!$C$3:$K$102,8,0)-VLOOKUP(N7,'1、经济推算'!$C$3:$K$102,8,0)</f>
        <v>56.540127192245151</v>
      </c>
      <c r="Q7" s="2">
        <f>K7/O7</f>
        <v>0</v>
      </c>
      <c r="R7" s="2">
        <f>L7/P7</f>
        <v>35.890671964619557</v>
      </c>
      <c r="S7" s="2">
        <v>10</v>
      </c>
      <c r="T7">
        <f>R7</f>
        <v>35.890671964619557</v>
      </c>
      <c r="AA7" t="s">
        <v>997</v>
      </c>
      <c r="AB7">
        <v>12</v>
      </c>
      <c r="AC7">
        <v>144</v>
      </c>
      <c r="AD7">
        <v>144</v>
      </c>
      <c r="AE7">
        <v>1</v>
      </c>
      <c r="AF7">
        <v>1</v>
      </c>
      <c r="AG7">
        <v>40</v>
      </c>
      <c r="AH7">
        <v>4.1354151510000001</v>
      </c>
      <c r="AI7">
        <v>3.6</v>
      </c>
      <c r="AJ7">
        <v>34.821171450000001</v>
      </c>
      <c r="AK7">
        <v>10</v>
      </c>
      <c r="AS7">
        <v>6</v>
      </c>
      <c r="AT7" s="149">
        <v>92243</v>
      </c>
      <c r="AU7" s="149" t="s">
        <v>1209</v>
      </c>
      <c r="AV7">
        <v>1</v>
      </c>
      <c r="AW7" s="149">
        <v>92011</v>
      </c>
      <c r="AX7" s="149">
        <v>92121</v>
      </c>
      <c r="AY7" s="149">
        <v>92232</v>
      </c>
      <c r="AZ7" s="149">
        <v>92244</v>
      </c>
      <c r="BA7" s="149">
        <v>92131</v>
      </c>
      <c r="BB7" s="149">
        <v>92243</v>
      </c>
      <c r="BC7" s="149">
        <v>92228</v>
      </c>
      <c r="BD7" s="157">
        <v>92277</v>
      </c>
      <c r="BE7" s="157">
        <v>92263</v>
      </c>
    </row>
    <row r="8" spans="1:58">
      <c r="A8" s="88">
        <v>92244</v>
      </c>
      <c r="B8" s="88" t="s">
        <v>748</v>
      </c>
      <c r="C8" s="88">
        <f>[14]价值评估!R12</f>
        <v>16.48</v>
      </c>
      <c r="D8" s="94">
        <f>INT([14]价值评估!S12)</f>
        <v>653</v>
      </c>
      <c r="E8" s="88">
        <f>马仔装备价格评估!G8</f>
        <v>4</v>
      </c>
      <c r="I8" s="71" t="s">
        <v>577</v>
      </c>
      <c r="J8" s="2">
        <v>10</v>
      </c>
      <c r="K8" s="85">
        <v>0</v>
      </c>
      <c r="L8" s="85">
        <f>[14]价值评估!Z7*J8/$J$1</f>
        <v>2021.0526315789473</v>
      </c>
      <c r="M8" s="2">
        <f>[14]价值评估!$AA7</f>
        <v>1</v>
      </c>
      <c r="N8" s="2">
        <v>30</v>
      </c>
      <c r="O8" s="85">
        <v>65</v>
      </c>
      <c r="P8" s="2">
        <f>VLOOKUP(O8,'1、经济推算'!$C$3:$K$102,8,0)-VLOOKUP(N8,'1、经济推算'!$C$3:$K$102,8,0)</f>
        <v>90.136544577338555</v>
      </c>
      <c r="Q8" s="2">
        <f>K8/O8</f>
        <v>0</v>
      </c>
      <c r="R8" s="2">
        <f>L8/P8</f>
        <v>22.42212235953701</v>
      </c>
      <c r="S8" s="2">
        <v>11</v>
      </c>
      <c r="T8">
        <f>R8*S8/J8</f>
        <v>24.664334595490711</v>
      </c>
      <c r="AA8" t="s">
        <v>998</v>
      </c>
      <c r="AB8">
        <v>12</v>
      </c>
      <c r="AC8">
        <v>144</v>
      </c>
      <c r="AD8">
        <v>144</v>
      </c>
      <c r="AE8">
        <v>1</v>
      </c>
      <c r="AF8">
        <v>35</v>
      </c>
      <c r="AG8">
        <v>45</v>
      </c>
      <c r="AH8">
        <v>4.2241527520000002</v>
      </c>
      <c r="AI8">
        <v>3.2</v>
      </c>
      <c r="AJ8">
        <v>34.089676310000002</v>
      </c>
      <c r="AK8">
        <v>10</v>
      </c>
      <c r="AS8">
        <v>7</v>
      </c>
      <c r="AT8" s="149">
        <v>92244</v>
      </c>
      <c r="AU8" s="149" t="s">
        <v>1220</v>
      </c>
      <c r="AV8">
        <v>1</v>
      </c>
      <c r="AW8" s="149">
        <v>92011</v>
      </c>
      <c r="AX8" s="149">
        <v>92244</v>
      </c>
      <c r="AY8" s="149">
        <v>92121</v>
      </c>
      <c r="AZ8" s="149">
        <v>92228</v>
      </c>
      <c r="BA8" s="149">
        <v>92232</v>
      </c>
      <c r="BB8" s="149">
        <v>92131</v>
      </c>
      <c r="BC8" s="149">
        <v>92243</v>
      </c>
      <c r="BD8" s="157">
        <v>92263</v>
      </c>
      <c r="BE8" s="157">
        <v>92277</v>
      </c>
    </row>
    <row r="9" spans="1:58">
      <c r="A9" s="88">
        <v>92263</v>
      </c>
      <c r="B9" s="88" t="s">
        <v>743</v>
      </c>
      <c r="C9" s="88">
        <f>[14]价值评估!R13</f>
        <v>20</v>
      </c>
      <c r="D9" s="94">
        <f>INT([14]价值评估!S13)</f>
        <v>117</v>
      </c>
      <c r="E9" s="88">
        <f>马仔装备价格评估!G9</f>
        <v>4</v>
      </c>
      <c r="I9" s="71" t="s">
        <v>578</v>
      </c>
      <c r="J9" s="2">
        <v>8</v>
      </c>
      <c r="K9" s="85">
        <f>[14]价值评估!Y8*$J$4*J9/$J$1</f>
        <v>283.07368421052632</v>
      </c>
      <c r="L9" s="85">
        <f>[14]价值评估!Z8*(1-$J$4)*J9/$J$1</f>
        <v>3545.6842105263158</v>
      </c>
      <c r="M9" s="2">
        <f>[14]价值评估!$AA8</f>
        <v>5.3681392235609104</v>
      </c>
      <c r="N9" s="2">
        <v>40</v>
      </c>
      <c r="O9" s="85">
        <v>70</v>
      </c>
      <c r="P9" s="2">
        <f>VLOOKUP(O9,'1、经济推算'!$C$3:$K$102,8,0)-VLOOKUP(N9,'1、经济推算'!$C$3:$K$102,8,0)</f>
        <v>142.43797965997405</v>
      </c>
      <c r="Q9" s="2">
        <f>K9/O9/M9</f>
        <v>0.75331685823036398</v>
      </c>
      <c r="R9" s="2">
        <f>L9/P9</f>
        <v>24.892828576974509</v>
      </c>
      <c r="S9" s="2">
        <v>8</v>
      </c>
      <c r="T9">
        <f>R9*S9/J9</f>
        <v>24.892828576974509</v>
      </c>
      <c r="AA9" t="s">
        <v>999</v>
      </c>
      <c r="AB9">
        <v>6</v>
      </c>
      <c r="AC9">
        <v>72</v>
      </c>
      <c r="AD9">
        <v>750</v>
      </c>
      <c r="AE9">
        <v>10.41666667</v>
      </c>
      <c r="AF9">
        <v>40</v>
      </c>
      <c r="AG9">
        <v>55</v>
      </c>
      <c r="AH9">
        <v>13.64166623</v>
      </c>
      <c r="AI9">
        <v>0.12567272700000001</v>
      </c>
      <c r="AJ9">
        <v>54.978621179999998</v>
      </c>
      <c r="AK9">
        <v>8</v>
      </c>
      <c r="AS9">
        <v>8</v>
      </c>
      <c r="AT9" s="149">
        <v>92263</v>
      </c>
      <c r="AU9" s="149" t="s">
        <v>1215</v>
      </c>
      <c r="AV9">
        <v>1</v>
      </c>
      <c r="AW9" s="149">
        <v>92244</v>
      </c>
      <c r="AX9" s="149">
        <v>92228</v>
      </c>
      <c r="AY9" s="149">
        <v>92011</v>
      </c>
      <c r="AZ9" s="149">
        <v>92121</v>
      </c>
      <c r="BA9" s="149">
        <v>92243</v>
      </c>
      <c r="BB9" s="149">
        <v>92232</v>
      </c>
      <c r="BC9" s="149">
        <v>92131</v>
      </c>
      <c r="BD9" s="157">
        <v>92277</v>
      </c>
      <c r="BE9" s="157">
        <v>92263</v>
      </c>
    </row>
    <row r="10" spans="1:58">
      <c r="A10" s="88">
        <v>92277</v>
      </c>
      <c r="B10" s="88" t="s">
        <v>428</v>
      </c>
      <c r="C10" s="88">
        <f>[14]价值评估!R14</f>
        <v>8</v>
      </c>
      <c r="D10" s="94">
        <f>INT([14]价值评估!S14)</f>
        <v>122</v>
      </c>
      <c r="E10" s="88">
        <f>马仔装备价格评估!G10</f>
        <v>2</v>
      </c>
      <c r="I10" s="71" t="s">
        <v>579</v>
      </c>
      <c r="J10" s="2">
        <v>6</v>
      </c>
      <c r="K10" s="85">
        <f>[14]价值评估!Y9*$J$4*J10/$J$1</f>
        <v>153.09473684210525</v>
      </c>
      <c r="L10" s="85">
        <f>[14]价值评估!Z9*(1-$J$4)*J10/$J$1</f>
        <v>4484.0526315789475</v>
      </c>
      <c r="M10" s="2">
        <f>[14]价值评估!$AA9</f>
        <v>12.552599009900991</v>
      </c>
      <c r="N10" s="2">
        <v>55</v>
      </c>
      <c r="O10" s="85">
        <v>75</v>
      </c>
      <c r="P10" s="2">
        <f>VLOOKUP(O10,'1、经济推算'!$C$3:$K$102,8,0)-VLOOKUP(N10,'1、经济推算'!$C$3:$K$102,8,0)</f>
        <v>208.12596313681979</v>
      </c>
      <c r="Q10" s="2">
        <f>K10/O10/M10</f>
        <v>0.16261677412659079</v>
      </c>
      <c r="R10" s="2">
        <f>L10/P10</f>
        <v>21.544897926219704</v>
      </c>
      <c r="S10" s="2">
        <v>12</v>
      </c>
      <c r="T10">
        <f>R10*S10/J10</f>
        <v>43.089795852439408</v>
      </c>
      <c r="AA10" t="s">
        <v>1000</v>
      </c>
      <c r="AB10">
        <v>5</v>
      </c>
      <c r="AC10">
        <v>60</v>
      </c>
      <c r="AD10">
        <v>856.25</v>
      </c>
      <c r="AE10">
        <v>14.27083333</v>
      </c>
      <c r="AF10">
        <v>45</v>
      </c>
      <c r="AG10">
        <v>60</v>
      </c>
      <c r="AH10">
        <v>22.045947600000002</v>
      </c>
      <c r="AI10">
        <v>7.0072993E-2</v>
      </c>
      <c r="AJ10">
        <v>38.839337530000002</v>
      </c>
      <c r="AK10">
        <v>12</v>
      </c>
      <c r="AS10">
        <v>9</v>
      </c>
      <c r="AT10" s="149">
        <v>92277</v>
      </c>
      <c r="AU10" s="149" t="s">
        <v>1246</v>
      </c>
      <c r="AV10">
        <v>1</v>
      </c>
      <c r="AW10" s="149">
        <v>92228</v>
      </c>
      <c r="AX10" s="149">
        <v>92243</v>
      </c>
      <c r="AY10" s="149">
        <v>92244</v>
      </c>
      <c r="AZ10" s="149">
        <v>92011</v>
      </c>
      <c r="BA10" s="149">
        <v>92121</v>
      </c>
      <c r="BB10" s="149">
        <v>92131</v>
      </c>
      <c r="BC10" s="149">
        <v>92232</v>
      </c>
      <c r="BD10" s="157">
        <v>92263</v>
      </c>
      <c r="BE10" s="157">
        <v>92277</v>
      </c>
    </row>
    <row r="11" spans="1:58">
      <c r="A11" s="89">
        <v>92233</v>
      </c>
      <c r="B11" s="89" t="s">
        <v>750</v>
      </c>
      <c r="C11" s="89">
        <f>[14]价值评估!R15</f>
        <v>50</v>
      </c>
      <c r="D11" s="156">
        <f>INT([14]价值评估!S15)</f>
        <v>382</v>
      </c>
      <c r="E11" s="89">
        <f>马仔装备价格评估!G11</f>
        <v>15</v>
      </c>
      <c r="I11" s="71" t="s">
        <v>580</v>
      </c>
      <c r="J11" s="2">
        <v>5</v>
      </c>
      <c r="K11" s="85">
        <f>[14]价值评估!Y10*$J$4*J11/$J$1</f>
        <v>73.578947368421041</v>
      </c>
      <c r="L11" s="85">
        <f>[14]价值评估!Z10*(1-$J$4)*J11/$J$1</f>
        <v>5533.6842105263158</v>
      </c>
      <c r="M11" s="2">
        <f>[14]价值评估!$AA10</f>
        <v>32.231759656652358</v>
      </c>
      <c r="N11" s="2">
        <v>65</v>
      </c>
      <c r="O11" s="85">
        <v>80</v>
      </c>
      <c r="P11" s="2">
        <f>VLOOKUP(O11,'1、经济推算'!$C$3:$K$102,8,0)-VLOOKUP(N11,'1、经济推算'!$C$3:$K$102,8,0)</f>
        <v>300.74898598428939</v>
      </c>
      <c r="Q11" s="2">
        <f>K11/O11/M11</f>
        <v>2.8535111079963555E-2</v>
      </c>
      <c r="R11" s="2">
        <f>L11/P11</f>
        <v>18.399677034373727</v>
      </c>
      <c r="S11" s="2">
        <v>22</v>
      </c>
      <c r="T11">
        <f>R11*S11/J11</f>
        <v>80.958578951244391</v>
      </c>
      <c r="AA11" t="s">
        <v>1001</v>
      </c>
      <c r="AB11">
        <v>4</v>
      </c>
      <c r="AC11">
        <v>96</v>
      </c>
      <c r="AD11">
        <v>2398.75</v>
      </c>
      <c r="AE11">
        <v>24.986979170000001</v>
      </c>
      <c r="AF11">
        <v>50</v>
      </c>
      <c r="AG11">
        <v>70</v>
      </c>
      <c r="AH11">
        <v>64.392444699999999</v>
      </c>
      <c r="AI11">
        <v>5.4885729000000001E-2</v>
      </c>
      <c r="AJ11">
        <v>37.252041159999997</v>
      </c>
      <c r="AK11">
        <v>22</v>
      </c>
      <c r="AS11">
        <v>1</v>
      </c>
      <c r="AT11" s="151">
        <v>92233</v>
      </c>
      <c r="AU11" s="151" t="s">
        <v>1222</v>
      </c>
      <c r="AV11">
        <v>21</v>
      </c>
      <c r="AW11" s="151">
        <v>92233</v>
      </c>
      <c r="AX11" s="151">
        <v>92122</v>
      </c>
      <c r="AY11" s="151">
        <v>92141</v>
      </c>
      <c r="AZ11" s="151">
        <v>92245</v>
      </c>
      <c r="BA11" s="151">
        <v>92251</v>
      </c>
      <c r="BB11" s="151">
        <v>92264</v>
      </c>
      <c r="BC11" s="151">
        <v>92271</v>
      </c>
      <c r="BD11" s="151">
        <v>92278</v>
      </c>
      <c r="BE11" s="150">
        <v>92283</v>
      </c>
      <c r="BF11" s="150">
        <v>92287</v>
      </c>
    </row>
    <row r="12" spans="1:58">
      <c r="A12" s="89">
        <v>92122</v>
      </c>
      <c r="B12" s="89" t="s">
        <v>747</v>
      </c>
      <c r="C12" s="89">
        <f>[14]价值评估!R16</f>
        <v>50</v>
      </c>
      <c r="D12" s="156">
        <f>INT([14]价值评估!S16)</f>
        <v>362</v>
      </c>
      <c r="E12" s="89">
        <f>马仔装备价格评估!G12</f>
        <v>15</v>
      </c>
      <c r="AS12">
        <v>2</v>
      </c>
      <c r="AT12" s="151">
        <v>92122</v>
      </c>
      <c r="AU12" s="151" t="s">
        <v>1219</v>
      </c>
      <c r="AV12">
        <v>21</v>
      </c>
      <c r="AW12" s="151">
        <v>92264</v>
      </c>
      <c r="AX12" s="151">
        <v>92233</v>
      </c>
      <c r="AY12" s="151">
        <v>92122</v>
      </c>
      <c r="AZ12" s="151">
        <v>92278</v>
      </c>
      <c r="BA12" s="151">
        <v>92245</v>
      </c>
      <c r="BB12" s="151">
        <v>92141</v>
      </c>
      <c r="BC12" s="151">
        <v>92251</v>
      </c>
      <c r="BD12" s="151">
        <v>92271</v>
      </c>
      <c r="BE12" s="150">
        <v>92287</v>
      </c>
      <c r="BF12" s="150">
        <v>92283</v>
      </c>
    </row>
    <row r="13" spans="1:58">
      <c r="A13" s="89">
        <v>92141</v>
      </c>
      <c r="B13" s="89" t="s">
        <v>742</v>
      </c>
      <c r="C13" s="89">
        <f>[14]价值评估!R17</f>
        <v>50</v>
      </c>
      <c r="D13" s="156">
        <f>INT([14]价值评估!S17)</f>
        <v>381</v>
      </c>
      <c r="E13" s="89">
        <f>马仔装备价格评估!G13</f>
        <v>15</v>
      </c>
      <c r="AS13">
        <v>3</v>
      </c>
      <c r="AT13" s="151">
        <v>92141</v>
      </c>
      <c r="AU13" s="151" t="s">
        <v>1214</v>
      </c>
      <c r="AV13">
        <v>22</v>
      </c>
      <c r="AW13" s="151">
        <v>92278</v>
      </c>
      <c r="AX13" s="151">
        <v>92122</v>
      </c>
      <c r="AY13" s="151">
        <v>92233</v>
      </c>
      <c r="AZ13" s="151">
        <v>92245</v>
      </c>
      <c r="BA13" s="151">
        <v>92264</v>
      </c>
      <c r="BB13" s="151">
        <v>92271</v>
      </c>
      <c r="BC13" s="151">
        <v>92141</v>
      </c>
      <c r="BD13" s="151">
        <v>92251</v>
      </c>
      <c r="BE13" s="150">
        <v>92283</v>
      </c>
      <c r="BF13" s="150">
        <v>92287</v>
      </c>
    </row>
    <row r="14" spans="1:58">
      <c r="A14" s="89">
        <v>92245</v>
      </c>
      <c r="B14" s="89" t="s">
        <v>741</v>
      </c>
      <c r="C14" s="89">
        <f>[14]价值评估!R18</f>
        <v>50</v>
      </c>
      <c r="D14" s="156">
        <f>INT([14]价值评估!S18)</f>
        <v>276</v>
      </c>
      <c r="E14" s="89">
        <f>马仔装备价格评估!G14</f>
        <v>15</v>
      </c>
      <c r="I14" s="70" t="s">
        <v>589</v>
      </c>
      <c r="J14" s="70"/>
      <c r="AA14" t="s">
        <v>1002</v>
      </c>
      <c r="AS14">
        <v>4</v>
      </c>
      <c r="AT14" s="151">
        <v>92245</v>
      </c>
      <c r="AU14" s="151" t="s">
        <v>1213</v>
      </c>
      <c r="AV14">
        <v>22</v>
      </c>
      <c r="AW14" s="151">
        <v>92278</v>
      </c>
      <c r="AX14" s="151">
        <v>92245</v>
      </c>
      <c r="AY14" s="151">
        <v>92122</v>
      </c>
      <c r="AZ14" s="151">
        <v>92233</v>
      </c>
      <c r="BA14" s="151">
        <v>92271</v>
      </c>
      <c r="BB14" s="151">
        <v>92141</v>
      </c>
      <c r="BC14" s="151">
        <v>92251</v>
      </c>
      <c r="BD14" s="151">
        <v>92264</v>
      </c>
      <c r="BE14" s="150">
        <v>92287</v>
      </c>
      <c r="BF14" s="150">
        <v>92283</v>
      </c>
    </row>
    <row r="15" spans="1:58">
      <c r="A15" s="89">
        <v>92251</v>
      </c>
      <c r="B15" s="89" t="s">
        <v>755</v>
      </c>
      <c r="C15" s="89">
        <f>[14]价值评估!R19</f>
        <v>50</v>
      </c>
      <c r="D15" s="156">
        <f>INT([14]价值评估!S19)</f>
        <v>469</v>
      </c>
      <c r="E15" s="89">
        <f>马仔装备价格评估!G15</f>
        <v>15</v>
      </c>
      <c r="I15" s="73" t="s">
        <v>20</v>
      </c>
      <c r="J15" s="2" t="s">
        <v>631</v>
      </c>
      <c r="K15" s="2" t="s">
        <v>583</v>
      </c>
      <c r="L15" s="2" t="s">
        <v>584</v>
      </c>
      <c r="M15" s="2" t="s">
        <v>633</v>
      </c>
      <c r="N15" s="2" t="s">
        <v>632</v>
      </c>
      <c r="O15" s="2" t="s">
        <v>635</v>
      </c>
      <c r="P15" s="2" t="s">
        <v>634</v>
      </c>
      <c r="Q15" s="2" t="s">
        <v>597</v>
      </c>
      <c r="R15" s="2" t="s">
        <v>555</v>
      </c>
      <c r="S15" s="2" t="s">
        <v>556</v>
      </c>
      <c r="T15" s="2" t="s">
        <v>557</v>
      </c>
      <c r="U15" s="2" t="s">
        <v>558</v>
      </c>
      <c r="V15" s="2" t="s">
        <v>598</v>
      </c>
      <c r="W15" s="2" t="s">
        <v>562</v>
      </c>
      <c r="AA15" t="s">
        <v>986</v>
      </c>
      <c r="AB15" t="s">
        <v>1003</v>
      </c>
      <c r="AC15" t="s">
        <v>1004</v>
      </c>
      <c r="AD15" t="s">
        <v>1005</v>
      </c>
      <c r="AE15" t="s">
        <v>1006</v>
      </c>
      <c r="AF15" t="s">
        <v>1007</v>
      </c>
      <c r="AG15" t="s">
        <v>1008</v>
      </c>
      <c r="AH15" t="s">
        <v>1009</v>
      </c>
      <c r="AI15" t="s">
        <v>1010</v>
      </c>
      <c r="AJ15" t="s">
        <v>1011</v>
      </c>
      <c r="AK15" t="s">
        <v>1012</v>
      </c>
      <c r="AL15" t="s">
        <v>1013</v>
      </c>
      <c r="AM15" t="s">
        <v>1014</v>
      </c>
      <c r="AN15" t="s">
        <v>1015</v>
      </c>
      <c r="AO15" t="s">
        <v>1016</v>
      </c>
      <c r="AS15">
        <v>5</v>
      </c>
      <c r="AT15" s="151">
        <v>92251</v>
      </c>
      <c r="AU15" s="151" t="s">
        <v>1227</v>
      </c>
      <c r="AV15">
        <v>23</v>
      </c>
      <c r="AW15" s="151">
        <v>92245</v>
      </c>
      <c r="AX15" s="151">
        <v>92251</v>
      </c>
      <c r="AY15" s="151">
        <v>92271</v>
      </c>
      <c r="AZ15" s="151">
        <v>92122</v>
      </c>
      <c r="BA15" s="151">
        <v>92233</v>
      </c>
      <c r="BB15" s="151">
        <v>92264</v>
      </c>
      <c r="BC15" s="151">
        <v>92278</v>
      </c>
      <c r="BD15" s="151">
        <v>92141</v>
      </c>
      <c r="BE15" s="150">
        <v>92283</v>
      </c>
      <c r="BF15" s="150">
        <v>92287</v>
      </c>
    </row>
    <row r="16" spans="1:58">
      <c r="A16" s="89">
        <v>92264</v>
      </c>
      <c r="B16" s="89" t="s">
        <v>745</v>
      </c>
      <c r="C16" s="89">
        <f>[14]价值评估!R20</f>
        <v>50</v>
      </c>
      <c r="D16" s="156">
        <f>INT([14]价值评估!S20)</f>
        <v>204</v>
      </c>
      <c r="E16" s="89">
        <f>马仔装备价格评估!G16</f>
        <v>15</v>
      </c>
      <c r="I16" s="69" t="s">
        <v>576</v>
      </c>
      <c r="J16" s="73"/>
      <c r="K16" s="2">
        <v>0.4</v>
      </c>
      <c r="L16" s="2">
        <v>0.3</v>
      </c>
      <c r="M16" s="2">
        <v>0.05</v>
      </c>
      <c r="N16" s="2">
        <v>5.0000000000000001E-3</v>
      </c>
      <c r="O16" s="2"/>
      <c r="P16" s="2"/>
      <c r="Q16" s="2">
        <v>0.11</v>
      </c>
      <c r="R16" s="2"/>
      <c r="S16" s="2"/>
      <c r="T16" s="2"/>
      <c r="U16" s="2"/>
      <c r="V16" s="2">
        <v>0.05</v>
      </c>
      <c r="W16" s="2">
        <f>1-SUM(K16:V16)</f>
        <v>8.4999999999999964E-2</v>
      </c>
      <c r="X16">
        <f>SUM(K16:W16)</f>
        <v>1</v>
      </c>
      <c r="AA16" t="s">
        <v>997</v>
      </c>
      <c r="AC16">
        <v>0.3</v>
      </c>
      <c r="AD16">
        <v>0.3</v>
      </c>
      <c r="AE16">
        <v>0.05</v>
      </c>
      <c r="AF16">
        <v>5.0000000000000001E-3</v>
      </c>
      <c r="AI16">
        <v>0.11</v>
      </c>
      <c r="AN16">
        <v>0.09</v>
      </c>
      <c r="AO16">
        <v>0.14499999999999999</v>
      </c>
      <c r="AP16">
        <v>1</v>
      </c>
      <c r="AS16">
        <v>6</v>
      </c>
      <c r="AT16" s="151">
        <v>92264</v>
      </c>
      <c r="AU16" s="151" t="s">
        <v>1217</v>
      </c>
      <c r="AV16">
        <v>23</v>
      </c>
      <c r="AW16" s="151">
        <v>92245</v>
      </c>
      <c r="AX16" s="151">
        <v>92278</v>
      </c>
      <c r="AY16" s="151">
        <v>92122</v>
      </c>
      <c r="AZ16" s="151">
        <v>92251</v>
      </c>
      <c r="BA16" s="151">
        <v>92264</v>
      </c>
      <c r="BB16" s="151">
        <v>92233</v>
      </c>
      <c r="BC16" s="151">
        <v>92141</v>
      </c>
      <c r="BD16" s="151">
        <v>92271</v>
      </c>
      <c r="BE16" s="150">
        <v>92287</v>
      </c>
      <c r="BF16" s="150">
        <v>92283</v>
      </c>
    </row>
    <row r="17" spans="1:60">
      <c r="A17" s="89">
        <v>92271</v>
      </c>
      <c r="B17" s="89" t="s">
        <v>756</v>
      </c>
      <c r="C17" s="89">
        <f>[14]价值评估!R21</f>
        <v>50</v>
      </c>
      <c r="D17" s="156">
        <f>INT([14]价值评估!S21)</f>
        <v>108</v>
      </c>
      <c r="E17" s="89">
        <f>马仔装备价格评估!G17</f>
        <v>15</v>
      </c>
      <c r="I17" s="69" t="s">
        <v>577</v>
      </c>
      <c r="J17" s="73"/>
      <c r="K17" s="2">
        <v>0.25</v>
      </c>
      <c r="L17" s="2">
        <v>0.3</v>
      </c>
      <c r="M17" s="2">
        <v>0.05</v>
      </c>
      <c r="N17" s="2"/>
      <c r="O17" s="2">
        <v>5.0000000000000001E-3</v>
      </c>
      <c r="P17" s="2"/>
      <c r="Q17" s="2">
        <v>0.1</v>
      </c>
      <c r="R17" s="2">
        <v>0.185</v>
      </c>
      <c r="S17" s="2"/>
      <c r="T17" s="2"/>
      <c r="U17" s="2"/>
      <c r="V17" s="2">
        <v>0.06</v>
      </c>
      <c r="W17" s="2">
        <f>1-SUM(K17:V17)</f>
        <v>4.9999999999999822E-2</v>
      </c>
      <c r="X17">
        <f>SUM(K17:W17)</f>
        <v>1</v>
      </c>
      <c r="AA17" t="s">
        <v>998</v>
      </c>
      <c r="AC17">
        <v>0.25</v>
      </c>
      <c r="AD17">
        <v>0.3</v>
      </c>
      <c r="AE17">
        <v>0.05</v>
      </c>
      <c r="AG17">
        <v>5.0000000000000001E-3</v>
      </c>
      <c r="AI17">
        <v>0.1</v>
      </c>
      <c r="AJ17">
        <v>0.185</v>
      </c>
      <c r="AN17">
        <v>0.11</v>
      </c>
      <c r="AO17">
        <v>0</v>
      </c>
      <c r="AP17">
        <v>1</v>
      </c>
      <c r="AS17">
        <v>7</v>
      </c>
      <c r="AT17" s="151">
        <v>92271</v>
      </c>
      <c r="AU17" s="151" t="s">
        <v>1228</v>
      </c>
      <c r="AV17">
        <v>24</v>
      </c>
      <c r="AW17" s="151">
        <v>92251</v>
      </c>
      <c r="AX17" s="151">
        <v>92122</v>
      </c>
      <c r="AY17" s="151">
        <v>92278</v>
      </c>
      <c r="AZ17" s="151">
        <v>92245</v>
      </c>
      <c r="BA17" s="151">
        <v>92141</v>
      </c>
      <c r="BB17" s="151">
        <v>92271</v>
      </c>
      <c r="BC17" s="151">
        <v>92233</v>
      </c>
      <c r="BD17" s="151">
        <v>92264</v>
      </c>
      <c r="BE17" s="150">
        <v>92283</v>
      </c>
      <c r="BF17" s="150">
        <v>92287</v>
      </c>
    </row>
    <row r="18" spans="1:60">
      <c r="A18" s="89">
        <v>92278</v>
      </c>
      <c r="B18" s="89" t="s">
        <v>777</v>
      </c>
      <c r="C18" s="89">
        <f>[14]价值评估!R22</f>
        <v>50</v>
      </c>
      <c r="D18" s="156">
        <f>INT([14]价值评估!S22)</f>
        <v>224</v>
      </c>
      <c r="E18" s="89">
        <f>马仔装备价格评估!G18</f>
        <v>15</v>
      </c>
      <c r="I18" s="69" t="s">
        <v>578</v>
      </c>
      <c r="J18" s="73"/>
      <c r="K18" s="2">
        <v>0.11</v>
      </c>
      <c r="L18" s="2">
        <v>0.2</v>
      </c>
      <c r="M18" s="2"/>
      <c r="N18" s="2"/>
      <c r="O18" s="2">
        <v>7.0000000000000007E-2</v>
      </c>
      <c r="P18" s="2"/>
      <c r="Q18" s="2"/>
      <c r="R18" s="2">
        <v>0.45</v>
      </c>
      <c r="S18" s="2"/>
      <c r="T18" s="2"/>
      <c r="U18" s="2"/>
      <c r="V18" s="2">
        <v>3.5000000000000003E-2</v>
      </c>
      <c r="W18" s="2">
        <f>1-SUM(K18:V18)</f>
        <v>0.1349999999999999</v>
      </c>
      <c r="X18">
        <f>SUM(K18:W18)</f>
        <v>1</v>
      </c>
      <c r="AA18" t="s">
        <v>999</v>
      </c>
      <c r="AC18">
        <v>0.11</v>
      </c>
      <c r="AD18">
        <v>0.2</v>
      </c>
      <c r="AG18">
        <v>7.0000000000000007E-2</v>
      </c>
      <c r="AJ18">
        <v>0.45</v>
      </c>
      <c r="AK18">
        <v>0.13</v>
      </c>
      <c r="AN18">
        <v>0.04</v>
      </c>
      <c r="AO18">
        <v>0</v>
      </c>
      <c r="AP18">
        <v>1</v>
      </c>
      <c r="AS18">
        <v>8</v>
      </c>
      <c r="AT18" s="151">
        <v>92278</v>
      </c>
      <c r="AU18" s="151" t="s">
        <v>1252</v>
      </c>
      <c r="AV18">
        <v>24</v>
      </c>
      <c r="AW18" s="151">
        <v>92264</v>
      </c>
      <c r="AX18" s="151">
        <v>92245</v>
      </c>
      <c r="AY18" s="151">
        <v>92251</v>
      </c>
      <c r="AZ18" s="151">
        <v>92141</v>
      </c>
      <c r="BA18" s="151">
        <v>92271</v>
      </c>
      <c r="BB18" s="151">
        <v>92122</v>
      </c>
      <c r="BC18" s="151">
        <v>92278</v>
      </c>
      <c r="BD18" s="151">
        <v>92233</v>
      </c>
      <c r="BE18" s="150">
        <v>92287</v>
      </c>
      <c r="BF18" s="150">
        <v>92283</v>
      </c>
    </row>
    <row r="19" spans="1:60">
      <c r="A19" s="89">
        <v>92283</v>
      </c>
      <c r="B19" s="89" t="s">
        <v>760</v>
      </c>
      <c r="C19" s="89">
        <f>[14]价值评估!R23</f>
        <v>50</v>
      </c>
      <c r="D19" s="156">
        <f>INT([14]价值评估!S23)</f>
        <v>713</v>
      </c>
      <c r="E19" s="89">
        <f>马仔装备价格评估!G19</f>
        <v>15</v>
      </c>
      <c r="I19" s="69" t="s">
        <v>579</v>
      </c>
      <c r="J19" s="73"/>
      <c r="K19" s="2">
        <v>0.16</v>
      </c>
      <c r="L19" s="2">
        <v>0.26</v>
      </c>
      <c r="M19" s="2"/>
      <c r="N19" s="2"/>
      <c r="O19" s="2">
        <v>0.06</v>
      </c>
      <c r="P19" s="2"/>
      <c r="Q19" s="2"/>
      <c r="R19" s="2">
        <v>0.26</v>
      </c>
      <c r="S19" s="2"/>
      <c r="T19" s="2">
        <v>0.16</v>
      </c>
      <c r="U19" s="2"/>
      <c r="V19" s="2">
        <v>3.5000000000000003E-2</v>
      </c>
      <c r="W19" s="2">
        <f>1-SUM(K19:V19)</f>
        <v>6.4999999999999947E-2</v>
      </c>
      <c r="X19">
        <f>SUM(K19:W19)</f>
        <v>1</v>
      </c>
      <c r="AA19" t="s">
        <v>1000</v>
      </c>
      <c r="AC19">
        <v>0.16</v>
      </c>
      <c r="AD19">
        <v>0.26</v>
      </c>
      <c r="AG19">
        <v>0.06</v>
      </c>
      <c r="AJ19">
        <v>0.26</v>
      </c>
      <c r="AK19">
        <v>0.08</v>
      </c>
      <c r="AL19">
        <v>0.16</v>
      </c>
      <c r="AN19">
        <v>0.02</v>
      </c>
      <c r="AO19">
        <v>0</v>
      </c>
      <c r="AP19">
        <v>1</v>
      </c>
      <c r="AS19">
        <v>9</v>
      </c>
      <c r="AT19" s="151">
        <v>92283</v>
      </c>
      <c r="AU19" s="151" t="s">
        <v>1232</v>
      </c>
      <c r="AV19">
        <v>25</v>
      </c>
      <c r="AW19" s="151">
        <v>92271</v>
      </c>
      <c r="AX19" s="151">
        <v>92278</v>
      </c>
      <c r="AY19" s="151">
        <v>92264</v>
      </c>
      <c r="AZ19" s="151">
        <v>92251</v>
      </c>
      <c r="BA19" s="151">
        <v>92141</v>
      </c>
      <c r="BB19" s="151">
        <v>92122</v>
      </c>
      <c r="BC19" s="151">
        <v>92233</v>
      </c>
      <c r="BD19" s="151">
        <v>92245</v>
      </c>
      <c r="BE19" s="150">
        <v>92283</v>
      </c>
      <c r="BF19" s="150">
        <v>92287</v>
      </c>
    </row>
    <row r="20" spans="1:60">
      <c r="A20" s="89">
        <v>92287</v>
      </c>
      <c r="B20" s="89" t="s">
        <v>761</v>
      </c>
      <c r="C20" s="89">
        <f>[14]价值评估!R24</f>
        <v>50</v>
      </c>
      <c r="D20" s="156">
        <f>INT([14]价值评估!S24)</f>
        <v>655</v>
      </c>
      <c r="E20" s="89">
        <f>马仔装备价格评估!G20</f>
        <v>15</v>
      </c>
      <c r="I20" s="69" t="s">
        <v>580</v>
      </c>
      <c r="J20" s="73"/>
      <c r="K20" s="2">
        <v>0.17</v>
      </c>
      <c r="L20" s="2">
        <v>0.27</v>
      </c>
      <c r="M20" s="2"/>
      <c r="N20" s="2"/>
      <c r="O20" s="2">
        <v>0.05</v>
      </c>
      <c r="P20" s="2"/>
      <c r="Q20" s="2"/>
      <c r="R20" s="2">
        <v>0.18</v>
      </c>
      <c r="S20" s="2"/>
      <c r="T20" s="2">
        <v>0.13</v>
      </c>
      <c r="U20" s="2"/>
      <c r="V20" s="2"/>
      <c r="W20" s="2">
        <f>1-SUM(K20:V20)</f>
        <v>0.19999999999999996</v>
      </c>
      <c r="X20">
        <f>SUM(K20:W20)</f>
        <v>1</v>
      </c>
      <c r="AA20" t="s">
        <v>1001</v>
      </c>
      <c r="AC20">
        <v>0.17</v>
      </c>
      <c r="AD20">
        <v>0.27</v>
      </c>
      <c r="AG20">
        <v>0.05</v>
      </c>
      <c r="AJ20">
        <v>0.18</v>
      </c>
      <c r="AL20">
        <v>0.13</v>
      </c>
      <c r="AO20">
        <v>0.2</v>
      </c>
      <c r="AP20">
        <v>1</v>
      </c>
      <c r="AS20">
        <v>10</v>
      </c>
      <c r="AT20" s="151">
        <v>92287</v>
      </c>
      <c r="AU20" s="151" t="s">
        <v>1233</v>
      </c>
      <c r="AV20">
        <v>25</v>
      </c>
      <c r="AW20" s="151">
        <v>92278</v>
      </c>
      <c r="AX20" s="151">
        <v>92264</v>
      </c>
      <c r="AY20" s="151">
        <v>92141</v>
      </c>
      <c r="AZ20" s="151">
        <v>92271</v>
      </c>
      <c r="BA20" s="151">
        <v>92251</v>
      </c>
      <c r="BB20" s="151">
        <v>92233</v>
      </c>
      <c r="BC20" s="151">
        <v>92245</v>
      </c>
      <c r="BD20" s="151">
        <v>92122</v>
      </c>
      <c r="BE20" s="150">
        <v>92287</v>
      </c>
      <c r="BF20" s="150">
        <v>92283</v>
      </c>
    </row>
    <row r="21" spans="1:60">
      <c r="A21" s="90">
        <v>92142</v>
      </c>
      <c r="B21" s="90" t="s">
        <v>749</v>
      </c>
      <c r="C21" s="90">
        <f>[14]价值评估!R25</f>
        <v>119.73766952966369</v>
      </c>
      <c r="D21" s="95">
        <f>INT([14]价值评估!S25)</f>
        <v>221</v>
      </c>
      <c r="E21" s="90">
        <f>马仔装备价格评估!G21</f>
        <v>48</v>
      </c>
      <c r="AS21">
        <v>1</v>
      </c>
      <c r="AT21" s="152">
        <v>92142</v>
      </c>
      <c r="AU21" s="152" t="s">
        <v>1221</v>
      </c>
      <c r="AV21">
        <v>36</v>
      </c>
      <c r="AW21" s="152">
        <v>92142</v>
      </c>
      <c r="AX21" s="152">
        <v>92235</v>
      </c>
      <c r="AY21" s="152">
        <v>92012</v>
      </c>
      <c r="AZ21" s="152">
        <v>92252</v>
      </c>
      <c r="BA21" s="152">
        <v>92124</v>
      </c>
      <c r="BB21" s="152">
        <v>92272</v>
      </c>
      <c r="BC21" s="152">
        <v>92273</v>
      </c>
      <c r="BD21" s="152">
        <v>92279</v>
      </c>
      <c r="BE21" s="158">
        <v>92284</v>
      </c>
      <c r="BF21" s="158">
        <v>92288</v>
      </c>
    </row>
    <row r="22" spans="1:60">
      <c r="A22" s="90">
        <v>92235</v>
      </c>
      <c r="B22" s="90" t="s">
        <v>780</v>
      </c>
      <c r="C22" s="90">
        <f>[14]价值评估!R26</f>
        <v>118.67766952966369</v>
      </c>
      <c r="D22" s="95">
        <f>INT([14]价值评估!S26)</f>
        <v>227</v>
      </c>
      <c r="E22" s="90">
        <f>马仔装备价格评估!G22</f>
        <v>48</v>
      </c>
      <c r="I22" s="70" t="s">
        <v>590</v>
      </c>
      <c r="J22" s="70"/>
      <c r="AA22" t="s">
        <v>1017</v>
      </c>
      <c r="AS22">
        <v>2</v>
      </c>
      <c r="AT22" s="152">
        <v>92235</v>
      </c>
      <c r="AU22" s="152" t="s">
        <v>1255</v>
      </c>
      <c r="AV22">
        <v>36</v>
      </c>
      <c r="AW22" s="152">
        <v>92012</v>
      </c>
      <c r="AX22" s="152">
        <v>92142</v>
      </c>
      <c r="AY22" s="152">
        <v>92235</v>
      </c>
      <c r="AZ22" s="152">
        <v>92124</v>
      </c>
      <c r="BA22" s="152">
        <v>92279</v>
      </c>
      <c r="BB22" s="152">
        <v>92272</v>
      </c>
      <c r="BC22" s="152">
        <v>92252</v>
      </c>
      <c r="BD22" s="152">
        <v>92273</v>
      </c>
      <c r="BE22" s="158">
        <v>92284</v>
      </c>
      <c r="BF22" s="158">
        <v>92288</v>
      </c>
    </row>
    <row r="23" spans="1:60">
      <c r="A23" s="90">
        <v>92012</v>
      </c>
      <c r="B23" s="90" t="s">
        <v>424</v>
      </c>
      <c r="C23" s="90">
        <f>[14]价值评估!R27</f>
        <v>120.17766952966369</v>
      </c>
      <c r="D23" s="95">
        <f>INT([14]价值评估!S27*$J$4)</f>
        <v>31</v>
      </c>
      <c r="E23" s="90">
        <f>马仔装备价格评估!G23</f>
        <v>49</v>
      </c>
      <c r="I23" s="73" t="s">
        <v>20</v>
      </c>
      <c r="J23" s="2" t="s">
        <v>631</v>
      </c>
      <c r="K23" s="2" t="s">
        <v>583</v>
      </c>
      <c r="L23" s="2" t="s">
        <v>584</v>
      </c>
      <c r="M23" s="2" t="s">
        <v>633</v>
      </c>
      <c r="N23" s="2" t="s">
        <v>632</v>
      </c>
      <c r="O23" s="2" t="s">
        <v>635</v>
      </c>
      <c r="P23" s="2" t="s">
        <v>634</v>
      </c>
      <c r="Q23" s="2" t="s">
        <v>597</v>
      </c>
      <c r="R23" s="2" t="s">
        <v>555</v>
      </c>
      <c r="S23" s="2" t="s">
        <v>556</v>
      </c>
      <c r="T23" s="2" t="s">
        <v>557</v>
      </c>
      <c r="U23" s="2" t="s">
        <v>558</v>
      </c>
      <c r="V23" s="2" t="s">
        <v>598</v>
      </c>
      <c r="W23" s="2" t="s">
        <v>562</v>
      </c>
      <c r="AA23" t="s">
        <v>986</v>
      </c>
      <c r="AB23" t="s">
        <v>1003</v>
      </c>
      <c r="AC23" t="s">
        <v>1004</v>
      </c>
      <c r="AD23" t="s">
        <v>1005</v>
      </c>
      <c r="AE23" t="s">
        <v>1006</v>
      </c>
      <c r="AF23" t="s">
        <v>1007</v>
      </c>
      <c r="AG23" t="s">
        <v>1008</v>
      </c>
      <c r="AH23" t="s">
        <v>1009</v>
      </c>
      <c r="AI23" t="s">
        <v>1010</v>
      </c>
      <c r="AJ23" t="s">
        <v>1011</v>
      </c>
      <c r="AK23" t="s">
        <v>1012</v>
      </c>
      <c r="AL23" t="s">
        <v>1013</v>
      </c>
      <c r="AM23" t="s">
        <v>1014</v>
      </c>
      <c r="AN23" t="s">
        <v>1015</v>
      </c>
      <c r="AO23" t="s">
        <v>1016</v>
      </c>
      <c r="AS23">
        <v>3</v>
      </c>
      <c r="AT23" s="152">
        <v>92012</v>
      </c>
      <c r="AU23" s="152" t="s">
        <v>424</v>
      </c>
      <c r="AV23">
        <v>37</v>
      </c>
      <c r="AW23" s="152">
        <v>92273</v>
      </c>
      <c r="AX23" s="152">
        <v>92235</v>
      </c>
      <c r="AY23" s="152">
        <v>92142</v>
      </c>
      <c r="AZ23" s="152">
        <v>92272</v>
      </c>
      <c r="BA23" s="152">
        <v>92124</v>
      </c>
      <c r="BB23" s="152">
        <v>92012</v>
      </c>
      <c r="BC23" s="152">
        <v>92279</v>
      </c>
      <c r="BD23" s="152">
        <v>92252</v>
      </c>
      <c r="BE23" s="158">
        <v>92284</v>
      </c>
      <c r="BF23" s="158">
        <v>92288</v>
      </c>
    </row>
    <row r="24" spans="1:60">
      <c r="A24" s="90">
        <v>92252</v>
      </c>
      <c r="B24" s="90" t="s">
        <v>752</v>
      </c>
      <c r="C24" s="90">
        <f>[14]价值评估!R28</f>
        <v>118.67766952966369</v>
      </c>
      <c r="D24" s="95">
        <f>INT([14]价值评估!S28*$J$4)</f>
        <v>92</v>
      </c>
      <c r="E24" s="90">
        <f>马仔装备价格评估!G24</f>
        <v>48</v>
      </c>
      <c r="I24" s="69" t="s">
        <v>576</v>
      </c>
      <c r="J24" s="73"/>
      <c r="K24" s="2">
        <f t="shared" ref="K24:P24" si="0">$R7*K16</f>
        <v>14.356268785847824</v>
      </c>
      <c r="L24" s="2">
        <f t="shared" si="0"/>
        <v>10.767201589385866</v>
      </c>
      <c r="M24" s="2">
        <f t="shared" si="0"/>
        <v>1.794533598230978</v>
      </c>
      <c r="N24" s="2">
        <f t="shared" si="0"/>
        <v>0.17945335982309779</v>
      </c>
      <c r="O24" s="2">
        <f t="shared" si="0"/>
        <v>0</v>
      </c>
      <c r="P24" s="2">
        <f t="shared" si="0"/>
        <v>0</v>
      </c>
      <c r="Q24" s="2">
        <f t="shared" ref="Q24:W24" si="1">$R7*Q16</f>
        <v>3.9479739161081513</v>
      </c>
      <c r="R24" s="2">
        <f t="shared" si="1"/>
        <v>0</v>
      </c>
      <c r="S24" s="2">
        <f t="shared" si="1"/>
        <v>0</v>
      </c>
      <c r="T24" s="2">
        <f t="shared" si="1"/>
        <v>0</v>
      </c>
      <c r="U24" s="2">
        <f t="shared" si="1"/>
        <v>0</v>
      </c>
      <c r="V24" s="2">
        <f t="shared" si="1"/>
        <v>1.794533598230978</v>
      </c>
      <c r="W24" s="2">
        <f t="shared" si="1"/>
        <v>3.0507071169926609</v>
      </c>
      <c r="X24" s="72">
        <f>R7</f>
        <v>35.890671964619557</v>
      </c>
      <c r="Y24" s="17"/>
      <c r="AA24" t="s">
        <v>997</v>
      </c>
      <c r="AC24">
        <v>10.446351440000001</v>
      </c>
      <c r="AD24">
        <v>10.446351440000001</v>
      </c>
      <c r="AE24">
        <v>1.7410585730000001</v>
      </c>
      <c r="AF24">
        <v>0.174105857</v>
      </c>
      <c r="AG24">
        <v>0</v>
      </c>
      <c r="AH24">
        <v>0</v>
      </c>
      <c r="AI24">
        <v>3.8303288599999998</v>
      </c>
      <c r="AJ24">
        <v>0</v>
      </c>
      <c r="AK24">
        <v>0</v>
      </c>
      <c r="AL24">
        <v>0</v>
      </c>
      <c r="AM24">
        <v>0</v>
      </c>
      <c r="AN24">
        <v>3.1339054310000001</v>
      </c>
      <c r="AO24">
        <v>5.0490698610000004</v>
      </c>
      <c r="AP24">
        <v>34.821171450000001</v>
      </c>
      <c r="AS24">
        <v>4</v>
      </c>
      <c r="AT24" s="152">
        <v>92252</v>
      </c>
      <c r="AU24" s="152" t="s">
        <v>1224</v>
      </c>
      <c r="AV24">
        <v>37</v>
      </c>
      <c r="AW24" s="152">
        <v>92235</v>
      </c>
      <c r="AX24" s="152">
        <v>92273</v>
      </c>
      <c r="AY24" s="152">
        <v>92272</v>
      </c>
      <c r="AZ24" s="152">
        <v>92142</v>
      </c>
      <c r="BA24" s="152">
        <v>92279</v>
      </c>
      <c r="BB24" s="152">
        <v>92252</v>
      </c>
      <c r="BC24" s="152">
        <v>92012</v>
      </c>
      <c r="BD24" s="152">
        <v>92124</v>
      </c>
      <c r="BE24" s="158">
        <v>92284</v>
      </c>
      <c r="BF24" s="158">
        <v>92288</v>
      </c>
    </row>
    <row r="25" spans="1:60">
      <c r="A25" s="90">
        <v>92124</v>
      </c>
      <c r="B25" s="90" t="s">
        <v>744</v>
      </c>
      <c r="C25" s="90">
        <f>[14]价值评估!R29</f>
        <v>120.17766952966369</v>
      </c>
      <c r="D25" s="95">
        <f>INT([14]价值评估!S29*$J$4)</f>
        <v>70</v>
      </c>
      <c r="E25" s="90">
        <f>马仔装备价格评估!G25</f>
        <v>49</v>
      </c>
      <c r="I25" s="69" t="s">
        <v>577</v>
      </c>
      <c r="J25" s="73"/>
      <c r="K25" s="2">
        <f>$R8*K17</f>
        <v>5.6055305898842525</v>
      </c>
      <c r="L25" s="2">
        <f>$R8*L17*$S8/$J8</f>
        <v>7.3993003786472133</v>
      </c>
      <c r="M25" s="2">
        <f t="shared" ref="M25:W25" si="2">$R8*M17*$S8/$J8</f>
        <v>1.2332167297745356</v>
      </c>
      <c r="N25" s="2">
        <f t="shared" si="2"/>
        <v>0</v>
      </c>
      <c r="O25" s="2">
        <f t="shared" si="2"/>
        <v>0.12332167297745356</v>
      </c>
      <c r="P25" s="2">
        <f t="shared" si="2"/>
        <v>0</v>
      </c>
      <c r="Q25" s="2">
        <f t="shared" si="2"/>
        <v>2.4664334595490711</v>
      </c>
      <c r="R25" s="2">
        <f t="shared" si="2"/>
        <v>4.562901900165782</v>
      </c>
      <c r="S25" s="2">
        <f t="shared" si="2"/>
        <v>0</v>
      </c>
      <c r="T25" s="2">
        <f t="shared" si="2"/>
        <v>0</v>
      </c>
      <c r="U25" s="2">
        <f t="shared" si="2"/>
        <v>0</v>
      </c>
      <c r="V25" s="2">
        <f t="shared" si="2"/>
        <v>1.4798600757294424</v>
      </c>
      <c r="W25" s="2">
        <f t="shared" si="2"/>
        <v>1.2332167297745311</v>
      </c>
      <c r="X25" s="72">
        <f>R8</f>
        <v>22.42212235953701</v>
      </c>
      <c r="Y25" s="17"/>
      <c r="AA25" t="s">
        <v>998</v>
      </c>
      <c r="AC25">
        <v>8.5224190770000003</v>
      </c>
      <c r="AD25">
        <v>10.22690289</v>
      </c>
      <c r="AE25">
        <v>1.7044838149999999</v>
      </c>
      <c r="AF25">
        <v>0</v>
      </c>
      <c r="AG25">
        <v>0.17044838200000001</v>
      </c>
      <c r="AH25">
        <v>0</v>
      </c>
      <c r="AI25">
        <v>3.4089676309999999</v>
      </c>
      <c r="AJ25">
        <v>6.3065901169999998</v>
      </c>
      <c r="AK25">
        <v>0</v>
      </c>
      <c r="AL25">
        <v>0</v>
      </c>
      <c r="AM25">
        <v>0</v>
      </c>
      <c r="AN25">
        <v>3.7498643939999998</v>
      </c>
      <c r="AO25">
        <v>0</v>
      </c>
      <c r="AP25">
        <v>34.089676310000002</v>
      </c>
      <c r="AS25">
        <v>5</v>
      </c>
      <c r="AT25" s="152">
        <v>92124</v>
      </c>
      <c r="AU25" s="152" t="s">
        <v>1216</v>
      </c>
      <c r="AV25">
        <v>38</v>
      </c>
      <c r="AW25" s="152">
        <v>92272</v>
      </c>
      <c r="AX25" s="152">
        <v>92252</v>
      </c>
      <c r="AY25" s="152">
        <v>92279</v>
      </c>
      <c r="AZ25" s="152">
        <v>92235</v>
      </c>
      <c r="BA25" s="152">
        <v>92142</v>
      </c>
      <c r="BB25" s="152">
        <v>92012</v>
      </c>
      <c r="BC25" s="152">
        <v>92124</v>
      </c>
      <c r="BD25" s="152">
        <v>92273</v>
      </c>
      <c r="BE25" s="158">
        <v>92284</v>
      </c>
      <c r="BF25" s="158">
        <v>92288</v>
      </c>
    </row>
    <row r="26" spans="1:60">
      <c r="A26" s="90">
        <v>92272</v>
      </c>
      <c r="B26" s="90" t="s">
        <v>751</v>
      </c>
      <c r="C26" s="90">
        <f>[14]价值评估!R30</f>
        <v>120.17766952966369</v>
      </c>
      <c r="D26" s="95">
        <f>INT([14]价值评估!S30*$J$4)</f>
        <v>27</v>
      </c>
      <c r="E26" s="90">
        <f>马仔装备价格评估!G26</f>
        <v>49</v>
      </c>
      <c r="I26" s="69" t="s">
        <v>578</v>
      </c>
      <c r="J26" s="73"/>
      <c r="K26" s="2">
        <f>$R9*K18</f>
        <v>2.7382111434671961</v>
      </c>
      <c r="L26" s="2">
        <f t="shared" ref="L26:W28" si="3">$R9*L18*$S9/$J9</f>
        <v>4.9785657153949021</v>
      </c>
      <c r="M26" s="2">
        <f t="shared" si="3"/>
        <v>0</v>
      </c>
      <c r="N26" s="2">
        <f t="shared" si="3"/>
        <v>0</v>
      </c>
      <c r="O26" s="2">
        <f t="shared" si="3"/>
        <v>1.7424980003882158</v>
      </c>
      <c r="P26" s="2">
        <f t="shared" si="3"/>
        <v>0</v>
      </c>
      <c r="Q26" s="2">
        <f t="shared" si="3"/>
        <v>0</v>
      </c>
      <c r="R26" s="2">
        <f t="shared" si="3"/>
        <v>11.201772859638529</v>
      </c>
      <c r="S26" s="2">
        <f t="shared" si="3"/>
        <v>0</v>
      </c>
      <c r="T26" s="2">
        <f t="shared" si="3"/>
        <v>0</v>
      </c>
      <c r="U26" s="2">
        <f t="shared" si="3"/>
        <v>0</v>
      </c>
      <c r="V26" s="2">
        <f t="shared" si="3"/>
        <v>0.87124900019410789</v>
      </c>
      <c r="W26" s="2">
        <f t="shared" si="3"/>
        <v>3.360531857891556</v>
      </c>
      <c r="X26" s="72">
        <f>R9</f>
        <v>24.892828576974509</v>
      </c>
      <c r="Y26" s="17"/>
      <c r="AA26" t="s">
        <v>999</v>
      </c>
      <c r="AC26">
        <v>6.0476483300000003</v>
      </c>
      <c r="AD26">
        <v>10.995724239999999</v>
      </c>
      <c r="AE26">
        <v>0</v>
      </c>
      <c r="AF26">
        <v>0</v>
      </c>
      <c r="AG26">
        <v>3.848503483</v>
      </c>
      <c r="AH26">
        <v>0</v>
      </c>
      <c r="AI26">
        <v>0</v>
      </c>
      <c r="AJ26">
        <v>24.740379529999998</v>
      </c>
      <c r="AK26">
        <v>7.1472207540000001</v>
      </c>
      <c r="AL26">
        <v>0</v>
      </c>
      <c r="AM26">
        <v>0</v>
      </c>
      <c r="AN26">
        <v>2.1991448469999999</v>
      </c>
      <c r="AO26">
        <v>0</v>
      </c>
      <c r="AP26">
        <v>54.978621179999998</v>
      </c>
      <c r="AS26">
        <v>6</v>
      </c>
      <c r="AT26" s="152">
        <v>92272</v>
      </c>
      <c r="AU26" s="152" t="s">
        <v>1223</v>
      </c>
      <c r="AV26">
        <v>38</v>
      </c>
      <c r="AW26" s="152">
        <v>92252</v>
      </c>
      <c r="AX26" s="152">
        <v>92124</v>
      </c>
      <c r="AY26" s="152">
        <v>92279</v>
      </c>
      <c r="AZ26" s="152">
        <v>92012</v>
      </c>
      <c r="BA26" s="152">
        <v>92235</v>
      </c>
      <c r="BB26" s="152">
        <v>92142</v>
      </c>
      <c r="BC26" s="152">
        <v>92273</v>
      </c>
      <c r="BD26" s="152">
        <v>92272</v>
      </c>
      <c r="BE26" s="158">
        <v>92288</v>
      </c>
      <c r="BF26" s="158">
        <v>92284</v>
      </c>
    </row>
    <row r="27" spans="1:60">
      <c r="A27" s="90">
        <v>92273</v>
      </c>
      <c r="B27" s="90" t="s">
        <v>776</v>
      </c>
      <c r="C27" s="90">
        <f>[14]价值评估!R31</f>
        <v>135.35533905932738</v>
      </c>
      <c r="D27" s="95">
        <f>INT([14]价值评估!S31*$J$4)</f>
        <v>25</v>
      </c>
      <c r="E27" s="90">
        <f>马仔装备价格评估!G27</f>
        <v>55</v>
      </c>
      <c r="I27" s="69" t="s">
        <v>579</v>
      </c>
      <c r="J27" s="73"/>
      <c r="K27" s="2">
        <f>$R10*K19</f>
        <v>3.4471836681951529</v>
      </c>
      <c r="L27" s="2">
        <f t="shared" si="3"/>
        <v>11.203346921634244</v>
      </c>
      <c r="M27" s="2">
        <f t="shared" si="3"/>
        <v>0</v>
      </c>
      <c r="N27" s="2">
        <f t="shared" si="3"/>
        <v>0</v>
      </c>
      <c r="O27" s="2">
        <f t="shared" si="3"/>
        <v>2.5853877511463645</v>
      </c>
      <c r="P27" s="2">
        <f t="shared" si="3"/>
        <v>0</v>
      </c>
      <c r="Q27" s="2">
        <f t="shared" si="3"/>
        <v>0</v>
      </c>
      <c r="R27" s="2">
        <f t="shared" si="3"/>
        <v>11.203346921634244</v>
      </c>
      <c r="S27" s="2">
        <f t="shared" si="3"/>
        <v>0</v>
      </c>
      <c r="T27" s="2">
        <f t="shared" si="3"/>
        <v>6.8943673363903057</v>
      </c>
      <c r="U27" s="2">
        <f t="shared" si="3"/>
        <v>0</v>
      </c>
      <c r="V27" s="2">
        <f t="shared" si="3"/>
        <v>1.5081428548353795</v>
      </c>
      <c r="W27" s="2">
        <f t="shared" si="3"/>
        <v>2.8008367304085593</v>
      </c>
      <c r="X27" s="72">
        <f>R10</f>
        <v>21.544897926219704</v>
      </c>
      <c r="Y27" s="17"/>
      <c r="AA27" t="s">
        <v>1000</v>
      </c>
      <c r="AC27">
        <v>6.2142940050000002</v>
      </c>
      <c r="AD27">
        <v>10.09822776</v>
      </c>
      <c r="AE27">
        <v>0</v>
      </c>
      <c r="AF27">
        <v>0</v>
      </c>
      <c r="AG27">
        <v>2.3303602520000002</v>
      </c>
      <c r="AH27">
        <v>0</v>
      </c>
      <c r="AI27">
        <v>0</v>
      </c>
      <c r="AJ27">
        <v>10.09822776</v>
      </c>
      <c r="AK27">
        <v>3.107147002</v>
      </c>
      <c r="AL27">
        <v>6.2142940050000002</v>
      </c>
      <c r="AM27">
        <v>0</v>
      </c>
      <c r="AN27">
        <v>0.77678675100000005</v>
      </c>
      <c r="AO27">
        <v>0</v>
      </c>
      <c r="AP27">
        <v>38.839337530000002</v>
      </c>
      <c r="AS27">
        <v>7</v>
      </c>
      <c r="AT27" s="152">
        <v>92273</v>
      </c>
      <c r="AU27" s="152" t="s">
        <v>1251</v>
      </c>
      <c r="AV27">
        <v>39</v>
      </c>
      <c r="AW27" s="152">
        <v>92124</v>
      </c>
      <c r="AX27" s="152">
        <v>92279</v>
      </c>
      <c r="AY27" s="152">
        <v>92012</v>
      </c>
      <c r="AZ27" s="152">
        <v>92252</v>
      </c>
      <c r="BA27" s="152">
        <v>92273</v>
      </c>
      <c r="BB27" s="152">
        <v>92272</v>
      </c>
      <c r="BC27" s="152">
        <v>92142</v>
      </c>
      <c r="BD27" s="152">
        <v>92235</v>
      </c>
      <c r="BE27" s="158">
        <v>92288</v>
      </c>
      <c r="BF27" s="158">
        <v>92284</v>
      </c>
    </row>
    <row r="28" spans="1:60">
      <c r="A28" s="90">
        <v>92279</v>
      </c>
      <c r="B28" s="90" t="s">
        <v>775</v>
      </c>
      <c r="C28" s="90">
        <f>[14]价值评估!R32</f>
        <v>118.67766952966369</v>
      </c>
      <c r="D28" s="95">
        <f>INT([14]价值评估!S32*$J$4)</f>
        <v>29</v>
      </c>
      <c r="E28" s="90">
        <f>马仔装备价格评估!G28</f>
        <v>48</v>
      </c>
      <c r="I28" s="69" t="s">
        <v>580</v>
      </c>
      <c r="J28" s="73"/>
      <c r="K28" s="2">
        <f>$R11*K20</f>
        <v>3.127945095843534</v>
      </c>
      <c r="L28" s="2">
        <f t="shared" si="3"/>
        <v>21.858816316835988</v>
      </c>
      <c r="M28" s="2">
        <f t="shared" si="3"/>
        <v>0</v>
      </c>
      <c r="N28" s="2">
        <f t="shared" si="3"/>
        <v>0</v>
      </c>
      <c r="O28" s="2">
        <f t="shared" si="3"/>
        <v>4.0479289475622204</v>
      </c>
      <c r="P28" s="2">
        <f t="shared" si="3"/>
        <v>0</v>
      </c>
      <c r="Q28" s="2">
        <f t="shared" si="3"/>
        <v>0</v>
      </c>
      <c r="R28" s="2">
        <f t="shared" si="3"/>
        <v>14.57254421122399</v>
      </c>
      <c r="S28" s="2">
        <f t="shared" si="3"/>
        <v>0</v>
      </c>
      <c r="T28" s="2">
        <f t="shared" si="3"/>
        <v>10.524615263661774</v>
      </c>
      <c r="U28" s="2">
        <f t="shared" si="3"/>
        <v>0</v>
      </c>
      <c r="V28" s="2">
        <f t="shared" si="3"/>
        <v>0</v>
      </c>
      <c r="W28" s="2">
        <f t="shared" si="3"/>
        <v>16.191715790248875</v>
      </c>
      <c r="X28" s="72">
        <f>R11</f>
        <v>18.399677034373727</v>
      </c>
      <c r="Y28" s="17"/>
      <c r="AA28" t="s">
        <v>1001</v>
      </c>
      <c r="AC28">
        <v>6.3328469969999999</v>
      </c>
      <c r="AD28">
        <v>10.058051109999999</v>
      </c>
      <c r="AE28">
        <v>0</v>
      </c>
      <c r="AF28">
        <v>0</v>
      </c>
      <c r="AG28">
        <v>1.862602058</v>
      </c>
      <c r="AH28">
        <v>0</v>
      </c>
      <c r="AI28">
        <v>0</v>
      </c>
      <c r="AJ28">
        <v>6.7053674079999999</v>
      </c>
      <c r="AK28">
        <v>0</v>
      </c>
      <c r="AL28">
        <v>4.8427653499999996</v>
      </c>
      <c r="AM28">
        <v>0</v>
      </c>
      <c r="AN28">
        <v>0</v>
      </c>
      <c r="AO28">
        <v>7.4504082309999999</v>
      </c>
      <c r="AP28">
        <v>37.252041159999997</v>
      </c>
      <c r="AS28">
        <v>8</v>
      </c>
      <c r="AT28" s="152">
        <v>92279</v>
      </c>
      <c r="AU28" s="152" t="s">
        <v>1250</v>
      </c>
      <c r="AV28">
        <v>39</v>
      </c>
      <c r="AW28" s="152">
        <v>92273</v>
      </c>
      <c r="AX28" s="152">
        <v>92012</v>
      </c>
      <c r="AY28" s="152">
        <v>92272</v>
      </c>
      <c r="AZ28" s="152">
        <v>92124</v>
      </c>
      <c r="BA28" s="152">
        <v>92252</v>
      </c>
      <c r="BB28" s="152">
        <v>92279</v>
      </c>
      <c r="BC28" s="152">
        <v>92235</v>
      </c>
      <c r="BD28" s="152">
        <v>92142</v>
      </c>
      <c r="BE28" s="158">
        <v>92288</v>
      </c>
      <c r="BF28" s="158">
        <v>92284</v>
      </c>
    </row>
    <row r="29" spans="1:60">
      <c r="A29" s="90">
        <v>92284</v>
      </c>
      <c r="B29" s="90" t="s">
        <v>762</v>
      </c>
      <c r="C29" s="90">
        <f>[14]价值评估!R33</f>
        <v>119.73766952966369</v>
      </c>
      <c r="D29" s="95">
        <f>INT([14]价值评估!S33*$J$4)</f>
        <v>206</v>
      </c>
      <c r="E29" s="90">
        <f>马仔装备价格评估!G29</f>
        <v>48</v>
      </c>
      <c r="AS29">
        <v>9</v>
      </c>
      <c r="AT29" s="152">
        <v>92284</v>
      </c>
      <c r="AU29" s="152" t="s">
        <v>1234</v>
      </c>
      <c r="AV29">
        <v>40</v>
      </c>
      <c r="AW29" s="152">
        <v>92012</v>
      </c>
      <c r="AX29" s="152">
        <v>92124</v>
      </c>
      <c r="AY29" s="152">
        <v>92273</v>
      </c>
      <c r="AZ29" s="152">
        <v>92272</v>
      </c>
      <c r="BA29" s="152">
        <v>92279</v>
      </c>
      <c r="BB29" s="152">
        <v>92235</v>
      </c>
      <c r="BC29" s="152">
        <v>92142</v>
      </c>
      <c r="BD29" s="152">
        <v>92252</v>
      </c>
      <c r="BE29" s="158">
        <v>92288</v>
      </c>
      <c r="BF29" s="158">
        <v>92284</v>
      </c>
    </row>
    <row r="30" spans="1:60">
      <c r="A30" s="90">
        <v>92288</v>
      </c>
      <c r="B30" s="90" t="s">
        <v>772</v>
      </c>
      <c r="C30" s="90">
        <f>[14]价值评估!R34</f>
        <v>119.73766952966369</v>
      </c>
      <c r="D30" s="95">
        <f>INT([14]价值评估!S34*$J$4)</f>
        <v>188</v>
      </c>
      <c r="E30" s="90">
        <f>马仔装备价格评估!G30</f>
        <v>48</v>
      </c>
      <c r="I30" s="70" t="s">
        <v>591</v>
      </c>
      <c r="J30" s="70"/>
      <c r="AA30" t="s">
        <v>1018</v>
      </c>
      <c r="AS30">
        <v>10</v>
      </c>
      <c r="AT30" s="152">
        <v>92288</v>
      </c>
      <c r="AU30" s="152" t="s">
        <v>1247</v>
      </c>
      <c r="AV30">
        <v>40</v>
      </c>
      <c r="AW30" s="152">
        <v>92124</v>
      </c>
      <c r="AX30" s="152">
        <v>92272</v>
      </c>
      <c r="AY30" s="152">
        <v>92012</v>
      </c>
      <c r="AZ30" s="152">
        <v>92273</v>
      </c>
      <c r="BA30" s="152">
        <v>92235</v>
      </c>
      <c r="BB30" s="152">
        <v>92142</v>
      </c>
      <c r="BC30" s="152">
        <v>92252</v>
      </c>
      <c r="BD30" s="152">
        <v>92279</v>
      </c>
      <c r="BE30" s="158">
        <v>92288</v>
      </c>
      <c r="BF30" s="158">
        <v>92284</v>
      </c>
    </row>
    <row r="31" spans="1:60">
      <c r="A31" s="91">
        <v>92125</v>
      </c>
      <c r="B31" s="91" t="s">
        <v>769</v>
      </c>
      <c r="C31" s="91">
        <f>[14]价值评估!R35</f>
        <v>348.73922253581054</v>
      </c>
      <c r="D31" s="96">
        <f>INT([14]价值评估!S35*$J$4)</f>
        <v>31</v>
      </c>
      <c r="E31" s="91">
        <f>马仔装备价格评估!G31</f>
        <v>140</v>
      </c>
      <c r="I31" s="73" t="s">
        <v>20</v>
      </c>
      <c r="J31" s="2" t="s">
        <v>631</v>
      </c>
      <c r="K31" s="2" t="s">
        <v>583</v>
      </c>
      <c r="L31" s="2" t="s">
        <v>584</v>
      </c>
      <c r="M31" s="2" t="s">
        <v>633</v>
      </c>
      <c r="N31" s="2" t="s">
        <v>632</v>
      </c>
      <c r="O31" s="2" t="s">
        <v>635</v>
      </c>
      <c r="P31" s="2" t="s">
        <v>634</v>
      </c>
      <c r="Q31" s="2" t="s">
        <v>597</v>
      </c>
      <c r="R31" s="2" t="s">
        <v>555</v>
      </c>
      <c r="S31" s="2" t="s">
        <v>556</v>
      </c>
      <c r="T31" s="2" t="s">
        <v>557</v>
      </c>
      <c r="U31" s="2" t="s">
        <v>558</v>
      </c>
      <c r="V31" s="2" t="s">
        <v>598</v>
      </c>
      <c r="W31" s="2" t="s">
        <v>562</v>
      </c>
      <c r="AA31" t="s">
        <v>986</v>
      </c>
      <c r="AB31" t="s">
        <v>1003</v>
      </c>
      <c r="AC31" t="s">
        <v>1004</v>
      </c>
      <c r="AD31" t="s">
        <v>1005</v>
      </c>
      <c r="AE31" t="s">
        <v>1006</v>
      </c>
      <c r="AF31" t="s">
        <v>1007</v>
      </c>
      <c r="AG31" t="s">
        <v>1008</v>
      </c>
      <c r="AH31" t="s">
        <v>1009</v>
      </c>
      <c r="AI31" t="s">
        <v>1010</v>
      </c>
      <c r="AJ31" t="s">
        <v>1011</v>
      </c>
      <c r="AK31" t="s">
        <v>1012</v>
      </c>
      <c r="AL31" t="s">
        <v>1013</v>
      </c>
      <c r="AM31" t="s">
        <v>1014</v>
      </c>
      <c r="AN31" t="s">
        <v>1015</v>
      </c>
      <c r="AO31" t="s">
        <v>1016</v>
      </c>
      <c r="AS31" s="91">
        <v>1</v>
      </c>
      <c r="AT31" s="154">
        <v>92125</v>
      </c>
      <c r="AU31" s="154" t="s">
        <v>1243</v>
      </c>
      <c r="AV31">
        <v>45</v>
      </c>
      <c r="AW31" s="154">
        <v>92125</v>
      </c>
      <c r="AX31" s="154">
        <v>92134</v>
      </c>
      <c r="AY31" s="154">
        <v>92223</v>
      </c>
      <c r="AZ31" s="154">
        <v>92227</v>
      </c>
      <c r="BA31" s="154">
        <v>92236</v>
      </c>
      <c r="BB31" s="154">
        <v>92013</v>
      </c>
      <c r="BC31" s="154">
        <v>92253</v>
      </c>
      <c r="BD31" s="154">
        <v>92254</v>
      </c>
      <c r="BE31" s="154">
        <v>92274</v>
      </c>
      <c r="BF31" s="154">
        <v>92280</v>
      </c>
      <c r="BG31" s="153">
        <v>92285</v>
      </c>
      <c r="BH31" s="153">
        <v>92289</v>
      </c>
    </row>
    <row r="32" spans="1:60">
      <c r="A32" s="91">
        <v>92134</v>
      </c>
      <c r="B32" s="91" t="s">
        <v>736</v>
      </c>
      <c r="C32" s="91">
        <f>[14]价值评估!R36</f>
        <v>348.73922253581054</v>
      </c>
      <c r="D32" s="96">
        <f>INT([14]价值评估!S36*$J$4)</f>
        <v>32</v>
      </c>
      <c r="E32" s="91">
        <f>马仔装备价格评估!G32</f>
        <v>140</v>
      </c>
      <c r="I32" s="69" t="s">
        <v>576</v>
      </c>
      <c r="J32" s="73"/>
      <c r="K32" s="3">
        <v>10</v>
      </c>
      <c r="L32" s="3">
        <v>10</v>
      </c>
      <c r="M32" s="3">
        <v>5</v>
      </c>
      <c r="N32" s="3">
        <v>0.5</v>
      </c>
      <c r="O32" s="3">
        <v>1</v>
      </c>
      <c r="P32" s="3"/>
      <c r="Q32" s="3">
        <v>2</v>
      </c>
      <c r="R32" s="3">
        <v>2</v>
      </c>
      <c r="S32" s="3">
        <v>1</v>
      </c>
      <c r="T32" s="3">
        <v>1</v>
      </c>
      <c r="U32" s="3">
        <v>1</v>
      </c>
      <c r="V32" s="3">
        <v>1</v>
      </c>
      <c r="W32" s="3"/>
      <c r="AA32" t="s">
        <v>997</v>
      </c>
      <c r="AC32">
        <v>10</v>
      </c>
      <c r="AD32">
        <v>10</v>
      </c>
      <c r="AE32">
        <v>5</v>
      </c>
      <c r="AF32">
        <v>0.5</v>
      </c>
      <c r="AG32">
        <v>1</v>
      </c>
      <c r="AI32">
        <v>2</v>
      </c>
      <c r="AJ32">
        <v>2</v>
      </c>
      <c r="AK32">
        <v>1</v>
      </c>
      <c r="AL32">
        <v>1</v>
      </c>
      <c r="AM32">
        <v>1</v>
      </c>
      <c r="AN32">
        <v>1</v>
      </c>
      <c r="AS32" s="91">
        <v>2</v>
      </c>
      <c r="AT32" s="154">
        <v>92134</v>
      </c>
      <c r="AU32" s="154" t="s">
        <v>1208</v>
      </c>
      <c r="AV32">
        <v>45</v>
      </c>
      <c r="AW32" s="154">
        <v>92134</v>
      </c>
      <c r="AX32" s="154">
        <v>92125</v>
      </c>
      <c r="AY32" s="154">
        <v>92280</v>
      </c>
      <c r="AZ32" s="154">
        <v>92223</v>
      </c>
      <c r="BA32" s="154">
        <v>92227</v>
      </c>
      <c r="BB32" s="154">
        <v>92274</v>
      </c>
      <c r="BC32" s="154">
        <v>92013</v>
      </c>
      <c r="BD32" s="154">
        <v>92253</v>
      </c>
      <c r="BE32" s="154">
        <v>92254</v>
      </c>
      <c r="BF32" s="154">
        <v>92236</v>
      </c>
      <c r="BG32" s="153">
        <v>92285</v>
      </c>
      <c r="BH32" s="153">
        <v>92289</v>
      </c>
    </row>
    <row r="33" spans="1:60">
      <c r="A33" s="91">
        <v>92223</v>
      </c>
      <c r="B33" s="91" t="s">
        <v>426</v>
      </c>
      <c r="C33" s="91">
        <f>[14]价值评估!R37</f>
        <v>348.58365904394952</v>
      </c>
      <c r="D33" s="96">
        <f>INT([14]价值评估!S37*$J$4)</f>
        <v>39</v>
      </c>
      <c r="E33" s="91">
        <f>马仔装备价格评估!G33</f>
        <v>140</v>
      </c>
      <c r="I33" s="69" t="s">
        <v>577</v>
      </c>
      <c r="J33" s="73"/>
      <c r="K33" s="3">
        <v>8</v>
      </c>
      <c r="L33" s="3">
        <v>10</v>
      </c>
      <c r="M33" s="3">
        <v>5</v>
      </c>
      <c r="N33" s="3"/>
      <c r="O33" s="3">
        <v>1</v>
      </c>
      <c r="P33" s="3"/>
      <c r="Q33" s="3">
        <v>2</v>
      </c>
      <c r="R33" s="3">
        <v>3</v>
      </c>
      <c r="S33" s="3">
        <v>1</v>
      </c>
      <c r="T33" s="3">
        <v>1</v>
      </c>
      <c r="U33" s="3">
        <v>1</v>
      </c>
      <c r="V33" s="3">
        <v>1</v>
      </c>
      <c r="W33" s="3"/>
      <c r="AA33" t="s">
        <v>998</v>
      </c>
      <c r="AC33">
        <v>8</v>
      </c>
      <c r="AD33">
        <v>10</v>
      </c>
      <c r="AE33">
        <v>5</v>
      </c>
      <c r="AG33">
        <v>1</v>
      </c>
      <c r="AI33">
        <v>2</v>
      </c>
      <c r="AJ33">
        <v>3</v>
      </c>
      <c r="AK33">
        <v>1</v>
      </c>
      <c r="AL33">
        <v>1</v>
      </c>
      <c r="AM33">
        <v>1</v>
      </c>
      <c r="AN33">
        <v>1</v>
      </c>
      <c r="AS33" s="91">
        <v>3</v>
      </c>
      <c r="AT33" s="154">
        <v>92223</v>
      </c>
      <c r="AU33" s="154" t="s">
        <v>1239</v>
      </c>
      <c r="AV33">
        <v>46</v>
      </c>
      <c r="AW33" s="154">
        <v>92274</v>
      </c>
      <c r="AX33" s="154">
        <v>92280</v>
      </c>
      <c r="AY33" s="154">
        <v>92125</v>
      </c>
      <c r="AZ33" s="154">
        <v>92227</v>
      </c>
      <c r="BA33" s="154">
        <v>92134</v>
      </c>
      <c r="BB33" s="154">
        <v>92223</v>
      </c>
      <c r="BC33" s="154">
        <v>92253</v>
      </c>
      <c r="BD33" s="154">
        <v>92013</v>
      </c>
      <c r="BE33" s="154">
        <v>92236</v>
      </c>
      <c r="BF33" s="154">
        <v>92254</v>
      </c>
      <c r="BG33" s="153">
        <v>92285</v>
      </c>
      <c r="BH33" s="153">
        <v>92289</v>
      </c>
    </row>
    <row r="34" spans="1:60">
      <c r="A34" s="91">
        <v>92227</v>
      </c>
      <c r="B34" s="91" t="s">
        <v>759</v>
      </c>
      <c r="C34" s="91">
        <f>[14]价值评估!R38</f>
        <v>348.20889244992065</v>
      </c>
      <c r="D34" s="96">
        <f>INT([14]价值评估!S38*$J$4)</f>
        <v>42</v>
      </c>
      <c r="E34" s="91">
        <f>马仔装备价格评估!G34</f>
        <v>140</v>
      </c>
      <c r="I34" s="69" t="s">
        <v>578</v>
      </c>
      <c r="J34" s="73"/>
      <c r="K34" s="3">
        <v>6</v>
      </c>
      <c r="L34" s="3">
        <v>10</v>
      </c>
      <c r="M34" s="3">
        <v>10</v>
      </c>
      <c r="N34" s="3"/>
      <c r="O34" s="3">
        <v>2</v>
      </c>
      <c r="P34" s="3"/>
      <c r="Q34" s="3">
        <v>3</v>
      </c>
      <c r="R34" s="3">
        <v>4</v>
      </c>
      <c r="S34" s="3">
        <v>1</v>
      </c>
      <c r="T34" s="3">
        <v>1</v>
      </c>
      <c r="U34" s="3">
        <v>1</v>
      </c>
      <c r="V34" s="3">
        <v>1</v>
      </c>
      <c r="W34" s="3"/>
      <c r="AA34" t="s">
        <v>999</v>
      </c>
      <c r="AC34">
        <v>6</v>
      </c>
      <c r="AD34">
        <v>10</v>
      </c>
      <c r="AE34">
        <v>10</v>
      </c>
      <c r="AG34">
        <v>2</v>
      </c>
      <c r="AI34">
        <v>3</v>
      </c>
      <c r="AJ34">
        <v>4</v>
      </c>
      <c r="AK34">
        <v>1</v>
      </c>
      <c r="AL34">
        <v>1</v>
      </c>
      <c r="AM34">
        <v>1</v>
      </c>
      <c r="AN34">
        <v>1</v>
      </c>
      <c r="AS34" s="91">
        <v>4</v>
      </c>
      <c r="AT34" s="154">
        <v>92227</v>
      </c>
      <c r="AU34" s="154" t="s">
        <v>1231</v>
      </c>
      <c r="AV34">
        <v>46</v>
      </c>
      <c r="AW34" s="154">
        <v>92274</v>
      </c>
      <c r="AX34" s="154">
        <v>92227</v>
      </c>
      <c r="AY34" s="154">
        <v>92280</v>
      </c>
      <c r="AZ34" s="154">
        <v>92125</v>
      </c>
      <c r="BA34" s="154">
        <v>92253</v>
      </c>
      <c r="BB34" s="154">
        <v>92236</v>
      </c>
      <c r="BC34" s="154">
        <v>92134</v>
      </c>
      <c r="BD34" s="154">
        <v>92223</v>
      </c>
      <c r="BE34" s="154">
        <v>92013</v>
      </c>
      <c r="BF34" s="154">
        <v>92254</v>
      </c>
      <c r="BG34" s="153">
        <v>92285</v>
      </c>
      <c r="BH34" s="153">
        <v>92289</v>
      </c>
    </row>
    <row r="35" spans="1:60">
      <c r="A35" s="91">
        <v>92236</v>
      </c>
      <c r="B35" s="91" t="s">
        <v>766</v>
      </c>
      <c r="C35" s="91">
        <f>[14]价值评估!R39</f>
        <v>384.29255149387018</v>
      </c>
      <c r="D35" s="96">
        <f>INT([14]价值评估!S39*$J$4)</f>
        <v>20</v>
      </c>
      <c r="E35" s="91">
        <f>马仔装备价格评估!G35</f>
        <v>154</v>
      </c>
      <c r="I35" s="69" t="s">
        <v>579</v>
      </c>
      <c r="J35" s="73"/>
      <c r="K35" s="3">
        <v>6</v>
      </c>
      <c r="L35" s="3">
        <v>10</v>
      </c>
      <c r="M35" s="3">
        <v>10</v>
      </c>
      <c r="N35" s="3"/>
      <c r="O35" s="3">
        <v>4</v>
      </c>
      <c r="P35" s="3"/>
      <c r="Q35" s="3">
        <v>4</v>
      </c>
      <c r="R35" s="3">
        <v>5</v>
      </c>
      <c r="S35" s="3">
        <v>1</v>
      </c>
      <c r="T35" s="3">
        <v>1</v>
      </c>
      <c r="U35" s="3">
        <v>1</v>
      </c>
      <c r="V35" s="3">
        <v>1</v>
      </c>
      <c r="W35" s="3"/>
      <c r="AA35" t="s">
        <v>1000</v>
      </c>
      <c r="AC35">
        <v>6</v>
      </c>
      <c r="AD35">
        <v>10</v>
      </c>
      <c r="AE35">
        <v>10</v>
      </c>
      <c r="AG35">
        <v>4</v>
      </c>
      <c r="AI35">
        <v>4</v>
      </c>
      <c r="AJ35">
        <v>5</v>
      </c>
      <c r="AK35">
        <v>1</v>
      </c>
      <c r="AL35">
        <v>1</v>
      </c>
      <c r="AM35">
        <v>1</v>
      </c>
      <c r="AN35">
        <v>1</v>
      </c>
      <c r="AS35" s="91">
        <v>5</v>
      </c>
      <c r="AT35" s="154">
        <v>92236</v>
      </c>
      <c r="AU35" s="154" t="s">
        <v>1238</v>
      </c>
      <c r="AV35">
        <v>47</v>
      </c>
      <c r="AW35" s="154">
        <v>92227</v>
      </c>
      <c r="AX35" s="154">
        <v>92274</v>
      </c>
      <c r="AY35" s="154">
        <v>92253</v>
      </c>
      <c r="AZ35" s="154">
        <v>92236</v>
      </c>
      <c r="BA35" s="154">
        <v>92125</v>
      </c>
      <c r="BB35" s="154">
        <v>92280</v>
      </c>
      <c r="BC35" s="154">
        <v>92254</v>
      </c>
      <c r="BD35" s="154">
        <v>92013</v>
      </c>
      <c r="BE35" s="154">
        <v>92134</v>
      </c>
      <c r="BF35" s="154">
        <v>92223</v>
      </c>
      <c r="BG35" s="153">
        <v>92285</v>
      </c>
      <c r="BH35" s="153">
        <v>92289</v>
      </c>
    </row>
    <row r="36" spans="1:60">
      <c r="A36" s="91">
        <v>92013</v>
      </c>
      <c r="B36" s="91" t="s">
        <v>425</v>
      </c>
      <c r="C36" s="91">
        <f>[14]价值评估!R40</f>
        <v>384.82288157976006</v>
      </c>
      <c r="D36" s="96">
        <f>INT([14]价值评估!S40*$J$4)</f>
        <v>25</v>
      </c>
      <c r="E36" s="91">
        <f>马仔装备价格评估!G36</f>
        <v>154</v>
      </c>
      <c r="I36" s="69" t="s">
        <v>580</v>
      </c>
      <c r="J36" s="73"/>
      <c r="K36" s="3">
        <v>6</v>
      </c>
      <c r="L36" s="3">
        <v>10</v>
      </c>
      <c r="M36" s="3">
        <v>10</v>
      </c>
      <c r="N36" s="3"/>
      <c r="O36" s="3">
        <v>6</v>
      </c>
      <c r="P36" s="3"/>
      <c r="Q36" s="3">
        <v>5</v>
      </c>
      <c r="R36" s="3">
        <v>6</v>
      </c>
      <c r="S36" s="3">
        <v>1</v>
      </c>
      <c r="T36" s="3">
        <v>1</v>
      </c>
      <c r="U36" s="3">
        <v>1</v>
      </c>
      <c r="V36" s="3">
        <v>1</v>
      </c>
      <c r="W36" s="3"/>
      <c r="AA36" t="s">
        <v>1001</v>
      </c>
      <c r="AC36">
        <v>6</v>
      </c>
      <c r="AD36">
        <v>10</v>
      </c>
      <c r="AE36">
        <v>10</v>
      </c>
      <c r="AG36">
        <v>6</v>
      </c>
      <c r="AI36">
        <v>5</v>
      </c>
      <c r="AJ36">
        <v>6</v>
      </c>
      <c r="AK36">
        <v>1</v>
      </c>
      <c r="AL36">
        <v>1</v>
      </c>
      <c r="AM36">
        <v>1</v>
      </c>
      <c r="AN36">
        <v>1</v>
      </c>
      <c r="AS36" s="91">
        <v>6</v>
      </c>
      <c r="AT36" s="154">
        <v>92013</v>
      </c>
      <c r="AU36" s="154" t="s">
        <v>425</v>
      </c>
      <c r="AV36">
        <v>47</v>
      </c>
      <c r="AW36" s="154">
        <v>92253</v>
      </c>
      <c r="AX36" s="154">
        <v>92236</v>
      </c>
      <c r="AY36" s="154">
        <v>92227</v>
      </c>
      <c r="AZ36" s="154">
        <v>92274</v>
      </c>
      <c r="BA36" s="154">
        <v>92134</v>
      </c>
      <c r="BB36" s="154">
        <v>92125</v>
      </c>
      <c r="BC36" s="154">
        <v>92013</v>
      </c>
      <c r="BD36" s="154">
        <v>92254</v>
      </c>
      <c r="BE36" s="154">
        <v>92223</v>
      </c>
      <c r="BF36" s="154">
        <v>92280</v>
      </c>
      <c r="BG36" s="153">
        <v>92285</v>
      </c>
      <c r="BH36" s="153">
        <v>92289</v>
      </c>
    </row>
    <row r="37" spans="1:60">
      <c r="A37" s="91">
        <v>92253</v>
      </c>
      <c r="B37" s="91" t="s">
        <v>753</v>
      </c>
      <c r="C37" s="91">
        <f>[14]价值评估!R41</f>
        <v>348.20889244992065</v>
      </c>
      <c r="D37" s="96">
        <f>INT([14]价值评估!S41*$J$4)</f>
        <v>44</v>
      </c>
      <c r="E37" s="91">
        <f>马仔装备价格评估!G37</f>
        <v>140</v>
      </c>
      <c r="AS37" s="91">
        <v>7</v>
      </c>
      <c r="AT37" s="154">
        <v>92253</v>
      </c>
      <c r="AU37" s="154" t="s">
        <v>1225</v>
      </c>
      <c r="AV37">
        <v>48</v>
      </c>
      <c r="AW37" s="154">
        <v>92236</v>
      </c>
      <c r="AX37" s="154">
        <v>92253</v>
      </c>
      <c r="AY37" s="154">
        <v>92223</v>
      </c>
      <c r="AZ37" s="154">
        <v>92134</v>
      </c>
      <c r="BA37" s="154">
        <v>92227</v>
      </c>
      <c r="BB37" s="154">
        <v>92013</v>
      </c>
      <c r="BC37" s="154">
        <v>92125</v>
      </c>
      <c r="BD37" s="154">
        <v>92274</v>
      </c>
      <c r="BE37" s="154">
        <v>92254</v>
      </c>
      <c r="BF37" s="154">
        <v>92280</v>
      </c>
      <c r="BG37" s="153">
        <v>92289</v>
      </c>
      <c r="BH37" s="153">
        <v>92285</v>
      </c>
    </row>
    <row r="38" spans="1:60">
      <c r="A38" s="91">
        <v>92254</v>
      </c>
      <c r="B38" s="91" t="s">
        <v>757</v>
      </c>
      <c r="C38" s="91">
        <f>[14]价值评估!R42</f>
        <v>348.20889244992065</v>
      </c>
      <c r="D38" s="96">
        <f>INT([14]价值评估!S42*$J$4)</f>
        <v>42</v>
      </c>
      <c r="E38" s="91">
        <f>马仔装备价格评估!G38</f>
        <v>140</v>
      </c>
      <c r="I38" s="70" t="s">
        <v>592</v>
      </c>
      <c r="J38" s="70"/>
      <c r="AA38" t="s">
        <v>1019</v>
      </c>
      <c r="AS38" s="91">
        <v>8</v>
      </c>
      <c r="AT38" s="154">
        <v>92254</v>
      </c>
      <c r="AU38" s="154" t="s">
        <v>1229</v>
      </c>
      <c r="AV38">
        <v>48</v>
      </c>
      <c r="AW38" s="154">
        <v>92280</v>
      </c>
      <c r="AX38" s="154">
        <v>92223</v>
      </c>
      <c r="AY38" s="154">
        <v>92134</v>
      </c>
      <c r="AZ38" s="154">
        <v>92253</v>
      </c>
      <c r="BA38" s="154">
        <v>92013</v>
      </c>
      <c r="BB38" s="154">
        <v>92227</v>
      </c>
      <c r="BC38" s="154">
        <v>92254</v>
      </c>
      <c r="BD38" s="154">
        <v>92125</v>
      </c>
      <c r="BE38" s="154">
        <v>92274</v>
      </c>
      <c r="BF38" s="154">
        <v>92236</v>
      </c>
      <c r="BG38" s="153">
        <v>92289</v>
      </c>
      <c r="BH38" s="153">
        <v>92285</v>
      </c>
    </row>
    <row r="39" spans="1:60">
      <c r="A39" s="91">
        <v>92274</v>
      </c>
      <c r="B39" s="91" t="s">
        <v>763</v>
      </c>
      <c r="C39" s="91">
        <f>[14]价值评估!R43</f>
        <v>390.34456159513792</v>
      </c>
      <c r="D39" s="96">
        <f>INT([14]价值评估!S43*$J$4)</f>
        <v>21</v>
      </c>
      <c r="E39" s="91">
        <f>马仔装备价格评估!G39</f>
        <v>157</v>
      </c>
      <c r="I39" s="73" t="s">
        <v>20</v>
      </c>
      <c r="J39" s="2" t="s">
        <v>631</v>
      </c>
      <c r="K39" s="2" t="s">
        <v>583</v>
      </c>
      <c r="L39" s="2" t="s">
        <v>584</v>
      </c>
      <c r="M39" s="2" t="s">
        <v>633</v>
      </c>
      <c r="N39" s="2" t="s">
        <v>632</v>
      </c>
      <c r="O39" s="2" t="s">
        <v>635</v>
      </c>
      <c r="P39" s="2" t="s">
        <v>634</v>
      </c>
      <c r="Q39" s="2" t="s">
        <v>597</v>
      </c>
      <c r="R39" s="2" t="s">
        <v>555</v>
      </c>
      <c r="S39" s="2" t="s">
        <v>556</v>
      </c>
      <c r="T39" s="2" t="s">
        <v>557</v>
      </c>
      <c r="U39" s="2" t="s">
        <v>558</v>
      </c>
      <c r="V39" s="2" t="s">
        <v>598</v>
      </c>
      <c r="W39" s="2" t="s">
        <v>562</v>
      </c>
      <c r="AA39" t="s">
        <v>986</v>
      </c>
      <c r="AB39" t="s">
        <v>1003</v>
      </c>
      <c r="AC39" t="s">
        <v>1004</v>
      </c>
      <c r="AD39" t="s">
        <v>1005</v>
      </c>
      <c r="AE39" t="s">
        <v>1006</v>
      </c>
      <c r="AF39" t="s">
        <v>1007</v>
      </c>
      <c r="AG39" t="s">
        <v>1008</v>
      </c>
      <c r="AH39" t="s">
        <v>1009</v>
      </c>
      <c r="AI39" t="s">
        <v>1010</v>
      </c>
      <c r="AJ39" t="s">
        <v>1011</v>
      </c>
      <c r="AK39" t="s">
        <v>1012</v>
      </c>
      <c r="AL39" t="s">
        <v>1013</v>
      </c>
      <c r="AM39" t="s">
        <v>1014</v>
      </c>
      <c r="AN39" t="s">
        <v>1015</v>
      </c>
      <c r="AO39" t="s">
        <v>1016</v>
      </c>
      <c r="AS39" s="91">
        <v>9</v>
      </c>
      <c r="AT39" s="154">
        <v>92274</v>
      </c>
      <c r="AU39" s="154" t="s">
        <v>1235</v>
      </c>
      <c r="AV39">
        <v>49</v>
      </c>
      <c r="AW39" s="154">
        <v>92223</v>
      </c>
      <c r="AX39" s="154">
        <v>92134</v>
      </c>
      <c r="AY39" s="154">
        <v>92254</v>
      </c>
      <c r="AZ39" s="154">
        <v>92013</v>
      </c>
      <c r="BA39" s="154">
        <v>92253</v>
      </c>
      <c r="BB39" s="154">
        <v>92236</v>
      </c>
      <c r="BC39" s="154">
        <v>92280</v>
      </c>
      <c r="BD39" s="154">
        <v>92227</v>
      </c>
      <c r="BE39" s="154">
        <v>92125</v>
      </c>
      <c r="BF39" s="154">
        <v>92274</v>
      </c>
      <c r="BG39" s="153">
        <v>92289</v>
      </c>
      <c r="BH39" s="153">
        <v>92285</v>
      </c>
    </row>
    <row r="40" spans="1:60">
      <c r="A40" s="91">
        <v>92280</v>
      </c>
      <c r="B40" s="91" t="s">
        <v>427</v>
      </c>
      <c r="C40" s="91">
        <f>[14]价值评估!R44</f>
        <v>384.29255149387018</v>
      </c>
      <c r="D40" s="96">
        <f>INT([14]价值评估!S44*$J$4)</f>
        <v>22</v>
      </c>
      <c r="E40" s="91">
        <f>马仔装备价格评估!G40</f>
        <v>154</v>
      </c>
      <c r="I40" s="69" t="s">
        <v>576</v>
      </c>
      <c r="J40" s="73"/>
      <c r="K40" s="2">
        <f t="shared" ref="K40:L44" si="4">IFERROR(K24/K32,0)</f>
        <v>1.4356268785847823</v>
      </c>
      <c r="L40" s="2">
        <f t="shared" si="4"/>
        <v>1.0767201589385866</v>
      </c>
      <c r="M40" s="2">
        <f t="shared" ref="M40:W40" si="5">IFERROR(M24/M32,0)</f>
        <v>0.35890671964619558</v>
      </c>
      <c r="N40" s="2">
        <f t="shared" si="5"/>
        <v>0.35890671964619558</v>
      </c>
      <c r="O40" s="2">
        <f t="shared" si="5"/>
        <v>0</v>
      </c>
      <c r="P40" s="2">
        <f t="shared" si="5"/>
        <v>0</v>
      </c>
      <c r="Q40" s="2">
        <f t="shared" si="5"/>
        <v>1.9739869580540756</v>
      </c>
      <c r="R40" s="2">
        <f t="shared" si="5"/>
        <v>0</v>
      </c>
      <c r="S40" s="2">
        <f t="shared" si="5"/>
        <v>0</v>
      </c>
      <c r="T40" s="2">
        <f t="shared" si="5"/>
        <v>0</v>
      </c>
      <c r="U40" s="2">
        <f t="shared" si="5"/>
        <v>0</v>
      </c>
      <c r="V40" s="2">
        <f t="shared" si="5"/>
        <v>1.794533598230978</v>
      </c>
      <c r="W40" s="2">
        <f t="shared" si="5"/>
        <v>0</v>
      </c>
      <c r="AA40" t="s">
        <v>997</v>
      </c>
      <c r="AC40">
        <v>1.0446351439999999</v>
      </c>
      <c r="AD40">
        <v>1.0446351439999999</v>
      </c>
      <c r="AE40">
        <v>0.34821171499999998</v>
      </c>
      <c r="AF40">
        <v>0.34821171499999998</v>
      </c>
      <c r="AG40">
        <v>0</v>
      </c>
      <c r="AH40">
        <v>0</v>
      </c>
      <c r="AI40">
        <v>1.9151644299999999</v>
      </c>
      <c r="AJ40">
        <v>0</v>
      </c>
      <c r="AK40">
        <v>0</v>
      </c>
      <c r="AL40">
        <v>0</v>
      </c>
      <c r="AM40">
        <v>0</v>
      </c>
      <c r="AN40">
        <v>3.1339054310000001</v>
      </c>
      <c r="AO40">
        <v>0</v>
      </c>
      <c r="AS40" s="91">
        <v>10</v>
      </c>
      <c r="AT40" s="154">
        <v>92280</v>
      </c>
      <c r="AU40" s="154" t="s">
        <v>1240</v>
      </c>
      <c r="AV40">
        <v>49</v>
      </c>
      <c r="AW40" s="154">
        <v>92134</v>
      </c>
      <c r="AX40" s="154">
        <v>92254</v>
      </c>
      <c r="AY40" s="154">
        <v>92013</v>
      </c>
      <c r="AZ40" s="154">
        <v>92227</v>
      </c>
      <c r="BA40" s="154">
        <v>92274</v>
      </c>
      <c r="BB40" s="154">
        <v>92253</v>
      </c>
      <c r="BC40" s="154">
        <v>92236</v>
      </c>
      <c r="BD40" s="154">
        <v>92280</v>
      </c>
      <c r="BE40" s="154">
        <v>92223</v>
      </c>
      <c r="BF40" s="154">
        <v>92125</v>
      </c>
      <c r="BG40" s="153">
        <v>92289</v>
      </c>
      <c r="BH40" s="153">
        <v>92285</v>
      </c>
    </row>
    <row r="41" spans="1:60">
      <c r="A41" s="91">
        <v>92285</v>
      </c>
      <c r="B41" s="91" t="s">
        <v>774</v>
      </c>
      <c r="C41" s="91">
        <f>[14]价值评估!R45</f>
        <v>384.66731808789905</v>
      </c>
      <c r="D41" s="96">
        <f>INT([14]价值评估!S45*$J$4)</f>
        <v>85</v>
      </c>
      <c r="E41" s="91">
        <f>马仔装备价格评估!G41</f>
        <v>154</v>
      </c>
      <c r="I41" s="69" t="s">
        <v>577</v>
      </c>
      <c r="J41" s="73"/>
      <c r="K41" s="2">
        <f t="shared" si="4"/>
        <v>0.70069132373553156</v>
      </c>
      <c r="L41" s="2">
        <f t="shared" si="4"/>
        <v>0.73993003786472133</v>
      </c>
      <c r="M41" s="2">
        <f t="shared" ref="M41:W41" si="6">IFERROR(M25/M33,0)</f>
        <v>0.24664334595490711</v>
      </c>
      <c r="N41" s="2">
        <f t="shared" si="6"/>
        <v>0</v>
      </c>
      <c r="O41" s="2">
        <f t="shared" si="6"/>
        <v>0.12332167297745356</v>
      </c>
      <c r="P41" s="2">
        <f t="shared" si="6"/>
        <v>0</v>
      </c>
      <c r="Q41" s="2">
        <f t="shared" si="6"/>
        <v>1.2332167297745356</v>
      </c>
      <c r="R41" s="2">
        <f t="shared" si="6"/>
        <v>1.5209673000552606</v>
      </c>
      <c r="S41" s="2">
        <f t="shared" si="6"/>
        <v>0</v>
      </c>
      <c r="T41" s="2">
        <f t="shared" si="6"/>
        <v>0</v>
      </c>
      <c r="U41" s="2">
        <f t="shared" si="6"/>
        <v>0</v>
      </c>
      <c r="V41" s="2">
        <f t="shared" si="6"/>
        <v>1.4798600757294424</v>
      </c>
      <c r="W41" s="2">
        <f t="shared" si="6"/>
        <v>0</v>
      </c>
      <c r="AA41" t="s">
        <v>998</v>
      </c>
      <c r="AC41">
        <v>1.0653023850000001</v>
      </c>
      <c r="AD41">
        <v>1.022690289</v>
      </c>
      <c r="AE41">
        <v>0.34089676299999999</v>
      </c>
      <c r="AF41">
        <v>0</v>
      </c>
      <c r="AG41">
        <v>0.17044838200000001</v>
      </c>
      <c r="AH41">
        <v>0</v>
      </c>
      <c r="AI41">
        <v>1.7044838149999999</v>
      </c>
      <c r="AJ41">
        <v>2.102196706</v>
      </c>
      <c r="AK41">
        <v>0</v>
      </c>
      <c r="AL41">
        <v>0</v>
      </c>
      <c r="AM41">
        <v>0</v>
      </c>
      <c r="AN41">
        <v>3.7498643939999998</v>
      </c>
      <c r="AO41">
        <v>0</v>
      </c>
      <c r="AS41" s="91">
        <v>11</v>
      </c>
      <c r="AT41" s="154">
        <v>92285</v>
      </c>
      <c r="AU41" s="154" t="s">
        <v>1249</v>
      </c>
      <c r="AV41">
        <v>50</v>
      </c>
      <c r="AW41" s="154">
        <v>92274</v>
      </c>
      <c r="AX41" s="154">
        <v>92134</v>
      </c>
      <c r="AY41" s="154">
        <v>92013</v>
      </c>
      <c r="AZ41" s="154">
        <v>92254</v>
      </c>
      <c r="BA41" s="154">
        <v>92280</v>
      </c>
      <c r="BB41" s="154">
        <v>92227</v>
      </c>
      <c r="BC41" s="154">
        <v>92253</v>
      </c>
      <c r="BD41" s="154">
        <v>92236</v>
      </c>
      <c r="BE41" s="154">
        <v>92125</v>
      </c>
      <c r="BF41" s="154">
        <v>92223</v>
      </c>
      <c r="BG41" s="153">
        <v>92289</v>
      </c>
      <c r="BH41" s="153">
        <v>92285</v>
      </c>
    </row>
    <row r="42" spans="1:60">
      <c r="A42" s="91">
        <v>92289</v>
      </c>
      <c r="B42" s="91" t="s">
        <v>768</v>
      </c>
      <c r="C42" s="91">
        <f>[14]价值评估!R46</f>
        <v>384.66731808789905</v>
      </c>
      <c r="D42" s="96">
        <f>INT([14]价值评估!S46*$J$4)</f>
        <v>78</v>
      </c>
      <c r="E42" s="91">
        <f>马仔装备价格评估!G42</f>
        <v>154</v>
      </c>
      <c r="I42" s="69" t="s">
        <v>578</v>
      </c>
      <c r="J42" s="73"/>
      <c r="K42" s="2">
        <f t="shared" si="4"/>
        <v>0.45636852391119936</v>
      </c>
      <c r="L42" s="2">
        <f t="shared" si="4"/>
        <v>0.4978565715394902</v>
      </c>
      <c r="M42" s="2">
        <f t="shared" ref="M42:W42" si="7">IFERROR(M26/M34,0)</f>
        <v>0</v>
      </c>
      <c r="N42" s="2">
        <f t="shared" si="7"/>
        <v>0</v>
      </c>
      <c r="O42" s="2">
        <f t="shared" si="7"/>
        <v>0.87124900019410789</v>
      </c>
      <c r="P42" s="2">
        <f t="shared" si="7"/>
        <v>0</v>
      </c>
      <c r="Q42" s="2">
        <f t="shared" si="7"/>
        <v>0</v>
      </c>
      <c r="R42" s="2">
        <f t="shared" si="7"/>
        <v>2.8004432149096323</v>
      </c>
      <c r="S42" s="2">
        <f t="shared" si="7"/>
        <v>0</v>
      </c>
      <c r="T42" s="2">
        <f t="shared" si="7"/>
        <v>0</v>
      </c>
      <c r="U42" s="2">
        <f t="shared" si="7"/>
        <v>0</v>
      </c>
      <c r="V42" s="2">
        <f t="shared" si="7"/>
        <v>0.87124900019410789</v>
      </c>
      <c r="W42" s="2">
        <f t="shared" si="7"/>
        <v>0</v>
      </c>
      <c r="AA42" t="s">
        <v>999</v>
      </c>
      <c r="AC42">
        <v>1.0079413880000001</v>
      </c>
      <c r="AD42">
        <v>1.099572424</v>
      </c>
      <c r="AE42">
        <v>0</v>
      </c>
      <c r="AF42">
        <v>0</v>
      </c>
      <c r="AG42">
        <v>1.924251741</v>
      </c>
      <c r="AH42">
        <v>0</v>
      </c>
      <c r="AI42">
        <v>0</v>
      </c>
      <c r="AJ42">
        <v>6.1850948829999997</v>
      </c>
      <c r="AK42">
        <v>7.1472207540000001</v>
      </c>
      <c r="AL42">
        <v>0</v>
      </c>
      <c r="AM42">
        <v>0</v>
      </c>
      <c r="AN42">
        <v>2.1991448469999999</v>
      </c>
      <c r="AO42">
        <v>0</v>
      </c>
      <c r="AS42" s="91">
        <v>12</v>
      </c>
      <c r="AT42" s="154">
        <v>92289</v>
      </c>
      <c r="AU42" s="154" t="s">
        <v>1242</v>
      </c>
      <c r="AV42">
        <v>50</v>
      </c>
      <c r="AW42" s="154">
        <v>92013</v>
      </c>
      <c r="AX42" s="154">
        <v>92280</v>
      </c>
      <c r="AY42" s="154">
        <v>92134</v>
      </c>
      <c r="AZ42" s="154">
        <v>92274</v>
      </c>
      <c r="BA42" s="154">
        <v>92227</v>
      </c>
      <c r="BB42" s="154">
        <v>92254</v>
      </c>
      <c r="BC42" s="154">
        <v>92223</v>
      </c>
      <c r="BD42" s="154">
        <v>92125</v>
      </c>
      <c r="BE42" s="154">
        <v>92236</v>
      </c>
      <c r="BF42" s="154">
        <v>92253</v>
      </c>
      <c r="BG42" s="153">
        <v>92289</v>
      </c>
      <c r="BH42" s="153">
        <v>92285</v>
      </c>
    </row>
    <row r="43" spans="1:60">
      <c r="A43" s="92">
        <v>92014</v>
      </c>
      <c r="B43" s="92" t="s">
        <v>773</v>
      </c>
      <c r="C43" s="92">
        <f>[14]价值评估!R47</f>
        <v>1072.0558691207962</v>
      </c>
      <c r="D43" s="97">
        <f>INT([14]价值评估!S47*$J$4)</f>
        <v>19</v>
      </c>
      <c r="E43" s="92">
        <f>马仔装备价格评估!G43</f>
        <v>429</v>
      </c>
      <c r="I43" s="69" t="s">
        <v>579</v>
      </c>
      <c r="J43" s="73"/>
      <c r="K43" s="2">
        <f t="shared" si="4"/>
        <v>0.57453061136585881</v>
      </c>
      <c r="L43" s="2">
        <f t="shared" si="4"/>
        <v>1.1203346921634245</v>
      </c>
      <c r="M43" s="2">
        <f t="shared" ref="M43:W43" si="8">IFERROR(M27/M35,0)</f>
        <v>0</v>
      </c>
      <c r="N43" s="2">
        <f t="shared" si="8"/>
        <v>0</v>
      </c>
      <c r="O43" s="2">
        <f t="shared" si="8"/>
        <v>0.64634693778659114</v>
      </c>
      <c r="P43" s="2">
        <f t="shared" si="8"/>
        <v>0</v>
      </c>
      <c r="Q43" s="2">
        <f t="shared" si="8"/>
        <v>0</v>
      </c>
      <c r="R43" s="2">
        <f t="shared" si="8"/>
        <v>2.240669384326849</v>
      </c>
      <c r="S43" s="2">
        <f t="shared" si="8"/>
        <v>0</v>
      </c>
      <c r="T43" s="2">
        <f t="shared" si="8"/>
        <v>6.8943673363903057</v>
      </c>
      <c r="U43" s="2">
        <f t="shared" si="8"/>
        <v>0</v>
      </c>
      <c r="V43" s="2">
        <f t="shared" si="8"/>
        <v>1.5081428548353795</v>
      </c>
      <c r="W43" s="2">
        <f t="shared" si="8"/>
        <v>0</v>
      </c>
      <c r="AA43" t="s">
        <v>1000</v>
      </c>
      <c r="AC43">
        <v>1.0357156670000001</v>
      </c>
      <c r="AD43">
        <v>1.009822776</v>
      </c>
      <c r="AE43">
        <v>0</v>
      </c>
      <c r="AF43">
        <v>0</v>
      </c>
      <c r="AG43">
        <v>0.58259006300000005</v>
      </c>
      <c r="AH43">
        <v>0</v>
      </c>
      <c r="AI43">
        <v>0</v>
      </c>
      <c r="AJ43">
        <v>2.0196455520000001</v>
      </c>
      <c r="AK43">
        <v>3.107147002</v>
      </c>
      <c r="AL43">
        <v>6.2142940050000002</v>
      </c>
      <c r="AM43">
        <v>0</v>
      </c>
      <c r="AN43">
        <v>0.77678675100000005</v>
      </c>
      <c r="AO43">
        <v>0</v>
      </c>
      <c r="AS43">
        <v>1</v>
      </c>
      <c r="AT43" s="155">
        <v>92014</v>
      </c>
      <c r="AU43" s="155" t="s">
        <v>1248</v>
      </c>
      <c r="AV43">
        <v>56</v>
      </c>
      <c r="AW43" s="155">
        <v>92014</v>
      </c>
      <c r="AX43" s="155">
        <v>92296</v>
      </c>
      <c r="AY43" s="155">
        <v>92240</v>
      </c>
      <c r="AZ43" s="155">
        <v>92292</v>
      </c>
      <c r="BA43" s="155">
        <v>92256</v>
      </c>
      <c r="BB43" s="155">
        <v>92261</v>
      </c>
      <c r="BC43" s="155">
        <v>92275</v>
      </c>
      <c r="BD43" s="155">
        <v>92281</v>
      </c>
      <c r="BE43" s="159">
        <v>92286</v>
      </c>
      <c r="BF43" s="159">
        <v>92290</v>
      </c>
    </row>
    <row r="44" spans="1:60">
      <c r="A44" s="92">
        <v>92296</v>
      </c>
      <c r="B44" s="92" t="s">
        <v>765</v>
      </c>
      <c r="C44" s="92">
        <f>[14]价值评估!R48</f>
        <v>1046.5958691207961</v>
      </c>
      <c r="D44" s="97">
        <f>INT([14]价值评估!S48*$J$4)</f>
        <v>26</v>
      </c>
      <c r="E44" s="92">
        <f>马仔装备价格评估!G44</f>
        <v>419</v>
      </c>
      <c r="I44" s="69" t="s">
        <v>580</v>
      </c>
      <c r="J44" s="73"/>
      <c r="K44" s="2">
        <f t="shared" si="4"/>
        <v>0.521324182640589</v>
      </c>
      <c r="L44" s="2">
        <f t="shared" si="4"/>
        <v>2.1858816316835989</v>
      </c>
      <c r="M44" s="2">
        <f t="shared" ref="M44:W44" si="9">IFERROR(M28/M36,0)</f>
        <v>0</v>
      </c>
      <c r="N44" s="2">
        <f t="shared" si="9"/>
        <v>0</v>
      </c>
      <c r="O44" s="2">
        <f t="shared" si="9"/>
        <v>0.67465482459370341</v>
      </c>
      <c r="P44" s="2">
        <f t="shared" si="9"/>
        <v>0</v>
      </c>
      <c r="Q44" s="2">
        <f t="shared" si="9"/>
        <v>0</v>
      </c>
      <c r="R44" s="2">
        <f t="shared" si="9"/>
        <v>2.4287573685373318</v>
      </c>
      <c r="S44" s="2">
        <f t="shared" si="9"/>
        <v>0</v>
      </c>
      <c r="T44" s="2">
        <f t="shared" si="9"/>
        <v>10.524615263661774</v>
      </c>
      <c r="U44" s="2">
        <f t="shared" si="9"/>
        <v>0</v>
      </c>
      <c r="V44" s="2">
        <f t="shared" si="9"/>
        <v>0</v>
      </c>
      <c r="W44" s="2">
        <f t="shared" si="9"/>
        <v>0</v>
      </c>
      <c r="AA44" t="s">
        <v>1001</v>
      </c>
      <c r="AC44">
        <v>1.055474499</v>
      </c>
      <c r="AD44">
        <v>1.0058051109999999</v>
      </c>
      <c r="AE44">
        <v>0</v>
      </c>
      <c r="AF44">
        <v>0</v>
      </c>
      <c r="AG44">
        <v>0.31043367599999999</v>
      </c>
      <c r="AH44">
        <v>0</v>
      </c>
      <c r="AI44">
        <v>0</v>
      </c>
      <c r="AJ44">
        <v>1.1175612349999999</v>
      </c>
      <c r="AK44">
        <v>0</v>
      </c>
      <c r="AL44">
        <v>4.8427653499999996</v>
      </c>
      <c r="AM44">
        <v>0</v>
      </c>
      <c r="AN44">
        <v>0</v>
      </c>
      <c r="AO44">
        <v>0</v>
      </c>
      <c r="AS44">
        <v>2</v>
      </c>
      <c r="AT44" s="155">
        <v>92296</v>
      </c>
      <c r="AU44" s="155" t="s">
        <v>1237</v>
      </c>
      <c r="AV44">
        <v>56</v>
      </c>
      <c r="AW44" s="155">
        <v>92296</v>
      </c>
      <c r="AX44" s="155">
        <v>92014</v>
      </c>
      <c r="AY44" s="155">
        <v>92281</v>
      </c>
      <c r="AZ44" s="155">
        <v>92275</v>
      </c>
      <c r="BA44" s="155">
        <v>92256</v>
      </c>
      <c r="BB44" s="155">
        <v>92240</v>
      </c>
      <c r="BC44" s="155">
        <v>92261</v>
      </c>
      <c r="BD44" s="155">
        <v>92292</v>
      </c>
      <c r="BE44" s="159">
        <v>92286</v>
      </c>
      <c r="BF44" s="159">
        <v>92290</v>
      </c>
    </row>
    <row r="45" spans="1:60">
      <c r="A45" s="92">
        <v>92240</v>
      </c>
      <c r="B45" s="92" t="s">
        <v>754</v>
      </c>
      <c r="C45" s="92">
        <f>[14]价值评估!R49</f>
        <v>1059.110869120796</v>
      </c>
      <c r="D45" s="97">
        <f>INT([14]价值评估!S49*$J$4)</f>
        <v>15</v>
      </c>
      <c r="E45" s="92">
        <f>马仔装备价格评估!G45</f>
        <v>424</v>
      </c>
      <c r="AS45">
        <v>3</v>
      </c>
      <c r="AT45" s="155">
        <v>92240</v>
      </c>
      <c r="AU45" s="155" t="s">
        <v>1226</v>
      </c>
      <c r="AV45">
        <v>57</v>
      </c>
      <c r="AW45" s="155">
        <v>92275</v>
      </c>
      <c r="AX45" s="155">
        <v>92256</v>
      </c>
      <c r="AY45" s="155">
        <v>92014</v>
      </c>
      <c r="AZ45" s="155">
        <v>92296</v>
      </c>
      <c r="BA45" s="155">
        <v>92240</v>
      </c>
      <c r="BB45" s="155">
        <v>92281</v>
      </c>
      <c r="BC45" s="155">
        <v>92292</v>
      </c>
      <c r="BD45" s="155">
        <v>92261</v>
      </c>
      <c r="BE45" s="159">
        <v>92286</v>
      </c>
      <c r="BF45" s="159">
        <v>92290</v>
      </c>
    </row>
    <row r="46" spans="1:60">
      <c r="A46" s="92">
        <v>92292</v>
      </c>
      <c r="B46" s="92" t="s">
        <v>770</v>
      </c>
      <c r="C46" s="92">
        <f>[14]价值评估!R50</f>
        <v>1046.3533691207961</v>
      </c>
      <c r="D46" s="97">
        <f>INT([14]价值评估!S50*$J$4)</f>
        <v>19</v>
      </c>
      <c r="E46" s="92">
        <f>马仔装备价格评估!G46</f>
        <v>419</v>
      </c>
      <c r="I46" t="s">
        <v>565</v>
      </c>
      <c r="AA46" t="s">
        <v>1020</v>
      </c>
      <c r="AS46">
        <v>4</v>
      </c>
      <c r="AT46" s="155">
        <v>92292</v>
      </c>
      <c r="AU46" s="155" t="s">
        <v>1244</v>
      </c>
      <c r="AV46">
        <v>57</v>
      </c>
      <c r="AW46" s="155">
        <v>92240</v>
      </c>
      <c r="AX46" s="155">
        <v>92275</v>
      </c>
      <c r="AY46" s="155">
        <v>92256</v>
      </c>
      <c r="AZ46" s="155">
        <v>92014</v>
      </c>
      <c r="BA46" s="155">
        <v>92296</v>
      </c>
      <c r="BB46" s="155">
        <v>92292</v>
      </c>
      <c r="BC46" s="155">
        <v>92261</v>
      </c>
      <c r="BD46" s="155">
        <v>92281</v>
      </c>
      <c r="BE46" s="159">
        <v>92286</v>
      </c>
      <c r="BF46" s="159">
        <v>92290</v>
      </c>
    </row>
    <row r="47" spans="1:60">
      <c r="A47" s="92">
        <v>92256</v>
      </c>
      <c r="B47" s="92" t="s">
        <v>767</v>
      </c>
      <c r="C47" s="92">
        <f>[14]价值评估!R51</f>
        <v>1046.2208691207961</v>
      </c>
      <c r="D47" s="97">
        <f>INT([14]价值评估!S51*$J$4)</f>
        <v>19</v>
      </c>
      <c r="E47" s="92">
        <f>马仔装备价格评估!G47</f>
        <v>419</v>
      </c>
      <c r="I47" s="73" t="s">
        <v>20</v>
      </c>
      <c r="J47" s="2" t="s">
        <v>631</v>
      </c>
      <c r="K47" s="2" t="s">
        <v>583</v>
      </c>
      <c r="L47" s="2" t="s">
        <v>584</v>
      </c>
      <c r="M47" s="2" t="s">
        <v>633</v>
      </c>
      <c r="N47" s="2" t="s">
        <v>632</v>
      </c>
      <c r="O47" s="2" t="s">
        <v>635</v>
      </c>
      <c r="P47" s="2" t="s">
        <v>634</v>
      </c>
      <c r="Q47" s="2" t="s">
        <v>597</v>
      </c>
      <c r="R47" s="2" t="s">
        <v>555</v>
      </c>
      <c r="S47" s="2" t="s">
        <v>556</v>
      </c>
      <c r="T47" s="2" t="s">
        <v>557</v>
      </c>
      <c r="U47" s="2" t="s">
        <v>558</v>
      </c>
      <c r="V47" s="2" t="s">
        <v>598</v>
      </c>
      <c r="W47" s="2" t="s">
        <v>562</v>
      </c>
      <c r="AA47" t="s">
        <v>986</v>
      </c>
      <c r="AB47" t="s">
        <v>1003</v>
      </c>
      <c r="AC47" t="s">
        <v>1004</v>
      </c>
      <c r="AD47" t="s">
        <v>1005</v>
      </c>
      <c r="AE47" t="s">
        <v>1006</v>
      </c>
      <c r="AF47" t="s">
        <v>1007</v>
      </c>
      <c r="AG47" t="s">
        <v>1008</v>
      </c>
      <c r="AH47" t="s">
        <v>1009</v>
      </c>
      <c r="AI47" t="s">
        <v>1010</v>
      </c>
      <c r="AJ47" t="s">
        <v>1011</v>
      </c>
      <c r="AK47" t="s">
        <v>1012</v>
      </c>
      <c r="AL47" t="s">
        <v>1013</v>
      </c>
      <c r="AM47" t="s">
        <v>1014</v>
      </c>
      <c r="AN47" t="s">
        <v>1015</v>
      </c>
      <c r="AO47" t="s">
        <v>1016</v>
      </c>
      <c r="AS47">
        <v>5</v>
      </c>
      <c r="AT47" s="155">
        <v>92256</v>
      </c>
      <c r="AU47" s="155" t="s">
        <v>1241</v>
      </c>
      <c r="AV47">
        <v>58</v>
      </c>
      <c r="AW47" s="155">
        <v>92275</v>
      </c>
      <c r="AX47" s="155">
        <v>92240</v>
      </c>
      <c r="AY47" s="155">
        <v>92292</v>
      </c>
      <c r="AZ47" s="155">
        <v>92296</v>
      </c>
      <c r="BA47" s="155">
        <v>92014</v>
      </c>
      <c r="BB47" s="155">
        <v>92261</v>
      </c>
      <c r="BC47" s="155">
        <v>92281</v>
      </c>
      <c r="BD47" s="155">
        <v>92256</v>
      </c>
      <c r="BE47" s="159">
        <v>92286</v>
      </c>
      <c r="BF47" s="159">
        <v>92290</v>
      </c>
    </row>
    <row r="48" spans="1:60">
      <c r="A48" s="92">
        <v>92261</v>
      </c>
      <c r="B48" s="92" t="s">
        <v>758</v>
      </c>
      <c r="C48" s="92">
        <f>[14]价值评估!R52</f>
        <v>1046.2208691207961</v>
      </c>
      <c r="D48" s="97">
        <f>INT([14]价值评估!S52*$J$4)</f>
        <v>18</v>
      </c>
      <c r="E48" s="92">
        <f>马仔装备价格评估!G48</f>
        <v>419</v>
      </c>
      <c r="I48" s="69" t="s">
        <v>576</v>
      </c>
      <c r="J48" s="73"/>
      <c r="K48" s="2">
        <v>1.5</v>
      </c>
      <c r="L48" s="2">
        <v>1</v>
      </c>
      <c r="M48" s="2">
        <f>[8]D_金币十连抽!$S$10*$M$7</f>
        <v>0.12893982808022925</v>
      </c>
      <c r="N48" s="2">
        <f>[8]D_十连抽!$X$11*M7</f>
        <v>0</v>
      </c>
      <c r="O48" s="2"/>
      <c r="P48" s="2"/>
      <c r="Q48" s="2" t="e">
        <f>[8]D_金币商场!#REF!*$M$7</f>
        <v>#REF!</v>
      </c>
      <c r="R48" s="2"/>
      <c r="S48" s="2"/>
      <c r="T48" s="2"/>
      <c r="U48" s="2"/>
      <c r="V48" s="2">
        <f>[7]D_竞技场商城!$S$12*$M$7</f>
        <v>0</v>
      </c>
      <c r="W48" s="2"/>
      <c r="AA48" t="s">
        <v>997</v>
      </c>
      <c r="AE48">
        <v>0.34285714299999998</v>
      </c>
      <c r="AF48">
        <v>0.35031847100000002</v>
      </c>
      <c r="AI48">
        <v>1.9383259909999999</v>
      </c>
      <c r="AN48">
        <v>3.1342603150000001</v>
      </c>
      <c r="AS48">
        <v>6</v>
      </c>
      <c r="AT48" s="155">
        <v>92261</v>
      </c>
      <c r="AU48" s="155" t="s">
        <v>1230</v>
      </c>
      <c r="AV48">
        <v>58</v>
      </c>
      <c r="AW48" s="155">
        <v>92292</v>
      </c>
      <c r="AX48" s="155">
        <v>92281</v>
      </c>
      <c r="AY48" s="155">
        <v>92296</v>
      </c>
      <c r="AZ48" s="155">
        <v>92240</v>
      </c>
      <c r="BA48" s="155">
        <v>92261</v>
      </c>
      <c r="BB48" s="155">
        <v>92014</v>
      </c>
      <c r="BC48" s="155">
        <v>92256</v>
      </c>
      <c r="BD48" s="155">
        <v>92275</v>
      </c>
      <c r="BE48" s="159">
        <v>92290</v>
      </c>
      <c r="BF48" s="159">
        <v>92286</v>
      </c>
    </row>
    <row r="49" spans="1:60">
      <c r="A49" s="92">
        <v>92275</v>
      </c>
      <c r="B49" s="92" t="s">
        <v>771</v>
      </c>
      <c r="C49" s="92">
        <f>[14]价值评估!R53</f>
        <v>1061.1180778120042</v>
      </c>
      <c r="D49" s="97">
        <f>INT([14]价值评估!S53*$J$4)</f>
        <v>16</v>
      </c>
      <c r="E49" s="92">
        <f>马仔装备价格评估!G49</f>
        <v>425</v>
      </c>
      <c r="I49" s="69" t="s">
        <v>577</v>
      </c>
      <c r="J49" s="73"/>
      <c r="K49" s="2"/>
      <c r="L49" s="2"/>
      <c r="M49" s="2">
        <f>[8]D_金币十连抽!$S$20*$M$8</f>
        <v>0.19102196752626557</v>
      </c>
      <c r="N49" s="2"/>
      <c r="O49" s="2">
        <f>[8]D_钻石十连抽!$Z$2</f>
        <v>0</v>
      </c>
      <c r="P49" s="2"/>
      <c r="Q49" s="2">
        <f>[8]D_金币商场!$U$28*$M$8</f>
        <v>0</v>
      </c>
      <c r="R49" s="2" t="e">
        <f>[8]D_神秘商店!#REF!*$M$8</f>
        <v>#REF!</v>
      </c>
      <c r="S49" s="2"/>
      <c r="T49" s="2"/>
      <c r="U49" s="2"/>
      <c r="V49" s="2">
        <f>[7]D_竞技场商城!$S$23*$M$8</f>
        <v>0</v>
      </c>
      <c r="W49" s="2"/>
      <c r="AA49" t="s">
        <v>998</v>
      </c>
      <c r="AE49">
        <v>0.33942857100000001</v>
      </c>
      <c r="AG49">
        <v>0.16346243199999999</v>
      </c>
      <c r="AI49">
        <v>1.726872247</v>
      </c>
      <c r="AJ49">
        <v>2.1141168449999999</v>
      </c>
      <c r="AN49">
        <v>3.7235012539999999</v>
      </c>
      <c r="AS49">
        <v>7</v>
      </c>
      <c r="AT49" s="155">
        <v>92275</v>
      </c>
      <c r="AU49" s="155" t="s">
        <v>1245</v>
      </c>
      <c r="AV49">
        <v>59</v>
      </c>
      <c r="AW49" s="155">
        <v>92275</v>
      </c>
      <c r="AX49" s="155">
        <v>92296</v>
      </c>
      <c r="AY49" s="155">
        <v>92261</v>
      </c>
      <c r="AZ49" s="155">
        <v>92292</v>
      </c>
      <c r="BA49" s="155">
        <v>92240</v>
      </c>
      <c r="BB49" s="155">
        <v>92256</v>
      </c>
      <c r="BC49" s="155">
        <v>92014</v>
      </c>
      <c r="BD49" s="155">
        <v>92281</v>
      </c>
      <c r="BE49" s="159">
        <v>92290</v>
      </c>
      <c r="BF49" s="159">
        <v>92286</v>
      </c>
    </row>
    <row r="50" spans="1:60">
      <c r="A50" s="92">
        <v>92281</v>
      </c>
      <c r="B50" s="92" t="s">
        <v>781</v>
      </c>
      <c r="C50" s="92">
        <f>[14]价值评估!R54</f>
        <v>1071.8683691207962</v>
      </c>
      <c r="D50" s="97">
        <f>INT([14]价值评估!S54*$J$4)</f>
        <v>17</v>
      </c>
      <c r="E50" s="92">
        <f>马仔装备价格评估!G50</f>
        <v>429</v>
      </c>
      <c r="I50" s="69" t="s">
        <v>578</v>
      </c>
      <c r="J50" s="73"/>
      <c r="K50" s="2"/>
      <c r="L50" s="2"/>
      <c r="M50" s="2"/>
      <c r="N50" s="2"/>
      <c r="O50" s="2">
        <f>([8]D_钻石十连抽!$Z$15+[8]D_钻石十连抽!$Z$23*M9)*J9/S9</f>
        <v>0</v>
      </c>
      <c r="P50" s="2"/>
      <c r="Q50" s="2"/>
      <c r="R50" s="2">
        <f>[8]D_神秘商店!$W$8*J9/$S$9</f>
        <v>0</v>
      </c>
      <c r="S50" s="2">
        <f>[8]D_钻石商场!$S$45*$M$9*$J$9/S9</f>
        <v>5.851316081833529</v>
      </c>
      <c r="T50" s="2"/>
      <c r="U50" s="2"/>
      <c r="V50" s="2">
        <f>[7]D_竞技场商城!$S$31</f>
        <v>3.773584905660377</v>
      </c>
      <c r="W50" s="2"/>
      <c r="AA50" t="s">
        <v>999</v>
      </c>
      <c r="AG50">
        <v>1.861861862</v>
      </c>
      <c r="AJ50">
        <v>6.1377585809999999</v>
      </c>
      <c r="AK50">
        <v>7.0512820510000003</v>
      </c>
      <c r="AN50">
        <v>2.2566674259999999</v>
      </c>
      <c r="AS50">
        <v>8</v>
      </c>
      <c r="AT50" s="155">
        <v>92281</v>
      </c>
      <c r="AU50" s="155" t="s">
        <v>1256</v>
      </c>
      <c r="AV50">
        <v>59</v>
      </c>
      <c r="AW50" s="155">
        <v>92296</v>
      </c>
      <c r="AX50" s="155">
        <v>92261</v>
      </c>
      <c r="AY50" s="155">
        <v>92281</v>
      </c>
      <c r="AZ50" s="155">
        <v>92256</v>
      </c>
      <c r="BA50" s="155">
        <v>92275</v>
      </c>
      <c r="BB50" s="155">
        <v>92292</v>
      </c>
      <c r="BC50" s="155">
        <v>92240</v>
      </c>
      <c r="BD50" s="155">
        <v>92014</v>
      </c>
      <c r="BE50" s="159">
        <v>92290</v>
      </c>
      <c r="BF50" s="159">
        <v>92286</v>
      </c>
    </row>
    <row r="51" spans="1:60">
      <c r="A51" s="92">
        <v>92286</v>
      </c>
      <c r="B51" s="92" t="s">
        <v>787</v>
      </c>
      <c r="C51" s="92">
        <f>[14]价值评估!R55</f>
        <v>1072.0008691207961</v>
      </c>
      <c r="D51" s="97">
        <f>INT([14]价值评估!S55*$J$4)</f>
        <v>30</v>
      </c>
      <c r="E51" s="92">
        <f>马仔装备价格评估!G51</f>
        <v>429</v>
      </c>
      <c r="I51" s="69" t="s">
        <v>579</v>
      </c>
      <c r="J51" s="73"/>
      <c r="K51" s="2"/>
      <c r="L51" s="2"/>
      <c r="M51" s="2"/>
      <c r="N51" s="2"/>
      <c r="O51" s="2">
        <f>([8]D_钻石十连抽!$Z$39+[8]D_钻石十连抽!$Z$53*M10)*J10/S10</f>
        <v>0</v>
      </c>
      <c r="P51" s="2"/>
      <c r="Q51" s="2"/>
      <c r="R51" s="2">
        <f>[8]D_神秘商店!$W$22*J10/$S$10</f>
        <v>0</v>
      </c>
      <c r="S51" s="2">
        <f>[8]D_钻石商场!$S$57*$M$10*J10/S10</f>
        <v>3.1718375698015708</v>
      </c>
      <c r="T51" s="2">
        <f>[8]D_VIP商城!$S$33*$M$10*J10/$S$10</f>
        <v>0</v>
      </c>
      <c r="U51" s="2"/>
      <c r="V51" s="2">
        <f>[7]D_竞技场商城!$S$55</f>
        <v>0</v>
      </c>
      <c r="W51" s="2"/>
      <c r="AA51" t="s">
        <v>1000</v>
      </c>
      <c r="AG51">
        <v>0.56193435700000005</v>
      </c>
      <c r="AJ51">
        <v>2.0459195270000001</v>
      </c>
      <c r="AK51">
        <v>3.1103098290000002</v>
      </c>
      <c r="AL51">
        <v>6.2312134160000001</v>
      </c>
      <c r="AN51">
        <v>0.78983359900000005</v>
      </c>
      <c r="AS51">
        <v>9</v>
      </c>
      <c r="AT51" s="155">
        <v>92286</v>
      </c>
      <c r="AU51" s="155" t="s">
        <v>1262</v>
      </c>
      <c r="AV51">
        <v>60</v>
      </c>
      <c r="AW51" s="155">
        <v>92281</v>
      </c>
      <c r="AX51" s="155">
        <v>92292</v>
      </c>
      <c r="AY51" s="155">
        <v>92256</v>
      </c>
      <c r="AZ51" s="155">
        <v>92261</v>
      </c>
      <c r="BA51" s="155">
        <v>92240</v>
      </c>
      <c r="BB51" s="155">
        <v>92275</v>
      </c>
      <c r="BC51" s="155">
        <v>92014</v>
      </c>
      <c r="BD51" s="155">
        <v>92296</v>
      </c>
      <c r="BE51" s="159">
        <v>92290</v>
      </c>
      <c r="BF51" s="159">
        <v>92286</v>
      </c>
    </row>
    <row r="52" spans="1:60">
      <c r="A52" s="92">
        <v>92290</v>
      </c>
      <c r="B52" s="92" t="s">
        <v>784</v>
      </c>
      <c r="C52" s="92">
        <f>[14]价值评估!R56</f>
        <v>1072.0008691207961</v>
      </c>
      <c r="D52" s="97">
        <f>INT([14]价值评估!S56*$J$4)</f>
        <v>27</v>
      </c>
      <c r="E52" s="92">
        <f>马仔装备价格评估!G52</f>
        <v>429</v>
      </c>
      <c r="I52" s="69" t="s">
        <v>580</v>
      </c>
      <c r="J52" s="73"/>
      <c r="K52" s="2"/>
      <c r="L52" s="2"/>
      <c r="M52" s="2"/>
      <c r="N52" s="2"/>
      <c r="O52" s="2">
        <f>([8]D_钻石十连抽!$Z$75+[8]D_钻石十连抽!$Z$97*M11)*J11/S11</f>
        <v>0</v>
      </c>
      <c r="P52" s="2"/>
      <c r="Q52" s="2"/>
      <c r="R52" s="2">
        <f>[8]D_神秘商店!$W$44*J11/S11</f>
        <v>0.31755915317559147</v>
      </c>
      <c r="S52" s="2"/>
      <c r="T52" s="2">
        <f>[8]D_VIP商城!$S$42*$M$11*J11/$S$11</f>
        <v>0</v>
      </c>
      <c r="U52" s="2"/>
      <c r="V52" s="2"/>
      <c r="W52" s="2"/>
      <c r="AA52" t="s">
        <v>1001</v>
      </c>
      <c r="AG52">
        <v>0.29961017699999998</v>
      </c>
      <c r="AJ52">
        <v>1.091157081</v>
      </c>
      <c r="AL52">
        <v>4.838484813</v>
      </c>
      <c r="AS52">
        <v>10</v>
      </c>
      <c r="AT52" s="155">
        <v>92290</v>
      </c>
      <c r="AU52" s="155" t="s">
        <v>1259</v>
      </c>
      <c r="AV52">
        <v>60</v>
      </c>
      <c r="AW52" s="155">
        <v>92292</v>
      </c>
      <c r="AX52" s="155">
        <v>92256</v>
      </c>
      <c r="AY52" s="155">
        <v>92240</v>
      </c>
      <c r="AZ52" s="155">
        <v>92275</v>
      </c>
      <c r="BA52" s="155">
        <v>92281</v>
      </c>
      <c r="BB52" s="155">
        <v>92014</v>
      </c>
      <c r="BC52" s="155">
        <v>92296</v>
      </c>
      <c r="BD52" s="155">
        <v>92261</v>
      </c>
      <c r="BE52" s="159">
        <v>92290</v>
      </c>
      <c r="BF52" s="159">
        <v>92286</v>
      </c>
    </row>
    <row r="53" spans="1:60">
      <c r="A53" s="92">
        <v>92026</v>
      </c>
      <c r="B53" s="92" t="s">
        <v>764</v>
      </c>
      <c r="C53" s="92">
        <f>[14]价值评估!R57</f>
        <v>2316.0770588593405</v>
      </c>
      <c r="D53" s="97">
        <f>INT([14]价值评估!S57*$J$4)</f>
        <v>7</v>
      </c>
      <c r="E53" s="92">
        <f>马仔装备价格评估!G53</f>
        <v>927</v>
      </c>
      <c r="AS53">
        <v>1</v>
      </c>
      <c r="AT53" s="155">
        <v>92026</v>
      </c>
      <c r="AU53" s="155" t="s">
        <v>1236</v>
      </c>
      <c r="AV53">
        <v>65</v>
      </c>
      <c r="AW53" s="155">
        <v>92026</v>
      </c>
      <c r="AX53" s="155">
        <v>92255</v>
      </c>
      <c r="AY53" s="155">
        <v>92297</v>
      </c>
      <c r="AZ53" s="155">
        <v>92293</v>
      </c>
      <c r="BA53" s="155">
        <v>92294</v>
      </c>
      <c r="BB53" s="155">
        <v>92295</v>
      </c>
      <c r="BC53" s="155">
        <v>92262</v>
      </c>
      <c r="BD53" s="155">
        <v>92298</v>
      </c>
      <c r="BE53" s="155">
        <v>92276</v>
      </c>
      <c r="BF53" s="155">
        <v>92282</v>
      </c>
      <c r="BG53" s="159">
        <v>92299</v>
      </c>
      <c r="BH53" s="159">
        <v>92291</v>
      </c>
    </row>
    <row r="54" spans="1:60">
      <c r="A54" s="92">
        <v>92255</v>
      </c>
      <c r="B54" s="92" t="s">
        <v>778</v>
      </c>
      <c r="C54" s="92">
        <f>[14]价值评估!R58</f>
        <v>2279.5797423483964</v>
      </c>
      <c r="D54" s="97">
        <f>INT([14]价值评估!S58*$J$4)</f>
        <v>7</v>
      </c>
      <c r="E54" s="92">
        <f>马仔装备价格评估!G54</f>
        <v>912</v>
      </c>
      <c r="AS54">
        <v>2</v>
      </c>
      <c r="AT54" s="155">
        <v>92255</v>
      </c>
      <c r="AU54" s="155" t="s">
        <v>1253</v>
      </c>
      <c r="AV54">
        <v>65</v>
      </c>
      <c r="AW54" s="155">
        <v>92282</v>
      </c>
      <c r="AX54" s="155">
        <v>92026</v>
      </c>
      <c r="AY54" s="155">
        <v>92298</v>
      </c>
      <c r="AZ54" s="155">
        <v>92293</v>
      </c>
      <c r="BA54" s="155">
        <v>92255</v>
      </c>
      <c r="BB54" s="155">
        <v>92276</v>
      </c>
      <c r="BC54" s="155">
        <v>92294</v>
      </c>
      <c r="BD54" s="155">
        <v>92262</v>
      </c>
      <c r="BE54" s="155">
        <v>92297</v>
      </c>
      <c r="BF54" s="155">
        <v>92295</v>
      </c>
      <c r="BG54" s="159">
        <v>92299</v>
      </c>
      <c r="BH54" s="159">
        <v>92291</v>
      </c>
    </row>
    <row r="55" spans="1:60">
      <c r="A55" s="92">
        <v>92297</v>
      </c>
      <c r="B55" s="92" t="s">
        <v>786</v>
      </c>
      <c r="C55" s="92">
        <f>[14]价值评估!R59</f>
        <v>2288.9595138008362</v>
      </c>
      <c r="D55" s="97">
        <f>INT([14]价值评估!S59*$J$4)</f>
        <v>3</v>
      </c>
      <c r="E55" s="92">
        <f>马仔装备价格评估!G55</f>
        <v>916</v>
      </c>
      <c r="AS55">
        <v>3</v>
      </c>
      <c r="AT55" s="155">
        <v>92297</v>
      </c>
      <c r="AU55" s="155" t="s">
        <v>1261</v>
      </c>
      <c r="AV55">
        <v>66</v>
      </c>
      <c r="AW55" s="155">
        <v>92294</v>
      </c>
      <c r="AX55" s="155">
        <v>92298</v>
      </c>
      <c r="AY55" s="155">
        <v>92026</v>
      </c>
      <c r="AZ55" s="155">
        <v>92276</v>
      </c>
      <c r="BA55" s="155">
        <v>92295</v>
      </c>
      <c r="BB55" s="155">
        <v>92255</v>
      </c>
      <c r="BC55" s="155">
        <v>92293</v>
      </c>
      <c r="BD55" s="155">
        <v>92282</v>
      </c>
      <c r="BE55" s="155">
        <v>92262</v>
      </c>
      <c r="BF55" s="155">
        <v>92297</v>
      </c>
      <c r="BG55" s="159">
        <v>92299</v>
      </c>
      <c r="BH55" s="159">
        <v>92291</v>
      </c>
    </row>
    <row r="56" spans="1:60">
      <c r="A56" s="92">
        <v>92293</v>
      </c>
      <c r="B56" s="92" t="s">
        <v>779</v>
      </c>
      <c r="C56" s="92">
        <f>[14]价值评估!R60</f>
        <v>2290.3788246776458</v>
      </c>
      <c r="D56" s="97">
        <f>INT([14]价值评估!S60*$J$4)</f>
        <v>6</v>
      </c>
      <c r="E56" s="92">
        <f>马仔装备价格评估!G56</f>
        <v>917</v>
      </c>
      <c r="AS56">
        <v>4</v>
      </c>
      <c r="AT56" s="155">
        <v>92293</v>
      </c>
      <c r="AU56" s="155" t="s">
        <v>1254</v>
      </c>
      <c r="AV56">
        <v>66</v>
      </c>
      <c r="AW56" s="155">
        <v>92298</v>
      </c>
      <c r="AX56" s="155">
        <v>92276</v>
      </c>
      <c r="AY56" s="155">
        <v>92294</v>
      </c>
      <c r="AZ56" s="155">
        <v>92026</v>
      </c>
      <c r="BA56" s="155">
        <v>92255</v>
      </c>
      <c r="BB56" s="155">
        <v>92262</v>
      </c>
      <c r="BC56" s="155">
        <v>92295</v>
      </c>
      <c r="BD56" s="155">
        <v>92293</v>
      </c>
      <c r="BE56" s="155">
        <v>92297</v>
      </c>
      <c r="BF56" s="155">
        <v>92282</v>
      </c>
      <c r="BG56" s="159">
        <v>92299</v>
      </c>
      <c r="BH56" s="159">
        <v>92291</v>
      </c>
    </row>
    <row r="57" spans="1:60">
      <c r="A57" s="92">
        <v>92294</v>
      </c>
      <c r="B57" s="92" t="s">
        <v>788</v>
      </c>
      <c r="C57" s="92">
        <f>[14]价值评估!R61</f>
        <v>2297.8089551673856</v>
      </c>
      <c r="D57" s="97">
        <f>INT([14]价值评估!S61*$J$4)</f>
        <v>7</v>
      </c>
      <c r="E57" s="92">
        <f>马仔装备价格评估!G57</f>
        <v>920</v>
      </c>
      <c r="AS57">
        <v>5</v>
      </c>
      <c r="AT57" s="155">
        <v>92294</v>
      </c>
      <c r="AU57" s="155" t="s">
        <v>1263</v>
      </c>
      <c r="AV57">
        <v>67</v>
      </c>
      <c r="AW57" s="155">
        <v>92295</v>
      </c>
      <c r="AX57" s="155">
        <v>92262</v>
      </c>
      <c r="AY57" s="155">
        <v>92255</v>
      </c>
      <c r="AZ57" s="155">
        <v>92294</v>
      </c>
      <c r="BA57" s="155">
        <v>92026</v>
      </c>
      <c r="BB57" s="155">
        <v>92282</v>
      </c>
      <c r="BC57" s="155">
        <v>92298</v>
      </c>
      <c r="BD57" s="155">
        <v>92297</v>
      </c>
      <c r="BE57" s="155">
        <v>92276</v>
      </c>
      <c r="BF57" s="155">
        <v>92293</v>
      </c>
      <c r="BG57" s="159">
        <v>92299</v>
      </c>
      <c r="BH57" s="159">
        <v>92291</v>
      </c>
    </row>
    <row r="58" spans="1:60">
      <c r="A58" s="92">
        <v>92295</v>
      </c>
      <c r="B58" s="92" t="s">
        <v>791</v>
      </c>
      <c r="C58" s="92">
        <f>[14]价值评估!R62</f>
        <v>2279.9385990398487</v>
      </c>
      <c r="D58" s="97">
        <f>INT([14]价值评估!S62*$J$4)</f>
        <v>5</v>
      </c>
      <c r="E58" s="92">
        <f>马仔装备价格评估!G58</f>
        <v>912</v>
      </c>
      <c r="AS58">
        <v>6</v>
      </c>
      <c r="AT58" s="155">
        <v>92295</v>
      </c>
      <c r="AU58" s="155" t="s">
        <v>1266</v>
      </c>
      <c r="AV58">
        <v>67</v>
      </c>
      <c r="AW58" s="155">
        <v>92282</v>
      </c>
      <c r="AX58" s="155">
        <v>92255</v>
      </c>
      <c r="AY58" s="155">
        <v>92295</v>
      </c>
      <c r="AZ58" s="155">
        <v>92262</v>
      </c>
      <c r="BA58" s="155">
        <v>92294</v>
      </c>
      <c r="BB58" s="155">
        <v>92026</v>
      </c>
      <c r="BC58" s="155">
        <v>92297</v>
      </c>
      <c r="BD58" s="155">
        <v>92276</v>
      </c>
      <c r="BE58" s="155">
        <v>92293</v>
      </c>
      <c r="BF58" s="155">
        <v>92298</v>
      </c>
      <c r="BG58" s="159">
        <v>92291</v>
      </c>
      <c r="BH58" s="159">
        <v>92299</v>
      </c>
    </row>
    <row r="59" spans="1:60">
      <c r="A59" s="92">
        <v>92262</v>
      </c>
      <c r="B59" s="92" t="s">
        <v>782</v>
      </c>
      <c r="C59" s="92">
        <f>[14]价值评估!R63</f>
        <v>2279.5797423483964</v>
      </c>
      <c r="D59" s="97">
        <f>INT([14]价值评估!S63*$J$4)</f>
        <v>4</v>
      </c>
      <c r="E59" s="92">
        <f>马仔装备价格评估!G59</f>
        <v>912</v>
      </c>
      <c r="AS59">
        <v>7</v>
      </c>
      <c r="AT59" s="155">
        <v>92262</v>
      </c>
      <c r="AU59" s="155" t="s">
        <v>1257</v>
      </c>
      <c r="AV59">
        <v>68</v>
      </c>
      <c r="AW59" s="155">
        <v>92255</v>
      </c>
      <c r="AX59" s="155">
        <v>92276</v>
      </c>
      <c r="AY59" s="155">
        <v>92297</v>
      </c>
      <c r="AZ59" s="155">
        <v>92293</v>
      </c>
      <c r="BA59" s="155">
        <v>92282</v>
      </c>
      <c r="BB59" s="155">
        <v>92295</v>
      </c>
      <c r="BC59" s="155">
        <v>92026</v>
      </c>
      <c r="BD59" s="155">
        <v>92294</v>
      </c>
      <c r="BE59" s="155">
        <v>92298</v>
      </c>
      <c r="BF59" s="155">
        <v>92262</v>
      </c>
      <c r="BG59" s="159">
        <v>92291</v>
      </c>
      <c r="BH59" s="159">
        <v>92299</v>
      </c>
    </row>
    <row r="60" spans="1:60">
      <c r="A60" s="92">
        <v>92298</v>
      </c>
      <c r="B60" s="92" t="s">
        <v>789</v>
      </c>
      <c r="C60" s="92">
        <f>[14]价值评估!R64</f>
        <v>2288.9595138008362</v>
      </c>
      <c r="D60" s="97">
        <f>INT([14]价值评估!S64*$J$4)</f>
        <v>5</v>
      </c>
      <c r="E60" s="92">
        <f>马仔装备价格评估!G60</f>
        <v>916</v>
      </c>
      <c r="AS60">
        <v>8</v>
      </c>
      <c r="AT60" s="155">
        <v>92298</v>
      </c>
      <c r="AU60" s="155" t="s">
        <v>1264</v>
      </c>
      <c r="AV60">
        <v>68</v>
      </c>
      <c r="AW60" s="155">
        <v>92276</v>
      </c>
      <c r="AX60" s="155">
        <v>92297</v>
      </c>
      <c r="AY60" s="155">
        <v>92293</v>
      </c>
      <c r="AZ60" s="155">
        <v>92298</v>
      </c>
      <c r="BA60" s="155">
        <v>92255</v>
      </c>
      <c r="BB60" s="155">
        <v>92294</v>
      </c>
      <c r="BC60" s="155">
        <v>92262</v>
      </c>
      <c r="BD60" s="155">
        <v>92026</v>
      </c>
      <c r="BE60" s="155">
        <v>92282</v>
      </c>
      <c r="BF60" s="155">
        <v>92295</v>
      </c>
      <c r="BG60" s="159">
        <v>92291</v>
      </c>
      <c r="BH60" s="159">
        <v>92299</v>
      </c>
    </row>
    <row r="61" spans="1:60">
      <c r="A61" s="92">
        <v>92276</v>
      </c>
      <c r="B61" s="92" t="s">
        <v>783</v>
      </c>
      <c r="C61" s="92">
        <f>[14]价值评估!R65</f>
        <v>2308.3817633266553</v>
      </c>
      <c r="D61" s="97">
        <f>INT([14]价值评估!S65*$J$4)</f>
        <v>4</v>
      </c>
      <c r="E61" s="92">
        <f>马仔装备价格评估!G61</f>
        <v>924</v>
      </c>
      <c r="AS61">
        <v>9</v>
      </c>
      <c r="AT61" s="155">
        <v>92276</v>
      </c>
      <c r="AU61" s="155" t="s">
        <v>1258</v>
      </c>
      <c r="AV61">
        <v>69</v>
      </c>
      <c r="AW61" s="155">
        <v>92297</v>
      </c>
      <c r="AX61" s="155">
        <v>92298</v>
      </c>
      <c r="AY61" s="155">
        <v>92294</v>
      </c>
      <c r="AZ61" s="155">
        <v>92276</v>
      </c>
      <c r="BA61" s="155">
        <v>92293</v>
      </c>
      <c r="BB61" s="155">
        <v>92255</v>
      </c>
      <c r="BC61" s="155">
        <v>92295</v>
      </c>
      <c r="BD61" s="155">
        <v>92262</v>
      </c>
      <c r="BE61" s="155">
        <v>92026</v>
      </c>
      <c r="BF61" s="155">
        <v>92282</v>
      </c>
      <c r="BG61" s="159">
        <v>92291</v>
      </c>
      <c r="BH61" s="159">
        <v>92299</v>
      </c>
    </row>
    <row r="62" spans="1:60">
      <c r="A62" s="92">
        <v>92282</v>
      </c>
      <c r="B62" s="92" t="s">
        <v>785</v>
      </c>
      <c r="C62" s="92">
        <f>[14]价值评估!R66</f>
        <v>2315.9444763378679</v>
      </c>
      <c r="D62" s="97">
        <f>INT([14]价值评估!S66*$J$4)</f>
        <v>4</v>
      </c>
      <c r="E62" s="92">
        <f>马仔装备价格评估!G62</f>
        <v>927</v>
      </c>
      <c r="AS62">
        <v>10</v>
      </c>
      <c r="AT62" s="155">
        <v>92282</v>
      </c>
      <c r="AU62" s="155" t="s">
        <v>1260</v>
      </c>
      <c r="AV62">
        <v>69</v>
      </c>
      <c r="AW62" s="155">
        <v>92298</v>
      </c>
      <c r="AX62" s="155">
        <v>92294</v>
      </c>
      <c r="AY62" s="155">
        <v>92297</v>
      </c>
      <c r="AZ62" s="155">
        <v>92295</v>
      </c>
      <c r="BA62" s="155">
        <v>92255</v>
      </c>
      <c r="BB62" s="155">
        <v>92282</v>
      </c>
      <c r="BC62" s="155">
        <v>92293</v>
      </c>
      <c r="BD62" s="155">
        <v>92276</v>
      </c>
      <c r="BE62" s="155">
        <v>92262</v>
      </c>
      <c r="BF62" s="155">
        <v>92026</v>
      </c>
      <c r="BG62" s="159">
        <v>92291</v>
      </c>
      <c r="BH62" s="159">
        <v>92299</v>
      </c>
    </row>
    <row r="63" spans="1:60">
      <c r="A63" s="92">
        <v>92299</v>
      </c>
      <c r="B63" s="92" t="s">
        <v>792</v>
      </c>
      <c r="C63" s="92">
        <f>[14]价值评估!R67</f>
        <v>2316.0381679863749</v>
      </c>
      <c r="D63" s="97">
        <f>INT([14]价值评估!S67*$J$4)</f>
        <v>7</v>
      </c>
      <c r="E63" s="92">
        <f>马仔装备价格评估!G63</f>
        <v>927</v>
      </c>
      <c r="AS63">
        <v>11</v>
      </c>
      <c r="AT63" s="155">
        <v>92299</v>
      </c>
      <c r="AU63" s="155" t="s">
        <v>1267</v>
      </c>
      <c r="AV63">
        <v>70</v>
      </c>
    </row>
    <row r="64" spans="1:60">
      <c r="A64" s="92">
        <v>92291</v>
      </c>
      <c r="B64" s="92" t="s">
        <v>790</v>
      </c>
      <c r="C64" s="92">
        <f>[14]价值评估!R68</f>
        <v>2316.0381679863749</v>
      </c>
      <c r="D64" s="97">
        <f>INT([14]价值评估!S68*$J$4)</f>
        <v>7</v>
      </c>
      <c r="E64" s="92">
        <f>马仔装备价格评估!G64</f>
        <v>927</v>
      </c>
      <c r="AS64">
        <v>12</v>
      </c>
      <c r="AT64" s="155">
        <v>92291</v>
      </c>
      <c r="AU64" s="155" t="s">
        <v>1265</v>
      </c>
      <c r="AV64">
        <v>70</v>
      </c>
    </row>
    <row r="65" spans="1:48">
      <c r="A65" s="89">
        <v>93233</v>
      </c>
      <c r="B65" s="89" t="s">
        <v>1341</v>
      </c>
      <c r="C65" s="89">
        <f>[14]价值评估!R69</f>
        <v>10</v>
      </c>
      <c r="D65" s="156">
        <f>INT([14]价值评估!S69*(1-$J$4))</f>
        <v>1337</v>
      </c>
      <c r="E65" s="89">
        <f>马仔装备价格评估!G65</f>
        <v>2</v>
      </c>
      <c r="F65">
        <f>D65/D11</f>
        <v>3.5</v>
      </c>
      <c r="AT65" s="151">
        <v>93233</v>
      </c>
      <c r="AU65" s="151" t="s">
        <v>1341</v>
      </c>
      <c r="AV65">
        <v>21</v>
      </c>
    </row>
    <row r="66" spans="1:48">
      <c r="A66" s="89">
        <v>93122</v>
      </c>
      <c r="B66" s="89" t="s">
        <v>1342</v>
      </c>
      <c r="C66" s="89">
        <f>[14]价值评估!R70</f>
        <v>10</v>
      </c>
      <c r="D66" s="156">
        <f>INT([14]价值评估!S70*(1-$J$4))</f>
        <v>1267</v>
      </c>
      <c r="E66" s="89">
        <f>马仔装备价格评估!G66</f>
        <v>2</v>
      </c>
      <c r="F66">
        <f t="shared" ref="F66:F118" si="10">D66/D12</f>
        <v>3.5</v>
      </c>
      <c r="AT66" s="151">
        <v>93122</v>
      </c>
      <c r="AU66" s="151" t="s">
        <v>1342</v>
      </c>
      <c r="AV66">
        <v>21</v>
      </c>
    </row>
    <row r="67" spans="1:48">
      <c r="A67" s="89">
        <v>93141</v>
      </c>
      <c r="B67" s="89" t="s">
        <v>1343</v>
      </c>
      <c r="C67" s="89">
        <f>[14]价值评估!R71</f>
        <v>10</v>
      </c>
      <c r="D67" s="156">
        <f>INT([14]价值评估!S71*(1-$J$4))</f>
        <v>1333</v>
      </c>
      <c r="E67" s="89">
        <f>马仔装备价格评估!G67</f>
        <v>2</v>
      </c>
      <c r="F67">
        <f t="shared" si="10"/>
        <v>3.4986876640419946</v>
      </c>
      <c r="AT67" s="151">
        <v>93141</v>
      </c>
      <c r="AU67" s="151" t="s">
        <v>1343</v>
      </c>
      <c r="AV67">
        <v>22</v>
      </c>
    </row>
    <row r="68" spans="1:48">
      <c r="A68" s="89">
        <v>93245</v>
      </c>
      <c r="B68" s="89" t="s">
        <v>1344</v>
      </c>
      <c r="C68" s="89">
        <f>[14]价值评估!R72</f>
        <v>10</v>
      </c>
      <c r="D68" s="156">
        <f>INT([14]价值评估!S72*(1-$J$4))</f>
        <v>966</v>
      </c>
      <c r="E68" s="89">
        <f>马仔装备价格评估!G68</f>
        <v>2</v>
      </c>
      <c r="F68">
        <f t="shared" si="10"/>
        <v>3.5</v>
      </c>
      <c r="AT68" s="151">
        <v>93245</v>
      </c>
      <c r="AU68" s="151" t="s">
        <v>1344</v>
      </c>
      <c r="AV68">
        <v>22</v>
      </c>
    </row>
    <row r="69" spans="1:48">
      <c r="A69" s="89">
        <v>93251</v>
      </c>
      <c r="B69" s="89" t="s">
        <v>793</v>
      </c>
      <c r="C69" s="89">
        <f>[14]价值评估!R73</f>
        <v>10</v>
      </c>
      <c r="D69" s="156">
        <f>INT([14]价值评估!S73*(1-$J$4))</f>
        <v>1641</v>
      </c>
      <c r="E69" s="89">
        <f>马仔装备价格评估!G69</f>
        <v>2</v>
      </c>
      <c r="F69">
        <f t="shared" si="10"/>
        <v>3.4989339019189765</v>
      </c>
      <c r="AT69" s="151">
        <v>93251</v>
      </c>
      <c r="AU69" s="151" t="s">
        <v>793</v>
      </c>
      <c r="AV69">
        <v>23</v>
      </c>
    </row>
    <row r="70" spans="1:48">
      <c r="A70" s="89">
        <v>93264</v>
      </c>
      <c r="B70" s="89" t="s">
        <v>1345</v>
      </c>
      <c r="C70" s="89">
        <f>[14]价值评估!R74</f>
        <v>10</v>
      </c>
      <c r="D70" s="156">
        <f>INT([14]价值评估!S74*(1-$J$4))</f>
        <v>714</v>
      </c>
      <c r="E70" s="89">
        <f>马仔装备价格评估!G70</f>
        <v>2</v>
      </c>
      <c r="F70">
        <f t="shared" si="10"/>
        <v>3.5</v>
      </c>
      <c r="AT70" s="151">
        <v>93264</v>
      </c>
      <c r="AU70" s="151" t="s">
        <v>1345</v>
      </c>
      <c r="AV70">
        <v>23</v>
      </c>
    </row>
    <row r="71" spans="1:48">
      <c r="A71" s="89">
        <v>93271</v>
      </c>
      <c r="B71" s="89" t="s">
        <v>794</v>
      </c>
      <c r="C71" s="89">
        <f>[14]价值评估!R75</f>
        <v>10</v>
      </c>
      <c r="D71" s="156">
        <f>INT([14]价值评估!S75*(1-$J$4))</f>
        <v>378</v>
      </c>
      <c r="E71" s="89">
        <f>马仔装备价格评估!G71</f>
        <v>2</v>
      </c>
      <c r="F71">
        <f t="shared" si="10"/>
        <v>3.5</v>
      </c>
      <c r="AT71" s="151">
        <v>93271</v>
      </c>
      <c r="AU71" s="151" t="s">
        <v>794</v>
      </c>
      <c r="AV71">
        <v>24</v>
      </c>
    </row>
    <row r="72" spans="1:48">
      <c r="A72" s="89">
        <v>93278</v>
      </c>
      <c r="B72" s="89" t="s">
        <v>815</v>
      </c>
      <c r="C72" s="89">
        <f>[14]价值评估!R76</f>
        <v>10</v>
      </c>
      <c r="D72" s="156">
        <f>INT([14]价值评估!S76*(1-$J$4))</f>
        <v>784</v>
      </c>
      <c r="E72" s="89">
        <f>马仔装备价格评估!G72</f>
        <v>2</v>
      </c>
      <c r="F72">
        <f t="shared" si="10"/>
        <v>3.5</v>
      </c>
      <c r="J72">
        <v>60</v>
      </c>
      <c r="K72">
        <v>59</v>
      </c>
      <c r="L72">
        <f>J72-K72</f>
        <v>1</v>
      </c>
      <c r="N72">
        <v>56</v>
      </c>
      <c r="P72">
        <v>56</v>
      </c>
      <c r="AT72" s="151">
        <v>93278</v>
      </c>
      <c r="AU72" s="151" t="s">
        <v>815</v>
      </c>
      <c r="AV72">
        <v>24</v>
      </c>
    </row>
    <row r="73" spans="1:48">
      <c r="A73" s="89">
        <v>93283</v>
      </c>
      <c r="B73" s="89" t="s">
        <v>798</v>
      </c>
      <c r="C73" s="89">
        <f>[14]价值评估!R77</f>
        <v>10</v>
      </c>
      <c r="D73" s="156">
        <f>INT([14]价值评估!S77*(1-$J$4))</f>
        <v>2495</v>
      </c>
      <c r="E73" s="89">
        <f>马仔装备价格评估!G73</f>
        <v>2</v>
      </c>
      <c r="F73">
        <f t="shared" si="10"/>
        <v>3.4992987377279103</v>
      </c>
      <c r="J73">
        <v>59</v>
      </c>
      <c r="K73">
        <v>60</v>
      </c>
      <c r="L73">
        <f t="shared" ref="L73:L93" si="11">J73-K73</f>
        <v>-1</v>
      </c>
      <c r="N73">
        <v>56</v>
      </c>
      <c r="P73">
        <v>56</v>
      </c>
      <c r="AT73" s="151">
        <v>93283</v>
      </c>
      <c r="AU73" s="151" t="s">
        <v>798</v>
      </c>
      <c r="AV73">
        <v>25</v>
      </c>
    </row>
    <row r="74" spans="1:48">
      <c r="A74" s="89">
        <v>93287</v>
      </c>
      <c r="B74" s="89" t="s">
        <v>799</v>
      </c>
      <c r="C74" s="89">
        <f>[14]价值评估!R78</f>
        <v>10</v>
      </c>
      <c r="D74" s="156">
        <f>INT([14]价值评估!S78*(1-$J$4))</f>
        <v>2292</v>
      </c>
      <c r="E74" s="89">
        <f>马仔装备价格评估!G74</f>
        <v>2</v>
      </c>
      <c r="F74">
        <f t="shared" si="10"/>
        <v>3.499236641221374</v>
      </c>
      <c r="J74">
        <v>68</v>
      </c>
      <c r="K74">
        <v>68</v>
      </c>
      <c r="L74">
        <f t="shared" si="11"/>
        <v>0</v>
      </c>
      <c r="N74">
        <v>57</v>
      </c>
      <c r="P74">
        <v>57</v>
      </c>
      <c r="AT74" s="151">
        <v>93287</v>
      </c>
      <c r="AU74" s="151" t="s">
        <v>799</v>
      </c>
      <c r="AV74">
        <v>25</v>
      </c>
    </row>
    <row r="75" spans="1:48">
      <c r="A75" s="90">
        <v>93142</v>
      </c>
      <c r="B75" s="90" t="s">
        <v>1346</v>
      </c>
      <c r="C75" s="90">
        <f>[14]价值评估!R79</f>
        <v>20</v>
      </c>
      <c r="D75" s="95">
        <f>INT([14]价值评估!S79*(1-$J$4))</f>
        <v>773</v>
      </c>
      <c r="E75" s="90">
        <f>马仔装备价格评估!G75</f>
        <v>4</v>
      </c>
      <c r="F75">
        <f t="shared" si="10"/>
        <v>3.497737556561086</v>
      </c>
      <c r="J75">
        <v>56</v>
      </c>
      <c r="K75">
        <v>56</v>
      </c>
      <c r="L75">
        <f t="shared" si="11"/>
        <v>0</v>
      </c>
      <c r="N75">
        <v>57</v>
      </c>
      <c r="P75">
        <v>57</v>
      </c>
      <c r="AT75" s="152">
        <v>93142</v>
      </c>
      <c r="AU75" s="152" t="s">
        <v>1346</v>
      </c>
      <c r="AV75">
        <v>36</v>
      </c>
    </row>
    <row r="76" spans="1:48">
      <c r="A76" s="90">
        <v>93235</v>
      </c>
      <c r="B76" s="90" t="s">
        <v>818</v>
      </c>
      <c r="C76" s="90">
        <f>[14]价值评估!R80</f>
        <v>20</v>
      </c>
      <c r="D76" s="95">
        <f>INT([14]价值评估!S80*(1-$J$4))</f>
        <v>794</v>
      </c>
      <c r="E76" s="90">
        <f>马仔装备价格评估!G76</f>
        <v>4</v>
      </c>
      <c r="F76">
        <f t="shared" si="10"/>
        <v>3.4977973568281939</v>
      </c>
      <c r="J76">
        <v>70</v>
      </c>
      <c r="K76">
        <v>70</v>
      </c>
      <c r="L76">
        <f t="shared" si="11"/>
        <v>0</v>
      </c>
      <c r="N76">
        <v>57</v>
      </c>
      <c r="P76">
        <v>58</v>
      </c>
      <c r="AT76" s="152">
        <v>93235</v>
      </c>
      <c r="AU76" s="152" t="s">
        <v>818</v>
      </c>
      <c r="AV76">
        <v>36</v>
      </c>
    </row>
    <row r="77" spans="1:48">
      <c r="A77" s="90">
        <v>93012</v>
      </c>
      <c r="B77" s="90" t="s">
        <v>1347</v>
      </c>
      <c r="C77" s="90">
        <f>[14]价值评估!R81</f>
        <v>20</v>
      </c>
      <c r="D77" s="95">
        <f>INT([14]价值评估!S81*(1-$J$4))</f>
        <v>367</v>
      </c>
      <c r="E77" s="90">
        <f>马仔装备价格评估!G77</f>
        <v>4</v>
      </c>
      <c r="F77">
        <f t="shared" si="10"/>
        <v>11.838709677419354</v>
      </c>
      <c r="J77">
        <v>59</v>
      </c>
      <c r="K77">
        <v>59</v>
      </c>
      <c r="L77">
        <f t="shared" si="11"/>
        <v>0</v>
      </c>
      <c r="N77">
        <v>58</v>
      </c>
      <c r="P77">
        <v>58</v>
      </c>
      <c r="AT77" s="152">
        <v>93012</v>
      </c>
      <c r="AU77" s="152" t="s">
        <v>1347</v>
      </c>
      <c r="AV77">
        <v>37</v>
      </c>
    </row>
    <row r="78" spans="1:48">
      <c r="A78" s="90">
        <v>93252</v>
      </c>
      <c r="B78" s="90" t="s">
        <v>1348</v>
      </c>
      <c r="C78" s="90">
        <f>[14]价值评估!R82</f>
        <v>20</v>
      </c>
      <c r="D78" s="95">
        <f>INT([14]价值评估!S82*(1-$J$4))</f>
        <v>1078</v>
      </c>
      <c r="E78" s="90">
        <f>马仔装备价格评估!G78</f>
        <v>4</v>
      </c>
      <c r="F78">
        <f t="shared" si="10"/>
        <v>11.717391304347826</v>
      </c>
      <c r="J78">
        <v>59</v>
      </c>
      <c r="K78">
        <v>60</v>
      </c>
      <c r="L78">
        <f t="shared" si="11"/>
        <v>-1</v>
      </c>
      <c r="N78">
        <v>59</v>
      </c>
      <c r="P78">
        <v>59</v>
      </c>
      <c r="AT78" s="152">
        <v>93252</v>
      </c>
      <c r="AU78" s="152" t="s">
        <v>1348</v>
      </c>
      <c r="AV78">
        <v>37</v>
      </c>
    </row>
    <row r="79" spans="1:48">
      <c r="A79" s="90">
        <v>93124</v>
      </c>
      <c r="B79" s="90" t="s">
        <v>1349</v>
      </c>
      <c r="C79" s="90">
        <f>[14]价值评估!R83</f>
        <v>20</v>
      </c>
      <c r="D79" s="95">
        <f>INT([14]价值评估!S83*(1-$J$4))</f>
        <v>819</v>
      </c>
      <c r="E79" s="90">
        <f>马仔装备价格评估!G79</f>
        <v>4</v>
      </c>
      <c r="F79">
        <f t="shared" si="10"/>
        <v>11.7</v>
      </c>
      <c r="J79">
        <v>66</v>
      </c>
      <c r="K79">
        <v>66</v>
      </c>
      <c r="L79">
        <f t="shared" si="11"/>
        <v>0</v>
      </c>
      <c r="N79">
        <v>59</v>
      </c>
      <c r="P79">
        <v>59</v>
      </c>
      <c r="AT79" s="152">
        <v>93124</v>
      </c>
      <c r="AU79" s="152" t="s">
        <v>1349</v>
      </c>
      <c r="AV79">
        <v>38</v>
      </c>
    </row>
    <row r="80" spans="1:48">
      <c r="A80" s="90">
        <v>93272</v>
      </c>
      <c r="B80" s="90" t="s">
        <v>1350</v>
      </c>
      <c r="C80" s="90">
        <f>[14]价值评估!R84</f>
        <v>20</v>
      </c>
      <c r="D80" s="95">
        <f>INT([14]价值评估!S84*(1-$J$4))</f>
        <v>325</v>
      </c>
      <c r="E80" s="90">
        <f>马仔装备价格评估!G80</f>
        <v>4</v>
      </c>
      <c r="F80">
        <f t="shared" si="10"/>
        <v>12.037037037037036</v>
      </c>
      <c r="J80">
        <v>56</v>
      </c>
      <c r="K80">
        <v>56</v>
      </c>
      <c r="L80">
        <f t="shared" si="11"/>
        <v>0</v>
      </c>
      <c r="N80">
        <v>59</v>
      </c>
      <c r="P80">
        <v>60</v>
      </c>
      <c r="AT80" s="152">
        <v>93272</v>
      </c>
      <c r="AU80" s="152" t="s">
        <v>1350</v>
      </c>
      <c r="AV80">
        <v>38</v>
      </c>
    </row>
    <row r="81" spans="1:48">
      <c r="A81" s="90">
        <v>93273</v>
      </c>
      <c r="B81" s="90" t="s">
        <v>814</v>
      </c>
      <c r="C81" s="90">
        <f>[14]价值评估!R85</f>
        <v>20</v>
      </c>
      <c r="D81" s="95">
        <f>INT([14]价值评估!S85*(1-$J$4))</f>
        <v>301</v>
      </c>
      <c r="E81" s="90">
        <f>马仔装备价格评估!G81</f>
        <v>4</v>
      </c>
      <c r="F81">
        <f t="shared" si="10"/>
        <v>12.04</v>
      </c>
      <c r="J81">
        <v>66</v>
      </c>
      <c r="K81">
        <v>68</v>
      </c>
      <c r="L81">
        <f t="shared" si="11"/>
        <v>-2</v>
      </c>
      <c r="N81">
        <v>60</v>
      </c>
      <c r="P81">
        <v>60</v>
      </c>
      <c r="AT81" s="152">
        <v>93273</v>
      </c>
      <c r="AU81" s="152" t="s">
        <v>814</v>
      </c>
      <c r="AV81">
        <v>39</v>
      </c>
    </row>
    <row r="82" spans="1:48">
      <c r="A82" s="90">
        <v>93279</v>
      </c>
      <c r="B82" s="90" t="s">
        <v>813</v>
      </c>
      <c r="C82" s="90">
        <f>[14]价值评估!R86</f>
        <v>20</v>
      </c>
      <c r="D82" s="95">
        <f>INT([14]价值评估!S86*(1-$J$4))</f>
        <v>346</v>
      </c>
      <c r="E82" s="90">
        <f>马仔装备价格评估!G82</f>
        <v>4</v>
      </c>
      <c r="F82">
        <f t="shared" si="10"/>
        <v>11.931034482758621</v>
      </c>
      <c r="J82">
        <v>66</v>
      </c>
      <c r="K82">
        <v>67</v>
      </c>
      <c r="L82">
        <f t="shared" si="11"/>
        <v>-1</v>
      </c>
      <c r="N82">
        <v>66</v>
      </c>
      <c r="P82">
        <v>66</v>
      </c>
      <c r="AT82" s="152">
        <v>93279</v>
      </c>
      <c r="AU82" s="152" t="s">
        <v>813</v>
      </c>
      <c r="AV82">
        <v>39</v>
      </c>
    </row>
    <row r="83" spans="1:48">
      <c r="A83" s="90">
        <v>93284</v>
      </c>
      <c r="B83" s="90" t="s">
        <v>800</v>
      </c>
      <c r="C83" s="90">
        <f>[14]价值评估!R87</f>
        <v>20</v>
      </c>
      <c r="D83" s="95">
        <f>INT([14]价值评估!S87*(1-$J$4))</f>
        <v>2404</v>
      </c>
      <c r="E83" s="90">
        <f>马仔装备价格评估!G83</f>
        <v>4</v>
      </c>
      <c r="F83">
        <f t="shared" si="10"/>
        <v>11.669902912621358</v>
      </c>
      <c r="J83">
        <v>58</v>
      </c>
      <c r="K83">
        <v>57</v>
      </c>
      <c r="L83">
        <f t="shared" si="11"/>
        <v>1</v>
      </c>
      <c r="N83">
        <v>66</v>
      </c>
      <c r="P83">
        <v>66</v>
      </c>
      <c r="AT83" s="152">
        <v>93284</v>
      </c>
      <c r="AU83" s="152" t="s">
        <v>800</v>
      </c>
      <c r="AV83">
        <v>40</v>
      </c>
    </row>
    <row r="84" spans="1:48">
      <c r="A84" s="90">
        <v>93288</v>
      </c>
      <c r="B84" s="90" t="s">
        <v>810</v>
      </c>
      <c r="C84" s="90">
        <f>[14]价值评估!R88</f>
        <v>20</v>
      </c>
      <c r="D84" s="95">
        <f>INT([14]价值评估!S88*(1-$J$4))</f>
        <v>2201</v>
      </c>
      <c r="E84" s="90">
        <f>马仔装备价格评估!G84</f>
        <v>4</v>
      </c>
      <c r="F84">
        <f t="shared" si="10"/>
        <v>11.707446808510639</v>
      </c>
      <c r="J84">
        <v>68</v>
      </c>
      <c r="K84">
        <v>67</v>
      </c>
      <c r="L84">
        <f t="shared" si="11"/>
        <v>1</v>
      </c>
      <c r="N84">
        <v>66</v>
      </c>
      <c r="P84">
        <v>66</v>
      </c>
      <c r="AT84" s="152">
        <v>93288</v>
      </c>
      <c r="AU84" s="152" t="s">
        <v>810</v>
      </c>
      <c r="AV84">
        <v>40</v>
      </c>
    </row>
    <row r="85" spans="1:48">
      <c r="A85" s="91">
        <v>93125</v>
      </c>
      <c r="B85" s="91" t="s">
        <v>807</v>
      </c>
      <c r="C85" s="91">
        <f>[14]价值评估!R89</f>
        <v>30</v>
      </c>
      <c r="D85" s="96">
        <f>INT([14]价值评估!S89*(1-$J$4))</f>
        <v>728</v>
      </c>
      <c r="E85" s="91">
        <f>马仔装备价格评估!G85</f>
        <v>6</v>
      </c>
      <c r="F85">
        <f t="shared" si="10"/>
        <v>23.483870967741936</v>
      </c>
      <c r="J85">
        <v>57</v>
      </c>
      <c r="K85">
        <v>58</v>
      </c>
      <c r="L85">
        <f t="shared" si="11"/>
        <v>-1</v>
      </c>
      <c r="N85">
        <v>66</v>
      </c>
      <c r="P85">
        <v>67</v>
      </c>
      <c r="AT85" s="154">
        <v>93125</v>
      </c>
      <c r="AU85" s="154" t="s">
        <v>807</v>
      </c>
      <c r="AV85">
        <v>45</v>
      </c>
    </row>
    <row r="86" spans="1:48">
      <c r="A86" s="91">
        <v>93134</v>
      </c>
      <c r="B86" s="91" t="s">
        <v>1351</v>
      </c>
      <c r="C86" s="91">
        <f>[14]价值评估!R90</f>
        <v>30</v>
      </c>
      <c r="D86" s="96">
        <f>INT([14]价值评估!S90*(1-$J$4))</f>
        <v>756</v>
      </c>
      <c r="E86" s="91">
        <f>马仔装备价格评估!G86</f>
        <v>6</v>
      </c>
      <c r="F86">
        <f t="shared" si="10"/>
        <v>23.625</v>
      </c>
      <c r="J86">
        <v>57</v>
      </c>
      <c r="K86">
        <v>57</v>
      </c>
      <c r="L86">
        <f t="shared" si="11"/>
        <v>0</v>
      </c>
      <c r="N86">
        <v>68</v>
      </c>
      <c r="P86">
        <v>67</v>
      </c>
      <c r="AT86" s="154">
        <v>93134</v>
      </c>
      <c r="AU86" s="154" t="s">
        <v>1351</v>
      </c>
      <c r="AV86">
        <v>45</v>
      </c>
    </row>
    <row r="87" spans="1:48">
      <c r="A87" s="91">
        <v>93223</v>
      </c>
      <c r="B87" s="91" t="s">
        <v>490</v>
      </c>
      <c r="C87" s="91">
        <f>[14]价值评估!R91</f>
        <v>30</v>
      </c>
      <c r="D87" s="96">
        <f>INT([14]价值评估!S91*(1-$J$4))</f>
        <v>910</v>
      </c>
      <c r="E87" s="91">
        <f>马仔装备价格评估!G87</f>
        <v>6</v>
      </c>
      <c r="F87">
        <f t="shared" si="10"/>
        <v>23.333333333333332</v>
      </c>
      <c r="J87">
        <v>57</v>
      </c>
      <c r="K87">
        <v>58</v>
      </c>
      <c r="L87">
        <f t="shared" si="11"/>
        <v>-1</v>
      </c>
      <c r="N87">
        <v>68</v>
      </c>
      <c r="P87">
        <v>68</v>
      </c>
      <c r="AT87" s="154">
        <v>93223</v>
      </c>
      <c r="AU87" s="154" t="s">
        <v>490</v>
      </c>
      <c r="AV87">
        <v>46</v>
      </c>
    </row>
    <row r="88" spans="1:48">
      <c r="A88" s="91">
        <v>93227</v>
      </c>
      <c r="B88" s="91" t="s">
        <v>797</v>
      </c>
      <c r="C88" s="91">
        <f>[14]价值评估!R92</f>
        <v>30</v>
      </c>
      <c r="D88" s="96">
        <f>INT([14]价值评估!S92*(1-$J$4))</f>
        <v>987</v>
      </c>
      <c r="E88" s="91">
        <f>马仔装备价格评估!G88</f>
        <v>6</v>
      </c>
      <c r="F88">
        <f t="shared" si="10"/>
        <v>23.5</v>
      </c>
      <c r="J88">
        <v>70</v>
      </c>
      <c r="K88">
        <v>70</v>
      </c>
      <c r="L88">
        <f t="shared" si="11"/>
        <v>0</v>
      </c>
      <c r="N88">
        <v>68</v>
      </c>
      <c r="P88">
        <v>68</v>
      </c>
      <c r="AT88" s="154">
        <v>93227</v>
      </c>
      <c r="AU88" s="154" t="s">
        <v>797</v>
      </c>
      <c r="AV88">
        <v>46</v>
      </c>
    </row>
    <row r="89" spans="1:48">
      <c r="A89" s="91">
        <v>93236</v>
      </c>
      <c r="B89" s="91" t="s">
        <v>804</v>
      </c>
      <c r="C89" s="91">
        <f>[14]价值评估!R93</f>
        <v>30</v>
      </c>
      <c r="D89" s="96">
        <f>INT([14]价值评估!S93*(1-$J$4))</f>
        <v>469</v>
      </c>
      <c r="E89" s="91">
        <f>马仔装备价格评估!G89</f>
        <v>6</v>
      </c>
      <c r="F89">
        <f t="shared" si="10"/>
        <v>23.45</v>
      </c>
      <c r="J89">
        <v>68</v>
      </c>
      <c r="K89">
        <v>66</v>
      </c>
      <c r="L89">
        <f t="shared" si="11"/>
        <v>2</v>
      </c>
      <c r="N89">
        <v>68</v>
      </c>
      <c r="P89">
        <v>68</v>
      </c>
      <c r="AT89" s="154">
        <v>93236</v>
      </c>
      <c r="AU89" s="154" t="s">
        <v>804</v>
      </c>
      <c r="AV89">
        <v>47</v>
      </c>
    </row>
    <row r="90" spans="1:48">
      <c r="A90" s="91">
        <v>93013</v>
      </c>
      <c r="B90" s="91" t="s">
        <v>489</v>
      </c>
      <c r="C90" s="91">
        <f>[14]价值评估!R94</f>
        <v>30</v>
      </c>
      <c r="D90" s="96">
        <f>INT([14]价值评估!S94*(1-$J$4))</f>
        <v>595</v>
      </c>
      <c r="E90" s="91">
        <f>马仔装备价格评估!G90</f>
        <v>6</v>
      </c>
      <c r="F90">
        <f t="shared" si="10"/>
        <v>23.8</v>
      </c>
      <c r="J90">
        <v>70</v>
      </c>
      <c r="K90">
        <v>68</v>
      </c>
      <c r="L90">
        <f t="shared" si="11"/>
        <v>2</v>
      </c>
      <c r="N90">
        <v>70</v>
      </c>
      <c r="P90">
        <v>70</v>
      </c>
      <c r="AT90" s="154">
        <v>93013</v>
      </c>
      <c r="AU90" s="154" t="s">
        <v>489</v>
      </c>
      <c r="AV90">
        <v>47</v>
      </c>
    </row>
    <row r="91" spans="1:48">
      <c r="A91" s="91">
        <v>93253</v>
      </c>
      <c r="B91" s="91" t="s">
        <v>1352</v>
      </c>
      <c r="C91" s="91">
        <f>[14]价值评估!R95</f>
        <v>30</v>
      </c>
      <c r="D91" s="96">
        <f>INT([14]价值评估!S95*(1-$J$4))</f>
        <v>1036</v>
      </c>
      <c r="E91" s="91">
        <f>马仔装备价格评估!G91</f>
        <v>6</v>
      </c>
      <c r="F91">
        <f t="shared" si="10"/>
        <v>23.545454545454547</v>
      </c>
      <c r="J91">
        <v>68</v>
      </c>
      <c r="K91">
        <v>71</v>
      </c>
      <c r="L91">
        <f t="shared" si="11"/>
        <v>-3</v>
      </c>
      <c r="N91">
        <v>70</v>
      </c>
      <c r="P91">
        <v>70</v>
      </c>
      <c r="AT91" s="154">
        <v>93253</v>
      </c>
      <c r="AU91" s="154" t="s">
        <v>1352</v>
      </c>
      <c r="AV91">
        <v>48</v>
      </c>
    </row>
    <row r="92" spans="1:48">
      <c r="A92" s="91">
        <v>93254</v>
      </c>
      <c r="B92" s="91" t="s">
        <v>795</v>
      </c>
      <c r="C92" s="91">
        <f>[14]价值评估!R96</f>
        <v>30</v>
      </c>
      <c r="D92" s="96">
        <f>INT([14]价值评估!S96*(1-$J$4))</f>
        <v>980</v>
      </c>
      <c r="E92" s="91">
        <f>马仔装备价格评估!G92</f>
        <v>6</v>
      </c>
      <c r="F92">
        <f t="shared" si="10"/>
        <v>23.333333333333332</v>
      </c>
      <c r="J92">
        <v>66</v>
      </c>
      <c r="K92">
        <v>66</v>
      </c>
      <c r="L92">
        <f t="shared" si="11"/>
        <v>0</v>
      </c>
      <c r="N92">
        <v>70</v>
      </c>
      <c r="P92">
        <v>70</v>
      </c>
      <c r="AT92" s="154">
        <v>93254</v>
      </c>
      <c r="AU92" s="154" t="s">
        <v>795</v>
      </c>
      <c r="AV92">
        <v>48</v>
      </c>
    </row>
    <row r="93" spans="1:48">
      <c r="A93" s="91">
        <v>93274</v>
      </c>
      <c r="B93" s="91" t="s">
        <v>801</v>
      </c>
      <c r="C93" s="91">
        <f>[14]价值评估!R97</f>
        <v>30</v>
      </c>
      <c r="D93" s="96">
        <f>INT([14]价值评估!S97*(1-$J$4))</f>
        <v>490</v>
      </c>
      <c r="E93" s="91">
        <f>马仔装备价格评估!G93</f>
        <v>6</v>
      </c>
      <c r="F93">
        <f t="shared" si="10"/>
        <v>23.333333333333332</v>
      </c>
      <c r="J93">
        <v>70</v>
      </c>
      <c r="K93">
        <v>70</v>
      </c>
      <c r="L93">
        <f t="shared" si="11"/>
        <v>0</v>
      </c>
      <c r="N93">
        <v>70</v>
      </c>
      <c r="P93">
        <v>71</v>
      </c>
      <c r="AT93" s="154">
        <v>93274</v>
      </c>
      <c r="AU93" s="154" t="s">
        <v>801</v>
      </c>
      <c r="AV93">
        <v>49</v>
      </c>
    </row>
    <row r="94" spans="1:48">
      <c r="A94" s="91">
        <v>93280</v>
      </c>
      <c r="B94" s="91" t="s">
        <v>491</v>
      </c>
      <c r="C94" s="91">
        <f>[14]价值评估!R98</f>
        <v>30</v>
      </c>
      <c r="D94" s="96">
        <f>INT([14]价值评估!S98*(1-$J$4))</f>
        <v>525</v>
      </c>
      <c r="E94" s="91">
        <f>马仔装备价格评估!G94</f>
        <v>6</v>
      </c>
      <c r="F94">
        <f t="shared" si="10"/>
        <v>23.863636363636363</v>
      </c>
      <c r="AT94" s="154">
        <v>93280</v>
      </c>
      <c r="AU94" s="154" t="s">
        <v>491</v>
      </c>
      <c r="AV94">
        <v>49</v>
      </c>
    </row>
    <row r="95" spans="1:48">
      <c r="A95" s="91">
        <v>93285</v>
      </c>
      <c r="B95" s="91" t="s">
        <v>812</v>
      </c>
      <c r="C95" s="91">
        <f>[14]价值评估!R99</f>
        <v>30</v>
      </c>
      <c r="D95" s="96">
        <f>INT([14]价值评估!S99*(1-$J$4))</f>
        <v>2002</v>
      </c>
      <c r="E95" s="91">
        <f>马仔装备价格评估!G95</f>
        <v>6</v>
      </c>
      <c r="F95">
        <f t="shared" si="10"/>
        <v>23.55294117647059</v>
      </c>
      <c r="AT95" s="154">
        <v>93285</v>
      </c>
      <c r="AU95" s="154" t="s">
        <v>812</v>
      </c>
      <c r="AV95">
        <v>50</v>
      </c>
    </row>
    <row r="96" spans="1:48">
      <c r="A96" s="91">
        <v>93289</v>
      </c>
      <c r="B96" s="91" t="s">
        <v>806</v>
      </c>
      <c r="C96" s="91">
        <f>[14]价值评估!R100</f>
        <v>30</v>
      </c>
      <c r="D96" s="96">
        <f>INT([14]价值评估!S100*(1-$J$4))</f>
        <v>1834</v>
      </c>
      <c r="E96" s="91">
        <f>马仔装备价格评估!G96</f>
        <v>6</v>
      </c>
      <c r="F96">
        <f t="shared" si="10"/>
        <v>23.512820512820515</v>
      </c>
      <c r="AT96" s="154">
        <v>93289</v>
      </c>
      <c r="AU96" s="154" t="s">
        <v>806</v>
      </c>
      <c r="AV96">
        <v>50</v>
      </c>
    </row>
    <row r="97" spans="1:48">
      <c r="A97" s="92">
        <v>93014</v>
      </c>
      <c r="B97" s="92" t="s">
        <v>811</v>
      </c>
      <c r="C97" s="92">
        <f>[14]价值评估!R101</f>
        <v>40</v>
      </c>
      <c r="D97" s="97">
        <f>INT([14]价值评估!S101*(1-$J$4))</f>
        <v>896</v>
      </c>
      <c r="E97" s="92">
        <f>马仔装备价格评估!G97</f>
        <v>8</v>
      </c>
      <c r="F97">
        <f t="shared" si="10"/>
        <v>47.157894736842103</v>
      </c>
      <c r="AT97" s="155">
        <v>93014</v>
      </c>
      <c r="AU97" s="155" t="s">
        <v>811</v>
      </c>
      <c r="AV97">
        <v>56</v>
      </c>
    </row>
    <row r="98" spans="1:48">
      <c r="A98" s="92">
        <v>93296</v>
      </c>
      <c r="B98" s="92" t="s">
        <v>803</v>
      </c>
      <c r="C98" s="92">
        <f>[14]价值评估!R102</f>
        <v>40</v>
      </c>
      <c r="D98" s="97">
        <f>INT([14]价值评估!S102*(1-$J$4))</f>
        <v>1218</v>
      </c>
      <c r="E98" s="92">
        <f>马仔装备价格评估!G98</f>
        <v>8</v>
      </c>
      <c r="F98">
        <f t="shared" si="10"/>
        <v>46.846153846153847</v>
      </c>
      <c r="AT98" s="155">
        <v>93296</v>
      </c>
      <c r="AU98" s="155" t="s">
        <v>803</v>
      </c>
      <c r="AV98">
        <v>56</v>
      </c>
    </row>
    <row r="99" spans="1:48">
      <c r="A99" s="92">
        <v>93240</v>
      </c>
      <c r="B99" s="92" t="s">
        <v>1353</v>
      </c>
      <c r="C99" s="92">
        <f>[14]价值评估!R103</f>
        <v>40</v>
      </c>
      <c r="D99" s="97">
        <f>INT([14]价值评估!S103*(1-$J$4))</f>
        <v>700</v>
      </c>
      <c r="E99" s="92">
        <f>马仔装备价格评估!G99</f>
        <v>8</v>
      </c>
      <c r="F99">
        <f t="shared" si="10"/>
        <v>46.666666666666664</v>
      </c>
      <c r="AT99" s="155">
        <v>93240</v>
      </c>
      <c r="AU99" s="155" t="s">
        <v>1353</v>
      </c>
      <c r="AV99">
        <v>57</v>
      </c>
    </row>
    <row r="100" spans="1:48">
      <c r="A100" s="92">
        <v>93292</v>
      </c>
      <c r="B100" s="92" t="s">
        <v>808</v>
      </c>
      <c r="C100" s="92">
        <f>[14]价值评估!R104</f>
        <v>40</v>
      </c>
      <c r="D100" s="97">
        <f>INT([14]价值评估!S104*(1-$J$4))</f>
        <v>896</v>
      </c>
      <c r="E100" s="92">
        <f>马仔装备价格评估!G100</f>
        <v>8</v>
      </c>
      <c r="F100">
        <f t="shared" si="10"/>
        <v>47.157894736842103</v>
      </c>
      <c r="AT100" s="155">
        <v>93292</v>
      </c>
      <c r="AU100" s="155" t="s">
        <v>808</v>
      </c>
      <c r="AV100">
        <v>57</v>
      </c>
    </row>
    <row r="101" spans="1:48">
      <c r="A101" s="92">
        <v>93256</v>
      </c>
      <c r="B101" s="92" t="s">
        <v>805</v>
      </c>
      <c r="C101" s="92">
        <f>[14]价值评估!R105</f>
        <v>40</v>
      </c>
      <c r="D101" s="97">
        <f>INT([14]价值评估!S105*(1-$J$4))</f>
        <v>924</v>
      </c>
      <c r="E101" s="92">
        <f>马仔装备价格评估!G101</f>
        <v>8</v>
      </c>
      <c r="F101">
        <f t="shared" si="10"/>
        <v>48.631578947368418</v>
      </c>
      <c r="AT101" s="155">
        <v>93256</v>
      </c>
      <c r="AU101" s="155" t="s">
        <v>805</v>
      </c>
      <c r="AV101">
        <v>58</v>
      </c>
    </row>
    <row r="102" spans="1:48">
      <c r="A102" s="92">
        <v>93261</v>
      </c>
      <c r="B102" s="92" t="s">
        <v>796</v>
      </c>
      <c r="C102" s="92">
        <f>[14]价值评估!R106</f>
        <v>40</v>
      </c>
      <c r="D102" s="97">
        <f>INT([14]价值评估!S106*(1-$J$4))</f>
        <v>840</v>
      </c>
      <c r="E102" s="92">
        <f>马仔装备价格评估!G102</f>
        <v>8</v>
      </c>
      <c r="F102">
        <f t="shared" si="10"/>
        <v>46.666666666666664</v>
      </c>
      <c r="AT102" s="155">
        <v>93261</v>
      </c>
      <c r="AU102" s="155" t="s">
        <v>796</v>
      </c>
      <c r="AV102">
        <v>58</v>
      </c>
    </row>
    <row r="103" spans="1:48">
      <c r="A103" s="92">
        <v>93275</v>
      </c>
      <c r="B103" s="92" t="s">
        <v>809</v>
      </c>
      <c r="C103" s="92">
        <f>[14]价值评估!R107</f>
        <v>40</v>
      </c>
      <c r="D103" s="97">
        <f>INT([14]价值评估!S107*(1-$J$4))</f>
        <v>756</v>
      </c>
      <c r="E103" s="92">
        <f>马仔装备价格评估!G103</f>
        <v>8</v>
      </c>
      <c r="F103">
        <f t="shared" si="10"/>
        <v>47.25</v>
      </c>
      <c r="AT103" s="155">
        <v>93275</v>
      </c>
      <c r="AU103" s="155" t="s">
        <v>809</v>
      </c>
      <c r="AV103">
        <v>59</v>
      </c>
    </row>
    <row r="104" spans="1:48">
      <c r="A104" s="92">
        <v>93281</v>
      </c>
      <c r="B104" s="92" t="s">
        <v>819</v>
      </c>
      <c r="C104" s="92">
        <f>[14]价值评估!R108</f>
        <v>40</v>
      </c>
      <c r="D104" s="97">
        <f>INT([14]价值评估!S108*(1-$J$4))</f>
        <v>812</v>
      </c>
      <c r="E104" s="92">
        <f>马仔装备价格评估!G104</f>
        <v>8</v>
      </c>
      <c r="F104">
        <f t="shared" si="10"/>
        <v>47.764705882352942</v>
      </c>
      <c r="AT104" s="155">
        <v>93281</v>
      </c>
      <c r="AU104" s="155" t="s">
        <v>819</v>
      </c>
      <c r="AV104">
        <v>59</v>
      </c>
    </row>
    <row r="105" spans="1:48">
      <c r="A105" s="92">
        <v>93286</v>
      </c>
      <c r="B105" s="92" t="s">
        <v>825</v>
      </c>
      <c r="C105" s="92">
        <f>[14]价值评估!R109</f>
        <v>40</v>
      </c>
      <c r="D105" s="97">
        <f>INT([14]价值评估!S109*(1-$J$4))</f>
        <v>1400</v>
      </c>
      <c r="E105" s="92">
        <f>马仔装备价格评估!G105</f>
        <v>8</v>
      </c>
      <c r="F105">
        <f t="shared" si="10"/>
        <v>46.666666666666664</v>
      </c>
      <c r="AT105" s="155">
        <v>93286</v>
      </c>
      <c r="AU105" s="155" t="s">
        <v>825</v>
      </c>
      <c r="AV105">
        <v>60</v>
      </c>
    </row>
    <row r="106" spans="1:48">
      <c r="A106" s="92">
        <v>93290</v>
      </c>
      <c r="B106" s="92" t="s">
        <v>822</v>
      </c>
      <c r="C106" s="92">
        <f>[14]价值评估!R110</f>
        <v>40</v>
      </c>
      <c r="D106" s="97">
        <f>INT([14]价值评估!S110*(1-$J$4))</f>
        <v>1274</v>
      </c>
      <c r="E106" s="92">
        <f>马仔装备价格评估!G106</f>
        <v>8</v>
      </c>
      <c r="F106">
        <f t="shared" si="10"/>
        <v>47.185185185185183</v>
      </c>
      <c r="AT106" s="155">
        <v>93290</v>
      </c>
      <c r="AU106" s="155" t="s">
        <v>822</v>
      </c>
      <c r="AV106">
        <v>60</v>
      </c>
    </row>
    <row r="107" spans="1:48">
      <c r="A107" s="92">
        <v>93026</v>
      </c>
      <c r="B107" s="92" t="s">
        <v>802</v>
      </c>
      <c r="C107" s="92">
        <f>[14]价值评估!R111</f>
        <v>40</v>
      </c>
      <c r="D107" s="97">
        <f>INT([14]价值评估!S111*(1-$J$4))</f>
        <v>350</v>
      </c>
      <c r="E107" s="92">
        <f>马仔装备价格评估!G107</f>
        <v>10</v>
      </c>
      <c r="F107">
        <f>D107/D53</f>
        <v>50</v>
      </c>
      <c r="AT107" s="155">
        <v>93026</v>
      </c>
      <c r="AU107" s="155" t="s">
        <v>802</v>
      </c>
      <c r="AV107">
        <v>65</v>
      </c>
    </row>
    <row r="108" spans="1:48">
      <c r="A108" s="92">
        <v>93255</v>
      </c>
      <c r="B108" s="92" t="s">
        <v>816</v>
      </c>
      <c r="C108" s="92">
        <f>[14]价值评估!R112</f>
        <v>40</v>
      </c>
      <c r="D108" s="97">
        <f>INT([14]价值评估!S112*(1-$J$4))</f>
        <v>364</v>
      </c>
      <c r="E108" s="92">
        <f>马仔装备价格评估!G108</f>
        <v>10</v>
      </c>
      <c r="F108">
        <f t="shared" si="10"/>
        <v>52</v>
      </c>
      <c r="AT108" s="155">
        <v>93255</v>
      </c>
      <c r="AU108" s="155" t="s">
        <v>816</v>
      </c>
      <c r="AV108">
        <v>65</v>
      </c>
    </row>
    <row r="109" spans="1:48">
      <c r="A109" s="92">
        <v>93297</v>
      </c>
      <c r="B109" s="92" t="s">
        <v>824</v>
      </c>
      <c r="C109" s="92">
        <f>[14]价值评估!R113</f>
        <v>40</v>
      </c>
      <c r="D109" s="97">
        <f>INT([14]价值评估!S113*(1-$J$4))</f>
        <v>154</v>
      </c>
      <c r="E109" s="92">
        <f>马仔装备价格评估!G109</f>
        <v>10</v>
      </c>
      <c r="F109">
        <f t="shared" si="10"/>
        <v>51.333333333333336</v>
      </c>
      <c r="AT109" s="155">
        <v>93297</v>
      </c>
      <c r="AU109" s="155" t="s">
        <v>824</v>
      </c>
      <c r="AV109">
        <v>66</v>
      </c>
    </row>
    <row r="110" spans="1:48">
      <c r="A110" s="92">
        <v>93293</v>
      </c>
      <c r="B110" s="92" t="s">
        <v>817</v>
      </c>
      <c r="C110" s="92">
        <f>[14]价值评估!R114</f>
        <v>40</v>
      </c>
      <c r="D110" s="97">
        <f>INT([14]价值评估!S114*(1-$J$4))</f>
        <v>280</v>
      </c>
      <c r="E110" s="92">
        <f>马仔装备价格评估!G110</f>
        <v>10</v>
      </c>
      <c r="F110">
        <f t="shared" si="10"/>
        <v>46.666666666666664</v>
      </c>
      <c r="AT110" s="155">
        <v>93293</v>
      </c>
      <c r="AU110" s="155" t="s">
        <v>817</v>
      </c>
      <c r="AV110">
        <v>66</v>
      </c>
    </row>
    <row r="111" spans="1:48">
      <c r="A111" s="92">
        <v>93294</v>
      </c>
      <c r="B111" s="92" t="s">
        <v>826</v>
      </c>
      <c r="C111" s="92">
        <f>[14]价值评估!R115</f>
        <v>40</v>
      </c>
      <c r="D111" s="97">
        <f>INT([14]价值评估!S115*(1-$J$4))</f>
        <v>350</v>
      </c>
      <c r="E111" s="92">
        <f>马仔装备价格评估!G111</f>
        <v>10</v>
      </c>
      <c r="F111">
        <f t="shared" si="10"/>
        <v>50</v>
      </c>
      <c r="AT111" s="155">
        <v>93294</v>
      </c>
      <c r="AU111" s="155" t="s">
        <v>826</v>
      </c>
      <c r="AV111">
        <v>67</v>
      </c>
    </row>
    <row r="112" spans="1:48">
      <c r="A112" s="92">
        <v>93295</v>
      </c>
      <c r="B112" s="92" t="s">
        <v>829</v>
      </c>
      <c r="C112" s="92">
        <f>[14]价值评估!R116</f>
        <v>40</v>
      </c>
      <c r="D112" s="97">
        <f>INT([14]价值评估!S116*(1-$J$4))</f>
        <v>266</v>
      </c>
      <c r="E112" s="92">
        <f>马仔装备价格评估!G112</f>
        <v>10</v>
      </c>
      <c r="F112">
        <f t="shared" si="10"/>
        <v>53.2</v>
      </c>
      <c r="AT112" s="155">
        <v>93295</v>
      </c>
      <c r="AU112" s="155" t="s">
        <v>829</v>
      </c>
      <c r="AV112">
        <v>67</v>
      </c>
    </row>
    <row r="113" spans="1:48">
      <c r="A113" s="92">
        <v>93262</v>
      </c>
      <c r="B113" s="92" t="s">
        <v>820</v>
      </c>
      <c r="C113" s="92">
        <f>[14]价值评估!R117</f>
        <v>40</v>
      </c>
      <c r="D113" s="97">
        <f>INT([14]价值评估!S117*(1-$J$4))</f>
        <v>196</v>
      </c>
      <c r="E113" s="92">
        <f>马仔装备价格评估!G113</f>
        <v>10</v>
      </c>
      <c r="F113">
        <f t="shared" si="10"/>
        <v>49</v>
      </c>
      <c r="AT113" s="155">
        <v>93262</v>
      </c>
      <c r="AU113" s="155" t="s">
        <v>820</v>
      </c>
      <c r="AV113">
        <v>68</v>
      </c>
    </row>
    <row r="114" spans="1:48">
      <c r="A114" s="92">
        <v>93298</v>
      </c>
      <c r="B114" s="92" t="s">
        <v>827</v>
      </c>
      <c r="C114" s="92">
        <f>[14]价值评估!R118</f>
        <v>40</v>
      </c>
      <c r="D114" s="97">
        <f>INT([14]价值评估!S118*(1-$J$4))</f>
        <v>238</v>
      </c>
      <c r="E114" s="92">
        <f>马仔装备价格评估!G114</f>
        <v>10</v>
      </c>
      <c r="F114">
        <f t="shared" si="10"/>
        <v>47.6</v>
      </c>
      <c r="AT114" s="155">
        <v>93298</v>
      </c>
      <c r="AU114" s="155" t="s">
        <v>827</v>
      </c>
      <c r="AV114">
        <v>68</v>
      </c>
    </row>
    <row r="115" spans="1:48">
      <c r="A115" s="92">
        <v>93276</v>
      </c>
      <c r="B115" s="92" t="s">
        <v>821</v>
      </c>
      <c r="C115" s="92">
        <f>[14]价值评估!R119</f>
        <v>40</v>
      </c>
      <c r="D115" s="97">
        <f>INT([14]价值评估!S119*(1-$J$4))</f>
        <v>224</v>
      </c>
      <c r="E115" s="92">
        <f>马仔装备价格评估!G115</f>
        <v>10</v>
      </c>
      <c r="F115">
        <f t="shared" si="10"/>
        <v>56</v>
      </c>
      <c r="AT115" s="155">
        <v>93276</v>
      </c>
      <c r="AU115" s="155" t="s">
        <v>821</v>
      </c>
      <c r="AV115">
        <v>69</v>
      </c>
    </row>
    <row r="116" spans="1:48">
      <c r="A116" s="92">
        <v>93282</v>
      </c>
      <c r="B116" s="92" t="s">
        <v>823</v>
      </c>
      <c r="C116" s="92">
        <f>[14]价值评估!R120</f>
        <v>40</v>
      </c>
      <c r="D116" s="97">
        <f>INT([14]价值评估!S120*(1-$J$4))</f>
        <v>196</v>
      </c>
      <c r="E116" s="92">
        <f>马仔装备价格评估!G116</f>
        <v>10</v>
      </c>
      <c r="F116">
        <f t="shared" si="10"/>
        <v>49</v>
      </c>
      <c r="AT116" s="155">
        <v>93282</v>
      </c>
      <c r="AU116" s="155" t="s">
        <v>823</v>
      </c>
      <c r="AV116">
        <v>69</v>
      </c>
    </row>
    <row r="117" spans="1:48">
      <c r="A117" s="92">
        <v>93299</v>
      </c>
      <c r="B117" s="92" t="s">
        <v>830</v>
      </c>
      <c r="C117" s="92">
        <f>[14]价值评估!R121</f>
        <v>40</v>
      </c>
      <c r="D117" s="97">
        <f>INT([14]价值评估!S121*(1-$J$4))</f>
        <v>350</v>
      </c>
      <c r="E117" s="92">
        <f>马仔装备价格评估!G117</f>
        <v>10</v>
      </c>
      <c r="F117">
        <f t="shared" si="10"/>
        <v>50</v>
      </c>
      <c r="AT117" s="155">
        <v>93299</v>
      </c>
      <c r="AU117" s="155" t="s">
        <v>830</v>
      </c>
      <c r="AV117">
        <v>70</v>
      </c>
    </row>
    <row r="118" spans="1:48">
      <c r="A118" s="92">
        <v>93291</v>
      </c>
      <c r="B118" s="92" t="s">
        <v>828</v>
      </c>
      <c r="C118" s="92">
        <f>[14]价值评估!R122</f>
        <v>40</v>
      </c>
      <c r="D118" s="97">
        <f>INT([14]价值评估!S122*(1-$J$4))</f>
        <v>364</v>
      </c>
      <c r="E118" s="92">
        <f>马仔装备价格评估!G118</f>
        <v>10</v>
      </c>
      <c r="F118">
        <f t="shared" si="10"/>
        <v>52</v>
      </c>
      <c r="AT118" s="155">
        <v>93291</v>
      </c>
      <c r="AU118" s="155" t="s">
        <v>828</v>
      </c>
      <c r="AV118">
        <v>70</v>
      </c>
    </row>
  </sheetData>
  <sortState ref="AW2:AY64">
    <sortCondition ref="AW2"/>
  </sortState>
  <mergeCells count="1">
    <mergeCell ref="N5:P5"/>
  </mergeCells>
  <phoneticPr fontId="1" type="noConversion"/>
  <conditionalFormatting sqref="K16:W1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:W17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8:W18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9:W1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:W2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4:W24 L25:W2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7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8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48:W52">
    <cfRule type="expression" dxfId="15" priority="350">
      <formula>OR(K40/K48&lt;0.9,K40/K48&gt;1.1)</formula>
    </cfRule>
  </conditionalFormatting>
  <conditionalFormatting sqref="D1:D1048576">
    <cfRule type="dataBar" priority="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{3087A7F9-91DA-4EF3-84D6-81769AC3C2ED}</x14:id>
        </ext>
      </extLst>
    </cfRule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7:P11">
    <cfRule type="dataBar" priority="3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{2DE1BB37-E776-4AC0-BFFE-F0B958B3FAF9}</x14:id>
        </ext>
      </extLst>
    </cfRule>
  </conditionalFormatting>
  <conditionalFormatting sqref="AW2:BC2">
    <cfRule type="duplicateValues" dxfId="14" priority="12"/>
  </conditionalFormatting>
  <conditionalFormatting sqref="AW3:BC3">
    <cfRule type="duplicateValues" dxfId="13" priority="11"/>
  </conditionalFormatting>
  <conditionalFormatting sqref="AW4:BC4">
    <cfRule type="duplicateValues" dxfId="12" priority="10"/>
  </conditionalFormatting>
  <conditionalFormatting sqref="AW5:BB5">
    <cfRule type="duplicateValues" dxfId="11" priority="9"/>
  </conditionalFormatting>
  <conditionalFormatting sqref="BC5">
    <cfRule type="duplicateValues" dxfId="10" priority="8"/>
  </conditionalFormatting>
  <conditionalFormatting sqref="AW6:AZ6 BB6:BC6">
    <cfRule type="duplicateValues" dxfId="9" priority="7"/>
  </conditionalFormatting>
  <conditionalFormatting sqref="BA6">
    <cfRule type="duplicateValues" dxfId="8" priority="6"/>
  </conditionalFormatting>
  <conditionalFormatting sqref="AW7:BC7">
    <cfRule type="duplicateValues" dxfId="7" priority="5"/>
  </conditionalFormatting>
  <conditionalFormatting sqref="AW8:BC8">
    <cfRule type="duplicateValues" dxfId="6" priority="3"/>
  </conditionalFormatting>
  <conditionalFormatting sqref="AW9:BC9">
    <cfRule type="duplicateValues" dxfId="5" priority="2"/>
  </conditionalFormatting>
  <conditionalFormatting sqref="AW10:BC10">
    <cfRule type="duplicateValues" dxfId="4" priority="1"/>
  </conditionalFormatting>
  <conditionalFormatting sqref="AW6:BC6">
    <cfRule type="duplicateValues" dxfId="3" priority="361"/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87A7F9-91DA-4EF3-84D6-81769AC3C2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2DE1BB37-E776-4AC0-BFFE-F0B958B3FAF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P7:P11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8"/>
  <sheetViews>
    <sheetView workbookViewId="0">
      <selection activeCell="D3" sqref="D3"/>
    </sheetView>
  </sheetViews>
  <sheetFormatPr defaultRowHeight="13.5"/>
  <cols>
    <col min="1" max="1" width="11" bestFit="1" customWidth="1"/>
    <col min="2" max="2" width="6.5" bestFit="1" customWidth="1"/>
  </cols>
  <sheetData>
    <row r="1" spans="1:20">
      <c r="A1" t="s">
        <v>1176</v>
      </c>
      <c r="B1" t="s">
        <v>1150</v>
      </c>
      <c r="C1" t="s">
        <v>1138</v>
      </c>
      <c r="D1" t="s">
        <v>1139</v>
      </c>
      <c r="E1" t="s">
        <v>1144</v>
      </c>
      <c r="F1" t="s">
        <v>1140</v>
      </c>
      <c r="G1" t="s">
        <v>1141</v>
      </c>
      <c r="H1" t="s">
        <v>1152</v>
      </c>
    </row>
    <row r="2" spans="1:20">
      <c r="A2" t="s">
        <v>1142</v>
      </c>
      <c r="B2">
        <v>89107</v>
      </c>
      <c r="C2">
        <f>[4]D_技能表!$AN$16</f>
        <v>7724</v>
      </c>
      <c r="D2">
        <f>C2/'0、经济设定'!$C$31</f>
        <v>41.526881720430104</v>
      </c>
      <c r="E2">
        <f>[4]D_技能表!$AN$15</f>
        <v>2.5</v>
      </c>
      <c r="F2">
        <f>E2*'0、经济设定'!$C$18</f>
        <v>125</v>
      </c>
      <c r="G2">
        <f>E2*'0、经济设定'!$E$18</f>
        <v>0.25</v>
      </c>
      <c r="H2">
        <f>[1]D_公会商店!$G$2/[1]D_公会商店!$E$2</f>
        <v>30</v>
      </c>
    </row>
    <row r="3" spans="1:20">
      <c r="A3" t="s">
        <v>1143</v>
      </c>
      <c r="B3">
        <v>89111</v>
      </c>
      <c r="C3" t="str">
        <f>[4]D_技能表CD!$S$5</f>
        <v>冷却石总需求</v>
      </c>
      <c r="D3" t="e">
        <f>C3/'0、经济设定'!$C$31</f>
        <v>#VALUE!</v>
      </c>
      <c r="E3" t="str">
        <f>[4]D_技能表CD!$S$4</f>
        <v>冷却石价值</v>
      </c>
      <c r="F3" t="e">
        <f>E3*'0、经济设定'!$C$18</f>
        <v>#VALUE!</v>
      </c>
      <c r="G3" t="e">
        <f>E3*'0、经济设定'!$E$18</f>
        <v>#VALUE!</v>
      </c>
    </row>
    <row r="5" spans="1:20">
      <c r="A5" t="s">
        <v>1148</v>
      </c>
    </row>
    <row r="6" spans="1:20">
      <c r="A6" s="106" t="s">
        <v>1149</v>
      </c>
      <c r="B6" s="106" t="s">
        <v>1150</v>
      </c>
      <c r="C6" s="75" t="s">
        <v>56</v>
      </c>
      <c r="D6" s="75" t="s">
        <v>50</v>
      </c>
      <c r="E6" s="75" t="s">
        <v>584</v>
      </c>
      <c r="F6" s="75" t="s">
        <v>603</v>
      </c>
      <c r="G6" s="75" t="s">
        <v>604</v>
      </c>
      <c r="H6" s="75" t="s">
        <v>605</v>
      </c>
      <c r="I6" s="75" t="s">
        <v>606</v>
      </c>
      <c r="J6" s="75" t="s">
        <v>597</v>
      </c>
      <c r="K6" s="75" t="s">
        <v>555</v>
      </c>
      <c r="L6" s="75" t="s">
        <v>556</v>
      </c>
      <c r="M6" s="75" t="s">
        <v>557</v>
      </c>
      <c r="N6" s="75" t="s">
        <v>558</v>
      </c>
      <c r="O6" s="75" t="s">
        <v>598</v>
      </c>
      <c r="P6" s="75" t="s">
        <v>607</v>
      </c>
      <c r="Q6" s="76" t="s">
        <v>1145</v>
      </c>
      <c r="R6" s="76" t="s">
        <v>1146</v>
      </c>
      <c r="S6" s="76" t="s">
        <v>1147</v>
      </c>
      <c r="T6" s="76" t="s">
        <v>1151</v>
      </c>
    </row>
    <row r="7" spans="1:20">
      <c r="A7" s="106" t="s">
        <v>1142</v>
      </c>
      <c r="B7" s="106">
        <v>89107</v>
      </c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>
        <v>0.75</v>
      </c>
      <c r="Q7" s="106"/>
      <c r="R7" s="106"/>
      <c r="S7" s="106">
        <v>0.25</v>
      </c>
      <c r="T7" s="2">
        <f>1-SUM(C7:S7)</f>
        <v>0</v>
      </c>
    </row>
    <row r="8" spans="1:20">
      <c r="A8" s="106" t="s">
        <v>1143</v>
      </c>
      <c r="B8" s="106">
        <v>89111</v>
      </c>
      <c r="C8" s="106"/>
      <c r="D8" s="106"/>
      <c r="E8" s="106"/>
      <c r="F8" s="106"/>
      <c r="G8" s="106"/>
      <c r="H8" s="106"/>
      <c r="I8" s="106"/>
      <c r="J8" s="106"/>
      <c r="K8" s="106">
        <v>0.2</v>
      </c>
      <c r="L8" s="106"/>
      <c r="M8" s="106"/>
      <c r="N8" s="106"/>
      <c r="O8" s="106"/>
      <c r="P8" s="106"/>
      <c r="Q8" s="106">
        <v>0.4</v>
      </c>
      <c r="R8" s="106">
        <v>0.4</v>
      </c>
      <c r="S8" s="106"/>
      <c r="T8" s="2">
        <f>1-SUM(C8:S8)</f>
        <v>0</v>
      </c>
    </row>
    <row r="10" spans="1:20">
      <c r="A10" s="70" t="s">
        <v>1153</v>
      </c>
    </row>
    <row r="11" spans="1:20">
      <c r="A11" s="106" t="s">
        <v>1149</v>
      </c>
      <c r="B11" s="106" t="s">
        <v>1150</v>
      </c>
      <c r="C11" s="75" t="s">
        <v>56</v>
      </c>
      <c r="D11" s="75" t="s">
        <v>50</v>
      </c>
      <c r="E11" s="75" t="s">
        <v>584</v>
      </c>
      <c r="F11" s="75" t="s">
        <v>603</v>
      </c>
      <c r="G11" s="75" t="s">
        <v>604</v>
      </c>
      <c r="H11" s="75" t="s">
        <v>605</v>
      </c>
      <c r="I11" s="75" t="s">
        <v>606</v>
      </c>
      <c r="J11" s="75" t="s">
        <v>597</v>
      </c>
      <c r="K11" s="75" t="s">
        <v>555</v>
      </c>
      <c r="L11" s="75" t="s">
        <v>556</v>
      </c>
      <c r="M11" s="75" t="s">
        <v>557</v>
      </c>
      <c r="N11" s="75" t="s">
        <v>558</v>
      </c>
      <c r="O11" s="75" t="s">
        <v>598</v>
      </c>
      <c r="P11" s="75" t="s">
        <v>607</v>
      </c>
      <c r="Q11" s="76" t="s">
        <v>1145</v>
      </c>
      <c r="R11" s="76" t="s">
        <v>1146</v>
      </c>
      <c r="S11" s="76" t="s">
        <v>1147</v>
      </c>
      <c r="T11" s="76" t="s">
        <v>1151</v>
      </c>
    </row>
    <row r="12" spans="1:20">
      <c r="A12" s="106" t="s">
        <v>1142</v>
      </c>
      <c r="B12" s="106">
        <v>89107</v>
      </c>
      <c r="C12" s="106">
        <f>$D2*C7</f>
        <v>0</v>
      </c>
      <c r="D12" s="106">
        <f t="shared" ref="D12:T13" si="0">$D2*D7</f>
        <v>0</v>
      </c>
      <c r="E12" s="106">
        <f t="shared" si="0"/>
        <v>0</v>
      </c>
      <c r="F12" s="106">
        <f t="shared" si="0"/>
        <v>0</v>
      </c>
      <c r="G12" s="106">
        <f t="shared" si="0"/>
        <v>0</v>
      </c>
      <c r="H12" s="106">
        <f t="shared" si="0"/>
        <v>0</v>
      </c>
      <c r="I12" s="106">
        <f t="shared" si="0"/>
        <v>0</v>
      </c>
      <c r="J12" s="106">
        <f t="shared" si="0"/>
        <v>0</v>
      </c>
      <c r="K12" s="106">
        <f t="shared" si="0"/>
        <v>0</v>
      </c>
      <c r="L12" s="106">
        <f t="shared" si="0"/>
        <v>0</v>
      </c>
      <c r="M12" s="106">
        <f t="shared" si="0"/>
        <v>0</v>
      </c>
      <c r="N12" s="106">
        <f t="shared" si="0"/>
        <v>0</v>
      </c>
      <c r="O12" s="106">
        <f t="shared" si="0"/>
        <v>0</v>
      </c>
      <c r="P12" s="106">
        <f t="shared" si="0"/>
        <v>31.145161290322577</v>
      </c>
      <c r="Q12" s="106">
        <f t="shared" si="0"/>
        <v>0</v>
      </c>
      <c r="R12" s="106">
        <f t="shared" si="0"/>
        <v>0</v>
      </c>
      <c r="S12" s="106">
        <f t="shared" si="0"/>
        <v>10.381720430107526</v>
      </c>
      <c r="T12" s="106">
        <f t="shared" si="0"/>
        <v>0</v>
      </c>
    </row>
    <row r="13" spans="1:20">
      <c r="A13" s="106" t="s">
        <v>1143</v>
      </c>
      <c r="B13" s="106">
        <v>89111</v>
      </c>
      <c r="C13" s="106" t="e">
        <f>$D3*C8</f>
        <v>#VALUE!</v>
      </c>
      <c r="D13" s="106" t="e">
        <f t="shared" si="0"/>
        <v>#VALUE!</v>
      </c>
      <c r="E13" s="106" t="e">
        <f t="shared" si="0"/>
        <v>#VALUE!</v>
      </c>
      <c r="F13" s="106" t="e">
        <f t="shared" si="0"/>
        <v>#VALUE!</v>
      </c>
      <c r="G13" s="106" t="e">
        <f t="shared" si="0"/>
        <v>#VALUE!</v>
      </c>
      <c r="H13" s="106" t="e">
        <f t="shared" si="0"/>
        <v>#VALUE!</v>
      </c>
      <c r="I13" s="106" t="e">
        <f t="shared" si="0"/>
        <v>#VALUE!</v>
      </c>
      <c r="J13" s="106" t="e">
        <f t="shared" si="0"/>
        <v>#VALUE!</v>
      </c>
      <c r="K13" s="106" t="e">
        <f t="shared" si="0"/>
        <v>#VALUE!</v>
      </c>
      <c r="L13" s="106" t="e">
        <f t="shared" si="0"/>
        <v>#VALUE!</v>
      </c>
      <c r="M13" s="106" t="e">
        <f t="shared" si="0"/>
        <v>#VALUE!</v>
      </c>
      <c r="N13" s="106" t="e">
        <f t="shared" si="0"/>
        <v>#VALUE!</v>
      </c>
      <c r="O13" s="106" t="e">
        <f t="shared" si="0"/>
        <v>#VALUE!</v>
      </c>
      <c r="P13" s="106" t="e">
        <f t="shared" si="0"/>
        <v>#VALUE!</v>
      </c>
      <c r="Q13" s="106" t="e">
        <f>$D3*Q8</f>
        <v>#VALUE!</v>
      </c>
      <c r="R13" s="106" t="e">
        <f t="shared" si="0"/>
        <v>#VALUE!</v>
      </c>
      <c r="S13" s="106" t="e">
        <f t="shared" si="0"/>
        <v>#VALUE!</v>
      </c>
      <c r="T13" s="106" t="e">
        <f t="shared" si="0"/>
        <v>#VALUE!</v>
      </c>
    </row>
    <row r="15" spans="1:20">
      <c r="A15" s="70" t="s">
        <v>1154</v>
      </c>
    </row>
    <row r="16" spans="1:20">
      <c r="A16" s="106" t="s">
        <v>1149</v>
      </c>
      <c r="B16" s="106" t="s">
        <v>1150</v>
      </c>
      <c r="C16" s="75" t="s">
        <v>56</v>
      </c>
      <c r="D16" s="75" t="s">
        <v>50</v>
      </c>
      <c r="E16" s="75" t="s">
        <v>584</v>
      </c>
      <c r="F16" s="75" t="s">
        <v>603</v>
      </c>
      <c r="G16" s="75" t="s">
        <v>604</v>
      </c>
      <c r="H16" s="75" t="s">
        <v>605</v>
      </c>
      <c r="I16" s="75" t="s">
        <v>606</v>
      </c>
      <c r="J16" s="75" t="s">
        <v>597</v>
      </c>
      <c r="K16" s="75" t="s">
        <v>555</v>
      </c>
      <c r="L16" s="75" t="s">
        <v>556</v>
      </c>
      <c r="M16" s="75" t="s">
        <v>557</v>
      </c>
      <c r="N16" s="75" t="s">
        <v>558</v>
      </c>
      <c r="O16" s="75" t="s">
        <v>598</v>
      </c>
      <c r="P16" s="75" t="s">
        <v>607</v>
      </c>
      <c r="Q16" s="76" t="s">
        <v>1145</v>
      </c>
      <c r="R16" s="76" t="s">
        <v>1146</v>
      </c>
      <c r="S16" s="76" t="s">
        <v>1147</v>
      </c>
      <c r="T16" s="76" t="s">
        <v>1151</v>
      </c>
    </row>
    <row r="17" spans="1:20">
      <c r="A17" s="106" t="s">
        <v>1142</v>
      </c>
      <c r="B17" s="106">
        <v>89107</v>
      </c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>
        <v>2</v>
      </c>
      <c r="Q17" s="106"/>
      <c r="R17" s="106"/>
      <c r="S17" s="106">
        <v>3</v>
      </c>
      <c r="T17" s="2">
        <v>1</v>
      </c>
    </row>
    <row r="18" spans="1:20">
      <c r="A18" s="106" t="s">
        <v>1143</v>
      </c>
      <c r="B18" s="106">
        <v>89111</v>
      </c>
      <c r="C18" s="106"/>
      <c r="D18" s="106"/>
      <c r="E18" s="106"/>
      <c r="F18" s="106"/>
      <c r="G18" s="106"/>
      <c r="H18" s="106"/>
      <c r="I18" s="106"/>
      <c r="J18" s="106"/>
      <c r="K18" s="106">
        <v>1</v>
      </c>
      <c r="L18" s="106"/>
      <c r="M18" s="106"/>
      <c r="N18" s="106"/>
      <c r="O18" s="106"/>
      <c r="P18" s="106"/>
      <c r="Q18" s="106">
        <v>2</v>
      </c>
      <c r="R18" s="106">
        <v>5</v>
      </c>
      <c r="S18" s="106"/>
      <c r="T18" s="2">
        <v>1</v>
      </c>
    </row>
    <row r="20" spans="1:20">
      <c r="A20" s="70" t="s">
        <v>1155</v>
      </c>
    </row>
    <row r="21" spans="1:20">
      <c r="A21" s="106" t="s">
        <v>1149</v>
      </c>
      <c r="B21" s="106" t="s">
        <v>1150</v>
      </c>
      <c r="C21" s="75" t="s">
        <v>56</v>
      </c>
      <c r="D21" s="75" t="s">
        <v>50</v>
      </c>
      <c r="E21" s="75" t="s">
        <v>584</v>
      </c>
      <c r="F21" s="75" t="s">
        <v>603</v>
      </c>
      <c r="G21" s="75" t="s">
        <v>604</v>
      </c>
      <c r="H21" s="75" t="s">
        <v>605</v>
      </c>
      <c r="I21" s="75" t="s">
        <v>606</v>
      </c>
      <c r="J21" s="75" t="s">
        <v>597</v>
      </c>
      <c r="K21" s="75" t="s">
        <v>555</v>
      </c>
      <c r="L21" s="75" t="s">
        <v>556</v>
      </c>
      <c r="M21" s="75" t="s">
        <v>557</v>
      </c>
      <c r="N21" s="75" t="s">
        <v>558</v>
      </c>
      <c r="O21" s="75" t="s">
        <v>598</v>
      </c>
      <c r="P21" s="75" t="s">
        <v>607</v>
      </c>
      <c r="Q21" s="76" t="s">
        <v>1145</v>
      </c>
      <c r="R21" s="76" t="s">
        <v>1146</v>
      </c>
      <c r="S21" s="76" t="s">
        <v>1147</v>
      </c>
      <c r="T21" s="76" t="s">
        <v>1151</v>
      </c>
    </row>
    <row r="22" spans="1:20">
      <c r="A22" s="106" t="s">
        <v>1142</v>
      </c>
      <c r="B22" s="106">
        <v>89107</v>
      </c>
      <c r="C22" s="106" t="str">
        <f>IFERROR(C12/C17,"")</f>
        <v/>
      </c>
      <c r="D22" s="106" t="str">
        <f t="shared" ref="D22:T23" si="1">IFERROR(D12/D17,"")</f>
        <v/>
      </c>
      <c r="E22" s="106" t="str">
        <f t="shared" si="1"/>
        <v/>
      </c>
      <c r="F22" s="106" t="str">
        <f t="shared" si="1"/>
        <v/>
      </c>
      <c r="G22" s="106" t="str">
        <f t="shared" si="1"/>
        <v/>
      </c>
      <c r="H22" s="106" t="str">
        <f t="shared" si="1"/>
        <v/>
      </c>
      <c r="I22" s="106" t="str">
        <f t="shared" si="1"/>
        <v/>
      </c>
      <c r="J22" s="106" t="str">
        <f t="shared" si="1"/>
        <v/>
      </c>
      <c r="K22" s="106" t="str">
        <f t="shared" si="1"/>
        <v/>
      </c>
      <c r="L22" s="106" t="str">
        <f t="shared" si="1"/>
        <v/>
      </c>
      <c r="M22" s="106" t="str">
        <f t="shared" si="1"/>
        <v/>
      </c>
      <c r="N22" s="106" t="str">
        <f t="shared" si="1"/>
        <v/>
      </c>
      <c r="O22" s="106" t="str">
        <f t="shared" si="1"/>
        <v/>
      </c>
      <c r="P22" s="106">
        <f t="shared" si="1"/>
        <v>15.572580645161288</v>
      </c>
      <c r="Q22" s="106" t="str">
        <f t="shared" si="1"/>
        <v/>
      </c>
      <c r="R22" s="106" t="str">
        <f t="shared" si="1"/>
        <v/>
      </c>
      <c r="S22" s="106">
        <f t="shared" si="1"/>
        <v>3.4605734767025087</v>
      </c>
      <c r="T22" s="106">
        <f t="shared" si="1"/>
        <v>0</v>
      </c>
    </row>
    <row r="23" spans="1:20">
      <c r="A23" s="106" t="s">
        <v>1143</v>
      </c>
      <c r="B23" s="106">
        <v>89111</v>
      </c>
      <c r="C23" s="106" t="str">
        <f>IFERROR(C13/C18,"")</f>
        <v/>
      </c>
      <c r="D23" s="106" t="str">
        <f t="shared" si="1"/>
        <v/>
      </c>
      <c r="E23" s="106" t="str">
        <f t="shared" si="1"/>
        <v/>
      </c>
      <c r="F23" s="106" t="str">
        <f t="shared" si="1"/>
        <v/>
      </c>
      <c r="G23" s="106" t="str">
        <f t="shared" si="1"/>
        <v/>
      </c>
      <c r="H23" s="106" t="str">
        <f t="shared" si="1"/>
        <v/>
      </c>
      <c r="I23" s="106" t="str">
        <f t="shared" si="1"/>
        <v/>
      </c>
      <c r="J23" s="106" t="str">
        <f t="shared" si="1"/>
        <v/>
      </c>
      <c r="K23" s="106" t="str">
        <f t="shared" si="1"/>
        <v/>
      </c>
      <c r="L23" s="106" t="str">
        <f t="shared" si="1"/>
        <v/>
      </c>
      <c r="M23" s="106" t="str">
        <f t="shared" si="1"/>
        <v/>
      </c>
      <c r="N23" s="106" t="str">
        <f t="shared" si="1"/>
        <v/>
      </c>
      <c r="O23" s="106" t="str">
        <f t="shared" si="1"/>
        <v/>
      </c>
      <c r="P23" s="106" t="str">
        <f t="shared" si="1"/>
        <v/>
      </c>
      <c r="Q23" s="106" t="str">
        <f t="shared" si="1"/>
        <v/>
      </c>
      <c r="R23" s="106" t="str">
        <f t="shared" si="1"/>
        <v/>
      </c>
      <c r="S23" s="106" t="str">
        <f t="shared" si="1"/>
        <v/>
      </c>
      <c r="T23" s="106" t="str">
        <f t="shared" si="1"/>
        <v/>
      </c>
    </row>
    <row r="25" spans="1:20">
      <c r="A25" s="70" t="s">
        <v>1156</v>
      </c>
    </row>
    <row r="26" spans="1:20">
      <c r="A26" s="106" t="s">
        <v>1149</v>
      </c>
      <c r="B26" s="106" t="s">
        <v>1150</v>
      </c>
      <c r="C26" s="75" t="s">
        <v>56</v>
      </c>
      <c r="D26" s="75" t="s">
        <v>50</v>
      </c>
      <c r="E26" s="75" t="s">
        <v>584</v>
      </c>
      <c r="F26" s="75" t="s">
        <v>603</v>
      </c>
      <c r="G26" s="75" t="s">
        <v>604</v>
      </c>
      <c r="H26" s="75" t="s">
        <v>605</v>
      </c>
      <c r="I26" s="75" t="s">
        <v>606</v>
      </c>
      <c r="J26" s="75" t="s">
        <v>597</v>
      </c>
      <c r="K26" s="75" t="s">
        <v>555</v>
      </c>
      <c r="L26" s="75" t="s">
        <v>556</v>
      </c>
      <c r="M26" s="75" t="s">
        <v>557</v>
      </c>
      <c r="N26" s="75" t="s">
        <v>558</v>
      </c>
      <c r="O26" s="75" t="s">
        <v>598</v>
      </c>
      <c r="P26" s="75" t="s">
        <v>607</v>
      </c>
      <c r="Q26" s="76" t="s">
        <v>1145</v>
      </c>
      <c r="R26" s="76" t="s">
        <v>1146</v>
      </c>
      <c r="S26" s="76" t="s">
        <v>1147</v>
      </c>
      <c r="T26" s="76" t="s">
        <v>1151</v>
      </c>
    </row>
    <row r="27" spans="1:20">
      <c r="A27" s="106" t="s">
        <v>1142</v>
      </c>
      <c r="B27" s="106">
        <v>89107</v>
      </c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>
        <f>[1]公会经济估算!$D$16/2</f>
        <v>20</v>
      </c>
      <c r="Q27" s="106"/>
      <c r="R27" s="106"/>
      <c r="S27" s="106">
        <v>4</v>
      </c>
      <c r="T27" s="2"/>
    </row>
    <row r="28" spans="1:20">
      <c r="A28" s="106" t="s">
        <v>1143</v>
      </c>
      <c r="B28" s="106">
        <v>89111</v>
      </c>
      <c r="C28" s="106"/>
      <c r="D28" s="106"/>
      <c r="E28" s="106"/>
      <c r="F28" s="106"/>
      <c r="G28" s="106"/>
      <c r="H28" s="106"/>
      <c r="I28" s="106"/>
      <c r="J28" s="106"/>
      <c r="K28" s="106">
        <f>[8]D_神秘商店!$X$89</f>
        <v>4.9902152641878663</v>
      </c>
      <c r="L28" s="106"/>
      <c r="M28" s="106"/>
      <c r="N28" s="106"/>
      <c r="O28" s="106"/>
      <c r="P28" s="106"/>
      <c r="Q28" s="106">
        <f>15*0.4</f>
        <v>6</v>
      </c>
      <c r="R28" s="106">
        <v>3</v>
      </c>
      <c r="S28" s="106"/>
      <c r="T28" s="2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2:Q40"/>
  <sheetViews>
    <sheetView workbookViewId="0">
      <selection activeCell="G26" sqref="G26"/>
    </sheetView>
  </sheetViews>
  <sheetFormatPr defaultRowHeight="13.5"/>
  <cols>
    <col min="1" max="1" width="13" style="74" bestFit="1" customWidth="1"/>
    <col min="2" max="2" width="9" bestFit="1" customWidth="1"/>
  </cols>
  <sheetData>
    <row r="2" spans="1:17">
      <c r="B2" s="77"/>
      <c r="C2" s="78" t="s">
        <v>602</v>
      </c>
      <c r="D2" s="78" t="s">
        <v>165</v>
      </c>
      <c r="E2" s="78" t="s">
        <v>584</v>
      </c>
      <c r="F2" s="78" t="s">
        <v>603</v>
      </c>
      <c r="G2" s="78" t="s">
        <v>604</v>
      </c>
      <c r="H2" s="78" t="s">
        <v>605</v>
      </c>
      <c r="I2" s="78" t="s">
        <v>606</v>
      </c>
      <c r="J2" s="78" t="s">
        <v>597</v>
      </c>
      <c r="K2" s="78" t="s">
        <v>555</v>
      </c>
      <c r="L2" s="78" t="s">
        <v>556</v>
      </c>
      <c r="M2" s="78" t="s">
        <v>557</v>
      </c>
      <c r="N2" s="78" t="s">
        <v>558</v>
      </c>
      <c r="O2" s="78" t="s">
        <v>598</v>
      </c>
      <c r="P2" s="78" t="s">
        <v>607</v>
      </c>
    </row>
    <row r="3" spans="1:17">
      <c r="B3" s="77" t="s">
        <v>623</v>
      </c>
      <c r="C3" s="77">
        <v>10</v>
      </c>
      <c r="D3" s="77">
        <v>6</v>
      </c>
      <c r="E3" s="77">
        <v>10</v>
      </c>
      <c r="F3" s="77">
        <v>10</v>
      </c>
      <c r="G3" s="77">
        <v>1</v>
      </c>
      <c r="H3" s="77">
        <v>2</v>
      </c>
      <c r="I3" s="77">
        <v>1</v>
      </c>
      <c r="J3" s="77">
        <v>2</v>
      </c>
      <c r="K3" s="77">
        <v>4</v>
      </c>
      <c r="L3" s="77">
        <v>1</v>
      </c>
      <c r="M3" s="77">
        <v>1</v>
      </c>
      <c r="N3" s="77">
        <v>1</v>
      </c>
      <c r="O3" s="77">
        <v>1</v>
      </c>
      <c r="P3" s="77">
        <v>1</v>
      </c>
    </row>
    <row r="5" spans="1:17">
      <c r="A5" s="74" t="s">
        <v>624</v>
      </c>
    </row>
    <row r="6" spans="1:17">
      <c r="A6" s="75" t="s">
        <v>636</v>
      </c>
      <c r="B6" s="75" t="s">
        <v>609</v>
      </c>
      <c r="C6" s="75" t="s">
        <v>602</v>
      </c>
      <c r="D6" s="75" t="s">
        <v>165</v>
      </c>
      <c r="E6" s="75" t="s">
        <v>584</v>
      </c>
      <c r="F6" s="75" t="s">
        <v>603</v>
      </c>
      <c r="G6" s="75" t="s">
        <v>604</v>
      </c>
      <c r="H6" s="75" t="s">
        <v>605</v>
      </c>
      <c r="I6" s="75" t="s">
        <v>606</v>
      </c>
      <c r="J6" s="75" t="s">
        <v>597</v>
      </c>
      <c r="K6" s="75" t="s">
        <v>555</v>
      </c>
      <c r="L6" s="75" t="s">
        <v>556</v>
      </c>
      <c r="M6" s="75" t="s">
        <v>557</v>
      </c>
      <c r="N6" s="75" t="s">
        <v>558</v>
      </c>
      <c r="O6" s="75" t="s">
        <v>598</v>
      </c>
      <c r="P6" s="75" t="s">
        <v>607</v>
      </c>
      <c r="Q6" s="76" t="s">
        <v>625</v>
      </c>
    </row>
    <row r="7" spans="1:17">
      <c r="A7" s="73" t="s">
        <v>608</v>
      </c>
      <c r="B7" s="2" t="s">
        <v>611</v>
      </c>
      <c r="C7" s="2"/>
      <c r="D7" s="2">
        <f>马仔的投放!AD21</f>
        <v>0</v>
      </c>
      <c r="E7" s="2">
        <f>马仔的投放!AE21</f>
        <v>0</v>
      </c>
      <c r="F7" s="2">
        <f>马仔的投放!AF21</f>
        <v>2.1549247739318838</v>
      </c>
      <c r="G7" s="2">
        <f>马仔的投放!AG21</f>
        <v>0</v>
      </c>
      <c r="H7" s="2">
        <f>马仔的投放!AH21</f>
        <v>0</v>
      </c>
      <c r="I7" s="2">
        <f>马仔的投放!AI21</f>
        <v>0</v>
      </c>
      <c r="J7" s="2">
        <f>马仔的投放!AJ21</f>
        <v>4.3098495478637675</v>
      </c>
      <c r="K7" s="2">
        <f>马仔的投放!AK21</f>
        <v>0</v>
      </c>
      <c r="L7" s="2">
        <f>马仔的投放!AL21</f>
        <v>0</v>
      </c>
      <c r="M7" s="2">
        <f>马仔的投放!AM21</f>
        <v>0</v>
      </c>
      <c r="N7" s="2">
        <f>马仔的投放!AN21</f>
        <v>0</v>
      </c>
      <c r="O7" s="2">
        <f>马仔的投放!AO21</f>
        <v>0</v>
      </c>
      <c r="P7" s="2"/>
      <c r="Q7" s="2">
        <f>SUM(C7:P7)</f>
        <v>6.4647743217956517</v>
      </c>
    </row>
    <row r="8" spans="1:17">
      <c r="A8" s="73"/>
      <c r="B8" s="2" t="s">
        <v>610</v>
      </c>
      <c r="C8" s="2"/>
      <c r="D8" s="2">
        <f>马仔的投放!AD22</f>
        <v>0</v>
      </c>
      <c r="E8" s="2">
        <f>马仔的投放!AE22</f>
        <v>0</v>
      </c>
      <c r="F8" s="2">
        <f>马仔的投放!AF22</f>
        <v>0</v>
      </c>
      <c r="G8" s="2">
        <f>马仔的投放!AG22</f>
        <v>0</v>
      </c>
      <c r="H8" s="2">
        <f>马仔的投放!AH22</f>
        <v>0.66324576654195022</v>
      </c>
      <c r="I8" s="2">
        <f>马仔的投放!AI22</f>
        <v>3.382553409363946</v>
      </c>
      <c r="J8" s="2">
        <f>马仔的投放!AJ22</f>
        <v>2.7856322194761907</v>
      </c>
      <c r="K8" s="2">
        <f>马仔的投放!AK22</f>
        <v>1.4591406863922904</v>
      </c>
      <c r="L8" s="2">
        <f>马仔的投放!AL22</f>
        <v>0</v>
      </c>
      <c r="M8" s="2">
        <f>马仔的投放!AM22</f>
        <v>2.6529830661678009</v>
      </c>
      <c r="N8" s="2">
        <f>马仔的投放!AN22</f>
        <v>0</v>
      </c>
      <c r="O8" s="2">
        <f>马仔的投放!AO22</f>
        <v>1.3264915330839004</v>
      </c>
      <c r="P8" s="2"/>
      <c r="Q8" s="2">
        <f t="shared" ref="Q8:Q40" si="0">SUM(C8:P8)</f>
        <v>12.270046681026081</v>
      </c>
    </row>
    <row r="9" spans="1:17">
      <c r="A9" s="73"/>
      <c r="B9" s="2" t="s">
        <v>612</v>
      </c>
      <c r="C9" s="2"/>
      <c r="D9" s="2">
        <f>马仔的投放!AD23</f>
        <v>0</v>
      </c>
      <c r="E9" s="2">
        <f>马仔的投放!AE23</f>
        <v>0</v>
      </c>
      <c r="F9" s="2">
        <f>马仔的投放!AF23</f>
        <v>0</v>
      </c>
      <c r="G9" s="2">
        <f>马仔的投放!AG23</f>
        <v>0</v>
      </c>
      <c r="H9" s="2">
        <f>马仔的投放!AH23</f>
        <v>1.0623563851995916</v>
      </c>
      <c r="I9" s="2">
        <f>马仔的投放!AI23</f>
        <v>5.3117819259979582</v>
      </c>
      <c r="J9" s="2">
        <f>马仔的投放!AJ23</f>
        <v>1.5935345777993875</v>
      </c>
      <c r="K9" s="2">
        <f>马仔的投放!AK23</f>
        <v>0.84988510815967333</v>
      </c>
      <c r="L9" s="2">
        <f>马仔的投放!AL23</f>
        <v>0</v>
      </c>
      <c r="M9" s="2">
        <f>马仔的投放!AM23</f>
        <v>2.5496553244790197</v>
      </c>
      <c r="N9" s="2">
        <f>马仔的投放!AN23</f>
        <v>0</v>
      </c>
      <c r="O9" s="2">
        <f>马仔的投放!AO23</f>
        <v>0</v>
      </c>
      <c r="P9" s="2"/>
      <c r="Q9" s="2">
        <f t="shared" si="0"/>
        <v>11.36721332163563</v>
      </c>
    </row>
    <row r="10" spans="1:17">
      <c r="A10" s="73"/>
      <c r="B10" s="2" t="s">
        <v>579</v>
      </c>
      <c r="C10" s="2"/>
      <c r="D10" s="2">
        <f>马仔的投放!AD24</f>
        <v>0</v>
      </c>
      <c r="E10" s="2">
        <f>马仔的投放!AE24</f>
        <v>0</v>
      </c>
      <c r="F10" s="2">
        <f>马仔的投放!AF24</f>
        <v>0</v>
      </c>
      <c r="G10" s="2">
        <f>马仔的投放!AG24</f>
        <v>0</v>
      </c>
      <c r="H10" s="2">
        <f>马仔的投放!AH24</f>
        <v>0.44898386630033499</v>
      </c>
      <c r="I10" s="2">
        <f>马仔的投放!AI24</f>
        <v>3.7415322191694584</v>
      </c>
      <c r="J10" s="2">
        <f>马仔的投放!AJ24</f>
        <v>0</v>
      </c>
      <c r="K10" s="2">
        <f>马仔的投放!AK24</f>
        <v>0.18707661095847294</v>
      </c>
      <c r="L10" s="2">
        <f>马仔的投放!AL24</f>
        <v>0</v>
      </c>
      <c r="M10" s="2">
        <f>马仔的投放!AM24</f>
        <v>0.97279837698405924</v>
      </c>
      <c r="N10" s="2">
        <f>马仔的投放!AN24</f>
        <v>0</v>
      </c>
      <c r="O10" s="2">
        <f>马仔的投放!AO24</f>
        <v>0</v>
      </c>
      <c r="P10" s="2"/>
      <c r="Q10" s="2">
        <f t="shared" si="0"/>
        <v>5.3503910734123252</v>
      </c>
    </row>
    <row r="11" spans="1:17">
      <c r="A11" s="73"/>
      <c r="B11" s="2" t="s">
        <v>580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>
        <f t="shared" si="0"/>
        <v>0</v>
      </c>
    </row>
    <row r="12" spans="1:17">
      <c r="A12" s="73" t="s">
        <v>613</v>
      </c>
      <c r="B12" s="2" t="s">
        <v>611</v>
      </c>
      <c r="C12" s="2"/>
      <c r="D12" s="2">
        <f>马仔宝物投放!K24</f>
        <v>14.356268785847824</v>
      </c>
      <c r="E12" s="2">
        <f>马仔宝物投放!L24</f>
        <v>10.767201589385866</v>
      </c>
      <c r="F12" s="2">
        <f>马仔宝物投放!M24</f>
        <v>1.794533598230978</v>
      </c>
      <c r="G12" s="2">
        <f>马仔宝物投放!N24</f>
        <v>0.17945335982309779</v>
      </c>
      <c r="H12" s="2">
        <f>马仔宝物投放!O24</f>
        <v>0</v>
      </c>
      <c r="I12" s="2">
        <f>马仔宝物投放!P24</f>
        <v>0</v>
      </c>
      <c r="J12" s="2">
        <f>马仔宝物投放!Q24</f>
        <v>3.9479739161081513</v>
      </c>
      <c r="K12" s="2">
        <f>马仔宝物投放!R24</f>
        <v>0</v>
      </c>
      <c r="L12" s="2">
        <f>马仔宝物投放!S24</f>
        <v>0</v>
      </c>
      <c r="M12" s="2">
        <f>马仔宝物投放!T24</f>
        <v>0</v>
      </c>
      <c r="N12" s="2">
        <f>马仔宝物投放!U24</f>
        <v>0</v>
      </c>
      <c r="O12" s="2">
        <f>马仔宝物投放!V24</f>
        <v>1.794533598230978</v>
      </c>
      <c r="P12" s="2"/>
      <c r="Q12" s="2">
        <f t="shared" si="0"/>
        <v>32.839964847626895</v>
      </c>
    </row>
    <row r="13" spans="1:17">
      <c r="A13" s="73"/>
      <c r="B13" s="2" t="s">
        <v>610</v>
      </c>
      <c r="C13" s="2"/>
      <c r="D13" s="2">
        <f>马仔宝物投放!K25</f>
        <v>5.6055305898842525</v>
      </c>
      <c r="E13" s="2">
        <f>马仔宝物投放!L25</f>
        <v>7.3993003786472133</v>
      </c>
      <c r="F13" s="2">
        <f>马仔宝物投放!M25</f>
        <v>1.2332167297745356</v>
      </c>
      <c r="G13" s="2">
        <f>马仔宝物投放!N25</f>
        <v>0</v>
      </c>
      <c r="H13" s="2">
        <f>马仔宝物投放!O25</f>
        <v>0.12332167297745356</v>
      </c>
      <c r="I13" s="2">
        <f>马仔宝物投放!P25</f>
        <v>0</v>
      </c>
      <c r="J13" s="2">
        <f>马仔宝物投放!Q25</f>
        <v>2.4664334595490711</v>
      </c>
      <c r="K13" s="2">
        <f>马仔宝物投放!R25</f>
        <v>4.562901900165782</v>
      </c>
      <c r="L13" s="2">
        <f>马仔宝物投放!S25</f>
        <v>0</v>
      </c>
      <c r="M13" s="2">
        <f>马仔宝物投放!T25</f>
        <v>0</v>
      </c>
      <c r="N13" s="2">
        <f>马仔宝物投放!U25</f>
        <v>0</v>
      </c>
      <c r="O13" s="2">
        <f>马仔宝物投放!V25</f>
        <v>1.4798600757294424</v>
      </c>
      <c r="P13" s="2"/>
      <c r="Q13" s="2">
        <f t="shared" si="0"/>
        <v>22.870564806727749</v>
      </c>
    </row>
    <row r="14" spans="1:17">
      <c r="A14" s="73"/>
      <c r="B14" s="2" t="s">
        <v>612</v>
      </c>
      <c r="C14" s="2"/>
      <c r="D14" s="2">
        <f>马仔宝物投放!K26</f>
        <v>2.7382111434671961</v>
      </c>
      <c r="E14" s="2">
        <f>马仔宝物投放!L26</f>
        <v>4.9785657153949021</v>
      </c>
      <c r="F14" s="2">
        <f>马仔宝物投放!M26</f>
        <v>0</v>
      </c>
      <c r="G14" s="2">
        <f>马仔宝物投放!N26</f>
        <v>0</v>
      </c>
      <c r="H14" s="2">
        <f>马仔宝物投放!O26</f>
        <v>1.7424980003882158</v>
      </c>
      <c r="I14" s="2">
        <f>马仔宝物投放!P26</f>
        <v>0</v>
      </c>
      <c r="J14" s="2">
        <f>马仔宝物投放!Q26</f>
        <v>0</v>
      </c>
      <c r="K14" s="2">
        <f>马仔宝物投放!R26</f>
        <v>11.201772859638529</v>
      </c>
      <c r="L14" s="2">
        <f>马仔宝物投放!S26</f>
        <v>0</v>
      </c>
      <c r="M14" s="2">
        <f>马仔宝物投放!T26</f>
        <v>0</v>
      </c>
      <c r="N14" s="2">
        <f>马仔宝物投放!U26</f>
        <v>0</v>
      </c>
      <c r="O14" s="2">
        <f>马仔宝物投放!V26</f>
        <v>0.87124900019410789</v>
      </c>
      <c r="P14" s="2"/>
      <c r="Q14" s="2">
        <f t="shared" si="0"/>
        <v>21.532296719082954</v>
      </c>
    </row>
    <row r="15" spans="1:17">
      <c r="A15" s="73"/>
      <c r="B15" s="2" t="s">
        <v>579</v>
      </c>
      <c r="C15" s="2"/>
      <c r="D15" s="2">
        <f>马仔宝物投放!K27</f>
        <v>3.4471836681951529</v>
      </c>
      <c r="E15" s="2">
        <f>马仔宝物投放!L27</f>
        <v>11.203346921634244</v>
      </c>
      <c r="F15" s="2">
        <f>马仔宝物投放!M27</f>
        <v>0</v>
      </c>
      <c r="G15" s="2">
        <f>马仔宝物投放!N27</f>
        <v>0</v>
      </c>
      <c r="H15" s="2">
        <f>马仔宝物投放!O27</f>
        <v>2.5853877511463645</v>
      </c>
      <c r="I15" s="2">
        <f>马仔宝物投放!P27</f>
        <v>0</v>
      </c>
      <c r="J15" s="2">
        <f>马仔宝物投放!Q27</f>
        <v>0</v>
      </c>
      <c r="K15" s="2">
        <f>马仔宝物投放!R27</f>
        <v>11.203346921634244</v>
      </c>
      <c r="L15" s="2">
        <f>马仔宝物投放!S27</f>
        <v>0</v>
      </c>
      <c r="M15" s="2">
        <f>马仔宝物投放!T27</f>
        <v>6.8943673363903057</v>
      </c>
      <c r="N15" s="2">
        <f>马仔宝物投放!U27</f>
        <v>0</v>
      </c>
      <c r="O15" s="2">
        <f>马仔宝物投放!V27</f>
        <v>1.5081428548353795</v>
      </c>
      <c r="P15" s="2"/>
      <c r="Q15" s="2">
        <f t="shared" si="0"/>
        <v>36.841775453835687</v>
      </c>
    </row>
    <row r="16" spans="1:17">
      <c r="A16" s="73"/>
      <c r="B16" s="2" t="s">
        <v>580</v>
      </c>
      <c r="C16" s="2"/>
      <c r="D16" s="2">
        <f>马仔宝物投放!K28</f>
        <v>3.127945095843534</v>
      </c>
      <c r="E16" s="2">
        <f>马仔宝物投放!L28</f>
        <v>21.858816316835988</v>
      </c>
      <c r="F16" s="2">
        <f>马仔宝物投放!M28</f>
        <v>0</v>
      </c>
      <c r="G16" s="2">
        <f>马仔宝物投放!N28</f>
        <v>0</v>
      </c>
      <c r="H16" s="2">
        <f>马仔宝物投放!O28</f>
        <v>4.0479289475622204</v>
      </c>
      <c r="I16" s="2">
        <f>马仔宝物投放!P28</f>
        <v>0</v>
      </c>
      <c r="J16" s="2">
        <f>马仔宝物投放!Q28</f>
        <v>0</v>
      </c>
      <c r="K16" s="2">
        <f>马仔宝物投放!R28</f>
        <v>14.57254421122399</v>
      </c>
      <c r="L16" s="2">
        <f>马仔宝物投放!S28</f>
        <v>0</v>
      </c>
      <c r="M16" s="2">
        <f>马仔宝物投放!T28</f>
        <v>10.524615263661774</v>
      </c>
      <c r="N16" s="2">
        <f>马仔宝物投放!U28</f>
        <v>0</v>
      </c>
      <c r="O16" s="2">
        <f>马仔宝物投放!V28</f>
        <v>0</v>
      </c>
      <c r="P16" s="2"/>
      <c r="Q16" s="2">
        <f t="shared" si="0"/>
        <v>54.131849835127504</v>
      </c>
    </row>
    <row r="17" spans="1:17">
      <c r="A17" s="73" t="s">
        <v>619</v>
      </c>
      <c r="B17" s="2" t="s">
        <v>576</v>
      </c>
      <c r="C17" s="2"/>
      <c r="D17" s="2"/>
      <c r="E17" s="2"/>
      <c r="F17" s="2"/>
      <c r="G17" s="2"/>
      <c r="H17" s="2"/>
      <c r="I17" s="2"/>
      <c r="J17" s="2">
        <f>[8]D_金币商场!$U$30*2</f>
        <v>0</v>
      </c>
      <c r="K17" s="2"/>
      <c r="L17" s="2"/>
      <c r="M17" s="2"/>
      <c r="N17" s="2"/>
      <c r="O17" s="2"/>
      <c r="P17" s="2"/>
      <c r="Q17" s="2">
        <f t="shared" si="0"/>
        <v>0</v>
      </c>
    </row>
    <row r="18" spans="1:17">
      <c r="A18" s="73"/>
      <c r="B18" s="2" t="s">
        <v>577</v>
      </c>
      <c r="C18" s="2"/>
      <c r="D18" s="2"/>
      <c r="E18" s="2"/>
      <c r="F18" s="2"/>
      <c r="G18" s="2"/>
      <c r="H18" s="2" t="e">
        <f>[8]D_钻石十连抽!#REF!</f>
        <v>#REF!</v>
      </c>
      <c r="I18" s="2"/>
      <c r="J18" s="2"/>
      <c r="K18" s="2">
        <f>[8]D_神秘商店!$W$89*4</f>
        <v>0</v>
      </c>
      <c r="L18" s="2">
        <f>[8]D_钻石商场!$S$67</f>
        <v>0</v>
      </c>
      <c r="M18" s="2"/>
      <c r="N18" s="2">
        <f>[8]D_红包积分商城!$U$27</f>
        <v>0</v>
      </c>
      <c r="O18" s="2"/>
      <c r="P18" s="2"/>
      <c r="Q18" s="2" t="e">
        <f t="shared" si="0"/>
        <v>#REF!</v>
      </c>
    </row>
    <row r="19" spans="1:17">
      <c r="A19" s="73"/>
      <c r="B19" s="2" t="s">
        <v>578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>
        <f>[8]D_VIP商城!$S$47</f>
        <v>0</v>
      </c>
      <c r="N19" s="2"/>
      <c r="O19" s="2"/>
      <c r="P19" s="2"/>
      <c r="Q19" s="2">
        <f t="shared" si="0"/>
        <v>0</v>
      </c>
    </row>
    <row r="20" spans="1:17">
      <c r="A20" s="73" t="s">
        <v>614</v>
      </c>
      <c r="B20" s="2" t="s">
        <v>576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>
        <f t="shared" si="0"/>
        <v>0</v>
      </c>
    </row>
    <row r="21" spans="1:17">
      <c r="A21" s="73"/>
      <c r="B21" s="2" t="s">
        <v>577</v>
      </c>
      <c r="C21" s="2"/>
      <c r="D21" s="2">
        <f ca="1">'装备&amp;装备材料的投放'!AG18</f>
        <v>0</v>
      </c>
      <c r="E21" s="2">
        <f ca="1">'装备&amp;装备材料的投放'!AH18</f>
        <v>0</v>
      </c>
      <c r="F21" s="2">
        <f ca="1">'装备&amp;装备材料的投放'!AI18</f>
        <v>2.117435190484231</v>
      </c>
      <c r="G21" s="2">
        <f ca="1">'装备&amp;装备材料的投放'!AJ18</f>
        <v>0</v>
      </c>
      <c r="H21" s="2">
        <f ca="1">'装备&amp;装备材料的投放'!AK18</f>
        <v>0</v>
      </c>
      <c r="I21" s="2">
        <f ca="1">'装备&amp;装备材料的投放'!AL18</f>
        <v>0</v>
      </c>
      <c r="J21" s="2">
        <f ca="1">'装备&amp;装备材料的投放'!AM18</f>
        <v>3.2575926007449709</v>
      </c>
      <c r="K21" s="2">
        <f ca="1">'装备&amp;装备材料的投放'!AN18</f>
        <v>3.2575926007449709</v>
      </c>
      <c r="L21" s="2">
        <f ca="1">'装备&amp;装备材料的投放'!AO18</f>
        <v>0</v>
      </c>
      <c r="M21" s="2">
        <f ca="1">'装备&amp;装备材料的投放'!AP18</f>
        <v>0</v>
      </c>
      <c r="N21" s="2">
        <f ca="1">'装备&amp;装备材料的投放'!AQ18</f>
        <v>2.1717284004966473</v>
      </c>
      <c r="O21" s="2">
        <f ca="1">'装备&amp;装备材料的投放'!AR18</f>
        <v>0</v>
      </c>
      <c r="P21" s="2"/>
      <c r="Q21" s="2">
        <f t="shared" ca="1" si="0"/>
        <v>10.804348792470821</v>
      </c>
    </row>
    <row r="22" spans="1:17">
      <c r="A22" s="73"/>
      <c r="B22" s="2" t="s">
        <v>615</v>
      </c>
      <c r="C22" s="2"/>
      <c r="D22" s="2">
        <f ca="1">'装备&amp;装备材料的投放'!AG19</f>
        <v>0</v>
      </c>
      <c r="E22" s="2">
        <f ca="1">'装备&amp;装备材料的投放'!AH19</f>
        <v>4.2840152506071361</v>
      </c>
      <c r="F22" s="2">
        <f ca="1">'装备&amp;装备材料的投放'!AI19</f>
        <v>0.14280050835357119</v>
      </c>
      <c r="G22" s="2">
        <f ca="1">'装备&amp;装备材料的投放'!AJ19</f>
        <v>0</v>
      </c>
      <c r="H22" s="2">
        <f ca="1">'装备&amp;装备材料的投放'!AK19</f>
        <v>0.35700127088392802</v>
      </c>
      <c r="I22" s="2">
        <f ca="1">'装备&amp;装备材料的投放'!AL19</f>
        <v>0</v>
      </c>
      <c r="J22" s="2">
        <f ca="1">'装备&amp;装备材料的投放'!AM19</f>
        <v>0.21420076253035678</v>
      </c>
      <c r="K22" s="2">
        <f ca="1">'装备&amp;装备材料的投放'!AN19</f>
        <v>1.071003812651784</v>
      </c>
      <c r="L22" s="2">
        <f ca="1">'装备&amp;装备材料的投放'!AO19</f>
        <v>0</v>
      </c>
      <c r="M22" s="2">
        <f ca="1">'装备&amp;装备材料的投放'!AP19</f>
        <v>0.35700127088392802</v>
      </c>
      <c r="N22" s="2">
        <f ca="1">'装备&amp;装备材料的投放'!AQ19</f>
        <v>0</v>
      </c>
      <c r="O22" s="2">
        <f ca="1">'装备&amp;装备材料的投放'!AR19</f>
        <v>0</v>
      </c>
      <c r="P22" s="2"/>
      <c r="Q22" s="2">
        <f t="shared" ca="1" si="0"/>
        <v>6.4260228759107045</v>
      </c>
    </row>
    <row r="23" spans="1:17">
      <c r="A23" s="73"/>
      <c r="B23" s="2" t="s">
        <v>579</v>
      </c>
      <c r="C23" s="2"/>
      <c r="D23" s="2">
        <f ca="1">'装备&amp;装备材料的投放'!AG20</f>
        <v>0</v>
      </c>
      <c r="E23" s="2">
        <f ca="1">'装备&amp;装备材料的投放'!AH20</f>
        <v>2.0136937226807725</v>
      </c>
      <c r="F23" s="2">
        <f ca="1">'装备&amp;装备材料的投放'!AI20</f>
        <v>0</v>
      </c>
      <c r="G23" s="2">
        <f ca="1">'装备&amp;装备材料的投放'!AJ20</f>
        <v>0</v>
      </c>
      <c r="H23" s="2">
        <f ca="1">'装备&amp;装备材料的投放'!AK20</f>
        <v>0.53698499271487266</v>
      </c>
      <c r="I23" s="2">
        <f ca="1">'装备&amp;装备材料的投放'!AL20</f>
        <v>0</v>
      </c>
      <c r="J23" s="2">
        <f ca="1">'装备&amp;装备材料的投放'!AM20</f>
        <v>0</v>
      </c>
      <c r="K23" s="2">
        <f ca="1">'装备&amp;装备材料的投放'!AN20</f>
        <v>0</v>
      </c>
      <c r="L23" s="2">
        <f ca="1">'装备&amp;装备材料的投放'!AO20</f>
        <v>0</v>
      </c>
      <c r="M23" s="2">
        <f ca="1">'装备&amp;装备材料的投放'!AP20</f>
        <v>0.20136937226807725</v>
      </c>
      <c r="N23" s="2">
        <f ca="1">'装备&amp;装备材料的投放'!AQ20</f>
        <v>0</v>
      </c>
      <c r="O23" s="2">
        <f ca="1">'装备&amp;装备材料的投放'!AR20</f>
        <v>0</v>
      </c>
      <c r="P23" s="2"/>
      <c r="Q23" s="2">
        <f t="shared" ca="1" si="0"/>
        <v>2.7520480876637228</v>
      </c>
    </row>
    <row r="24" spans="1:17">
      <c r="A24" s="73"/>
      <c r="B24" s="2" t="s">
        <v>580</v>
      </c>
      <c r="C24" s="2"/>
      <c r="D24" s="2">
        <f ca="1">'装备&amp;装备材料的投放'!AG21</f>
        <v>0</v>
      </c>
      <c r="E24" s="2">
        <f ca="1">'装备&amp;装备材料的投放'!AH21</f>
        <v>0</v>
      </c>
      <c r="F24" s="2">
        <f ca="1">'装备&amp;装备材料的投放'!AI21</f>
        <v>0</v>
      </c>
      <c r="G24" s="2">
        <f ca="1">'装备&amp;装备材料的投放'!AJ21</f>
        <v>0</v>
      </c>
      <c r="H24" s="2">
        <f ca="1">'装备&amp;装备材料的投放'!AK21</f>
        <v>0</v>
      </c>
      <c r="I24" s="2">
        <f ca="1">'装备&amp;装备材料的投放'!AL21</f>
        <v>0</v>
      </c>
      <c r="J24" s="2">
        <f ca="1">'装备&amp;装备材料的投放'!AM21</f>
        <v>0</v>
      </c>
      <c r="K24" s="2">
        <f ca="1">'装备&amp;装备材料的投放'!AN21</f>
        <v>0</v>
      </c>
      <c r="L24" s="2">
        <f ca="1">'装备&amp;装备材料的投放'!AO21</f>
        <v>0</v>
      </c>
      <c r="M24" s="2">
        <f ca="1">'装备&amp;装备材料的投放'!AP21</f>
        <v>0</v>
      </c>
      <c r="N24" s="2">
        <f ca="1">'装备&amp;装备材料的投放'!AQ21</f>
        <v>0</v>
      </c>
      <c r="O24" s="2">
        <f ca="1">'装备&amp;装备材料的投放'!AR21</f>
        <v>0</v>
      </c>
      <c r="P24" s="2"/>
      <c r="Q24" s="2">
        <f t="shared" ca="1" si="0"/>
        <v>0</v>
      </c>
    </row>
    <row r="25" spans="1:17">
      <c r="A25" s="73" t="s">
        <v>616</v>
      </c>
      <c r="B25" s="2" t="s">
        <v>576</v>
      </c>
      <c r="C25" s="2"/>
      <c r="D25" s="2"/>
      <c r="E25" s="2"/>
      <c r="F25" s="2"/>
      <c r="G25" s="2"/>
      <c r="H25" s="2"/>
      <c r="I25" s="2"/>
      <c r="J25" s="2"/>
      <c r="K25" s="2">
        <f>[8]D_神秘商店!$W82*4</f>
        <v>0</v>
      </c>
      <c r="L25" s="2">
        <f>[8]D_钻石商场!$S18</f>
        <v>4.9545829892650701</v>
      </c>
      <c r="M25" s="2"/>
      <c r="N25" s="2">
        <f>[8]D_红包积分商城!$U3</f>
        <v>1</v>
      </c>
      <c r="O25" s="2">
        <f>[7]D_竞技场商城!$S$55</f>
        <v>0</v>
      </c>
      <c r="P25" s="2"/>
      <c r="Q25" s="2">
        <f t="shared" si="0"/>
        <v>5.9545829892650701</v>
      </c>
    </row>
    <row r="26" spans="1:17">
      <c r="A26" s="73"/>
      <c r="B26" s="2" t="s">
        <v>577</v>
      </c>
      <c r="C26" s="2"/>
      <c r="D26" s="2"/>
      <c r="E26" s="2"/>
      <c r="F26" s="2"/>
      <c r="G26" s="2"/>
      <c r="H26" s="2"/>
      <c r="I26" s="2"/>
      <c r="J26" s="2"/>
      <c r="K26" s="2">
        <f>[8]D_神秘商店!$W83*4</f>
        <v>0</v>
      </c>
      <c r="L26" s="2">
        <f>[8]D_钻石商场!$S19</f>
        <v>2.4772914946325351</v>
      </c>
      <c r="M26" s="2"/>
      <c r="N26" s="2">
        <f>[8]D_红包积分商城!$U2</f>
        <v>1</v>
      </c>
      <c r="O26" s="2">
        <f>[7]D_竞技场商城!$S$56</f>
        <v>0</v>
      </c>
      <c r="P26" s="2"/>
      <c r="Q26" s="2">
        <f t="shared" si="0"/>
        <v>3.4772914946325351</v>
      </c>
    </row>
    <row r="27" spans="1:17">
      <c r="A27" s="73"/>
      <c r="B27" s="2" t="s">
        <v>578</v>
      </c>
      <c r="C27" s="2"/>
      <c r="D27" s="2"/>
      <c r="E27" s="2"/>
      <c r="F27" s="2"/>
      <c r="G27" s="2"/>
      <c r="H27" s="2"/>
      <c r="I27" s="2"/>
      <c r="J27" s="2"/>
      <c r="K27" s="2">
        <f>[8]D_神秘商店!$W84*4</f>
        <v>0</v>
      </c>
      <c r="L27" s="2">
        <f>[8]D_钻石商场!$S20</f>
        <v>0.99091659785301389</v>
      </c>
      <c r="M27" s="2"/>
      <c r="N27" s="2">
        <f>[8]D_红包积分商城!$U4</f>
        <v>5</v>
      </c>
      <c r="O27" s="2"/>
      <c r="P27" s="2"/>
      <c r="Q27" s="2">
        <f t="shared" si="0"/>
        <v>5.9909165978530137</v>
      </c>
    </row>
    <row r="28" spans="1:17">
      <c r="A28" s="73" t="s">
        <v>617</v>
      </c>
      <c r="B28" s="2" t="s">
        <v>576</v>
      </c>
      <c r="C28" s="2"/>
      <c r="D28" s="2"/>
      <c r="E28" s="2"/>
      <c r="F28" s="2"/>
      <c r="G28" s="2"/>
      <c r="H28" s="2"/>
      <c r="I28" s="2"/>
      <c r="J28" s="2"/>
      <c r="K28" s="2"/>
      <c r="L28" s="2">
        <f>[8]D_钻石商场!$S58</f>
        <v>0.24772914946325353</v>
      </c>
      <c r="M28" s="2"/>
      <c r="N28" s="2">
        <f>[8]D_红包积分商城!$U8</f>
        <v>0</v>
      </c>
      <c r="O28" s="2">
        <f>[7]D_竞技场商城!$S$53</f>
        <v>0</v>
      </c>
      <c r="P28" s="2"/>
      <c r="Q28" s="2">
        <f t="shared" si="0"/>
        <v>0.24772914946325353</v>
      </c>
    </row>
    <row r="29" spans="1:17">
      <c r="A29" s="73"/>
      <c r="B29" s="2" t="s">
        <v>577</v>
      </c>
      <c r="C29" s="2"/>
      <c r="D29" s="2"/>
      <c r="E29" s="2"/>
      <c r="F29" s="2"/>
      <c r="G29" s="2"/>
      <c r="H29" s="2"/>
      <c r="I29" s="2"/>
      <c r="J29" s="2"/>
      <c r="K29" s="2"/>
      <c r="L29" s="2">
        <f>[8]D_钻石商场!$S59</f>
        <v>9.9091659785301406E-2</v>
      </c>
      <c r="M29" s="2"/>
      <c r="N29" s="2">
        <f>[8]D_红包积分商城!$U9</f>
        <v>0</v>
      </c>
      <c r="O29" s="2">
        <f>[7]D_竞技场商城!$S$54</f>
        <v>0</v>
      </c>
      <c r="P29" s="2"/>
      <c r="Q29" s="2">
        <f t="shared" si="0"/>
        <v>9.9091659785301406E-2</v>
      </c>
    </row>
    <row r="30" spans="1:17">
      <c r="A30" s="73"/>
      <c r="B30" s="2" t="s">
        <v>578</v>
      </c>
      <c r="C30" s="2"/>
      <c r="D30" s="2"/>
      <c r="E30" s="2"/>
      <c r="F30" s="2"/>
      <c r="G30" s="2"/>
      <c r="H30" s="2"/>
      <c r="I30" s="2"/>
      <c r="J30" s="2"/>
      <c r="K30" s="2"/>
      <c r="L30" s="2">
        <f>[8]D_钻石商场!$S60</f>
        <v>0</v>
      </c>
      <c r="M30" s="2"/>
      <c r="N30" s="2">
        <f>[8]D_红包积分商城!$U10</f>
        <v>0</v>
      </c>
      <c r="O30" s="2"/>
      <c r="P30" s="2"/>
      <c r="Q30" s="2">
        <f t="shared" si="0"/>
        <v>0</v>
      </c>
    </row>
    <row r="31" spans="1:17">
      <c r="A31" s="73" t="s">
        <v>618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>
        <f>[8]D_钻石商场!$S$35</f>
        <v>8.9182493806771248</v>
      </c>
      <c r="M31" s="2"/>
      <c r="N31" s="2">
        <f>[8]D_红包积分商城!$U$25</f>
        <v>0</v>
      </c>
      <c r="O31" s="2"/>
      <c r="P31" s="2"/>
      <c r="Q31" s="2">
        <f t="shared" si="0"/>
        <v>8.9182493806771248</v>
      </c>
    </row>
    <row r="32" spans="1:17">
      <c r="A32" s="73" t="s">
        <v>620</v>
      </c>
      <c r="B32" s="2" t="s">
        <v>576</v>
      </c>
      <c r="C32" s="2"/>
      <c r="D32" s="2"/>
      <c r="E32" s="2"/>
      <c r="F32" s="2">
        <f>[8]D_金币十连抽!$S$32*10</f>
        <v>0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>
        <f t="shared" si="0"/>
        <v>0</v>
      </c>
    </row>
    <row r="33" spans="1:17">
      <c r="A33" s="73"/>
      <c r="B33" s="2" t="s">
        <v>577</v>
      </c>
      <c r="C33" s="2"/>
      <c r="D33" s="2"/>
      <c r="E33" s="2"/>
      <c r="F33" s="2" t="e">
        <f>[8]D_金币十连抽!#REF!*10</f>
        <v>#REF!</v>
      </c>
      <c r="G33" s="2" t="e">
        <f>[8]D_十连抽!#REF!</f>
        <v>#REF!</v>
      </c>
      <c r="H33" s="2"/>
      <c r="I33" s="2"/>
      <c r="J33" s="2"/>
      <c r="K33" s="2"/>
      <c r="L33" s="2">
        <f>[8]D_钻石商场!$S64</f>
        <v>0</v>
      </c>
      <c r="M33" s="2"/>
      <c r="N33" s="2"/>
      <c r="O33" s="2"/>
      <c r="P33" s="2"/>
      <c r="Q33" s="2" t="e">
        <f t="shared" si="0"/>
        <v>#REF!</v>
      </c>
    </row>
    <row r="34" spans="1:17">
      <c r="A34" s="73"/>
      <c r="B34" s="2" t="s">
        <v>578</v>
      </c>
      <c r="C34" s="2"/>
      <c r="D34" s="2"/>
      <c r="E34" s="2"/>
      <c r="F34" s="2"/>
      <c r="G34" s="2"/>
      <c r="H34" s="2" t="e">
        <f>[8]D_钻石十连抽!#REF!</f>
        <v>#REF!</v>
      </c>
      <c r="I34" s="2"/>
      <c r="J34" s="2"/>
      <c r="K34" s="2"/>
      <c r="L34" s="2">
        <f>[8]D_钻石商场!$S65</f>
        <v>0</v>
      </c>
      <c r="M34" s="2">
        <f>[8]D_VIP商城!$S$43</f>
        <v>0</v>
      </c>
      <c r="N34" s="2"/>
      <c r="O34" s="2"/>
      <c r="P34" s="2"/>
      <c r="Q34" s="2" t="e">
        <f t="shared" si="0"/>
        <v>#REF!</v>
      </c>
    </row>
    <row r="35" spans="1:17">
      <c r="A35" s="73" t="s">
        <v>621</v>
      </c>
      <c r="B35" s="2" t="s">
        <v>576</v>
      </c>
      <c r="C35" s="2"/>
      <c r="D35" s="2"/>
      <c r="E35" s="2"/>
      <c r="F35" s="2"/>
      <c r="G35" s="2"/>
      <c r="H35" s="2"/>
      <c r="I35" s="2"/>
      <c r="J35" s="2"/>
      <c r="K35" s="2">
        <f>[8]D_神秘商店!$W90*4</f>
        <v>0</v>
      </c>
      <c r="L35" s="2"/>
      <c r="M35" s="2"/>
      <c r="N35" s="2"/>
      <c r="O35" s="2"/>
      <c r="P35" s="2"/>
      <c r="Q35" s="2">
        <f t="shared" si="0"/>
        <v>0</v>
      </c>
    </row>
    <row r="36" spans="1:17">
      <c r="A36" s="73"/>
      <c r="B36" s="2" t="s">
        <v>577</v>
      </c>
      <c r="C36" s="2"/>
      <c r="D36" s="2"/>
      <c r="E36" s="2"/>
      <c r="F36" s="2"/>
      <c r="G36" s="2"/>
      <c r="H36" s="2"/>
      <c r="I36" s="2"/>
      <c r="J36" s="2"/>
      <c r="K36" s="2">
        <f>[8]D_神秘商店!$W91*4</f>
        <v>0</v>
      </c>
      <c r="L36" s="2"/>
      <c r="M36" s="2"/>
      <c r="N36" s="2"/>
      <c r="O36" s="2"/>
      <c r="P36" s="2"/>
      <c r="Q36" s="2">
        <f t="shared" si="0"/>
        <v>0</v>
      </c>
    </row>
    <row r="37" spans="1:17">
      <c r="A37" s="73"/>
      <c r="B37" s="2" t="s">
        <v>578</v>
      </c>
      <c r="C37" s="2"/>
      <c r="D37" s="2"/>
      <c r="E37" s="2"/>
      <c r="F37" s="2"/>
      <c r="G37" s="2"/>
      <c r="H37" s="2"/>
      <c r="I37" s="2"/>
      <c r="J37" s="2"/>
      <c r="K37" s="2">
        <f>[8]D_神秘商店!$W92*4</f>
        <v>0</v>
      </c>
      <c r="L37" s="2"/>
      <c r="M37" s="2"/>
      <c r="N37" s="2"/>
      <c r="O37" s="2"/>
      <c r="P37" s="2"/>
      <c r="Q37" s="2">
        <f t="shared" si="0"/>
        <v>0</v>
      </c>
    </row>
    <row r="38" spans="1:17">
      <c r="A38" s="73" t="s">
        <v>622</v>
      </c>
      <c r="B38" s="2" t="s">
        <v>576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>
        <f>[8]D_VIP商城!$S44</f>
        <v>0</v>
      </c>
      <c r="N38" s="2"/>
      <c r="O38" s="2"/>
      <c r="P38" s="2"/>
      <c r="Q38" s="2">
        <f t="shared" si="0"/>
        <v>0</v>
      </c>
    </row>
    <row r="39" spans="1:17">
      <c r="A39" s="73"/>
      <c r="B39" s="2" t="s">
        <v>577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>
        <f>[8]D_VIP商城!$S45</f>
        <v>0</v>
      </c>
      <c r="N39" s="2"/>
      <c r="O39" s="2"/>
      <c r="P39" s="2"/>
      <c r="Q39" s="2">
        <f t="shared" si="0"/>
        <v>0</v>
      </c>
    </row>
    <row r="40" spans="1:17">
      <c r="A40" s="73"/>
      <c r="B40" s="2" t="s">
        <v>578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>
        <f>[8]D_VIP商城!$S46</f>
        <v>0</v>
      </c>
      <c r="N40" s="2"/>
      <c r="O40" s="2"/>
      <c r="P40" s="2"/>
      <c r="Q40" s="2">
        <f t="shared" si="0"/>
        <v>0</v>
      </c>
    </row>
  </sheetData>
  <phoneticPr fontId="1" type="noConversion"/>
  <conditionalFormatting sqref="C12:P1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P1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P1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P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P1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P2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P22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P2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P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P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P9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P1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P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P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P1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P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P2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P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P2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P2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P3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P3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P32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P3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P3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P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P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P3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P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P3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P4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K654"/>
  <sheetViews>
    <sheetView tabSelected="1" workbookViewId="0">
      <selection activeCell="K23" sqref="K23"/>
    </sheetView>
  </sheetViews>
  <sheetFormatPr defaultRowHeight="13.5"/>
  <cols>
    <col min="2" max="2" width="18.125" customWidth="1"/>
    <col min="6" max="6" width="13.5" style="55" customWidth="1"/>
    <col min="7" max="7" width="12.5" style="36" customWidth="1"/>
    <col min="8" max="8" width="12.75" style="144" bestFit="1" customWidth="1"/>
    <col min="9" max="9" width="10.125" style="144" customWidth="1"/>
  </cols>
  <sheetData>
    <row r="1" spans="1:11">
      <c r="A1" s="2" t="s">
        <v>403</v>
      </c>
      <c r="B1" s="2" t="s">
        <v>404</v>
      </c>
      <c r="C1" s="2" t="s">
        <v>405</v>
      </c>
      <c r="D1" s="2" t="s">
        <v>406</v>
      </c>
      <c r="E1" s="10" t="s">
        <v>407</v>
      </c>
      <c r="F1" s="55" t="s">
        <v>408</v>
      </c>
      <c r="G1" s="36" t="s">
        <v>409</v>
      </c>
      <c r="H1" s="144" t="s">
        <v>1494</v>
      </c>
      <c r="I1" s="144" t="s">
        <v>1495</v>
      </c>
    </row>
    <row r="2" spans="1:11">
      <c r="A2">
        <v>91001</v>
      </c>
      <c r="B2" t="s">
        <v>877</v>
      </c>
      <c r="C2">
        <v>0</v>
      </c>
      <c r="D2">
        <v>0</v>
      </c>
      <c r="E2">
        <v>0</v>
      </c>
      <c r="F2" s="56">
        <v>0</v>
      </c>
      <c r="G2" s="38">
        <v>0</v>
      </c>
      <c r="H2" s="144">
        <v>0</v>
      </c>
      <c r="I2" s="144">
        <v>0</v>
      </c>
    </row>
    <row r="3" spans="1:11">
      <c r="A3">
        <v>81002</v>
      </c>
      <c r="B3" t="s">
        <v>878</v>
      </c>
      <c r="C3">
        <v>0</v>
      </c>
      <c r="D3">
        <v>0</v>
      </c>
      <c r="E3">
        <v>0</v>
      </c>
      <c r="F3" s="56">
        <v>0</v>
      </c>
      <c r="G3" s="38">
        <v>0</v>
      </c>
      <c r="H3" s="144">
        <v>0</v>
      </c>
      <c r="I3" s="144">
        <v>0</v>
      </c>
    </row>
    <row r="4" spans="1:11">
      <c r="A4">
        <v>81003</v>
      </c>
      <c r="B4" t="s">
        <v>879</v>
      </c>
      <c r="C4">
        <v>0</v>
      </c>
      <c r="D4">
        <v>0</v>
      </c>
      <c r="E4">
        <v>0</v>
      </c>
      <c r="F4" s="56">
        <v>0</v>
      </c>
      <c r="G4" s="38">
        <v>0</v>
      </c>
      <c r="H4" s="144">
        <v>0</v>
      </c>
      <c r="I4" s="144">
        <v>0</v>
      </c>
    </row>
    <row r="5" spans="1:11">
      <c r="A5">
        <v>81010</v>
      </c>
      <c r="B5" t="s">
        <v>880</v>
      </c>
      <c r="C5">
        <v>0</v>
      </c>
      <c r="D5">
        <v>0</v>
      </c>
      <c r="E5">
        <v>0</v>
      </c>
      <c r="F5" s="56">
        <v>0</v>
      </c>
      <c r="G5" s="38">
        <v>0</v>
      </c>
      <c r="H5" s="144">
        <v>0</v>
      </c>
      <c r="I5" s="144">
        <v>0</v>
      </c>
    </row>
    <row r="6" spans="1:11">
      <c r="A6">
        <v>82001</v>
      </c>
      <c r="B6" t="s">
        <v>411</v>
      </c>
      <c r="C6">
        <v>0</v>
      </c>
      <c r="D6">
        <v>0</v>
      </c>
      <c r="E6">
        <v>0</v>
      </c>
      <c r="F6" s="56">
        <v>0</v>
      </c>
      <c r="G6" s="38">
        <v>0</v>
      </c>
      <c r="H6" s="144">
        <v>0</v>
      </c>
      <c r="I6" s="144">
        <v>0</v>
      </c>
    </row>
    <row r="7" spans="1:11">
      <c r="A7">
        <v>83001</v>
      </c>
      <c r="B7" t="s">
        <v>881</v>
      </c>
      <c r="C7">
        <v>0</v>
      </c>
      <c r="D7">
        <v>0</v>
      </c>
      <c r="E7">
        <v>0</v>
      </c>
      <c r="F7" s="56">
        <v>0</v>
      </c>
      <c r="G7" s="38">
        <v>0</v>
      </c>
      <c r="H7" s="144">
        <v>0</v>
      </c>
      <c r="I7" s="144">
        <v>0</v>
      </c>
      <c r="K7" s="2" t="s">
        <v>410</v>
      </c>
    </row>
    <row r="8" spans="1:11">
      <c r="A8">
        <v>83002</v>
      </c>
      <c r="B8" t="s">
        <v>882</v>
      </c>
      <c r="C8">
        <v>0</v>
      </c>
      <c r="D8">
        <v>0</v>
      </c>
      <c r="E8">
        <v>0</v>
      </c>
      <c r="F8" s="56">
        <v>0</v>
      </c>
      <c r="G8" s="38">
        <v>0</v>
      </c>
      <c r="H8" s="144">
        <v>0</v>
      </c>
      <c r="I8" s="144">
        <v>0</v>
      </c>
      <c r="K8" s="2" t="s">
        <v>24</v>
      </c>
    </row>
    <row r="9" spans="1:11">
      <c r="A9">
        <v>83003</v>
      </c>
      <c r="B9" t="s">
        <v>883</v>
      </c>
      <c r="C9">
        <v>40.883264194285957</v>
      </c>
      <c r="D9">
        <v>1</v>
      </c>
      <c r="E9">
        <v>30</v>
      </c>
      <c r="F9" s="56">
        <v>61324.896291428937</v>
      </c>
      <c r="G9" s="38">
        <v>122.64979258285787</v>
      </c>
      <c r="H9" s="144">
        <v>61324.896291428937</v>
      </c>
      <c r="I9" s="144">
        <v>122.64979258285787</v>
      </c>
      <c r="K9" s="2" t="s">
        <v>423</v>
      </c>
    </row>
    <row r="10" spans="1:11">
      <c r="A10">
        <v>83004</v>
      </c>
      <c r="B10" t="s">
        <v>884</v>
      </c>
      <c r="C10">
        <v>65.526357207911119</v>
      </c>
      <c r="D10">
        <v>1</v>
      </c>
      <c r="E10">
        <v>30</v>
      </c>
      <c r="F10" s="56">
        <v>98289.535811866677</v>
      </c>
      <c r="G10" s="38">
        <v>196.57907162373337</v>
      </c>
      <c r="H10" s="144">
        <v>98289.535811866677</v>
      </c>
      <c r="I10" s="144">
        <v>196.57907162373337</v>
      </c>
      <c r="K10" s="2" t="s">
        <v>435</v>
      </c>
    </row>
    <row r="11" spans="1:11">
      <c r="A11">
        <v>83005</v>
      </c>
      <c r="B11" t="s">
        <v>513</v>
      </c>
      <c r="C11">
        <v>93.895930095509812</v>
      </c>
      <c r="D11">
        <v>1</v>
      </c>
      <c r="E11">
        <v>30</v>
      </c>
      <c r="F11" s="56">
        <v>140843.89514326473</v>
      </c>
      <c r="G11" s="38">
        <v>281.68779028652949</v>
      </c>
      <c r="H11" s="144">
        <v>140843.89514326473</v>
      </c>
      <c r="I11" s="144">
        <v>281.68779028652949</v>
      </c>
      <c r="K11" s="2" t="s">
        <v>436</v>
      </c>
    </row>
    <row r="12" spans="1:11">
      <c r="A12">
        <v>83006</v>
      </c>
      <c r="B12" t="s">
        <v>885</v>
      </c>
      <c r="C12">
        <v>136.84714401067484</v>
      </c>
      <c r="D12">
        <v>1</v>
      </c>
      <c r="E12">
        <v>30</v>
      </c>
      <c r="F12" s="56">
        <v>205270.71601601224</v>
      </c>
      <c r="G12" s="38">
        <v>410.54143203202449</v>
      </c>
      <c r="H12" s="144">
        <v>205270.71601601224</v>
      </c>
      <c r="I12" s="144">
        <v>410.54143203202449</v>
      </c>
      <c r="K12" s="4" t="s">
        <v>480</v>
      </c>
    </row>
    <row r="13" spans="1:11">
      <c r="A13">
        <v>83007</v>
      </c>
      <c r="B13" t="s">
        <v>886</v>
      </c>
      <c r="C13">
        <v>525.2369515441618</v>
      </c>
      <c r="D13">
        <v>1</v>
      </c>
      <c r="E13">
        <v>40</v>
      </c>
      <c r="F13" s="56">
        <v>1050473.9030883235</v>
      </c>
      <c r="G13" s="38">
        <v>2100.9478061766472</v>
      </c>
      <c r="H13" s="144">
        <v>1050473.9030883235</v>
      </c>
      <c r="I13" s="144">
        <v>2100.9478061766472</v>
      </c>
    </row>
    <row r="14" spans="1:11">
      <c r="A14">
        <v>83008</v>
      </c>
      <c r="B14" t="s">
        <v>887</v>
      </c>
      <c r="C14">
        <v>195.7419418851112</v>
      </c>
      <c r="D14">
        <v>1</v>
      </c>
      <c r="E14">
        <v>30</v>
      </c>
      <c r="F14" s="56">
        <v>293612.91282766679</v>
      </c>
      <c r="G14" s="38">
        <v>587.22582565533355</v>
      </c>
      <c r="H14" s="144">
        <v>293612.91282766679</v>
      </c>
      <c r="I14" s="144">
        <v>587.22582565533355</v>
      </c>
    </row>
    <row r="15" spans="1:11">
      <c r="A15">
        <v>83009</v>
      </c>
      <c r="B15" t="s">
        <v>514</v>
      </c>
      <c r="C15">
        <v>325.83843064355233</v>
      </c>
      <c r="D15">
        <v>1</v>
      </c>
      <c r="E15">
        <v>35</v>
      </c>
      <c r="F15" s="56">
        <v>570217.25362621655</v>
      </c>
      <c r="G15" s="38">
        <v>1140.4345072524331</v>
      </c>
      <c r="H15" s="144">
        <v>570217.25362621655</v>
      </c>
      <c r="I15" s="144">
        <v>1140.4345072524331</v>
      </c>
    </row>
    <row r="16" spans="1:11">
      <c r="A16">
        <v>83010</v>
      </c>
      <c r="B16" t="s">
        <v>412</v>
      </c>
      <c r="C16">
        <v>163.11828490425933</v>
      </c>
      <c r="D16">
        <v>1</v>
      </c>
      <c r="E16">
        <v>25</v>
      </c>
      <c r="F16" s="56">
        <v>203897.85613032416</v>
      </c>
      <c r="G16" s="38">
        <v>407.79571226064832</v>
      </c>
      <c r="H16" s="144">
        <v>203897.85613032416</v>
      </c>
      <c r="I16" s="144">
        <v>407.79571226064832</v>
      </c>
    </row>
    <row r="17" spans="1:9">
      <c r="A17">
        <v>83011</v>
      </c>
      <c r="B17" t="s">
        <v>888</v>
      </c>
      <c r="C17">
        <v>271.53202553629359</v>
      </c>
      <c r="D17">
        <v>1</v>
      </c>
      <c r="E17">
        <v>30</v>
      </c>
      <c r="F17" s="56">
        <v>407298.03830444039</v>
      </c>
      <c r="G17" s="38">
        <v>814.59607660888082</v>
      </c>
      <c r="H17" s="144">
        <v>407298.03830444039</v>
      </c>
      <c r="I17" s="144">
        <v>814.59607660888082</v>
      </c>
    </row>
    <row r="18" spans="1:9">
      <c r="A18">
        <v>83012</v>
      </c>
      <c r="B18" t="s">
        <v>889</v>
      </c>
      <c r="C18">
        <v>437.69745962013485</v>
      </c>
      <c r="D18">
        <v>1</v>
      </c>
      <c r="E18">
        <v>35</v>
      </c>
      <c r="F18" s="56">
        <v>765970.55433523597</v>
      </c>
      <c r="G18" s="38">
        <v>1531.941108670472</v>
      </c>
      <c r="H18" s="144">
        <v>765970.55433523597</v>
      </c>
      <c r="I18" s="144">
        <v>1531.941108670472</v>
      </c>
    </row>
    <row r="19" spans="1:9">
      <c r="A19">
        <v>83013</v>
      </c>
      <c r="B19" t="s">
        <v>888</v>
      </c>
      <c r="C19">
        <v>95.032738896301993</v>
      </c>
      <c r="D19">
        <v>1</v>
      </c>
      <c r="E19">
        <v>15</v>
      </c>
      <c r="F19" s="56">
        <v>71274.554172226504</v>
      </c>
      <c r="G19" s="38">
        <v>142.549108344453</v>
      </c>
      <c r="H19" s="144">
        <v>71274.554172226504</v>
      </c>
      <c r="I19" s="144">
        <v>142.549108344453</v>
      </c>
    </row>
    <row r="20" spans="1:9">
      <c r="A20">
        <v>83014</v>
      </c>
      <c r="B20" t="s">
        <v>889</v>
      </c>
      <c r="C20">
        <v>0</v>
      </c>
      <c r="D20">
        <v>1</v>
      </c>
      <c r="E20">
        <v>0</v>
      </c>
      <c r="F20" s="56">
        <v>0</v>
      </c>
      <c r="G20" s="38">
        <v>0</v>
      </c>
      <c r="H20" s="144">
        <v>0</v>
      </c>
      <c r="I20" s="144">
        <v>0</v>
      </c>
    </row>
    <row r="21" spans="1:9">
      <c r="A21">
        <v>83015</v>
      </c>
      <c r="B21" t="s">
        <v>890</v>
      </c>
      <c r="C21">
        <v>0</v>
      </c>
      <c r="D21">
        <v>1</v>
      </c>
      <c r="E21">
        <v>0</v>
      </c>
      <c r="F21" s="56">
        <v>0</v>
      </c>
      <c r="G21" s="38">
        <v>0</v>
      </c>
      <c r="H21" s="144">
        <v>0</v>
      </c>
      <c r="I21" s="144">
        <v>0</v>
      </c>
    </row>
    <row r="22" spans="1:9">
      <c r="A22">
        <v>83016</v>
      </c>
      <c r="B22" t="s">
        <v>413</v>
      </c>
      <c r="C22">
        <v>0</v>
      </c>
      <c r="D22">
        <v>1</v>
      </c>
      <c r="E22">
        <v>0</v>
      </c>
      <c r="F22" s="56">
        <v>0</v>
      </c>
      <c r="G22" s="38">
        <v>0</v>
      </c>
      <c r="H22" s="144">
        <v>0</v>
      </c>
      <c r="I22" s="144">
        <v>0</v>
      </c>
    </row>
    <row r="23" spans="1:9">
      <c r="A23">
        <v>83017</v>
      </c>
      <c r="B23" t="s">
        <v>891</v>
      </c>
      <c r="C23">
        <v>0</v>
      </c>
      <c r="D23">
        <v>1</v>
      </c>
      <c r="E23">
        <v>0</v>
      </c>
      <c r="F23" s="56">
        <v>0</v>
      </c>
      <c r="G23" s="38">
        <v>0</v>
      </c>
      <c r="H23" s="144">
        <v>0</v>
      </c>
      <c r="I23" s="144">
        <v>0</v>
      </c>
    </row>
    <row r="24" spans="1:9">
      <c r="A24">
        <v>83018</v>
      </c>
      <c r="B24" t="s">
        <v>892</v>
      </c>
      <c r="C24">
        <v>0</v>
      </c>
      <c r="D24">
        <v>1</v>
      </c>
      <c r="E24">
        <v>0</v>
      </c>
      <c r="F24" s="56">
        <v>0</v>
      </c>
      <c r="G24" s="38">
        <v>0</v>
      </c>
      <c r="H24" s="144">
        <v>0</v>
      </c>
      <c r="I24" s="144">
        <v>0</v>
      </c>
    </row>
    <row r="25" spans="1:9">
      <c r="A25">
        <v>83019</v>
      </c>
      <c r="B25" t="s">
        <v>893</v>
      </c>
      <c r="C25">
        <v>0</v>
      </c>
      <c r="D25">
        <v>1</v>
      </c>
      <c r="E25">
        <v>0</v>
      </c>
      <c r="F25" s="56">
        <v>0</v>
      </c>
      <c r="G25" s="38">
        <v>0</v>
      </c>
      <c r="H25" s="144">
        <v>0</v>
      </c>
      <c r="I25" s="144">
        <v>0</v>
      </c>
    </row>
    <row r="26" spans="1:9">
      <c r="A26">
        <v>83020</v>
      </c>
      <c r="B26" t="s">
        <v>894</v>
      </c>
      <c r="C26">
        <v>0</v>
      </c>
      <c r="D26">
        <v>1</v>
      </c>
      <c r="E26">
        <v>0</v>
      </c>
      <c r="F26" s="56">
        <v>0</v>
      </c>
      <c r="G26" s="38">
        <v>0</v>
      </c>
      <c r="H26" s="144">
        <v>0</v>
      </c>
      <c r="I26" s="144">
        <v>0</v>
      </c>
    </row>
    <row r="27" spans="1:9">
      <c r="A27">
        <v>83021</v>
      </c>
      <c r="B27" t="s">
        <v>414</v>
      </c>
      <c r="C27">
        <v>0</v>
      </c>
      <c r="D27">
        <v>1</v>
      </c>
      <c r="E27">
        <v>0</v>
      </c>
      <c r="F27" s="56">
        <v>0</v>
      </c>
      <c r="G27" s="38">
        <v>0</v>
      </c>
      <c r="H27" s="144">
        <v>0</v>
      </c>
      <c r="I27" s="144">
        <v>0</v>
      </c>
    </row>
    <row r="28" spans="1:9">
      <c r="A28">
        <v>83022</v>
      </c>
      <c r="B28" t="s">
        <v>895</v>
      </c>
      <c r="C28">
        <v>0</v>
      </c>
      <c r="D28">
        <v>1</v>
      </c>
      <c r="E28">
        <v>0</v>
      </c>
      <c r="F28" s="56">
        <v>0</v>
      </c>
      <c r="G28" s="38">
        <v>0</v>
      </c>
      <c r="H28" s="144">
        <v>0</v>
      </c>
      <c r="I28" s="144">
        <v>0</v>
      </c>
    </row>
    <row r="29" spans="1:9">
      <c r="A29">
        <v>83103</v>
      </c>
      <c r="B29" t="s">
        <v>896</v>
      </c>
      <c r="C29">
        <v>40.883264194285957</v>
      </c>
      <c r="D29">
        <v>1</v>
      </c>
      <c r="E29">
        <v>15</v>
      </c>
      <c r="F29" s="56">
        <v>30662.448145714468</v>
      </c>
      <c r="G29" s="38">
        <v>61.324896291428935</v>
      </c>
      <c r="H29" s="144">
        <v>30662.448145714468</v>
      </c>
      <c r="I29" s="144">
        <v>61.324896291428935</v>
      </c>
    </row>
    <row r="30" spans="1:9">
      <c r="A30">
        <v>83104</v>
      </c>
      <c r="B30" t="s">
        <v>897</v>
      </c>
      <c r="C30">
        <v>65.526357207911119</v>
      </c>
      <c r="D30">
        <v>1</v>
      </c>
      <c r="E30">
        <v>15</v>
      </c>
      <c r="F30" s="56">
        <v>49144.767905933339</v>
      </c>
      <c r="G30" s="38">
        <v>98.289535811866685</v>
      </c>
      <c r="H30" s="144">
        <v>49144.767905933339</v>
      </c>
      <c r="I30" s="144">
        <v>98.289535811866685</v>
      </c>
    </row>
    <row r="31" spans="1:9">
      <c r="A31">
        <v>83105</v>
      </c>
      <c r="B31" t="s">
        <v>566</v>
      </c>
      <c r="C31">
        <v>93.895930095509812</v>
      </c>
      <c r="D31">
        <v>1</v>
      </c>
      <c r="E31">
        <v>15</v>
      </c>
      <c r="F31" s="56">
        <v>70421.947571632365</v>
      </c>
      <c r="G31" s="38">
        <v>140.84389514326475</v>
      </c>
      <c r="H31" s="144">
        <v>70421.947571632365</v>
      </c>
      <c r="I31" s="144">
        <v>140.84389514326475</v>
      </c>
    </row>
    <row r="32" spans="1:9">
      <c r="A32">
        <v>83106</v>
      </c>
      <c r="B32" t="s">
        <v>898</v>
      </c>
      <c r="C32">
        <v>136.84714401067484</v>
      </c>
      <c r="D32">
        <v>1</v>
      </c>
      <c r="E32">
        <v>15</v>
      </c>
      <c r="F32" s="56">
        <v>102635.35800800612</v>
      </c>
      <c r="G32" s="38">
        <v>205.27071601601224</v>
      </c>
      <c r="H32" s="144">
        <v>102635.35800800612</v>
      </c>
      <c r="I32" s="144">
        <v>205.27071601601224</v>
      </c>
    </row>
    <row r="33" spans="1:9">
      <c r="A33">
        <v>83107</v>
      </c>
      <c r="B33" t="s">
        <v>899</v>
      </c>
      <c r="C33">
        <v>525.2369515441618</v>
      </c>
      <c r="D33">
        <v>1</v>
      </c>
      <c r="E33">
        <v>20</v>
      </c>
      <c r="F33" s="56">
        <v>525236.95154416177</v>
      </c>
      <c r="G33" s="38">
        <v>1050.4739030883236</v>
      </c>
      <c r="H33" s="144">
        <v>525236.95154416177</v>
      </c>
      <c r="I33" s="144">
        <v>1050.4739030883236</v>
      </c>
    </row>
    <row r="34" spans="1:9">
      <c r="A34">
        <v>83108</v>
      </c>
      <c r="B34" t="s">
        <v>900</v>
      </c>
      <c r="C34">
        <v>195.7419418851112</v>
      </c>
      <c r="D34">
        <v>1</v>
      </c>
      <c r="E34">
        <v>15</v>
      </c>
      <c r="F34" s="56">
        <v>146806.4564138334</v>
      </c>
      <c r="G34" s="38">
        <v>293.61291282766678</v>
      </c>
      <c r="H34" s="144">
        <v>146806.4564138334</v>
      </c>
      <c r="I34" s="144">
        <v>293.61291282766678</v>
      </c>
    </row>
    <row r="35" spans="1:9">
      <c r="A35">
        <v>83109</v>
      </c>
      <c r="B35" t="s">
        <v>567</v>
      </c>
      <c r="C35">
        <v>325.83843064355233</v>
      </c>
      <c r="D35">
        <v>1</v>
      </c>
      <c r="E35">
        <v>17.5</v>
      </c>
      <c r="F35" s="56">
        <v>285108.62681310828</v>
      </c>
      <c r="G35" s="38">
        <v>570.21725362621657</v>
      </c>
      <c r="H35" s="144">
        <v>285108.62681310828</v>
      </c>
      <c r="I35" s="144">
        <v>570.21725362621657</v>
      </c>
    </row>
    <row r="36" spans="1:9">
      <c r="A36">
        <v>83110</v>
      </c>
      <c r="B36" t="s">
        <v>568</v>
      </c>
      <c r="C36">
        <v>163.11828490425933</v>
      </c>
      <c r="D36">
        <v>1</v>
      </c>
      <c r="E36">
        <v>12.5</v>
      </c>
      <c r="F36" s="56">
        <v>101948.92806516208</v>
      </c>
      <c r="G36" s="38">
        <v>203.89785613032416</v>
      </c>
      <c r="H36" s="144">
        <v>101948.92806516208</v>
      </c>
      <c r="I36" s="144">
        <v>203.89785613032416</v>
      </c>
    </row>
    <row r="37" spans="1:9">
      <c r="A37">
        <v>83111</v>
      </c>
      <c r="B37" t="s">
        <v>901</v>
      </c>
      <c r="C37">
        <v>271.53202553629359</v>
      </c>
      <c r="D37">
        <v>1</v>
      </c>
      <c r="E37">
        <v>15</v>
      </c>
      <c r="F37" s="56">
        <v>203649.01915222019</v>
      </c>
      <c r="G37" s="38">
        <v>407.29803830444041</v>
      </c>
      <c r="H37" s="144">
        <v>203649.01915222019</v>
      </c>
      <c r="I37" s="144">
        <v>407.29803830444041</v>
      </c>
    </row>
    <row r="38" spans="1:9">
      <c r="A38">
        <v>83112</v>
      </c>
      <c r="B38" t="s">
        <v>902</v>
      </c>
      <c r="C38">
        <v>437.69745962013485</v>
      </c>
      <c r="D38">
        <v>1</v>
      </c>
      <c r="E38">
        <v>17.5</v>
      </c>
      <c r="F38" s="56">
        <v>382985.27716761798</v>
      </c>
      <c r="G38" s="38">
        <v>765.97055433523599</v>
      </c>
      <c r="H38" s="144">
        <v>382985.27716761798</v>
      </c>
      <c r="I38" s="144">
        <v>765.97055433523599</v>
      </c>
    </row>
    <row r="39" spans="1:9">
      <c r="A39">
        <v>83113</v>
      </c>
      <c r="B39" t="s">
        <v>901</v>
      </c>
      <c r="C39">
        <v>95.032738896301993</v>
      </c>
      <c r="D39">
        <v>1</v>
      </c>
      <c r="E39">
        <v>15</v>
      </c>
      <c r="F39" s="56">
        <v>71274.554172226504</v>
      </c>
      <c r="G39" s="38">
        <v>142.549108344453</v>
      </c>
      <c r="H39" s="144">
        <v>71274.554172226504</v>
      </c>
      <c r="I39" s="144">
        <v>142.549108344453</v>
      </c>
    </row>
    <row r="40" spans="1:9">
      <c r="A40">
        <v>83114</v>
      </c>
      <c r="B40" t="s">
        <v>902</v>
      </c>
      <c r="C40">
        <v>0</v>
      </c>
      <c r="D40">
        <v>1</v>
      </c>
      <c r="E40">
        <v>0</v>
      </c>
      <c r="F40" s="56">
        <v>0</v>
      </c>
      <c r="G40" s="38">
        <v>0</v>
      </c>
      <c r="H40" s="144">
        <v>0</v>
      </c>
      <c r="I40" s="144">
        <v>0</v>
      </c>
    </row>
    <row r="41" spans="1:9">
      <c r="A41">
        <v>83115</v>
      </c>
      <c r="B41" t="s">
        <v>903</v>
      </c>
      <c r="C41">
        <v>0</v>
      </c>
      <c r="D41">
        <v>1</v>
      </c>
      <c r="E41">
        <v>0</v>
      </c>
      <c r="F41" s="56">
        <v>0</v>
      </c>
      <c r="G41" s="38">
        <v>0</v>
      </c>
      <c r="H41" s="144">
        <v>0</v>
      </c>
      <c r="I41" s="144">
        <v>0</v>
      </c>
    </row>
    <row r="42" spans="1:9">
      <c r="A42">
        <v>83116</v>
      </c>
      <c r="B42" t="s">
        <v>569</v>
      </c>
      <c r="C42">
        <v>0</v>
      </c>
      <c r="D42">
        <v>1</v>
      </c>
      <c r="E42">
        <v>0</v>
      </c>
      <c r="F42" s="56">
        <v>0</v>
      </c>
      <c r="G42" s="38">
        <v>0</v>
      </c>
      <c r="H42" s="144">
        <v>0</v>
      </c>
      <c r="I42" s="144">
        <v>0</v>
      </c>
    </row>
    <row r="43" spans="1:9">
      <c r="A43">
        <v>83117</v>
      </c>
      <c r="B43" t="s">
        <v>904</v>
      </c>
      <c r="C43">
        <v>0</v>
      </c>
      <c r="D43">
        <v>1</v>
      </c>
      <c r="E43">
        <v>0</v>
      </c>
      <c r="F43" s="56">
        <v>0</v>
      </c>
      <c r="G43" s="38">
        <v>0</v>
      </c>
      <c r="H43" s="144">
        <v>0</v>
      </c>
      <c r="I43" s="144">
        <v>0</v>
      </c>
    </row>
    <row r="44" spans="1:9">
      <c r="A44">
        <v>83118</v>
      </c>
      <c r="B44" t="s">
        <v>905</v>
      </c>
      <c r="C44">
        <v>0</v>
      </c>
      <c r="D44">
        <v>1</v>
      </c>
      <c r="E44">
        <v>0</v>
      </c>
      <c r="F44" s="56">
        <v>0</v>
      </c>
      <c r="G44" s="38">
        <v>0</v>
      </c>
      <c r="H44" s="144">
        <v>0</v>
      </c>
      <c r="I44" s="144">
        <v>0</v>
      </c>
    </row>
    <row r="45" spans="1:9">
      <c r="A45">
        <v>83119</v>
      </c>
      <c r="B45" t="s">
        <v>906</v>
      </c>
      <c r="C45">
        <v>0</v>
      </c>
      <c r="D45">
        <v>1</v>
      </c>
      <c r="E45">
        <v>0</v>
      </c>
      <c r="F45" s="56">
        <v>0</v>
      </c>
      <c r="G45" s="38">
        <v>0</v>
      </c>
      <c r="H45" s="144">
        <v>0</v>
      </c>
      <c r="I45" s="144">
        <v>0</v>
      </c>
    </row>
    <row r="46" spans="1:9">
      <c r="A46">
        <v>83120</v>
      </c>
      <c r="B46" t="s">
        <v>907</v>
      </c>
      <c r="C46">
        <v>0</v>
      </c>
      <c r="D46">
        <v>1</v>
      </c>
      <c r="E46">
        <v>0</v>
      </c>
      <c r="F46" s="56">
        <v>0</v>
      </c>
      <c r="G46" s="38">
        <v>0</v>
      </c>
      <c r="H46" s="144">
        <v>0</v>
      </c>
      <c r="I46" s="144">
        <v>0</v>
      </c>
    </row>
    <row r="47" spans="1:9">
      <c r="A47">
        <v>83121</v>
      </c>
      <c r="B47" t="s">
        <v>570</v>
      </c>
      <c r="C47">
        <v>0</v>
      </c>
      <c r="D47">
        <v>1</v>
      </c>
      <c r="E47">
        <v>0</v>
      </c>
      <c r="F47" s="56">
        <v>0</v>
      </c>
      <c r="G47" s="38">
        <v>0</v>
      </c>
      <c r="H47" s="144">
        <v>0</v>
      </c>
      <c r="I47" s="144">
        <v>0</v>
      </c>
    </row>
    <row r="48" spans="1:9">
      <c r="A48">
        <v>83122</v>
      </c>
      <c r="B48" t="s">
        <v>908</v>
      </c>
      <c r="C48">
        <v>0</v>
      </c>
      <c r="D48">
        <v>1</v>
      </c>
      <c r="E48">
        <v>0</v>
      </c>
      <c r="F48" s="56">
        <v>0</v>
      </c>
      <c r="G48" s="38">
        <v>0</v>
      </c>
      <c r="H48" s="144">
        <v>0</v>
      </c>
      <c r="I48" s="144">
        <v>0</v>
      </c>
    </row>
    <row r="49" spans="1:9">
      <c r="A49">
        <v>78101</v>
      </c>
      <c r="B49" t="s">
        <v>1206</v>
      </c>
      <c r="C49">
        <v>2.5553552307428928</v>
      </c>
      <c r="D49">
        <v>980</v>
      </c>
      <c r="E49">
        <v>97.5</v>
      </c>
      <c r="F49" s="56">
        <v>12500</v>
      </c>
      <c r="G49" s="38">
        <v>25</v>
      </c>
      <c r="H49" s="144">
        <v>12500</v>
      </c>
      <c r="I49" s="144">
        <v>25</v>
      </c>
    </row>
    <row r="50" spans="1:9">
      <c r="A50">
        <v>78102</v>
      </c>
      <c r="B50" t="s">
        <v>1116</v>
      </c>
      <c r="C50">
        <v>2.5553552307428928</v>
      </c>
      <c r="D50">
        <v>980</v>
      </c>
      <c r="E50">
        <v>97.5</v>
      </c>
      <c r="F50" s="56">
        <v>12500</v>
      </c>
      <c r="G50" s="38">
        <v>25</v>
      </c>
      <c r="H50" s="144">
        <v>12500</v>
      </c>
      <c r="I50" s="144">
        <v>25</v>
      </c>
    </row>
    <row r="51" spans="1:9">
      <c r="A51">
        <v>78103</v>
      </c>
      <c r="B51" t="s">
        <v>1117</v>
      </c>
      <c r="C51">
        <v>2.5553552307428928</v>
      </c>
      <c r="D51">
        <v>980</v>
      </c>
      <c r="E51">
        <v>97.5</v>
      </c>
      <c r="F51" s="56">
        <v>12500</v>
      </c>
      <c r="G51" s="38">
        <v>25</v>
      </c>
      <c r="H51" s="144">
        <v>12500</v>
      </c>
      <c r="I51" s="144">
        <v>25</v>
      </c>
    </row>
    <row r="52" spans="1:9">
      <c r="A52">
        <v>78104</v>
      </c>
      <c r="B52" t="s">
        <v>1118</v>
      </c>
      <c r="C52">
        <v>2.5553552307428928</v>
      </c>
      <c r="D52">
        <v>980</v>
      </c>
      <c r="E52">
        <v>97.5</v>
      </c>
      <c r="F52" s="56">
        <v>12500</v>
      </c>
      <c r="G52" s="38">
        <v>25</v>
      </c>
      <c r="H52" s="144">
        <v>12500</v>
      </c>
      <c r="I52" s="144">
        <v>25</v>
      </c>
    </row>
    <row r="53" spans="1:9">
      <c r="A53">
        <v>78105</v>
      </c>
      <c r="B53" t="s">
        <v>1119</v>
      </c>
      <c r="C53">
        <v>2.5553552307428928</v>
      </c>
      <c r="D53">
        <v>980</v>
      </c>
      <c r="E53">
        <v>97.5</v>
      </c>
      <c r="F53" s="56">
        <v>12500</v>
      </c>
      <c r="G53" s="38">
        <v>25</v>
      </c>
      <c r="H53" s="144">
        <v>12500</v>
      </c>
      <c r="I53" s="144">
        <v>25</v>
      </c>
    </row>
    <row r="54" spans="1:9">
      <c r="A54">
        <v>78106</v>
      </c>
      <c r="B54" t="s">
        <v>1120</v>
      </c>
      <c r="C54">
        <v>5.1107104614857857</v>
      </c>
      <c r="D54">
        <v>980</v>
      </c>
      <c r="E54">
        <v>97.5</v>
      </c>
      <c r="F54" s="56">
        <v>25000</v>
      </c>
      <c r="G54" s="38">
        <v>50</v>
      </c>
      <c r="H54" s="144">
        <v>25000</v>
      </c>
      <c r="I54" s="144">
        <v>50</v>
      </c>
    </row>
    <row r="55" spans="1:9">
      <c r="A55">
        <v>78107</v>
      </c>
      <c r="B55" t="s">
        <v>1121</v>
      </c>
      <c r="C55">
        <v>5.1107104614857857</v>
      </c>
      <c r="D55">
        <v>980</v>
      </c>
      <c r="E55">
        <v>97.5</v>
      </c>
      <c r="F55" s="56">
        <v>25000</v>
      </c>
      <c r="G55" s="38">
        <v>50</v>
      </c>
      <c r="H55" s="144">
        <v>25000</v>
      </c>
      <c r="I55" s="144">
        <v>50</v>
      </c>
    </row>
    <row r="56" spans="1:9">
      <c r="A56">
        <v>78108</v>
      </c>
      <c r="B56" t="s">
        <v>1122</v>
      </c>
      <c r="C56">
        <v>5.1107104614857857</v>
      </c>
      <c r="D56">
        <v>980</v>
      </c>
      <c r="E56">
        <v>97.5</v>
      </c>
      <c r="F56" s="56">
        <v>25000</v>
      </c>
      <c r="G56" s="38">
        <v>50</v>
      </c>
      <c r="H56" s="144">
        <v>25000</v>
      </c>
      <c r="I56" s="144">
        <v>50</v>
      </c>
    </row>
    <row r="57" spans="1:9">
      <c r="A57">
        <v>78109</v>
      </c>
      <c r="B57" t="s">
        <v>1123</v>
      </c>
      <c r="C57">
        <v>10.221420922971571</v>
      </c>
      <c r="D57">
        <v>980</v>
      </c>
      <c r="E57">
        <v>97.5</v>
      </c>
      <c r="F57" s="56">
        <v>50000</v>
      </c>
      <c r="G57" s="38">
        <v>100</v>
      </c>
      <c r="H57" s="144">
        <v>50000</v>
      </c>
      <c r="I57" s="144">
        <v>100</v>
      </c>
    </row>
    <row r="58" spans="1:9">
      <c r="A58">
        <v>78110</v>
      </c>
      <c r="B58" t="s">
        <v>1124</v>
      </c>
      <c r="C58">
        <v>10.221420922971571</v>
      </c>
      <c r="D58">
        <v>980</v>
      </c>
      <c r="E58">
        <v>97.5</v>
      </c>
      <c r="F58" s="56">
        <v>50000</v>
      </c>
      <c r="G58" s="38">
        <v>100</v>
      </c>
      <c r="H58" s="144">
        <v>50000</v>
      </c>
      <c r="I58" s="144">
        <v>100</v>
      </c>
    </row>
    <row r="59" spans="1:9">
      <c r="A59">
        <v>78111</v>
      </c>
      <c r="B59" t="s">
        <v>1125</v>
      </c>
      <c r="C59">
        <v>10.221420922971571</v>
      </c>
      <c r="D59">
        <v>980</v>
      </c>
      <c r="E59">
        <v>97.5</v>
      </c>
      <c r="F59" s="56">
        <v>50000</v>
      </c>
      <c r="G59" s="38">
        <v>100</v>
      </c>
      <c r="H59" s="144">
        <v>50000</v>
      </c>
      <c r="I59" s="144">
        <v>100</v>
      </c>
    </row>
    <row r="60" spans="1:9">
      <c r="A60">
        <v>78112</v>
      </c>
      <c r="B60" t="s">
        <v>1126</v>
      </c>
      <c r="C60">
        <v>10.221420922971571</v>
      </c>
      <c r="D60">
        <v>980</v>
      </c>
      <c r="E60">
        <v>97.5</v>
      </c>
      <c r="F60" s="56">
        <v>50000</v>
      </c>
      <c r="G60" s="38">
        <v>100</v>
      </c>
      <c r="H60" s="144">
        <v>50000</v>
      </c>
      <c r="I60" s="144">
        <v>100</v>
      </c>
    </row>
    <row r="61" spans="1:9">
      <c r="A61">
        <v>78113</v>
      </c>
      <c r="B61" t="s">
        <v>1127</v>
      </c>
      <c r="C61">
        <v>10.221420922971571</v>
      </c>
      <c r="D61">
        <v>980</v>
      </c>
      <c r="E61">
        <v>97.5</v>
      </c>
      <c r="F61" s="56">
        <v>50000</v>
      </c>
      <c r="G61" s="38">
        <v>100</v>
      </c>
      <c r="H61" s="144">
        <v>50000</v>
      </c>
      <c r="I61" s="144">
        <v>100</v>
      </c>
    </row>
    <row r="62" spans="1:9">
      <c r="A62">
        <v>78114</v>
      </c>
      <c r="B62" t="s">
        <v>1128</v>
      </c>
      <c r="C62">
        <v>15.332131384457353</v>
      </c>
      <c r="D62">
        <v>980</v>
      </c>
      <c r="E62">
        <v>97.5</v>
      </c>
      <c r="F62" s="56">
        <v>75000</v>
      </c>
      <c r="G62" s="38">
        <v>150</v>
      </c>
      <c r="H62" s="144">
        <v>75000</v>
      </c>
      <c r="I62" s="144">
        <v>150</v>
      </c>
    </row>
    <row r="63" spans="1:9">
      <c r="A63">
        <v>78115</v>
      </c>
      <c r="B63" t="s">
        <v>1129</v>
      </c>
      <c r="C63">
        <v>15.332131384457353</v>
      </c>
      <c r="D63">
        <v>980</v>
      </c>
      <c r="E63">
        <v>97.5</v>
      </c>
      <c r="F63" s="56">
        <v>75000</v>
      </c>
      <c r="G63" s="38">
        <v>150</v>
      </c>
      <c r="H63" s="144">
        <v>75000</v>
      </c>
      <c r="I63" s="144">
        <v>150</v>
      </c>
    </row>
    <row r="64" spans="1:9">
      <c r="A64">
        <v>78116</v>
      </c>
      <c r="B64" t="s">
        <v>1130</v>
      </c>
      <c r="C64">
        <v>15.332131384457353</v>
      </c>
      <c r="D64">
        <v>980</v>
      </c>
      <c r="E64">
        <v>97.5</v>
      </c>
      <c r="F64" s="56">
        <v>75000</v>
      </c>
      <c r="G64" s="38">
        <v>150</v>
      </c>
      <c r="H64" s="144">
        <v>75000</v>
      </c>
      <c r="I64" s="144">
        <v>150</v>
      </c>
    </row>
    <row r="65" spans="1:9">
      <c r="A65">
        <v>78117</v>
      </c>
      <c r="B65" t="s">
        <v>1157</v>
      </c>
      <c r="C65">
        <v>5.1107104614857857</v>
      </c>
      <c r="D65">
        <v>980</v>
      </c>
      <c r="E65">
        <v>97.5</v>
      </c>
      <c r="F65" s="56">
        <v>25000</v>
      </c>
      <c r="G65" s="38">
        <v>50</v>
      </c>
      <c r="H65" s="144">
        <v>25000</v>
      </c>
      <c r="I65" s="144">
        <v>50</v>
      </c>
    </row>
    <row r="66" spans="1:9">
      <c r="A66">
        <v>78118</v>
      </c>
      <c r="B66" t="s">
        <v>1158</v>
      </c>
      <c r="C66">
        <v>10.221420922971571</v>
      </c>
      <c r="D66">
        <v>980</v>
      </c>
      <c r="E66">
        <v>97.5</v>
      </c>
      <c r="F66" s="56">
        <v>50000</v>
      </c>
      <c r="G66" s="38">
        <v>100</v>
      </c>
      <c r="H66" s="144">
        <v>50000</v>
      </c>
      <c r="I66" s="144">
        <v>100</v>
      </c>
    </row>
    <row r="67" spans="1:9">
      <c r="A67">
        <v>78119</v>
      </c>
      <c r="B67" t="s">
        <v>1159</v>
      </c>
      <c r="C67">
        <v>10.221420922971571</v>
      </c>
      <c r="D67">
        <v>980</v>
      </c>
      <c r="E67">
        <v>97.5</v>
      </c>
      <c r="F67" s="56">
        <v>50000</v>
      </c>
      <c r="G67" s="38">
        <v>100</v>
      </c>
      <c r="H67" s="144">
        <v>50000</v>
      </c>
      <c r="I67" s="144">
        <v>100</v>
      </c>
    </row>
    <row r="68" spans="1:9">
      <c r="A68">
        <v>70001</v>
      </c>
      <c r="B68" t="s">
        <v>192</v>
      </c>
      <c r="C68">
        <v>4</v>
      </c>
      <c r="D68">
        <v>0</v>
      </c>
      <c r="E68">
        <v>4</v>
      </c>
      <c r="F68" s="56">
        <v>800</v>
      </c>
      <c r="G68" s="38">
        <v>2</v>
      </c>
      <c r="H68" s="144">
        <v>800</v>
      </c>
      <c r="I68" s="144">
        <v>2</v>
      </c>
    </row>
    <row r="69" spans="1:9">
      <c r="A69">
        <v>70002</v>
      </c>
      <c r="B69" t="s">
        <v>909</v>
      </c>
      <c r="C69">
        <v>20</v>
      </c>
      <c r="D69">
        <v>0</v>
      </c>
      <c r="E69">
        <v>4</v>
      </c>
      <c r="F69" s="56">
        <v>4000</v>
      </c>
      <c r="G69" s="38">
        <v>8</v>
      </c>
      <c r="H69" s="144">
        <v>4000</v>
      </c>
      <c r="I69" s="144">
        <v>8</v>
      </c>
    </row>
    <row r="70" spans="1:9">
      <c r="A70">
        <v>70003</v>
      </c>
      <c r="B70" t="s">
        <v>910</v>
      </c>
      <c r="C70">
        <v>100</v>
      </c>
      <c r="D70">
        <v>0</v>
      </c>
      <c r="E70">
        <v>4</v>
      </c>
      <c r="F70" s="56">
        <v>20000</v>
      </c>
      <c r="G70" s="38">
        <v>40</v>
      </c>
      <c r="H70" s="144">
        <v>20000</v>
      </c>
      <c r="I70" s="144">
        <v>40</v>
      </c>
    </row>
    <row r="71" spans="1:9">
      <c r="A71">
        <v>70101</v>
      </c>
      <c r="B71" t="s">
        <v>911</v>
      </c>
      <c r="C71">
        <v>4</v>
      </c>
      <c r="D71">
        <v>0</v>
      </c>
      <c r="E71">
        <v>5</v>
      </c>
      <c r="F71" s="56">
        <v>1000</v>
      </c>
      <c r="G71" s="38">
        <v>2</v>
      </c>
      <c r="H71" s="144">
        <v>1000</v>
      </c>
      <c r="I71" s="144">
        <v>2</v>
      </c>
    </row>
    <row r="72" spans="1:9">
      <c r="A72">
        <v>70201</v>
      </c>
      <c r="B72" t="s">
        <v>912</v>
      </c>
      <c r="C72">
        <v>20</v>
      </c>
      <c r="D72">
        <v>0</v>
      </c>
      <c r="E72">
        <v>5</v>
      </c>
      <c r="F72" s="56">
        <v>5000</v>
      </c>
      <c r="G72" s="38">
        <v>10</v>
      </c>
      <c r="H72" s="144">
        <v>5000</v>
      </c>
      <c r="I72" s="144">
        <v>10</v>
      </c>
    </row>
    <row r="73" spans="1:9">
      <c r="A73">
        <v>70301</v>
      </c>
      <c r="B73" t="s">
        <v>913</v>
      </c>
      <c r="C73">
        <v>100</v>
      </c>
      <c r="D73">
        <v>0</v>
      </c>
      <c r="E73">
        <v>5</v>
      </c>
      <c r="F73" s="56">
        <v>25000</v>
      </c>
      <c r="G73" s="38">
        <v>50</v>
      </c>
      <c r="H73" s="144">
        <v>25000</v>
      </c>
      <c r="I73" s="144">
        <v>50</v>
      </c>
    </row>
    <row r="74" spans="1:9">
      <c r="A74">
        <v>70401</v>
      </c>
      <c r="B74" t="s">
        <v>914</v>
      </c>
      <c r="C74">
        <v>0</v>
      </c>
      <c r="D74">
        <v>0</v>
      </c>
      <c r="E74">
        <v>0</v>
      </c>
      <c r="F74" s="56">
        <v>0</v>
      </c>
      <c r="G74" s="38">
        <v>0</v>
      </c>
      <c r="H74" s="144">
        <v>0</v>
      </c>
      <c r="I74" s="144">
        <v>0</v>
      </c>
    </row>
    <row r="75" spans="1:9">
      <c r="A75">
        <v>70501</v>
      </c>
      <c r="B75" t="s">
        <v>915</v>
      </c>
      <c r="C75">
        <v>0</v>
      </c>
      <c r="D75">
        <v>0</v>
      </c>
      <c r="E75">
        <v>0</v>
      </c>
      <c r="F75" s="56">
        <v>0</v>
      </c>
      <c r="G75" s="38">
        <v>0</v>
      </c>
      <c r="H75" s="144">
        <v>0</v>
      </c>
      <c r="I75" s="144">
        <v>0</v>
      </c>
    </row>
    <row r="76" spans="1:9">
      <c r="A76">
        <v>82100</v>
      </c>
      <c r="B76" t="s">
        <v>916</v>
      </c>
      <c r="C76">
        <v>0</v>
      </c>
      <c r="D76">
        <v>0</v>
      </c>
      <c r="E76">
        <v>0</v>
      </c>
      <c r="F76" s="56">
        <v>10000</v>
      </c>
      <c r="G76" s="38">
        <v>20</v>
      </c>
      <c r="H76" s="144">
        <v>10000</v>
      </c>
      <c r="I76" s="144">
        <v>20</v>
      </c>
    </row>
    <row r="77" spans="1:9">
      <c r="A77">
        <v>82200</v>
      </c>
      <c r="B77" t="s">
        <v>917</v>
      </c>
      <c r="C77">
        <v>0</v>
      </c>
      <c r="D77">
        <v>0</v>
      </c>
      <c r="E77">
        <v>0</v>
      </c>
      <c r="F77" s="56">
        <v>20000</v>
      </c>
      <c r="G77" s="38">
        <v>40</v>
      </c>
      <c r="H77" s="144">
        <v>20000</v>
      </c>
      <c r="I77" s="144">
        <v>40</v>
      </c>
    </row>
    <row r="78" spans="1:9">
      <c r="A78">
        <v>82300</v>
      </c>
      <c r="B78" t="s">
        <v>918</v>
      </c>
      <c r="C78">
        <v>0</v>
      </c>
      <c r="D78">
        <v>0</v>
      </c>
      <c r="E78">
        <v>0</v>
      </c>
      <c r="F78" s="56">
        <v>50000</v>
      </c>
      <c r="G78" s="38">
        <v>100</v>
      </c>
      <c r="H78" s="144">
        <v>50000</v>
      </c>
      <c r="I78" s="144">
        <v>100</v>
      </c>
    </row>
    <row r="79" spans="1:9">
      <c r="A79">
        <v>91100</v>
      </c>
      <c r="B79" t="s">
        <v>877</v>
      </c>
      <c r="C79">
        <v>10</v>
      </c>
      <c r="D79">
        <v>0</v>
      </c>
      <c r="E79">
        <v>2</v>
      </c>
      <c r="F79" s="56">
        <v>1000</v>
      </c>
      <c r="G79" s="38">
        <v>2</v>
      </c>
      <c r="H79" s="144">
        <v>1000</v>
      </c>
      <c r="I79" s="144">
        <v>2</v>
      </c>
    </row>
    <row r="80" spans="1:9">
      <c r="A80">
        <v>91200</v>
      </c>
      <c r="B80" t="s">
        <v>919</v>
      </c>
      <c r="C80">
        <v>30</v>
      </c>
      <c r="D80">
        <v>0</v>
      </c>
      <c r="E80">
        <v>2</v>
      </c>
      <c r="F80" s="56">
        <v>3000</v>
      </c>
      <c r="G80" s="38">
        <v>6</v>
      </c>
      <c r="H80" s="144">
        <v>3000</v>
      </c>
      <c r="I80" s="144">
        <v>6</v>
      </c>
    </row>
    <row r="81" spans="1:9">
      <c r="A81">
        <v>91300</v>
      </c>
      <c r="B81" t="s">
        <v>920</v>
      </c>
      <c r="C81">
        <v>100</v>
      </c>
      <c r="D81">
        <v>0</v>
      </c>
      <c r="E81">
        <v>2</v>
      </c>
      <c r="F81" s="56">
        <v>10000</v>
      </c>
      <c r="G81" s="38">
        <v>20</v>
      </c>
      <c r="H81" s="144">
        <v>10000</v>
      </c>
      <c r="I81" s="144">
        <v>20</v>
      </c>
    </row>
    <row r="82" spans="1:9">
      <c r="A82">
        <v>87100</v>
      </c>
      <c r="B82" t="s">
        <v>921</v>
      </c>
      <c r="C82">
        <v>0</v>
      </c>
      <c r="D82">
        <v>0</v>
      </c>
      <c r="E82">
        <v>0</v>
      </c>
      <c r="F82" s="56">
        <v>0</v>
      </c>
      <c r="G82" s="38">
        <v>100</v>
      </c>
      <c r="H82" s="144">
        <v>0</v>
      </c>
      <c r="I82" s="144">
        <v>100</v>
      </c>
    </row>
    <row r="83" spans="1:9">
      <c r="A83">
        <v>87200</v>
      </c>
      <c r="B83" t="s">
        <v>922</v>
      </c>
      <c r="C83">
        <v>0</v>
      </c>
      <c r="D83">
        <v>0</v>
      </c>
      <c r="E83">
        <v>0</v>
      </c>
      <c r="F83" s="56">
        <v>0</v>
      </c>
      <c r="G83" s="38">
        <v>500</v>
      </c>
      <c r="H83" s="144">
        <v>0</v>
      </c>
      <c r="I83" s="144">
        <v>500</v>
      </c>
    </row>
    <row r="84" spans="1:9">
      <c r="A84">
        <v>87400</v>
      </c>
      <c r="B84" t="s">
        <v>923</v>
      </c>
      <c r="C84">
        <v>0</v>
      </c>
      <c r="D84">
        <v>0</v>
      </c>
      <c r="E84">
        <v>0</v>
      </c>
      <c r="F84" s="56">
        <v>0</v>
      </c>
      <c r="G84" s="38">
        <v>1000</v>
      </c>
      <c r="H84" s="144">
        <v>0</v>
      </c>
      <c r="I84" s="144">
        <v>1000</v>
      </c>
    </row>
    <row r="85" spans="1:9">
      <c r="A85">
        <v>89100</v>
      </c>
      <c r="B85" t="s">
        <v>924</v>
      </c>
      <c r="C85">
        <v>20</v>
      </c>
      <c r="D85">
        <v>0</v>
      </c>
      <c r="E85">
        <v>0</v>
      </c>
      <c r="F85" s="56">
        <v>5000</v>
      </c>
      <c r="G85" s="38">
        <v>10</v>
      </c>
      <c r="H85" s="144">
        <v>5000</v>
      </c>
      <c r="I85" s="144">
        <v>10</v>
      </c>
    </row>
    <row r="86" spans="1:9">
      <c r="A86">
        <v>89200</v>
      </c>
      <c r="B86" t="s">
        <v>925</v>
      </c>
      <c r="C86">
        <v>40</v>
      </c>
      <c r="D86">
        <v>0</v>
      </c>
      <c r="E86">
        <v>0</v>
      </c>
      <c r="F86" s="56">
        <v>10000</v>
      </c>
      <c r="G86" s="38">
        <v>20</v>
      </c>
      <c r="H86" s="144">
        <v>10000</v>
      </c>
      <c r="I86" s="144">
        <v>20</v>
      </c>
    </row>
    <row r="87" spans="1:9">
      <c r="A87">
        <v>89300</v>
      </c>
      <c r="B87" t="s">
        <v>926</v>
      </c>
      <c r="C87">
        <v>80</v>
      </c>
      <c r="D87">
        <v>0</v>
      </c>
      <c r="E87">
        <v>0</v>
      </c>
      <c r="F87" s="56">
        <v>20000</v>
      </c>
      <c r="G87" s="38">
        <v>40</v>
      </c>
      <c r="H87" s="144">
        <v>20000</v>
      </c>
      <c r="I87" s="144">
        <v>40</v>
      </c>
    </row>
    <row r="88" spans="1:9">
      <c r="A88">
        <v>83100</v>
      </c>
      <c r="B88" t="s">
        <v>927</v>
      </c>
      <c r="C88">
        <v>0</v>
      </c>
      <c r="D88">
        <v>0</v>
      </c>
      <c r="E88">
        <v>0</v>
      </c>
      <c r="F88" s="56">
        <v>0</v>
      </c>
      <c r="G88" s="38">
        <v>0</v>
      </c>
      <c r="H88" s="144">
        <v>0</v>
      </c>
      <c r="I88" s="144">
        <v>0</v>
      </c>
    </row>
    <row r="89" spans="1:9">
      <c r="A89">
        <v>70010</v>
      </c>
      <c r="B89" t="s">
        <v>211</v>
      </c>
      <c r="C89">
        <v>30</v>
      </c>
      <c r="D89">
        <v>2530</v>
      </c>
      <c r="E89">
        <v>1</v>
      </c>
      <c r="F89" s="56">
        <v>1500</v>
      </c>
      <c r="G89" s="38">
        <v>3</v>
      </c>
      <c r="H89" s="144">
        <v>1500</v>
      </c>
      <c r="I89" s="144">
        <v>3</v>
      </c>
    </row>
    <row r="90" spans="1:9">
      <c r="A90">
        <v>71010</v>
      </c>
      <c r="B90" t="s">
        <v>212</v>
      </c>
      <c r="C90">
        <v>30</v>
      </c>
      <c r="D90">
        <v>2035</v>
      </c>
      <c r="E90">
        <v>1</v>
      </c>
      <c r="F90" s="56">
        <v>1500</v>
      </c>
      <c r="G90" s="38">
        <v>3</v>
      </c>
      <c r="H90" s="144">
        <v>1500</v>
      </c>
      <c r="I90" s="144">
        <v>3</v>
      </c>
    </row>
    <row r="91" spans="1:9">
      <c r="A91">
        <v>72010</v>
      </c>
      <c r="B91" t="s">
        <v>928</v>
      </c>
      <c r="C91">
        <v>30</v>
      </c>
      <c r="D91">
        <v>935</v>
      </c>
      <c r="E91">
        <v>1</v>
      </c>
      <c r="F91" s="56">
        <v>1500</v>
      </c>
      <c r="G91" s="38">
        <v>3</v>
      </c>
      <c r="H91" s="144">
        <v>1500</v>
      </c>
      <c r="I91" s="144">
        <v>3</v>
      </c>
    </row>
    <row r="92" spans="1:9">
      <c r="A92">
        <v>73010</v>
      </c>
      <c r="B92" t="s">
        <v>929</v>
      </c>
      <c r="C92">
        <v>30</v>
      </c>
      <c r="D92">
        <v>880</v>
      </c>
      <c r="E92">
        <v>1</v>
      </c>
      <c r="F92" s="56">
        <v>1500</v>
      </c>
      <c r="G92" s="38">
        <v>3</v>
      </c>
      <c r="H92" s="144">
        <v>1500</v>
      </c>
      <c r="I92" s="144">
        <v>3</v>
      </c>
    </row>
    <row r="93" spans="1:9">
      <c r="A93">
        <v>74010</v>
      </c>
      <c r="B93" t="s">
        <v>930</v>
      </c>
      <c r="C93">
        <v>30</v>
      </c>
      <c r="D93">
        <v>2200</v>
      </c>
      <c r="E93">
        <v>1</v>
      </c>
      <c r="F93" s="56">
        <v>1500</v>
      </c>
      <c r="G93" s="38">
        <v>3</v>
      </c>
      <c r="H93" s="144">
        <v>1500</v>
      </c>
      <c r="I93" s="144">
        <v>3</v>
      </c>
    </row>
    <row r="94" spans="1:9">
      <c r="A94">
        <v>75010</v>
      </c>
      <c r="B94" t="s">
        <v>213</v>
      </c>
      <c r="C94">
        <v>30</v>
      </c>
      <c r="D94">
        <v>660</v>
      </c>
      <c r="E94">
        <v>1</v>
      </c>
      <c r="F94" s="56">
        <v>1500</v>
      </c>
      <c r="G94" s="38">
        <v>3</v>
      </c>
      <c r="H94" s="144">
        <v>1500</v>
      </c>
      <c r="I94" s="144">
        <v>3</v>
      </c>
    </row>
    <row r="95" spans="1:9">
      <c r="A95">
        <v>80110</v>
      </c>
      <c r="B95" t="s">
        <v>931</v>
      </c>
      <c r="C95">
        <v>100</v>
      </c>
      <c r="D95">
        <v>666.8601232231822</v>
      </c>
      <c r="E95">
        <v>2</v>
      </c>
      <c r="F95" s="56">
        <v>10000</v>
      </c>
      <c r="G95" s="38">
        <v>20</v>
      </c>
      <c r="H95" s="144">
        <v>10000</v>
      </c>
      <c r="I95" s="144">
        <v>20</v>
      </c>
    </row>
    <row r="96" spans="1:9">
      <c r="A96">
        <v>80210</v>
      </c>
      <c r="B96" t="s">
        <v>932</v>
      </c>
      <c r="C96">
        <v>200</v>
      </c>
      <c r="D96">
        <v>333.4300616115911</v>
      </c>
      <c r="E96">
        <v>2</v>
      </c>
      <c r="F96" s="56">
        <v>20000</v>
      </c>
      <c r="G96" s="38">
        <v>40</v>
      </c>
      <c r="H96" s="144">
        <v>20000</v>
      </c>
      <c r="I96" s="144">
        <v>40</v>
      </c>
    </row>
    <row r="97" spans="1:9">
      <c r="A97">
        <v>80310</v>
      </c>
      <c r="B97" t="s">
        <v>1135</v>
      </c>
      <c r="C97">
        <v>400</v>
      </c>
      <c r="D97">
        <v>166.71503080579555</v>
      </c>
      <c r="E97">
        <v>2</v>
      </c>
      <c r="F97" s="56">
        <v>40000</v>
      </c>
      <c r="G97" s="38">
        <v>80</v>
      </c>
      <c r="H97" s="144">
        <v>40000</v>
      </c>
      <c r="I97" s="144">
        <v>80</v>
      </c>
    </row>
    <row r="98" spans="1:9">
      <c r="A98">
        <v>80410</v>
      </c>
      <c r="B98" t="s">
        <v>1136</v>
      </c>
      <c r="C98">
        <v>0</v>
      </c>
      <c r="D98">
        <v>4944.0440536387459</v>
      </c>
      <c r="E98">
        <v>1</v>
      </c>
      <c r="F98" s="56">
        <v>2500</v>
      </c>
      <c r="G98" s="38">
        <v>5</v>
      </c>
      <c r="H98" s="144">
        <v>2500</v>
      </c>
      <c r="I98" s="144">
        <v>5</v>
      </c>
    </row>
    <row r="99" spans="1:9">
      <c r="A99">
        <v>80510</v>
      </c>
      <c r="B99" t="s">
        <v>933</v>
      </c>
      <c r="C99">
        <v>0</v>
      </c>
      <c r="D99">
        <v>2472.022026819373</v>
      </c>
      <c r="E99">
        <v>1</v>
      </c>
      <c r="F99" s="56">
        <v>5000</v>
      </c>
      <c r="G99" s="38">
        <v>10</v>
      </c>
      <c r="H99" s="144">
        <v>5000</v>
      </c>
      <c r="I99" s="144">
        <v>10</v>
      </c>
    </row>
    <row r="100" spans="1:9">
      <c r="A100">
        <v>80610</v>
      </c>
      <c r="B100" t="s">
        <v>934</v>
      </c>
      <c r="C100">
        <v>0</v>
      </c>
      <c r="D100">
        <v>1236.0110134096865</v>
      </c>
      <c r="E100">
        <v>1</v>
      </c>
      <c r="F100" s="56">
        <v>10000</v>
      </c>
      <c r="G100" s="38">
        <v>20</v>
      </c>
      <c r="H100" s="144">
        <v>10000</v>
      </c>
      <c r="I100" s="144">
        <v>20</v>
      </c>
    </row>
    <row r="101" spans="1:9">
      <c r="A101">
        <v>87300</v>
      </c>
      <c r="B101" t="s">
        <v>935</v>
      </c>
      <c r="C101">
        <v>0</v>
      </c>
      <c r="D101">
        <v>0</v>
      </c>
      <c r="E101">
        <v>0</v>
      </c>
      <c r="F101" s="56">
        <v>500</v>
      </c>
      <c r="G101" s="38">
        <v>1</v>
      </c>
      <c r="H101" s="144">
        <v>500</v>
      </c>
      <c r="I101" s="144">
        <v>1</v>
      </c>
    </row>
    <row r="102" spans="1:9">
      <c r="A102">
        <v>83300</v>
      </c>
      <c r="B102" t="s">
        <v>936</v>
      </c>
      <c r="C102">
        <v>0</v>
      </c>
      <c r="D102">
        <v>0</v>
      </c>
      <c r="E102">
        <v>0</v>
      </c>
      <c r="F102" s="56">
        <v>1</v>
      </c>
      <c r="G102" s="38">
        <v>2E-3</v>
      </c>
      <c r="H102" s="144">
        <v>1</v>
      </c>
      <c r="I102" s="144">
        <v>2E-3</v>
      </c>
    </row>
    <row r="103" spans="1:9">
      <c r="A103">
        <v>83301</v>
      </c>
      <c r="B103" t="s">
        <v>937</v>
      </c>
      <c r="C103">
        <v>0</v>
      </c>
      <c r="D103">
        <v>0</v>
      </c>
      <c r="E103">
        <v>0</v>
      </c>
      <c r="F103" s="56">
        <v>20</v>
      </c>
      <c r="G103" s="38">
        <v>0.04</v>
      </c>
      <c r="H103" s="144">
        <v>20</v>
      </c>
      <c r="I103" s="144">
        <v>0.04</v>
      </c>
    </row>
    <row r="104" spans="1:9">
      <c r="A104">
        <v>83302</v>
      </c>
      <c r="B104" t="s">
        <v>938</v>
      </c>
      <c r="C104">
        <v>0</v>
      </c>
      <c r="D104">
        <v>0</v>
      </c>
      <c r="E104">
        <v>0</v>
      </c>
      <c r="F104" s="56">
        <v>0.5</v>
      </c>
      <c r="G104" s="38">
        <v>1E-3</v>
      </c>
      <c r="H104" s="144">
        <v>0.5</v>
      </c>
      <c r="I104" s="144">
        <v>1E-3</v>
      </c>
    </row>
    <row r="105" spans="1:9">
      <c r="A105">
        <v>83303</v>
      </c>
      <c r="B105" t="s">
        <v>939</v>
      </c>
      <c r="C105">
        <v>0</v>
      </c>
      <c r="D105">
        <v>0</v>
      </c>
      <c r="E105">
        <v>0</v>
      </c>
      <c r="F105" s="56">
        <v>50</v>
      </c>
      <c r="G105" s="38">
        <v>0.1</v>
      </c>
      <c r="H105" s="144">
        <v>50</v>
      </c>
      <c r="I105" s="144">
        <v>0.1</v>
      </c>
    </row>
    <row r="106" spans="1:9">
      <c r="A106">
        <v>89101</v>
      </c>
      <c r="B106" t="s">
        <v>415</v>
      </c>
      <c r="C106">
        <v>0</v>
      </c>
      <c r="D106">
        <v>0</v>
      </c>
      <c r="E106">
        <v>6</v>
      </c>
      <c r="F106" s="56">
        <v>0</v>
      </c>
      <c r="G106" s="38">
        <v>0</v>
      </c>
      <c r="H106" s="144">
        <v>0</v>
      </c>
      <c r="I106" s="144">
        <v>0</v>
      </c>
    </row>
    <row r="107" spans="1:9">
      <c r="A107">
        <v>89102</v>
      </c>
      <c r="B107" t="s">
        <v>416</v>
      </c>
      <c r="C107">
        <v>0</v>
      </c>
      <c r="D107">
        <v>0</v>
      </c>
      <c r="E107">
        <v>6</v>
      </c>
      <c r="F107" s="56">
        <v>0</v>
      </c>
      <c r="G107" s="38">
        <v>0</v>
      </c>
      <c r="H107" s="144">
        <v>0</v>
      </c>
      <c r="I107" s="144">
        <v>0</v>
      </c>
    </row>
    <row r="108" spans="1:9">
      <c r="A108">
        <v>89106</v>
      </c>
      <c r="B108" t="s">
        <v>940</v>
      </c>
      <c r="C108">
        <v>0</v>
      </c>
      <c r="D108">
        <v>0</v>
      </c>
      <c r="E108">
        <v>0</v>
      </c>
      <c r="F108" s="56">
        <v>0</v>
      </c>
      <c r="G108" s="38">
        <v>0</v>
      </c>
      <c r="H108" s="144">
        <v>0</v>
      </c>
      <c r="I108" s="144">
        <v>0</v>
      </c>
    </row>
    <row r="109" spans="1:9">
      <c r="A109">
        <v>89107</v>
      </c>
      <c r="B109" t="s">
        <v>941</v>
      </c>
      <c r="C109">
        <v>2.5</v>
      </c>
      <c r="D109">
        <v>7724</v>
      </c>
      <c r="E109">
        <v>1</v>
      </c>
      <c r="F109" s="56">
        <v>500</v>
      </c>
      <c r="G109" s="38">
        <v>1</v>
      </c>
      <c r="H109" s="144">
        <v>500</v>
      </c>
      <c r="I109" s="144">
        <v>1</v>
      </c>
    </row>
    <row r="110" spans="1:9">
      <c r="A110">
        <v>89108</v>
      </c>
      <c r="B110" t="s">
        <v>572</v>
      </c>
      <c r="C110">
        <v>0</v>
      </c>
      <c r="D110">
        <v>0</v>
      </c>
      <c r="E110">
        <v>0</v>
      </c>
      <c r="F110" s="56">
        <v>0</v>
      </c>
      <c r="G110" s="38">
        <v>0</v>
      </c>
      <c r="H110" s="144">
        <v>0</v>
      </c>
      <c r="I110" s="144">
        <v>0</v>
      </c>
    </row>
    <row r="111" spans="1:9">
      <c r="A111">
        <v>89109</v>
      </c>
      <c r="B111" t="s">
        <v>573</v>
      </c>
      <c r="C111">
        <v>0</v>
      </c>
      <c r="D111">
        <v>0</v>
      </c>
      <c r="E111">
        <v>0</v>
      </c>
      <c r="F111" s="56">
        <v>0</v>
      </c>
      <c r="G111" s="38">
        <v>0</v>
      </c>
      <c r="H111" s="144">
        <v>0</v>
      </c>
      <c r="I111" s="144">
        <v>0</v>
      </c>
    </row>
    <row r="112" spans="1:9">
      <c r="A112">
        <v>89110</v>
      </c>
      <c r="B112" t="s">
        <v>574</v>
      </c>
      <c r="C112">
        <v>0</v>
      </c>
      <c r="D112">
        <v>0</v>
      </c>
      <c r="E112">
        <v>0</v>
      </c>
      <c r="F112" s="56">
        <v>0</v>
      </c>
      <c r="G112" s="38">
        <v>0</v>
      </c>
      <c r="H112" s="144">
        <v>0</v>
      </c>
      <c r="I112" s="144">
        <v>0</v>
      </c>
    </row>
    <row r="113" spans="1:9">
      <c r="A113">
        <v>89111</v>
      </c>
      <c r="B113" t="s">
        <v>1111</v>
      </c>
      <c r="C113">
        <v>0.7</v>
      </c>
      <c r="D113">
        <v>30978</v>
      </c>
      <c r="E113">
        <v>1</v>
      </c>
      <c r="F113" s="56">
        <v>500</v>
      </c>
      <c r="G113" s="38">
        <v>1</v>
      </c>
      <c r="H113" s="144">
        <v>1000</v>
      </c>
      <c r="I113" s="144">
        <v>2</v>
      </c>
    </row>
    <row r="114" spans="1:9">
      <c r="A114">
        <v>83304</v>
      </c>
      <c r="B114" t="s">
        <v>1106</v>
      </c>
      <c r="C114">
        <v>0</v>
      </c>
      <c r="D114">
        <v>0</v>
      </c>
      <c r="E114">
        <v>0</v>
      </c>
      <c r="F114" s="56">
        <v>15000</v>
      </c>
      <c r="G114" s="38">
        <v>30</v>
      </c>
      <c r="H114" s="144">
        <v>15000</v>
      </c>
      <c r="I114" s="144">
        <v>30</v>
      </c>
    </row>
    <row r="115" spans="1:9">
      <c r="A115">
        <v>85200</v>
      </c>
      <c r="B115" t="s">
        <v>665</v>
      </c>
      <c r="C115">
        <v>0</v>
      </c>
      <c r="D115">
        <v>2019.7074124618819</v>
      </c>
      <c r="E115">
        <v>0</v>
      </c>
      <c r="F115" s="56">
        <v>5000</v>
      </c>
      <c r="G115" s="38">
        <v>10</v>
      </c>
      <c r="H115" s="144">
        <v>5000</v>
      </c>
      <c r="I115" s="144">
        <v>10</v>
      </c>
    </row>
    <row r="116" spans="1:9">
      <c r="A116">
        <v>85300</v>
      </c>
      <c r="B116" t="s">
        <v>667</v>
      </c>
      <c r="C116">
        <v>0</v>
      </c>
      <c r="D116">
        <v>2019.7074124618819</v>
      </c>
      <c r="E116">
        <v>0</v>
      </c>
      <c r="F116" s="56">
        <v>15000</v>
      </c>
      <c r="G116" s="38">
        <v>30</v>
      </c>
      <c r="H116" s="144">
        <v>15000</v>
      </c>
      <c r="I116" s="144">
        <v>30</v>
      </c>
    </row>
    <row r="117" spans="1:9">
      <c r="A117">
        <v>85400</v>
      </c>
      <c r="B117" t="s">
        <v>669</v>
      </c>
      <c r="C117">
        <v>0</v>
      </c>
      <c r="D117">
        <v>2019.7074124618819</v>
      </c>
      <c r="E117">
        <v>0</v>
      </c>
      <c r="F117" s="56">
        <v>40000</v>
      </c>
      <c r="G117" s="38">
        <v>80</v>
      </c>
      <c r="H117" s="144">
        <v>40000</v>
      </c>
      <c r="I117" s="144">
        <v>80</v>
      </c>
    </row>
    <row r="118" spans="1:9">
      <c r="A118">
        <v>85500</v>
      </c>
      <c r="B118" t="s">
        <v>670</v>
      </c>
      <c r="C118">
        <v>0</v>
      </c>
      <c r="D118">
        <v>2019.7074124618819</v>
      </c>
      <c r="E118">
        <v>0</v>
      </c>
      <c r="F118" s="56">
        <v>50000</v>
      </c>
      <c r="G118" s="38">
        <v>100</v>
      </c>
      <c r="H118" s="144">
        <v>50000</v>
      </c>
      <c r="I118" s="144">
        <v>100</v>
      </c>
    </row>
    <row r="119" spans="1:9">
      <c r="A119">
        <v>86001</v>
      </c>
      <c r="B119" t="s">
        <v>1500</v>
      </c>
      <c r="C119">
        <v>0</v>
      </c>
      <c r="D119">
        <v>0</v>
      </c>
      <c r="E119">
        <v>0</v>
      </c>
      <c r="F119" s="56">
        <v>0</v>
      </c>
      <c r="G119" s="38">
        <v>0</v>
      </c>
      <c r="H119" s="144">
        <v>0</v>
      </c>
      <c r="I119" s="144">
        <v>0</v>
      </c>
    </row>
    <row r="120" spans="1:9">
      <c r="A120">
        <v>86002</v>
      </c>
      <c r="B120" t="s">
        <v>1500</v>
      </c>
      <c r="C120">
        <v>0</v>
      </c>
      <c r="D120">
        <v>0</v>
      </c>
      <c r="E120">
        <v>0</v>
      </c>
      <c r="F120" s="56">
        <v>0</v>
      </c>
      <c r="G120" s="38">
        <v>0</v>
      </c>
      <c r="H120" s="144">
        <v>0</v>
      </c>
      <c r="I120" s="144">
        <v>0</v>
      </c>
    </row>
    <row r="121" spans="1:9">
      <c r="A121">
        <v>86003</v>
      </c>
      <c r="B121" t="s">
        <v>1500</v>
      </c>
      <c r="C121">
        <v>0</v>
      </c>
      <c r="D121">
        <v>0</v>
      </c>
      <c r="E121">
        <v>0</v>
      </c>
      <c r="F121" s="56">
        <v>0</v>
      </c>
      <c r="G121" s="38">
        <v>0</v>
      </c>
      <c r="H121" s="144">
        <v>0</v>
      </c>
      <c r="I121" s="144">
        <v>0</v>
      </c>
    </row>
    <row r="122" spans="1:9">
      <c r="A122">
        <v>86004</v>
      </c>
      <c r="B122" t="s">
        <v>1500</v>
      </c>
      <c r="C122">
        <v>0</v>
      </c>
      <c r="D122">
        <v>0</v>
      </c>
      <c r="E122">
        <v>0</v>
      </c>
      <c r="F122" s="56">
        <v>0</v>
      </c>
      <c r="G122" s="38">
        <v>0</v>
      </c>
      <c r="H122" s="144">
        <v>0</v>
      </c>
      <c r="I122" s="144">
        <v>0</v>
      </c>
    </row>
    <row r="123" spans="1:9">
      <c r="A123">
        <v>86005</v>
      </c>
      <c r="B123" t="s">
        <v>1500</v>
      </c>
      <c r="C123">
        <v>0</v>
      </c>
      <c r="D123">
        <v>0</v>
      </c>
      <c r="E123">
        <v>0</v>
      </c>
      <c r="F123" s="56">
        <v>0</v>
      </c>
      <c r="G123" s="38">
        <v>0</v>
      </c>
      <c r="H123" s="144">
        <v>0</v>
      </c>
      <c r="I123" s="144">
        <v>0</v>
      </c>
    </row>
    <row r="124" spans="1:9">
      <c r="A124">
        <v>86110</v>
      </c>
      <c r="B124" t="s">
        <v>1492</v>
      </c>
      <c r="C124">
        <v>0</v>
      </c>
      <c r="D124">
        <v>0</v>
      </c>
      <c r="E124">
        <v>3</v>
      </c>
      <c r="F124" s="56">
        <v>2500</v>
      </c>
      <c r="G124" s="38">
        <v>5</v>
      </c>
      <c r="H124" s="144">
        <v>2500</v>
      </c>
      <c r="I124" s="144">
        <v>5</v>
      </c>
    </row>
    <row r="125" spans="1:9">
      <c r="A125">
        <v>86120</v>
      </c>
      <c r="B125" t="s">
        <v>1492</v>
      </c>
      <c r="C125">
        <v>0</v>
      </c>
      <c r="D125">
        <v>0</v>
      </c>
      <c r="E125">
        <v>6</v>
      </c>
      <c r="F125" s="56">
        <v>7500</v>
      </c>
      <c r="G125" s="38">
        <v>15</v>
      </c>
      <c r="H125" s="144">
        <v>7500</v>
      </c>
      <c r="I125" s="144">
        <v>15</v>
      </c>
    </row>
    <row r="126" spans="1:9">
      <c r="A126">
        <v>86130</v>
      </c>
      <c r="B126" t="s">
        <v>1492</v>
      </c>
      <c r="C126">
        <v>0</v>
      </c>
      <c r="D126">
        <v>0</v>
      </c>
      <c r="E126">
        <v>9</v>
      </c>
      <c r="F126" s="56">
        <v>25000</v>
      </c>
      <c r="G126" s="38">
        <v>50</v>
      </c>
      <c r="H126" s="144">
        <v>25000</v>
      </c>
      <c r="I126" s="144">
        <v>50</v>
      </c>
    </row>
    <row r="127" spans="1:9">
      <c r="A127">
        <v>86140</v>
      </c>
      <c r="B127" t="s">
        <v>1492</v>
      </c>
      <c r="C127">
        <v>0</v>
      </c>
      <c r="D127">
        <v>0</v>
      </c>
      <c r="E127">
        <v>12</v>
      </c>
      <c r="F127" s="56">
        <v>75000</v>
      </c>
      <c r="G127" s="38">
        <v>150</v>
      </c>
      <c r="H127" s="144">
        <v>75000</v>
      </c>
      <c r="I127" s="144">
        <v>150</v>
      </c>
    </row>
    <row r="128" spans="1:9">
      <c r="A128">
        <v>86150</v>
      </c>
      <c r="B128" t="s">
        <v>1492</v>
      </c>
      <c r="C128">
        <v>0</v>
      </c>
      <c r="D128">
        <v>0</v>
      </c>
      <c r="E128">
        <v>15</v>
      </c>
      <c r="F128" s="56">
        <v>200000</v>
      </c>
      <c r="G128" s="38">
        <v>400</v>
      </c>
      <c r="H128" s="144">
        <v>200000</v>
      </c>
      <c r="I128" s="144">
        <v>400</v>
      </c>
    </row>
    <row r="129" spans="1:9">
      <c r="A129">
        <v>83305</v>
      </c>
      <c r="B129" t="s">
        <v>1131</v>
      </c>
      <c r="C129">
        <v>0</v>
      </c>
      <c r="D129">
        <v>0</v>
      </c>
      <c r="E129">
        <v>0</v>
      </c>
      <c r="F129" s="56">
        <v>10000</v>
      </c>
      <c r="G129" s="38">
        <v>20</v>
      </c>
      <c r="H129" s="144">
        <v>10000</v>
      </c>
      <c r="I129" s="144">
        <v>20</v>
      </c>
    </row>
    <row r="130" spans="1:9">
      <c r="A130">
        <v>83306</v>
      </c>
      <c r="B130" t="s">
        <v>1132</v>
      </c>
      <c r="C130">
        <v>0</v>
      </c>
      <c r="D130">
        <v>0</v>
      </c>
      <c r="E130">
        <v>0</v>
      </c>
      <c r="F130" s="56">
        <v>0</v>
      </c>
      <c r="G130" s="38">
        <v>0</v>
      </c>
      <c r="H130" s="144">
        <v>0</v>
      </c>
      <c r="I130" s="144">
        <v>0</v>
      </c>
    </row>
    <row r="131" spans="1:9">
      <c r="A131">
        <v>83307</v>
      </c>
      <c r="B131" t="s">
        <v>1133</v>
      </c>
      <c r="C131">
        <v>0</v>
      </c>
      <c r="D131">
        <v>0</v>
      </c>
      <c r="E131">
        <v>0</v>
      </c>
      <c r="F131" s="56">
        <v>0</v>
      </c>
      <c r="G131" s="38">
        <v>0</v>
      </c>
      <c r="H131" s="144">
        <v>0</v>
      </c>
      <c r="I131" s="144">
        <v>0</v>
      </c>
    </row>
    <row r="132" spans="1:9">
      <c r="A132">
        <v>83308</v>
      </c>
      <c r="B132" t="s">
        <v>1134</v>
      </c>
      <c r="C132">
        <v>0</v>
      </c>
      <c r="D132">
        <v>0</v>
      </c>
      <c r="E132">
        <v>0</v>
      </c>
      <c r="F132" s="56">
        <v>0</v>
      </c>
      <c r="G132" s="38">
        <v>0</v>
      </c>
      <c r="H132" s="144">
        <v>0</v>
      </c>
      <c r="I132" s="144">
        <v>0</v>
      </c>
    </row>
    <row r="133" spans="1:9">
      <c r="A133">
        <v>86010</v>
      </c>
      <c r="B133" t="s">
        <v>1501</v>
      </c>
      <c r="C133">
        <v>0</v>
      </c>
      <c r="D133">
        <v>0</v>
      </c>
      <c r="E133">
        <v>0</v>
      </c>
      <c r="F133" s="56">
        <v>10000</v>
      </c>
      <c r="G133" s="38">
        <v>20</v>
      </c>
      <c r="H133" s="144">
        <v>10000</v>
      </c>
      <c r="I133" s="144">
        <v>20</v>
      </c>
    </row>
    <row r="134" spans="1:9">
      <c r="A134">
        <v>86021</v>
      </c>
      <c r="B134" t="s">
        <v>1354</v>
      </c>
      <c r="C134">
        <v>0</v>
      </c>
      <c r="D134">
        <v>0</v>
      </c>
      <c r="E134">
        <v>0</v>
      </c>
      <c r="F134" s="56">
        <v>99500</v>
      </c>
      <c r="G134" s="38">
        <v>199</v>
      </c>
      <c r="H134" s="144">
        <v>99500</v>
      </c>
      <c r="I134" s="144">
        <v>199</v>
      </c>
    </row>
    <row r="135" spans="1:9">
      <c r="A135">
        <v>86022</v>
      </c>
      <c r="B135" t="s">
        <v>1487</v>
      </c>
      <c r="C135">
        <v>0</v>
      </c>
      <c r="D135">
        <v>0</v>
      </c>
      <c r="E135">
        <v>0</v>
      </c>
      <c r="F135" s="56">
        <v>500000</v>
      </c>
      <c r="G135" s="38">
        <v>1000</v>
      </c>
      <c r="H135" s="144">
        <v>500000</v>
      </c>
      <c r="I135" s="144">
        <v>1000</v>
      </c>
    </row>
    <row r="136" spans="1:9">
      <c r="A136">
        <v>86023</v>
      </c>
      <c r="B136" t="s">
        <v>1496</v>
      </c>
      <c r="C136">
        <v>0</v>
      </c>
      <c r="D136">
        <v>0</v>
      </c>
      <c r="E136">
        <v>0</v>
      </c>
      <c r="F136" s="56">
        <v>2500000</v>
      </c>
      <c r="G136" s="38">
        <v>5000</v>
      </c>
      <c r="H136" s="144">
        <v>2500000</v>
      </c>
      <c r="I136" s="144">
        <v>5000</v>
      </c>
    </row>
    <row r="137" spans="1:9">
      <c r="A137">
        <v>78214</v>
      </c>
      <c r="B137" t="s">
        <v>1488</v>
      </c>
      <c r="C137">
        <v>0</v>
      </c>
      <c r="D137">
        <v>0</v>
      </c>
      <c r="E137">
        <v>0</v>
      </c>
      <c r="F137" s="56">
        <v>0</v>
      </c>
      <c r="G137" s="38">
        <v>0</v>
      </c>
      <c r="H137" s="144">
        <v>0</v>
      </c>
      <c r="I137" s="144">
        <v>0</v>
      </c>
    </row>
    <row r="138" spans="1:9">
      <c r="A138">
        <v>78215</v>
      </c>
      <c r="B138" t="s">
        <v>1489</v>
      </c>
      <c r="C138">
        <v>0</v>
      </c>
      <c r="D138">
        <v>0</v>
      </c>
      <c r="E138">
        <v>0</v>
      </c>
      <c r="F138" s="56">
        <v>0</v>
      </c>
      <c r="G138" s="38">
        <v>0</v>
      </c>
      <c r="H138" s="144">
        <v>0</v>
      </c>
      <c r="I138" s="144">
        <v>0</v>
      </c>
    </row>
    <row r="139" spans="1:9">
      <c r="A139">
        <v>78216</v>
      </c>
      <c r="B139" t="s">
        <v>1490</v>
      </c>
      <c r="C139">
        <v>0</v>
      </c>
      <c r="D139">
        <v>0</v>
      </c>
      <c r="E139">
        <v>0</v>
      </c>
      <c r="F139" s="56">
        <v>0</v>
      </c>
      <c r="G139" s="38">
        <v>0</v>
      </c>
      <c r="H139" s="144">
        <v>0</v>
      </c>
      <c r="I139" s="144">
        <v>0</v>
      </c>
    </row>
    <row r="140" spans="1:9">
      <c r="A140">
        <v>83309</v>
      </c>
      <c r="B140" t="s">
        <v>1491</v>
      </c>
      <c r="C140">
        <v>0</v>
      </c>
      <c r="D140">
        <v>0</v>
      </c>
      <c r="E140">
        <v>0</v>
      </c>
      <c r="F140" s="56">
        <v>16.666666666666668</v>
      </c>
      <c r="G140" s="38">
        <v>3.3333333333333333E-2</v>
      </c>
      <c r="H140" s="144">
        <v>16.666666666666668</v>
      </c>
      <c r="I140" s="144">
        <v>3.3333333333333333E-2</v>
      </c>
    </row>
    <row r="141" spans="1:9">
      <c r="A141">
        <v>86121</v>
      </c>
      <c r="B141" t="s">
        <v>1493</v>
      </c>
      <c r="C141">
        <v>0</v>
      </c>
      <c r="D141">
        <v>0</v>
      </c>
      <c r="E141">
        <v>0</v>
      </c>
      <c r="F141" s="56">
        <v>1250</v>
      </c>
      <c r="G141" s="38">
        <v>2.5</v>
      </c>
      <c r="H141" s="144">
        <v>1250</v>
      </c>
      <c r="I141" s="144">
        <v>2.5</v>
      </c>
    </row>
    <row r="142" spans="1:9">
      <c r="A142">
        <v>86131</v>
      </c>
      <c r="B142" t="s">
        <v>1493</v>
      </c>
      <c r="C142">
        <v>0</v>
      </c>
      <c r="D142">
        <v>0</v>
      </c>
      <c r="E142">
        <v>0</v>
      </c>
      <c r="F142" s="56">
        <v>2500</v>
      </c>
      <c r="G142" s="38">
        <v>5</v>
      </c>
      <c r="H142" s="144">
        <v>2500</v>
      </c>
      <c r="I142" s="144">
        <v>5</v>
      </c>
    </row>
    <row r="143" spans="1:9">
      <c r="A143">
        <v>86141</v>
      </c>
      <c r="B143" t="s">
        <v>1493</v>
      </c>
      <c r="C143">
        <v>0</v>
      </c>
      <c r="D143">
        <v>0</v>
      </c>
      <c r="E143">
        <v>0</v>
      </c>
      <c r="F143" s="56">
        <v>3750</v>
      </c>
      <c r="G143" s="38">
        <v>7.5</v>
      </c>
      <c r="H143" s="144">
        <v>3750</v>
      </c>
      <c r="I143" s="144">
        <v>7.5</v>
      </c>
    </row>
    <row r="144" spans="1:9">
      <c r="A144">
        <v>86151</v>
      </c>
      <c r="B144" t="s">
        <v>1493</v>
      </c>
      <c r="C144">
        <v>0</v>
      </c>
      <c r="D144">
        <v>0</v>
      </c>
      <c r="E144">
        <v>0</v>
      </c>
      <c r="F144" s="56">
        <v>5000</v>
      </c>
      <c r="G144" s="38">
        <v>10</v>
      </c>
      <c r="H144" s="144">
        <v>5000</v>
      </c>
      <c r="I144" s="144">
        <v>10</v>
      </c>
    </row>
    <row r="145" spans="1:9">
      <c r="A145">
        <v>86210</v>
      </c>
      <c r="B145" t="s">
        <v>1497</v>
      </c>
      <c r="C145">
        <v>0</v>
      </c>
      <c r="D145">
        <v>0</v>
      </c>
      <c r="E145">
        <v>0</v>
      </c>
      <c r="F145" s="56">
        <v>2500</v>
      </c>
      <c r="G145" s="38">
        <v>5</v>
      </c>
      <c r="H145" s="144">
        <v>2500</v>
      </c>
      <c r="I145" s="144">
        <v>5</v>
      </c>
    </row>
    <row r="146" spans="1:9">
      <c r="A146">
        <v>86220</v>
      </c>
      <c r="B146" t="s">
        <v>1497</v>
      </c>
      <c r="C146">
        <v>0</v>
      </c>
      <c r="D146">
        <v>0</v>
      </c>
      <c r="E146">
        <v>0</v>
      </c>
      <c r="F146" s="56">
        <v>25000</v>
      </c>
      <c r="G146" s="38">
        <v>50</v>
      </c>
      <c r="H146" s="144">
        <v>25000</v>
      </c>
      <c r="I146" s="144">
        <v>50</v>
      </c>
    </row>
    <row r="147" spans="1:9">
      <c r="A147">
        <v>86230</v>
      </c>
      <c r="B147" t="s">
        <v>1497</v>
      </c>
      <c r="C147">
        <v>0</v>
      </c>
      <c r="D147">
        <v>0</v>
      </c>
      <c r="E147">
        <v>0</v>
      </c>
      <c r="F147" s="56">
        <v>200000</v>
      </c>
      <c r="G147" s="38">
        <v>400</v>
      </c>
      <c r="H147" s="144">
        <v>200000</v>
      </c>
      <c r="I147" s="144">
        <v>400</v>
      </c>
    </row>
    <row r="148" spans="1:9">
      <c r="A148">
        <v>86240</v>
      </c>
      <c r="B148" t="s">
        <v>1497</v>
      </c>
      <c r="C148">
        <v>0</v>
      </c>
      <c r="D148">
        <v>0</v>
      </c>
      <c r="E148">
        <v>0</v>
      </c>
      <c r="F148" s="56">
        <v>2000000</v>
      </c>
      <c r="G148" s="38">
        <v>4000</v>
      </c>
      <c r="H148" s="144">
        <v>2000000</v>
      </c>
      <c r="I148" s="144">
        <v>4000</v>
      </c>
    </row>
    <row r="149" spans="1:9">
      <c r="A149">
        <v>86250</v>
      </c>
      <c r="B149" t="s">
        <v>1497</v>
      </c>
      <c r="C149">
        <v>0</v>
      </c>
      <c r="D149">
        <v>0</v>
      </c>
      <c r="E149">
        <v>0</v>
      </c>
      <c r="F149" s="56">
        <v>10000000</v>
      </c>
      <c r="G149" s="38">
        <v>20000</v>
      </c>
      <c r="H149" s="144">
        <v>10000000</v>
      </c>
      <c r="I149" s="144">
        <v>20000</v>
      </c>
    </row>
    <row r="150" spans="1:9">
      <c r="A150">
        <v>86310</v>
      </c>
      <c r="B150" t="s">
        <v>1498</v>
      </c>
      <c r="C150">
        <v>0</v>
      </c>
      <c r="D150">
        <v>0</v>
      </c>
      <c r="E150">
        <v>0</v>
      </c>
      <c r="F150" s="56">
        <v>12500</v>
      </c>
      <c r="G150" s="38">
        <v>25</v>
      </c>
      <c r="H150" s="144">
        <v>12500</v>
      </c>
      <c r="I150" s="144">
        <v>25</v>
      </c>
    </row>
    <row r="151" spans="1:9">
      <c r="A151">
        <v>86320</v>
      </c>
      <c r="B151" t="s">
        <v>1498</v>
      </c>
      <c r="C151">
        <v>0</v>
      </c>
      <c r="D151">
        <v>0</v>
      </c>
      <c r="E151">
        <v>0</v>
      </c>
      <c r="F151" s="56">
        <v>25000</v>
      </c>
      <c r="G151" s="38">
        <v>50</v>
      </c>
      <c r="H151" s="144">
        <v>25000</v>
      </c>
      <c r="I151" s="144">
        <v>50</v>
      </c>
    </row>
    <row r="152" spans="1:9">
      <c r="A152">
        <v>86330</v>
      </c>
      <c r="B152" t="s">
        <v>1498</v>
      </c>
      <c r="C152">
        <v>0</v>
      </c>
      <c r="D152">
        <v>0</v>
      </c>
      <c r="E152">
        <v>0</v>
      </c>
      <c r="F152" s="56">
        <v>50000</v>
      </c>
      <c r="G152" s="38">
        <v>100</v>
      </c>
      <c r="H152" s="144">
        <v>50000</v>
      </c>
      <c r="I152" s="144">
        <v>100</v>
      </c>
    </row>
    <row r="153" spans="1:9">
      <c r="A153">
        <v>86340</v>
      </c>
      <c r="B153" t="s">
        <v>1498</v>
      </c>
      <c r="C153">
        <v>0</v>
      </c>
      <c r="D153">
        <v>0</v>
      </c>
      <c r="E153">
        <v>0</v>
      </c>
      <c r="F153" s="56">
        <v>75000</v>
      </c>
      <c r="G153" s="38">
        <v>150</v>
      </c>
      <c r="H153" s="144">
        <v>75000</v>
      </c>
      <c r="I153" s="144">
        <v>150</v>
      </c>
    </row>
    <row r="154" spans="1:9">
      <c r="A154">
        <v>86350</v>
      </c>
      <c r="B154" t="s">
        <v>1498</v>
      </c>
      <c r="C154">
        <v>0</v>
      </c>
      <c r="D154">
        <v>0</v>
      </c>
      <c r="E154">
        <v>0</v>
      </c>
      <c r="F154" s="56">
        <v>150000</v>
      </c>
      <c r="G154" s="38">
        <v>300</v>
      </c>
      <c r="H154" s="144">
        <v>150000</v>
      </c>
      <c r="I154" s="144">
        <v>300</v>
      </c>
    </row>
    <row r="155" spans="1:9">
      <c r="A155">
        <v>86400</v>
      </c>
      <c r="B155" t="s">
        <v>1499</v>
      </c>
      <c r="C155">
        <v>0</v>
      </c>
      <c r="D155">
        <v>0</v>
      </c>
      <c r="E155">
        <v>0</v>
      </c>
      <c r="F155" s="56">
        <v>2800</v>
      </c>
      <c r="G155" s="38">
        <v>5.6</v>
      </c>
      <c r="H155" s="144">
        <v>2800</v>
      </c>
      <c r="I155" s="144">
        <v>5.6</v>
      </c>
    </row>
    <row r="156" spans="1:9">
      <c r="A156">
        <v>91400</v>
      </c>
      <c r="B156" t="s">
        <v>1502</v>
      </c>
      <c r="C156">
        <v>0</v>
      </c>
      <c r="D156">
        <v>0</v>
      </c>
      <c r="E156">
        <v>0</v>
      </c>
      <c r="F156" s="56">
        <v>100000</v>
      </c>
      <c r="G156" s="38">
        <v>200</v>
      </c>
      <c r="H156" s="144">
        <v>100000</v>
      </c>
      <c r="I156" s="144">
        <v>200</v>
      </c>
    </row>
    <row r="157" spans="1:9">
      <c r="A157">
        <v>10001</v>
      </c>
      <c r="B157" t="s">
        <v>678</v>
      </c>
      <c r="C157">
        <v>0</v>
      </c>
      <c r="D157">
        <v>1</v>
      </c>
      <c r="E157">
        <v>10</v>
      </c>
      <c r="F157" s="56">
        <v>0</v>
      </c>
      <c r="G157" s="38">
        <v>0</v>
      </c>
      <c r="H157" s="144">
        <v>0</v>
      </c>
      <c r="I157" s="144">
        <v>0</v>
      </c>
    </row>
    <row r="158" spans="1:9">
      <c r="A158">
        <v>20001</v>
      </c>
      <c r="B158" t="s">
        <v>417</v>
      </c>
      <c r="C158">
        <v>0</v>
      </c>
      <c r="D158">
        <v>1</v>
      </c>
      <c r="E158">
        <v>10</v>
      </c>
      <c r="F158" s="56">
        <v>0</v>
      </c>
      <c r="G158" s="38">
        <v>0</v>
      </c>
      <c r="H158" s="144">
        <v>0</v>
      </c>
      <c r="I158" s="144">
        <v>0</v>
      </c>
    </row>
    <row r="159" spans="1:9">
      <c r="A159">
        <v>30001</v>
      </c>
      <c r="B159" t="s">
        <v>1373</v>
      </c>
      <c r="C159">
        <v>0</v>
      </c>
      <c r="D159">
        <v>1</v>
      </c>
      <c r="E159">
        <v>10</v>
      </c>
      <c r="F159" s="56">
        <v>0</v>
      </c>
      <c r="G159" s="38">
        <v>0</v>
      </c>
      <c r="H159" s="144">
        <v>0</v>
      </c>
      <c r="I159" s="144">
        <v>0</v>
      </c>
    </row>
    <row r="160" spans="1:9">
      <c r="A160">
        <v>10002</v>
      </c>
      <c r="B160" t="s">
        <v>418</v>
      </c>
      <c r="C160">
        <v>16.599081639928706</v>
      </c>
      <c r="D160">
        <v>1</v>
      </c>
      <c r="E160">
        <v>10</v>
      </c>
      <c r="F160" s="56">
        <v>829.95408199643532</v>
      </c>
      <c r="G160" s="38">
        <v>50</v>
      </c>
      <c r="H160" s="144">
        <v>829.95408199643532</v>
      </c>
      <c r="I160" s="144">
        <v>50</v>
      </c>
    </row>
    <row r="161" spans="1:9">
      <c r="A161">
        <v>20002</v>
      </c>
      <c r="B161" t="s">
        <v>1374</v>
      </c>
      <c r="C161">
        <v>16.599081639928706</v>
      </c>
      <c r="D161">
        <v>1</v>
      </c>
      <c r="E161">
        <v>10</v>
      </c>
      <c r="F161" s="56">
        <v>829.95408199643532</v>
      </c>
      <c r="G161" s="38">
        <v>50</v>
      </c>
      <c r="H161" s="144">
        <v>829.95408199643532</v>
      </c>
      <c r="I161" s="144">
        <v>50</v>
      </c>
    </row>
    <row r="162" spans="1:9">
      <c r="A162">
        <v>30002</v>
      </c>
      <c r="B162" t="s">
        <v>679</v>
      </c>
      <c r="C162">
        <v>16.599081639928706</v>
      </c>
      <c r="D162">
        <v>1</v>
      </c>
      <c r="E162">
        <v>10</v>
      </c>
      <c r="F162" s="56">
        <v>829.95408199643532</v>
      </c>
      <c r="G162" s="38">
        <v>50</v>
      </c>
      <c r="H162" s="144">
        <v>829.95408199643532</v>
      </c>
      <c r="I162" s="144">
        <v>50</v>
      </c>
    </row>
    <row r="163" spans="1:9">
      <c r="A163">
        <v>51002</v>
      </c>
      <c r="B163" t="s">
        <v>1375</v>
      </c>
      <c r="C163">
        <v>14.569636415687212</v>
      </c>
      <c r="D163">
        <v>1</v>
      </c>
      <c r="E163">
        <v>10</v>
      </c>
      <c r="F163" s="56">
        <v>728.48182078436059</v>
      </c>
      <c r="G163" s="38">
        <v>43.886874984216874</v>
      </c>
      <c r="H163" s="144">
        <v>728.48182078436059</v>
      </c>
      <c r="I163" s="144">
        <v>43.886874984216874</v>
      </c>
    </row>
    <row r="164" spans="1:9">
      <c r="A164">
        <v>52002</v>
      </c>
      <c r="B164" t="s">
        <v>680</v>
      </c>
      <c r="C164">
        <v>5.2122187059503178</v>
      </c>
      <c r="D164">
        <v>1</v>
      </c>
      <c r="E164">
        <v>10</v>
      </c>
      <c r="F164" s="56">
        <v>260.61093529751588</v>
      </c>
      <c r="G164" s="38">
        <v>15.700322520893103</v>
      </c>
      <c r="H164" s="144">
        <v>260.61093529751588</v>
      </c>
      <c r="I164" s="144">
        <v>15.700322520893103</v>
      </c>
    </row>
    <row r="165" spans="1:9">
      <c r="A165">
        <v>55002</v>
      </c>
      <c r="B165" t="s">
        <v>1376</v>
      </c>
      <c r="C165">
        <v>6.677519452253911</v>
      </c>
      <c r="D165">
        <v>1</v>
      </c>
      <c r="E165">
        <v>10</v>
      </c>
      <c r="F165" s="56">
        <v>333.87597261269553</v>
      </c>
      <c r="G165" s="38">
        <v>20.114123169896615</v>
      </c>
      <c r="H165" s="144">
        <v>333.87597261269553</v>
      </c>
      <c r="I165" s="144">
        <v>20.114123169896615</v>
      </c>
    </row>
    <row r="166" spans="1:9">
      <c r="A166">
        <v>54002</v>
      </c>
      <c r="B166" t="s">
        <v>681</v>
      </c>
      <c r="C166">
        <v>4.8025194522539119</v>
      </c>
      <c r="D166">
        <v>1</v>
      </c>
      <c r="E166">
        <v>10</v>
      </c>
      <c r="F166" s="56">
        <v>240.12597261269559</v>
      </c>
      <c r="G166" s="38">
        <v>14.466220350111305</v>
      </c>
      <c r="H166" s="144">
        <v>240.12597261269559</v>
      </c>
      <c r="I166" s="144">
        <v>14.466220350111305</v>
      </c>
    </row>
    <row r="167" spans="1:9">
      <c r="A167">
        <v>53002</v>
      </c>
      <c r="B167" t="s">
        <v>1377</v>
      </c>
      <c r="C167">
        <v>10.289971657754013</v>
      </c>
      <c r="D167">
        <v>1</v>
      </c>
      <c r="E167">
        <v>10</v>
      </c>
      <c r="F167" s="56">
        <v>514.49858288770065</v>
      </c>
      <c r="G167" s="38">
        <v>30.995605302047927</v>
      </c>
      <c r="H167" s="144">
        <v>514.49858288770065</v>
      </c>
      <c r="I167" s="144">
        <v>30.995605302047927</v>
      </c>
    </row>
    <row r="168" spans="1:9">
      <c r="A168">
        <v>10103</v>
      </c>
      <c r="B168" t="s">
        <v>682</v>
      </c>
      <c r="C168">
        <v>27.271223842473059</v>
      </c>
      <c r="D168">
        <v>1</v>
      </c>
      <c r="E168">
        <v>10</v>
      </c>
      <c r="F168" s="56">
        <v>1363.561192123653</v>
      </c>
      <c r="G168" s="38">
        <v>60</v>
      </c>
      <c r="H168" s="144">
        <v>1363.561192123653</v>
      </c>
      <c r="I168" s="144">
        <v>60</v>
      </c>
    </row>
    <row r="169" spans="1:9">
      <c r="A169">
        <v>20103</v>
      </c>
      <c r="B169" t="s">
        <v>1378</v>
      </c>
      <c r="C169">
        <v>27.271223842473059</v>
      </c>
      <c r="D169">
        <v>1</v>
      </c>
      <c r="E169">
        <v>10</v>
      </c>
      <c r="F169" s="56">
        <v>1363.561192123653</v>
      </c>
      <c r="G169" s="38">
        <v>60</v>
      </c>
      <c r="H169" s="144">
        <v>1363.561192123653</v>
      </c>
      <c r="I169" s="144">
        <v>60</v>
      </c>
    </row>
    <row r="170" spans="1:9">
      <c r="A170">
        <v>30103</v>
      </c>
      <c r="B170" t="s">
        <v>683</v>
      </c>
      <c r="C170">
        <v>27.271223842473059</v>
      </c>
      <c r="D170">
        <v>1</v>
      </c>
      <c r="E170">
        <v>10</v>
      </c>
      <c r="F170" s="56">
        <v>1363.561192123653</v>
      </c>
      <c r="G170" s="38">
        <v>60</v>
      </c>
      <c r="H170" s="144">
        <v>1363.561192123653</v>
      </c>
      <c r="I170" s="144">
        <v>60</v>
      </c>
    </row>
    <row r="171" spans="1:9">
      <c r="A171">
        <v>51103</v>
      </c>
      <c r="B171" t="s">
        <v>1379</v>
      </c>
      <c r="C171">
        <v>23.526385910626644</v>
      </c>
      <c r="D171">
        <v>1</v>
      </c>
      <c r="E171">
        <v>10</v>
      </c>
      <c r="F171" s="56">
        <v>1176.3192955313323</v>
      </c>
      <c r="G171" s="38">
        <v>51.760902363287215</v>
      </c>
      <c r="H171" s="144">
        <v>1176.3192955313323</v>
      </c>
      <c r="I171" s="144">
        <v>51.760902363287215</v>
      </c>
    </row>
    <row r="172" spans="1:9">
      <c r="A172">
        <v>52103</v>
      </c>
      <c r="B172" t="s">
        <v>684</v>
      </c>
      <c r="C172">
        <v>8.6681045762457778</v>
      </c>
      <c r="D172">
        <v>1</v>
      </c>
      <c r="E172">
        <v>10</v>
      </c>
      <c r="F172" s="56">
        <v>433.4052288122889</v>
      </c>
      <c r="G172" s="38">
        <v>19.070881364874719</v>
      </c>
      <c r="H172" s="144">
        <v>433.4052288122889</v>
      </c>
      <c r="I172" s="144">
        <v>19.070881364874719</v>
      </c>
    </row>
    <row r="173" spans="1:9">
      <c r="A173">
        <v>55103</v>
      </c>
      <c r="B173" t="s">
        <v>1380</v>
      </c>
      <c r="C173">
        <v>11.042635776579273</v>
      </c>
      <c r="D173">
        <v>1</v>
      </c>
      <c r="E173">
        <v>10</v>
      </c>
      <c r="F173" s="56">
        <v>552.13178882896364</v>
      </c>
      <c r="G173" s="38">
        <v>24.295137996809203</v>
      </c>
      <c r="H173" s="144">
        <v>552.13178882896364</v>
      </c>
      <c r="I173" s="144">
        <v>24.295137996809203</v>
      </c>
    </row>
    <row r="174" spans="1:9">
      <c r="A174">
        <v>54103</v>
      </c>
      <c r="B174" t="s">
        <v>685</v>
      </c>
      <c r="C174">
        <v>8.8834588928300544</v>
      </c>
      <c r="D174">
        <v>1</v>
      </c>
      <c r="E174">
        <v>10</v>
      </c>
      <c r="F174" s="56">
        <v>444.17294464150274</v>
      </c>
      <c r="G174" s="38">
        <v>19.544686980262345</v>
      </c>
      <c r="H174" s="144">
        <v>444.17294464150274</v>
      </c>
      <c r="I174" s="144">
        <v>19.544686980262345</v>
      </c>
    </row>
    <row r="175" spans="1:9">
      <c r="A175">
        <v>53103</v>
      </c>
      <c r="B175" t="s">
        <v>1381</v>
      </c>
      <c r="C175">
        <v>16.5572540855615</v>
      </c>
      <c r="D175">
        <v>1</v>
      </c>
      <c r="E175">
        <v>10</v>
      </c>
      <c r="F175" s="56">
        <v>827.86270427807494</v>
      </c>
      <c r="G175" s="38">
        <v>36.42796710818979</v>
      </c>
      <c r="H175" s="144">
        <v>827.86270427807494</v>
      </c>
      <c r="I175" s="144">
        <v>36.42796710818979</v>
      </c>
    </row>
    <row r="176" spans="1:9">
      <c r="A176">
        <v>10104</v>
      </c>
      <c r="B176" t="s">
        <v>686</v>
      </c>
      <c r="C176">
        <v>54.542447684946119</v>
      </c>
      <c r="D176">
        <v>1</v>
      </c>
      <c r="E176">
        <v>10</v>
      </c>
      <c r="F176" s="56">
        <v>2727.1223842473059</v>
      </c>
      <c r="G176" s="38">
        <v>180</v>
      </c>
      <c r="H176" s="144">
        <v>2727.1223842473059</v>
      </c>
      <c r="I176" s="144">
        <v>180</v>
      </c>
    </row>
    <row r="177" spans="1:9">
      <c r="A177">
        <v>20104</v>
      </c>
      <c r="B177" t="s">
        <v>1382</v>
      </c>
      <c r="C177">
        <v>54.542447684946119</v>
      </c>
      <c r="D177">
        <v>1</v>
      </c>
      <c r="E177">
        <v>10</v>
      </c>
      <c r="F177" s="56">
        <v>2727.1223842473059</v>
      </c>
      <c r="G177" s="38">
        <v>180</v>
      </c>
      <c r="H177" s="144">
        <v>2727.1223842473059</v>
      </c>
      <c r="I177" s="144">
        <v>180</v>
      </c>
    </row>
    <row r="178" spans="1:9">
      <c r="A178">
        <v>30104</v>
      </c>
      <c r="B178" t="s">
        <v>687</v>
      </c>
      <c r="C178">
        <v>54.542447684946119</v>
      </c>
      <c r="D178">
        <v>1</v>
      </c>
      <c r="E178">
        <v>10</v>
      </c>
      <c r="F178" s="56">
        <v>2727.1223842473059</v>
      </c>
      <c r="G178" s="38">
        <v>180</v>
      </c>
      <c r="H178" s="144">
        <v>2727.1223842473059</v>
      </c>
      <c r="I178" s="144">
        <v>180</v>
      </c>
    </row>
    <row r="179" spans="1:9">
      <c r="A179">
        <v>51104</v>
      </c>
      <c r="B179" t="s">
        <v>1383</v>
      </c>
      <c r="C179">
        <v>47.052771821253287</v>
      </c>
      <c r="D179">
        <v>1</v>
      </c>
      <c r="E179">
        <v>10</v>
      </c>
      <c r="F179" s="56">
        <v>2352.6385910626645</v>
      </c>
      <c r="G179" s="38">
        <v>155.28270708986165</v>
      </c>
      <c r="H179" s="144">
        <v>2352.6385910626645</v>
      </c>
      <c r="I179" s="144">
        <v>155.28270708986165</v>
      </c>
    </row>
    <row r="180" spans="1:9">
      <c r="A180">
        <v>52104</v>
      </c>
      <c r="B180" t="s">
        <v>688</v>
      </c>
      <c r="C180">
        <v>17.336209152491556</v>
      </c>
      <c r="D180">
        <v>1</v>
      </c>
      <c r="E180">
        <v>10</v>
      </c>
      <c r="F180" s="56">
        <v>866.81045762457779</v>
      </c>
      <c r="G180" s="38">
        <v>57.212644094624153</v>
      </c>
      <c r="H180" s="144">
        <v>866.81045762457779</v>
      </c>
      <c r="I180" s="144">
        <v>57.212644094624153</v>
      </c>
    </row>
    <row r="181" spans="1:9">
      <c r="A181">
        <v>55104</v>
      </c>
      <c r="B181" t="s">
        <v>1384</v>
      </c>
      <c r="C181">
        <v>22.085271553158545</v>
      </c>
      <c r="D181">
        <v>1</v>
      </c>
      <c r="E181">
        <v>10</v>
      </c>
      <c r="F181" s="56">
        <v>1104.2635776579273</v>
      </c>
      <c r="G181" s="38">
        <v>72.885413990427608</v>
      </c>
      <c r="H181" s="144">
        <v>1104.2635776579273</v>
      </c>
      <c r="I181" s="144">
        <v>72.885413990427608</v>
      </c>
    </row>
    <row r="182" spans="1:9">
      <c r="A182">
        <v>54104</v>
      </c>
      <c r="B182" t="s">
        <v>689</v>
      </c>
      <c r="C182">
        <v>17.766917785660109</v>
      </c>
      <c r="D182">
        <v>1</v>
      </c>
      <c r="E182">
        <v>10</v>
      </c>
      <c r="F182" s="56">
        <v>888.34588928300548</v>
      </c>
      <c r="G182" s="38">
        <v>58.634060940787037</v>
      </c>
      <c r="H182" s="144">
        <v>888.34588928300548</v>
      </c>
      <c r="I182" s="144">
        <v>58.634060940787037</v>
      </c>
    </row>
    <row r="183" spans="1:9">
      <c r="A183">
        <v>53104</v>
      </c>
      <c r="B183" t="s">
        <v>1385</v>
      </c>
      <c r="C183">
        <v>33.114508171122999</v>
      </c>
      <c r="D183">
        <v>1</v>
      </c>
      <c r="E183">
        <v>10</v>
      </c>
      <c r="F183" s="56">
        <v>1655.7254085561499</v>
      </c>
      <c r="G183" s="38">
        <v>109.28390132456938</v>
      </c>
      <c r="H183" s="144">
        <v>1655.7254085561499</v>
      </c>
      <c r="I183" s="144">
        <v>109.28390132456938</v>
      </c>
    </row>
    <row r="184" spans="1:9">
      <c r="A184">
        <v>10205</v>
      </c>
      <c r="B184" t="s">
        <v>690</v>
      </c>
      <c r="C184">
        <v>78.44478193951754</v>
      </c>
      <c r="D184">
        <v>1</v>
      </c>
      <c r="E184">
        <v>10</v>
      </c>
      <c r="F184" s="56">
        <v>3922.2390969758771</v>
      </c>
      <c r="G184" s="38">
        <v>359.99999999999994</v>
      </c>
      <c r="H184" s="144">
        <v>3922.2390969758771</v>
      </c>
      <c r="I184" s="144">
        <v>359.99999999999994</v>
      </c>
    </row>
    <row r="185" spans="1:9">
      <c r="A185">
        <v>20205</v>
      </c>
      <c r="B185" t="s">
        <v>1386</v>
      </c>
      <c r="C185">
        <v>78.44478193951754</v>
      </c>
      <c r="D185">
        <v>1</v>
      </c>
      <c r="E185">
        <v>10</v>
      </c>
      <c r="F185" s="56">
        <v>3922.2390969758771</v>
      </c>
      <c r="G185" s="38">
        <v>359.99999999999994</v>
      </c>
      <c r="H185" s="144">
        <v>3922.2390969758771</v>
      </c>
      <c r="I185" s="144">
        <v>359.99999999999994</v>
      </c>
    </row>
    <row r="186" spans="1:9">
      <c r="A186">
        <v>30205</v>
      </c>
      <c r="B186" t="s">
        <v>691</v>
      </c>
      <c r="C186">
        <v>78.44478193951754</v>
      </c>
      <c r="D186">
        <v>1</v>
      </c>
      <c r="E186">
        <v>10</v>
      </c>
      <c r="F186" s="56">
        <v>3922.2390969758771</v>
      </c>
      <c r="G186" s="38">
        <v>359.99999999999994</v>
      </c>
      <c r="H186" s="144">
        <v>3922.2390969758771</v>
      </c>
      <c r="I186" s="144">
        <v>359.99999999999994</v>
      </c>
    </row>
    <row r="187" spans="1:9">
      <c r="A187">
        <v>51205</v>
      </c>
      <c r="B187" t="s">
        <v>1387</v>
      </c>
      <c r="C187">
        <v>66.481629457733803</v>
      </c>
      <c r="D187">
        <v>1</v>
      </c>
      <c r="E187">
        <v>10</v>
      </c>
      <c r="F187" s="56">
        <v>3324.0814728866903</v>
      </c>
      <c r="G187" s="38">
        <v>305.0985166003428</v>
      </c>
      <c r="H187" s="144">
        <v>3324.0814728866903</v>
      </c>
      <c r="I187" s="144">
        <v>305.0985166003428</v>
      </c>
    </row>
    <row r="188" spans="1:9">
      <c r="A188">
        <v>52205</v>
      </c>
      <c r="B188" t="s">
        <v>692</v>
      </c>
      <c r="C188">
        <v>25.23747283105687</v>
      </c>
      <c r="D188">
        <v>1</v>
      </c>
      <c r="E188">
        <v>10</v>
      </c>
      <c r="F188" s="56">
        <v>1261.8736415528435</v>
      </c>
      <c r="G188" s="38">
        <v>115.8201985466103</v>
      </c>
      <c r="H188" s="144">
        <v>1261.8736415528435</v>
      </c>
      <c r="I188" s="144">
        <v>115.8201985466103</v>
      </c>
    </row>
    <row r="189" spans="1:9">
      <c r="A189">
        <v>55205</v>
      </c>
      <c r="B189" t="s">
        <v>1388</v>
      </c>
      <c r="C189">
        <v>31.972386208936598</v>
      </c>
      <c r="D189">
        <v>1</v>
      </c>
      <c r="E189">
        <v>10</v>
      </c>
      <c r="F189" s="56">
        <v>1598.6193104468298</v>
      </c>
      <c r="G189" s="38">
        <v>146.72816662415676</v>
      </c>
      <c r="H189" s="144">
        <v>1598.6193104468298</v>
      </c>
      <c r="I189" s="144">
        <v>146.72816662415676</v>
      </c>
    </row>
    <row r="190" spans="1:9">
      <c r="A190">
        <v>54205</v>
      </c>
      <c r="B190" t="s">
        <v>693</v>
      </c>
      <c r="C190">
        <v>28.434641991718891</v>
      </c>
      <c r="D190">
        <v>1</v>
      </c>
      <c r="E190">
        <v>10</v>
      </c>
      <c r="F190" s="56">
        <v>1421.7320995859445</v>
      </c>
      <c r="G190" s="38">
        <v>130.49269644106244</v>
      </c>
      <c r="H190" s="144">
        <v>1421.7320995859445</v>
      </c>
      <c r="I190" s="144">
        <v>130.49269644106244</v>
      </c>
    </row>
    <row r="191" spans="1:9">
      <c r="A191">
        <v>53205</v>
      </c>
      <c r="B191" t="s">
        <v>1389</v>
      </c>
      <c r="C191">
        <v>46.615269814616767</v>
      </c>
      <c r="D191">
        <v>1</v>
      </c>
      <c r="E191">
        <v>10</v>
      </c>
      <c r="F191" s="56">
        <v>2330.7634907308384</v>
      </c>
      <c r="G191" s="38">
        <v>213.92751332014529</v>
      </c>
      <c r="H191" s="144">
        <v>2330.7634907308384</v>
      </c>
      <c r="I191" s="144">
        <v>213.92751332014529</v>
      </c>
    </row>
    <row r="192" spans="1:9">
      <c r="A192">
        <v>10306</v>
      </c>
      <c r="B192" t="s">
        <v>1355</v>
      </c>
      <c r="C192">
        <v>102.13865243691686</v>
      </c>
      <c r="D192">
        <v>1</v>
      </c>
      <c r="E192">
        <v>10</v>
      </c>
      <c r="F192" s="56">
        <v>5106.9326218458427</v>
      </c>
      <c r="G192" s="38">
        <v>899.99999999999989</v>
      </c>
      <c r="H192" s="144">
        <v>5106.9326218458427</v>
      </c>
      <c r="I192" s="144">
        <v>899.99999999999989</v>
      </c>
    </row>
    <row r="193" spans="1:9">
      <c r="A193">
        <v>20306</v>
      </c>
      <c r="B193" t="s">
        <v>1390</v>
      </c>
      <c r="C193">
        <v>102.13865243691686</v>
      </c>
      <c r="D193">
        <v>1</v>
      </c>
      <c r="E193">
        <v>10</v>
      </c>
      <c r="F193" s="56">
        <v>5106.9326218458427</v>
      </c>
      <c r="G193" s="38">
        <v>899.99999999999989</v>
      </c>
      <c r="H193" s="144">
        <v>5106.9326218458427</v>
      </c>
      <c r="I193" s="144">
        <v>899.99999999999989</v>
      </c>
    </row>
    <row r="194" spans="1:9">
      <c r="A194">
        <v>30306</v>
      </c>
      <c r="B194" t="s">
        <v>1356</v>
      </c>
      <c r="C194">
        <v>102.13865243691686</v>
      </c>
      <c r="D194">
        <v>1</v>
      </c>
      <c r="E194">
        <v>10</v>
      </c>
      <c r="F194" s="56">
        <v>5106.9326218458427</v>
      </c>
      <c r="G194" s="38">
        <v>899.99999999999989</v>
      </c>
      <c r="H194" s="144">
        <v>5106.9326218458427</v>
      </c>
      <c r="I194" s="144">
        <v>899.99999999999989</v>
      </c>
    </row>
    <row r="195" spans="1:9">
      <c r="A195">
        <v>51306</v>
      </c>
      <c r="B195" t="s">
        <v>1391</v>
      </c>
      <c r="C195">
        <v>84.997573004868073</v>
      </c>
      <c r="D195">
        <v>1</v>
      </c>
      <c r="E195">
        <v>10</v>
      </c>
      <c r="F195" s="56">
        <v>4249.8786502434041</v>
      </c>
      <c r="G195" s="38">
        <v>748.96049516247569</v>
      </c>
      <c r="H195" s="144">
        <v>4249.8786502434041</v>
      </c>
      <c r="I195" s="144">
        <v>748.96049516247569</v>
      </c>
    </row>
    <row r="196" spans="1:9">
      <c r="A196">
        <v>52306</v>
      </c>
      <c r="B196" t="s">
        <v>1357</v>
      </c>
      <c r="C196">
        <v>33.259525329938178</v>
      </c>
      <c r="D196">
        <v>1</v>
      </c>
      <c r="E196">
        <v>10</v>
      </c>
      <c r="F196" s="56">
        <v>1662.9762664969089</v>
      </c>
      <c r="G196" s="38">
        <v>293.06802158401308</v>
      </c>
      <c r="H196" s="144">
        <v>1662.9762664969089</v>
      </c>
      <c r="I196" s="144">
        <v>293.06802158401308</v>
      </c>
    </row>
    <row r="197" spans="1:9">
      <c r="A197">
        <v>55306</v>
      </c>
      <c r="B197" t="s">
        <v>1392</v>
      </c>
      <c r="C197">
        <v>41.903462963133002</v>
      </c>
      <c r="D197">
        <v>1</v>
      </c>
      <c r="E197">
        <v>10</v>
      </c>
      <c r="F197" s="56">
        <v>2095.1731481566503</v>
      </c>
      <c r="G197" s="38">
        <v>369.23452353272603</v>
      </c>
      <c r="H197" s="144">
        <v>2095.1731481566503</v>
      </c>
      <c r="I197" s="144">
        <v>369.23452353272603</v>
      </c>
    </row>
    <row r="198" spans="1:9">
      <c r="A198">
        <v>54306</v>
      </c>
      <c r="B198" t="s">
        <v>1358</v>
      </c>
      <c r="C198">
        <v>40.807791613975198</v>
      </c>
      <c r="D198">
        <v>1</v>
      </c>
      <c r="E198">
        <v>10</v>
      </c>
      <c r="F198" s="56">
        <v>2040.3895806987598</v>
      </c>
      <c r="G198" s="38">
        <v>359.57995897058765</v>
      </c>
      <c r="H198" s="144">
        <v>2040.3895806987598</v>
      </c>
      <c r="I198" s="144">
        <v>359.57995897058765</v>
      </c>
    </row>
    <row r="199" spans="1:9">
      <c r="A199">
        <v>53306</v>
      </c>
      <c r="B199" t="s">
        <v>1393</v>
      </c>
      <c r="C199">
        <v>59.367232969697</v>
      </c>
      <c r="D199">
        <v>1</v>
      </c>
      <c r="E199">
        <v>10</v>
      </c>
      <c r="F199" s="56">
        <v>2968.3616484848499</v>
      </c>
      <c r="G199" s="38">
        <v>523.11743299851332</v>
      </c>
      <c r="H199" s="144">
        <v>2968.3616484848499</v>
      </c>
      <c r="I199" s="144">
        <v>523.11743299851332</v>
      </c>
    </row>
    <row r="200" spans="1:9">
      <c r="A200">
        <v>10407</v>
      </c>
      <c r="B200" t="s">
        <v>1394</v>
      </c>
      <c r="C200">
        <v>119.64196112108959</v>
      </c>
      <c r="D200">
        <v>1</v>
      </c>
      <c r="E200">
        <v>10</v>
      </c>
      <c r="F200" s="56">
        <v>5982.0980560544795</v>
      </c>
      <c r="G200" s="38">
        <v>1500</v>
      </c>
      <c r="H200" s="144">
        <v>5982.0980560544795</v>
      </c>
      <c r="I200" s="144">
        <v>1500</v>
      </c>
    </row>
    <row r="201" spans="1:9">
      <c r="A201">
        <v>20407</v>
      </c>
      <c r="B201" t="s">
        <v>1395</v>
      </c>
      <c r="C201">
        <v>119.64196112108959</v>
      </c>
      <c r="D201">
        <v>1</v>
      </c>
      <c r="E201">
        <v>10</v>
      </c>
      <c r="F201" s="56">
        <v>5982.0980560544795</v>
      </c>
      <c r="G201" s="38">
        <v>1500</v>
      </c>
      <c r="H201" s="144">
        <v>5982.0980560544795</v>
      </c>
      <c r="I201" s="144">
        <v>1500</v>
      </c>
    </row>
    <row r="202" spans="1:9">
      <c r="A202">
        <v>30407</v>
      </c>
      <c r="B202" t="s">
        <v>1396</v>
      </c>
      <c r="C202">
        <v>119.64196112108959</v>
      </c>
      <c r="D202">
        <v>1</v>
      </c>
      <c r="E202">
        <v>10</v>
      </c>
      <c r="F202" s="56">
        <v>5982.0980560544795</v>
      </c>
      <c r="G202" s="38">
        <v>1500</v>
      </c>
      <c r="H202" s="144">
        <v>5982.0980560544795</v>
      </c>
      <c r="I202" s="144">
        <v>1500</v>
      </c>
    </row>
    <row r="203" spans="1:9">
      <c r="A203">
        <v>51407</v>
      </c>
      <c r="B203" t="s">
        <v>1397</v>
      </c>
      <c r="C203">
        <v>97.714859488243945</v>
      </c>
      <c r="D203">
        <v>1</v>
      </c>
      <c r="E203">
        <v>10</v>
      </c>
      <c r="F203" s="56">
        <v>4885.7429744121973</v>
      </c>
      <c r="G203" s="38">
        <v>1225.0909953241251</v>
      </c>
      <c r="H203" s="144">
        <v>4885.7429744121973</v>
      </c>
      <c r="I203" s="144">
        <v>1225.0909953241251</v>
      </c>
    </row>
    <row r="204" spans="1:9">
      <c r="A204">
        <v>52407</v>
      </c>
      <c r="B204" t="s">
        <v>1398</v>
      </c>
      <c r="C204">
        <v>39.43082538012905</v>
      </c>
      <c r="D204">
        <v>1</v>
      </c>
      <c r="E204">
        <v>10</v>
      </c>
      <c r="F204" s="56">
        <v>1971.5412690064525</v>
      </c>
      <c r="G204" s="38">
        <v>494.36031903833202</v>
      </c>
      <c r="H204" s="144">
        <v>1971.5412690064525</v>
      </c>
      <c r="I204" s="144">
        <v>494.36031903833202</v>
      </c>
    </row>
    <row r="205" spans="1:9">
      <c r="A205">
        <v>55407</v>
      </c>
      <c r="B205" t="s">
        <v>1399</v>
      </c>
      <c r="C205">
        <v>49.408096967378796</v>
      </c>
      <c r="D205">
        <v>1</v>
      </c>
      <c r="E205">
        <v>10</v>
      </c>
      <c r="F205" s="56">
        <v>2470.4048483689398</v>
      </c>
      <c r="G205" s="38">
        <v>619.44943694177095</v>
      </c>
      <c r="H205" s="144">
        <v>2470.4048483689398</v>
      </c>
      <c r="I205" s="144">
        <v>619.44943694177095</v>
      </c>
    </row>
    <row r="206" spans="1:9">
      <c r="A206">
        <v>54407</v>
      </c>
      <c r="B206" t="s">
        <v>1400</v>
      </c>
      <c r="C206">
        <v>52.27273014517047</v>
      </c>
      <c r="D206">
        <v>1</v>
      </c>
      <c r="E206">
        <v>10</v>
      </c>
      <c r="F206" s="56">
        <v>2613.6365072585236</v>
      </c>
      <c r="G206" s="38">
        <v>655.36450993475341</v>
      </c>
      <c r="H206" s="144">
        <v>2613.6365072585236</v>
      </c>
      <c r="I206" s="144">
        <v>655.36450993475341</v>
      </c>
    </row>
    <row r="207" spans="1:9">
      <c r="A207">
        <v>53407</v>
      </c>
      <c r="B207" t="s">
        <v>1401</v>
      </c>
      <c r="C207">
        <v>67.97180727272729</v>
      </c>
      <c r="D207">
        <v>1</v>
      </c>
      <c r="E207">
        <v>10</v>
      </c>
      <c r="F207" s="56">
        <v>3398.5903636363646</v>
      </c>
      <c r="G207" s="38">
        <v>852.19023454404567</v>
      </c>
      <c r="H207" s="144">
        <v>3398.5903636363646</v>
      </c>
      <c r="I207" s="144">
        <v>852.19023454404567</v>
      </c>
    </row>
    <row r="208" spans="1:9">
      <c r="A208">
        <v>10108</v>
      </c>
      <c r="B208" t="s">
        <v>694</v>
      </c>
      <c r="C208">
        <v>109.08489536989224</v>
      </c>
      <c r="D208">
        <v>1</v>
      </c>
      <c r="E208">
        <v>10</v>
      </c>
      <c r="F208" s="56">
        <v>5454.2447684946119</v>
      </c>
      <c r="G208" s="38">
        <v>360</v>
      </c>
      <c r="H208" s="144">
        <v>5454.2447684946119</v>
      </c>
      <c r="I208" s="144">
        <v>360</v>
      </c>
    </row>
    <row r="209" spans="1:9">
      <c r="A209">
        <v>20108</v>
      </c>
      <c r="B209" t="s">
        <v>1402</v>
      </c>
      <c r="C209">
        <v>109.08489536989224</v>
      </c>
      <c r="D209">
        <v>1</v>
      </c>
      <c r="E209">
        <v>10</v>
      </c>
      <c r="F209" s="56">
        <v>5454.2447684946119</v>
      </c>
      <c r="G209" s="38">
        <v>360</v>
      </c>
      <c r="H209" s="144">
        <v>5454.2447684946119</v>
      </c>
      <c r="I209" s="144">
        <v>360</v>
      </c>
    </row>
    <row r="210" spans="1:9">
      <c r="A210">
        <v>30108</v>
      </c>
      <c r="B210" t="s">
        <v>695</v>
      </c>
      <c r="C210">
        <v>109.08489536989224</v>
      </c>
      <c r="D210">
        <v>1</v>
      </c>
      <c r="E210">
        <v>10</v>
      </c>
      <c r="F210" s="56">
        <v>5454.2447684946119</v>
      </c>
      <c r="G210" s="38">
        <v>360</v>
      </c>
      <c r="H210" s="144">
        <v>5454.2447684946119</v>
      </c>
      <c r="I210" s="144">
        <v>360</v>
      </c>
    </row>
    <row r="211" spans="1:9">
      <c r="A211">
        <v>51108</v>
      </c>
      <c r="B211" t="s">
        <v>1403</v>
      </c>
      <c r="C211">
        <v>94.105543642506575</v>
      </c>
      <c r="D211">
        <v>1</v>
      </c>
      <c r="E211">
        <v>10</v>
      </c>
      <c r="F211" s="56">
        <v>4705.2771821253291</v>
      </c>
      <c r="G211" s="38">
        <v>310.56541417972329</v>
      </c>
      <c r="H211" s="144">
        <v>4705.2771821253291</v>
      </c>
      <c r="I211" s="144">
        <v>310.56541417972329</v>
      </c>
    </row>
    <row r="212" spans="1:9">
      <c r="A212">
        <v>52108</v>
      </c>
      <c r="B212" t="s">
        <v>696</v>
      </c>
      <c r="C212">
        <v>34.672418304983111</v>
      </c>
      <c r="D212">
        <v>1</v>
      </c>
      <c r="E212">
        <v>10</v>
      </c>
      <c r="F212" s="56">
        <v>1733.6209152491556</v>
      </c>
      <c r="G212" s="38">
        <v>114.42528818924831</v>
      </c>
      <c r="H212" s="144">
        <v>1733.6209152491556</v>
      </c>
      <c r="I212" s="144">
        <v>114.42528818924831</v>
      </c>
    </row>
    <row r="213" spans="1:9">
      <c r="A213">
        <v>55108</v>
      </c>
      <c r="B213" t="s">
        <v>1404</v>
      </c>
      <c r="C213">
        <v>44.170543106317091</v>
      </c>
      <c r="D213">
        <v>1</v>
      </c>
      <c r="E213">
        <v>10</v>
      </c>
      <c r="F213" s="56">
        <v>2208.5271553158545</v>
      </c>
      <c r="G213" s="38">
        <v>145.77082798085522</v>
      </c>
      <c r="H213" s="144">
        <v>2208.5271553158545</v>
      </c>
      <c r="I213" s="144">
        <v>145.77082798085522</v>
      </c>
    </row>
    <row r="214" spans="1:9">
      <c r="A214">
        <v>54108</v>
      </c>
      <c r="B214" t="s">
        <v>697</v>
      </c>
      <c r="C214">
        <v>35.533835571320218</v>
      </c>
      <c r="D214">
        <v>1</v>
      </c>
      <c r="E214">
        <v>10</v>
      </c>
      <c r="F214" s="56">
        <v>1776.691778566011</v>
      </c>
      <c r="G214" s="38">
        <v>117.26812188157407</v>
      </c>
      <c r="H214" s="144">
        <v>1776.691778566011</v>
      </c>
      <c r="I214" s="144">
        <v>117.26812188157407</v>
      </c>
    </row>
    <row r="215" spans="1:9">
      <c r="A215">
        <v>53108</v>
      </c>
      <c r="B215" t="s">
        <v>1405</v>
      </c>
      <c r="C215">
        <v>66.229016342245998</v>
      </c>
      <c r="D215">
        <v>1</v>
      </c>
      <c r="E215">
        <v>10</v>
      </c>
      <c r="F215" s="56">
        <v>3311.4508171122998</v>
      </c>
      <c r="G215" s="38">
        <v>218.56780264913877</v>
      </c>
      <c r="H215" s="144">
        <v>3311.4508171122998</v>
      </c>
      <c r="I215" s="144">
        <v>218.56780264913877</v>
      </c>
    </row>
    <row r="216" spans="1:9">
      <c r="A216">
        <v>10209</v>
      </c>
      <c r="B216" t="s">
        <v>698</v>
      </c>
      <c r="C216">
        <v>156.88956387903508</v>
      </c>
      <c r="D216">
        <v>1</v>
      </c>
      <c r="E216">
        <v>10</v>
      </c>
      <c r="F216" s="56">
        <v>7844.4781939517543</v>
      </c>
      <c r="G216" s="38">
        <v>719.99999999999989</v>
      </c>
      <c r="H216" s="144">
        <v>7844.4781939517543</v>
      </c>
      <c r="I216" s="144">
        <v>719.99999999999989</v>
      </c>
    </row>
    <row r="217" spans="1:9">
      <c r="A217">
        <v>20209</v>
      </c>
      <c r="B217" t="s">
        <v>1406</v>
      </c>
      <c r="C217">
        <v>156.88956387903508</v>
      </c>
      <c r="D217">
        <v>1</v>
      </c>
      <c r="E217">
        <v>10</v>
      </c>
      <c r="F217" s="56">
        <v>7844.4781939517543</v>
      </c>
      <c r="G217" s="38">
        <v>719.99999999999989</v>
      </c>
      <c r="H217" s="144">
        <v>7844.4781939517543</v>
      </c>
      <c r="I217" s="144">
        <v>719.99999999999989</v>
      </c>
    </row>
    <row r="218" spans="1:9">
      <c r="A218">
        <v>30209</v>
      </c>
      <c r="B218" t="s">
        <v>699</v>
      </c>
      <c r="C218">
        <v>156.88956387903508</v>
      </c>
      <c r="D218">
        <v>1</v>
      </c>
      <c r="E218">
        <v>10</v>
      </c>
      <c r="F218" s="56">
        <v>7844.4781939517543</v>
      </c>
      <c r="G218" s="38">
        <v>719.99999999999989</v>
      </c>
      <c r="H218" s="144">
        <v>7844.4781939517543</v>
      </c>
      <c r="I218" s="144">
        <v>719.99999999999989</v>
      </c>
    </row>
    <row r="219" spans="1:9">
      <c r="A219">
        <v>51209</v>
      </c>
      <c r="B219" t="s">
        <v>1407</v>
      </c>
      <c r="C219">
        <v>132.96325891546761</v>
      </c>
      <c r="D219">
        <v>1</v>
      </c>
      <c r="E219">
        <v>10</v>
      </c>
      <c r="F219" s="56">
        <v>6648.1629457733807</v>
      </c>
      <c r="G219" s="38">
        <v>610.19703320068561</v>
      </c>
      <c r="H219" s="144">
        <v>6648.1629457733807</v>
      </c>
      <c r="I219" s="144">
        <v>610.19703320068561</v>
      </c>
    </row>
    <row r="220" spans="1:9">
      <c r="A220">
        <v>52209</v>
      </c>
      <c r="B220" t="s">
        <v>700</v>
      </c>
      <c r="C220">
        <v>50.47494566211374</v>
      </c>
      <c r="D220">
        <v>1</v>
      </c>
      <c r="E220">
        <v>10</v>
      </c>
      <c r="F220" s="56">
        <v>2523.7472831056871</v>
      </c>
      <c r="G220" s="38">
        <v>231.6403970932206</v>
      </c>
      <c r="H220" s="144">
        <v>2523.7472831056871</v>
      </c>
      <c r="I220" s="144">
        <v>231.6403970932206</v>
      </c>
    </row>
    <row r="221" spans="1:9">
      <c r="A221">
        <v>55209</v>
      </c>
      <c r="B221" t="s">
        <v>1408</v>
      </c>
      <c r="C221">
        <v>63.944772417873196</v>
      </c>
      <c r="D221">
        <v>1</v>
      </c>
      <c r="E221">
        <v>10</v>
      </c>
      <c r="F221" s="56">
        <v>3197.2386208936596</v>
      </c>
      <c r="G221" s="38">
        <v>293.45633324831351</v>
      </c>
      <c r="H221" s="144">
        <v>3197.2386208936596</v>
      </c>
      <c r="I221" s="144">
        <v>293.45633324831351</v>
      </c>
    </row>
    <row r="222" spans="1:9">
      <c r="A222">
        <v>54209</v>
      </c>
      <c r="B222" t="s">
        <v>701</v>
      </c>
      <c r="C222">
        <v>56.869283983437782</v>
      </c>
      <c r="D222">
        <v>1</v>
      </c>
      <c r="E222">
        <v>10</v>
      </c>
      <c r="F222" s="56">
        <v>2843.464199171889</v>
      </c>
      <c r="G222" s="38">
        <v>260.98539288212487</v>
      </c>
      <c r="H222" s="144">
        <v>2843.464199171889</v>
      </c>
      <c r="I222" s="144">
        <v>260.98539288212487</v>
      </c>
    </row>
    <row r="223" spans="1:9">
      <c r="A223">
        <v>53209</v>
      </c>
      <c r="B223" t="s">
        <v>1409</v>
      </c>
      <c r="C223">
        <v>93.230539629233533</v>
      </c>
      <c r="D223">
        <v>1</v>
      </c>
      <c r="E223">
        <v>10</v>
      </c>
      <c r="F223" s="56">
        <v>4661.5269814616768</v>
      </c>
      <c r="G223" s="38">
        <v>427.85502664029059</v>
      </c>
      <c r="H223" s="144">
        <v>4661.5269814616768</v>
      </c>
      <c r="I223" s="144">
        <v>427.85502664029059</v>
      </c>
    </row>
    <row r="224" spans="1:9">
      <c r="A224">
        <v>10310</v>
      </c>
      <c r="B224" t="s">
        <v>515</v>
      </c>
      <c r="C224">
        <v>204.27730487383371</v>
      </c>
      <c r="D224">
        <v>1</v>
      </c>
      <c r="E224">
        <v>10</v>
      </c>
      <c r="F224" s="56">
        <v>10213.865243691685</v>
      </c>
      <c r="G224" s="38">
        <v>1799.9999999999998</v>
      </c>
      <c r="H224" s="144">
        <v>10213.865243691685</v>
      </c>
      <c r="I224" s="144">
        <v>1799.9999999999998</v>
      </c>
    </row>
    <row r="225" spans="1:9">
      <c r="A225">
        <v>20310</v>
      </c>
      <c r="B225" t="s">
        <v>1410</v>
      </c>
      <c r="C225">
        <v>204.27730487383371</v>
      </c>
      <c r="D225">
        <v>1</v>
      </c>
      <c r="E225">
        <v>10</v>
      </c>
      <c r="F225" s="56">
        <v>10213.865243691685</v>
      </c>
      <c r="G225" s="38">
        <v>1799.9999999999998</v>
      </c>
      <c r="H225" s="144">
        <v>10213.865243691685</v>
      </c>
      <c r="I225" s="144">
        <v>1799.9999999999998</v>
      </c>
    </row>
    <row r="226" spans="1:9">
      <c r="A226">
        <v>30310</v>
      </c>
      <c r="B226" t="s">
        <v>516</v>
      </c>
      <c r="C226">
        <v>204.27730487383371</v>
      </c>
      <c r="D226">
        <v>1</v>
      </c>
      <c r="E226">
        <v>10</v>
      </c>
      <c r="F226" s="56">
        <v>10213.865243691685</v>
      </c>
      <c r="G226" s="38">
        <v>1799.9999999999998</v>
      </c>
      <c r="H226" s="144">
        <v>10213.865243691685</v>
      </c>
      <c r="I226" s="144">
        <v>1799.9999999999998</v>
      </c>
    </row>
    <row r="227" spans="1:9">
      <c r="A227">
        <v>51310</v>
      </c>
      <c r="B227" t="s">
        <v>1411</v>
      </c>
      <c r="C227">
        <v>169.99514600973615</v>
      </c>
      <c r="D227">
        <v>1</v>
      </c>
      <c r="E227">
        <v>10</v>
      </c>
      <c r="F227" s="56">
        <v>8499.7573004868082</v>
      </c>
      <c r="G227" s="38">
        <v>1497.9209903249514</v>
      </c>
      <c r="H227" s="144">
        <v>8499.7573004868082</v>
      </c>
      <c r="I227" s="144">
        <v>1497.9209903249514</v>
      </c>
    </row>
    <row r="228" spans="1:9">
      <c r="A228">
        <v>52310</v>
      </c>
      <c r="B228" t="s">
        <v>517</v>
      </c>
      <c r="C228">
        <v>66.519050659876356</v>
      </c>
      <c r="D228">
        <v>1</v>
      </c>
      <c r="E228">
        <v>10</v>
      </c>
      <c r="F228" s="56">
        <v>3325.9525329938178</v>
      </c>
      <c r="G228" s="38">
        <v>586.13604316802616</v>
      </c>
      <c r="H228" s="144">
        <v>3325.9525329938178</v>
      </c>
      <c r="I228" s="144">
        <v>586.13604316802616</v>
      </c>
    </row>
    <row r="229" spans="1:9">
      <c r="A229">
        <v>55310</v>
      </c>
      <c r="B229" t="s">
        <v>1412</v>
      </c>
      <c r="C229">
        <v>83.806925926266004</v>
      </c>
      <c r="D229">
        <v>1</v>
      </c>
      <c r="E229">
        <v>10</v>
      </c>
      <c r="F229" s="56">
        <v>4190.3462963133006</v>
      </c>
      <c r="G229" s="38">
        <v>738.46904706545206</v>
      </c>
      <c r="H229" s="144">
        <v>4190.3462963133006</v>
      </c>
      <c r="I229" s="144">
        <v>738.46904706545206</v>
      </c>
    </row>
    <row r="230" spans="1:9">
      <c r="A230">
        <v>54310</v>
      </c>
      <c r="B230" t="s">
        <v>518</v>
      </c>
      <c r="C230">
        <v>81.615583227950395</v>
      </c>
      <c r="D230">
        <v>1</v>
      </c>
      <c r="E230">
        <v>10</v>
      </c>
      <c r="F230" s="56">
        <v>4080.7791613975196</v>
      </c>
      <c r="G230" s="38">
        <v>719.15991794117531</v>
      </c>
      <c r="H230" s="144">
        <v>4080.7791613975196</v>
      </c>
      <c r="I230" s="144">
        <v>719.15991794117531</v>
      </c>
    </row>
    <row r="231" spans="1:9">
      <c r="A231">
        <v>53310</v>
      </c>
      <c r="B231" t="s">
        <v>1413</v>
      </c>
      <c r="C231">
        <v>118.734465939394</v>
      </c>
      <c r="D231">
        <v>1</v>
      </c>
      <c r="E231">
        <v>10</v>
      </c>
      <c r="F231" s="56">
        <v>5936.7232969696997</v>
      </c>
      <c r="G231" s="38">
        <v>1046.2348659970266</v>
      </c>
      <c r="H231" s="144">
        <v>5936.7232969696997</v>
      </c>
      <c r="I231" s="144">
        <v>1046.2348659970266</v>
      </c>
    </row>
    <row r="232" spans="1:9">
      <c r="A232">
        <v>10411</v>
      </c>
      <c r="B232" t="s">
        <v>519</v>
      </c>
      <c r="C232">
        <v>239.28392224217919</v>
      </c>
      <c r="D232">
        <v>1</v>
      </c>
      <c r="E232">
        <v>10</v>
      </c>
      <c r="F232" s="56">
        <v>11964.196112108959</v>
      </c>
      <c r="G232" s="38">
        <v>3000</v>
      </c>
      <c r="H232" s="144">
        <v>11964.196112108959</v>
      </c>
      <c r="I232" s="144">
        <v>3000</v>
      </c>
    </row>
    <row r="233" spans="1:9">
      <c r="A233">
        <v>20411</v>
      </c>
      <c r="B233" t="s">
        <v>1414</v>
      </c>
      <c r="C233">
        <v>239.28392224217919</v>
      </c>
      <c r="D233">
        <v>1</v>
      </c>
      <c r="E233">
        <v>10</v>
      </c>
      <c r="F233" s="56">
        <v>11964.196112108959</v>
      </c>
      <c r="G233" s="38">
        <v>3000</v>
      </c>
      <c r="H233" s="144">
        <v>11964.196112108959</v>
      </c>
      <c r="I233" s="144">
        <v>3000</v>
      </c>
    </row>
    <row r="234" spans="1:9">
      <c r="A234">
        <v>30411</v>
      </c>
      <c r="B234" t="s">
        <v>520</v>
      </c>
      <c r="C234">
        <v>239.28392224217919</v>
      </c>
      <c r="D234">
        <v>1</v>
      </c>
      <c r="E234">
        <v>10</v>
      </c>
      <c r="F234" s="56">
        <v>11964.196112108959</v>
      </c>
      <c r="G234" s="38">
        <v>3000</v>
      </c>
      <c r="H234" s="144">
        <v>11964.196112108959</v>
      </c>
      <c r="I234" s="144">
        <v>3000</v>
      </c>
    </row>
    <row r="235" spans="1:9">
      <c r="A235">
        <v>51411</v>
      </c>
      <c r="B235" t="s">
        <v>1415</v>
      </c>
      <c r="C235">
        <v>195.42971897648789</v>
      </c>
      <c r="D235">
        <v>1</v>
      </c>
      <c r="E235">
        <v>10</v>
      </c>
      <c r="F235" s="56">
        <v>9771.4859488243947</v>
      </c>
      <c r="G235" s="38">
        <v>2450.1819906482501</v>
      </c>
      <c r="H235" s="144">
        <v>9771.4859488243947</v>
      </c>
      <c r="I235" s="144">
        <v>2450.1819906482501</v>
      </c>
    </row>
    <row r="236" spans="1:9">
      <c r="A236">
        <v>52411</v>
      </c>
      <c r="B236" t="s">
        <v>521</v>
      </c>
      <c r="C236">
        <v>78.861650760258101</v>
      </c>
      <c r="D236">
        <v>1</v>
      </c>
      <c r="E236">
        <v>10</v>
      </c>
      <c r="F236" s="56">
        <v>3943.0825380129049</v>
      </c>
      <c r="G236" s="38">
        <v>988.72063807666405</v>
      </c>
      <c r="H236" s="144">
        <v>3943.0825380129049</v>
      </c>
      <c r="I236" s="144">
        <v>988.72063807666405</v>
      </c>
    </row>
    <row r="237" spans="1:9">
      <c r="A237">
        <v>55411</v>
      </c>
      <c r="B237" t="s">
        <v>1416</v>
      </c>
      <c r="C237">
        <v>98.816193934757592</v>
      </c>
      <c r="D237">
        <v>1</v>
      </c>
      <c r="E237">
        <v>10</v>
      </c>
      <c r="F237" s="56">
        <v>4940.8096967378797</v>
      </c>
      <c r="G237" s="38">
        <v>1238.8988738835419</v>
      </c>
      <c r="H237" s="144">
        <v>4940.8096967378797</v>
      </c>
      <c r="I237" s="144">
        <v>1238.8988738835419</v>
      </c>
    </row>
    <row r="238" spans="1:9">
      <c r="A238">
        <v>54411</v>
      </c>
      <c r="B238" t="s">
        <v>522</v>
      </c>
      <c r="C238">
        <v>104.54546029034094</v>
      </c>
      <c r="D238">
        <v>1</v>
      </c>
      <c r="E238">
        <v>10</v>
      </c>
      <c r="F238" s="56">
        <v>5227.2730145170472</v>
      </c>
      <c r="G238" s="38">
        <v>1310.7290198695068</v>
      </c>
      <c r="H238" s="144">
        <v>5227.2730145170472</v>
      </c>
      <c r="I238" s="144">
        <v>1310.7290198695068</v>
      </c>
    </row>
    <row r="239" spans="1:9">
      <c r="A239">
        <v>53411</v>
      </c>
      <c r="B239" t="s">
        <v>1417</v>
      </c>
      <c r="C239">
        <v>135.94361454545458</v>
      </c>
      <c r="D239">
        <v>1</v>
      </c>
      <c r="E239">
        <v>10</v>
      </c>
      <c r="F239" s="56">
        <v>6797.1807272727292</v>
      </c>
      <c r="G239" s="38">
        <v>1704.3804690880913</v>
      </c>
      <c r="H239" s="144">
        <v>6797.1807272727292</v>
      </c>
      <c r="I239" s="144">
        <v>1704.3804690880913</v>
      </c>
    </row>
    <row r="240" spans="1:9">
      <c r="A240">
        <v>10112</v>
      </c>
      <c r="B240" t="s">
        <v>523</v>
      </c>
      <c r="C240">
        <v>218.16979073978447</v>
      </c>
      <c r="D240">
        <v>1</v>
      </c>
      <c r="E240">
        <v>10</v>
      </c>
      <c r="F240" s="56">
        <v>10908.489536989224</v>
      </c>
      <c r="G240" s="38">
        <v>539.99999999999989</v>
      </c>
      <c r="H240" s="144">
        <v>10908.489536989224</v>
      </c>
      <c r="I240" s="144">
        <v>539.99999999999989</v>
      </c>
    </row>
    <row r="241" spans="1:9">
      <c r="A241">
        <v>20112</v>
      </c>
      <c r="B241" t="s">
        <v>1418</v>
      </c>
      <c r="C241">
        <v>218.16979073978447</v>
      </c>
      <c r="D241">
        <v>1</v>
      </c>
      <c r="E241">
        <v>10</v>
      </c>
      <c r="F241" s="56">
        <v>10908.489536989224</v>
      </c>
      <c r="G241" s="38">
        <v>539.99999999999989</v>
      </c>
      <c r="H241" s="144">
        <v>10908.489536989224</v>
      </c>
      <c r="I241" s="144">
        <v>539.99999999999989</v>
      </c>
    </row>
    <row r="242" spans="1:9">
      <c r="A242">
        <v>30112</v>
      </c>
      <c r="B242" t="s">
        <v>524</v>
      </c>
      <c r="C242">
        <v>218.16979073978447</v>
      </c>
      <c r="D242">
        <v>1</v>
      </c>
      <c r="E242">
        <v>10</v>
      </c>
      <c r="F242" s="56">
        <v>10908.489536989224</v>
      </c>
      <c r="G242" s="38">
        <v>539.99999999999989</v>
      </c>
      <c r="H242" s="144">
        <v>10908.489536989224</v>
      </c>
      <c r="I242" s="144">
        <v>539.99999999999989</v>
      </c>
    </row>
    <row r="243" spans="1:9">
      <c r="A243">
        <v>51112</v>
      </c>
      <c r="B243" t="s">
        <v>1419</v>
      </c>
      <c r="C243">
        <v>188.21108728501315</v>
      </c>
      <c r="D243">
        <v>1</v>
      </c>
      <c r="E243">
        <v>10</v>
      </c>
      <c r="F243" s="56">
        <v>9410.5543642506582</v>
      </c>
      <c r="G243" s="38">
        <v>465.84812126958496</v>
      </c>
      <c r="H243" s="144">
        <v>9410.5543642506582</v>
      </c>
      <c r="I243" s="144">
        <v>465.84812126958496</v>
      </c>
    </row>
    <row r="244" spans="1:9">
      <c r="A244">
        <v>52112</v>
      </c>
      <c r="B244" t="s">
        <v>525</v>
      </c>
      <c r="C244">
        <v>69.344836609966222</v>
      </c>
      <c r="D244">
        <v>1</v>
      </c>
      <c r="E244">
        <v>10</v>
      </c>
      <c r="F244" s="56">
        <v>3467.2418304983112</v>
      </c>
      <c r="G244" s="38">
        <v>171.63793228387246</v>
      </c>
      <c r="H244" s="144">
        <v>3467.2418304983112</v>
      </c>
      <c r="I244" s="144">
        <v>171.63793228387246</v>
      </c>
    </row>
    <row r="245" spans="1:9">
      <c r="A245">
        <v>55112</v>
      </c>
      <c r="B245" t="s">
        <v>1420</v>
      </c>
      <c r="C245">
        <v>88.341086212634181</v>
      </c>
      <c r="D245">
        <v>1</v>
      </c>
      <c r="E245">
        <v>10</v>
      </c>
      <c r="F245" s="56">
        <v>4417.0543106317091</v>
      </c>
      <c r="G245" s="38">
        <v>218.65624197128281</v>
      </c>
      <c r="H245" s="144">
        <v>4417.0543106317091</v>
      </c>
      <c r="I245" s="144">
        <v>218.65624197128281</v>
      </c>
    </row>
    <row r="246" spans="1:9">
      <c r="A246">
        <v>54112</v>
      </c>
      <c r="B246" t="s">
        <v>526</v>
      </c>
      <c r="C246">
        <v>71.067671142640435</v>
      </c>
      <c r="D246">
        <v>1</v>
      </c>
      <c r="E246">
        <v>10</v>
      </c>
      <c r="F246" s="56">
        <v>3553.3835571320219</v>
      </c>
      <c r="G246" s="38">
        <v>175.90218282236108</v>
      </c>
      <c r="H246" s="144">
        <v>3553.3835571320219</v>
      </c>
      <c r="I246" s="144">
        <v>175.90218282236108</v>
      </c>
    </row>
    <row r="247" spans="1:9">
      <c r="A247">
        <v>53112</v>
      </c>
      <c r="B247" t="s">
        <v>1421</v>
      </c>
      <c r="C247">
        <v>132.458032684492</v>
      </c>
      <c r="D247">
        <v>1</v>
      </c>
      <c r="E247">
        <v>10</v>
      </c>
      <c r="F247" s="56">
        <v>6622.9016342245995</v>
      </c>
      <c r="G247" s="38">
        <v>327.85170397370814</v>
      </c>
      <c r="H247" s="144">
        <v>6622.9016342245995</v>
      </c>
      <c r="I247" s="144">
        <v>327.85170397370814</v>
      </c>
    </row>
    <row r="248" spans="1:9">
      <c r="A248">
        <v>10213</v>
      </c>
      <c r="B248" t="s">
        <v>419</v>
      </c>
      <c r="C248">
        <v>313.77912775807016</v>
      </c>
      <c r="D248">
        <v>1</v>
      </c>
      <c r="E248">
        <v>10</v>
      </c>
      <c r="F248" s="56">
        <v>15688.956387903509</v>
      </c>
      <c r="G248" s="38">
        <v>1080.0000000000002</v>
      </c>
      <c r="H248" s="144">
        <v>15688.956387903509</v>
      </c>
      <c r="I248" s="144">
        <v>1080.0000000000002</v>
      </c>
    </row>
    <row r="249" spans="1:9">
      <c r="A249">
        <v>20213</v>
      </c>
      <c r="B249" t="s">
        <v>1422</v>
      </c>
      <c r="C249">
        <v>313.77912775807016</v>
      </c>
      <c r="D249">
        <v>1</v>
      </c>
      <c r="E249">
        <v>10</v>
      </c>
      <c r="F249" s="56">
        <v>15688.956387903509</v>
      </c>
      <c r="G249" s="38">
        <v>1080.0000000000002</v>
      </c>
      <c r="H249" s="144">
        <v>15688.956387903509</v>
      </c>
      <c r="I249" s="144">
        <v>1080.0000000000002</v>
      </c>
    </row>
    <row r="250" spans="1:9">
      <c r="A250">
        <v>30213</v>
      </c>
      <c r="B250" t="s">
        <v>702</v>
      </c>
      <c r="C250">
        <v>313.77912775807016</v>
      </c>
      <c r="D250">
        <v>1</v>
      </c>
      <c r="E250">
        <v>10</v>
      </c>
      <c r="F250" s="56">
        <v>15688.956387903509</v>
      </c>
      <c r="G250" s="38">
        <v>1080.0000000000002</v>
      </c>
      <c r="H250" s="144">
        <v>15688.956387903509</v>
      </c>
      <c r="I250" s="144">
        <v>1080.0000000000002</v>
      </c>
    </row>
    <row r="251" spans="1:9">
      <c r="A251">
        <v>51213</v>
      </c>
      <c r="B251" t="s">
        <v>1423</v>
      </c>
      <c r="C251">
        <v>265.92651783093521</v>
      </c>
      <c r="D251">
        <v>1</v>
      </c>
      <c r="E251">
        <v>10</v>
      </c>
      <c r="F251" s="56">
        <v>13296.325891546761</v>
      </c>
      <c r="G251" s="38">
        <v>915.29554980102876</v>
      </c>
      <c r="H251" s="144">
        <v>13296.325891546761</v>
      </c>
      <c r="I251" s="144">
        <v>915.29554980102876</v>
      </c>
    </row>
    <row r="252" spans="1:9">
      <c r="A252">
        <v>52213</v>
      </c>
      <c r="B252" t="s">
        <v>703</v>
      </c>
      <c r="C252">
        <v>100.94989132422748</v>
      </c>
      <c r="D252">
        <v>1</v>
      </c>
      <c r="E252">
        <v>10</v>
      </c>
      <c r="F252" s="56">
        <v>5047.4945662113741</v>
      </c>
      <c r="G252" s="38">
        <v>347.46059563983096</v>
      </c>
      <c r="H252" s="144">
        <v>5047.4945662113741</v>
      </c>
      <c r="I252" s="144">
        <v>347.46059563983096</v>
      </c>
    </row>
    <row r="253" spans="1:9">
      <c r="A253">
        <v>55213</v>
      </c>
      <c r="B253" t="s">
        <v>1424</v>
      </c>
      <c r="C253">
        <v>127.88954483574639</v>
      </c>
      <c r="D253">
        <v>1</v>
      </c>
      <c r="E253">
        <v>10</v>
      </c>
      <c r="F253" s="56">
        <v>6394.4772417873191</v>
      </c>
      <c r="G253" s="38">
        <v>440.18449987247038</v>
      </c>
      <c r="H253" s="144">
        <v>6394.4772417873191</v>
      </c>
      <c r="I253" s="144">
        <v>440.18449987247038</v>
      </c>
    </row>
    <row r="254" spans="1:9">
      <c r="A254">
        <v>54213</v>
      </c>
      <c r="B254" t="s">
        <v>704</v>
      </c>
      <c r="C254">
        <v>113.73856796687556</v>
      </c>
      <c r="D254">
        <v>1</v>
      </c>
      <c r="E254">
        <v>10</v>
      </c>
      <c r="F254" s="56">
        <v>5686.9283983437781</v>
      </c>
      <c r="G254" s="38">
        <v>391.47808932318742</v>
      </c>
      <c r="H254" s="144">
        <v>5686.9283983437781</v>
      </c>
      <c r="I254" s="144">
        <v>391.47808932318742</v>
      </c>
    </row>
    <row r="255" spans="1:9">
      <c r="A255">
        <v>53213</v>
      </c>
      <c r="B255" t="s">
        <v>1425</v>
      </c>
      <c r="C255">
        <v>186.46107925846707</v>
      </c>
      <c r="D255">
        <v>1</v>
      </c>
      <c r="E255">
        <v>10</v>
      </c>
      <c r="F255" s="56">
        <v>9323.0539629233535</v>
      </c>
      <c r="G255" s="38">
        <v>641.78253996043611</v>
      </c>
      <c r="H255" s="144">
        <v>9323.0539629233535</v>
      </c>
      <c r="I255" s="144">
        <v>641.78253996043611</v>
      </c>
    </row>
    <row r="256" spans="1:9">
      <c r="A256">
        <v>10314</v>
      </c>
      <c r="B256" t="s">
        <v>420</v>
      </c>
      <c r="C256">
        <v>408.55460974766743</v>
      </c>
      <c r="D256">
        <v>1</v>
      </c>
      <c r="E256">
        <v>10</v>
      </c>
      <c r="F256" s="56">
        <v>20427.730487383371</v>
      </c>
      <c r="G256" s="38">
        <v>2700</v>
      </c>
      <c r="H256" s="144">
        <v>20427.730487383371</v>
      </c>
      <c r="I256" s="144">
        <v>2700</v>
      </c>
    </row>
    <row r="257" spans="1:9">
      <c r="A257">
        <v>20314</v>
      </c>
      <c r="B257" t="s">
        <v>1426</v>
      </c>
      <c r="C257">
        <v>408.55460974766743</v>
      </c>
      <c r="D257">
        <v>1</v>
      </c>
      <c r="E257">
        <v>10</v>
      </c>
      <c r="F257" s="56">
        <v>20427.730487383371</v>
      </c>
      <c r="G257" s="38">
        <v>2700</v>
      </c>
      <c r="H257" s="144">
        <v>20427.730487383371</v>
      </c>
      <c r="I257" s="144">
        <v>2700</v>
      </c>
    </row>
    <row r="258" spans="1:9">
      <c r="A258">
        <v>30314</v>
      </c>
      <c r="B258" t="s">
        <v>705</v>
      </c>
      <c r="C258">
        <v>408.55460974766743</v>
      </c>
      <c r="D258">
        <v>1</v>
      </c>
      <c r="E258">
        <v>10</v>
      </c>
      <c r="F258" s="56">
        <v>20427.730487383371</v>
      </c>
      <c r="G258" s="38">
        <v>2700</v>
      </c>
      <c r="H258" s="144">
        <v>20427.730487383371</v>
      </c>
      <c r="I258" s="144">
        <v>2700</v>
      </c>
    </row>
    <row r="259" spans="1:9">
      <c r="A259">
        <v>51314</v>
      </c>
      <c r="B259" t="s">
        <v>1427</v>
      </c>
      <c r="C259">
        <v>339.99029201947229</v>
      </c>
      <c r="D259">
        <v>1</v>
      </c>
      <c r="E259">
        <v>10</v>
      </c>
      <c r="F259" s="56">
        <v>16999.514600973616</v>
      </c>
      <c r="G259" s="38">
        <v>2246.8814854874277</v>
      </c>
      <c r="H259" s="144">
        <v>16999.514600973616</v>
      </c>
      <c r="I259" s="144">
        <v>2246.8814854874277</v>
      </c>
    </row>
    <row r="260" spans="1:9">
      <c r="A260">
        <v>52314</v>
      </c>
      <c r="B260" t="s">
        <v>706</v>
      </c>
      <c r="C260">
        <v>133.03810131975271</v>
      </c>
      <c r="D260">
        <v>1</v>
      </c>
      <c r="E260">
        <v>10</v>
      </c>
      <c r="F260" s="56">
        <v>6651.9050659876357</v>
      </c>
      <c r="G260" s="38">
        <v>879.20406475203936</v>
      </c>
      <c r="H260" s="144">
        <v>6651.9050659876357</v>
      </c>
      <c r="I260" s="144">
        <v>879.20406475203936</v>
      </c>
    </row>
    <row r="261" spans="1:9">
      <c r="A261">
        <v>55314</v>
      </c>
      <c r="B261" t="s">
        <v>1428</v>
      </c>
      <c r="C261">
        <v>167.61385185253201</v>
      </c>
      <c r="D261">
        <v>1</v>
      </c>
      <c r="E261">
        <v>10</v>
      </c>
      <c r="F261" s="56">
        <v>8380.6925926266013</v>
      </c>
      <c r="G261" s="38">
        <v>1107.7035705981784</v>
      </c>
      <c r="H261" s="144">
        <v>8380.6925926266013</v>
      </c>
      <c r="I261" s="144">
        <v>1107.7035705981784</v>
      </c>
    </row>
    <row r="262" spans="1:9">
      <c r="A262">
        <v>54314</v>
      </c>
      <c r="B262" t="s">
        <v>707</v>
      </c>
      <c r="C262">
        <v>163.23116645590079</v>
      </c>
      <c r="D262">
        <v>1</v>
      </c>
      <c r="E262">
        <v>10</v>
      </c>
      <c r="F262" s="56">
        <v>8161.5583227950392</v>
      </c>
      <c r="G262" s="38">
        <v>1078.7398769117631</v>
      </c>
      <c r="H262" s="144">
        <v>8161.5583227950392</v>
      </c>
      <c r="I262" s="144">
        <v>1078.7398769117631</v>
      </c>
    </row>
    <row r="263" spans="1:9">
      <c r="A263">
        <v>53314</v>
      </c>
      <c r="B263" t="s">
        <v>1429</v>
      </c>
      <c r="C263">
        <v>237.468931878788</v>
      </c>
      <c r="D263">
        <v>1</v>
      </c>
      <c r="E263">
        <v>10</v>
      </c>
      <c r="F263" s="56">
        <v>11873.446593939399</v>
      </c>
      <c r="G263" s="38">
        <v>1569.3522989955404</v>
      </c>
      <c r="H263" s="144">
        <v>11873.446593939399</v>
      </c>
      <c r="I263" s="144">
        <v>1569.3522989955404</v>
      </c>
    </row>
    <row r="264" spans="1:9">
      <c r="A264">
        <v>10415</v>
      </c>
      <c r="B264" t="s">
        <v>527</v>
      </c>
      <c r="C264">
        <v>478.56784448435837</v>
      </c>
      <c r="D264">
        <v>1</v>
      </c>
      <c r="E264">
        <v>10</v>
      </c>
      <c r="F264" s="56">
        <v>23928.392224217918</v>
      </c>
      <c r="G264" s="38">
        <v>4500</v>
      </c>
      <c r="H264" s="144">
        <v>23928.392224217918</v>
      </c>
      <c r="I264" s="144">
        <v>4500</v>
      </c>
    </row>
    <row r="265" spans="1:9">
      <c r="A265">
        <v>20415</v>
      </c>
      <c r="B265" t="s">
        <v>1430</v>
      </c>
      <c r="C265">
        <v>478.56784448435837</v>
      </c>
      <c r="D265">
        <v>1</v>
      </c>
      <c r="E265">
        <v>10</v>
      </c>
      <c r="F265" s="56">
        <v>23928.392224217918</v>
      </c>
      <c r="G265" s="38">
        <v>4500</v>
      </c>
      <c r="H265" s="144">
        <v>23928.392224217918</v>
      </c>
      <c r="I265" s="144">
        <v>4500</v>
      </c>
    </row>
    <row r="266" spans="1:9">
      <c r="A266">
        <v>30415</v>
      </c>
      <c r="B266" t="s">
        <v>528</v>
      </c>
      <c r="C266">
        <v>478.56784448435837</v>
      </c>
      <c r="D266">
        <v>1</v>
      </c>
      <c r="E266">
        <v>10</v>
      </c>
      <c r="F266" s="56">
        <v>23928.392224217918</v>
      </c>
      <c r="G266" s="38">
        <v>4500</v>
      </c>
      <c r="H266" s="144">
        <v>23928.392224217918</v>
      </c>
      <c r="I266" s="144">
        <v>4500</v>
      </c>
    </row>
    <row r="267" spans="1:9">
      <c r="A267">
        <v>51415</v>
      </c>
      <c r="B267" t="s">
        <v>1431</v>
      </c>
      <c r="C267">
        <v>390.85943795297578</v>
      </c>
      <c r="D267">
        <v>1</v>
      </c>
      <c r="E267">
        <v>10</v>
      </c>
      <c r="F267" s="56">
        <v>19542.971897648789</v>
      </c>
      <c r="G267" s="38">
        <v>3675.272985972375</v>
      </c>
      <c r="H267" s="144">
        <v>19542.971897648789</v>
      </c>
      <c r="I267" s="144">
        <v>3675.272985972375</v>
      </c>
    </row>
    <row r="268" spans="1:9">
      <c r="A268">
        <v>52415</v>
      </c>
      <c r="B268" t="s">
        <v>529</v>
      </c>
      <c r="C268">
        <v>157.7233015205162</v>
      </c>
      <c r="D268">
        <v>1</v>
      </c>
      <c r="E268">
        <v>10</v>
      </c>
      <c r="F268" s="56">
        <v>7886.1650760258099</v>
      </c>
      <c r="G268" s="38">
        <v>1483.0809571149962</v>
      </c>
      <c r="H268" s="144">
        <v>7886.1650760258099</v>
      </c>
      <c r="I268" s="144">
        <v>1483.0809571149962</v>
      </c>
    </row>
    <row r="269" spans="1:9">
      <c r="A269">
        <v>55415</v>
      </c>
      <c r="B269" t="s">
        <v>1432</v>
      </c>
      <c r="C269">
        <v>197.63238786951518</v>
      </c>
      <c r="D269">
        <v>1</v>
      </c>
      <c r="E269">
        <v>10</v>
      </c>
      <c r="F269" s="56">
        <v>9881.6193934757594</v>
      </c>
      <c r="G269" s="38">
        <v>1858.3483108253126</v>
      </c>
      <c r="H269" s="144">
        <v>9881.6193934757594</v>
      </c>
      <c r="I269" s="144">
        <v>1858.3483108253126</v>
      </c>
    </row>
    <row r="270" spans="1:9">
      <c r="A270">
        <v>54415</v>
      </c>
      <c r="B270" t="s">
        <v>530</v>
      </c>
      <c r="C270">
        <v>209.09092058068188</v>
      </c>
      <c r="D270">
        <v>1</v>
      </c>
      <c r="E270">
        <v>10</v>
      </c>
      <c r="F270" s="56">
        <v>10454.546029034094</v>
      </c>
      <c r="G270" s="38">
        <v>1966.0935298042602</v>
      </c>
      <c r="H270" s="144">
        <v>10454.546029034094</v>
      </c>
      <c r="I270" s="144">
        <v>1966.0935298042602</v>
      </c>
    </row>
    <row r="271" spans="1:9">
      <c r="A271">
        <v>53415</v>
      </c>
      <c r="B271" t="s">
        <v>1433</v>
      </c>
      <c r="C271">
        <v>271.88722909090916</v>
      </c>
      <c r="D271">
        <v>1</v>
      </c>
      <c r="E271">
        <v>10</v>
      </c>
      <c r="F271" s="56">
        <v>13594.361454545458</v>
      </c>
      <c r="G271" s="38">
        <v>2556.5707036321369</v>
      </c>
      <c r="H271" s="144">
        <v>13594.361454545458</v>
      </c>
      <c r="I271" s="144">
        <v>2556.5707036321369</v>
      </c>
    </row>
    <row r="272" spans="1:9">
      <c r="A272">
        <v>10116</v>
      </c>
      <c r="B272" t="s">
        <v>531</v>
      </c>
      <c r="C272">
        <v>327.2546861096767</v>
      </c>
      <c r="D272">
        <v>1</v>
      </c>
      <c r="E272">
        <v>10</v>
      </c>
      <c r="F272" s="56">
        <v>16362.734305483835</v>
      </c>
      <c r="G272" s="38">
        <v>719.99999999999989</v>
      </c>
      <c r="H272" s="144">
        <v>16362.734305483835</v>
      </c>
      <c r="I272" s="144">
        <v>719.99999999999989</v>
      </c>
    </row>
    <row r="273" spans="1:9">
      <c r="A273">
        <v>20116</v>
      </c>
      <c r="B273" t="s">
        <v>1434</v>
      </c>
      <c r="C273">
        <v>327.2546861096767</v>
      </c>
      <c r="D273">
        <v>1</v>
      </c>
      <c r="E273">
        <v>10</v>
      </c>
      <c r="F273" s="56">
        <v>16362.734305483835</v>
      </c>
      <c r="G273" s="38">
        <v>719.99999999999989</v>
      </c>
      <c r="H273" s="144">
        <v>16362.734305483835</v>
      </c>
      <c r="I273" s="144">
        <v>719.99999999999989</v>
      </c>
    </row>
    <row r="274" spans="1:9">
      <c r="A274">
        <v>30116</v>
      </c>
      <c r="B274" t="s">
        <v>532</v>
      </c>
      <c r="C274">
        <v>327.2546861096767</v>
      </c>
      <c r="D274">
        <v>1</v>
      </c>
      <c r="E274">
        <v>10</v>
      </c>
      <c r="F274" s="56">
        <v>16362.734305483835</v>
      </c>
      <c r="G274" s="38">
        <v>719.99999999999989</v>
      </c>
      <c r="H274" s="144">
        <v>16362.734305483835</v>
      </c>
      <c r="I274" s="144">
        <v>719.99999999999989</v>
      </c>
    </row>
    <row r="275" spans="1:9">
      <c r="A275">
        <v>51116</v>
      </c>
      <c r="B275" t="s">
        <v>1435</v>
      </c>
      <c r="C275">
        <v>282.31663092751972</v>
      </c>
      <c r="D275">
        <v>1</v>
      </c>
      <c r="E275">
        <v>10</v>
      </c>
      <c r="F275" s="56">
        <v>14115.831546375986</v>
      </c>
      <c r="G275" s="38">
        <v>621.13082835944658</v>
      </c>
      <c r="H275" s="144">
        <v>14115.831546375986</v>
      </c>
      <c r="I275" s="144">
        <v>621.13082835944658</v>
      </c>
    </row>
    <row r="276" spans="1:9">
      <c r="A276">
        <v>52116</v>
      </c>
      <c r="B276" t="s">
        <v>533</v>
      </c>
      <c r="C276">
        <v>104.01725491494935</v>
      </c>
      <c r="D276">
        <v>1</v>
      </c>
      <c r="E276">
        <v>10</v>
      </c>
      <c r="F276" s="56">
        <v>5200.8627457474677</v>
      </c>
      <c r="G276" s="38">
        <v>228.8505763784967</v>
      </c>
      <c r="H276" s="144">
        <v>5200.8627457474677</v>
      </c>
      <c r="I276" s="144">
        <v>228.8505763784967</v>
      </c>
    </row>
    <row r="277" spans="1:9">
      <c r="A277">
        <v>55116</v>
      </c>
      <c r="B277" t="s">
        <v>1436</v>
      </c>
      <c r="C277">
        <v>132.51162931895126</v>
      </c>
      <c r="D277">
        <v>1</v>
      </c>
      <c r="E277">
        <v>10</v>
      </c>
      <c r="F277" s="56">
        <v>6625.5814659475636</v>
      </c>
      <c r="G277" s="38">
        <v>291.54165596171043</v>
      </c>
      <c r="H277" s="144">
        <v>6625.5814659475636</v>
      </c>
      <c r="I277" s="144">
        <v>291.54165596171043</v>
      </c>
    </row>
    <row r="278" spans="1:9">
      <c r="A278">
        <v>54116</v>
      </c>
      <c r="B278" t="s">
        <v>534</v>
      </c>
      <c r="C278">
        <v>106.60150671396066</v>
      </c>
      <c r="D278">
        <v>1</v>
      </c>
      <c r="E278">
        <v>10</v>
      </c>
      <c r="F278" s="56">
        <v>5330.0753356980331</v>
      </c>
      <c r="G278" s="38">
        <v>234.53624376314815</v>
      </c>
      <c r="H278" s="144">
        <v>5330.0753356980331</v>
      </c>
      <c r="I278" s="144">
        <v>234.53624376314815</v>
      </c>
    </row>
    <row r="279" spans="1:9">
      <c r="A279">
        <v>53116</v>
      </c>
      <c r="B279" t="s">
        <v>1437</v>
      </c>
      <c r="C279">
        <v>198.68704902673798</v>
      </c>
      <c r="D279">
        <v>1</v>
      </c>
      <c r="E279">
        <v>10</v>
      </c>
      <c r="F279" s="56">
        <v>9934.3524513368993</v>
      </c>
      <c r="G279" s="38">
        <v>437.13560529827754</v>
      </c>
      <c r="H279" s="144">
        <v>9934.3524513368993</v>
      </c>
      <c r="I279" s="144">
        <v>437.13560529827754</v>
      </c>
    </row>
    <row r="280" spans="1:9">
      <c r="A280">
        <v>10217</v>
      </c>
      <c r="B280" t="s">
        <v>708</v>
      </c>
      <c r="C280">
        <v>470.66869163710521</v>
      </c>
      <c r="D280">
        <v>1</v>
      </c>
      <c r="E280">
        <v>10</v>
      </c>
      <c r="F280" s="56">
        <v>23533.434581855261</v>
      </c>
      <c r="G280" s="38">
        <v>1440</v>
      </c>
      <c r="H280" s="144">
        <v>23533.434581855261</v>
      </c>
      <c r="I280" s="144">
        <v>1440</v>
      </c>
    </row>
    <row r="281" spans="1:9">
      <c r="A281">
        <v>20217</v>
      </c>
      <c r="B281" t="s">
        <v>1438</v>
      </c>
      <c r="C281">
        <v>470.66869163710521</v>
      </c>
      <c r="D281">
        <v>1</v>
      </c>
      <c r="E281">
        <v>10</v>
      </c>
      <c r="F281" s="56">
        <v>23533.434581855261</v>
      </c>
      <c r="G281" s="38">
        <v>1440</v>
      </c>
      <c r="H281" s="144">
        <v>23533.434581855261</v>
      </c>
      <c r="I281" s="144">
        <v>1440</v>
      </c>
    </row>
    <row r="282" spans="1:9">
      <c r="A282">
        <v>30217</v>
      </c>
      <c r="B282" t="s">
        <v>709</v>
      </c>
      <c r="C282">
        <v>470.66869163710521</v>
      </c>
      <c r="D282">
        <v>1</v>
      </c>
      <c r="E282">
        <v>10</v>
      </c>
      <c r="F282" s="56">
        <v>23533.434581855261</v>
      </c>
      <c r="G282" s="38">
        <v>1440</v>
      </c>
      <c r="H282" s="144">
        <v>23533.434581855261</v>
      </c>
      <c r="I282" s="144">
        <v>1440</v>
      </c>
    </row>
    <row r="283" spans="1:9">
      <c r="A283">
        <v>51217</v>
      </c>
      <c r="B283" t="s">
        <v>1439</v>
      </c>
      <c r="C283">
        <v>398.88977674640279</v>
      </c>
      <c r="D283">
        <v>1</v>
      </c>
      <c r="E283">
        <v>10</v>
      </c>
      <c r="F283" s="56">
        <v>19944.488837320139</v>
      </c>
      <c r="G283" s="38">
        <v>1220.3940664013714</v>
      </c>
      <c r="H283" s="144">
        <v>19944.488837320139</v>
      </c>
      <c r="I283" s="144">
        <v>1220.3940664013714</v>
      </c>
    </row>
    <row r="284" spans="1:9">
      <c r="A284">
        <v>52217</v>
      </c>
      <c r="B284" t="s">
        <v>710</v>
      </c>
      <c r="C284">
        <v>151.42483698634121</v>
      </c>
      <c r="D284">
        <v>1</v>
      </c>
      <c r="E284">
        <v>10</v>
      </c>
      <c r="F284" s="56">
        <v>7571.2418493170599</v>
      </c>
      <c r="G284" s="38">
        <v>463.2807941864412</v>
      </c>
      <c r="H284" s="144">
        <v>7571.2418493170599</v>
      </c>
      <c r="I284" s="144">
        <v>463.2807941864412</v>
      </c>
    </row>
    <row r="285" spans="1:9">
      <c r="A285">
        <v>55217</v>
      </c>
      <c r="B285" t="s">
        <v>1440</v>
      </c>
      <c r="C285">
        <v>191.83431725361959</v>
      </c>
      <c r="D285">
        <v>1</v>
      </c>
      <c r="E285">
        <v>10</v>
      </c>
      <c r="F285" s="56">
        <v>9591.7158626809796</v>
      </c>
      <c r="G285" s="38">
        <v>586.91266649662725</v>
      </c>
      <c r="H285" s="144">
        <v>9591.7158626809796</v>
      </c>
      <c r="I285" s="144">
        <v>586.91266649662725</v>
      </c>
    </row>
    <row r="286" spans="1:9">
      <c r="A286">
        <v>54217</v>
      </c>
      <c r="B286" t="s">
        <v>711</v>
      </c>
      <c r="C286">
        <v>170.60785195031335</v>
      </c>
      <c r="D286">
        <v>1</v>
      </c>
      <c r="E286">
        <v>10</v>
      </c>
      <c r="F286" s="56">
        <v>8530.3925975156671</v>
      </c>
      <c r="G286" s="38">
        <v>521.97078576424985</v>
      </c>
      <c r="H286" s="144">
        <v>8530.3925975156671</v>
      </c>
      <c r="I286" s="144">
        <v>521.97078576424985</v>
      </c>
    </row>
    <row r="287" spans="1:9">
      <c r="A287">
        <v>53217</v>
      </c>
      <c r="B287" t="s">
        <v>1441</v>
      </c>
      <c r="C287">
        <v>279.6916188877006</v>
      </c>
      <c r="D287">
        <v>1</v>
      </c>
      <c r="E287">
        <v>10</v>
      </c>
      <c r="F287" s="56">
        <v>13984.58094438503</v>
      </c>
      <c r="G287" s="38">
        <v>855.71005328058141</v>
      </c>
      <c r="H287" s="144">
        <v>13984.58094438503</v>
      </c>
      <c r="I287" s="144">
        <v>855.71005328058141</v>
      </c>
    </row>
    <row r="288" spans="1:9">
      <c r="A288">
        <v>10318</v>
      </c>
      <c r="B288" t="s">
        <v>421</v>
      </c>
      <c r="C288">
        <v>612.83191462150103</v>
      </c>
      <c r="D288">
        <v>1</v>
      </c>
      <c r="E288">
        <v>10</v>
      </c>
      <c r="F288" s="56">
        <v>30641.595731075053</v>
      </c>
      <c r="G288" s="38">
        <v>3599.9999999999995</v>
      </c>
      <c r="H288" s="144">
        <v>30641.595731075053</v>
      </c>
      <c r="I288" s="144">
        <v>3599.9999999999995</v>
      </c>
    </row>
    <row r="289" spans="1:9">
      <c r="A289">
        <v>20318</v>
      </c>
      <c r="B289" t="s">
        <v>1442</v>
      </c>
      <c r="C289">
        <v>612.83191462150103</v>
      </c>
      <c r="D289">
        <v>1</v>
      </c>
      <c r="E289">
        <v>10</v>
      </c>
      <c r="F289" s="56">
        <v>30641.595731075053</v>
      </c>
      <c r="G289" s="38">
        <v>3599.9999999999995</v>
      </c>
      <c r="H289" s="144">
        <v>30641.595731075053</v>
      </c>
      <c r="I289" s="144">
        <v>3599.9999999999995</v>
      </c>
    </row>
    <row r="290" spans="1:9">
      <c r="A290">
        <v>30318</v>
      </c>
      <c r="B290" t="s">
        <v>712</v>
      </c>
      <c r="C290">
        <v>612.83191462150103</v>
      </c>
      <c r="D290">
        <v>1</v>
      </c>
      <c r="E290">
        <v>10</v>
      </c>
      <c r="F290" s="56">
        <v>30641.595731075053</v>
      </c>
      <c r="G290" s="38">
        <v>3599.9999999999995</v>
      </c>
      <c r="H290" s="144">
        <v>30641.595731075053</v>
      </c>
      <c r="I290" s="144">
        <v>3599.9999999999995</v>
      </c>
    </row>
    <row r="291" spans="1:9">
      <c r="A291">
        <v>51318</v>
      </c>
      <c r="B291" t="s">
        <v>1443</v>
      </c>
      <c r="C291">
        <v>509.98543802920847</v>
      </c>
      <c r="D291">
        <v>1</v>
      </c>
      <c r="E291">
        <v>10</v>
      </c>
      <c r="F291" s="56">
        <v>25499.271901460423</v>
      </c>
      <c r="G291" s="38">
        <v>2995.8419806499032</v>
      </c>
      <c r="H291" s="144">
        <v>25499.271901460423</v>
      </c>
      <c r="I291" s="144">
        <v>2995.8419806499032</v>
      </c>
    </row>
    <row r="292" spans="1:9">
      <c r="A292">
        <v>52318</v>
      </c>
      <c r="B292" t="s">
        <v>713</v>
      </c>
      <c r="C292">
        <v>199.55715197962905</v>
      </c>
      <c r="D292">
        <v>1</v>
      </c>
      <c r="E292">
        <v>10</v>
      </c>
      <c r="F292" s="56">
        <v>9977.8575989814526</v>
      </c>
      <c r="G292" s="38">
        <v>1172.2720863360523</v>
      </c>
      <c r="H292" s="144">
        <v>9977.8575989814526</v>
      </c>
      <c r="I292" s="144">
        <v>1172.2720863360523</v>
      </c>
    </row>
    <row r="293" spans="1:9">
      <c r="A293">
        <v>55318</v>
      </c>
      <c r="B293" t="s">
        <v>1444</v>
      </c>
      <c r="C293">
        <v>251.42077777879794</v>
      </c>
      <c r="D293">
        <v>1</v>
      </c>
      <c r="E293">
        <v>10</v>
      </c>
      <c r="F293" s="56">
        <v>12571.038888939896</v>
      </c>
      <c r="G293" s="38">
        <v>1476.9380941309037</v>
      </c>
      <c r="H293" s="144">
        <v>12571.038888939896</v>
      </c>
      <c r="I293" s="144">
        <v>1476.9380941309037</v>
      </c>
    </row>
    <row r="294" spans="1:9">
      <c r="A294">
        <v>54318</v>
      </c>
      <c r="B294" t="s">
        <v>714</v>
      </c>
      <c r="C294">
        <v>244.8467496838511</v>
      </c>
      <c r="D294">
        <v>1</v>
      </c>
      <c r="E294">
        <v>10</v>
      </c>
      <c r="F294" s="56">
        <v>12242.337484192554</v>
      </c>
      <c r="G294" s="38">
        <v>1438.3198358823502</v>
      </c>
      <c r="H294" s="144">
        <v>12242.337484192554</v>
      </c>
      <c r="I294" s="144">
        <v>1438.3198358823502</v>
      </c>
    </row>
    <row r="295" spans="1:9">
      <c r="A295">
        <v>53318</v>
      </c>
      <c r="B295" t="s">
        <v>1445</v>
      </c>
      <c r="C295">
        <v>356.20339781818188</v>
      </c>
      <c r="D295">
        <v>1</v>
      </c>
      <c r="E295">
        <v>10</v>
      </c>
      <c r="F295" s="56">
        <v>17810.169890909096</v>
      </c>
      <c r="G295" s="38">
        <v>2092.4697319940528</v>
      </c>
      <c r="H295" s="144">
        <v>17810.169890909096</v>
      </c>
      <c r="I295" s="144">
        <v>2092.4697319940528</v>
      </c>
    </row>
    <row r="296" spans="1:9">
      <c r="A296">
        <v>10419</v>
      </c>
      <c r="B296" t="s">
        <v>422</v>
      </c>
      <c r="C296">
        <v>717.85176672653756</v>
      </c>
      <c r="D296">
        <v>1</v>
      </c>
      <c r="E296">
        <v>10</v>
      </c>
      <c r="F296" s="56">
        <v>35892.58833632688</v>
      </c>
      <c r="G296" s="38">
        <v>6000</v>
      </c>
      <c r="H296" s="144">
        <v>35892.58833632688</v>
      </c>
      <c r="I296" s="144">
        <v>6000</v>
      </c>
    </row>
    <row r="297" spans="1:9">
      <c r="A297">
        <v>20419</v>
      </c>
      <c r="B297" t="s">
        <v>1446</v>
      </c>
      <c r="C297">
        <v>717.85176672653756</v>
      </c>
      <c r="D297">
        <v>1</v>
      </c>
      <c r="E297">
        <v>10</v>
      </c>
      <c r="F297" s="56">
        <v>35892.58833632688</v>
      </c>
      <c r="G297" s="38">
        <v>6000</v>
      </c>
      <c r="H297" s="144">
        <v>35892.58833632688</v>
      </c>
      <c r="I297" s="144">
        <v>6000</v>
      </c>
    </row>
    <row r="298" spans="1:9">
      <c r="A298">
        <v>30419</v>
      </c>
      <c r="B298" t="s">
        <v>715</v>
      </c>
      <c r="C298">
        <v>717.85176672653756</v>
      </c>
      <c r="D298">
        <v>1</v>
      </c>
      <c r="E298">
        <v>10</v>
      </c>
      <c r="F298" s="56">
        <v>35892.58833632688</v>
      </c>
      <c r="G298" s="38">
        <v>6000</v>
      </c>
      <c r="H298" s="144">
        <v>35892.58833632688</v>
      </c>
      <c r="I298" s="144">
        <v>6000</v>
      </c>
    </row>
    <row r="299" spans="1:9">
      <c r="A299">
        <v>51419</v>
      </c>
      <c r="B299" t="s">
        <v>1447</v>
      </c>
      <c r="C299">
        <v>586.28915692946362</v>
      </c>
      <c r="D299">
        <v>1</v>
      </c>
      <c r="E299">
        <v>10</v>
      </c>
      <c r="F299" s="56">
        <v>29314.457846473182</v>
      </c>
      <c r="G299" s="38">
        <v>4900.3639812964993</v>
      </c>
      <c r="H299" s="144">
        <v>29314.457846473182</v>
      </c>
      <c r="I299" s="144">
        <v>4900.3639812964993</v>
      </c>
    </row>
    <row r="300" spans="1:9">
      <c r="A300">
        <v>52419</v>
      </c>
      <c r="B300" t="s">
        <v>716</v>
      </c>
      <c r="C300">
        <v>236.58495228077425</v>
      </c>
      <c r="D300">
        <v>1</v>
      </c>
      <c r="E300">
        <v>10</v>
      </c>
      <c r="F300" s="56">
        <v>11829.247614038712</v>
      </c>
      <c r="G300" s="38">
        <v>1977.4412761533276</v>
      </c>
      <c r="H300" s="144">
        <v>11829.247614038712</v>
      </c>
      <c r="I300" s="144">
        <v>1977.4412761533276</v>
      </c>
    </row>
    <row r="301" spans="1:9">
      <c r="A301">
        <v>55419</v>
      </c>
      <c r="B301" t="s">
        <v>1448</v>
      </c>
      <c r="C301">
        <v>296.44858180427275</v>
      </c>
      <c r="D301">
        <v>1</v>
      </c>
      <c r="E301">
        <v>10</v>
      </c>
      <c r="F301" s="56">
        <v>14822.429090213638</v>
      </c>
      <c r="G301" s="38">
        <v>2477.7977477670834</v>
      </c>
      <c r="H301" s="144">
        <v>14822.429090213638</v>
      </c>
      <c r="I301" s="144">
        <v>2477.7977477670834</v>
      </c>
    </row>
    <row r="302" spans="1:9">
      <c r="A302">
        <v>54419</v>
      </c>
      <c r="B302" t="s">
        <v>717</v>
      </c>
      <c r="C302">
        <v>313.63638087102282</v>
      </c>
      <c r="D302">
        <v>1</v>
      </c>
      <c r="E302">
        <v>10</v>
      </c>
      <c r="F302" s="56">
        <v>15681.819043551141</v>
      </c>
      <c r="G302" s="38">
        <v>2621.4580397390137</v>
      </c>
      <c r="H302" s="144">
        <v>15681.819043551141</v>
      </c>
      <c r="I302" s="144">
        <v>2621.4580397390137</v>
      </c>
    </row>
    <row r="303" spans="1:9">
      <c r="A303">
        <v>53419</v>
      </c>
      <c r="B303" t="s">
        <v>1449</v>
      </c>
      <c r="C303">
        <v>407.83084363636368</v>
      </c>
      <c r="D303">
        <v>1</v>
      </c>
      <c r="E303">
        <v>10</v>
      </c>
      <c r="F303" s="56">
        <v>20391.542181818186</v>
      </c>
      <c r="G303" s="38">
        <v>3408.7609381761822</v>
      </c>
      <c r="H303" s="144">
        <v>20391.542181818186</v>
      </c>
      <c r="I303" s="144">
        <v>3408.7609381761822</v>
      </c>
    </row>
    <row r="304" spans="1:9">
      <c r="A304">
        <v>10120</v>
      </c>
      <c r="B304" t="s">
        <v>535</v>
      </c>
      <c r="C304">
        <v>436.33958147956895</v>
      </c>
      <c r="D304">
        <v>1</v>
      </c>
      <c r="E304">
        <v>10</v>
      </c>
      <c r="F304" s="56">
        <v>21816.979073978448</v>
      </c>
      <c r="G304" s="38">
        <v>840</v>
      </c>
      <c r="H304" s="144">
        <v>21816.979073978448</v>
      </c>
      <c r="I304" s="144">
        <v>840</v>
      </c>
    </row>
    <row r="305" spans="1:9">
      <c r="A305">
        <v>20120</v>
      </c>
      <c r="B305" t="s">
        <v>1450</v>
      </c>
      <c r="C305">
        <v>436.33958147956895</v>
      </c>
      <c r="D305">
        <v>1</v>
      </c>
      <c r="E305">
        <v>10</v>
      </c>
      <c r="F305" s="56">
        <v>21816.979073978448</v>
      </c>
      <c r="G305" s="38">
        <v>840</v>
      </c>
      <c r="H305" s="144">
        <v>21816.979073978448</v>
      </c>
      <c r="I305" s="144">
        <v>840</v>
      </c>
    </row>
    <row r="306" spans="1:9">
      <c r="A306">
        <v>30120</v>
      </c>
      <c r="B306" t="s">
        <v>536</v>
      </c>
      <c r="C306">
        <v>436.33958147956895</v>
      </c>
      <c r="D306">
        <v>1</v>
      </c>
      <c r="E306">
        <v>10</v>
      </c>
      <c r="F306" s="56">
        <v>21816.979073978448</v>
      </c>
      <c r="G306" s="38">
        <v>840</v>
      </c>
      <c r="H306" s="144">
        <v>21816.979073978448</v>
      </c>
      <c r="I306" s="144">
        <v>840</v>
      </c>
    </row>
    <row r="307" spans="1:9">
      <c r="A307">
        <v>51120</v>
      </c>
      <c r="B307" t="s">
        <v>1451</v>
      </c>
      <c r="C307">
        <v>376.4221745700263</v>
      </c>
      <c r="D307">
        <v>1</v>
      </c>
      <c r="E307">
        <v>10</v>
      </c>
      <c r="F307" s="56">
        <v>18821.108728501316</v>
      </c>
      <c r="G307" s="38">
        <v>724.65263308602107</v>
      </c>
      <c r="H307" s="144">
        <v>18821.108728501316</v>
      </c>
      <c r="I307" s="144">
        <v>724.65263308602107</v>
      </c>
    </row>
    <row r="308" spans="1:9">
      <c r="A308">
        <v>52120</v>
      </c>
      <c r="B308" t="s">
        <v>537</v>
      </c>
      <c r="C308">
        <v>138.68967321993244</v>
      </c>
      <c r="D308">
        <v>1</v>
      </c>
      <c r="E308">
        <v>10</v>
      </c>
      <c r="F308" s="56">
        <v>6934.4836609966223</v>
      </c>
      <c r="G308" s="38">
        <v>266.99233910824609</v>
      </c>
      <c r="H308" s="144">
        <v>6934.4836609966223</v>
      </c>
      <c r="I308" s="144">
        <v>266.99233910824609</v>
      </c>
    </row>
    <row r="309" spans="1:9">
      <c r="A309">
        <v>55120</v>
      </c>
      <c r="B309" t="s">
        <v>1452</v>
      </c>
      <c r="C309">
        <v>176.68217242526836</v>
      </c>
      <c r="D309">
        <v>1</v>
      </c>
      <c r="E309">
        <v>10</v>
      </c>
      <c r="F309" s="164">
        <v>8834.1086212634182</v>
      </c>
      <c r="G309" s="165">
        <v>340.13193195532887</v>
      </c>
      <c r="H309" s="144">
        <v>8834.1086212634182</v>
      </c>
      <c r="I309" s="144">
        <v>340.13193195532887</v>
      </c>
    </row>
    <row r="310" spans="1:9">
      <c r="A310">
        <v>54120</v>
      </c>
      <c r="B310" t="s">
        <v>538</v>
      </c>
      <c r="C310">
        <v>142.13534228528087</v>
      </c>
      <c r="D310">
        <v>1</v>
      </c>
      <c r="E310">
        <v>10</v>
      </c>
      <c r="F310" s="164">
        <v>7106.7671142640438</v>
      </c>
      <c r="G310" s="165">
        <v>273.62561772367286</v>
      </c>
      <c r="H310" s="144">
        <v>7106.7671142640438</v>
      </c>
      <c r="I310" s="144">
        <v>273.62561772367286</v>
      </c>
    </row>
    <row r="311" spans="1:9">
      <c r="A311">
        <v>53120</v>
      </c>
      <c r="B311" t="s">
        <v>1453</v>
      </c>
      <c r="C311">
        <v>264.91606536898399</v>
      </c>
      <c r="D311">
        <v>1</v>
      </c>
      <c r="E311">
        <v>10</v>
      </c>
      <c r="F311" s="164">
        <v>13245.803268449199</v>
      </c>
      <c r="G311" s="165">
        <v>509.99153951465712</v>
      </c>
      <c r="H311" s="144">
        <v>13245.803268449199</v>
      </c>
      <c r="I311" s="144">
        <v>509.99153951465712</v>
      </c>
    </row>
    <row r="312" spans="1:9">
      <c r="A312">
        <v>10221</v>
      </c>
      <c r="B312" t="s">
        <v>539</v>
      </c>
      <c r="C312">
        <v>627.55825551614032</v>
      </c>
      <c r="D312">
        <v>1</v>
      </c>
      <c r="E312">
        <v>10</v>
      </c>
      <c r="F312" s="164">
        <v>31377.912775807017</v>
      </c>
      <c r="G312" s="165">
        <v>1680</v>
      </c>
      <c r="H312" s="144">
        <v>31377.912775807017</v>
      </c>
      <c r="I312" s="144">
        <v>1680</v>
      </c>
    </row>
    <row r="313" spans="1:9">
      <c r="A313">
        <v>20221</v>
      </c>
      <c r="B313" t="s">
        <v>1454</v>
      </c>
      <c r="C313">
        <v>627.55825551614032</v>
      </c>
      <c r="D313">
        <v>1</v>
      </c>
      <c r="E313">
        <v>10</v>
      </c>
      <c r="F313" s="164">
        <v>31377.912775807017</v>
      </c>
      <c r="G313" s="165">
        <v>1680</v>
      </c>
      <c r="H313" s="144">
        <v>31377.912775807017</v>
      </c>
      <c r="I313" s="144">
        <v>1680</v>
      </c>
    </row>
    <row r="314" spans="1:9">
      <c r="A314">
        <v>30221</v>
      </c>
      <c r="B314" t="s">
        <v>718</v>
      </c>
      <c r="C314">
        <v>627.55825551614032</v>
      </c>
      <c r="D314">
        <v>1</v>
      </c>
      <c r="E314">
        <v>10</v>
      </c>
      <c r="F314" s="164">
        <v>31377.912775807017</v>
      </c>
      <c r="G314" s="165">
        <v>1680</v>
      </c>
      <c r="H314" s="144">
        <v>31377.912775807017</v>
      </c>
      <c r="I314" s="144">
        <v>1680</v>
      </c>
    </row>
    <row r="315" spans="1:9">
      <c r="A315">
        <v>51221</v>
      </c>
      <c r="B315" t="s">
        <v>1455</v>
      </c>
      <c r="C315">
        <v>531.85303566187042</v>
      </c>
      <c r="D315">
        <v>1</v>
      </c>
      <c r="E315">
        <v>10</v>
      </c>
      <c r="F315" s="164">
        <v>26592.651783093523</v>
      </c>
      <c r="G315" s="165">
        <v>1423.7930774682668</v>
      </c>
      <c r="H315" s="144">
        <v>26592.651783093523</v>
      </c>
      <c r="I315" s="144">
        <v>1423.7930774682668</v>
      </c>
    </row>
    <row r="316" spans="1:9">
      <c r="A316">
        <v>52221</v>
      </c>
      <c r="B316" t="s">
        <v>719</v>
      </c>
      <c r="C316">
        <v>201.89978264845496</v>
      </c>
      <c r="D316">
        <v>1</v>
      </c>
      <c r="E316">
        <v>10</v>
      </c>
      <c r="F316" s="164">
        <v>10094.989132422748</v>
      </c>
      <c r="G316" s="165">
        <v>540.49425988418147</v>
      </c>
      <c r="H316" s="144">
        <v>10094.989132422748</v>
      </c>
      <c r="I316" s="144">
        <v>540.49425988418147</v>
      </c>
    </row>
    <row r="317" spans="1:9">
      <c r="A317">
        <v>55221</v>
      </c>
      <c r="B317" t="s">
        <v>1456</v>
      </c>
      <c r="C317">
        <v>255.77908967149278</v>
      </c>
      <c r="D317">
        <v>1</v>
      </c>
      <c r="E317">
        <v>10</v>
      </c>
      <c r="F317" s="164">
        <v>12788.954483574638</v>
      </c>
      <c r="G317" s="165">
        <v>684.73144424606494</v>
      </c>
      <c r="H317" s="144">
        <v>12788.954483574638</v>
      </c>
      <c r="I317" s="144">
        <v>684.73144424606494</v>
      </c>
    </row>
    <row r="318" spans="1:9">
      <c r="A318">
        <v>54221</v>
      </c>
      <c r="B318" t="s">
        <v>720</v>
      </c>
      <c r="C318">
        <v>227.47713593375113</v>
      </c>
      <c r="D318">
        <v>1</v>
      </c>
      <c r="E318">
        <v>10</v>
      </c>
      <c r="F318" s="164">
        <v>11373.856796687556</v>
      </c>
      <c r="G318" s="165">
        <v>608.96591672495799</v>
      </c>
      <c r="H318" s="144">
        <v>11373.856796687556</v>
      </c>
      <c r="I318" s="144">
        <v>608.96591672495799</v>
      </c>
    </row>
    <row r="319" spans="1:9">
      <c r="A319">
        <v>53221</v>
      </c>
      <c r="B319" t="s">
        <v>1457</v>
      </c>
      <c r="C319">
        <v>372.92215851693413</v>
      </c>
      <c r="D319">
        <v>1</v>
      </c>
      <c r="E319">
        <v>10</v>
      </c>
      <c r="F319" s="164">
        <v>18646.107925846707</v>
      </c>
      <c r="G319" s="165">
        <v>998.32839549401137</v>
      </c>
      <c r="H319" s="144">
        <v>18646.107925846707</v>
      </c>
      <c r="I319" s="144">
        <v>998.32839549401137</v>
      </c>
    </row>
    <row r="320" spans="1:9">
      <c r="A320">
        <v>10322</v>
      </c>
      <c r="B320" t="s">
        <v>721</v>
      </c>
      <c r="C320">
        <v>817.10921949533486</v>
      </c>
      <c r="D320">
        <v>1</v>
      </c>
      <c r="E320">
        <v>10</v>
      </c>
      <c r="F320" s="164">
        <v>40855.460974766742</v>
      </c>
      <c r="G320" s="165">
        <v>4200</v>
      </c>
      <c r="H320" s="144">
        <v>40855.460974766742</v>
      </c>
      <c r="I320" s="144">
        <v>4200</v>
      </c>
    </row>
    <row r="321" spans="1:9">
      <c r="A321">
        <v>20322</v>
      </c>
      <c r="B321" t="s">
        <v>1458</v>
      </c>
      <c r="C321">
        <v>817.10921949533486</v>
      </c>
      <c r="D321">
        <v>1</v>
      </c>
      <c r="E321">
        <v>10</v>
      </c>
      <c r="F321" s="164">
        <v>40855.460974766742</v>
      </c>
      <c r="G321" s="165">
        <v>4200</v>
      </c>
      <c r="H321" s="144">
        <v>40855.460974766742</v>
      </c>
      <c r="I321" s="144">
        <v>4200</v>
      </c>
    </row>
    <row r="322" spans="1:9">
      <c r="A322">
        <v>30322</v>
      </c>
      <c r="B322" t="s">
        <v>722</v>
      </c>
      <c r="C322">
        <v>817.10921949533486</v>
      </c>
      <c r="D322">
        <v>1</v>
      </c>
      <c r="E322">
        <v>10</v>
      </c>
      <c r="F322" s="164">
        <v>40855.460974766742</v>
      </c>
      <c r="G322" s="165">
        <v>4200</v>
      </c>
      <c r="H322" s="144">
        <v>40855.460974766742</v>
      </c>
      <c r="I322" s="144">
        <v>4200</v>
      </c>
    </row>
    <row r="323" spans="1:9">
      <c r="A323">
        <v>51322</v>
      </c>
      <c r="B323" t="s">
        <v>1459</v>
      </c>
      <c r="C323">
        <v>679.98058403894458</v>
      </c>
      <c r="D323">
        <v>1</v>
      </c>
      <c r="E323">
        <v>10</v>
      </c>
      <c r="F323" s="164">
        <v>33999.029201947233</v>
      </c>
      <c r="G323" s="165">
        <v>3495.1489774248871</v>
      </c>
      <c r="H323" s="144">
        <v>33999.029201947233</v>
      </c>
      <c r="I323" s="144">
        <v>3495.1489774248871</v>
      </c>
    </row>
    <row r="324" spans="1:9">
      <c r="A324">
        <v>52322</v>
      </c>
      <c r="B324" t="s">
        <v>723</v>
      </c>
      <c r="C324">
        <v>266.07620263950542</v>
      </c>
      <c r="D324">
        <v>1</v>
      </c>
      <c r="E324">
        <v>10</v>
      </c>
      <c r="F324" s="164">
        <v>13303.810131975271</v>
      </c>
      <c r="G324" s="165">
        <v>1367.650767392061</v>
      </c>
      <c r="H324" s="144">
        <v>13303.810131975271</v>
      </c>
      <c r="I324" s="144">
        <v>1367.650767392061</v>
      </c>
    </row>
    <row r="325" spans="1:9">
      <c r="A325">
        <v>55322</v>
      </c>
      <c r="B325" t="s">
        <v>1460</v>
      </c>
      <c r="C325">
        <v>335.22770370506402</v>
      </c>
      <c r="D325">
        <v>1</v>
      </c>
      <c r="E325">
        <v>10</v>
      </c>
      <c r="F325" s="164">
        <v>16761.385185253203</v>
      </c>
      <c r="G325" s="165">
        <v>1723.0944431527219</v>
      </c>
      <c r="H325" s="144">
        <v>16761.385185253203</v>
      </c>
      <c r="I325" s="144">
        <v>1723.0944431527219</v>
      </c>
    </row>
    <row r="326" spans="1:9">
      <c r="A326">
        <v>54322</v>
      </c>
      <c r="B326" t="s">
        <v>724</v>
      </c>
      <c r="C326">
        <v>326.46233291180158</v>
      </c>
      <c r="D326">
        <v>1</v>
      </c>
      <c r="E326">
        <v>10</v>
      </c>
      <c r="F326" s="164">
        <v>16323.116645590078</v>
      </c>
      <c r="G326" s="165">
        <v>1678.0398085294091</v>
      </c>
      <c r="H326" s="144">
        <v>16323.116645590078</v>
      </c>
      <c r="I326" s="144">
        <v>1678.0398085294091</v>
      </c>
    </row>
    <row r="327" spans="1:9">
      <c r="A327">
        <v>53322</v>
      </c>
      <c r="B327" t="s">
        <v>1461</v>
      </c>
      <c r="C327">
        <v>474.937863757576</v>
      </c>
      <c r="D327">
        <v>1</v>
      </c>
      <c r="E327">
        <v>10</v>
      </c>
      <c r="F327" s="164">
        <v>23746.893187878799</v>
      </c>
      <c r="G327" s="165">
        <v>2441.214687326396</v>
      </c>
      <c r="H327" s="144">
        <v>23746.893187878799</v>
      </c>
      <c r="I327" s="144">
        <v>2441.214687326396</v>
      </c>
    </row>
    <row r="328" spans="1:9">
      <c r="A328">
        <v>10423</v>
      </c>
      <c r="B328" t="s">
        <v>540</v>
      </c>
      <c r="C328">
        <v>957.13568896871675</v>
      </c>
      <c r="D328">
        <v>1</v>
      </c>
      <c r="E328">
        <v>10</v>
      </c>
      <c r="F328" s="164">
        <v>47856.784448435836</v>
      </c>
      <c r="G328" s="165">
        <v>7000</v>
      </c>
      <c r="H328" s="144">
        <v>47856.784448435836</v>
      </c>
      <c r="I328" s="144">
        <v>7000</v>
      </c>
    </row>
    <row r="329" spans="1:9">
      <c r="A329">
        <v>20423</v>
      </c>
      <c r="B329" t="s">
        <v>1462</v>
      </c>
      <c r="C329">
        <v>957.13568896871675</v>
      </c>
      <c r="D329">
        <v>1</v>
      </c>
      <c r="E329">
        <v>10</v>
      </c>
      <c r="F329" s="164">
        <v>47856.784448435836</v>
      </c>
      <c r="G329" s="165">
        <v>7000</v>
      </c>
      <c r="H329" s="144">
        <v>47856.784448435836</v>
      </c>
      <c r="I329" s="144">
        <v>7000</v>
      </c>
    </row>
    <row r="330" spans="1:9">
      <c r="A330">
        <v>30423</v>
      </c>
      <c r="B330" t="s">
        <v>725</v>
      </c>
      <c r="C330">
        <v>957.13568896871675</v>
      </c>
      <c r="D330">
        <v>1</v>
      </c>
      <c r="E330">
        <v>10</v>
      </c>
      <c r="F330" s="164">
        <v>47856.784448435836</v>
      </c>
      <c r="G330" s="165">
        <v>7000</v>
      </c>
      <c r="H330" s="144">
        <v>47856.784448435836</v>
      </c>
      <c r="I330" s="144">
        <v>7000</v>
      </c>
    </row>
    <row r="331" spans="1:9">
      <c r="A331">
        <v>51423</v>
      </c>
      <c r="B331" t="s">
        <v>1463</v>
      </c>
      <c r="C331">
        <v>781.71887590595156</v>
      </c>
      <c r="D331">
        <v>1</v>
      </c>
      <c r="E331">
        <v>10</v>
      </c>
      <c r="F331" s="164">
        <v>39085.943795297579</v>
      </c>
      <c r="G331" s="165">
        <v>5717.0913115125841</v>
      </c>
      <c r="H331" s="144">
        <v>39085.943795297579</v>
      </c>
      <c r="I331" s="144">
        <v>5717.0913115125841</v>
      </c>
    </row>
    <row r="332" spans="1:9">
      <c r="A332">
        <v>52423</v>
      </c>
      <c r="B332" t="s">
        <v>726</v>
      </c>
      <c r="C332">
        <v>315.4466030410324</v>
      </c>
      <c r="D332">
        <v>1</v>
      </c>
      <c r="E332">
        <v>10</v>
      </c>
      <c r="F332" s="164">
        <v>15772.33015205162</v>
      </c>
      <c r="G332" s="165">
        <v>2307.0148221788832</v>
      </c>
      <c r="H332" s="144">
        <v>15772.33015205162</v>
      </c>
      <c r="I332" s="144">
        <v>2307.0148221788832</v>
      </c>
    </row>
    <row r="333" spans="1:9">
      <c r="A333">
        <v>55423</v>
      </c>
      <c r="B333" t="s">
        <v>1464</v>
      </c>
      <c r="C333">
        <v>395.26477573903037</v>
      </c>
      <c r="D333">
        <v>1</v>
      </c>
      <c r="E333">
        <v>10</v>
      </c>
      <c r="F333" s="164">
        <v>19763.238786951519</v>
      </c>
      <c r="G333" s="165">
        <v>2890.764039061597</v>
      </c>
      <c r="H333" s="144">
        <v>19763.238786951519</v>
      </c>
      <c r="I333" s="144">
        <v>2890.764039061597</v>
      </c>
    </row>
    <row r="334" spans="1:9">
      <c r="A334">
        <v>54423</v>
      </c>
      <c r="B334" t="s">
        <v>727</v>
      </c>
      <c r="C334">
        <v>418.18184116136376</v>
      </c>
      <c r="D334">
        <v>1</v>
      </c>
      <c r="E334">
        <v>10</v>
      </c>
      <c r="F334" s="164">
        <v>20909.092058068189</v>
      </c>
      <c r="G334" s="165">
        <v>3058.3677130288493</v>
      </c>
      <c r="H334" s="144">
        <v>20909.092058068189</v>
      </c>
      <c r="I334" s="144">
        <v>3058.3677130288493</v>
      </c>
    </row>
    <row r="335" spans="1:9">
      <c r="A335">
        <v>53423</v>
      </c>
      <c r="B335" t="s">
        <v>1465</v>
      </c>
      <c r="C335">
        <v>543.77445818181832</v>
      </c>
      <c r="D335">
        <v>1</v>
      </c>
      <c r="E335">
        <v>10</v>
      </c>
      <c r="F335" s="164">
        <v>27188.722909090917</v>
      </c>
      <c r="G335" s="165">
        <v>3976.8877612055462</v>
      </c>
      <c r="H335" s="144">
        <v>27188.722909090917</v>
      </c>
      <c r="I335" s="144">
        <v>3976.8877612055462</v>
      </c>
    </row>
    <row r="336" spans="1:9">
      <c r="A336">
        <v>10124</v>
      </c>
      <c r="B336" t="s">
        <v>541</v>
      </c>
      <c r="C336">
        <v>545.42447684946114</v>
      </c>
      <c r="D336">
        <v>1</v>
      </c>
      <c r="E336">
        <v>10</v>
      </c>
      <c r="F336" s="164">
        <v>27271.223842473057</v>
      </c>
      <c r="G336" s="165">
        <v>959.99999999999989</v>
      </c>
      <c r="H336" s="144">
        <v>27271.223842473057</v>
      </c>
      <c r="I336" s="144">
        <v>959.99999999999989</v>
      </c>
    </row>
    <row r="337" spans="1:9">
      <c r="A337">
        <v>20124</v>
      </c>
      <c r="B337" t="s">
        <v>1466</v>
      </c>
      <c r="C337">
        <v>545.42447684946114</v>
      </c>
      <c r="D337">
        <v>1</v>
      </c>
      <c r="E337">
        <v>10</v>
      </c>
      <c r="F337" s="164">
        <v>27271.223842473057</v>
      </c>
      <c r="G337" s="165">
        <v>959.99999999999989</v>
      </c>
      <c r="H337" s="144">
        <v>27271.223842473057</v>
      </c>
      <c r="I337" s="144">
        <v>959.99999999999989</v>
      </c>
    </row>
    <row r="338" spans="1:9">
      <c r="A338">
        <v>30124</v>
      </c>
      <c r="B338" t="s">
        <v>542</v>
      </c>
      <c r="C338">
        <v>545.42447684946114</v>
      </c>
      <c r="D338">
        <v>1</v>
      </c>
      <c r="E338">
        <v>10</v>
      </c>
      <c r="F338" s="164">
        <v>27271.223842473057</v>
      </c>
      <c r="G338" s="165">
        <v>959.99999999999989</v>
      </c>
      <c r="H338" s="144">
        <v>27271.223842473057</v>
      </c>
      <c r="I338" s="144">
        <v>959.99999999999989</v>
      </c>
    </row>
    <row r="339" spans="1:9">
      <c r="A339">
        <v>51124</v>
      </c>
      <c r="B339" t="s">
        <v>1467</v>
      </c>
      <c r="C339">
        <v>470.52771821253282</v>
      </c>
      <c r="D339">
        <v>1</v>
      </c>
      <c r="E339">
        <v>10</v>
      </c>
      <c r="F339" s="164">
        <v>23526.385910626639</v>
      </c>
      <c r="G339" s="165">
        <v>828.17443781259544</v>
      </c>
      <c r="H339" s="144">
        <v>23526.385910626639</v>
      </c>
      <c r="I339" s="144">
        <v>828.17443781259544</v>
      </c>
    </row>
    <row r="340" spans="1:9">
      <c r="A340">
        <v>52124</v>
      </c>
      <c r="B340" t="s">
        <v>543</v>
      </c>
      <c r="C340">
        <v>173.36209152491557</v>
      </c>
      <c r="D340">
        <v>1</v>
      </c>
      <c r="E340">
        <v>10</v>
      </c>
      <c r="F340" s="164">
        <v>8668.1045762457779</v>
      </c>
      <c r="G340" s="165">
        <v>305.13410183799556</v>
      </c>
      <c r="H340" s="144">
        <v>8668.1045762457779</v>
      </c>
      <c r="I340" s="144">
        <v>305.13410183799556</v>
      </c>
    </row>
    <row r="341" spans="1:9">
      <c r="A341">
        <v>55124</v>
      </c>
      <c r="B341" t="s">
        <v>1468</v>
      </c>
      <c r="C341">
        <v>220.85271553158546</v>
      </c>
      <c r="D341">
        <v>1</v>
      </c>
      <c r="E341">
        <v>10</v>
      </c>
      <c r="F341" s="164">
        <v>11042.635776579273</v>
      </c>
      <c r="G341" s="165">
        <v>388.7222079489473</v>
      </c>
      <c r="H341" s="144">
        <v>11042.635776579273</v>
      </c>
      <c r="I341" s="144">
        <v>388.7222079489473</v>
      </c>
    </row>
    <row r="342" spans="1:9">
      <c r="A342">
        <v>54124</v>
      </c>
      <c r="B342" t="s">
        <v>544</v>
      </c>
      <c r="C342">
        <v>177.6691778566011</v>
      </c>
      <c r="D342">
        <v>1</v>
      </c>
      <c r="E342">
        <v>10</v>
      </c>
      <c r="F342" s="164">
        <v>8883.4588928300545</v>
      </c>
      <c r="G342" s="165">
        <v>312.71499168419757</v>
      </c>
      <c r="H342" s="144">
        <v>8883.4588928300545</v>
      </c>
      <c r="I342" s="144">
        <v>312.71499168419757</v>
      </c>
    </row>
    <row r="343" spans="1:9">
      <c r="A343">
        <v>53124</v>
      </c>
      <c r="B343" t="s">
        <v>1469</v>
      </c>
      <c r="C343">
        <v>331.14508171122998</v>
      </c>
      <c r="D343">
        <v>1</v>
      </c>
      <c r="E343">
        <v>10</v>
      </c>
      <c r="F343" s="164">
        <v>16557.254085561501</v>
      </c>
      <c r="G343" s="165">
        <v>582.84747373103676</v>
      </c>
      <c r="H343" s="144">
        <v>16557.254085561501</v>
      </c>
      <c r="I343" s="144">
        <v>582.84747373103676</v>
      </c>
    </row>
    <row r="344" spans="1:9">
      <c r="A344">
        <v>10225</v>
      </c>
      <c r="B344" t="s">
        <v>545</v>
      </c>
      <c r="C344">
        <v>784.44781939517532</v>
      </c>
      <c r="D344">
        <v>1</v>
      </c>
      <c r="E344">
        <v>10</v>
      </c>
      <c r="F344" s="164">
        <v>39222.390969758766</v>
      </c>
      <c r="G344" s="165">
        <v>1920</v>
      </c>
      <c r="H344" s="144">
        <v>39222.390969758766</v>
      </c>
      <c r="I344" s="144">
        <v>1920</v>
      </c>
    </row>
    <row r="345" spans="1:9">
      <c r="A345">
        <v>20225</v>
      </c>
      <c r="B345" t="s">
        <v>1470</v>
      </c>
      <c r="C345">
        <v>784.44781939517532</v>
      </c>
      <c r="D345">
        <v>1</v>
      </c>
      <c r="E345">
        <v>10</v>
      </c>
      <c r="F345" s="164">
        <v>39222.390969758766</v>
      </c>
      <c r="G345" s="165">
        <v>1920</v>
      </c>
      <c r="H345" s="144">
        <v>39222.390969758766</v>
      </c>
      <c r="I345" s="144">
        <v>1920</v>
      </c>
    </row>
    <row r="346" spans="1:9">
      <c r="A346">
        <v>30225</v>
      </c>
      <c r="B346" t="s">
        <v>546</v>
      </c>
      <c r="C346">
        <v>784.44781939517532</v>
      </c>
      <c r="D346">
        <v>1</v>
      </c>
      <c r="E346">
        <v>10</v>
      </c>
      <c r="F346" s="55">
        <v>39222.390969758766</v>
      </c>
      <c r="G346" s="36">
        <v>1920</v>
      </c>
      <c r="H346" s="144">
        <v>39222.390969758766</v>
      </c>
      <c r="I346" s="144">
        <v>1920</v>
      </c>
    </row>
    <row r="347" spans="1:9">
      <c r="A347">
        <v>51225</v>
      </c>
      <c r="B347" t="s">
        <v>1471</v>
      </c>
      <c r="C347">
        <v>664.816294577338</v>
      </c>
      <c r="D347">
        <v>1</v>
      </c>
      <c r="E347">
        <v>10</v>
      </c>
      <c r="F347" s="55">
        <v>33240.814728866899</v>
      </c>
      <c r="G347" s="36">
        <v>1627.1920885351622</v>
      </c>
      <c r="H347" s="144">
        <v>33240.814728866899</v>
      </c>
      <c r="I347" s="144">
        <v>1627.1920885351622</v>
      </c>
    </row>
    <row r="348" spans="1:9">
      <c r="A348">
        <v>52225</v>
      </c>
      <c r="B348" t="s">
        <v>547</v>
      </c>
      <c r="C348">
        <v>252.37472831056871</v>
      </c>
      <c r="D348">
        <v>1</v>
      </c>
      <c r="E348">
        <v>10</v>
      </c>
      <c r="F348" s="55">
        <v>12618.736415528436</v>
      </c>
      <c r="G348" s="36">
        <v>617.70772558192186</v>
      </c>
      <c r="H348" s="144">
        <v>12618.736415528436</v>
      </c>
      <c r="I348" s="144">
        <v>617.70772558192186</v>
      </c>
    </row>
    <row r="349" spans="1:9">
      <c r="A349">
        <v>55225</v>
      </c>
      <c r="B349" t="s">
        <v>1472</v>
      </c>
      <c r="C349">
        <v>319.72386208936598</v>
      </c>
      <c r="D349">
        <v>1</v>
      </c>
      <c r="E349">
        <v>10</v>
      </c>
      <c r="F349" s="55">
        <v>15986.193104468299</v>
      </c>
      <c r="G349" s="36">
        <v>782.55022199550297</v>
      </c>
      <c r="H349" s="144">
        <v>15986.193104468299</v>
      </c>
      <c r="I349" s="144">
        <v>782.55022199550297</v>
      </c>
    </row>
    <row r="350" spans="1:9">
      <c r="A350">
        <v>54225</v>
      </c>
      <c r="B350" t="s">
        <v>548</v>
      </c>
      <c r="C350">
        <v>284.34641991718894</v>
      </c>
      <c r="D350">
        <v>1</v>
      </c>
      <c r="E350">
        <v>10</v>
      </c>
      <c r="F350" s="55">
        <v>14217.320995859447</v>
      </c>
      <c r="G350" s="36">
        <v>695.96104768566659</v>
      </c>
      <c r="H350" s="144">
        <v>14217.320995859447</v>
      </c>
      <c r="I350" s="144">
        <v>695.96104768566659</v>
      </c>
    </row>
    <row r="351" spans="1:9">
      <c r="A351">
        <v>53225</v>
      </c>
      <c r="B351" t="s">
        <v>1473</v>
      </c>
      <c r="C351">
        <v>466.15269814616761</v>
      </c>
      <c r="D351">
        <v>1</v>
      </c>
      <c r="E351">
        <v>10</v>
      </c>
      <c r="F351" s="55">
        <v>23307.63490730838</v>
      </c>
      <c r="G351" s="36">
        <v>1140.9467377074418</v>
      </c>
      <c r="H351" s="144">
        <v>23307.63490730838</v>
      </c>
      <c r="I351" s="144">
        <v>1140.9467377074418</v>
      </c>
    </row>
    <row r="352" spans="1:9">
      <c r="A352">
        <v>10326</v>
      </c>
      <c r="B352" t="s">
        <v>728</v>
      </c>
      <c r="C352">
        <v>1021.3865243691686</v>
      </c>
      <c r="D352">
        <v>1</v>
      </c>
      <c r="E352">
        <v>10</v>
      </c>
      <c r="F352" s="55">
        <v>51069.326218458431</v>
      </c>
      <c r="G352" s="36">
        <v>4800.0000000000009</v>
      </c>
      <c r="H352" s="144">
        <v>51069.326218458431</v>
      </c>
      <c r="I352" s="144">
        <v>4800.0000000000009</v>
      </c>
    </row>
    <row r="353" spans="1:9">
      <c r="A353">
        <v>20326</v>
      </c>
      <c r="B353" t="s">
        <v>1474</v>
      </c>
      <c r="C353">
        <v>1021.3865243691686</v>
      </c>
      <c r="D353">
        <v>1</v>
      </c>
      <c r="E353">
        <v>10</v>
      </c>
      <c r="F353" s="55">
        <v>51069.326218458431</v>
      </c>
      <c r="G353" s="36">
        <v>4800.0000000000009</v>
      </c>
      <c r="H353" s="144">
        <v>51069.326218458431</v>
      </c>
      <c r="I353" s="144">
        <v>4800.0000000000009</v>
      </c>
    </row>
    <row r="354" spans="1:9">
      <c r="A354">
        <v>30326</v>
      </c>
      <c r="B354" t="s">
        <v>729</v>
      </c>
      <c r="C354">
        <v>1021.3865243691686</v>
      </c>
      <c r="D354">
        <v>1</v>
      </c>
      <c r="E354">
        <v>10</v>
      </c>
      <c r="F354" s="55">
        <v>51069.326218458431</v>
      </c>
      <c r="G354" s="36">
        <v>4800.0000000000009</v>
      </c>
      <c r="H354" s="144">
        <v>51069.326218458431</v>
      </c>
      <c r="I354" s="144">
        <v>4800.0000000000009</v>
      </c>
    </row>
    <row r="355" spans="1:9">
      <c r="A355">
        <v>51326</v>
      </c>
      <c r="B355" t="s">
        <v>1475</v>
      </c>
      <c r="C355">
        <v>849.97573004868082</v>
      </c>
      <c r="D355">
        <v>1</v>
      </c>
      <c r="E355">
        <v>10</v>
      </c>
      <c r="F355" s="55">
        <v>42498.786502434043</v>
      </c>
      <c r="G355" s="36">
        <v>3994.4559741998719</v>
      </c>
      <c r="H355" s="144">
        <v>42498.786502434043</v>
      </c>
      <c r="I355" s="144">
        <v>3994.4559741998719</v>
      </c>
    </row>
    <row r="356" spans="1:9">
      <c r="A356">
        <v>52326</v>
      </c>
      <c r="B356" t="s">
        <v>730</v>
      </c>
      <c r="C356">
        <v>332.5952532993818</v>
      </c>
      <c r="D356">
        <v>1</v>
      </c>
      <c r="E356">
        <v>10</v>
      </c>
      <c r="F356" s="55">
        <v>16629.76266496909</v>
      </c>
      <c r="G356" s="36">
        <v>1563.0294484480696</v>
      </c>
      <c r="H356" s="144">
        <v>16629.76266496909</v>
      </c>
      <c r="I356" s="144">
        <v>1563.0294484480696</v>
      </c>
    </row>
    <row r="357" spans="1:9">
      <c r="A357">
        <v>55326</v>
      </c>
      <c r="B357" t="s">
        <v>1476</v>
      </c>
      <c r="C357">
        <v>419.03462963132995</v>
      </c>
      <c r="D357">
        <v>1</v>
      </c>
      <c r="E357">
        <v>10</v>
      </c>
      <c r="F357" s="55">
        <v>20951.731481566498</v>
      </c>
      <c r="G357" s="36">
        <v>1969.2507921745382</v>
      </c>
      <c r="H357" s="144">
        <v>20951.731481566498</v>
      </c>
      <c r="I357" s="144">
        <v>1969.2507921745382</v>
      </c>
    </row>
    <row r="358" spans="1:9">
      <c r="A358">
        <v>54326</v>
      </c>
      <c r="B358" t="s">
        <v>731</v>
      </c>
      <c r="C358">
        <v>408.07791613975189</v>
      </c>
      <c r="D358">
        <v>1</v>
      </c>
      <c r="E358">
        <v>10</v>
      </c>
      <c r="F358" s="55">
        <v>20403.895806987595</v>
      </c>
      <c r="G358" s="36">
        <v>1917.759781176467</v>
      </c>
      <c r="H358" s="144">
        <v>20403.895806987595</v>
      </c>
      <c r="I358" s="144">
        <v>1917.759781176467</v>
      </c>
    </row>
    <row r="359" spans="1:9">
      <c r="A359">
        <v>53326</v>
      </c>
      <c r="B359" t="s">
        <v>1477</v>
      </c>
      <c r="C359">
        <v>593.67232969696988</v>
      </c>
      <c r="D359">
        <v>1</v>
      </c>
      <c r="E359">
        <v>10</v>
      </c>
      <c r="F359" s="55">
        <v>29683.616484848495</v>
      </c>
      <c r="G359" s="36">
        <v>2789.9596426587373</v>
      </c>
      <c r="H359" s="144">
        <v>29683.616484848495</v>
      </c>
      <c r="I359" s="144">
        <v>2789.9596426587373</v>
      </c>
    </row>
    <row r="360" spans="1:9">
      <c r="A360">
        <v>10427</v>
      </c>
      <c r="B360" t="s">
        <v>1478</v>
      </c>
      <c r="C360">
        <v>1196.4196112108959</v>
      </c>
      <c r="D360">
        <v>1</v>
      </c>
      <c r="E360">
        <v>10</v>
      </c>
      <c r="F360" s="55">
        <v>59820.980560544798</v>
      </c>
      <c r="G360" s="36">
        <v>8000</v>
      </c>
      <c r="H360" s="144">
        <v>59820.980560544798</v>
      </c>
      <c r="I360" s="144">
        <v>8000</v>
      </c>
    </row>
    <row r="361" spans="1:9">
      <c r="A361">
        <v>20427</v>
      </c>
      <c r="B361" t="s">
        <v>732</v>
      </c>
      <c r="C361">
        <v>1196.4196112108959</v>
      </c>
      <c r="D361">
        <v>1</v>
      </c>
      <c r="E361">
        <v>10</v>
      </c>
      <c r="F361" s="55">
        <v>59820.980560544798</v>
      </c>
      <c r="G361" s="36">
        <v>8000</v>
      </c>
      <c r="H361" s="144">
        <v>59820.980560544798</v>
      </c>
      <c r="I361" s="144">
        <v>8000</v>
      </c>
    </row>
    <row r="362" spans="1:9">
      <c r="A362">
        <v>30427</v>
      </c>
      <c r="B362" t="s">
        <v>1479</v>
      </c>
      <c r="C362">
        <v>1196.4196112108959</v>
      </c>
      <c r="D362">
        <v>1</v>
      </c>
      <c r="E362">
        <v>10</v>
      </c>
      <c r="F362" s="55">
        <v>59820.980560544798</v>
      </c>
      <c r="G362" s="36">
        <v>8000</v>
      </c>
      <c r="H362" s="144">
        <v>59820.980560544798</v>
      </c>
      <c r="I362" s="144">
        <v>8000</v>
      </c>
    </row>
    <row r="363" spans="1:9">
      <c r="A363">
        <v>51427</v>
      </c>
      <c r="B363" t="s">
        <v>733</v>
      </c>
      <c r="C363">
        <v>977.14859488243928</v>
      </c>
      <c r="D363">
        <v>1</v>
      </c>
      <c r="E363">
        <v>10</v>
      </c>
      <c r="F363" s="55">
        <v>48857.429744121968</v>
      </c>
      <c r="G363" s="36">
        <v>6533.8186417286661</v>
      </c>
      <c r="H363" s="144">
        <v>48857.429744121968</v>
      </c>
      <c r="I363" s="144">
        <v>6533.8186417286661</v>
      </c>
    </row>
    <row r="364" spans="1:9">
      <c r="A364">
        <v>52427</v>
      </c>
      <c r="B364" t="s">
        <v>1480</v>
      </c>
      <c r="C364">
        <v>394.30825380129045</v>
      </c>
      <c r="D364">
        <v>1</v>
      </c>
      <c r="E364">
        <v>10</v>
      </c>
      <c r="F364" s="55">
        <v>19715.412690064521</v>
      </c>
      <c r="G364" s="36">
        <v>2636.5883682044378</v>
      </c>
      <c r="H364" s="144">
        <v>19715.412690064521</v>
      </c>
      <c r="I364" s="144">
        <v>2636.5883682044378</v>
      </c>
    </row>
    <row r="365" spans="1:9">
      <c r="A365">
        <v>55427</v>
      </c>
      <c r="B365" t="s">
        <v>734</v>
      </c>
      <c r="C365">
        <v>494.08096967378793</v>
      </c>
      <c r="D365">
        <v>1</v>
      </c>
      <c r="E365">
        <v>10</v>
      </c>
      <c r="F365" s="164">
        <v>24704.048483689396</v>
      </c>
      <c r="G365" s="36">
        <v>3303.7303303561112</v>
      </c>
      <c r="H365" s="144">
        <v>24704.048483689396</v>
      </c>
      <c r="I365" s="144">
        <v>3303.7303303561112</v>
      </c>
    </row>
    <row r="366" spans="1:9">
      <c r="A366">
        <v>54427</v>
      </c>
      <c r="B366" t="s">
        <v>1481</v>
      </c>
      <c r="C366">
        <v>522.72730145170476</v>
      </c>
      <c r="D366">
        <v>1</v>
      </c>
      <c r="E366">
        <v>10</v>
      </c>
      <c r="F366" s="164">
        <v>26136.365072585239</v>
      </c>
      <c r="G366" s="36">
        <v>3495.2773863186853</v>
      </c>
      <c r="H366" s="144">
        <v>26136.365072585239</v>
      </c>
      <c r="I366" s="144">
        <v>3495.2773863186853</v>
      </c>
    </row>
    <row r="367" spans="1:9">
      <c r="A367">
        <v>53427</v>
      </c>
      <c r="B367" t="s">
        <v>1482</v>
      </c>
      <c r="C367">
        <v>679.7180727272729</v>
      </c>
      <c r="D367">
        <v>1</v>
      </c>
      <c r="E367">
        <v>10</v>
      </c>
      <c r="F367" s="164">
        <v>33985.903636363648</v>
      </c>
      <c r="G367" s="36">
        <v>4545.0145842349111</v>
      </c>
      <c r="H367" s="144">
        <v>33985.903636363648</v>
      </c>
      <c r="I367" s="144">
        <v>4545.0145842349111</v>
      </c>
    </row>
    <row r="368" spans="1:9">
      <c r="A368">
        <v>92131</v>
      </c>
      <c r="B368" t="s">
        <v>738</v>
      </c>
      <c r="C368">
        <v>16.48</v>
      </c>
      <c r="D368">
        <v>250</v>
      </c>
      <c r="E368">
        <v>2</v>
      </c>
      <c r="F368" s="164">
        <v>1648</v>
      </c>
      <c r="G368" s="36">
        <v>4</v>
      </c>
      <c r="H368" s="144">
        <v>1648</v>
      </c>
      <c r="I368" s="144">
        <v>4</v>
      </c>
    </row>
    <row r="369" spans="1:9">
      <c r="A369">
        <v>92011</v>
      </c>
      <c r="B369" t="s">
        <v>735</v>
      </c>
      <c r="C369">
        <v>20</v>
      </c>
      <c r="D369">
        <v>126</v>
      </c>
      <c r="E369">
        <v>2</v>
      </c>
      <c r="F369" s="164">
        <v>2000</v>
      </c>
      <c r="G369" s="36">
        <v>4</v>
      </c>
      <c r="H369" s="144">
        <v>2000</v>
      </c>
      <c r="I369" s="144">
        <v>4</v>
      </c>
    </row>
    <row r="370" spans="1:9">
      <c r="A370">
        <v>92228</v>
      </c>
      <c r="B370" t="s">
        <v>739</v>
      </c>
      <c r="C370">
        <v>8</v>
      </c>
      <c r="D370">
        <v>253</v>
      </c>
      <c r="E370">
        <v>2</v>
      </c>
      <c r="F370" s="164">
        <v>800</v>
      </c>
      <c r="G370" s="36">
        <v>2</v>
      </c>
      <c r="H370" s="144">
        <v>800</v>
      </c>
      <c r="I370" s="144">
        <v>2</v>
      </c>
    </row>
    <row r="371" spans="1:9">
      <c r="A371">
        <v>92232</v>
      </c>
      <c r="B371" t="s">
        <v>746</v>
      </c>
      <c r="C371">
        <v>16.48</v>
      </c>
      <c r="D371">
        <v>718</v>
      </c>
      <c r="E371">
        <v>2</v>
      </c>
      <c r="F371" s="164">
        <v>1648</v>
      </c>
      <c r="G371" s="36">
        <v>4</v>
      </c>
      <c r="H371" s="144">
        <v>1648</v>
      </c>
      <c r="I371" s="144">
        <v>4</v>
      </c>
    </row>
    <row r="372" spans="1:9">
      <c r="A372">
        <v>92121</v>
      </c>
      <c r="B372" t="s">
        <v>740</v>
      </c>
      <c r="C372">
        <v>20</v>
      </c>
      <c r="D372">
        <v>259</v>
      </c>
      <c r="E372">
        <v>2</v>
      </c>
      <c r="F372" s="164">
        <v>2000</v>
      </c>
      <c r="G372" s="36">
        <v>4</v>
      </c>
      <c r="H372" s="144">
        <v>2000</v>
      </c>
      <c r="I372" s="144">
        <v>4</v>
      </c>
    </row>
    <row r="373" spans="1:9">
      <c r="A373">
        <v>92243</v>
      </c>
      <c r="B373" t="s">
        <v>737</v>
      </c>
      <c r="C373">
        <v>8</v>
      </c>
      <c r="D373">
        <v>333</v>
      </c>
      <c r="E373">
        <v>2</v>
      </c>
      <c r="F373" s="164">
        <v>800</v>
      </c>
      <c r="G373" s="36">
        <v>2</v>
      </c>
      <c r="H373" s="144">
        <v>800</v>
      </c>
      <c r="I373" s="144">
        <v>2</v>
      </c>
    </row>
    <row r="374" spans="1:9">
      <c r="A374">
        <v>92244</v>
      </c>
      <c r="B374" t="s">
        <v>748</v>
      </c>
      <c r="C374">
        <v>16.48</v>
      </c>
      <c r="D374">
        <v>653</v>
      </c>
      <c r="E374">
        <v>2</v>
      </c>
      <c r="F374" s="164">
        <v>1648</v>
      </c>
      <c r="G374" s="36">
        <v>4</v>
      </c>
      <c r="H374" s="144">
        <v>1648</v>
      </c>
      <c r="I374" s="144">
        <v>4</v>
      </c>
    </row>
    <row r="375" spans="1:9">
      <c r="A375">
        <v>92263</v>
      </c>
      <c r="B375" t="s">
        <v>743</v>
      </c>
      <c r="C375">
        <v>20</v>
      </c>
      <c r="D375">
        <v>117</v>
      </c>
      <c r="E375">
        <v>2</v>
      </c>
      <c r="F375" s="164">
        <v>2000</v>
      </c>
      <c r="G375" s="36">
        <v>4</v>
      </c>
      <c r="H375" s="144">
        <v>2000</v>
      </c>
      <c r="I375" s="144">
        <v>4</v>
      </c>
    </row>
    <row r="376" spans="1:9">
      <c r="A376">
        <v>92277</v>
      </c>
      <c r="B376" t="s">
        <v>428</v>
      </c>
      <c r="C376">
        <v>8</v>
      </c>
      <c r="D376">
        <v>122</v>
      </c>
      <c r="E376">
        <v>2</v>
      </c>
      <c r="F376" s="164">
        <v>800</v>
      </c>
      <c r="G376" s="36">
        <v>2</v>
      </c>
      <c r="H376" s="144">
        <v>800</v>
      </c>
      <c r="I376" s="144">
        <v>2</v>
      </c>
    </row>
    <row r="377" spans="1:9">
      <c r="A377">
        <v>92233</v>
      </c>
      <c r="B377" t="s">
        <v>750</v>
      </c>
      <c r="C377">
        <v>50</v>
      </c>
      <c r="D377">
        <v>382</v>
      </c>
      <c r="E377">
        <v>3</v>
      </c>
      <c r="F377" s="164">
        <v>7500</v>
      </c>
      <c r="G377" s="36">
        <v>15</v>
      </c>
      <c r="H377" s="144">
        <v>7500</v>
      </c>
      <c r="I377" s="144">
        <v>15</v>
      </c>
    </row>
    <row r="378" spans="1:9">
      <c r="A378">
        <v>92122</v>
      </c>
      <c r="B378" t="s">
        <v>747</v>
      </c>
      <c r="C378">
        <v>50</v>
      </c>
      <c r="D378">
        <v>362</v>
      </c>
      <c r="E378">
        <v>3</v>
      </c>
      <c r="F378" s="164">
        <v>7500</v>
      </c>
      <c r="G378" s="36">
        <v>15</v>
      </c>
      <c r="H378" s="144">
        <v>7500</v>
      </c>
      <c r="I378" s="144">
        <v>15</v>
      </c>
    </row>
    <row r="379" spans="1:9">
      <c r="A379">
        <v>92141</v>
      </c>
      <c r="B379" t="s">
        <v>742</v>
      </c>
      <c r="C379">
        <v>50</v>
      </c>
      <c r="D379">
        <v>381</v>
      </c>
      <c r="E379">
        <v>3</v>
      </c>
      <c r="F379" s="164">
        <v>7500</v>
      </c>
      <c r="G379" s="36">
        <v>15</v>
      </c>
      <c r="H379" s="144">
        <v>7500</v>
      </c>
      <c r="I379" s="144">
        <v>15</v>
      </c>
    </row>
    <row r="380" spans="1:9">
      <c r="A380">
        <v>92245</v>
      </c>
      <c r="B380" t="s">
        <v>741</v>
      </c>
      <c r="C380">
        <v>50</v>
      </c>
      <c r="D380">
        <v>276</v>
      </c>
      <c r="E380">
        <v>3</v>
      </c>
      <c r="F380" s="164">
        <v>7500</v>
      </c>
      <c r="G380" s="36">
        <v>15</v>
      </c>
      <c r="H380" s="144">
        <v>7500</v>
      </c>
      <c r="I380" s="144">
        <v>15</v>
      </c>
    </row>
    <row r="381" spans="1:9">
      <c r="A381">
        <v>92251</v>
      </c>
      <c r="B381" t="s">
        <v>755</v>
      </c>
      <c r="C381">
        <v>50</v>
      </c>
      <c r="D381">
        <v>469</v>
      </c>
      <c r="E381">
        <v>3</v>
      </c>
      <c r="F381" s="164">
        <v>7500</v>
      </c>
      <c r="G381" s="36">
        <v>15</v>
      </c>
      <c r="H381" s="144">
        <v>7500</v>
      </c>
      <c r="I381" s="144">
        <v>15</v>
      </c>
    </row>
    <row r="382" spans="1:9">
      <c r="A382">
        <v>92264</v>
      </c>
      <c r="B382" t="s">
        <v>745</v>
      </c>
      <c r="C382">
        <v>50</v>
      </c>
      <c r="D382">
        <v>204</v>
      </c>
      <c r="E382">
        <v>3</v>
      </c>
      <c r="F382" s="164">
        <v>7500</v>
      </c>
      <c r="G382" s="36">
        <v>15</v>
      </c>
      <c r="H382" s="144">
        <v>7500</v>
      </c>
      <c r="I382" s="144">
        <v>15</v>
      </c>
    </row>
    <row r="383" spans="1:9">
      <c r="A383">
        <v>92271</v>
      </c>
      <c r="B383" t="s">
        <v>756</v>
      </c>
      <c r="C383">
        <v>50</v>
      </c>
      <c r="D383">
        <v>108</v>
      </c>
      <c r="E383">
        <v>3</v>
      </c>
      <c r="F383" s="164">
        <v>7500</v>
      </c>
      <c r="G383" s="36">
        <v>15</v>
      </c>
      <c r="H383" s="144">
        <v>7500</v>
      </c>
      <c r="I383" s="144">
        <v>15</v>
      </c>
    </row>
    <row r="384" spans="1:9">
      <c r="A384">
        <v>92278</v>
      </c>
      <c r="B384" t="s">
        <v>777</v>
      </c>
      <c r="C384">
        <v>50</v>
      </c>
      <c r="D384">
        <v>224</v>
      </c>
      <c r="E384">
        <v>3</v>
      </c>
      <c r="F384" s="164">
        <v>7500</v>
      </c>
      <c r="G384" s="36">
        <v>15</v>
      </c>
      <c r="H384" s="144">
        <v>7500</v>
      </c>
      <c r="I384" s="144">
        <v>15</v>
      </c>
    </row>
    <row r="385" spans="1:9">
      <c r="A385">
        <v>92283</v>
      </c>
      <c r="B385" t="s">
        <v>760</v>
      </c>
      <c r="C385">
        <v>50</v>
      </c>
      <c r="D385">
        <v>713</v>
      </c>
      <c r="E385">
        <v>3</v>
      </c>
      <c r="F385" s="164">
        <v>7500</v>
      </c>
      <c r="G385" s="36">
        <v>15</v>
      </c>
      <c r="H385" s="144">
        <v>7500</v>
      </c>
      <c r="I385" s="144">
        <v>15</v>
      </c>
    </row>
    <row r="386" spans="1:9">
      <c r="A386">
        <v>92287</v>
      </c>
      <c r="B386" t="s">
        <v>761</v>
      </c>
      <c r="C386">
        <v>50</v>
      </c>
      <c r="D386">
        <v>655</v>
      </c>
      <c r="E386">
        <v>3</v>
      </c>
      <c r="F386" s="164">
        <v>7500</v>
      </c>
      <c r="G386" s="36">
        <v>15</v>
      </c>
      <c r="H386" s="144">
        <v>7500</v>
      </c>
      <c r="I386" s="144">
        <v>15</v>
      </c>
    </row>
    <row r="387" spans="1:9">
      <c r="A387">
        <v>92142</v>
      </c>
      <c r="B387" t="s">
        <v>749</v>
      </c>
      <c r="C387">
        <v>119.73766952966369</v>
      </c>
      <c r="D387">
        <v>221</v>
      </c>
      <c r="E387">
        <v>4</v>
      </c>
      <c r="F387" s="164">
        <v>23947.533905932738</v>
      </c>
      <c r="G387" s="36">
        <v>48</v>
      </c>
      <c r="H387" s="144">
        <v>23947.533905932738</v>
      </c>
      <c r="I387" s="144">
        <v>48</v>
      </c>
    </row>
    <row r="388" spans="1:9">
      <c r="A388">
        <v>92235</v>
      </c>
      <c r="B388" t="s">
        <v>780</v>
      </c>
      <c r="C388">
        <v>118.67766952966369</v>
      </c>
      <c r="D388">
        <v>227</v>
      </c>
      <c r="E388">
        <v>4</v>
      </c>
      <c r="F388" s="164">
        <v>23735.533905932738</v>
      </c>
      <c r="G388" s="36">
        <v>48</v>
      </c>
      <c r="H388" s="144">
        <v>23735.533905932738</v>
      </c>
      <c r="I388" s="144">
        <v>48</v>
      </c>
    </row>
    <row r="389" spans="1:9">
      <c r="A389">
        <v>92012</v>
      </c>
      <c r="B389" t="s">
        <v>424</v>
      </c>
      <c r="C389">
        <v>120.17766952966369</v>
      </c>
      <c r="D389">
        <v>105</v>
      </c>
      <c r="E389">
        <v>4</v>
      </c>
      <c r="F389" s="164">
        <v>24035.533905932738</v>
      </c>
      <c r="G389" s="36">
        <v>49</v>
      </c>
      <c r="H389" s="144">
        <v>24035.533905932738</v>
      </c>
      <c r="I389" s="144">
        <v>49</v>
      </c>
    </row>
    <row r="390" spans="1:9">
      <c r="A390">
        <v>92252</v>
      </c>
      <c r="B390" t="s">
        <v>752</v>
      </c>
      <c r="C390">
        <v>118.67766952966369</v>
      </c>
      <c r="D390">
        <v>308</v>
      </c>
      <c r="E390">
        <v>4</v>
      </c>
      <c r="F390" s="164">
        <v>23735.533905932738</v>
      </c>
      <c r="G390" s="36">
        <v>48</v>
      </c>
      <c r="H390" s="144">
        <v>23735.533905932738</v>
      </c>
      <c r="I390" s="144">
        <v>48</v>
      </c>
    </row>
    <row r="391" spans="1:9">
      <c r="A391">
        <v>92124</v>
      </c>
      <c r="B391" t="s">
        <v>744</v>
      </c>
      <c r="C391">
        <v>120.17766952966369</v>
      </c>
      <c r="D391">
        <v>234</v>
      </c>
      <c r="E391">
        <v>4</v>
      </c>
      <c r="F391" s="164">
        <v>24035.533905932738</v>
      </c>
      <c r="G391" s="36">
        <v>49</v>
      </c>
      <c r="H391" s="144">
        <v>24035.533905932738</v>
      </c>
      <c r="I391" s="144">
        <v>49</v>
      </c>
    </row>
    <row r="392" spans="1:9">
      <c r="A392">
        <v>92272</v>
      </c>
      <c r="B392" t="s">
        <v>751</v>
      </c>
      <c r="C392">
        <v>120.17766952966369</v>
      </c>
      <c r="D392">
        <v>93</v>
      </c>
      <c r="E392">
        <v>4</v>
      </c>
      <c r="F392" s="164">
        <v>24035.533905932738</v>
      </c>
      <c r="G392" s="36">
        <v>49</v>
      </c>
      <c r="H392" s="144">
        <v>24035.533905932738</v>
      </c>
      <c r="I392" s="144">
        <v>49</v>
      </c>
    </row>
    <row r="393" spans="1:9">
      <c r="A393">
        <v>92273</v>
      </c>
      <c r="B393" t="s">
        <v>776</v>
      </c>
      <c r="C393">
        <v>135.35533905932738</v>
      </c>
      <c r="D393">
        <v>86</v>
      </c>
      <c r="E393">
        <v>4</v>
      </c>
      <c r="F393" s="164">
        <v>27071.067811865476</v>
      </c>
      <c r="G393" s="36">
        <v>55</v>
      </c>
      <c r="H393" s="144">
        <v>27071.067811865476</v>
      </c>
      <c r="I393" s="144">
        <v>55</v>
      </c>
    </row>
    <row r="394" spans="1:9">
      <c r="A394">
        <v>92279</v>
      </c>
      <c r="B394" t="s">
        <v>775</v>
      </c>
      <c r="C394">
        <v>118.67766952966369</v>
      </c>
      <c r="D394">
        <v>99</v>
      </c>
      <c r="E394">
        <v>4</v>
      </c>
      <c r="F394" s="164">
        <v>23735.533905932738</v>
      </c>
      <c r="G394" s="36">
        <v>48</v>
      </c>
      <c r="H394" s="144">
        <v>23735.533905932738</v>
      </c>
      <c r="I394" s="144">
        <v>48</v>
      </c>
    </row>
    <row r="395" spans="1:9">
      <c r="A395">
        <v>92284</v>
      </c>
      <c r="B395" t="s">
        <v>762</v>
      </c>
      <c r="C395">
        <v>119.73766952966369</v>
      </c>
      <c r="D395">
        <v>687</v>
      </c>
      <c r="E395">
        <v>4</v>
      </c>
      <c r="F395" s="164">
        <v>23947.533905932738</v>
      </c>
      <c r="G395" s="36">
        <v>48</v>
      </c>
      <c r="H395" s="144">
        <v>23947.533905932738</v>
      </c>
      <c r="I395" s="144">
        <v>48</v>
      </c>
    </row>
    <row r="396" spans="1:9">
      <c r="A396">
        <v>92288</v>
      </c>
      <c r="B396" t="s">
        <v>772</v>
      </c>
      <c r="C396">
        <v>119.73766952966369</v>
      </c>
      <c r="D396">
        <v>629</v>
      </c>
      <c r="E396">
        <v>4</v>
      </c>
      <c r="F396" s="164">
        <v>23947.533905932738</v>
      </c>
      <c r="G396" s="36">
        <v>48</v>
      </c>
      <c r="H396" s="144">
        <v>23947.533905932738</v>
      </c>
      <c r="I396" s="144">
        <v>48</v>
      </c>
    </row>
    <row r="397" spans="1:9">
      <c r="A397">
        <v>92125</v>
      </c>
      <c r="B397" t="s">
        <v>769</v>
      </c>
      <c r="C397">
        <v>348.73922253581054</v>
      </c>
      <c r="D397">
        <v>104</v>
      </c>
      <c r="E397">
        <v>4</v>
      </c>
      <c r="F397" s="164">
        <v>69747.84450716211</v>
      </c>
      <c r="G397" s="36">
        <v>140</v>
      </c>
      <c r="H397" s="144">
        <v>69747.84450716211</v>
      </c>
      <c r="I397" s="144">
        <v>140</v>
      </c>
    </row>
    <row r="398" spans="1:9">
      <c r="A398">
        <v>92134</v>
      </c>
      <c r="B398" t="s">
        <v>736</v>
      </c>
      <c r="C398">
        <v>348.73922253581054</v>
      </c>
      <c r="D398">
        <v>108</v>
      </c>
      <c r="E398">
        <v>4</v>
      </c>
      <c r="F398" s="164">
        <v>69747.84450716211</v>
      </c>
      <c r="G398" s="36">
        <v>140</v>
      </c>
      <c r="H398" s="144">
        <v>69747.84450716211</v>
      </c>
      <c r="I398" s="144">
        <v>140</v>
      </c>
    </row>
    <row r="399" spans="1:9">
      <c r="A399">
        <v>92223</v>
      </c>
      <c r="B399" t="s">
        <v>426</v>
      </c>
      <c r="C399">
        <v>348.58365904394952</v>
      </c>
      <c r="D399">
        <v>130</v>
      </c>
      <c r="E399">
        <v>4</v>
      </c>
      <c r="F399" s="164">
        <v>69716.731808789904</v>
      </c>
      <c r="G399" s="36">
        <v>140</v>
      </c>
      <c r="H399" s="144">
        <v>69716.731808789904</v>
      </c>
      <c r="I399" s="144">
        <v>140</v>
      </c>
    </row>
    <row r="400" spans="1:9">
      <c r="A400">
        <v>92227</v>
      </c>
      <c r="B400" t="s">
        <v>759</v>
      </c>
      <c r="C400">
        <v>348.20889244992065</v>
      </c>
      <c r="D400">
        <v>141</v>
      </c>
      <c r="E400">
        <v>4</v>
      </c>
      <c r="F400" s="164">
        <v>69641.778489984135</v>
      </c>
      <c r="G400" s="36">
        <v>140</v>
      </c>
      <c r="H400" s="144">
        <v>69641.778489984135</v>
      </c>
      <c r="I400" s="144">
        <v>140</v>
      </c>
    </row>
    <row r="401" spans="1:9">
      <c r="A401">
        <v>92236</v>
      </c>
      <c r="B401" t="s">
        <v>766</v>
      </c>
      <c r="C401">
        <v>384.29255149387018</v>
      </c>
      <c r="D401">
        <v>67</v>
      </c>
      <c r="E401">
        <v>4</v>
      </c>
      <c r="F401" s="164">
        <v>76858.510298774039</v>
      </c>
      <c r="G401" s="36">
        <v>154</v>
      </c>
      <c r="H401" s="144">
        <v>76858.510298774039</v>
      </c>
      <c r="I401" s="144">
        <v>154</v>
      </c>
    </row>
    <row r="402" spans="1:9">
      <c r="A402">
        <v>92013</v>
      </c>
      <c r="B402" t="s">
        <v>425</v>
      </c>
      <c r="C402">
        <v>384.82288157976006</v>
      </c>
      <c r="D402">
        <v>85</v>
      </c>
      <c r="E402">
        <v>4</v>
      </c>
      <c r="F402" s="164">
        <v>76964.576315952014</v>
      </c>
      <c r="G402" s="36">
        <v>154</v>
      </c>
      <c r="H402" s="144">
        <v>76964.576315952014</v>
      </c>
      <c r="I402" s="144">
        <v>154</v>
      </c>
    </row>
    <row r="403" spans="1:9">
      <c r="A403">
        <v>92253</v>
      </c>
      <c r="B403" t="s">
        <v>753</v>
      </c>
      <c r="C403">
        <v>348.20889244992065</v>
      </c>
      <c r="D403">
        <v>148</v>
      </c>
      <c r="E403">
        <v>4</v>
      </c>
      <c r="F403" s="164">
        <v>69641.778489984135</v>
      </c>
      <c r="G403" s="36">
        <v>140</v>
      </c>
      <c r="H403" s="144">
        <v>69641.778489984135</v>
      </c>
      <c r="I403" s="144">
        <v>140</v>
      </c>
    </row>
    <row r="404" spans="1:9">
      <c r="A404">
        <v>92254</v>
      </c>
      <c r="B404" t="s">
        <v>757</v>
      </c>
      <c r="C404">
        <v>348.20889244992065</v>
      </c>
      <c r="D404">
        <v>140</v>
      </c>
      <c r="E404">
        <v>4</v>
      </c>
      <c r="F404" s="164">
        <v>69641.778489984135</v>
      </c>
      <c r="G404" s="36">
        <v>140</v>
      </c>
      <c r="H404" s="144">
        <v>69641.778489984135</v>
      </c>
      <c r="I404" s="144">
        <v>140</v>
      </c>
    </row>
    <row r="405" spans="1:9">
      <c r="A405">
        <v>92274</v>
      </c>
      <c r="B405" t="s">
        <v>763</v>
      </c>
      <c r="C405">
        <v>390.34456159513792</v>
      </c>
      <c r="D405">
        <v>70</v>
      </c>
      <c r="E405">
        <v>4</v>
      </c>
      <c r="F405" s="164">
        <v>78068.912319027586</v>
      </c>
      <c r="G405" s="36">
        <v>157</v>
      </c>
      <c r="H405" s="144">
        <v>78068.912319027586</v>
      </c>
      <c r="I405" s="144">
        <v>157</v>
      </c>
    </row>
    <row r="406" spans="1:9">
      <c r="A406">
        <v>92280</v>
      </c>
      <c r="B406" t="s">
        <v>427</v>
      </c>
      <c r="C406">
        <v>384.29255149387018</v>
      </c>
      <c r="D406">
        <v>75</v>
      </c>
      <c r="E406">
        <v>4</v>
      </c>
      <c r="F406" s="164">
        <v>76858.510298774039</v>
      </c>
      <c r="G406" s="36">
        <v>154</v>
      </c>
      <c r="H406" s="144">
        <v>76858.510298774039</v>
      </c>
      <c r="I406" s="144">
        <v>154</v>
      </c>
    </row>
    <row r="407" spans="1:9">
      <c r="A407">
        <v>92285</v>
      </c>
      <c r="B407" t="s">
        <v>774</v>
      </c>
      <c r="C407">
        <v>384.66731808789905</v>
      </c>
      <c r="D407">
        <v>286</v>
      </c>
      <c r="E407">
        <v>4</v>
      </c>
      <c r="F407" s="164">
        <v>76933.463617579808</v>
      </c>
      <c r="G407" s="36">
        <v>154</v>
      </c>
      <c r="H407" s="144">
        <v>76933.463617579808</v>
      </c>
      <c r="I407" s="144">
        <v>154</v>
      </c>
    </row>
    <row r="408" spans="1:9">
      <c r="A408">
        <v>92289</v>
      </c>
      <c r="B408" t="s">
        <v>768</v>
      </c>
      <c r="C408">
        <v>384.66731808789905</v>
      </c>
      <c r="D408">
        <v>262</v>
      </c>
      <c r="E408">
        <v>4</v>
      </c>
      <c r="F408" s="164">
        <v>76933.463617579808</v>
      </c>
      <c r="G408" s="36">
        <v>154</v>
      </c>
      <c r="H408" s="144">
        <v>76933.463617579808</v>
      </c>
      <c r="I408" s="144">
        <v>154</v>
      </c>
    </row>
    <row r="409" spans="1:9">
      <c r="A409">
        <v>92014</v>
      </c>
      <c r="B409" t="s">
        <v>773</v>
      </c>
      <c r="C409">
        <v>1072.0558691207962</v>
      </c>
      <c r="D409">
        <v>64</v>
      </c>
      <c r="E409">
        <v>4</v>
      </c>
      <c r="F409" s="55">
        <v>214411.17382415922</v>
      </c>
      <c r="G409" s="36">
        <v>429</v>
      </c>
      <c r="H409" s="144">
        <v>214411.17382415922</v>
      </c>
      <c r="I409" s="144">
        <v>429</v>
      </c>
    </row>
    <row r="410" spans="1:9">
      <c r="A410">
        <v>92296</v>
      </c>
      <c r="B410" t="s">
        <v>765</v>
      </c>
      <c r="C410">
        <v>1046.5958691207961</v>
      </c>
      <c r="D410">
        <v>87</v>
      </c>
      <c r="E410">
        <v>4</v>
      </c>
      <c r="F410" s="55">
        <v>209319.17382415922</v>
      </c>
      <c r="G410" s="36">
        <v>419</v>
      </c>
      <c r="H410" s="144">
        <v>209319.17382415922</v>
      </c>
      <c r="I410" s="144">
        <v>419</v>
      </c>
    </row>
    <row r="411" spans="1:9">
      <c r="A411">
        <v>92240</v>
      </c>
      <c r="B411" t="s">
        <v>754</v>
      </c>
      <c r="C411">
        <v>1059.110869120796</v>
      </c>
      <c r="D411">
        <v>50</v>
      </c>
      <c r="E411">
        <v>4</v>
      </c>
      <c r="F411" s="55">
        <v>211822.1738241592</v>
      </c>
      <c r="G411" s="36">
        <v>424</v>
      </c>
      <c r="H411" s="144">
        <v>211822.1738241592</v>
      </c>
      <c r="I411" s="144">
        <v>424</v>
      </c>
    </row>
    <row r="412" spans="1:9">
      <c r="A412">
        <v>92292</v>
      </c>
      <c r="B412" t="s">
        <v>770</v>
      </c>
      <c r="C412">
        <v>1046.3533691207961</v>
      </c>
      <c r="D412">
        <v>64</v>
      </c>
      <c r="E412">
        <v>4</v>
      </c>
      <c r="F412" s="55">
        <v>209270.67382415922</v>
      </c>
      <c r="G412" s="36">
        <v>419</v>
      </c>
      <c r="H412" s="144">
        <v>209270.67382415922</v>
      </c>
      <c r="I412" s="144">
        <v>419</v>
      </c>
    </row>
    <row r="413" spans="1:9">
      <c r="A413">
        <v>92256</v>
      </c>
      <c r="B413" t="s">
        <v>767</v>
      </c>
      <c r="C413">
        <v>1046.2208691207961</v>
      </c>
      <c r="D413">
        <v>66</v>
      </c>
      <c r="E413">
        <v>4</v>
      </c>
      <c r="F413" s="55">
        <v>209244.17382415922</v>
      </c>
      <c r="G413" s="36">
        <v>419</v>
      </c>
      <c r="H413" s="144">
        <v>209244.17382415922</v>
      </c>
      <c r="I413" s="144">
        <v>419</v>
      </c>
    </row>
    <row r="414" spans="1:9">
      <c r="A414">
        <v>92261</v>
      </c>
      <c r="B414" t="s">
        <v>758</v>
      </c>
      <c r="C414">
        <v>1046.2208691207961</v>
      </c>
      <c r="D414">
        <v>60</v>
      </c>
      <c r="E414">
        <v>4</v>
      </c>
      <c r="F414" s="55">
        <v>209244.17382415922</v>
      </c>
      <c r="G414" s="36">
        <v>419</v>
      </c>
      <c r="H414" s="144">
        <v>209244.17382415922</v>
      </c>
      <c r="I414" s="144">
        <v>419</v>
      </c>
    </row>
    <row r="415" spans="1:9">
      <c r="A415">
        <v>92275</v>
      </c>
      <c r="B415" t="s">
        <v>771</v>
      </c>
      <c r="C415">
        <v>1061.1180778120042</v>
      </c>
      <c r="D415">
        <v>54</v>
      </c>
      <c r="E415">
        <v>4</v>
      </c>
      <c r="F415" s="55">
        <v>212223.61556240084</v>
      </c>
      <c r="G415" s="36">
        <v>425</v>
      </c>
      <c r="H415" s="144">
        <v>212223.61556240084</v>
      </c>
      <c r="I415" s="144">
        <v>425</v>
      </c>
    </row>
    <row r="416" spans="1:9">
      <c r="A416">
        <v>92281</v>
      </c>
      <c r="B416" t="s">
        <v>781</v>
      </c>
      <c r="C416">
        <v>1071.8683691207962</v>
      </c>
      <c r="D416">
        <v>58</v>
      </c>
      <c r="E416">
        <v>4</v>
      </c>
      <c r="F416" s="55">
        <v>214373.67382415922</v>
      </c>
      <c r="G416" s="36">
        <v>429</v>
      </c>
      <c r="H416" s="144">
        <v>214373.67382415922</v>
      </c>
      <c r="I416" s="144">
        <v>429</v>
      </c>
    </row>
    <row r="417" spans="1:9">
      <c r="A417">
        <v>92286</v>
      </c>
      <c r="B417" t="s">
        <v>787</v>
      </c>
      <c r="C417">
        <v>1072.0008691207961</v>
      </c>
      <c r="D417">
        <v>100</v>
      </c>
      <c r="E417">
        <v>4</v>
      </c>
      <c r="F417" s="55">
        <v>214400.17382415922</v>
      </c>
      <c r="G417" s="36">
        <v>429</v>
      </c>
      <c r="H417" s="144">
        <v>214400.17382415922</v>
      </c>
      <c r="I417" s="144">
        <v>429</v>
      </c>
    </row>
    <row r="418" spans="1:9">
      <c r="A418">
        <v>92290</v>
      </c>
      <c r="B418" t="s">
        <v>784</v>
      </c>
      <c r="C418">
        <v>1072.0008691207961</v>
      </c>
      <c r="D418">
        <v>91</v>
      </c>
      <c r="E418">
        <v>4</v>
      </c>
      <c r="F418" s="55">
        <v>214400.17382415922</v>
      </c>
      <c r="G418" s="36">
        <v>429</v>
      </c>
      <c r="H418" s="144">
        <v>214400.17382415922</v>
      </c>
      <c r="I418" s="144">
        <v>429</v>
      </c>
    </row>
    <row r="419" spans="1:9">
      <c r="A419">
        <v>92026</v>
      </c>
      <c r="B419" t="s">
        <v>764</v>
      </c>
      <c r="C419">
        <v>2316.0770588593405</v>
      </c>
      <c r="D419">
        <v>25</v>
      </c>
      <c r="E419">
        <v>4</v>
      </c>
      <c r="F419" s="55">
        <v>463215.41177186812</v>
      </c>
      <c r="G419" s="36">
        <v>927</v>
      </c>
      <c r="H419" s="144">
        <v>463215.41177186812</v>
      </c>
      <c r="I419" s="144">
        <v>927</v>
      </c>
    </row>
    <row r="420" spans="1:9">
      <c r="A420">
        <v>92255</v>
      </c>
      <c r="B420" t="s">
        <v>778</v>
      </c>
      <c r="C420">
        <v>2279.5797423483964</v>
      </c>
      <c r="D420">
        <v>26</v>
      </c>
      <c r="E420">
        <v>4</v>
      </c>
      <c r="F420" s="55">
        <v>455915.94846967928</v>
      </c>
      <c r="G420" s="36">
        <v>912</v>
      </c>
      <c r="H420" s="144">
        <v>455915.94846967928</v>
      </c>
      <c r="I420" s="144">
        <v>912</v>
      </c>
    </row>
    <row r="421" spans="1:9">
      <c r="A421">
        <v>92297</v>
      </c>
      <c r="B421" t="s">
        <v>786</v>
      </c>
      <c r="C421">
        <v>2288.9595138008362</v>
      </c>
      <c r="D421">
        <v>11</v>
      </c>
      <c r="E421">
        <v>4</v>
      </c>
      <c r="F421" s="55">
        <v>457791.90276016726</v>
      </c>
      <c r="G421" s="36">
        <v>916</v>
      </c>
      <c r="H421" s="144">
        <v>457791.90276016726</v>
      </c>
      <c r="I421" s="144">
        <v>916</v>
      </c>
    </row>
    <row r="422" spans="1:9">
      <c r="A422">
        <v>92293</v>
      </c>
      <c r="B422" t="s">
        <v>779</v>
      </c>
      <c r="C422">
        <v>2290.3788246776458</v>
      </c>
      <c r="D422">
        <v>20</v>
      </c>
      <c r="E422">
        <v>4</v>
      </c>
      <c r="F422" s="55">
        <v>458075.76493552915</v>
      </c>
      <c r="G422" s="36">
        <v>917</v>
      </c>
      <c r="H422" s="144">
        <v>458075.76493552915</v>
      </c>
      <c r="I422" s="144">
        <v>917</v>
      </c>
    </row>
    <row r="423" spans="1:9">
      <c r="A423">
        <v>92294</v>
      </c>
      <c r="B423" t="s">
        <v>788</v>
      </c>
      <c r="C423">
        <v>2297.8089551673856</v>
      </c>
      <c r="D423">
        <v>25</v>
      </c>
      <c r="E423">
        <v>4</v>
      </c>
      <c r="F423" s="55">
        <v>459561.79103347711</v>
      </c>
      <c r="G423" s="36">
        <v>920</v>
      </c>
      <c r="H423" s="144">
        <v>459561.79103347711</v>
      </c>
      <c r="I423" s="144">
        <v>920</v>
      </c>
    </row>
    <row r="424" spans="1:9">
      <c r="A424">
        <v>92295</v>
      </c>
      <c r="B424" t="s">
        <v>791</v>
      </c>
      <c r="C424">
        <v>2279.9385990398487</v>
      </c>
      <c r="D424">
        <v>19</v>
      </c>
      <c r="E424">
        <v>4</v>
      </c>
      <c r="F424" s="55">
        <v>455987.71980796976</v>
      </c>
      <c r="G424" s="36">
        <v>912</v>
      </c>
      <c r="H424" s="144">
        <v>455987.71980796976</v>
      </c>
      <c r="I424" s="144">
        <v>912</v>
      </c>
    </row>
    <row r="425" spans="1:9">
      <c r="A425">
        <v>92262</v>
      </c>
      <c r="B425" t="s">
        <v>782</v>
      </c>
      <c r="C425">
        <v>2279.5797423483964</v>
      </c>
      <c r="D425">
        <v>14</v>
      </c>
      <c r="E425">
        <v>4</v>
      </c>
      <c r="F425" s="55">
        <v>455915.94846967928</v>
      </c>
      <c r="G425" s="36">
        <v>912</v>
      </c>
      <c r="H425" s="144">
        <v>455915.94846967928</v>
      </c>
      <c r="I425" s="144">
        <v>912</v>
      </c>
    </row>
    <row r="426" spans="1:9">
      <c r="A426">
        <v>92298</v>
      </c>
      <c r="B426" t="s">
        <v>789</v>
      </c>
      <c r="C426">
        <v>2288.9595138008362</v>
      </c>
      <c r="D426">
        <v>17</v>
      </c>
      <c r="E426">
        <v>4</v>
      </c>
      <c r="F426" s="55">
        <v>457791.90276016726</v>
      </c>
      <c r="G426" s="36">
        <v>916</v>
      </c>
      <c r="H426" s="144">
        <v>457791.90276016726</v>
      </c>
      <c r="I426" s="144">
        <v>916</v>
      </c>
    </row>
    <row r="427" spans="1:9">
      <c r="A427">
        <v>92276</v>
      </c>
      <c r="B427" t="s">
        <v>783</v>
      </c>
      <c r="C427">
        <v>2308.3817633266553</v>
      </c>
      <c r="D427">
        <v>16</v>
      </c>
      <c r="E427">
        <v>4</v>
      </c>
      <c r="F427" s="55">
        <v>461676.3526653311</v>
      </c>
      <c r="G427" s="36">
        <v>924</v>
      </c>
      <c r="H427" s="144">
        <v>461676.3526653311</v>
      </c>
      <c r="I427" s="144">
        <v>924</v>
      </c>
    </row>
    <row r="428" spans="1:9">
      <c r="A428">
        <v>92282</v>
      </c>
      <c r="B428" t="s">
        <v>785</v>
      </c>
      <c r="C428">
        <v>2315.9444763378679</v>
      </c>
      <c r="D428">
        <v>14</v>
      </c>
      <c r="E428">
        <v>4</v>
      </c>
      <c r="F428" s="55">
        <v>463188.89526757359</v>
      </c>
      <c r="G428" s="36">
        <v>927</v>
      </c>
      <c r="H428" s="144">
        <v>463188.89526757359</v>
      </c>
      <c r="I428" s="144">
        <v>927</v>
      </c>
    </row>
    <row r="429" spans="1:9">
      <c r="A429">
        <v>92299</v>
      </c>
      <c r="B429" t="s">
        <v>792</v>
      </c>
      <c r="C429">
        <v>2316.0381679863749</v>
      </c>
      <c r="D429">
        <v>25</v>
      </c>
      <c r="E429">
        <v>4</v>
      </c>
      <c r="F429" s="55">
        <v>463207.63359727501</v>
      </c>
      <c r="G429" s="36">
        <v>927</v>
      </c>
      <c r="H429" s="144">
        <v>463207.63359727501</v>
      </c>
      <c r="I429" s="144">
        <v>927</v>
      </c>
    </row>
    <row r="430" spans="1:9">
      <c r="A430">
        <v>92291</v>
      </c>
      <c r="B430" t="s">
        <v>790</v>
      </c>
      <c r="C430">
        <v>2316.0381679863749</v>
      </c>
      <c r="D430">
        <v>26</v>
      </c>
      <c r="E430">
        <v>4</v>
      </c>
      <c r="F430" s="55">
        <v>463207.63359727501</v>
      </c>
      <c r="G430" s="36">
        <v>927</v>
      </c>
      <c r="H430" s="144">
        <v>463207.63359727501</v>
      </c>
      <c r="I430" s="144">
        <v>927</v>
      </c>
    </row>
    <row r="431" spans="1:9">
      <c r="A431">
        <v>93233</v>
      </c>
      <c r="B431" t="s">
        <v>1341</v>
      </c>
      <c r="C431">
        <v>10</v>
      </c>
      <c r="D431">
        <v>1910</v>
      </c>
      <c r="E431">
        <v>2</v>
      </c>
      <c r="F431" s="55">
        <v>1000</v>
      </c>
      <c r="G431" s="36">
        <v>2</v>
      </c>
      <c r="H431" s="144">
        <v>1000</v>
      </c>
      <c r="I431" s="144">
        <v>2</v>
      </c>
    </row>
    <row r="432" spans="1:9">
      <c r="A432">
        <v>93122</v>
      </c>
      <c r="B432" t="s">
        <v>1342</v>
      </c>
      <c r="C432">
        <v>10</v>
      </c>
      <c r="D432">
        <v>1810</v>
      </c>
      <c r="E432">
        <v>2</v>
      </c>
      <c r="F432" s="55">
        <v>1000</v>
      </c>
      <c r="G432" s="36">
        <v>2</v>
      </c>
      <c r="H432" s="144">
        <v>1000</v>
      </c>
      <c r="I432" s="144">
        <v>2</v>
      </c>
    </row>
    <row r="433" spans="1:9">
      <c r="A433">
        <v>93141</v>
      </c>
      <c r="B433" t="s">
        <v>1343</v>
      </c>
      <c r="C433">
        <v>10</v>
      </c>
      <c r="D433">
        <v>1905</v>
      </c>
      <c r="E433">
        <v>2</v>
      </c>
      <c r="F433" s="55">
        <v>1000</v>
      </c>
      <c r="G433" s="36">
        <v>2</v>
      </c>
      <c r="H433" s="144">
        <v>1000</v>
      </c>
      <c r="I433" s="144">
        <v>2</v>
      </c>
    </row>
    <row r="434" spans="1:9">
      <c r="A434">
        <v>93245</v>
      </c>
      <c r="B434" t="s">
        <v>1344</v>
      </c>
      <c r="C434">
        <v>10</v>
      </c>
      <c r="D434">
        <v>1380</v>
      </c>
      <c r="E434">
        <v>2</v>
      </c>
      <c r="F434" s="55">
        <v>1000</v>
      </c>
      <c r="G434" s="36">
        <v>2</v>
      </c>
      <c r="H434" s="144">
        <v>1000</v>
      </c>
      <c r="I434" s="144">
        <v>2</v>
      </c>
    </row>
    <row r="435" spans="1:9">
      <c r="A435">
        <v>93251</v>
      </c>
      <c r="B435" t="s">
        <v>793</v>
      </c>
      <c r="C435">
        <v>10</v>
      </c>
      <c r="D435">
        <v>2345</v>
      </c>
      <c r="E435">
        <v>2</v>
      </c>
      <c r="F435" s="55">
        <v>1000</v>
      </c>
      <c r="G435" s="36">
        <v>2</v>
      </c>
      <c r="H435" s="144">
        <v>1000</v>
      </c>
      <c r="I435" s="144">
        <v>2</v>
      </c>
    </row>
    <row r="436" spans="1:9">
      <c r="A436">
        <v>93264</v>
      </c>
      <c r="B436" t="s">
        <v>1345</v>
      </c>
      <c r="C436">
        <v>10</v>
      </c>
      <c r="D436">
        <v>1020</v>
      </c>
      <c r="E436">
        <v>2</v>
      </c>
      <c r="F436" s="55">
        <v>1000</v>
      </c>
      <c r="G436" s="36">
        <v>2</v>
      </c>
      <c r="H436" s="144">
        <v>1000</v>
      </c>
      <c r="I436" s="144">
        <v>2</v>
      </c>
    </row>
    <row r="437" spans="1:9">
      <c r="A437">
        <v>93271</v>
      </c>
      <c r="B437" t="s">
        <v>794</v>
      </c>
      <c r="C437">
        <v>10</v>
      </c>
      <c r="D437">
        <v>540</v>
      </c>
      <c r="E437">
        <v>2</v>
      </c>
      <c r="F437" s="55">
        <v>1000</v>
      </c>
      <c r="G437" s="36">
        <v>2</v>
      </c>
      <c r="H437" s="144">
        <v>1000</v>
      </c>
      <c r="I437" s="144">
        <v>2</v>
      </c>
    </row>
    <row r="438" spans="1:9">
      <c r="A438">
        <v>93278</v>
      </c>
      <c r="B438" t="s">
        <v>815</v>
      </c>
      <c r="C438">
        <v>10</v>
      </c>
      <c r="D438">
        <v>1120</v>
      </c>
      <c r="E438">
        <v>2</v>
      </c>
      <c r="F438" s="55">
        <v>1000</v>
      </c>
      <c r="G438" s="36">
        <v>2</v>
      </c>
      <c r="H438" s="144">
        <v>1000</v>
      </c>
      <c r="I438" s="144">
        <v>2</v>
      </c>
    </row>
    <row r="439" spans="1:9">
      <c r="A439">
        <v>93283</v>
      </c>
      <c r="B439" t="s">
        <v>798</v>
      </c>
      <c r="C439">
        <v>10</v>
      </c>
      <c r="D439">
        <v>3565</v>
      </c>
      <c r="E439">
        <v>2</v>
      </c>
      <c r="F439" s="55">
        <v>1000</v>
      </c>
      <c r="G439" s="36">
        <v>2</v>
      </c>
      <c r="H439" s="144">
        <v>1000</v>
      </c>
      <c r="I439" s="144">
        <v>2</v>
      </c>
    </row>
    <row r="440" spans="1:9">
      <c r="A440">
        <v>93287</v>
      </c>
      <c r="B440" t="s">
        <v>799</v>
      </c>
      <c r="C440">
        <v>10</v>
      </c>
      <c r="D440">
        <v>3275</v>
      </c>
      <c r="E440">
        <v>2</v>
      </c>
      <c r="F440" s="55">
        <v>1000</v>
      </c>
      <c r="G440" s="36">
        <v>2</v>
      </c>
      <c r="H440" s="144">
        <v>1000</v>
      </c>
      <c r="I440" s="144">
        <v>2</v>
      </c>
    </row>
    <row r="441" spans="1:9">
      <c r="A441">
        <v>93142</v>
      </c>
      <c r="B441" t="s">
        <v>1346</v>
      </c>
      <c r="C441">
        <v>20</v>
      </c>
      <c r="D441">
        <v>1105</v>
      </c>
      <c r="E441">
        <v>2</v>
      </c>
      <c r="F441" s="55">
        <v>2000</v>
      </c>
      <c r="G441" s="36">
        <v>4</v>
      </c>
      <c r="H441" s="144">
        <v>2000</v>
      </c>
      <c r="I441" s="144">
        <v>4</v>
      </c>
    </row>
    <row r="442" spans="1:9">
      <c r="A442">
        <v>93235</v>
      </c>
      <c r="B442" t="s">
        <v>818</v>
      </c>
      <c r="C442">
        <v>20</v>
      </c>
      <c r="D442">
        <v>1135</v>
      </c>
      <c r="E442">
        <v>2</v>
      </c>
      <c r="F442" s="55">
        <v>2000</v>
      </c>
      <c r="G442" s="36">
        <v>4</v>
      </c>
      <c r="H442" s="144">
        <v>2000</v>
      </c>
      <c r="I442" s="144">
        <v>4</v>
      </c>
    </row>
    <row r="443" spans="1:9">
      <c r="A443">
        <v>93012</v>
      </c>
      <c r="B443" t="s">
        <v>1347</v>
      </c>
      <c r="C443">
        <v>20</v>
      </c>
      <c r="D443">
        <v>525</v>
      </c>
      <c r="E443">
        <v>2</v>
      </c>
      <c r="F443" s="55">
        <v>2000</v>
      </c>
      <c r="G443" s="36">
        <v>4</v>
      </c>
      <c r="H443" s="144">
        <v>2000</v>
      </c>
      <c r="I443" s="144">
        <v>4</v>
      </c>
    </row>
    <row r="444" spans="1:9">
      <c r="A444">
        <v>93252</v>
      </c>
      <c r="B444" t="s">
        <v>1348</v>
      </c>
      <c r="C444">
        <v>20</v>
      </c>
      <c r="D444">
        <v>1540</v>
      </c>
      <c r="E444">
        <v>2</v>
      </c>
      <c r="F444" s="55">
        <v>2000</v>
      </c>
      <c r="G444" s="36">
        <v>4</v>
      </c>
      <c r="H444" s="144">
        <v>2000</v>
      </c>
      <c r="I444" s="144">
        <v>4</v>
      </c>
    </row>
    <row r="445" spans="1:9">
      <c r="A445">
        <v>93124</v>
      </c>
      <c r="B445" t="s">
        <v>1349</v>
      </c>
      <c r="C445">
        <v>20</v>
      </c>
      <c r="D445">
        <v>1170</v>
      </c>
      <c r="E445">
        <v>2</v>
      </c>
      <c r="F445" s="55">
        <v>2000</v>
      </c>
      <c r="G445" s="36">
        <v>4</v>
      </c>
      <c r="H445" s="144">
        <v>2000</v>
      </c>
      <c r="I445" s="144">
        <v>4</v>
      </c>
    </row>
    <row r="446" spans="1:9">
      <c r="A446">
        <v>93272</v>
      </c>
      <c r="B446" t="s">
        <v>1350</v>
      </c>
      <c r="C446">
        <v>20</v>
      </c>
      <c r="D446">
        <v>465</v>
      </c>
      <c r="E446">
        <v>2</v>
      </c>
      <c r="F446" s="55">
        <v>2000</v>
      </c>
      <c r="G446" s="36">
        <v>4</v>
      </c>
      <c r="H446" s="144">
        <v>2000</v>
      </c>
      <c r="I446" s="144">
        <v>4</v>
      </c>
    </row>
    <row r="447" spans="1:9">
      <c r="A447">
        <v>93273</v>
      </c>
      <c r="B447" t="s">
        <v>814</v>
      </c>
      <c r="C447">
        <v>20</v>
      </c>
      <c r="D447">
        <v>430</v>
      </c>
      <c r="E447">
        <v>2</v>
      </c>
      <c r="F447" s="55">
        <v>2000</v>
      </c>
      <c r="G447" s="36">
        <v>4</v>
      </c>
      <c r="H447" s="144">
        <v>2000</v>
      </c>
      <c r="I447" s="144">
        <v>4</v>
      </c>
    </row>
    <row r="448" spans="1:9">
      <c r="A448">
        <v>93279</v>
      </c>
      <c r="B448" t="s">
        <v>813</v>
      </c>
      <c r="C448">
        <v>20</v>
      </c>
      <c r="D448">
        <v>495</v>
      </c>
      <c r="E448">
        <v>2</v>
      </c>
      <c r="F448" s="55">
        <v>2000</v>
      </c>
      <c r="G448" s="36">
        <v>4</v>
      </c>
      <c r="H448" s="144">
        <v>2000</v>
      </c>
      <c r="I448" s="144">
        <v>4</v>
      </c>
    </row>
    <row r="449" spans="1:9">
      <c r="A449">
        <v>93284</v>
      </c>
      <c r="B449" t="s">
        <v>800</v>
      </c>
      <c r="C449">
        <v>20</v>
      </c>
      <c r="D449">
        <v>3435</v>
      </c>
      <c r="E449">
        <v>2</v>
      </c>
      <c r="F449" s="55">
        <v>2000</v>
      </c>
      <c r="G449" s="36">
        <v>4</v>
      </c>
      <c r="H449" s="144">
        <v>2000</v>
      </c>
      <c r="I449" s="144">
        <v>4</v>
      </c>
    </row>
    <row r="450" spans="1:9">
      <c r="A450">
        <v>93288</v>
      </c>
      <c r="B450" t="s">
        <v>810</v>
      </c>
      <c r="C450">
        <v>20</v>
      </c>
      <c r="D450">
        <v>3145</v>
      </c>
      <c r="E450">
        <v>2</v>
      </c>
      <c r="F450" s="55">
        <v>2000</v>
      </c>
      <c r="G450" s="36">
        <v>4</v>
      </c>
      <c r="H450" s="144">
        <v>2000</v>
      </c>
      <c r="I450" s="144">
        <v>4</v>
      </c>
    </row>
    <row r="451" spans="1:9">
      <c r="A451">
        <v>93125</v>
      </c>
      <c r="B451" t="s">
        <v>807</v>
      </c>
      <c r="C451">
        <v>30</v>
      </c>
      <c r="D451">
        <v>1040</v>
      </c>
      <c r="E451">
        <v>2</v>
      </c>
      <c r="F451" s="55">
        <v>3000</v>
      </c>
      <c r="G451" s="36">
        <v>6</v>
      </c>
      <c r="H451" s="144">
        <v>3000</v>
      </c>
      <c r="I451" s="144">
        <v>6</v>
      </c>
    </row>
    <row r="452" spans="1:9">
      <c r="A452">
        <v>93134</v>
      </c>
      <c r="B452" t="s">
        <v>1351</v>
      </c>
      <c r="C452">
        <v>30</v>
      </c>
      <c r="D452">
        <v>1080</v>
      </c>
      <c r="E452">
        <v>2</v>
      </c>
      <c r="F452" s="55">
        <v>3000</v>
      </c>
      <c r="G452" s="36">
        <v>6</v>
      </c>
      <c r="H452" s="144">
        <v>3000</v>
      </c>
      <c r="I452" s="144">
        <v>6</v>
      </c>
    </row>
    <row r="453" spans="1:9">
      <c r="A453">
        <v>93223</v>
      </c>
      <c r="B453" t="s">
        <v>490</v>
      </c>
      <c r="C453">
        <v>30</v>
      </c>
      <c r="D453">
        <v>1300</v>
      </c>
      <c r="E453">
        <v>2</v>
      </c>
      <c r="F453" s="55">
        <v>3000</v>
      </c>
      <c r="G453" s="36">
        <v>6</v>
      </c>
      <c r="H453" s="144">
        <v>3000</v>
      </c>
      <c r="I453" s="144">
        <v>6</v>
      </c>
    </row>
    <row r="454" spans="1:9">
      <c r="A454">
        <v>93227</v>
      </c>
      <c r="B454" t="s">
        <v>797</v>
      </c>
      <c r="C454">
        <v>30</v>
      </c>
      <c r="D454">
        <v>1410</v>
      </c>
      <c r="E454">
        <v>2</v>
      </c>
      <c r="F454" s="55">
        <v>3000</v>
      </c>
      <c r="G454" s="36">
        <v>6</v>
      </c>
      <c r="H454" s="144">
        <v>3000</v>
      </c>
      <c r="I454" s="144">
        <v>6</v>
      </c>
    </row>
    <row r="455" spans="1:9">
      <c r="A455">
        <v>93236</v>
      </c>
      <c r="B455" t="s">
        <v>804</v>
      </c>
      <c r="C455">
        <v>30</v>
      </c>
      <c r="D455">
        <v>670</v>
      </c>
      <c r="E455">
        <v>2</v>
      </c>
      <c r="F455" s="55">
        <v>3000</v>
      </c>
      <c r="G455" s="36">
        <v>6</v>
      </c>
      <c r="H455" s="144">
        <v>3000</v>
      </c>
      <c r="I455" s="144">
        <v>6</v>
      </c>
    </row>
    <row r="456" spans="1:9">
      <c r="A456">
        <v>93013</v>
      </c>
      <c r="B456" t="s">
        <v>489</v>
      </c>
      <c r="C456">
        <v>30</v>
      </c>
      <c r="D456">
        <v>850</v>
      </c>
      <c r="E456">
        <v>2</v>
      </c>
      <c r="F456" s="55">
        <v>3000</v>
      </c>
      <c r="G456" s="36">
        <v>6</v>
      </c>
      <c r="H456" s="144">
        <v>3000</v>
      </c>
      <c r="I456" s="144">
        <v>6</v>
      </c>
    </row>
    <row r="457" spans="1:9">
      <c r="A457">
        <v>93253</v>
      </c>
      <c r="B457" t="s">
        <v>1352</v>
      </c>
      <c r="C457">
        <v>30</v>
      </c>
      <c r="D457">
        <v>1480</v>
      </c>
      <c r="E457">
        <v>2</v>
      </c>
      <c r="F457" s="55">
        <v>3000</v>
      </c>
      <c r="G457" s="36">
        <v>6</v>
      </c>
      <c r="H457" s="144">
        <v>3000</v>
      </c>
      <c r="I457" s="144">
        <v>6</v>
      </c>
    </row>
    <row r="458" spans="1:9">
      <c r="A458">
        <v>93254</v>
      </c>
      <c r="B458" t="s">
        <v>795</v>
      </c>
      <c r="C458">
        <v>30</v>
      </c>
      <c r="D458">
        <v>1400</v>
      </c>
      <c r="E458">
        <v>2</v>
      </c>
      <c r="F458" s="55">
        <v>3000</v>
      </c>
      <c r="G458" s="36">
        <v>6</v>
      </c>
      <c r="H458" s="144">
        <v>3000</v>
      </c>
      <c r="I458" s="144">
        <v>6</v>
      </c>
    </row>
    <row r="459" spans="1:9">
      <c r="A459">
        <v>93274</v>
      </c>
      <c r="B459" t="s">
        <v>801</v>
      </c>
      <c r="C459">
        <v>30</v>
      </c>
      <c r="D459">
        <v>700</v>
      </c>
      <c r="E459">
        <v>2</v>
      </c>
      <c r="F459" s="55">
        <v>3000</v>
      </c>
      <c r="G459" s="36">
        <v>6</v>
      </c>
      <c r="H459" s="144">
        <v>3000</v>
      </c>
      <c r="I459" s="144">
        <v>6</v>
      </c>
    </row>
    <row r="460" spans="1:9">
      <c r="A460">
        <v>93280</v>
      </c>
      <c r="B460" t="s">
        <v>491</v>
      </c>
      <c r="C460">
        <v>30</v>
      </c>
      <c r="D460">
        <v>750</v>
      </c>
      <c r="E460">
        <v>2</v>
      </c>
      <c r="F460" s="55">
        <v>3000</v>
      </c>
      <c r="G460" s="36">
        <v>6</v>
      </c>
      <c r="H460" s="144">
        <v>3000</v>
      </c>
      <c r="I460" s="144">
        <v>6</v>
      </c>
    </row>
    <row r="461" spans="1:9">
      <c r="A461">
        <v>93285</v>
      </c>
      <c r="B461" t="s">
        <v>812</v>
      </c>
      <c r="C461">
        <v>30</v>
      </c>
      <c r="D461">
        <v>2860</v>
      </c>
      <c r="E461">
        <v>2</v>
      </c>
      <c r="F461" s="55">
        <v>3000</v>
      </c>
      <c r="G461" s="36">
        <v>6</v>
      </c>
      <c r="H461" s="144">
        <v>3000</v>
      </c>
      <c r="I461" s="144">
        <v>6</v>
      </c>
    </row>
    <row r="462" spans="1:9">
      <c r="A462">
        <v>93289</v>
      </c>
      <c r="B462" t="s">
        <v>806</v>
      </c>
      <c r="C462">
        <v>30</v>
      </c>
      <c r="D462">
        <v>2620</v>
      </c>
      <c r="E462">
        <v>2</v>
      </c>
      <c r="F462" s="55">
        <v>3000</v>
      </c>
      <c r="G462" s="36">
        <v>6</v>
      </c>
      <c r="H462" s="144">
        <v>3000</v>
      </c>
      <c r="I462" s="144">
        <v>6</v>
      </c>
    </row>
    <row r="463" spans="1:9">
      <c r="A463">
        <v>93014</v>
      </c>
      <c r="B463" t="s">
        <v>811</v>
      </c>
      <c r="C463">
        <v>40</v>
      </c>
      <c r="D463">
        <v>1280</v>
      </c>
      <c r="E463">
        <v>2</v>
      </c>
      <c r="F463" s="55">
        <v>4000</v>
      </c>
      <c r="G463" s="36">
        <v>8</v>
      </c>
      <c r="H463" s="144">
        <v>4000</v>
      </c>
      <c r="I463" s="144">
        <v>8</v>
      </c>
    </row>
    <row r="464" spans="1:9">
      <c r="A464">
        <v>93296</v>
      </c>
      <c r="B464" t="s">
        <v>803</v>
      </c>
      <c r="C464">
        <v>40</v>
      </c>
      <c r="D464">
        <v>1740</v>
      </c>
      <c r="E464">
        <v>2</v>
      </c>
      <c r="F464" s="55">
        <v>4000</v>
      </c>
      <c r="G464" s="36">
        <v>8</v>
      </c>
      <c r="H464" s="144">
        <v>4000</v>
      </c>
      <c r="I464" s="144">
        <v>8</v>
      </c>
    </row>
    <row r="465" spans="1:9">
      <c r="A465">
        <v>93240</v>
      </c>
      <c r="B465" t="s">
        <v>1353</v>
      </c>
      <c r="C465">
        <v>40</v>
      </c>
      <c r="D465">
        <v>1000</v>
      </c>
      <c r="E465">
        <v>2</v>
      </c>
      <c r="F465" s="55">
        <v>4000</v>
      </c>
      <c r="G465" s="36">
        <v>8</v>
      </c>
      <c r="H465" s="144">
        <v>4000</v>
      </c>
      <c r="I465" s="144">
        <v>8</v>
      </c>
    </row>
    <row r="466" spans="1:9">
      <c r="A466">
        <v>93292</v>
      </c>
      <c r="B466" t="s">
        <v>808</v>
      </c>
      <c r="C466">
        <v>40</v>
      </c>
      <c r="D466">
        <v>1280</v>
      </c>
      <c r="E466">
        <v>2</v>
      </c>
      <c r="F466" s="55">
        <v>4000</v>
      </c>
      <c r="G466" s="36">
        <v>8</v>
      </c>
      <c r="H466" s="144">
        <v>4000</v>
      </c>
      <c r="I466" s="144">
        <v>8</v>
      </c>
    </row>
    <row r="467" spans="1:9">
      <c r="A467">
        <v>93256</v>
      </c>
      <c r="B467" t="s">
        <v>805</v>
      </c>
      <c r="C467">
        <v>40</v>
      </c>
      <c r="D467">
        <v>1320</v>
      </c>
      <c r="E467">
        <v>2</v>
      </c>
      <c r="F467" s="55">
        <v>4000</v>
      </c>
      <c r="G467" s="36">
        <v>8</v>
      </c>
      <c r="H467" s="144">
        <v>4000</v>
      </c>
      <c r="I467" s="144">
        <v>8</v>
      </c>
    </row>
    <row r="468" spans="1:9">
      <c r="A468">
        <v>93261</v>
      </c>
      <c r="B468" t="s">
        <v>796</v>
      </c>
      <c r="C468">
        <v>40</v>
      </c>
      <c r="D468">
        <v>1200</v>
      </c>
      <c r="E468">
        <v>2</v>
      </c>
      <c r="F468" s="55">
        <v>4000</v>
      </c>
      <c r="G468" s="36">
        <v>8</v>
      </c>
      <c r="H468" s="144">
        <v>4000</v>
      </c>
      <c r="I468" s="144">
        <v>8</v>
      </c>
    </row>
    <row r="469" spans="1:9">
      <c r="A469">
        <v>93275</v>
      </c>
      <c r="B469" t="s">
        <v>809</v>
      </c>
      <c r="C469">
        <v>40</v>
      </c>
      <c r="D469">
        <v>1080</v>
      </c>
      <c r="E469">
        <v>2</v>
      </c>
      <c r="F469" s="55">
        <v>4000</v>
      </c>
      <c r="G469" s="36">
        <v>8</v>
      </c>
      <c r="H469" s="144">
        <v>4000</v>
      </c>
      <c r="I469" s="144">
        <v>8</v>
      </c>
    </row>
    <row r="470" spans="1:9">
      <c r="A470">
        <v>93281</v>
      </c>
      <c r="B470" t="s">
        <v>819</v>
      </c>
      <c r="C470">
        <v>40</v>
      </c>
      <c r="D470">
        <v>1160</v>
      </c>
      <c r="E470">
        <v>2</v>
      </c>
      <c r="F470" s="55">
        <v>4000</v>
      </c>
      <c r="G470" s="36">
        <v>8</v>
      </c>
      <c r="H470" s="144">
        <v>4000</v>
      </c>
      <c r="I470" s="144">
        <v>8</v>
      </c>
    </row>
    <row r="471" spans="1:9">
      <c r="A471">
        <v>93286</v>
      </c>
      <c r="B471" t="s">
        <v>825</v>
      </c>
      <c r="C471">
        <v>40</v>
      </c>
      <c r="D471">
        <v>2000</v>
      </c>
      <c r="E471">
        <v>2</v>
      </c>
      <c r="F471" s="55">
        <v>4000</v>
      </c>
      <c r="G471" s="36">
        <v>8</v>
      </c>
      <c r="H471" s="144">
        <v>4000</v>
      </c>
      <c r="I471" s="144">
        <v>8</v>
      </c>
    </row>
    <row r="472" spans="1:9">
      <c r="A472">
        <v>93290</v>
      </c>
      <c r="B472" t="s">
        <v>822</v>
      </c>
      <c r="C472">
        <v>40</v>
      </c>
      <c r="D472">
        <v>1820</v>
      </c>
      <c r="E472">
        <v>2</v>
      </c>
      <c r="F472" s="55">
        <v>4000</v>
      </c>
      <c r="G472" s="36">
        <v>8</v>
      </c>
      <c r="H472" s="144">
        <v>4000</v>
      </c>
      <c r="I472" s="144">
        <v>8</v>
      </c>
    </row>
    <row r="473" spans="1:9">
      <c r="A473">
        <v>93026</v>
      </c>
      <c r="B473" t="s">
        <v>802</v>
      </c>
      <c r="C473">
        <v>40</v>
      </c>
      <c r="D473">
        <v>500</v>
      </c>
      <c r="E473">
        <v>2.5</v>
      </c>
      <c r="F473" s="55">
        <v>5000</v>
      </c>
      <c r="G473" s="36">
        <v>10</v>
      </c>
      <c r="H473" s="144">
        <v>5000</v>
      </c>
      <c r="I473" s="144">
        <v>10</v>
      </c>
    </row>
    <row r="474" spans="1:9">
      <c r="A474">
        <v>93255</v>
      </c>
      <c r="B474" t="s">
        <v>816</v>
      </c>
      <c r="C474">
        <v>40</v>
      </c>
      <c r="D474">
        <v>520</v>
      </c>
      <c r="E474">
        <v>2.5</v>
      </c>
      <c r="F474" s="55">
        <v>5000</v>
      </c>
      <c r="G474" s="36">
        <v>10</v>
      </c>
      <c r="H474" s="144">
        <v>5000</v>
      </c>
      <c r="I474" s="144">
        <v>10</v>
      </c>
    </row>
    <row r="475" spans="1:9">
      <c r="A475">
        <v>93297</v>
      </c>
      <c r="B475" t="s">
        <v>824</v>
      </c>
      <c r="C475">
        <v>40</v>
      </c>
      <c r="D475">
        <v>220</v>
      </c>
      <c r="E475">
        <v>2.5</v>
      </c>
      <c r="F475" s="55">
        <v>5000</v>
      </c>
      <c r="G475" s="36">
        <v>10</v>
      </c>
      <c r="H475" s="144">
        <v>5000</v>
      </c>
      <c r="I475" s="144">
        <v>10</v>
      </c>
    </row>
    <row r="476" spans="1:9">
      <c r="A476">
        <v>93293</v>
      </c>
      <c r="B476" t="s">
        <v>817</v>
      </c>
      <c r="C476">
        <v>40</v>
      </c>
      <c r="D476">
        <v>400</v>
      </c>
      <c r="E476">
        <v>2.5</v>
      </c>
      <c r="F476" s="55">
        <v>5000</v>
      </c>
      <c r="G476" s="36">
        <v>10</v>
      </c>
      <c r="H476" s="144">
        <v>5000</v>
      </c>
      <c r="I476" s="144">
        <v>10</v>
      </c>
    </row>
    <row r="477" spans="1:9">
      <c r="A477">
        <v>93294</v>
      </c>
      <c r="B477" t="s">
        <v>826</v>
      </c>
      <c r="C477">
        <v>40</v>
      </c>
      <c r="D477">
        <v>500</v>
      </c>
      <c r="E477">
        <v>2.5</v>
      </c>
      <c r="F477" s="55">
        <v>5000</v>
      </c>
      <c r="G477" s="36">
        <v>10</v>
      </c>
      <c r="H477" s="144">
        <v>5000</v>
      </c>
      <c r="I477" s="144">
        <v>10</v>
      </c>
    </row>
    <row r="478" spans="1:9">
      <c r="A478">
        <v>93295</v>
      </c>
      <c r="B478" t="s">
        <v>829</v>
      </c>
      <c r="C478">
        <v>40</v>
      </c>
      <c r="D478">
        <v>380</v>
      </c>
      <c r="E478">
        <v>2.5</v>
      </c>
      <c r="F478" s="55">
        <v>5000</v>
      </c>
      <c r="G478" s="36">
        <v>10</v>
      </c>
      <c r="H478" s="144">
        <v>5000</v>
      </c>
      <c r="I478" s="144">
        <v>10</v>
      </c>
    </row>
    <row r="479" spans="1:9">
      <c r="A479">
        <v>93262</v>
      </c>
      <c r="B479" t="s">
        <v>820</v>
      </c>
      <c r="C479">
        <v>40</v>
      </c>
      <c r="D479">
        <v>280</v>
      </c>
      <c r="E479">
        <v>2.5</v>
      </c>
      <c r="F479" s="55">
        <v>5000</v>
      </c>
      <c r="G479" s="36">
        <v>10</v>
      </c>
      <c r="H479" s="144">
        <v>5000</v>
      </c>
      <c r="I479" s="144">
        <v>10</v>
      </c>
    </row>
    <row r="480" spans="1:9">
      <c r="A480">
        <v>93298</v>
      </c>
      <c r="B480" t="s">
        <v>827</v>
      </c>
      <c r="C480">
        <v>40</v>
      </c>
      <c r="D480">
        <v>340</v>
      </c>
      <c r="E480">
        <v>2.5</v>
      </c>
      <c r="F480" s="55">
        <v>5000</v>
      </c>
      <c r="G480" s="36">
        <v>10</v>
      </c>
      <c r="H480" s="144">
        <v>5000</v>
      </c>
      <c r="I480" s="144">
        <v>10</v>
      </c>
    </row>
    <row r="481" spans="1:9">
      <c r="A481">
        <v>93276</v>
      </c>
      <c r="B481" t="s">
        <v>821</v>
      </c>
      <c r="C481">
        <v>40</v>
      </c>
      <c r="D481">
        <v>320</v>
      </c>
      <c r="E481">
        <v>2.5</v>
      </c>
      <c r="F481" s="55">
        <v>5000</v>
      </c>
      <c r="G481" s="36">
        <v>10</v>
      </c>
      <c r="H481" s="144">
        <v>5000</v>
      </c>
      <c r="I481" s="144">
        <v>10</v>
      </c>
    </row>
    <row r="482" spans="1:9">
      <c r="A482">
        <v>93282</v>
      </c>
      <c r="B482" t="s">
        <v>823</v>
      </c>
      <c r="C482">
        <v>40</v>
      </c>
      <c r="D482">
        <v>280</v>
      </c>
      <c r="E482">
        <v>2.5</v>
      </c>
      <c r="F482" s="55">
        <v>5000</v>
      </c>
      <c r="G482" s="36">
        <v>10</v>
      </c>
      <c r="H482" s="144">
        <v>5000</v>
      </c>
      <c r="I482" s="144">
        <v>10</v>
      </c>
    </row>
    <row r="483" spans="1:9">
      <c r="A483">
        <v>93299</v>
      </c>
      <c r="B483" t="s">
        <v>830</v>
      </c>
      <c r="C483">
        <v>40</v>
      </c>
      <c r="D483">
        <v>500</v>
      </c>
      <c r="E483">
        <v>2.5</v>
      </c>
      <c r="F483" s="55">
        <v>5000</v>
      </c>
      <c r="G483" s="36">
        <v>10</v>
      </c>
      <c r="H483" s="144">
        <v>5000</v>
      </c>
      <c r="I483" s="144">
        <v>10</v>
      </c>
    </row>
    <row r="484" spans="1:9">
      <c r="A484">
        <v>93291</v>
      </c>
      <c r="B484" t="s">
        <v>828</v>
      </c>
      <c r="C484">
        <v>40</v>
      </c>
      <c r="D484">
        <v>520</v>
      </c>
      <c r="E484">
        <v>2.5</v>
      </c>
      <c r="F484" s="55">
        <v>5000</v>
      </c>
      <c r="G484" s="36">
        <v>10</v>
      </c>
      <c r="H484" s="144">
        <v>5000</v>
      </c>
      <c r="I484" s="144">
        <v>10</v>
      </c>
    </row>
    <row r="485" spans="1:9">
      <c r="A485">
        <v>8001</v>
      </c>
      <c r="B485" t="s">
        <v>831</v>
      </c>
      <c r="C485">
        <v>0</v>
      </c>
      <c r="D485">
        <v>1</v>
      </c>
      <c r="E485">
        <v>0</v>
      </c>
      <c r="F485" s="55">
        <v>0</v>
      </c>
      <c r="G485" s="36">
        <v>0</v>
      </c>
      <c r="H485" s="144">
        <v>0</v>
      </c>
      <c r="I485" s="144">
        <v>0</v>
      </c>
    </row>
    <row r="486" spans="1:9">
      <c r="A486">
        <v>8110</v>
      </c>
      <c r="B486" t="s">
        <v>832</v>
      </c>
      <c r="C486">
        <v>76.2</v>
      </c>
      <c r="D486">
        <v>1</v>
      </c>
      <c r="E486">
        <v>2</v>
      </c>
      <c r="F486" s="55">
        <v>2500</v>
      </c>
      <c r="G486" s="36">
        <v>5</v>
      </c>
      <c r="H486" s="144">
        <v>2500</v>
      </c>
      <c r="I486" s="144">
        <v>5</v>
      </c>
    </row>
    <row r="487" spans="1:9">
      <c r="A487">
        <v>8210</v>
      </c>
      <c r="B487" t="s">
        <v>833</v>
      </c>
      <c r="C487">
        <v>76</v>
      </c>
      <c r="D487">
        <v>1</v>
      </c>
      <c r="E487">
        <v>2</v>
      </c>
      <c r="F487" s="55">
        <v>2500</v>
      </c>
      <c r="G487" s="36">
        <v>5</v>
      </c>
      <c r="H487" s="144">
        <v>2500</v>
      </c>
      <c r="I487" s="144">
        <v>5</v>
      </c>
    </row>
    <row r="488" spans="1:9">
      <c r="A488">
        <v>8310</v>
      </c>
      <c r="B488" t="s">
        <v>834</v>
      </c>
      <c r="C488">
        <v>76</v>
      </c>
      <c r="D488">
        <v>1</v>
      </c>
      <c r="E488">
        <v>2</v>
      </c>
      <c r="F488" s="55">
        <v>2500</v>
      </c>
      <c r="G488" s="36">
        <v>5</v>
      </c>
      <c r="H488" s="144">
        <v>2500</v>
      </c>
      <c r="I488" s="144">
        <v>5</v>
      </c>
    </row>
    <row r="489" spans="1:9">
      <c r="A489">
        <v>8120</v>
      </c>
      <c r="B489" t="s">
        <v>835</v>
      </c>
      <c r="C489">
        <v>137.16</v>
      </c>
      <c r="D489">
        <v>1</v>
      </c>
      <c r="E489">
        <v>11</v>
      </c>
      <c r="F489" s="55">
        <v>25000</v>
      </c>
      <c r="G489" s="36">
        <v>50</v>
      </c>
      <c r="H489" s="144">
        <v>25000</v>
      </c>
      <c r="I489" s="144">
        <v>50</v>
      </c>
    </row>
    <row r="490" spans="1:9">
      <c r="A490">
        <v>8220</v>
      </c>
      <c r="B490" t="s">
        <v>836</v>
      </c>
      <c r="C490">
        <v>137</v>
      </c>
      <c r="D490">
        <v>1</v>
      </c>
      <c r="E490">
        <v>11</v>
      </c>
      <c r="F490" s="55">
        <v>25000</v>
      </c>
      <c r="G490" s="36">
        <v>50</v>
      </c>
      <c r="H490" s="144">
        <v>25000</v>
      </c>
      <c r="I490" s="144">
        <v>50</v>
      </c>
    </row>
    <row r="491" spans="1:9">
      <c r="A491">
        <v>8320</v>
      </c>
      <c r="B491" t="s">
        <v>437</v>
      </c>
      <c r="C491">
        <v>137</v>
      </c>
      <c r="D491">
        <v>1</v>
      </c>
      <c r="E491">
        <v>11</v>
      </c>
      <c r="F491" s="55">
        <v>25000</v>
      </c>
      <c r="G491" s="36">
        <v>50</v>
      </c>
      <c r="H491" s="144">
        <v>25000</v>
      </c>
      <c r="I491" s="144">
        <v>50</v>
      </c>
    </row>
    <row r="492" spans="1:9">
      <c r="A492">
        <v>8420</v>
      </c>
      <c r="B492" t="s">
        <v>837</v>
      </c>
      <c r="C492">
        <v>137.02000000000001</v>
      </c>
      <c r="D492">
        <v>1</v>
      </c>
      <c r="E492">
        <v>11</v>
      </c>
      <c r="F492" s="55">
        <v>25000</v>
      </c>
      <c r="G492" s="36">
        <v>50</v>
      </c>
      <c r="H492" s="144">
        <v>25000</v>
      </c>
      <c r="I492" s="144">
        <v>50</v>
      </c>
    </row>
    <row r="493" spans="1:9">
      <c r="A493">
        <v>8520</v>
      </c>
      <c r="B493" t="s">
        <v>838</v>
      </c>
      <c r="C493">
        <v>137.02000000000001</v>
      </c>
      <c r="D493">
        <v>1</v>
      </c>
      <c r="E493">
        <v>11</v>
      </c>
      <c r="F493" s="55">
        <v>25000</v>
      </c>
      <c r="G493" s="36">
        <v>50</v>
      </c>
      <c r="H493" s="144">
        <v>25000</v>
      </c>
      <c r="I493" s="144">
        <v>50</v>
      </c>
    </row>
    <row r="494" spans="1:9">
      <c r="A494">
        <v>8620</v>
      </c>
      <c r="B494" t="s">
        <v>839</v>
      </c>
      <c r="C494">
        <v>137.16</v>
      </c>
      <c r="D494">
        <v>1</v>
      </c>
      <c r="E494">
        <v>11</v>
      </c>
      <c r="F494" s="55">
        <v>25000</v>
      </c>
      <c r="G494" s="36">
        <v>50</v>
      </c>
      <c r="H494" s="144">
        <v>25000</v>
      </c>
      <c r="I494" s="144">
        <v>50</v>
      </c>
    </row>
    <row r="495" spans="1:9">
      <c r="A495">
        <v>8720</v>
      </c>
      <c r="B495" t="s">
        <v>840</v>
      </c>
      <c r="C495">
        <v>137.16</v>
      </c>
      <c r="D495">
        <v>1</v>
      </c>
      <c r="E495">
        <v>11</v>
      </c>
      <c r="F495" s="55">
        <v>25000</v>
      </c>
      <c r="G495" s="36">
        <v>50</v>
      </c>
      <c r="H495" s="144">
        <v>25000</v>
      </c>
      <c r="I495" s="144">
        <v>50</v>
      </c>
    </row>
    <row r="496" spans="1:9">
      <c r="A496">
        <v>8820</v>
      </c>
      <c r="B496" t="s">
        <v>841</v>
      </c>
      <c r="C496">
        <v>129.68</v>
      </c>
      <c r="D496">
        <v>1</v>
      </c>
      <c r="E496">
        <v>11</v>
      </c>
      <c r="F496" s="55">
        <v>25000</v>
      </c>
      <c r="G496" s="36">
        <v>50</v>
      </c>
      <c r="H496" s="144">
        <v>25000</v>
      </c>
      <c r="I496" s="144">
        <v>50</v>
      </c>
    </row>
    <row r="497" spans="1:9">
      <c r="A497">
        <v>8130</v>
      </c>
      <c r="B497" t="s">
        <v>1108</v>
      </c>
      <c r="C497">
        <v>246.92000000000002</v>
      </c>
      <c r="D497">
        <v>1</v>
      </c>
      <c r="E497">
        <v>80</v>
      </c>
      <c r="F497" s="55">
        <v>200000</v>
      </c>
      <c r="G497" s="36">
        <v>400</v>
      </c>
      <c r="H497" s="144">
        <v>200000</v>
      </c>
      <c r="I497" s="144">
        <v>400</v>
      </c>
    </row>
    <row r="498" spans="1:9">
      <c r="A498">
        <v>8230</v>
      </c>
      <c r="B498" t="s">
        <v>438</v>
      </c>
      <c r="C498">
        <v>247</v>
      </c>
      <c r="D498">
        <v>1</v>
      </c>
      <c r="E498">
        <v>80</v>
      </c>
      <c r="F498" s="55">
        <v>200000</v>
      </c>
      <c r="G498" s="36">
        <v>400</v>
      </c>
      <c r="H498" s="144">
        <v>200000</v>
      </c>
      <c r="I498" s="144">
        <v>400</v>
      </c>
    </row>
    <row r="499" spans="1:9">
      <c r="A499">
        <v>8330</v>
      </c>
      <c r="B499" t="s">
        <v>439</v>
      </c>
      <c r="C499">
        <v>247</v>
      </c>
      <c r="D499">
        <v>1</v>
      </c>
      <c r="E499">
        <v>80</v>
      </c>
      <c r="F499" s="55">
        <v>200000</v>
      </c>
      <c r="G499" s="36">
        <v>400</v>
      </c>
      <c r="H499" s="144">
        <v>200000</v>
      </c>
      <c r="I499" s="144">
        <v>400</v>
      </c>
    </row>
    <row r="500" spans="1:9">
      <c r="A500">
        <v>8430</v>
      </c>
      <c r="B500" t="s">
        <v>440</v>
      </c>
      <c r="C500">
        <v>246.84000000000003</v>
      </c>
      <c r="D500">
        <v>1</v>
      </c>
      <c r="E500">
        <v>80</v>
      </c>
      <c r="F500" s="55">
        <v>200000</v>
      </c>
      <c r="G500" s="36">
        <v>400</v>
      </c>
      <c r="H500" s="144">
        <v>200000</v>
      </c>
      <c r="I500" s="144">
        <v>400</v>
      </c>
    </row>
    <row r="501" spans="1:9">
      <c r="A501">
        <v>8530</v>
      </c>
      <c r="B501" t="s">
        <v>441</v>
      </c>
      <c r="C501">
        <v>246.84000000000003</v>
      </c>
      <c r="D501">
        <v>1</v>
      </c>
      <c r="E501">
        <v>80</v>
      </c>
      <c r="F501" s="55">
        <v>200000</v>
      </c>
      <c r="G501" s="36">
        <v>400</v>
      </c>
      <c r="H501" s="144">
        <v>200000</v>
      </c>
      <c r="I501" s="144">
        <v>400</v>
      </c>
    </row>
    <row r="502" spans="1:9">
      <c r="A502">
        <v>8630</v>
      </c>
      <c r="B502" t="s">
        <v>442</v>
      </c>
      <c r="C502">
        <v>246.95999999999998</v>
      </c>
      <c r="D502">
        <v>1</v>
      </c>
      <c r="E502">
        <v>80</v>
      </c>
      <c r="F502" s="55">
        <v>200000</v>
      </c>
      <c r="G502" s="36">
        <v>400</v>
      </c>
      <c r="H502" s="144">
        <v>200000</v>
      </c>
      <c r="I502" s="144">
        <v>400</v>
      </c>
    </row>
    <row r="503" spans="1:9">
      <c r="A503">
        <v>8730</v>
      </c>
      <c r="B503" t="s">
        <v>443</v>
      </c>
      <c r="C503">
        <v>246.95999999999998</v>
      </c>
      <c r="D503">
        <v>1</v>
      </c>
      <c r="E503">
        <v>80</v>
      </c>
      <c r="F503" s="55">
        <v>200000</v>
      </c>
      <c r="G503" s="36">
        <v>400</v>
      </c>
      <c r="H503" s="144">
        <v>200000</v>
      </c>
      <c r="I503" s="144">
        <v>400</v>
      </c>
    </row>
    <row r="504" spans="1:9">
      <c r="A504">
        <v>8830</v>
      </c>
      <c r="B504" t="s">
        <v>444</v>
      </c>
      <c r="C504">
        <v>234.12</v>
      </c>
      <c r="D504">
        <v>1</v>
      </c>
      <c r="E504">
        <v>80</v>
      </c>
      <c r="F504" s="55">
        <v>200000</v>
      </c>
      <c r="G504" s="36">
        <v>400</v>
      </c>
      <c r="H504" s="144">
        <v>200000</v>
      </c>
      <c r="I504" s="144">
        <v>400</v>
      </c>
    </row>
    <row r="505" spans="1:9">
      <c r="A505">
        <v>8930</v>
      </c>
      <c r="B505" t="s">
        <v>445</v>
      </c>
      <c r="C505">
        <v>234.68</v>
      </c>
      <c r="D505">
        <v>1</v>
      </c>
      <c r="E505">
        <v>80</v>
      </c>
      <c r="F505" s="55">
        <v>200000</v>
      </c>
      <c r="G505" s="36">
        <v>400</v>
      </c>
      <c r="H505" s="144">
        <v>200000</v>
      </c>
      <c r="I505" s="144">
        <v>400</v>
      </c>
    </row>
    <row r="506" spans="1:9">
      <c r="A506">
        <v>9030</v>
      </c>
      <c r="B506" t="s">
        <v>446</v>
      </c>
      <c r="C506">
        <v>234.12</v>
      </c>
      <c r="D506">
        <v>1</v>
      </c>
      <c r="E506">
        <v>80</v>
      </c>
      <c r="F506" s="55">
        <v>200000</v>
      </c>
      <c r="G506" s="36">
        <v>400</v>
      </c>
      <c r="H506" s="144">
        <v>200000</v>
      </c>
      <c r="I506" s="144">
        <v>400</v>
      </c>
    </row>
    <row r="507" spans="1:9">
      <c r="A507">
        <v>9130</v>
      </c>
      <c r="B507" t="s">
        <v>842</v>
      </c>
      <c r="C507">
        <v>234.44</v>
      </c>
      <c r="D507">
        <v>1</v>
      </c>
      <c r="E507">
        <v>80</v>
      </c>
      <c r="F507" s="55">
        <v>200000</v>
      </c>
      <c r="G507" s="36">
        <v>400</v>
      </c>
      <c r="H507" s="144">
        <v>200000</v>
      </c>
      <c r="I507" s="144">
        <v>400</v>
      </c>
    </row>
    <row r="508" spans="1:9">
      <c r="A508">
        <v>9230</v>
      </c>
      <c r="B508" t="s">
        <v>447</v>
      </c>
      <c r="C508">
        <v>234</v>
      </c>
      <c r="D508">
        <v>1</v>
      </c>
      <c r="E508">
        <v>80</v>
      </c>
      <c r="F508" s="55">
        <v>200000</v>
      </c>
      <c r="G508" s="36">
        <v>400</v>
      </c>
      <c r="H508" s="144">
        <v>200000</v>
      </c>
      <c r="I508" s="144">
        <v>400</v>
      </c>
    </row>
    <row r="509" spans="1:9">
      <c r="A509">
        <v>8140</v>
      </c>
      <c r="B509" t="s">
        <v>448</v>
      </c>
      <c r="C509">
        <v>444.44</v>
      </c>
      <c r="D509">
        <v>1</v>
      </c>
      <c r="E509">
        <v>608</v>
      </c>
      <c r="F509" s="55">
        <v>2000000</v>
      </c>
      <c r="G509" s="36">
        <v>4000</v>
      </c>
      <c r="H509" s="144">
        <v>2000000</v>
      </c>
      <c r="I509" s="144">
        <v>4000</v>
      </c>
    </row>
    <row r="510" spans="1:9">
      <c r="A510">
        <v>8240</v>
      </c>
      <c r="B510" t="s">
        <v>449</v>
      </c>
      <c r="C510">
        <v>444</v>
      </c>
      <c r="D510">
        <v>1</v>
      </c>
      <c r="E510">
        <v>608</v>
      </c>
      <c r="F510" s="55">
        <v>2000000</v>
      </c>
      <c r="G510" s="36">
        <v>4000</v>
      </c>
      <c r="H510" s="144">
        <v>2000000</v>
      </c>
      <c r="I510" s="144">
        <v>4000</v>
      </c>
    </row>
    <row r="511" spans="1:9">
      <c r="A511">
        <v>8340</v>
      </c>
      <c r="B511" t="s">
        <v>450</v>
      </c>
      <c r="C511">
        <v>444</v>
      </c>
      <c r="D511">
        <v>1</v>
      </c>
      <c r="E511">
        <v>608</v>
      </c>
      <c r="F511" s="55">
        <v>2000000</v>
      </c>
      <c r="G511" s="36">
        <v>4000</v>
      </c>
      <c r="H511" s="144">
        <v>2000000</v>
      </c>
      <c r="I511" s="144">
        <v>4000</v>
      </c>
    </row>
    <row r="512" spans="1:9">
      <c r="A512">
        <v>8440</v>
      </c>
      <c r="B512" t="s">
        <v>451</v>
      </c>
      <c r="C512">
        <v>444.38000000000005</v>
      </c>
      <c r="D512">
        <v>1</v>
      </c>
      <c r="E512">
        <v>608</v>
      </c>
      <c r="F512" s="55">
        <v>2000000</v>
      </c>
      <c r="G512" s="36">
        <v>4000</v>
      </c>
      <c r="H512" s="144">
        <v>2000000</v>
      </c>
      <c r="I512" s="144">
        <v>4000</v>
      </c>
    </row>
    <row r="513" spans="1:9">
      <c r="A513">
        <v>8540</v>
      </c>
      <c r="B513" t="s">
        <v>452</v>
      </c>
      <c r="C513">
        <v>444.38000000000005</v>
      </c>
      <c r="D513">
        <v>1</v>
      </c>
      <c r="E513">
        <v>608</v>
      </c>
      <c r="F513" s="55">
        <v>2000000</v>
      </c>
      <c r="G513" s="36">
        <v>4000</v>
      </c>
      <c r="H513" s="144">
        <v>2000000</v>
      </c>
      <c r="I513" s="144">
        <v>4000</v>
      </c>
    </row>
    <row r="514" spans="1:9">
      <c r="A514">
        <v>8640</v>
      </c>
      <c r="B514" t="s">
        <v>453</v>
      </c>
      <c r="C514">
        <v>444.41999999999996</v>
      </c>
      <c r="D514">
        <v>1</v>
      </c>
      <c r="E514">
        <v>608</v>
      </c>
      <c r="F514" s="55">
        <v>2000000</v>
      </c>
      <c r="G514" s="36">
        <v>4000</v>
      </c>
      <c r="H514" s="144">
        <v>2000000</v>
      </c>
      <c r="I514" s="144">
        <v>4000</v>
      </c>
    </row>
    <row r="515" spans="1:9">
      <c r="A515">
        <v>8740</v>
      </c>
      <c r="B515" t="s">
        <v>454</v>
      </c>
      <c r="C515">
        <v>444.41999999999996</v>
      </c>
      <c r="D515">
        <v>1</v>
      </c>
      <c r="E515">
        <v>608</v>
      </c>
      <c r="F515" s="55">
        <v>2000000</v>
      </c>
      <c r="G515" s="36">
        <v>4000</v>
      </c>
      <c r="H515" s="144">
        <v>2000000</v>
      </c>
      <c r="I515" s="144">
        <v>4000</v>
      </c>
    </row>
    <row r="516" spans="1:9">
      <c r="A516">
        <v>8840</v>
      </c>
      <c r="B516" t="s">
        <v>843</v>
      </c>
      <c r="C516">
        <v>422.03999999999996</v>
      </c>
      <c r="D516">
        <v>1</v>
      </c>
      <c r="E516">
        <v>608</v>
      </c>
      <c r="F516" s="55">
        <v>2000000</v>
      </c>
      <c r="G516" s="36">
        <v>4000</v>
      </c>
      <c r="H516" s="144">
        <v>2000000</v>
      </c>
      <c r="I516" s="144">
        <v>4000</v>
      </c>
    </row>
    <row r="517" spans="1:9">
      <c r="A517">
        <v>8940</v>
      </c>
      <c r="B517" t="s">
        <v>455</v>
      </c>
      <c r="C517">
        <v>462.32000000000005</v>
      </c>
      <c r="D517">
        <v>1</v>
      </c>
      <c r="E517">
        <v>608</v>
      </c>
      <c r="F517" s="55">
        <v>2000000</v>
      </c>
      <c r="G517" s="36">
        <v>4000</v>
      </c>
      <c r="H517" s="144">
        <v>2000000</v>
      </c>
      <c r="I517" s="144">
        <v>4000</v>
      </c>
    </row>
    <row r="518" spans="1:9">
      <c r="A518">
        <v>9040</v>
      </c>
      <c r="B518" t="s">
        <v>844</v>
      </c>
      <c r="C518">
        <v>421.91999999999996</v>
      </c>
      <c r="D518">
        <v>1</v>
      </c>
      <c r="E518">
        <v>608</v>
      </c>
      <c r="F518" s="55">
        <v>2000000</v>
      </c>
      <c r="G518" s="36">
        <v>4000</v>
      </c>
      <c r="H518" s="144">
        <v>2000000</v>
      </c>
      <c r="I518" s="144">
        <v>4000</v>
      </c>
    </row>
    <row r="519" spans="1:9">
      <c r="A519">
        <v>9140</v>
      </c>
      <c r="B519" t="s">
        <v>456</v>
      </c>
      <c r="C519">
        <v>422.3</v>
      </c>
      <c r="D519">
        <v>1</v>
      </c>
      <c r="E519">
        <v>608</v>
      </c>
      <c r="F519" s="55">
        <v>2000000</v>
      </c>
      <c r="G519" s="36">
        <v>4000</v>
      </c>
      <c r="H519" s="144">
        <v>2000000</v>
      </c>
      <c r="I519" s="144">
        <v>4000</v>
      </c>
    </row>
    <row r="520" spans="1:9">
      <c r="A520">
        <v>9240</v>
      </c>
      <c r="B520" t="s">
        <v>457</v>
      </c>
      <c r="C520">
        <v>422.1</v>
      </c>
      <c r="D520">
        <v>1</v>
      </c>
      <c r="E520">
        <v>608</v>
      </c>
      <c r="F520" s="55">
        <v>2000000</v>
      </c>
      <c r="G520" s="36">
        <v>4000</v>
      </c>
      <c r="H520" s="144">
        <v>2000000</v>
      </c>
      <c r="I520" s="144">
        <v>4000</v>
      </c>
    </row>
    <row r="521" spans="1:9">
      <c r="A521">
        <v>9340</v>
      </c>
      <c r="B521" t="s">
        <v>845</v>
      </c>
      <c r="C521">
        <v>444.24</v>
      </c>
      <c r="D521">
        <v>1</v>
      </c>
      <c r="E521">
        <v>608</v>
      </c>
      <c r="F521" s="55">
        <v>2000000</v>
      </c>
      <c r="G521" s="36">
        <v>4000</v>
      </c>
      <c r="H521" s="144">
        <v>2000000</v>
      </c>
      <c r="I521" s="144">
        <v>4000</v>
      </c>
    </row>
    <row r="522" spans="1:9">
      <c r="A522">
        <v>9440</v>
      </c>
      <c r="B522" t="s">
        <v>845</v>
      </c>
      <c r="C522">
        <v>222</v>
      </c>
      <c r="D522">
        <v>1</v>
      </c>
      <c r="E522">
        <v>608</v>
      </c>
      <c r="F522" s="55">
        <v>2000000</v>
      </c>
      <c r="G522" s="36">
        <v>4000</v>
      </c>
      <c r="H522" s="144">
        <v>2000000</v>
      </c>
      <c r="I522" s="144">
        <v>4000</v>
      </c>
    </row>
    <row r="523" spans="1:9">
      <c r="A523">
        <v>9540</v>
      </c>
      <c r="B523" t="s">
        <v>458</v>
      </c>
      <c r="C523">
        <v>111.12</v>
      </c>
      <c r="D523">
        <v>1</v>
      </c>
      <c r="E523">
        <v>608</v>
      </c>
      <c r="F523" s="164">
        <v>2000000</v>
      </c>
      <c r="G523" s="165">
        <v>4000</v>
      </c>
      <c r="H523" s="144">
        <v>2000000</v>
      </c>
      <c r="I523" s="144">
        <v>4000</v>
      </c>
    </row>
    <row r="524" spans="1:9">
      <c r="A524">
        <v>9640</v>
      </c>
      <c r="B524" t="s">
        <v>459</v>
      </c>
      <c r="C524">
        <v>532.44000000000005</v>
      </c>
      <c r="D524">
        <v>1</v>
      </c>
      <c r="E524">
        <v>608</v>
      </c>
      <c r="F524" s="164">
        <v>2000000</v>
      </c>
      <c r="G524" s="165">
        <v>4000</v>
      </c>
      <c r="H524" s="144">
        <v>2000000</v>
      </c>
      <c r="I524" s="144">
        <v>4000</v>
      </c>
    </row>
    <row r="525" spans="1:9">
      <c r="A525">
        <v>9740</v>
      </c>
      <c r="B525" t="s">
        <v>460</v>
      </c>
      <c r="C525">
        <v>532</v>
      </c>
      <c r="D525">
        <v>1</v>
      </c>
      <c r="E525">
        <v>608</v>
      </c>
      <c r="F525" s="164">
        <v>2000000</v>
      </c>
      <c r="G525" s="165">
        <v>4000</v>
      </c>
      <c r="H525" s="144">
        <v>2000000</v>
      </c>
      <c r="I525" s="144">
        <v>4000</v>
      </c>
    </row>
    <row r="526" spans="1:9">
      <c r="A526">
        <v>9840</v>
      </c>
      <c r="B526" t="s">
        <v>846</v>
      </c>
      <c r="C526">
        <v>222.29999999999998</v>
      </c>
      <c r="D526">
        <v>1</v>
      </c>
      <c r="E526">
        <v>608</v>
      </c>
      <c r="F526" s="164">
        <v>2000000</v>
      </c>
      <c r="G526" s="165">
        <v>4000</v>
      </c>
      <c r="H526" s="144">
        <v>2000000</v>
      </c>
      <c r="I526" s="144">
        <v>4000</v>
      </c>
    </row>
    <row r="527" spans="1:9">
      <c r="A527">
        <v>8150</v>
      </c>
      <c r="B527" t="s">
        <v>847</v>
      </c>
      <c r="C527">
        <v>800</v>
      </c>
      <c r="D527">
        <v>1</v>
      </c>
      <c r="E527">
        <v>4867</v>
      </c>
      <c r="F527" s="164">
        <v>5000000</v>
      </c>
      <c r="G527" s="165">
        <v>10000</v>
      </c>
      <c r="H527" s="144">
        <v>5000000</v>
      </c>
      <c r="I527" s="144">
        <v>10000</v>
      </c>
    </row>
    <row r="528" spans="1:9">
      <c r="A528">
        <v>8250</v>
      </c>
      <c r="B528" t="s">
        <v>848</v>
      </c>
      <c r="C528">
        <v>800</v>
      </c>
      <c r="D528">
        <v>1</v>
      </c>
      <c r="E528">
        <v>4867</v>
      </c>
      <c r="F528" s="164">
        <v>5000000</v>
      </c>
      <c r="G528" s="165">
        <v>10000</v>
      </c>
      <c r="H528" s="144">
        <v>5000000</v>
      </c>
      <c r="I528" s="144">
        <v>10000</v>
      </c>
    </row>
    <row r="529" spans="1:9">
      <c r="A529">
        <v>8350</v>
      </c>
      <c r="B529" t="s">
        <v>849</v>
      </c>
      <c r="C529">
        <v>800</v>
      </c>
      <c r="D529">
        <v>1</v>
      </c>
      <c r="E529">
        <v>4867</v>
      </c>
      <c r="F529" s="164">
        <v>5000000</v>
      </c>
      <c r="G529" s="165">
        <v>10000</v>
      </c>
      <c r="H529" s="144">
        <v>5000000</v>
      </c>
      <c r="I529" s="144">
        <v>10000</v>
      </c>
    </row>
    <row r="530" spans="1:9">
      <c r="A530">
        <v>8450</v>
      </c>
      <c r="B530" t="s">
        <v>850</v>
      </c>
      <c r="C530">
        <v>800.0200000000001</v>
      </c>
      <c r="D530">
        <v>1</v>
      </c>
      <c r="E530">
        <v>4867</v>
      </c>
      <c r="F530" s="164">
        <v>5000000</v>
      </c>
      <c r="G530" s="165">
        <v>10000</v>
      </c>
      <c r="H530" s="144">
        <v>5000000</v>
      </c>
      <c r="I530" s="144">
        <v>10000</v>
      </c>
    </row>
    <row r="531" spans="1:9">
      <c r="A531">
        <v>8550</v>
      </c>
      <c r="B531" t="s">
        <v>851</v>
      </c>
      <c r="C531">
        <v>800.0200000000001</v>
      </c>
      <c r="D531">
        <v>1</v>
      </c>
      <c r="E531">
        <v>4867</v>
      </c>
      <c r="F531" s="164">
        <v>5000000</v>
      </c>
      <c r="G531" s="165">
        <v>10000</v>
      </c>
      <c r="H531" s="144">
        <v>5000000</v>
      </c>
      <c r="I531" s="144">
        <v>10000</v>
      </c>
    </row>
    <row r="532" spans="1:9">
      <c r="A532">
        <v>8650</v>
      </c>
      <c r="B532" t="s">
        <v>461</v>
      </c>
      <c r="C532">
        <v>799.92</v>
      </c>
      <c r="D532">
        <v>1</v>
      </c>
      <c r="E532">
        <v>4867</v>
      </c>
      <c r="F532" s="164">
        <v>5000000</v>
      </c>
      <c r="G532" s="165">
        <v>10000</v>
      </c>
      <c r="H532" s="144">
        <v>5000000</v>
      </c>
      <c r="I532" s="144">
        <v>10000</v>
      </c>
    </row>
    <row r="533" spans="1:9">
      <c r="A533">
        <v>8750</v>
      </c>
      <c r="B533" t="s">
        <v>852</v>
      </c>
      <c r="C533">
        <v>799.92</v>
      </c>
      <c r="D533">
        <v>1</v>
      </c>
      <c r="E533">
        <v>4867</v>
      </c>
      <c r="F533" s="164">
        <v>5000000</v>
      </c>
      <c r="G533" s="165">
        <v>10000</v>
      </c>
      <c r="H533" s="144">
        <v>5000000</v>
      </c>
      <c r="I533" s="144">
        <v>10000</v>
      </c>
    </row>
    <row r="534" spans="1:9">
      <c r="A534">
        <v>8850</v>
      </c>
      <c r="B534" t="s">
        <v>853</v>
      </c>
      <c r="C534">
        <v>760</v>
      </c>
      <c r="D534">
        <v>1</v>
      </c>
      <c r="E534">
        <v>4867</v>
      </c>
      <c r="F534" s="164">
        <v>5000000</v>
      </c>
      <c r="G534" s="165">
        <v>10000</v>
      </c>
      <c r="H534" s="144">
        <v>5000000</v>
      </c>
      <c r="I534" s="144">
        <v>10000</v>
      </c>
    </row>
    <row r="535" spans="1:9">
      <c r="A535">
        <v>8950</v>
      </c>
      <c r="B535" t="s">
        <v>854</v>
      </c>
      <c r="C535">
        <v>760</v>
      </c>
      <c r="D535">
        <v>1</v>
      </c>
      <c r="E535">
        <v>4867</v>
      </c>
      <c r="F535" s="164">
        <v>5000000</v>
      </c>
      <c r="G535" s="165">
        <v>10000</v>
      </c>
      <c r="H535" s="144">
        <v>5000000</v>
      </c>
      <c r="I535" s="144">
        <v>10000</v>
      </c>
    </row>
    <row r="536" spans="1:9">
      <c r="A536">
        <v>9050</v>
      </c>
      <c r="B536" t="s">
        <v>855</v>
      </c>
      <c r="C536">
        <v>760</v>
      </c>
      <c r="D536">
        <v>1</v>
      </c>
      <c r="E536">
        <v>4867</v>
      </c>
      <c r="F536" s="164">
        <v>5000000</v>
      </c>
      <c r="G536" s="165">
        <v>10000</v>
      </c>
      <c r="H536" s="144">
        <v>5000000</v>
      </c>
      <c r="I536" s="144">
        <v>10000</v>
      </c>
    </row>
    <row r="537" spans="1:9">
      <c r="A537">
        <v>9150</v>
      </c>
      <c r="B537" t="s">
        <v>856</v>
      </c>
      <c r="C537">
        <v>760</v>
      </c>
      <c r="D537">
        <v>1</v>
      </c>
      <c r="E537">
        <v>4867</v>
      </c>
      <c r="F537" s="164">
        <v>5000000</v>
      </c>
      <c r="G537" s="165">
        <v>10000</v>
      </c>
      <c r="H537" s="144">
        <v>5000000</v>
      </c>
      <c r="I537" s="144">
        <v>10000</v>
      </c>
    </row>
    <row r="538" spans="1:9">
      <c r="A538">
        <v>9250</v>
      </c>
      <c r="B538" t="s">
        <v>857</v>
      </c>
      <c r="C538">
        <v>760</v>
      </c>
      <c r="D538">
        <v>1</v>
      </c>
      <c r="E538">
        <v>4867</v>
      </c>
      <c r="F538" s="164">
        <v>5000000</v>
      </c>
      <c r="G538" s="165">
        <v>10000</v>
      </c>
      <c r="H538" s="144">
        <v>5000000</v>
      </c>
      <c r="I538" s="144">
        <v>10000</v>
      </c>
    </row>
    <row r="539" spans="1:9">
      <c r="A539">
        <v>9350</v>
      </c>
      <c r="B539" t="s">
        <v>858</v>
      </c>
      <c r="C539">
        <v>800</v>
      </c>
      <c r="D539">
        <v>1</v>
      </c>
      <c r="E539">
        <v>4867</v>
      </c>
      <c r="F539" s="164">
        <v>5000000</v>
      </c>
      <c r="G539" s="165">
        <v>10000</v>
      </c>
      <c r="H539" s="144">
        <v>5000000</v>
      </c>
      <c r="I539" s="144">
        <v>10000</v>
      </c>
    </row>
    <row r="540" spans="1:9">
      <c r="A540">
        <v>9450</v>
      </c>
      <c r="B540" t="s">
        <v>859</v>
      </c>
      <c r="C540">
        <v>400</v>
      </c>
      <c r="D540">
        <v>1</v>
      </c>
      <c r="E540">
        <v>4867</v>
      </c>
      <c r="F540" s="164">
        <v>5000000</v>
      </c>
      <c r="G540" s="165">
        <v>10000</v>
      </c>
      <c r="H540" s="144">
        <v>5000000</v>
      </c>
      <c r="I540" s="144">
        <v>10000</v>
      </c>
    </row>
    <row r="541" spans="1:9">
      <c r="A541">
        <v>9550</v>
      </c>
      <c r="B541" t="s">
        <v>860</v>
      </c>
      <c r="C541">
        <v>200</v>
      </c>
      <c r="D541">
        <v>1</v>
      </c>
      <c r="E541">
        <v>4867</v>
      </c>
      <c r="F541" s="164">
        <v>5000000</v>
      </c>
      <c r="G541" s="165">
        <v>10000</v>
      </c>
      <c r="H541" s="144">
        <v>5000000</v>
      </c>
      <c r="I541" s="144">
        <v>10000</v>
      </c>
    </row>
    <row r="542" spans="1:9">
      <c r="A542">
        <v>9650</v>
      </c>
      <c r="B542" t="s">
        <v>861</v>
      </c>
      <c r="C542">
        <v>960</v>
      </c>
      <c r="D542">
        <v>1</v>
      </c>
      <c r="E542">
        <v>4867</v>
      </c>
      <c r="F542" s="164">
        <v>5000000</v>
      </c>
      <c r="G542" s="165">
        <v>10000</v>
      </c>
      <c r="H542" s="144">
        <v>5000000</v>
      </c>
      <c r="I542" s="144">
        <v>10000</v>
      </c>
    </row>
    <row r="543" spans="1:9">
      <c r="A543">
        <v>9750</v>
      </c>
      <c r="B543" t="s">
        <v>862</v>
      </c>
      <c r="C543">
        <v>960</v>
      </c>
      <c r="D543">
        <v>1</v>
      </c>
      <c r="E543">
        <v>4867</v>
      </c>
      <c r="F543" s="164">
        <v>5000000</v>
      </c>
      <c r="G543" s="165">
        <v>10000</v>
      </c>
      <c r="H543" s="144">
        <v>5000000</v>
      </c>
      <c r="I543" s="144">
        <v>10000</v>
      </c>
    </row>
    <row r="544" spans="1:9">
      <c r="A544">
        <v>9850</v>
      </c>
      <c r="B544" t="s">
        <v>863</v>
      </c>
      <c r="C544">
        <v>399.96</v>
      </c>
      <c r="D544">
        <v>1</v>
      </c>
      <c r="E544">
        <v>4867</v>
      </c>
      <c r="F544" s="164">
        <v>5000000</v>
      </c>
      <c r="G544" s="165">
        <v>10000</v>
      </c>
      <c r="H544" s="144">
        <v>5000000</v>
      </c>
      <c r="I544" s="144">
        <v>10000</v>
      </c>
    </row>
    <row r="545" spans="1:9">
      <c r="A545">
        <v>1001</v>
      </c>
      <c r="B545" t="s">
        <v>462</v>
      </c>
      <c r="C545">
        <v>34.691225182728921</v>
      </c>
      <c r="D545">
        <v>1</v>
      </c>
      <c r="E545">
        <v>1</v>
      </c>
      <c r="F545" s="164">
        <v>1734.5612591364461</v>
      </c>
      <c r="G545" s="165">
        <v>3.4691225182728922</v>
      </c>
      <c r="H545" s="144">
        <v>1734.5612591364461</v>
      </c>
      <c r="I545" s="144">
        <v>3.4691225182728922</v>
      </c>
    </row>
    <row r="546" spans="1:9">
      <c r="A546">
        <v>1002</v>
      </c>
      <c r="B546" t="s">
        <v>463</v>
      </c>
      <c r="C546">
        <v>38.211554801191532</v>
      </c>
      <c r="D546">
        <v>1</v>
      </c>
      <c r="E546">
        <v>1</v>
      </c>
      <c r="F546" s="164">
        <v>1910.5777400595766</v>
      </c>
      <c r="G546" s="165">
        <v>3.8211554801191534</v>
      </c>
      <c r="H546" s="144">
        <v>1910.5777400595766</v>
      </c>
      <c r="I546" s="144">
        <v>3.8211554801191534</v>
      </c>
    </row>
    <row r="547" spans="1:9">
      <c r="A547">
        <v>1003</v>
      </c>
      <c r="B547" t="s">
        <v>464</v>
      </c>
      <c r="C547">
        <v>35.059146245116374</v>
      </c>
      <c r="D547">
        <v>1</v>
      </c>
      <c r="E547">
        <v>1</v>
      </c>
      <c r="F547" s="164">
        <v>1752.9573122558186</v>
      </c>
      <c r="G547" s="165">
        <v>3.5059146245116373</v>
      </c>
      <c r="H547" s="144">
        <v>1752.9573122558186</v>
      </c>
      <c r="I547" s="144">
        <v>3.5059146245116373</v>
      </c>
    </row>
    <row r="548" spans="1:9">
      <c r="A548">
        <v>1004</v>
      </c>
      <c r="B548" t="s">
        <v>465</v>
      </c>
      <c r="C548">
        <v>38.960800973763916</v>
      </c>
      <c r="D548">
        <v>1</v>
      </c>
      <c r="E548">
        <v>1</v>
      </c>
      <c r="F548" s="164">
        <v>1948.0400486881958</v>
      </c>
      <c r="G548" s="165">
        <v>3.8960800973763918</v>
      </c>
      <c r="H548" s="144">
        <v>1948.0400486881958</v>
      </c>
      <c r="I548" s="144">
        <v>3.8960800973763918</v>
      </c>
    </row>
    <row r="549" spans="1:9">
      <c r="A549">
        <v>1005</v>
      </c>
      <c r="B549" t="s">
        <v>466</v>
      </c>
      <c r="C549">
        <v>34.340791473479662</v>
      </c>
      <c r="D549">
        <v>1</v>
      </c>
      <c r="E549">
        <v>1</v>
      </c>
      <c r="F549" s="164">
        <v>1717.0395736739831</v>
      </c>
      <c r="G549" s="165">
        <v>3.4340791473479664</v>
      </c>
      <c r="H549" s="144">
        <v>1717.0395736739831</v>
      </c>
      <c r="I549" s="144">
        <v>3.4340791473479664</v>
      </c>
    </row>
    <row r="550" spans="1:9">
      <c r="A550">
        <v>1006</v>
      </c>
      <c r="B550" t="s">
        <v>467</v>
      </c>
      <c r="C550">
        <v>31.69243215673859</v>
      </c>
      <c r="D550">
        <v>1</v>
      </c>
      <c r="E550">
        <v>1</v>
      </c>
      <c r="F550" s="164">
        <v>1584.6216078369296</v>
      </c>
      <c r="G550" s="165">
        <v>3.169243215673859</v>
      </c>
      <c r="H550" s="144">
        <v>1584.6216078369296</v>
      </c>
      <c r="I550" s="144">
        <v>3.169243215673859</v>
      </c>
    </row>
    <row r="551" spans="1:9">
      <c r="A551">
        <v>2001</v>
      </c>
      <c r="B551" t="s">
        <v>468</v>
      </c>
      <c r="C551">
        <v>55.128135067603871</v>
      </c>
      <c r="D551">
        <v>1</v>
      </c>
      <c r="E551">
        <v>2</v>
      </c>
      <c r="F551" s="164">
        <v>5512.8135067603871</v>
      </c>
      <c r="G551" s="165">
        <v>11.025627013520774</v>
      </c>
      <c r="H551" s="144">
        <v>5512.8135067603871</v>
      </c>
      <c r="I551" s="144">
        <v>11.025627013520774</v>
      </c>
    </row>
    <row r="552" spans="1:9">
      <c r="A552">
        <v>2002</v>
      </c>
      <c r="B552" t="s">
        <v>469</v>
      </c>
      <c r="C552">
        <v>60.688939978363017</v>
      </c>
      <c r="D552">
        <v>1</v>
      </c>
      <c r="E552">
        <v>2</v>
      </c>
      <c r="F552" s="164">
        <v>6068.8939978363014</v>
      </c>
      <c r="G552" s="165">
        <v>12.137787995672603</v>
      </c>
      <c r="H552" s="144">
        <v>6068.8939978363014</v>
      </c>
      <c r="I552" s="144">
        <v>12.137787995672603</v>
      </c>
    </row>
    <row r="553" spans="1:9">
      <c r="A553">
        <v>2003</v>
      </c>
      <c r="B553" t="s">
        <v>470</v>
      </c>
      <c r="C553">
        <v>55.652139913364344</v>
      </c>
      <c r="D553">
        <v>1</v>
      </c>
      <c r="E553">
        <v>2</v>
      </c>
      <c r="F553" s="164">
        <v>5565.2139913364344</v>
      </c>
      <c r="G553" s="165">
        <v>11.130427982672868</v>
      </c>
      <c r="H553" s="144">
        <v>5565.2139913364344</v>
      </c>
      <c r="I553" s="144">
        <v>11.130427982672868</v>
      </c>
    </row>
    <row r="554" spans="1:9">
      <c r="A554">
        <v>1007</v>
      </c>
      <c r="B554" t="s">
        <v>471</v>
      </c>
      <c r="C554">
        <v>24.963122659707253</v>
      </c>
      <c r="D554">
        <v>1</v>
      </c>
      <c r="E554">
        <v>1</v>
      </c>
      <c r="F554" s="164">
        <v>1248.1561329853625</v>
      </c>
      <c r="G554" s="165">
        <v>2.4963122659707251</v>
      </c>
      <c r="H554" s="144">
        <v>1248.1561329853625</v>
      </c>
      <c r="I554" s="144">
        <v>2.4963122659707251</v>
      </c>
    </row>
    <row r="555" spans="1:9">
      <c r="A555">
        <v>1008</v>
      </c>
      <c r="B555" t="s">
        <v>462</v>
      </c>
      <c r="C555">
        <v>62.234975290929377</v>
      </c>
      <c r="D555">
        <v>1</v>
      </c>
      <c r="E555">
        <v>1</v>
      </c>
      <c r="F555" s="164">
        <v>3111.7487645464689</v>
      </c>
      <c r="G555" s="165">
        <v>6.2234975290929384</v>
      </c>
      <c r="H555" s="144">
        <v>3111.7487645464689</v>
      </c>
      <c r="I555" s="144">
        <v>6.2234975290929384</v>
      </c>
    </row>
    <row r="556" spans="1:9">
      <c r="A556">
        <v>1009</v>
      </c>
      <c r="B556" t="s">
        <v>463</v>
      </c>
      <c r="C556">
        <v>85.182414310067045</v>
      </c>
      <c r="D556">
        <v>1</v>
      </c>
      <c r="E556">
        <v>1</v>
      </c>
      <c r="F556" s="164">
        <v>4259.1207155033526</v>
      </c>
      <c r="G556" s="165">
        <v>8.5182414310067056</v>
      </c>
      <c r="H556" s="144">
        <v>4259.1207155033526</v>
      </c>
      <c r="I556" s="144">
        <v>8.5182414310067056</v>
      </c>
    </row>
    <row r="557" spans="1:9">
      <c r="A557">
        <v>1010</v>
      </c>
      <c r="B557" t="s">
        <v>464</v>
      </c>
      <c r="C557">
        <v>94.405017744120229</v>
      </c>
      <c r="D557">
        <v>1</v>
      </c>
      <c r="E557">
        <v>1</v>
      </c>
      <c r="F557" s="164">
        <v>4720.2508872060116</v>
      </c>
      <c r="G557" s="165">
        <v>9.4405017744120237</v>
      </c>
      <c r="H557" s="144">
        <v>4720.2508872060116</v>
      </c>
      <c r="I557" s="144">
        <v>9.4405017744120237</v>
      </c>
    </row>
    <row r="558" spans="1:9">
      <c r="A558">
        <v>1011</v>
      </c>
      <c r="B558" t="s">
        <v>465</v>
      </c>
      <c r="C558">
        <v>83.726120163912327</v>
      </c>
      <c r="D558">
        <v>1</v>
      </c>
      <c r="E558">
        <v>1</v>
      </c>
      <c r="F558" s="164">
        <v>4186.3060081956164</v>
      </c>
      <c r="G558" s="165">
        <v>8.3726120163912334</v>
      </c>
      <c r="H558" s="144">
        <v>4186.3060081956164</v>
      </c>
      <c r="I558" s="144">
        <v>8.3726120163912334</v>
      </c>
    </row>
    <row r="559" spans="1:9">
      <c r="A559">
        <v>2004</v>
      </c>
      <c r="B559" t="s">
        <v>466</v>
      </c>
      <c r="C559">
        <v>133.95621605212159</v>
      </c>
      <c r="D559">
        <v>1</v>
      </c>
      <c r="E559">
        <v>2</v>
      </c>
      <c r="F559" s="164">
        <v>13395.62160521216</v>
      </c>
      <c r="G559" s="165">
        <v>26.791243210424319</v>
      </c>
      <c r="H559" s="144">
        <v>13395.62160521216</v>
      </c>
      <c r="I559" s="144">
        <v>26.791243210424319</v>
      </c>
    </row>
    <row r="560" spans="1:9">
      <c r="A560">
        <v>2005</v>
      </c>
      <c r="B560" t="s">
        <v>467</v>
      </c>
      <c r="C560">
        <v>148.35074216933182</v>
      </c>
      <c r="D560">
        <v>1</v>
      </c>
      <c r="E560">
        <v>2</v>
      </c>
      <c r="F560" s="164">
        <v>14835.074216933182</v>
      </c>
      <c r="G560" s="165">
        <v>29.670148433866366</v>
      </c>
      <c r="H560" s="144">
        <v>14835.074216933182</v>
      </c>
      <c r="I560" s="144">
        <v>29.670148433866366</v>
      </c>
    </row>
    <row r="561" spans="1:9">
      <c r="A561">
        <v>1012</v>
      </c>
      <c r="B561" t="s">
        <v>468</v>
      </c>
      <c r="C561">
        <v>91.22185624942901</v>
      </c>
      <c r="D561">
        <v>1</v>
      </c>
      <c r="E561">
        <v>1</v>
      </c>
      <c r="F561" s="164">
        <v>4561.0928124714501</v>
      </c>
      <c r="G561" s="165">
        <v>9.122185624942901</v>
      </c>
      <c r="H561" s="144">
        <v>4561.0928124714501</v>
      </c>
      <c r="I561" s="144">
        <v>9.122185624942901</v>
      </c>
    </row>
    <row r="562" spans="1:9">
      <c r="A562">
        <v>1013</v>
      </c>
      <c r="B562" t="s">
        <v>469</v>
      </c>
      <c r="C562">
        <v>81.323976855027311</v>
      </c>
      <c r="D562">
        <v>1</v>
      </c>
      <c r="E562">
        <v>1</v>
      </c>
      <c r="F562" s="164">
        <v>4066.1988427513656</v>
      </c>
      <c r="G562" s="165">
        <v>8.1323976855027311</v>
      </c>
      <c r="H562" s="144">
        <v>4066.1988427513656</v>
      </c>
      <c r="I562" s="144">
        <v>8.1323976855027311</v>
      </c>
    </row>
    <row r="563" spans="1:9">
      <c r="A563">
        <v>1014</v>
      </c>
      <c r="B563" t="s">
        <v>470</v>
      </c>
      <c r="C563">
        <v>103.39597181498883</v>
      </c>
      <c r="D563">
        <v>1</v>
      </c>
      <c r="E563">
        <v>1</v>
      </c>
      <c r="F563" s="164">
        <v>5169.7985907494412</v>
      </c>
      <c r="G563" s="165">
        <v>10.339597181498883</v>
      </c>
      <c r="H563" s="144">
        <v>5169.7985907494412</v>
      </c>
      <c r="I563" s="144">
        <v>10.339597181498883</v>
      </c>
    </row>
    <row r="564" spans="1:9">
      <c r="A564">
        <v>1015</v>
      </c>
      <c r="B564" t="s">
        <v>471</v>
      </c>
      <c r="C564">
        <v>96.17369357588214</v>
      </c>
      <c r="D564">
        <v>1</v>
      </c>
      <c r="E564">
        <v>1</v>
      </c>
      <c r="F564" s="164">
        <v>4808.6846787941067</v>
      </c>
      <c r="G564" s="165">
        <v>9.6173693575882133</v>
      </c>
      <c r="H564" s="144">
        <v>4808.6846787941067</v>
      </c>
      <c r="I564" s="144">
        <v>9.6173693575882133</v>
      </c>
    </row>
    <row r="565" spans="1:9">
      <c r="A565">
        <v>2006</v>
      </c>
      <c r="B565" t="s">
        <v>472</v>
      </c>
      <c r="C565">
        <v>139.32549683526034</v>
      </c>
      <c r="D565">
        <v>1</v>
      </c>
      <c r="E565">
        <v>2</v>
      </c>
      <c r="F565" s="164">
        <v>13932.549683526035</v>
      </c>
      <c r="G565" s="165">
        <v>27.865099367052071</v>
      </c>
      <c r="H565" s="144">
        <v>13932.549683526035</v>
      </c>
      <c r="I565" s="144">
        <v>27.865099367052071</v>
      </c>
    </row>
    <row r="566" spans="1:9">
      <c r="A566">
        <v>2007</v>
      </c>
      <c r="B566" t="s">
        <v>473</v>
      </c>
      <c r="C566">
        <v>161.83717327563471</v>
      </c>
      <c r="D566">
        <v>1</v>
      </c>
      <c r="E566">
        <v>2</v>
      </c>
      <c r="F566" s="164">
        <v>16183.71732756347</v>
      </c>
      <c r="G566" s="165">
        <v>32.367434655126942</v>
      </c>
      <c r="H566" s="144">
        <v>16183.71732756347</v>
      </c>
      <c r="I566" s="144">
        <v>32.367434655126942</v>
      </c>
    </row>
    <row r="567" spans="1:9">
      <c r="A567">
        <v>2008</v>
      </c>
      <c r="B567" t="s">
        <v>474</v>
      </c>
      <c r="C567">
        <v>130.95552155331606</v>
      </c>
      <c r="D567">
        <v>1</v>
      </c>
      <c r="E567">
        <v>2</v>
      </c>
      <c r="F567" s="164">
        <v>13095.552155331607</v>
      </c>
      <c r="G567" s="165">
        <v>26.191104310663214</v>
      </c>
      <c r="H567" s="144">
        <v>13095.552155331607</v>
      </c>
      <c r="I567" s="144">
        <v>26.191104310663214</v>
      </c>
    </row>
    <row r="568" spans="1:9">
      <c r="A568">
        <v>1016</v>
      </c>
      <c r="B568" t="s">
        <v>864</v>
      </c>
      <c r="C568">
        <v>75.498166746373357</v>
      </c>
      <c r="D568">
        <v>1</v>
      </c>
      <c r="E568">
        <v>1</v>
      </c>
      <c r="F568" s="164">
        <v>3774.9083373186677</v>
      </c>
      <c r="G568" s="165">
        <v>7.5498166746373352</v>
      </c>
      <c r="H568" s="144">
        <v>3774.9083373186677</v>
      </c>
      <c r="I568" s="144">
        <v>7.5498166746373352</v>
      </c>
    </row>
    <row r="569" spans="1:9">
      <c r="A569">
        <v>1017</v>
      </c>
      <c r="B569" t="s">
        <v>462</v>
      </c>
      <c r="C569">
        <v>179.81908141737193</v>
      </c>
      <c r="D569">
        <v>1</v>
      </c>
      <c r="E569">
        <v>1</v>
      </c>
      <c r="F569" s="164">
        <v>8990.9540708685963</v>
      </c>
      <c r="G569" s="165">
        <v>17.981908141737193</v>
      </c>
      <c r="H569" s="144">
        <v>8990.9540708685963</v>
      </c>
      <c r="I569" s="144">
        <v>17.981908141737193</v>
      </c>
    </row>
    <row r="570" spans="1:9">
      <c r="A570">
        <v>1018</v>
      </c>
      <c r="B570" t="s">
        <v>463</v>
      </c>
      <c r="C570">
        <v>159.43938898401274</v>
      </c>
      <c r="D570">
        <v>1</v>
      </c>
      <c r="E570">
        <v>1</v>
      </c>
      <c r="F570" s="164">
        <v>7971.9694492006365</v>
      </c>
      <c r="G570" s="165">
        <v>15.943938898401273</v>
      </c>
      <c r="H570" s="144">
        <v>7971.9694492006365</v>
      </c>
      <c r="I570" s="144">
        <v>15.943938898401273</v>
      </c>
    </row>
    <row r="571" spans="1:9">
      <c r="A571">
        <v>2009</v>
      </c>
      <c r="B571" t="s">
        <v>464</v>
      </c>
      <c r="C571">
        <v>278.15764156749708</v>
      </c>
      <c r="D571">
        <v>1</v>
      </c>
      <c r="E571">
        <v>2</v>
      </c>
      <c r="F571" s="164">
        <v>27815.764156749708</v>
      </c>
      <c r="G571" s="165">
        <v>55.631528313499416</v>
      </c>
      <c r="H571" s="144">
        <v>27815.764156749708</v>
      </c>
      <c r="I571" s="144">
        <v>55.631528313499416</v>
      </c>
    </row>
    <row r="572" spans="1:9">
      <c r="A572">
        <v>1019</v>
      </c>
      <c r="B572" t="s">
        <v>465</v>
      </c>
      <c r="C572">
        <v>172.5974322210028</v>
      </c>
      <c r="D572">
        <v>1</v>
      </c>
      <c r="E572">
        <v>1</v>
      </c>
      <c r="F572" s="164">
        <v>8629.8716110501409</v>
      </c>
      <c r="G572" s="165">
        <v>17.259743222100283</v>
      </c>
      <c r="H572" s="144">
        <v>8629.8716110501409</v>
      </c>
      <c r="I572" s="144">
        <v>17.259743222100283</v>
      </c>
    </row>
    <row r="573" spans="1:9">
      <c r="A573">
        <v>2010</v>
      </c>
      <c r="B573" t="s">
        <v>466</v>
      </c>
      <c r="C573">
        <v>173.60717122432769</v>
      </c>
      <c r="D573">
        <v>1</v>
      </c>
      <c r="E573">
        <v>2</v>
      </c>
      <c r="F573" s="164">
        <v>17360.717122432769</v>
      </c>
      <c r="G573" s="165">
        <v>34.721434244865534</v>
      </c>
      <c r="H573" s="144">
        <v>17360.717122432769</v>
      </c>
      <c r="I573" s="144">
        <v>34.721434244865534</v>
      </c>
    </row>
    <row r="574" spans="1:9">
      <c r="A574">
        <v>2011</v>
      </c>
      <c r="B574" t="s">
        <v>467</v>
      </c>
      <c r="C574">
        <v>266.62439156528046</v>
      </c>
      <c r="D574">
        <v>1</v>
      </c>
      <c r="E574">
        <v>2</v>
      </c>
      <c r="F574" s="164">
        <v>26662.439156528046</v>
      </c>
      <c r="G574" s="165">
        <v>53.324878313056089</v>
      </c>
      <c r="H574" s="144">
        <v>26662.439156528046</v>
      </c>
      <c r="I574" s="144">
        <v>53.324878313056089</v>
      </c>
    </row>
    <row r="575" spans="1:9">
      <c r="A575">
        <v>2012</v>
      </c>
      <c r="B575" t="s">
        <v>468</v>
      </c>
      <c r="C575">
        <v>268.04929774785575</v>
      </c>
      <c r="D575">
        <v>1</v>
      </c>
      <c r="E575">
        <v>2</v>
      </c>
      <c r="F575" s="164">
        <v>26804.929774785574</v>
      </c>
      <c r="G575" s="165">
        <v>53.609859549571148</v>
      </c>
      <c r="H575" s="144">
        <v>26804.929774785574</v>
      </c>
      <c r="I575" s="144">
        <v>53.609859549571148</v>
      </c>
    </row>
    <row r="576" spans="1:9">
      <c r="A576">
        <v>1020</v>
      </c>
      <c r="B576" t="s">
        <v>469</v>
      </c>
      <c r="C576">
        <v>199.48679344739688</v>
      </c>
      <c r="D576">
        <v>1</v>
      </c>
      <c r="E576">
        <v>1</v>
      </c>
      <c r="F576" s="164">
        <v>9974.3396723698443</v>
      </c>
      <c r="G576" s="165">
        <v>19.948679344739688</v>
      </c>
      <c r="H576" s="144">
        <v>9974.3396723698443</v>
      </c>
      <c r="I576" s="144">
        <v>19.948679344739688</v>
      </c>
    </row>
    <row r="577" spans="1:9">
      <c r="A577">
        <v>1021</v>
      </c>
      <c r="B577" t="s">
        <v>470</v>
      </c>
      <c r="C577">
        <v>183.80523274138682</v>
      </c>
      <c r="D577">
        <v>1</v>
      </c>
      <c r="E577">
        <v>1</v>
      </c>
      <c r="F577" s="164">
        <v>9190.2616370693413</v>
      </c>
      <c r="G577" s="165">
        <v>18.380523274138682</v>
      </c>
      <c r="H577" s="144">
        <v>9190.2616370693413</v>
      </c>
      <c r="I577" s="144">
        <v>18.380523274138682</v>
      </c>
    </row>
    <row r="578" spans="1:9">
      <c r="A578">
        <v>2013</v>
      </c>
      <c r="B578" t="s">
        <v>471</v>
      </c>
      <c r="C578">
        <v>245.54160291246757</v>
      </c>
      <c r="D578">
        <v>1</v>
      </c>
      <c r="E578">
        <v>2</v>
      </c>
      <c r="F578" s="164">
        <v>24554.160291246757</v>
      </c>
      <c r="G578" s="165">
        <v>49.108320582493512</v>
      </c>
      <c r="H578" s="144">
        <v>24554.160291246757</v>
      </c>
      <c r="I578" s="144">
        <v>49.108320582493512</v>
      </c>
    </row>
    <row r="579" spans="1:9">
      <c r="A579">
        <v>2014</v>
      </c>
      <c r="B579" t="s">
        <v>472</v>
      </c>
      <c r="C579">
        <v>212.33859397417507</v>
      </c>
      <c r="D579">
        <v>1</v>
      </c>
      <c r="E579">
        <v>2</v>
      </c>
      <c r="F579" s="164">
        <v>21233.859397417506</v>
      </c>
      <c r="G579" s="165">
        <v>42.467718794835015</v>
      </c>
      <c r="H579" s="144">
        <v>21233.859397417506</v>
      </c>
      <c r="I579" s="144">
        <v>42.467718794835015</v>
      </c>
    </row>
    <row r="580" spans="1:9">
      <c r="A580">
        <v>2015</v>
      </c>
      <c r="B580" t="s">
        <v>473</v>
      </c>
      <c r="C580">
        <v>316.08822905397403</v>
      </c>
      <c r="D580">
        <v>1</v>
      </c>
      <c r="E580">
        <v>2</v>
      </c>
      <c r="F580" s="164">
        <v>31608.822905397403</v>
      </c>
      <c r="G580" s="165">
        <v>63.217645810794806</v>
      </c>
      <c r="H580" s="144">
        <v>31608.822905397403</v>
      </c>
      <c r="I580" s="144">
        <v>63.217645810794806</v>
      </c>
    </row>
    <row r="581" spans="1:9">
      <c r="A581">
        <v>1022</v>
      </c>
      <c r="B581" t="s">
        <v>474</v>
      </c>
      <c r="C581">
        <v>171.20330392340904</v>
      </c>
      <c r="D581">
        <v>1</v>
      </c>
      <c r="E581">
        <v>1</v>
      </c>
      <c r="F581" s="164">
        <v>8560.165196170452</v>
      </c>
      <c r="G581" s="165">
        <v>17.120330392340904</v>
      </c>
      <c r="H581" s="144">
        <v>8560.165196170452</v>
      </c>
      <c r="I581" s="144">
        <v>17.120330392340904</v>
      </c>
    </row>
    <row r="582" spans="1:9">
      <c r="A582">
        <v>1023</v>
      </c>
      <c r="B582" t="s">
        <v>864</v>
      </c>
      <c r="C582">
        <v>216.34483233027558</v>
      </c>
      <c r="D582">
        <v>1</v>
      </c>
      <c r="E582">
        <v>1</v>
      </c>
      <c r="F582" s="164">
        <v>10817.241616513778</v>
      </c>
      <c r="G582" s="165">
        <v>21.634483233027556</v>
      </c>
      <c r="H582" s="144">
        <v>10817.241616513778</v>
      </c>
      <c r="I582" s="144">
        <v>21.634483233027556</v>
      </c>
    </row>
    <row r="583" spans="1:9">
      <c r="A583">
        <v>1024</v>
      </c>
      <c r="B583" t="s">
        <v>475</v>
      </c>
      <c r="C583">
        <v>200.93432407818236</v>
      </c>
      <c r="D583">
        <v>1</v>
      </c>
      <c r="E583">
        <v>1</v>
      </c>
      <c r="F583" s="164">
        <v>10046.716203909118</v>
      </c>
      <c r="G583" s="165">
        <v>20.093432407818238</v>
      </c>
      <c r="H583" s="144">
        <v>10046.716203909118</v>
      </c>
      <c r="I583" s="144">
        <v>20.093432407818238</v>
      </c>
    </row>
    <row r="584" spans="1:9">
      <c r="A584">
        <v>1025</v>
      </c>
      <c r="B584" t="s">
        <v>462</v>
      </c>
      <c r="C584">
        <v>274.7263317878373</v>
      </c>
      <c r="D584">
        <v>1</v>
      </c>
      <c r="E584">
        <v>1</v>
      </c>
      <c r="F584" s="164">
        <v>13736.316589391865</v>
      </c>
      <c r="G584" s="165">
        <v>27.472633178783731</v>
      </c>
      <c r="H584" s="144">
        <v>13736.316589391865</v>
      </c>
      <c r="I584" s="144">
        <v>27.472633178783731</v>
      </c>
    </row>
    <row r="585" spans="1:9">
      <c r="A585">
        <v>1026</v>
      </c>
      <c r="B585" t="s">
        <v>463</v>
      </c>
      <c r="C585">
        <v>319.17886951583506</v>
      </c>
      <c r="D585">
        <v>1</v>
      </c>
      <c r="E585">
        <v>1</v>
      </c>
      <c r="F585" s="164">
        <v>15958.943475791753</v>
      </c>
      <c r="G585" s="165">
        <v>31.917886951583508</v>
      </c>
      <c r="H585" s="144">
        <v>15958.943475791753</v>
      </c>
      <c r="I585" s="144">
        <v>31.917886951583508</v>
      </c>
    </row>
    <row r="586" spans="1:9">
      <c r="A586">
        <v>2016</v>
      </c>
      <c r="B586" t="s">
        <v>464</v>
      </c>
      <c r="C586">
        <v>294.11097242709633</v>
      </c>
      <c r="D586">
        <v>1</v>
      </c>
      <c r="E586">
        <v>2</v>
      </c>
      <c r="F586" s="164">
        <v>29411.097242709631</v>
      </c>
      <c r="G586" s="165">
        <v>58.822194485419267</v>
      </c>
      <c r="H586" s="144">
        <v>29411.097242709631</v>
      </c>
      <c r="I586" s="144">
        <v>58.822194485419267</v>
      </c>
    </row>
    <row r="587" spans="1:9">
      <c r="A587">
        <v>2017</v>
      </c>
      <c r="B587" t="s">
        <v>465</v>
      </c>
      <c r="C587">
        <v>451.32940485253266</v>
      </c>
      <c r="D587">
        <v>1</v>
      </c>
      <c r="E587">
        <v>2</v>
      </c>
      <c r="F587" s="164">
        <v>45132.940485253268</v>
      </c>
      <c r="G587" s="165">
        <v>90.265880970506544</v>
      </c>
      <c r="H587" s="144">
        <v>45132.940485253268</v>
      </c>
      <c r="I587" s="144">
        <v>90.265880970506544</v>
      </c>
    </row>
    <row r="588" spans="1:9">
      <c r="A588">
        <v>2018</v>
      </c>
      <c r="B588" t="s">
        <v>466</v>
      </c>
      <c r="C588">
        <v>435.63746897785626</v>
      </c>
      <c r="D588">
        <v>1</v>
      </c>
      <c r="E588">
        <v>2</v>
      </c>
      <c r="F588" s="164">
        <v>43563.746897785626</v>
      </c>
      <c r="G588" s="165">
        <v>87.127493795571255</v>
      </c>
      <c r="H588" s="144">
        <v>43563.746897785626</v>
      </c>
      <c r="I588" s="144">
        <v>87.127493795571255</v>
      </c>
    </row>
    <row r="589" spans="1:9">
      <c r="A589">
        <v>2019</v>
      </c>
      <c r="B589" t="s">
        <v>467</v>
      </c>
      <c r="C589">
        <v>505.74116648635851</v>
      </c>
      <c r="D589">
        <v>1</v>
      </c>
      <c r="E589">
        <v>2</v>
      </c>
      <c r="F589" s="164">
        <v>50574.116648635849</v>
      </c>
      <c r="G589" s="165">
        <v>101.1482332972717</v>
      </c>
      <c r="H589" s="144">
        <v>50574.116648635849</v>
      </c>
      <c r="I589" s="144">
        <v>101.1482332972717</v>
      </c>
    </row>
    <row r="590" spans="1:9">
      <c r="A590">
        <v>1027</v>
      </c>
      <c r="B590" t="s">
        <v>468</v>
      </c>
      <c r="C590">
        <v>313.25145907573045</v>
      </c>
      <c r="D590">
        <v>1</v>
      </c>
      <c r="E590">
        <v>1</v>
      </c>
      <c r="F590" s="164">
        <v>15662.572953786523</v>
      </c>
      <c r="G590" s="165">
        <v>31.325145907573045</v>
      </c>
      <c r="H590" s="144">
        <v>15662.572953786523</v>
      </c>
      <c r="I590" s="144">
        <v>31.325145907573045</v>
      </c>
    </row>
    <row r="591" spans="1:9">
      <c r="A591">
        <v>1028</v>
      </c>
      <c r="B591" t="s">
        <v>469</v>
      </c>
      <c r="C591">
        <v>314.51117602415076</v>
      </c>
      <c r="D591">
        <v>1</v>
      </c>
      <c r="E591">
        <v>1</v>
      </c>
      <c r="F591" s="164">
        <v>15725.558801207539</v>
      </c>
      <c r="G591" s="165">
        <v>31.451117602415078</v>
      </c>
      <c r="H591" s="144">
        <v>15725.558801207539</v>
      </c>
      <c r="I591" s="144">
        <v>31.451117602415078</v>
      </c>
    </row>
    <row r="592" spans="1:9">
      <c r="A592">
        <v>2020</v>
      </c>
      <c r="B592" t="s">
        <v>470</v>
      </c>
      <c r="C592">
        <v>419.77523347227338</v>
      </c>
      <c r="D592">
        <v>1</v>
      </c>
      <c r="E592">
        <v>2</v>
      </c>
      <c r="F592" s="164">
        <v>41977.523347227339</v>
      </c>
      <c r="G592" s="165">
        <v>83.95504669445468</v>
      </c>
      <c r="H592" s="144">
        <v>41977.523347227339</v>
      </c>
      <c r="I592" s="144">
        <v>83.95504669445468</v>
      </c>
    </row>
    <row r="593" spans="1:9">
      <c r="A593">
        <v>2021</v>
      </c>
      <c r="B593" t="s">
        <v>471</v>
      </c>
      <c r="C593">
        <v>488.42497237465869</v>
      </c>
      <c r="D593">
        <v>1</v>
      </c>
      <c r="E593">
        <v>2</v>
      </c>
      <c r="F593" s="164">
        <v>48842.497237465868</v>
      </c>
      <c r="G593" s="165">
        <v>97.684994474931742</v>
      </c>
      <c r="H593" s="144">
        <v>48842.497237465868</v>
      </c>
      <c r="I593" s="144">
        <v>97.684994474931742</v>
      </c>
    </row>
    <row r="594" spans="1:9">
      <c r="A594">
        <v>2022</v>
      </c>
      <c r="B594" t="s">
        <v>472</v>
      </c>
      <c r="C594">
        <v>539.45724425211563</v>
      </c>
      <c r="D594">
        <v>1</v>
      </c>
      <c r="E594">
        <v>2</v>
      </c>
      <c r="F594" s="164">
        <v>53945.724425211563</v>
      </c>
      <c r="G594" s="165">
        <v>107.89144885042313</v>
      </c>
      <c r="H594" s="144">
        <v>53945.724425211563</v>
      </c>
      <c r="I594" s="144">
        <v>107.89144885042313</v>
      </c>
    </row>
    <row r="595" spans="1:9">
      <c r="A595">
        <v>2023</v>
      </c>
      <c r="B595" t="s">
        <v>473</v>
      </c>
      <c r="C595">
        <v>496.27412840174435</v>
      </c>
      <c r="D595">
        <v>1</v>
      </c>
      <c r="E595">
        <v>2</v>
      </c>
      <c r="F595" s="164">
        <v>49627.412840174438</v>
      </c>
      <c r="G595" s="165">
        <v>99.254825680348873</v>
      </c>
      <c r="H595" s="144">
        <v>49627.412840174438</v>
      </c>
      <c r="I595" s="144">
        <v>99.254825680348873</v>
      </c>
    </row>
    <row r="596" spans="1:9">
      <c r="A596">
        <v>1029</v>
      </c>
      <c r="B596" t="s">
        <v>474</v>
      </c>
      <c r="C596">
        <v>368.62911690561242</v>
      </c>
      <c r="D596">
        <v>1</v>
      </c>
      <c r="E596">
        <v>1</v>
      </c>
      <c r="F596" s="164">
        <v>18431.45584528062</v>
      </c>
      <c r="G596" s="165">
        <v>36.862911690561241</v>
      </c>
      <c r="H596" s="144">
        <v>18431.45584528062</v>
      </c>
      <c r="I596" s="144">
        <v>36.862911690561241</v>
      </c>
    </row>
    <row r="597" spans="1:9">
      <c r="A597">
        <v>1030</v>
      </c>
      <c r="B597" t="s">
        <v>864</v>
      </c>
      <c r="C597">
        <v>226.02972880971296</v>
      </c>
      <c r="D597">
        <v>1</v>
      </c>
      <c r="E597">
        <v>1</v>
      </c>
      <c r="F597" s="164">
        <v>11301.486440485649</v>
      </c>
      <c r="G597" s="165">
        <v>22.602972880971297</v>
      </c>
      <c r="H597" s="144">
        <v>11301.486440485649</v>
      </c>
      <c r="I597" s="144">
        <v>22.602972880971297</v>
      </c>
    </row>
    <row r="598" spans="1:9">
      <c r="A598">
        <v>1031</v>
      </c>
      <c r="B598" t="s">
        <v>475</v>
      </c>
      <c r="C598">
        <v>301.37709069804242</v>
      </c>
      <c r="D598">
        <v>1</v>
      </c>
      <c r="E598">
        <v>1</v>
      </c>
      <c r="F598" s="164">
        <v>15068.854534902121</v>
      </c>
      <c r="G598" s="165">
        <v>30.137709069804242</v>
      </c>
      <c r="H598" s="144">
        <v>15068.854534902121</v>
      </c>
      <c r="I598" s="144">
        <v>30.137709069804242</v>
      </c>
    </row>
    <row r="599" spans="1:9">
      <c r="A599">
        <v>1032</v>
      </c>
      <c r="B599" t="s">
        <v>865</v>
      </c>
      <c r="C599">
        <v>382.11554801191522</v>
      </c>
      <c r="D599">
        <v>1</v>
      </c>
      <c r="E599">
        <v>1</v>
      </c>
      <c r="F599" s="164">
        <v>19105.777400595762</v>
      </c>
      <c r="G599" s="165">
        <v>38.211554801191525</v>
      </c>
      <c r="H599" s="144">
        <v>19105.777400595762</v>
      </c>
      <c r="I599" s="144">
        <v>38.211554801191525</v>
      </c>
    </row>
    <row r="600" spans="1:9">
      <c r="A600">
        <v>1033</v>
      </c>
      <c r="B600" t="s">
        <v>866</v>
      </c>
      <c r="C600">
        <v>263.22333811573412</v>
      </c>
      <c r="D600">
        <v>1</v>
      </c>
      <c r="E600">
        <v>1</v>
      </c>
      <c r="F600" s="164">
        <v>13161.166905786706</v>
      </c>
      <c r="G600" s="165">
        <v>26.322333811573412</v>
      </c>
      <c r="H600" s="144">
        <v>13161.166905786706</v>
      </c>
      <c r="I600" s="144">
        <v>26.322333811573412</v>
      </c>
    </row>
    <row r="601" spans="1:9">
      <c r="A601">
        <v>1034</v>
      </c>
      <c r="B601" t="s">
        <v>867</v>
      </c>
      <c r="C601">
        <v>480.86846787941079</v>
      </c>
      <c r="D601">
        <v>1</v>
      </c>
      <c r="E601">
        <v>1</v>
      </c>
      <c r="F601" s="164">
        <v>24043.423393970541</v>
      </c>
      <c r="G601" s="165">
        <v>48.086846787941084</v>
      </c>
      <c r="H601" s="144">
        <v>24043.423393970541</v>
      </c>
      <c r="I601" s="144">
        <v>48.086846787941084</v>
      </c>
    </row>
    <row r="602" spans="1:9">
      <c r="A602">
        <v>1035</v>
      </c>
      <c r="B602" t="s">
        <v>462</v>
      </c>
      <c r="C602">
        <v>531.02822481067631</v>
      </c>
      <c r="D602">
        <v>1</v>
      </c>
      <c r="E602">
        <v>1</v>
      </c>
      <c r="F602" s="164">
        <v>26551.411240533816</v>
      </c>
      <c r="G602" s="165">
        <v>53.102822481067633</v>
      </c>
      <c r="H602" s="144">
        <v>26551.411240533816</v>
      </c>
      <c r="I602" s="144">
        <v>53.102822481067633</v>
      </c>
    </row>
    <row r="603" spans="1:9">
      <c r="A603">
        <v>1036</v>
      </c>
      <c r="B603" t="s">
        <v>463</v>
      </c>
      <c r="C603">
        <v>488.44538700720392</v>
      </c>
      <c r="D603">
        <v>1</v>
      </c>
      <c r="E603">
        <v>1</v>
      </c>
      <c r="F603" s="164">
        <v>24422.269350360195</v>
      </c>
      <c r="G603" s="165">
        <v>48.844538700720392</v>
      </c>
      <c r="H603" s="144">
        <v>24422.269350360195</v>
      </c>
      <c r="I603" s="144">
        <v>48.844538700720392</v>
      </c>
    </row>
    <row r="604" spans="1:9">
      <c r="A604">
        <v>2024</v>
      </c>
      <c r="B604" t="s">
        <v>464</v>
      </c>
      <c r="C604">
        <v>555.71496891439506</v>
      </c>
      <c r="D604">
        <v>1</v>
      </c>
      <c r="E604">
        <v>2</v>
      </c>
      <c r="F604" s="164">
        <v>55571.496891439507</v>
      </c>
      <c r="G604" s="165">
        <v>111.14299378287902</v>
      </c>
      <c r="H604" s="144">
        <v>55571.496891439507</v>
      </c>
      <c r="I604" s="144">
        <v>111.14299378287902</v>
      </c>
    </row>
    <row r="605" spans="1:9">
      <c r="A605">
        <v>2025</v>
      </c>
      <c r="B605" t="s">
        <v>465</v>
      </c>
      <c r="C605">
        <v>757.3678369100719</v>
      </c>
      <c r="D605">
        <v>1</v>
      </c>
      <c r="E605">
        <v>2</v>
      </c>
      <c r="F605" s="164">
        <v>75736.783691007193</v>
      </c>
      <c r="G605" s="165">
        <v>151.47356738201438</v>
      </c>
      <c r="H605" s="144">
        <v>75736.783691007193</v>
      </c>
      <c r="I605" s="144">
        <v>151.47356738201438</v>
      </c>
    </row>
    <row r="606" spans="1:9">
      <c r="A606">
        <v>2026</v>
      </c>
      <c r="B606" t="s">
        <v>466</v>
      </c>
      <c r="C606">
        <v>729.74181881144295</v>
      </c>
      <c r="D606">
        <v>1</v>
      </c>
      <c r="E606">
        <v>2</v>
      </c>
      <c r="F606" s="164">
        <v>72974.181881144294</v>
      </c>
      <c r="G606" s="165">
        <v>145.94836376228858</v>
      </c>
      <c r="H606" s="144">
        <v>72974.181881144294</v>
      </c>
      <c r="I606" s="144">
        <v>145.94836376228858</v>
      </c>
    </row>
    <row r="607" spans="1:9">
      <c r="A607">
        <v>2027</v>
      </c>
      <c r="B607" t="s">
        <v>467</v>
      </c>
      <c r="C607">
        <v>845.71161729107712</v>
      </c>
      <c r="D607">
        <v>1</v>
      </c>
      <c r="E607">
        <v>2</v>
      </c>
      <c r="F607" s="164">
        <v>84571.161729107713</v>
      </c>
      <c r="G607" s="165">
        <v>169.14232345821543</v>
      </c>
      <c r="H607" s="144">
        <v>84571.161729107713</v>
      </c>
      <c r="I607" s="144">
        <v>169.14232345821543</v>
      </c>
    </row>
    <row r="608" spans="1:9">
      <c r="A608">
        <v>2028</v>
      </c>
      <c r="B608" t="s">
        <v>468</v>
      </c>
      <c r="C608">
        <v>685.93955321944816</v>
      </c>
      <c r="D608">
        <v>1</v>
      </c>
      <c r="E608">
        <v>2</v>
      </c>
      <c r="F608" s="164">
        <v>68593.955321944813</v>
      </c>
      <c r="G608" s="165">
        <v>137.18791064388964</v>
      </c>
      <c r="H608" s="144">
        <v>68593.955321944813</v>
      </c>
      <c r="I608" s="144">
        <v>137.18791064388964</v>
      </c>
    </row>
    <row r="609" spans="1:9">
      <c r="A609">
        <v>1037</v>
      </c>
      <c r="B609" t="s">
        <v>469</v>
      </c>
      <c r="C609">
        <v>576.91955288073484</v>
      </c>
      <c r="D609">
        <v>1</v>
      </c>
      <c r="E609">
        <v>1</v>
      </c>
      <c r="F609" s="164">
        <v>28845.977644036742</v>
      </c>
      <c r="G609" s="165">
        <v>57.691955288073487</v>
      </c>
      <c r="H609" s="144">
        <v>28845.977644036742</v>
      </c>
      <c r="I609" s="144">
        <v>57.691955288073487</v>
      </c>
    </row>
    <row r="610" spans="1:9">
      <c r="A610">
        <v>1038</v>
      </c>
      <c r="B610" t="s">
        <v>470</v>
      </c>
      <c r="C610">
        <v>534.96617051584451</v>
      </c>
      <c r="D610">
        <v>1</v>
      </c>
      <c r="E610">
        <v>1</v>
      </c>
      <c r="F610" s="164">
        <v>26748.308525792225</v>
      </c>
      <c r="G610" s="165">
        <v>53.496617051584451</v>
      </c>
      <c r="H610" s="144">
        <v>26748.308525792225</v>
      </c>
      <c r="I610" s="144">
        <v>53.496617051584451</v>
      </c>
    </row>
    <row r="611" spans="1:9">
      <c r="A611">
        <v>1039</v>
      </c>
      <c r="B611" t="s">
        <v>471</v>
      </c>
      <c r="C611">
        <v>515.11187210219498</v>
      </c>
      <c r="D611">
        <v>1</v>
      </c>
      <c r="E611">
        <v>1</v>
      </c>
      <c r="F611" s="164">
        <v>25755.593605109749</v>
      </c>
      <c r="G611" s="165">
        <v>51.511187210219497</v>
      </c>
      <c r="H611" s="144">
        <v>25755.593605109749</v>
      </c>
      <c r="I611" s="144">
        <v>51.511187210219497</v>
      </c>
    </row>
    <row r="612" spans="1:9">
      <c r="A612">
        <v>2029</v>
      </c>
      <c r="B612" t="s">
        <v>472</v>
      </c>
      <c r="C612">
        <v>820.48182331924465</v>
      </c>
      <c r="D612">
        <v>1</v>
      </c>
      <c r="E612">
        <v>2</v>
      </c>
      <c r="F612" s="164">
        <v>82048.182331924472</v>
      </c>
      <c r="G612" s="165">
        <v>164.09636466384896</v>
      </c>
      <c r="H612" s="144">
        <v>82048.182331924472</v>
      </c>
      <c r="I612" s="144">
        <v>164.09636466384896</v>
      </c>
    </row>
    <row r="613" spans="1:9">
      <c r="A613">
        <v>2030</v>
      </c>
      <c r="B613" t="s">
        <v>473</v>
      </c>
      <c r="C613">
        <v>904.71475338115238</v>
      </c>
      <c r="D613">
        <v>1</v>
      </c>
      <c r="E613">
        <v>2</v>
      </c>
      <c r="F613" s="164">
        <v>90471.47533811524</v>
      </c>
      <c r="G613" s="165">
        <v>180.94295067623048</v>
      </c>
      <c r="H613" s="144">
        <v>90471.47533811524</v>
      </c>
      <c r="I613" s="144">
        <v>180.94295067623048</v>
      </c>
    </row>
    <row r="614" spans="1:9">
      <c r="A614">
        <v>2031</v>
      </c>
      <c r="B614" t="s">
        <v>474</v>
      </c>
      <c r="C614">
        <v>830.95282301835277</v>
      </c>
      <c r="D614">
        <v>1</v>
      </c>
      <c r="E614">
        <v>2</v>
      </c>
      <c r="F614" s="55">
        <v>83095.282301835279</v>
      </c>
      <c r="G614" s="36">
        <v>166.19056460367057</v>
      </c>
      <c r="H614" s="144">
        <v>83095.282301835279</v>
      </c>
      <c r="I614" s="144">
        <v>166.19056460367057</v>
      </c>
    </row>
    <row r="615" spans="1:9">
      <c r="A615">
        <v>2032</v>
      </c>
      <c r="B615" t="s">
        <v>864</v>
      </c>
      <c r="C615">
        <v>737.74600327124961</v>
      </c>
      <c r="D615">
        <v>1</v>
      </c>
      <c r="E615">
        <v>2</v>
      </c>
      <c r="F615" s="55">
        <v>73774.600327124965</v>
      </c>
      <c r="G615" s="36">
        <v>147.54920065424994</v>
      </c>
      <c r="H615" s="144">
        <v>73774.600327124965</v>
      </c>
      <c r="I615" s="144">
        <v>147.54920065424994</v>
      </c>
    </row>
    <row r="616" spans="1:9">
      <c r="A616">
        <v>1040</v>
      </c>
      <c r="B616" t="s">
        <v>475</v>
      </c>
      <c r="C616">
        <v>622.81088095079326</v>
      </c>
      <c r="D616">
        <v>1</v>
      </c>
      <c r="E616">
        <v>1</v>
      </c>
      <c r="F616" s="55">
        <v>31140.544047539664</v>
      </c>
      <c r="G616" s="36">
        <v>62.281088095079333</v>
      </c>
      <c r="H616" s="144">
        <v>31140.544047539664</v>
      </c>
      <c r="I616" s="144">
        <v>62.281088095079333</v>
      </c>
    </row>
    <row r="617" spans="1:9">
      <c r="A617">
        <v>1041</v>
      </c>
      <c r="B617" t="s">
        <v>865</v>
      </c>
      <c r="C617">
        <v>502.29515116340406</v>
      </c>
      <c r="D617">
        <v>1</v>
      </c>
      <c r="E617">
        <v>1</v>
      </c>
      <c r="F617" s="55">
        <v>25114.757558170204</v>
      </c>
      <c r="G617" s="36">
        <v>50.229515116340409</v>
      </c>
      <c r="H617" s="144">
        <v>25114.757558170204</v>
      </c>
      <c r="I617" s="144">
        <v>50.229515116340409</v>
      </c>
    </row>
    <row r="618" spans="1:9">
      <c r="A618">
        <v>1042</v>
      </c>
      <c r="B618" t="s">
        <v>462</v>
      </c>
      <c r="C618">
        <v>476.56870532168386</v>
      </c>
      <c r="D618">
        <v>1</v>
      </c>
      <c r="E618">
        <v>1</v>
      </c>
      <c r="F618" s="55">
        <v>23828.435266084194</v>
      </c>
      <c r="G618" s="36">
        <v>47.656870532168391</v>
      </c>
      <c r="H618" s="144">
        <v>23828.435266084194</v>
      </c>
      <c r="I618" s="144">
        <v>47.656870532168391</v>
      </c>
    </row>
    <row r="619" spans="1:9">
      <c r="A619">
        <v>1043</v>
      </c>
      <c r="B619" t="s">
        <v>463</v>
      </c>
      <c r="C619">
        <v>795.69943527187058</v>
      </c>
      <c r="D619">
        <v>1</v>
      </c>
      <c r="E619">
        <v>1</v>
      </c>
      <c r="F619" s="55">
        <v>39784.97176359353</v>
      </c>
      <c r="G619" s="36">
        <v>79.569943527187064</v>
      </c>
      <c r="H619" s="144">
        <v>39784.97176359353</v>
      </c>
      <c r="I619" s="144">
        <v>79.569943527187064</v>
      </c>
    </row>
    <row r="620" spans="1:9">
      <c r="A620">
        <v>1044</v>
      </c>
      <c r="B620" t="s">
        <v>464</v>
      </c>
      <c r="C620">
        <v>737.78962071783872</v>
      </c>
      <c r="D620">
        <v>1</v>
      </c>
      <c r="E620">
        <v>1</v>
      </c>
      <c r="F620" s="55">
        <v>36889.481035891935</v>
      </c>
      <c r="G620" s="36">
        <v>73.778962071783866</v>
      </c>
      <c r="H620" s="144">
        <v>36889.481035891935</v>
      </c>
      <c r="I620" s="144">
        <v>73.778962071783866</v>
      </c>
    </row>
    <row r="621" spans="1:9">
      <c r="A621">
        <v>2033</v>
      </c>
      <c r="B621" t="s">
        <v>465</v>
      </c>
      <c r="C621">
        <v>830.98995695839324</v>
      </c>
      <c r="D621">
        <v>1</v>
      </c>
      <c r="E621">
        <v>2</v>
      </c>
      <c r="F621" s="55">
        <v>83098.99569583933</v>
      </c>
      <c r="G621" s="36">
        <v>166.19799139167867</v>
      </c>
      <c r="H621" s="144">
        <v>83098.99569583933</v>
      </c>
      <c r="I621" s="144">
        <v>166.19799139167867</v>
      </c>
    </row>
    <row r="622" spans="1:9">
      <c r="A622">
        <v>2034</v>
      </c>
      <c r="B622" t="s">
        <v>466</v>
      </c>
      <c r="C622">
        <v>1234.0084462267146</v>
      </c>
      <c r="D622">
        <v>1</v>
      </c>
      <c r="E622">
        <v>2</v>
      </c>
      <c r="F622" s="55">
        <v>123400.84462267146</v>
      </c>
      <c r="G622" s="36">
        <v>246.80168924534291</v>
      </c>
      <c r="H622" s="144">
        <v>123400.84462267146</v>
      </c>
      <c r="I622" s="144">
        <v>246.80168924534291</v>
      </c>
    </row>
    <row r="623" spans="1:9">
      <c r="A623">
        <v>2035</v>
      </c>
      <c r="B623" t="s">
        <v>467</v>
      </c>
      <c r="C623">
        <v>1089.0936724446408</v>
      </c>
      <c r="D623">
        <v>1</v>
      </c>
      <c r="E623">
        <v>2</v>
      </c>
      <c r="F623" s="55">
        <v>108909.36724446408</v>
      </c>
      <c r="G623" s="36">
        <v>217.81873448892816</v>
      </c>
      <c r="H623" s="144">
        <v>108909.36724446408</v>
      </c>
      <c r="I623" s="144">
        <v>217.81873448892816</v>
      </c>
    </row>
    <row r="624" spans="1:9">
      <c r="A624">
        <v>1045</v>
      </c>
      <c r="B624" t="s">
        <v>468</v>
      </c>
      <c r="C624">
        <v>840.65420562621364</v>
      </c>
      <c r="D624">
        <v>1</v>
      </c>
      <c r="E624">
        <v>1</v>
      </c>
      <c r="F624" s="55">
        <v>42032.710281310683</v>
      </c>
      <c r="G624" s="36">
        <v>84.06542056262137</v>
      </c>
      <c r="H624" s="144">
        <v>42032.710281310683</v>
      </c>
      <c r="I624" s="144">
        <v>84.06542056262137</v>
      </c>
    </row>
    <row r="625" spans="1:9">
      <c r="A625">
        <v>2036</v>
      </c>
      <c r="B625" t="s">
        <v>469</v>
      </c>
      <c r="C625">
        <v>1168.5103769469681</v>
      </c>
      <c r="D625">
        <v>1</v>
      </c>
      <c r="E625">
        <v>2</v>
      </c>
      <c r="F625" s="55">
        <v>116851.03769469682</v>
      </c>
      <c r="G625" s="36">
        <v>233.70207538939363</v>
      </c>
      <c r="H625" s="144">
        <v>116851.03769469682</v>
      </c>
      <c r="I625" s="144">
        <v>233.70207538939363</v>
      </c>
    </row>
    <row r="626" spans="1:9">
      <c r="A626">
        <v>2037</v>
      </c>
      <c r="B626" t="s">
        <v>470</v>
      </c>
      <c r="C626">
        <v>1170.226648453496</v>
      </c>
      <c r="D626">
        <v>1</v>
      </c>
      <c r="E626">
        <v>2</v>
      </c>
      <c r="F626" s="55">
        <v>117022.6648453496</v>
      </c>
      <c r="G626" s="36">
        <v>234.04532969069922</v>
      </c>
      <c r="H626" s="144">
        <v>117022.6648453496</v>
      </c>
      <c r="I626" s="144">
        <v>234.04532969069922</v>
      </c>
    </row>
    <row r="627" spans="1:9">
      <c r="A627">
        <v>2038</v>
      </c>
      <c r="B627" t="s">
        <v>471</v>
      </c>
      <c r="C627">
        <v>1301.4406017582291</v>
      </c>
      <c r="D627">
        <v>1</v>
      </c>
      <c r="E627">
        <v>2</v>
      </c>
      <c r="F627" s="55">
        <v>130144.06017582292</v>
      </c>
      <c r="G627" s="36">
        <v>260.28812035164583</v>
      </c>
      <c r="H627" s="144">
        <v>130144.06017582292</v>
      </c>
      <c r="I627" s="144">
        <v>260.28812035164583</v>
      </c>
    </row>
    <row r="628" spans="1:9">
      <c r="A628">
        <v>2039</v>
      </c>
      <c r="B628" t="s">
        <v>472</v>
      </c>
      <c r="C628">
        <v>1205.6059444690939</v>
      </c>
      <c r="D628">
        <v>1</v>
      </c>
      <c r="E628">
        <v>2</v>
      </c>
      <c r="F628" s="55">
        <v>120560.59444690938</v>
      </c>
      <c r="G628" s="36">
        <v>241.12118889381875</v>
      </c>
      <c r="H628" s="144">
        <v>120560.59444690938</v>
      </c>
      <c r="I628" s="144">
        <v>241.12118889381875</v>
      </c>
    </row>
    <row r="629" spans="1:9">
      <c r="A629">
        <v>2040</v>
      </c>
      <c r="B629" t="s">
        <v>473</v>
      </c>
      <c r="C629">
        <v>804.72029955747189</v>
      </c>
      <c r="D629">
        <v>1</v>
      </c>
      <c r="E629">
        <v>2</v>
      </c>
      <c r="F629" s="55">
        <v>80472.029955747188</v>
      </c>
      <c r="G629" s="36">
        <v>160.94405991149438</v>
      </c>
      <c r="H629" s="144">
        <v>80472.029955747188</v>
      </c>
      <c r="I629" s="144">
        <v>160.94405991149438</v>
      </c>
    </row>
    <row r="630" spans="1:9">
      <c r="A630">
        <v>2041</v>
      </c>
      <c r="B630" t="s">
        <v>474</v>
      </c>
      <c r="C630">
        <v>1070.9650187305438</v>
      </c>
      <c r="D630">
        <v>1</v>
      </c>
      <c r="E630">
        <v>2</v>
      </c>
      <c r="F630" s="55">
        <v>107096.50187305438</v>
      </c>
      <c r="G630" s="36">
        <v>214.19300374610876</v>
      </c>
      <c r="H630" s="144">
        <v>107096.50187305438</v>
      </c>
      <c r="I630" s="144">
        <v>214.19300374610876</v>
      </c>
    </row>
    <row r="631" spans="1:9">
      <c r="A631">
        <v>1046</v>
      </c>
      <c r="B631" t="s">
        <v>864</v>
      </c>
      <c r="C631">
        <v>788.85703841936129</v>
      </c>
      <c r="D631">
        <v>1</v>
      </c>
      <c r="E631">
        <v>1</v>
      </c>
      <c r="F631" s="55">
        <v>39442.851920968067</v>
      </c>
      <c r="G631" s="36">
        <v>78.885703841936134</v>
      </c>
      <c r="H631" s="144">
        <v>39442.851920968067</v>
      </c>
      <c r="I631" s="144">
        <v>78.885703841936134</v>
      </c>
    </row>
    <row r="632" spans="1:9">
      <c r="A632">
        <v>1047</v>
      </c>
      <c r="B632" t="s">
        <v>475</v>
      </c>
      <c r="C632">
        <v>728.32796918693589</v>
      </c>
      <c r="D632">
        <v>1</v>
      </c>
      <c r="E632">
        <v>1</v>
      </c>
      <c r="F632" s="55">
        <v>36416.398459346798</v>
      </c>
      <c r="G632" s="36">
        <v>72.832796918693603</v>
      </c>
      <c r="H632" s="144">
        <v>36416.398459346798</v>
      </c>
      <c r="I632" s="144">
        <v>72.832796918693603</v>
      </c>
    </row>
    <row r="633" spans="1:9">
      <c r="A633">
        <v>1048</v>
      </c>
      <c r="B633" t="s">
        <v>865</v>
      </c>
      <c r="C633">
        <v>844.95459355953597</v>
      </c>
      <c r="D633">
        <v>1</v>
      </c>
      <c r="E633">
        <v>1</v>
      </c>
      <c r="F633" s="55">
        <v>42247.7296779768</v>
      </c>
      <c r="G633" s="36">
        <v>84.495459355953599</v>
      </c>
      <c r="H633" s="144">
        <v>42247.7296779768</v>
      </c>
      <c r="I633" s="144">
        <v>84.495459355953599</v>
      </c>
    </row>
    <row r="634" spans="1:9">
      <c r="A634">
        <v>1049</v>
      </c>
      <c r="B634" t="s">
        <v>866</v>
      </c>
      <c r="C634">
        <v>845.50407061037936</v>
      </c>
      <c r="D634">
        <v>1</v>
      </c>
      <c r="E634">
        <v>1</v>
      </c>
      <c r="F634" s="55">
        <v>42275.203530518971</v>
      </c>
      <c r="G634" s="36">
        <v>84.550407061037944</v>
      </c>
      <c r="H634" s="144">
        <v>42275.203530518971</v>
      </c>
      <c r="I634" s="144">
        <v>84.550407061037944</v>
      </c>
    </row>
    <row r="635" spans="1:9">
      <c r="A635">
        <v>1050</v>
      </c>
      <c r="B635" t="s">
        <v>867</v>
      </c>
      <c r="C635">
        <v>939.55470040576813</v>
      </c>
      <c r="D635">
        <v>1</v>
      </c>
      <c r="E635">
        <v>1</v>
      </c>
      <c r="F635" s="55">
        <v>46977.735020288404</v>
      </c>
      <c r="G635" s="36">
        <v>93.955470040576813</v>
      </c>
      <c r="H635" s="144">
        <v>46977.735020288404</v>
      </c>
      <c r="I635" s="144">
        <v>93.955470040576813</v>
      </c>
    </row>
    <row r="636" spans="1:9">
      <c r="A636">
        <v>101101</v>
      </c>
      <c r="B636" t="s">
        <v>868</v>
      </c>
      <c r="C636">
        <v>25.55355230742893</v>
      </c>
      <c r="D636">
        <v>1</v>
      </c>
      <c r="E636">
        <v>97.5</v>
      </c>
      <c r="F636" s="55">
        <v>125000</v>
      </c>
      <c r="G636" s="36">
        <v>250</v>
      </c>
      <c r="H636" s="144">
        <v>125000</v>
      </c>
      <c r="I636" s="144">
        <v>250</v>
      </c>
    </row>
    <row r="637" spans="1:9">
      <c r="A637">
        <v>101102</v>
      </c>
      <c r="B637" t="s">
        <v>481</v>
      </c>
      <c r="C637">
        <v>25.55355230742893</v>
      </c>
      <c r="D637">
        <v>1</v>
      </c>
      <c r="E637">
        <v>97.5</v>
      </c>
      <c r="F637" s="55">
        <v>125000</v>
      </c>
      <c r="G637" s="36">
        <v>250</v>
      </c>
      <c r="H637" s="144">
        <v>125000</v>
      </c>
      <c r="I637" s="144">
        <v>250</v>
      </c>
    </row>
    <row r="638" spans="1:9">
      <c r="A638">
        <v>101103</v>
      </c>
      <c r="B638" t="s">
        <v>482</v>
      </c>
      <c r="C638">
        <v>25.55355230742893</v>
      </c>
      <c r="D638">
        <v>1</v>
      </c>
      <c r="E638">
        <v>97.5</v>
      </c>
      <c r="F638" s="55">
        <v>125000</v>
      </c>
      <c r="G638" s="36">
        <v>250</v>
      </c>
      <c r="H638" s="144">
        <v>125000</v>
      </c>
      <c r="I638" s="144">
        <v>250</v>
      </c>
    </row>
    <row r="639" spans="1:9">
      <c r="A639">
        <v>101104</v>
      </c>
      <c r="B639" t="s">
        <v>483</v>
      </c>
      <c r="C639">
        <v>25.55355230742893</v>
      </c>
      <c r="D639">
        <v>1</v>
      </c>
      <c r="E639">
        <v>97.5</v>
      </c>
      <c r="F639" s="55">
        <v>125000</v>
      </c>
      <c r="G639" s="36">
        <v>250</v>
      </c>
      <c r="H639" s="144">
        <v>125000</v>
      </c>
      <c r="I639" s="144">
        <v>250</v>
      </c>
    </row>
    <row r="640" spans="1:9">
      <c r="A640">
        <v>101105</v>
      </c>
      <c r="B640" t="s">
        <v>484</v>
      </c>
      <c r="C640">
        <v>25.55355230742893</v>
      </c>
      <c r="D640">
        <v>1</v>
      </c>
      <c r="E640">
        <v>97.5</v>
      </c>
      <c r="F640" s="55">
        <v>125000</v>
      </c>
      <c r="G640" s="36">
        <v>250</v>
      </c>
      <c r="H640" s="144">
        <v>125000</v>
      </c>
      <c r="I640" s="144">
        <v>250</v>
      </c>
    </row>
    <row r="641" spans="1:9">
      <c r="A641">
        <v>101106</v>
      </c>
      <c r="B641" t="s">
        <v>869</v>
      </c>
      <c r="C641">
        <v>51.10710461485786</v>
      </c>
      <c r="D641">
        <v>1</v>
      </c>
      <c r="E641">
        <v>97.5</v>
      </c>
      <c r="F641" s="55">
        <v>250000</v>
      </c>
      <c r="G641" s="36">
        <v>500</v>
      </c>
      <c r="H641" s="144">
        <v>250000</v>
      </c>
      <c r="I641" s="144">
        <v>500</v>
      </c>
    </row>
    <row r="642" spans="1:9">
      <c r="A642">
        <v>101107</v>
      </c>
      <c r="B642" t="s">
        <v>870</v>
      </c>
      <c r="C642">
        <v>51.10710461485786</v>
      </c>
      <c r="D642">
        <v>1</v>
      </c>
      <c r="E642">
        <v>97.5</v>
      </c>
      <c r="F642" s="55">
        <v>250000</v>
      </c>
      <c r="G642" s="36">
        <v>500</v>
      </c>
      <c r="H642" s="144">
        <v>250000</v>
      </c>
      <c r="I642" s="144">
        <v>500</v>
      </c>
    </row>
    <row r="643" spans="1:9">
      <c r="A643">
        <v>101108</v>
      </c>
      <c r="B643" t="s">
        <v>485</v>
      </c>
      <c r="C643">
        <v>51.10710461485786</v>
      </c>
      <c r="D643">
        <v>1</v>
      </c>
      <c r="E643">
        <v>97.5</v>
      </c>
      <c r="F643" s="55">
        <v>250000</v>
      </c>
      <c r="G643" s="36">
        <v>500</v>
      </c>
      <c r="H643" s="144">
        <v>250000</v>
      </c>
      <c r="I643" s="144">
        <v>500</v>
      </c>
    </row>
    <row r="644" spans="1:9">
      <c r="A644">
        <v>101109</v>
      </c>
      <c r="B644" t="s">
        <v>486</v>
      </c>
      <c r="C644">
        <v>102.21420922971572</v>
      </c>
      <c r="D644">
        <v>1</v>
      </c>
      <c r="E644">
        <v>97.5</v>
      </c>
      <c r="F644" s="55">
        <v>500000</v>
      </c>
      <c r="G644" s="36">
        <v>1000</v>
      </c>
      <c r="H644" s="144">
        <v>500000</v>
      </c>
      <c r="I644" s="144">
        <v>1000</v>
      </c>
    </row>
    <row r="645" spans="1:9">
      <c r="A645">
        <v>101110</v>
      </c>
      <c r="B645" t="s">
        <v>871</v>
      </c>
      <c r="C645">
        <v>102.21420922971572</v>
      </c>
      <c r="D645">
        <v>1</v>
      </c>
      <c r="E645">
        <v>97.5</v>
      </c>
      <c r="F645" s="55">
        <v>500000</v>
      </c>
      <c r="G645" s="36">
        <v>1000</v>
      </c>
      <c r="H645" s="144">
        <v>500000</v>
      </c>
      <c r="I645" s="144">
        <v>1000</v>
      </c>
    </row>
    <row r="646" spans="1:9">
      <c r="A646">
        <v>101111</v>
      </c>
      <c r="B646" t="s">
        <v>871</v>
      </c>
      <c r="C646">
        <v>102.21420922971572</v>
      </c>
      <c r="D646">
        <v>1</v>
      </c>
      <c r="E646">
        <v>97.5</v>
      </c>
      <c r="F646" s="55">
        <v>500000</v>
      </c>
      <c r="G646" s="36">
        <v>1000</v>
      </c>
      <c r="H646" s="144">
        <v>500000</v>
      </c>
      <c r="I646" s="144">
        <v>1000</v>
      </c>
    </row>
    <row r="647" spans="1:9">
      <c r="A647">
        <v>101112</v>
      </c>
      <c r="B647" t="s">
        <v>487</v>
      </c>
      <c r="C647">
        <v>102.21420922971572</v>
      </c>
      <c r="D647">
        <v>1</v>
      </c>
      <c r="E647">
        <v>97.5</v>
      </c>
      <c r="F647" s="55">
        <v>500000</v>
      </c>
      <c r="G647" s="36">
        <v>1000</v>
      </c>
      <c r="H647" s="144">
        <v>500000</v>
      </c>
      <c r="I647" s="144">
        <v>1000</v>
      </c>
    </row>
    <row r="648" spans="1:9">
      <c r="A648">
        <v>101113</v>
      </c>
      <c r="B648" t="s">
        <v>872</v>
      </c>
      <c r="C648">
        <v>102.21420922971572</v>
      </c>
      <c r="D648">
        <v>1</v>
      </c>
      <c r="E648">
        <v>97.5</v>
      </c>
      <c r="F648" s="55">
        <v>500000</v>
      </c>
      <c r="G648" s="36">
        <v>1000</v>
      </c>
      <c r="H648" s="144">
        <v>500000</v>
      </c>
      <c r="I648" s="144">
        <v>1000</v>
      </c>
    </row>
    <row r="649" spans="1:9">
      <c r="A649">
        <v>101114</v>
      </c>
      <c r="B649" t="s">
        <v>873</v>
      </c>
      <c r="C649">
        <v>153.32131384457352</v>
      </c>
      <c r="D649">
        <v>1</v>
      </c>
      <c r="E649">
        <v>97.5</v>
      </c>
      <c r="F649" s="55">
        <v>750000</v>
      </c>
      <c r="G649" s="36">
        <v>1500</v>
      </c>
      <c r="H649" s="144">
        <v>750000</v>
      </c>
      <c r="I649" s="144">
        <v>1500</v>
      </c>
    </row>
    <row r="650" spans="1:9">
      <c r="A650">
        <v>101115</v>
      </c>
      <c r="B650" t="s">
        <v>874</v>
      </c>
      <c r="C650">
        <v>153.32131384457352</v>
      </c>
      <c r="D650">
        <v>1</v>
      </c>
      <c r="E650">
        <v>97.5</v>
      </c>
      <c r="F650" s="55">
        <v>750000</v>
      </c>
      <c r="G650" s="36">
        <v>1500</v>
      </c>
      <c r="H650" s="144">
        <v>750000</v>
      </c>
      <c r="I650" s="144">
        <v>1500</v>
      </c>
    </row>
    <row r="651" spans="1:9">
      <c r="A651">
        <v>101116</v>
      </c>
      <c r="B651" t="s">
        <v>488</v>
      </c>
      <c r="C651">
        <v>153.32131384457352</v>
      </c>
      <c r="D651">
        <v>1</v>
      </c>
      <c r="E651">
        <v>97.5</v>
      </c>
      <c r="F651" s="55">
        <v>750000</v>
      </c>
      <c r="G651" s="36">
        <v>1500</v>
      </c>
      <c r="H651" s="144">
        <v>750000</v>
      </c>
      <c r="I651" s="144">
        <v>1500</v>
      </c>
    </row>
    <row r="652" spans="1:9">
      <c r="A652">
        <v>101117</v>
      </c>
      <c r="B652" t="s">
        <v>1113</v>
      </c>
      <c r="C652">
        <v>51.10710461485786</v>
      </c>
      <c r="D652">
        <v>2</v>
      </c>
      <c r="E652">
        <v>97.5</v>
      </c>
      <c r="F652" s="55">
        <v>250000</v>
      </c>
      <c r="G652" s="36">
        <v>500</v>
      </c>
      <c r="H652" s="144">
        <v>250000</v>
      </c>
      <c r="I652" s="144">
        <v>500</v>
      </c>
    </row>
    <row r="653" spans="1:9">
      <c r="A653">
        <v>101118</v>
      </c>
      <c r="B653" t="s">
        <v>1114</v>
      </c>
      <c r="C653">
        <v>102.21420922971572</v>
      </c>
      <c r="D653">
        <v>3</v>
      </c>
      <c r="E653">
        <v>97.5</v>
      </c>
      <c r="F653" s="55">
        <v>500000</v>
      </c>
      <c r="G653" s="36">
        <v>1000</v>
      </c>
      <c r="H653" s="144">
        <v>500000</v>
      </c>
      <c r="I653" s="144">
        <v>1000</v>
      </c>
    </row>
    <row r="654" spans="1:9">
      <c r="A654">
        <v>101119</v>
      </c>
      <c r="B654" t="s">
        <v>1115</v>
      </c>
      <c r="C654">
        <v>102.21420922971572</v>
      </c>
      <c r="D654">
        <v>4</v>
      </c>
      <c r="E654">
        <v>97.5</v>
      </c>
      <c r="F654" s="55">
        <v>500000</v>
      </c>
      <c r="G654" s="36">
        <v>1000</v>
      </c>
      <c r="H654" s="144">
        <v>500000</v>
      </c>
      <c r="I654" s="144">
        <v>1000</v>
      </c>
    </row>
  </sheetData>
  <phoneticPr fontId="1" type="noConversion"/>
  <conditionalFormatting sqref="A1:A1048576">
    <cfRule type="duplicateValues" dxfId="2" priority="3"/>
  </conditionalFormatting>
  <conditionalFormatting sqref="F2:F1000">
    <cfRule type="expression" dxfId="1" priority="2">
      <formula>$F2&lt;&gt;$H2</formula>
    </cfRule>
  </conditionalFormatting>
  <conditionalFormatting sqref="G2:G1000">
    <cfRule type="expression" dxfId="0" priority="1">
      <formula>$G2&lt;&gt;$I2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56"/>
  <sheetViews>
    <sheetView topLeftCell="A118" workbookViewId="0">
      <selection activeCell="B155" sqref="B155"/>
    </sheetView>
  </sheetViews>
  <sheetFormatPr defaultRowHeight="13.5"/>
  <cols>
    <col min="2" max="2" width="19.375" bestFit="1" customWidth="1"/>
  </cols>
  <sheetData>
    <row r="1" spans="1:7">
      <c r="A1" s="2" t="s">
        <v>403</v>
      </c>
      <c r="B1" s="2" t="s">
        <v>404</v>
      </c>
      <c r="C1" s="2" t="s">
        <v>405</v>
      </c>
      <c r="D1" s="2" t="s">
        <v>406</v>
      </c>
      <c r="E1" s="2" t="s">
        <v>407</v>
      </c>
      <c r="F1" s="2" t="s">
        <v>408</v>
      </c>
      <c r="G1" s="2" t="s">
        <v>409</v>
      </c>
    </row>
    <row r="2" spans="1:7">
      <c r="A2">
        <f>[10]道具表价值评估!A2</f>
        <v>91001</v>
      </c>
      <c r="B2" t="str">
        <f>[10]道具表价值评估!B2</f>
        <v>马仔经验药水</v>
      </c>
      <c r="C2">
        <f>[10]道具表价值评估!C2</f>
        <v>0</v>
      </c>
      <c r="D2">
        <f>[10]道具表价值评估!D2</f>
        <v>0</v>
      </c>
      <c r="E2">
        <f>[10]道具表价值评估!E2</f>
        <v>0</v>
      </c>
      <c r="F2">
        <f>[10]道具表价值评估!F2</f>
        <v>0</v>
      </c>
      <c r="G2">
        <f>[10]道具表价值评估!G2</f>
        <v>0</v>
      </c>
    </row>
    <row r="3" spans="1:7">
      <c r="A3">
        <f>[10]道具表价值评估!A3</f>
        <v>81002</v>
      </c>
      <c r="B3" t="str">
        <f>[10]道具表价值评估!B3</f>
        <v>金币卡</v>
      </c>
      <c r="C3">
        <f>[10]道具表价值评估!C3</f>
        <v>0</v>
      </c>
      <c r="D3">
        <f>[10]道具表价值评估!D3</f>
        <v>0</v>
      </c>
      <c r="E3">
        <f>[10]道具表价值评估!E3</f>
        <v>0</v>
      </c>
      <c r="F3">
        <f>[10]道具表价值评估!F3</f>
        <v>0</v>
      </c>
      <c r="G3">
        <f>[10]道具表价值评估!G3</f>
        <v>0</v>
      </c>
    </row>
    <row r="4" spans="1:7">
      <c r="A4">
        <f>[10]道具表价值评估!A4</f>
        <v>81003</v>
      </c>
      <c r="B4" t="str">
        <f>[10]道具表价值评估!B4</f>
        <v>VIP礼包</v>
      </c>
      <c r="C4">
        <f>[10]道具表价值评估!C4</f>
        <v>0</v>
      </c>
      <c r="D4">
        <f>[10]道具表价值评估!D4</f>
        <v>0</v>
      </c>
      <c r="E4">
        <f>[10]道具表价值评估!E4</f>
        <v>0</v>
      </c>
      <c r="F4">
        <f>[10]道具表价值评估!F4</f>
        <v>0</v>
      </c>
      <c r="G4">
        <f>[10]道具表价值评估!G4</f>
        <v>0</v>
      </c>
    </row>
    <row r="5" spans="1:7">
      <c r="A5">
        <f>[10]道具表价值评估!A5</f>
        <v>81010</v>
      </c>
      <c r="B5" t="str">
        <f>[10]道具表价值评估!B5</f>
        <v>VIP体验卡</v>
      </c>
      <c r="C5">
        <f>[10]道具表价值评估!C5</f>
        <v>0</v>
      </c>
      <c r="D5">
        <f>[10]道具表价值评估!D5</f>
        <v>0</v>
      </c>
      <c r="E5">
        <f>[10]道具表价值评估!E5</f>
        <v>0</v>
      </c>
      <c r="F5">
        <f>[10]道具表价值评估!F5</f>
        <v>0</v>
      </c>
      <c r="G5">
        <f>[10]道具表价值评估!G5</f>
        <v>0</v>
      </c>
    </row>
    <row r="6" spans="1:7">
      <c r="A6">
        <f>[10]道具表价值评估!A6</f>
        <v>82001</v>
      </c>
      <c r="B6" t="str">
        <f>[10]道具表价值评估!B6</f>
        <v>翅膀碎片</v>
      </c>
      <c r="C6">
        <f>[10]道具表价值评估!C6</f>
        <v>0</v>
      </c>
      <c r="D6">
        <f>[10]道具表价值评估!D6</f>
        <v>0</v>
      </c>
      <c r="E6">
        <f>[10]道具表价值评估!E6</f>
        <v>0</v>
      </c>
      <c r="F6">
        <f>[10]道具表价值评估!F6</f>
        <v>0</v>
      </c>
      <c r="G6">
        <f>[10]道具表价值评估!G6</f>
        <v>0</v>
      </c>
    </row>
    <row r="7" spans="1:7">
      <c r="A7">
        <f>[10]道具表价值评估!A7</f>
        <v>83001</v>
      </c>
      <c r="B7" t="str">
        <f>[10]道具表价值评估!B7</f>
        <v>巨额金币卡</v>
      </c>
      <c r="C7">
        <f>[10]道具表价值评估!C7</f>
        <v>0</v>
      </c>
      <c r="D7">
        <f>[10]道具表价值评估!D7</f>
        <v>0</v>
      </c>
      <c r="E7">
        <f>[10]道具表价值评估!E7</f>
        <v>0</v>
      </c>
      <c r="F7">
        <f>[10]道具表价值评估!F7</f>
        <v>0</v>
      </c>
      <c r="G7">
        <f>[10]道具表价值评估!G7</f>
        <v>0</v>
      </c>
    </row>
    <row r="8" spans="1:7">
      <c r="A8">
        <f>[10]道具表价值评估!A8</f>
        <v>83002</v>
      </c>
      <c r="B8" t="str">
        <f>[10]道具表价值评估!B8</f>
        <v>扫荡券</v>
      </c>
      <c r="C8">
        <f>[10]道具表价值评估!C8</f>
        <v>0</v>
      </c>
      <c r="D8">
        <f>[10]道具表价值评估!D8</f>
        <v>0</v>
      </c>
      <c r="E8">
        <f>[10]道具表价值评估!E8</f>
        <v>0</v>
      </c>
      <c r="F8">
        <f>[10]道具表价值评估!F8</f>
        <v>0</v>
      </c>
      <c r="G8">
        <f>[10]道具表价值评估!G8</f>
        <v>0</v>
      </c>
    </row>
    <row r="9" spans="1:7">
      <c r="A9">
        <f>[10]道具表价值评估!A9</f>
        <v>83003</v>
      </c>
      <c r="B9" t="str">
        <f>[10]道具表价值评估!B9</f>
        <v>洪兴新星</v>
      </c>
      <c r="C9">
        <f>[10]道具表价值评估!C9</f>
        <v>40.883264194285957</v>
      </c>
      <c r="D9">
        <f>[10]道具表价值评估!D9</f>
        <v>1</v>
      </c>
      <c r="E9">
        <f>[10]道具表价值评估!E9</f>
        <v>30</v>
      </c>
      <c r="F9">
        <f>[10]道具表价值评估!F9</f>
        <v>61324.896291428937</v>
      </c>
      <c r="G9">
        <f>[10]道具表价值评估!G9</f>
        <v>122.64979258285787</v>
      </c>
    </row>
    <row r="10" spans="1:7">
      <c r="A10">
        <f>[10]道具表价值评估!A10</f>
        <v>83004</v>
      </c>
      <c r="B10" t="str">
        <f>[10]道具表价值评估!B10</f>
        <v>洪兴打仔</v>
      </c>
      <c r="C10">
        <f>[10]道具表价值评估!C10</f>
        <v>65.526357207911119</v>
      </c>
      <c r="D10">
        <f>[10]道具表价值评估!D10</f>
        <v>1</v>
      </c>
      <c r="E10">
        <f>[10]道具表价值评估!E10</f>
        <v>30</v>
      </c>
      <c r="F10">
        <f>[10]道具表价值评估!F10</f>
        <v>98289.535811866677</v>
      </c>
      <c r="G10">
        <f>[10]道具表价值评估!G10</f>
        <v>196.57907162373337</v>
      </c>
    </row>
    <row r="11" spans="1:7">
      <c r="A11">
        <f>[10]道具表价值评估!A11</f>
        <v>83005</v>
      </c>
      <c r="B11" t="str">
        <f>[10]道具表价值评估!B11</f>
        <v>扛把子</v>
      </c>
      <c r="C11">
        <f>[10]道具表价值评估!C11</f>
        <v>93.895930095509812</v>
      </c>
      <c r="D11">
        <f>[10]道具表价值评估!D11</f>
        <v>1</v>
      </c>
      <c r="E11">
        <f>[10]道具表价值评估!E11</f>
        <v>30</v>
      </c>
      <c r="F11">
        <f>[10]道具表价值评估!F11</f>
        <v>140843.89514326473</v>
      </c>
      <c r="G11">
        <f>[10]道具表价值评估!G11</f>
        <v>281.68779028652949</v>
      </c>
    </row>
    <row r="12" spans="1:7">
      <c r="A12">
        <f>[10]道具表价值评估!A12</f>
        <v>83006</v>
      </c>
      <c r="B12" t="str">
        <f>[10]道具表价值评估!B12</f>
        <v>二路元帅</v>
      </c>
      <c r="C12">
        <f>[10]道具表价值评估!C12</f>
        <v>136.84714401067484</v>
      </c>
      <c r="D12">
        <f>[10]道具表价值评估!D12</f>
        <v>1</v>
      </c>
      <c r="E12">
        <f>[10]道具表价值评估!E12</f>
        <v>30</v>
      </c>
      <c r="F12">
        <f>[10]道具表价值评估!F12</f>
        <v>205270.71601601224</v>
      </c>
      <c r="G12">
        <f>[10]道具表价值评估!G12</f>
        <v>410.54143203202449</v>
      </c>
    </row>
    <row r="13" spans="1:7">
      <c r="A13">
        <f>[10]道具表价值评估!A13</f>
        <v>83007</v>
      </c>
      <c r="B13" t="str">
        <f>[10]道具表价值评估!B13</f>
        <v>战无不胜</v>
      </c>
      <c r="C13">
        <f>[10]道具表价值评估!C13</f>
        <v>525.2369515441618</v>
      </c>
      <c r="D13">
        <f>[10]道具表价值评估!D13</f>
        <v>1</v>
      </c>
      <c r="E13">
        <f>[10]道具表价值评估!E13</f>
        <v>40</v>
      </c>
      <c r="F13">
        <f>[10]道具表价值评估!F13</f>
        <v>1050473.9030883235</v>
      </c>
      <c r="G13">
        <f>[10]道具表价值评估!G13</f>
        <v>2100.9478061766472</v>
      </c>
    </row>
    <row r="14" spans="1:7">
      <c r="A14">
        <f>[10]道具表价值评估!A14</f>
        <v>83008</v>
      </c>
      <c r="B14" t="str">
        <f>[10]道具表价值评估!B14</f>
        <v>猛龙过江</v>
      </c>
      <c r="C14">
        <f>[10]道具表价值评估!C14</f>
        <v>195.7419418851112</v>
      </c>
      <c r="D14">
        <f>[10]道具表价值评估!D14</f>
        <v>1</v>
      </c>
      <c r="E14">
        <f>[10]道具表价值评估!E14</f>
        <v>30</v>
      </c>
      <c r="F14">
        <f>[10]道具表价值评估!F14</f>
        <v>293612.91282766679</v>
      </c>
      <c r="G14">
        <f>[10]道具表价值评估!G14</f>
        <v>587.22582565533355</v>
      </c>
    </row>
    <row r="15" spans="1:7">
      <c r="A15">
        <f>[10]道具表价值评估!A15</f>
        <v>83009</v>
      </c>
      <c r="B15" t="str">
        <f>[10]道具表价值评估!B15</f>
        <v>神之手</v>
      </c>
      <c r="C15">
        <f>[10]道具表价值评估!C15</f>
        <v>325.83843064355233</v>
      </c>
      <c r="D15">
        <f>[10]道具表价值评估!D15</f>
        <v>1</v>
      </c>
      <c r="E15">
        <f>[10]道具表价值评估!E15</f>
        <v>35</v>
      </c>
      <c r="F15">
        <f>[10]道具表价值评估!F15</f>
        <v>570217.25362621655</v>
      </c>
      <c r="G15">
        <f>[10]道具表价值评估!G15</f>
        <v>1140.4345072524331</v>
      </c>
    </row>
    <row r="16" spans="1:7">
      <c r="A16">
        <f>[10]道具表价值评估!A16</f>
        <v>83010</v>
      </c>
      <c r="B16" t="str">
        <f>[10]道具表价值评估!B16</f>
        <v>富甲一方</v>
      </c>
      <c r="C16">
        <f>[10]道具表价值评估!C16</f>
        <v>163.11828490425933</v>
      </c>
      <c r="D16">
        <f>[10]道具表价值评估!D16</f>
        <v>1</v>
      </c>
      <c r="E16">
        <f>[10]道具表价值评估!E16</f>
        <v>25</v>
      </c>
      <c r="F16">
        <f>[10]道具表价值评估!F16</f>
        <v>203897.85613032416</v>
      </c>
      <c r="G16">
        <f>[10]道具表价值评估!G16</f>
        <v>407.79571226064832</v>
      </c>
    </row>
    <row r="17" spans="1:7">
      <c r="A17">
        <f>[10]道具表价值评估!A17</f>
        <v>83011</v>
      </c>
      <c r="B17" t="str">
        <f>[10]道具表价值评估!B17</f>
        <v>壕气冲天</v>
      </c>
      <c r="C17">
        <f>[10]道具表价值评估!C17</f>
        <v>271.53202553629359</v>
      </c>
      <c r="D17">
        <f>[10]道具表价值评估!D17</f>
        <v>1</v>
      </c>
      <c r="E17">
        <f>[10]道具表价值评估!E17</f>
        <v>30</v>
      </c>
      <c r="F17">
        <f>[10]道具表价值评估!F17</f>
        <v>407298.03830444039</v>
      </c>
      <c r="G17">
        <f>[10]道具表价值评估!G17</f>
        <v>814.59607660888082</v>
      </c>
    </row>
    <row r="18" spans="1:7">
      <c r="A18">
        <f>[10]道具表价值评估!A18</f>
        <v>83012</v>
      </c>
      <c r="B18" t="str">
        <f>[10]道具表价值评估!B18</f>
        <v>富可敌国</v>
      </c>
      <c r="C18">
        <f>[10]道具表价值评估!C18</f>
        <v>437.69745962013485</v>
      </c>
      <c r="D18">
        <f>[10]道具表价值评估!D18</f>
        <v>1</v>
      </c>
      <c r="E18">
        <f>[10]道具表价值评估!E18</f>
        <v>35</v>
      </c>
      <c r="F18">
        <f>[10]道具表价值评估!F18</f>
        <v>765970.55433523597</v>
      </c>
      <c r="G18">
        <f>[10]道具表价值评估!G18</f>
        <v>1531.941108670472</v>
      </c>
    </row>
    <row r="19" spans="1:7">
      <c r="A19">
        <f>[10]道具表价值评估!A19</f>
        <v>83013</v>
      </c>
      <c r="B19" t="str">
        <f>[10]道具表价值评估!B19</f>
        <v>壕气冲天</v>
      </c>
      <c r="C19">
        <f>[10]道具表价值评估!C19</f>
        <v>95.032738896301993</v>
      </c>
      <c r="D19">
        <f>[10]道具表价值评估!D19</f>
        <v>1</v>
      </c>
      <c r="E19">
        <f>[10]道具表价值评估!E19</f>
        <v>15</v>
      </c>
      <c r="F19">
        <f>[10]道具表价值评估!F19</f>
        <v>71274.554172226504</v>
      </c>
      <c r="G19">
        <f>[10]道具表价值评估!G19</f>
        <v>142.549108344453</v>
      </c>
    </row>
    <row r="20" spans="1:7">
      <c r="A20">
        <f>[10]道具表价值评估!A20</f>
        <v>83014</v>
      </c>
      <c r="B20" t="str">
        <f>[10]道具表价值评估!B20</f>
        <v>富可敌国</v>
      </c>
      <c r="C20">
        <f>[10]道具表价值评估!C20</f>
        <v>0</v>
      </c>
      <c r="D20">
        <f>[10]道具表价值评估!D20</f>
        <v>1</v>
      </c>
      <c r="E20">
        <f>[10]道具表价值评估!E20</f>
        <v>0</v>
      </c>
      <c r="F20">
        <f>[10]道具表价值评估!F20</f>
        <v>0</v>
      </c>
      <c r="G20">
        <f>[10]道具表价值评估!G20</f>
        <v>0</v>
      </c>
    </row>
    <row r="21" spans="1:7">
      <c r="A21">
        <f>[10]道具表价值评估!A21</f>
        <v>83015</v>
      </c>
      <c r="B21" t="str">
        <f>[10]道具表价值评估!B21</f>
        <v>战斗狂人</v>
      </c>
      <c r="C21">
        <f>[10]道具表价值评估!C21</f>
        <v>0</v>
      </c>
      <c r="D21">
        <f>[10]道具表价值评估!D21</f>
        <v>1</v>
      </c>
      <c r="E21">
        <f>[10]道具表价值评估!E21</f>
        <v>0</v>
      </c>
      <c r="F21">
        <f>[10]道具表价值评估!F21</f>
        <v>0</v>
      </c>
      <c r="G21">
        <f>[10]道具表价值评估!G21</f>
        <v>0</v>
      </c>
    </row>
    <row r="22" spans="1:7">
      <c r="A22">
        <f>[10]道具表价值评估!A22</f>
        <v>83016</v>
      </c>
      <c r="B22" t="str">
        <f>[10]道具表价值评估!B22</f>
        <v>不哭死神</v>
      </c>
      <c r="C22">
        <f>[10]道具表价值评估!C22</f>
        <v>0</v>
      </c>
      <c r="D22">
        <f>[10]道具表价值评估!D22</f>
        <v>1</v>
      </c>
      <c r="E22">
        <f>[10]道具表价值评估!E22</f>
        <v>0</v>
      </c>
      <c r="F22">
        <f>[10]道具表价值评估!F22</f>
        <v>0</v>
      </c>
      <c r="G22">
        <f>[10]道具表价值评估!G22</f>
        <v>0</v>
      </c>
    </row>
    <row r="23" spans="1:7">
      <c r="A23">
        <f>[10]道具表价值评估!A23</f>
        <v>83017</v>
      </c>
      <c r="B23" t="str">
        <f>[10]道具表价值评估!B23</f>
        <v>干架王</v>
      </c>
      <c r="C23">
        <f>[10]道具表价值评估!C23</f>
        <v>0</v>
      </c>
      <c r="D23">
        <f>[10]道具表价值评估!D23</f>
        <v>1</v>
      </c>
      <c r="E23">
        <f>[10]道具表价值评估!E23</f>
        <v>0</v>
      </c>
      <c r="F23">
        <f>[10]道具表价值评估!F23</f>
        <v>0</v>
      </c>
      <c r="G23">
        <f>[10]道具表价值评估!G23</f>
        <v>0</v>
      </c>
    </row>
    <row r="24" spans="1:7">
      <c r="A24">
        <f>[10]道具表价值评估!A24</f>
        <v>83018</v>
      </c>
      <c r="B24" t="str">
        <f>[10]道具表价值评估!B24</f>
        <v>破坏王</v>
      </c>
      <c r="C24">
        <f>[10]道具表价值评估!C24</f>
        <v>0</v>
      </c>
      <c r="D24">
        <f>[10]道具表价值评估!D24</f>
        <v>1</v>
      </c>
      <c r="E24">
        <f>[10]道具表价值评估!E24</f>
        <v>0</v>
      </c>
      <c r="F24">
        <f>[10]道具表价值评估!F24</f>
        <v>0</v>
      </c>
      <c r="G24">
        <f>[10]道具表价值评估!G24</f>
        <v>0</v>
      </c>
    </row>
    <row r="25" spans="1:7">
      <c r="A25">
        <f>[10]道具表价值评估!A25</f>
        <v>83019</v>
      </c>
      <c r="B25" t="str">
        <f>[10]道具表价值评估!B25</f>
        <v>战无尽</v>
      </c>
      <c r="C25">
        <f>[10]道具表价值评估!C25</f>
        <v>0</v>
      </c>
      <c r="D25">
        <f>[10]道具表价值评估!D25</f>
        <v>1</v>
      </c>
      <c r="E25">
        <f>[10]道具表价值评估!E25</f>
        <v>0</v>
      </c>
      <c r="F25">
        <f>[10]道具表价值评估!F25</f>
        <v>0</v>
      </c>
      <c r="G25">
        <f>[10]道具表价值评估!G25</f>
        <v>0</v>
      </c>
    </row>
    <row r="26" spans="1:7">
      <c r="A26">
        <f>[10]道具表价值评估!A26</f>
        <v>83020</v>
      </c>
      <c r="B26" t="str">
        <f>[10]道具表价值评估!B26</f>
        <v>绝世战神</v>
      </c>
      <c r="C26">
        <f>[10]道具表价值评估!C26</f>
        <v>0</v>
      </c>
      <c r="D26">
        <f>[10]道具表价值评估!D26</f>
        <v>1</v>
      </c>
      <c r="E26">
        <f>[10]道具表价值评估!E26</f>
        <v>0</v>
      </c>
      <c r="F26">
        <f>[10]道具表价值评估!F26</f>
        <v>0</v>
      </c>
      <c r="G26">
        <f>[10]道具表价值评估!G26</f>
        <v>0</v>
      </c>
    </row>
    <row r="27" spans="1:7">
      <c r="A27">
        <f>[10]道具表价值评估!A27</f>
        <v>83021</v>
      </c>
      <c r="B27" t="str">
        <f>[10]道具表价值评估!B27</f>
        <v>至尊王者</v>
      </c>
      <c r="C27">
        <f>[10]道具表价值评估!C27</f>
        <v>0</v>
      </c>
      <c r="D27">
        <f>[10]道具表价值评估!D27</f>
        <v>1</v>
      </c>
      <c r="E27">
        <f>[10]道具表价值评估!E27</f>
        <v>0</v>
      </c>
      <c r="F27">
        <f>[10]道具表价值评估!F27</f>
        <v>0</v>
      </c>
      <c r="G27">
        <f>[10]道具表价值评估!G27</f>
        <v>0</v>
      </c>
    </row>
    <row r="28" spans="1:7">
      <c r="A28">
        <f>[10]道具表价值评估!A28</f>
        <v>83022</v>
      </c>
      <c r="B28" t="str">
        <f>[10]道具表价值评估!B28</f>
        <v>横砍一条街</v>
      </c>
      <c r="C28">
        <f>[10]道具表价值评估!C28</f>
        <v>0</v>
      </c>
      <c r="D28">
        <f>[10]道具表价值评估!D28</f>
        <v>1</v>
      </c>
      <c r="E28">
        <f>[10]道具表价值评估!E28</f>
        <v>0</v>
      </c>
      <c r="F28">
        <f>[10]道具表价值评估!F28</f>
        <v>0</v>
      </c>
      <c r="G28">
        <f>[10]道具表价值评估!G28</f>
        <v>0</v>
      </c>
    </row>
    <row r="29" spans="1:7">
      <c r="A29">
        <f>[10]道具表价值评估!A29</f>
        <v>83103</v>
      </c>
      <c r="B29" t="str">
        <f>[10]道具表价值评估!B29</f>
        <v>洪兴新星(3天)</v>
      </c>
      <c r="C29">
        <f>[10]道具表价值评估!C29</f>
        <v>40.883264194285957</v>
      </c>
      <c r="D29">
        <f>[10]道具表价值评估!D29</f>
        <v>1</v>
      </c>
      <c r="E29">
        <f>[10]道具表价值评估!E29</f>
        <v>15</v>
      </c>
      <c r="F29">
        <f>[10]道具表价值评估!F29</f>
        <v>30662.448145714468</v>
      </c>
      <c r="G29">
        <f>[10]道具表价值评估!G29</f>
        <v>61.324896291428935</v>
      </c>
    </row>
    <row r="30" spans="1:7">
      <c r="A30">
        <f>[10]道具表价值评估!A30</f>
        <v>83104</v>
      </c>
      <c r="B30" t="str">
        <f>[10]道具表价值评估!B30</f>
        <v>洪兴打仔(3天)</v>
      </c>
      <c r="C30">
        <f>[10]道具表价值评估!C30</f>
        <v>65.526357207911119</v>
      </c>
      <c r="D30">
        <f>[10]道具表价值评估!D30</f>
        <v>1</v>
      </c>
      <c r="E30">
        <f>[10]道具表价值评估!E30</f>
        <v>15</v>
      </c>
      <c r="F30">
        <f>[10]道具表价值评估!F30</f>
        <v>49144.767905933339</v>
      </c>
      <c r="G30">
        <f>[10]道具表价值评估!G30</f>
        <v>98.289535811866685</v>
      </c>
    </row>
    <row r="31" spans="1:7">
      <c r="A31">
        <f>[10]道具表价值评估!A31</f>
        <v>83105</v>
      </c>
      <c r="B31" t="str">
        <f>[10]道具表价值评估!B31</f>
        <v>扛把子(3天)</v>
      </c>
      <c r="C31">
        <f>[10]道具表价值评估!C31</f>
        <v>93.895930095509812</v>
      </c>
      <c r="D31">
        <f>[10]道具表价值评估!D31</f>
        <v>1</v>
      </c>
      <c r="E31">
        <f>[10]道具表价值评估!E31</f>
        <v>15</v>
      </c>
      <c r="F31">
        <f>[10]道具表价值评估!F31</f>
        <v>70421.947571632365</v>
      </c>
      <c r="G31">
        <f>[10]道具表价值评估!G31</f>
        <v>140.84389514326475</v>
      </c>
    </row>
    <row r="32" spans="1:7">
      <c r="A32">
        <f>[10]道具表价值评估!A32</f>
        <v>83106</v>
      </c>
      <c r="B32" t="str">
        <f>[10]道具表价值评估!B32</f>
        <v>二路元帅(3天)</v>
      </c>
      <c r="C32">
        <f>[10]道具表价值评估!C32</f>
        <v>136.84714401067484</v>
      </c>
      <c r="D32">
        <f>[10]道具表价值评估!D32</f>
        <v>1</v>
      </c>
      <c r="E32">
        <f>[10]道具表价值评估!E32</f>
        <v>15</v>
      </c>
      <c r="F32">
        <f>[10]道具表价值评估!F32</f>
        <v>102635.35800800612</v>
      </c>
      <c r="G32">
        <f>[10]道具表价值评估!G32</f>
        <v>205.27071601601224</v>
      </c>
    </row>
    <row r="33" spans="1:7">
      <c r="A33">
        <f>[10]道具表价值评估!A33</f>
        <v>83107</v>
      </c>
      <c r="B33" t="str">
        <f>[10]道具表价值评估!B33</f>
        <v>战无不胜(3天)</v>
      </c>
      <c r="C33">
        <f>[10]道具表价值评估!C33</f>
        <v>525.2369515441618</v>
      </c>
      <c r="D33">
        <f>[10]道具表价值评估!D33</f>
        <v>1</v>
      </c>
      <c r="E33">
        <f>[10]道具表价值评估!E33</f>
        <v>20</v>
      </c>
      <c r="F33">
        <f>[10]道具表价值评估!F33</f>
        <v>525236.95154416177</v>
      </c>
      <c r="G33">
        <f>[10]道具表价值评估!G33</f>
        <v>1050.4739030883236</v>
      </c>
    </row>
    <row r="34" spans="1:7">
      <c r="A34">
        <f>[10]道具表价值评估!A34</f>
        <v>83108</v>
      </c>
      <c r="B34" t="str">
        <f>[10]道具表价值评估!B34</f>
        <v>猛龙过江(3天)</v>
      </c>
      <c r="C34">
        <f>[10]道具表价值评估!C34</f>
        <v>195.7419418851112</v>
      </c>
      <c r="D34">
        <f>[10]道具表价值评估!D34</f>
        <v>1</v>
      </c>
      <c r="E34">
        <f>[10]道具表价值评估!E34</f>
        <v>15</v>
      </c>
      <c r="F34">
        <f>[10]道具表价值评估!F34</f>
        <v>146806.4564138334</v>
      </c>
      <c r="G34">
        <f>[10]道具表价值评估!G34</f>
        <v>293.61291282766678</v>
      </c>
    </row>
    <row r="35" spans="1:7">
      <c r="A35">
        <f>[10]道具表价值评估!A35</f>
        <v>83109</v>
      </c>
      <c r="B35" t="str">
        <f>[10]道具表价值评估!B35</f>
        <v>神之手(3天)</v>
      </c>
      <c r="C35">
        <f>[10]道具表价值评估!C35</f>
        <v>325.83843064355233</v>
      </c>
      <c r="D35">
        <f>[10]道具表价值评估!D35</f>
        <v>1</v>
      </c>
      <c r="E35">
        <f>[10]道具表价值评估!E35</f>
        <v>17.5</v>
      </c>
      <c r="F35">
        <f>[10]道具表价值评估!F35</f>
        <v>285108.62681310828</v>
      </c>
      <c r="G35">
        <f>[10]道具表价值评估!G35</f>
        <v>570.21725362621657</v>
      </c>
    </row>
    <row r="36" spans="1:7">
      <c r="A36">
        <f>[10]道具表价值评估!A36</f>
        <v>83110</v>
      </c>
      <c r="B36" t="str">
        <f>[10]道具表价值评估!B36</f>
        <v>富甲一方(3天)</v>
      </c>
      <c r="C36">
        <f>[10]道具表价值评估!C36</f>
        <v>163.11828490425933</v>
      </c>
      <c r="D36">
        <f>[10]道具表价值评估!D36</f>
        <v>1</v>
      </c>
      <c r="E36">
        <f>[10]道具表价值评估!E36</f>
        <v>12.5</v>
      </c>
      <c r="F36">
        <f>[10]道具表价值评估!F36</f>
        <v>101948.92806516208</v>
      </c>
      <c r="G36">
        <f>[10]道具表价值评估!G36</f>
        <v>203.89785613032416</v>
      </c>
    </row>
    <row r="37" spans="1:7">
      <c r="A37">
        <f>[10]道具表价值评估!A37</f>
        <v>83111</v>
      </c>
      <c r="B37" t="str">
        <f>[10]道具表价值评估!B37</f>
        <v>壕气冲天(3天)</v>
      </c>
      <c r="C37">
        <f>[10]道具表价值评估!C37</f>
        <v>271.53202553629359</v>
      </c>
      <c r="D37">
        <f>[10]道具表价值评估!D37</f>
        <v>1</v>
      </c>
      <c r="E37">
        <f>[10]道具表价值评估!E37</f>
        <v>15</v>
      </c>
      <c r="F37">
        <f>[10]道具表价值评估!F37</f>
        <v>203649.01915222019</v>
      </c>
      <c r="G37">
        <f>[10]道具表价值评估!G37</f>
        <v>407.29803830444041</v>
      </c>
    </row>
    <row r="38" spans="1:7">
      <c r="A38">
        <f>[10]道具表价值评估!A38</f>
        <v>83112</v>
      </c>
      <c r="B38" t="str">
        <f>[10]道具表价值评估!B38</f>
        <v>富可敌国(3天)</v>
      </c>
      <c r="C38">
        <f>[10]道具表价值评估!C38</f>
        <v>437.69745962013485</v>
      </c>
      <c r="D38">
        <f>[10]道具表价值评估!D38</f>
        <v>1</v>
      </c>
      <c r="E38">
        <f>[10]道具表价值评估!E38</f>
        <v>17.5</v>
      </c>
      <c r="F38">
        <f>[10]道具表价值评估!F38</f>
        <v>382985.27716761798</v>
      </c>
      <c r="G38">
        <f>[10]道具表价值评估!G38</f>
        <v>765.97055433523599</v>
      </c>
    </row>
    <row r="39" spans="1:7">
      <c r="A39">
        <f>[10]道具表价值评估!A39</f>
        <v>83113</v>
      </c>
      <c r="B39" t="str">
        <f>[10]道具表价值评估!B39</f>
        <v>壕气冲天(3天)</v>
      </c>
      <c r="C39">
        <f>[10]道具表价值评估!C39</f>
        <v>95.032738896301993</v>
      </c>
      <c r="D39">
        <f>[10]道具表价值评估!D39</f>
        <v>1</v>
      </c>
      <c r="E39">
        <f>[10]道具表价值评估!E39</f>
        <v>15</v>
      </c>
      <c r="F39">
        <f>[10]道具表价值评估!F39</f>
        <v>71274.554172226504</v>
      </c>
      <c r="G39">
        <f>[10]道具表价值评估!G39</f>
        <v>142.549108344453</v>
      </c>
    </row>
    <row r="40" spans="1:7">
      <c r="A40">
        <f>[10]道具表价值评估!A40</f>
        <v>83114</v>
      </c>
      <c r="B40" t="str">
        <f>[10]道具表价值评估!B40</f>
        <v>富可敌国(3天)</v>
      </c>
      <c r="C40">
        <f>[10]道具表价值评估!C40</f>
        <v>0</v>
      </c>
      <c r="D40">
        <f>[10]道具表价值评估!D40</f>
        <v>1</v>
      </c>
      <c r="E40">
        <f>[10]道具表价值评估!E40</f>
        <v>0</v>
      </c>
      <c r="F40">
        <f>[10]道具表价值评估!F40</f>
        <v>0</v>
      </c>
      <c r="G40">
        <f>[10]道具表价值评估!G40</f>
        <v>0</v>
      </c>
    </row>
    <row r="41" spans="1:7">
      <c r="A41">
        <f>[10]道具表价值评估!A41</f>
        <v>83115</v>
      </c>
      <c r="B41" t="str">
        <f>[10]道具表价值评估!B41</f>
        <v>战斗狂人(3天)</v>
      </c>
      <c r="C41">
        <f>[10]道具表价值评估!C41</f>
        <v>0</v>
      </c>
      <c r="D41">
        <f>[10]道具表价值评估!D41</f>
        <v>1</v>
      </c>
      <c r="E41">
        <f>[10]道具表价值评估!E41</f>
        <v>0</v>
      </c>
      <c r="F41">
        <f>[10]道具表价值评估!F41</f>
        <v>0</v>
      </c>
      <c r="G41">
        <f>[10]道具表价值评估!G41</f>
        <v>0</v>
      </c>
    </row>
    <row r="42" spans="1:7">
      <c r="A42">
        <f>[10]道具表价值评估!A42</f>
        <v>83116</v>
      </c>
      <c r="B42" t="str">
        <f>[10]道具表价值评估!B42</f>
        <v>不哭死神(3天)</v>
      </c>
      <c r="C42">
        <f>[10]道具表价值评估!C42</f>
        <v>0</v>
      </c>
      <c r="D42">
        <f>[10]道具表价值评估!D42</f>
        <v>1</v>
      </c>
      <c r="E42">
        <f>[10]道具表价值评估!E42</f>
        <v>0</v>
      </c>
      <c r="F42">
        <f>[10]道具表价值评估!F42</f>
        <v>0</v>
      </c>
      <c r="G42">
        <f>[10]道具表价值评估!G42</f>
        <v>0</v>
      </c>
    </row>
    <row r="43" spans="1:7">
      <c r="A43">
        <f>[10]道具表价值评估!A43</f>
        <v>83117</v>
      </c>
      <c r="B43" t="str">
        <f>[10]道具表价值评估!B43</f>
        <v>干架王(3天)</v>
      </c>
      <c r="C43">
        <f>[10]道具表价值评估!C43</f>
        <v>0</v>
      </c>
      <c r="D43">
        <f>[10]道具表价值评估!D43</f>
        <v>1</v>
      </c>
      <c r="E43">
        <f>[10]道具表价值评估!E43</f>
        <v>0</v>
      </c>
      <c r="F43">
        <f>[10]道具表价值评估!F43</f>
        <v>0</v>
      </c>
      <c r="G43">
        <f>[10]道具表价值评估!G43</f>
        <v>0</v>
      </c>
    </row>
    <row r="44" spans="1:7">
      <c r="A44">
        <f>[10]道具表价值评估!A44</f>
        <v>83118</v>
      </c>
      <c r="B44" t="str">
        <f>[10]道具表价值评估!B44</f>
        <v>破坏王(3天)</v>
      </c>
      <c r="C44">
        <f>[10]道具表价值评估!C44</f>
        <v>0</v>
      </c>
      <c r="D44">
        <f>[10]道具表价值评估!D44</f>
        <v>1</v>
      </c>
      <c r="E44">
        <f>[10]道具表价值评估!E44</f>
        <v>0</v>
      </c>
      <c r="F44">
        <f>[10]道具表价值评估!F44</f>
        <v>0</v>
      </c>
      <c r="G44">
        <f>[10]道具表价值评估!G44</f>
        <v>0</v>
      </c>
    </row>
    <row r="45" spans="1:7">
      <c r="A45">
        <f>[10]道具表价值评估!A45</f>
        <v>83119</v>
      </c>
      <c r="B45" t="str">
        <f>[10]道具表价值评估!B45</f>
        <v>战无尽(3天)</v>
      </c>
      <c r="C45">
        <f>[10]道具表价值评估!C45</f>
        <v>0</v>
      </c>
      <c r="D45">
        <f>[10]道具表价值评估!D45</f>
        <v>1</v>
      </c>
      <c r="E45">
        <f>[10]道具表价值评估!E45</f>
        <v>0</v>
      </c>
      <c r="F45">
        <f>[10]道具表价值评估!F45</f>
        <v>0</v>
      </c>
      <c r="G45">
        <f>[10]道具表价值评估!G45</f>
        <v>0</v>
      </c>
    </row>
    <row r="46" spans="1:7">
      <c r="A46">
        <f>[10]道具表价值评估!A46</f>
        <v>83120</v>
      </c>
      <c r="B46" t="str">
        <f>[10]道具表价值评估!B46</f>
        <v>绝世战神(3天)</v>
      </c>
      <c r="C46">
        <f>[10]道具表价值评估!C46</f>
        <v>0</v>
      </c>
      <c r="D46">
        <f>[10]道具表价值评估!D46</f>
        <v>1</v>
      </c>
      <c r="E46">
        <f>[10]道具表价值评估!E46</f>
        <v>0</v>
      </c>
      <c r="F46">
        <f>[10]道具表价值评估!F46</f>
        <v>0</v>
      </c>
      <c r="G46">
        <f>[10]道具表价值评估!G46</f>
        <v>0</v>
      </c>
    </row>
    <row r="47" spans="1:7">
      <c r="A47">
        <f>[10]道具表价值评估!A47</f>
        <v>83121</v>
      </c>
      <c r="B47" t="str">
        <f>[10]道具表价值评估!B47</f>
        <v>至尊王者(3天)</v>
      </c>
      <c r="C47">
        <f>[10]道具表价值评估!C47</f>
        <v>0</v>
      </c>
      <c r="D47">
        <f>[10]道具表价值评估!D47</f>
        <v>1</v>
      </c>
      <c r="E47">
        <f>[10]道具表价值评估!E47</f>
        <v>0</v>
      </c>
      <c r="F47">
        <f>[10]道具表价值评估!F47</f>
        <v>0</v>
      </c>
      <c r="G47">
        <f>[10]道具表价值评估!G47</f>
        <v>0</v>
      </c>
    </row>
    <row r="48" spans="1:7">
      <c r="A48">
        <f>[10]道具表价值评估!A48</f>
        <v>83122</v>
      </c>
      <c r="B48" t="str">
        <f>[10]道具表价值评估!B48</f>
        <v>横砍一条街(3天)</v>
      </c>
      <c r="C48">
        <f>[10]道具表价值评估!C48</f>
        <v>0</v>
      </c>
      <c r="D48">
        <f>[10]道具表价值评估!D48</f>
        <v>1</v>
      </c>
      <c r="E48">
        <f>[10]道具表价值评估!E48</f>
        <v>0</v>
      </c>
      <c r="F48">
        <f>[10]道具表价值评估!F48</f>
        <v>0</v>
      </c>
      <c r="G48">
        <f>[10]道具表价值评估!G48</f>
        <v>0</v>
      </c>
    </row>
    <row r="49" spans="1:7">
      <c r="A49">
        <f>[10]道具表价值评估!A49</f>
        <v>78101</v>
      </c>
      <c r="B49" t="str">
        <f>[10]道具表价值评估!B49</f>
        <v>马仔碎片(制服太妹)</v>
      </c>
      <c r="C49">
        <f>[10]道具表价值评估!C49</f>
        <v>2.5553552307428928</v>
      </c>
      <c r="D49">
        <f>[10]道具表价值评估!D49</f>
        <v>980</v>
      </c>
      <c r="E49">
        <f>[10]道具表价值评估!E49</f>
        <v>97.5</v>
      </c>
      <c r="F49">
        <f>[10]道具表价值评估!F49</f>
        <v>12500</v>
      </c>
      <c r="G49">
        <f>[10]道具表价值评估!G49</f>
        <v>25</v>
      </c>
    </row>
    <row r="50" spans="1:7">
      <c r="A50">
        <f>[10]道具表价值评估!A50</f>
        <v>78102</v>
      </c>
      <c r="B50" t="str">
        <f>[10]道具表价值评估!B50</f>
        <v>马仔碎片(蟹仔)</v>
      </c>
      <c r="C50">
        <f>[10]道具表价值评估!C50</f>
        <v>2.5553552307428928</v>
      </c>
      <c r="D50">
        <f>[10]道具表价值评估!D50</f>
        <v>980</v>
      </c>
      <c r="E50">
        <f>[10]道具表价值评估!E50</f>
        <v>97.5</v>
      </c>
      <c r="F50">
        <f>[10]道具表价值评估!F50</f>
        <v>12500</v>
      </c>
      <c r="G50">
        <f>[10]道具表价值评估!G50</f>
        <v>25</v>
      </c>
    </row>
    <row r="51" spans="1:7">
      <c r="A51">
        <f>[10]道具表价值评估!A51</f>
        <v>78103</v>
      </c>
      <c r="B51" t="str">
        <f>[10]道具表价值评估!B51</f>
        <v>马仔碎片(比利)</v>
      </c>
      <c r="C51">
        <f>[10]道具表价值评估!C51</f>
        <v>2.5553552307428928</v>
      </c>
      <c r="D51">
        <f>[10]道具表价值评估!D51</f>
        <v>980</v>
      </c>
      <c r="E51">
        <f>[10]道具表价值评估!E51</f>
        <v>97.5</v>
      </c>
      <c r="F51">
        <f>[10]道具表价值评估!F51</f>
        <v>12500</v>
      </c>
      <c r="G51">
        <f>[10]道具表价值评估!G51</f>
        <v>25</v>
      </c>
    </row>
    <row r="52" spans="1:7">
      <c r="A52">
        <f>[10]道具表价值评估!A52</f>
        <v>78104</v>
      </c>
      <c r="B52" t="str">
        <f>[10]道具表价值评估!B52</f>
        <v>马仔碎片(黎九)</v>
      </c>
      <c r="C52">
        <f>[10]道具表价值评估!C52</f>
        <v>2.5553552307428928</v>
      </c>
      <c r="D52">
        <f>[10]道具表价值评估!D52</f>
        <v>980</v>
      </c>
      <c r="E52">
        <f>[10]道具表价值评估!E52</f>
        <v>97.5</v>
      </c>
      <c r="F52">
        <f>[10]道具表价值评估!F52</f>
        <v>12500</v>
      </c>
      <c r="G52">
        <f>[10]道具表价值评估!G52</f>
        <v>25</v>
      </c>
    </row>
    <row r="53" spans="1:7">
      <c r="A53">
        <f>[10]道具表价值评估!A53</f>
        <v>78105</v>
      </c>
      <c r="B53" t="str">
        <f>[10]道具表价值评估!B53</f>
        <v>马仔碎片(黑古)</v>
      </c>
      <c r="C53">
        <f>[10]道具表价值评估!C53</f>
        <v>2.5553552307428928</v>
      </c>
      <c r="D53">
        <f>[10]道具表价值评估!D53</f>
        <v>980</v>
      </c>
      <c r="E53">
        <f>[10]道具表价值评估!E53</f>
        <v>97.5</v>
      </c>
      <c r="F53">
        <f>[10]道具表价值评估!F53</f>
        <v>12500</v>
      </c>
      <c r="G53">
        <f>[10]道具表价值评估!G53</f>
        <v>25</v>
      </c>
    </row>
    <row r="54" spans="1:7">
      <c r="A54">
        <f>[10]道具表价值评估!A54</f>
        <v>78106</v>
      </c>
      <c r="B54" t="str">
        <f>[10]道具表价值评估!B54</f>
        <v>马仔碎片(靓坤)</v>
      </c>
      <c r="C54">
        <f>[10]道具表价值评估!C54</f>
        <v>5.1107104614857857</v>
      </c>
      <c r="D54">
        <f>[10]道具表价值评估!D54</f>
        <v>980</v>
      </c>
      <c r="E54">
        <f>[10]道具表价值评估!E54</f>
        <v>97.5</v>
      </c>
      <c r="F54">
        <f>[10]道具表价值评估!F54</f>
        <v>25000</v>
      </c>
      <c r="G54">
        <f>[10]道具表价值评估!G54</f>
        <v>50</v>
      </c>
    </row>
    <row r="55" spans="1:7">
      <c r="A55">
        <f>[10]道具表价值评估!A55</f>
        <v>78107</v>
      </c>
      <c r="B55" t="str">
        <f>[10]道具表价值评估!B55</f>
        <v>马仔碎片(雷复轰)</v>
      </c>
      <c r="C55">
        <f>[10]道具表价值评估!C55</f>
        <v>5.1107104614857857</v>
      </c>
      <c r="D55">
        <f>[10]道具表价值评估!D55</f>
        <v>980</v>
      </c>
      <c r="E55">
        <f>[10]道具表价值评估!E55</f>
        <v>97.5</v>
      </c>
      <c r="F55">
        <f>[10]道具表价值评估!F55</f>
        <v>25000</v>
      </c>
      <c r="G55">
        <f>[10]道具表价值评估!G55</f>
        <v>50</v>
      </c>
    </row>
    <row r="56" spans="1:7">
      <c r="A56">
        <f>[10]道具表价值评估!A56</f>
        <v>78108</v>
      </c>
      <c r="B56" t="str">
        <f>[10]道具表价值评估!B56</f>
        <v>马仔碎片(肥仔)</v>
      </c>
      <c r="C56">
        <f>[10]道具表价值评估!C56</f>
        <v>5.1107104614857857</v>
      </c>
      <c r="D56">
        <f>[10]道具表价值评估!D56</f>
        <v>980</v>
      </c>
      <c r="E56">
        <f>[10]道具表价值评估!E56</f>
        <v>97.5</v>
      </c>
      <c r="F56">
        <f>[10]道具表价值评估!F56</f>
        <v>25000</v>
      </c>
      <c r="G56">
        <f>[10]道具表价值评估!G56</f>
        <v>50</v>
      </c>
    </row>
    <row r="57" spans="1:7">
      <c r="A57">
        <f>[10]道具表价值评估!A57</f>
        <v>78109</v>
      </c>
      <c r="B57" t="str">
        <f>[10]道具表价值评估!B57</f>
        <v>马仔碎片(司徒浩南)</v>
      </c>
      <c r="C57">
        <f>[10]道具表价值评估!C57</f>
        <v>10.221420922971571</v>
      </c>
      <c r="D57">
        <f>[10]道具表价值评估!D57</f>
        <v>980</v>
      </c>
      <c r="E57">
        <f>[10]道具表价值评估!E57</f>
        <v>97.5</v>
      </c>
      <c r="F57">
        <f>[10]道具表价值评估!F57</f>
        <v>50000</v>
      </c>
      <c r="G57">
        <f>[10]道具表价值评估!G57</f>
        <v>100</v>
      </c>
    </row>
    <row r="58" spans="1:7">
      <c r="A58">
        <f>[10]道具表价值评估!A58</f>
        <v>78110</v>
      </c>
      <c r="B58" t="str">
        <f>[10]道具表价值评估!B58</f>
        <v>马仔碎片(乌鸦)</v>
      </c>
      <c r="C58">
        <f>[10]道具表价值评估!C58</f>
        <v>10.221420922971571</v>
      </c>
      <c r="D58">
        <f>[10]道具表价值评估!D58</f>
        <v>980</v>
      </c>
      <c r="E58">
        <f>[10]道具表价值评估!E58</f>
        <v>97.5</v>
      </c>
      <c r="F58">
        <f>[10]道具表价值评估!F58</f>
        <v>50000</v>
      </c>
      <c r="G58">
        <f>[10]道具表价值评估!G58</f>
        <v>100</v>
      </c>
    </row>
    <row r="59" spans="1:7">
      <c r="A59">
        <f>[10]道具表价值评估!A59</f>
        <v>78111</v>
      </c>
      <c r="B59" t="str">
        <f>[10]道具表价值评估!B59</f>
        <v>马仔碎片(赌王)</v>
      </c>
      <c r="C59">
        <f>[10]道具表价值评估!C59</f>
        <v>10.221420922971571</v>
      </c>
      <c r="D59">
        <f>[10]道具表价值评估!D59</f>
        <v>980</v>
      </c>
      <c r="E59">
        <f>[10]道具表价值评估!E59</f>
        <v>97.5</v>
      </c>
      <c r="F59">
        <f>[10]道具表价值评估!F59</f>
        <v>50000</v>
      </c>
      <c r="G59">
        <f>[10]道具表价值评估!G59</f>
        <v>100</v>
      </c>
    </row>
    <row r="60" spans="1:7">
      <c r="A60">
        <f>[10]道具表价值评估!A60</f>
        <v>78112</v>
      </c>
      <c r="B60" t="str">
        <f>[10]道具表价值评估!B60</f>
        <v>马仔碎片(山下忠秀)</v>
      </c>
      <c r="C60">
        <f>[10]道具表价值评估!C60</f>
        <v>10.221420922971571</v>
      </c>
      <c r="D60">
        <f>[10]道具表价值评估!D60</f>
        <v>980</v>
      </c>
      <c r="E60">
        <f>[10]道具表价值评估!E60</f>
        <v>97.5</v>
      </c>
      <c r="F60">
        <f>[10]道具表价值评估!F60</f>
        <v>50000</v>
      </c>
      <c r="G60">
        <f>[10]道具表价值评估!G60</f>
        <v>100</v>
      </c>
    </row>
    <row r="61" spans="1:7">
      <c r="A61">
        <f>[10]道具表价值评估!A61</f>
        <v>78113</v>
      </c>
      <c r="B61" t="str">
        <f>[10]道具表价值评估!B61</f>
        <v>马仔碎片(宫本一)</v>
      </c>
      <c r="C61">
        <f>[10]道具表价值评估!C61</f>
        <v>10.221420922971571</v>
      </c>
      <c r="D61">
        <f>[10]道具表价值评估!D61</f>
        <v>980</v>
      </c>
      <c r="E61">
        <f>[10]道具表价值评估!E61</f>
        <v>97.5</v>
      </c>
      <c r="F61">
        <f>[10]道具表价值评估!F61</f>
        <v>50000</v>
      </c>
      <c r="G61">
        <f>[10]道具表价值评估!G61</f>
        <v>100</v>
      </c>
    </row>
    <row r="62" spans="1:7">
      <c r="A62">
        <f>[10]道具表价值评估!A62</f>
        <v>78114</v>
      </c>
      <c r="B62" t="str">
        <f>[10]道具表价值评估!B62</f>
        <v>马仔碎片(陈浩南)</v>
      </c>
      <c r="C62">
        <f>[10]道具表价值评估!C62</f>
        <v>15.332131384457353</v>
      </c>
      <c r="D62">
        <f>[10]道具表价值评估!D62</f>
        <v>980</v>
      </c>
      <c r="E62">
        <f>[10]道具表价值评估!E62</f>
        <v>97.5</v>
      </c>
      <c r="F62">
        <f>[10]道具表价值评估!F62</f>
        <v>75000</v>
      </c>
      <c r="G62">
        <f>[10]道具表价值评估!G62</f>
        <v>150</v>
      </c>
    </row>
    <row r="63" spans="1:7">
      <c r="A63">
        <f>[10]道具表价值评估!A63</f>
        <v>78115</v>
      </c>
      <c r="B63" t="str">
        <f>[10]道具表价值评估!B63</f>
        <v>马仔碎片(山鸡)</v>
      </c>
      <c r="C63">
        <f>[10]道具表价值评估!C63</f>
        <v>15.332131384457353</v>
      </c>
      <c r="D63">
        <f>[10]道具表价值评估!D63</f>
        <v>980</v>
      </c>
      <c r="E63">
        <f>[10]道具表价值评估!E63</f>
        <v>97.5</v>
      </c>
      <c r="F63">
        <f>[10]道具表价值评估!F63</f>
        <v>75000</v>
      </c>
      <c r="G63">
        <f>[10]道具表价值评估!G63</f>
        <v>150</v>
      </c>
    </row>
    <row r="64" spans="1:7">
      <c r="A64">
        <f>[10]道具表价值评估!A64</f>
        <v>78116</v>
      </c>
      <c r="B64" t="str">
        <f>[10]道具表价值评估!B64</f>
        <v>马仔碎片(大天二)</v>
      </c>
      <c r="C64">
        <f>[10]道具表价值评估!C64</f>
        <v>15.332131384457353</v>
      </c>
      <c r="D64">
        <f>[10]道具表价值评估!D64</f>
        <v>980</v>
      </c>
      <c r="E64">
        <f>[10]道具表价值评估!E64</f>
        <v>97.5</v>
      </c>
      <c r="F64">
        <f>[10]道具表价值评估!F64</f>
        <v>75000</v>
      </c>
      <c r="G64">
        <f>[10]道具表价值评估!G64</f>
        <v>150</v>
      </c>
    </row>
    <row r="65" spans="1:7">
      <c r="A65">
        <f>[10]道具表价值评估!A65</f>
        <v>78117</v>
      </c>
      <c r="B65" t="str">
        <f>[10]道具表价值评估!B65</f>
        <v>马仔碎片(巴闭)</v>
      </c>
      <c r="C65">
        <f>[10]道具表价值评估!C65</f>
        <v>5.1107104614857857</v>
      </c>
      <c r="D65">
        <f>[10]道具表价值评估!D65</f>
        <v>980</v>
      </c>
      <c r="E65">
        <f>[10]道具表价值评估!E65</f>
        <v>97.5</v>
      </c>
      <c r="F65">
        <f>[10]道具表价值评估!F65</f>
        <v>25000</v>
      </c>
      <c r="G65">
        <f>[10]道具表价值评估!G65</f>
        <v>50</v>
      </c>
    </row>
    <row r="66" spans="1:7">
      <c r="A66">
        <f>[10]道具表价值评估!A66</f>
        <v>78118</v>
      </c>
      <c r="B66" t="str">
        <f>[10]道具表价值评估!B66</f>
        <v>马仔碎片(耀阳)</v>
      </c>
      <c r="C66">
        <f>[10]道具表价值评估!C66</f>
        <v>10.221420922971571</v>
      </c>
      <c r="D66">
        <f>[10]道具表价值评估!D66</f>
        <v>980</v>
      </c>
      <c r="E66">
        <f>[10]道具表价值评估!E66</f>
        <v>97.5</v>
      </c>
      <c r="F66">
        <f>[10]道具表价值评估!F66</f>
        <v>50000</v>
      </c>
      <c r="G66">
        <f>[10]道具表价值评估!G66</f>
        <v>100</v>
      </c>
    </row>
    <row r="67" spans="1:7">
      <c r="A67">
        <f>[10]道具表价值评估!A67</f>
        <v>78119</v>
      </c>
      <c r="B67" t="str">
        <f>[10]道具表价值评估!B67</f>
        <v>马仔碎片(笑面虎)</v>
      </c>
      <c r="C67">
        <f>[10]道具表价值评估!C67</f>
        <v>10.221420922971571</v>
      </c>
      <c r="D67">
        <f>[10]道具表价值评估!D67</f>
        <v>980</v>
      </c>
      <c r="E67">
        <f>[10]道具表价值评估!E67</f>
        <v>97.5</v>
      </c>
      <c r="F67">
        <f>[10]道具表价值评估!F67</f>
        <v>50000</v>
      </c>
      <c r="G67">
        <f>[10]道具表价值评估!G67</f>
        <v>100</v>
      </c>
    </row>
    <row r="68" spans="1:7">
      <c r="A68">
        <f>[10]道具表价值评估!A68</f>
        <v>70001</v>
      </c>
      <c r="B68" t="str">
        <f>[10]道具表价值评估!B68</f>
        <v>低级强化石</v>
      </c>
      <c r="C68">
        <f>[10]道具表价值评估!C68</f>
        <v>4</v>
      </c>
      <c r="D68">
        <f>[10]道具表价值评估!D68</f>
        <v>0</v>
      </c>
      <c r="E68">
        <f>[10]道具表价值评估!E68</f>
        <v>4</v>
      </c>
      <c r="F68">
        <f>[10]道具表价值评估!F68</f>
        <v>800</v>
      </c>
      <c r="G68">
        <f>[10]道具表价值评估!G68</f>
        <v>2</v>
      </c>
    </row>
    <row r="69" spans="1:7">
      <c r="A69">
        <f>[10]道具表价值评估!A69</f>
        <v>70002</v>
      </c>
      <c r="B69" t="str">
        <f>[10]道具表价值评估!B69</f>
        <v>中级强化石</v>
      </c>
      <c r="C69">
        <f>[10]道具表价值评估!C69</f>
        <v>20</v>
      </c>
      <c r="D69">
        <f>[10]道具表价值评估!D69</f>
        <v>0</v>
      </c>
      <c r="E69">
        <f>[10]道具表价值评估!E69</f>
        <v>4</v>
      </c>
      <c r="F69">
        <f>[10]道具表价值评估!F69</f>
        <v>4000</v>
      </c>
      <c r="G69">
        <f>[10]道具表价值评估!G69</f>
        <v>8</v>
      </c>
    </row>
    <row r="70" spans="1:7">
      <c r="A70">
        <f>[10]道具表价值评估!A70</f>
        <v>70003</v>
      </c>
      <c r="B70" t="str">
        <f>[10]道具表价值评估!B70</f>
        <v>高级强化石</v>
      </c>
      <c r="C70">
        <f>[10]道具表价值评估!C70</f>
        <v>100</v>
      </c>
      <c r="D70">
        <f>[10]道具表价值评估!D70</f>
        <v>0</v>
      </c>
      <c r="E70">
        <f>[10]道具表价值评估!E70</f>
        <v>4</v>
      </c>
      <c r="F70">
        <f>[10]道具表价值评估!F70</f>
        <v>20000</v>
      </c>
      <c r="G70">
        <f>[10]道具表价值评估!G70</f>
        <v>40</v>
      </c>
    </row>
    <row r="71" spans="1:7">
      <c r="A71">
        <f>[10]道具表价值评估!A71</f>
        <v>70101</v>
      </c>
      <c r="B71" t="str">
        <f>[10]道具表价值评估!B71</f>
        <v>初级升星石</v>
      </c>
      <c r="C71">
        <f>[10]道具表价值评估!C71</f>
        <v>4</v>
      </c>
      <c r="D71">
        <f>[10]道具表价值评估!D71</f>
        <v>0</v>
      </c>
      <c r="E71">
        <f>[10]道具表价值评估!E71</f>
        <v>5</v>
      </c>
      <c r="F71">
        <f>[10]道具表价值评估!F71</f>
        <v>1000</v>
      </c>
      <c r="G71">
        <f>[10]道具表价值评估!G71</f>
        <v>2</v>
      </c>
    </row>
    <row r="72" spans="1:7">
      <c r="A72">
        <f>[10]道具表价值评估!A72</f>
        <v>70201</v>
      </c>
      <c r="B72" t="str">
        <f>[10]道具表价值评估!B72</f>
        <v>中级升星石</v>
      </c>
      <c r="C72">
        <f>[10]道具表价值评估!C72</f>
        <v>20</v>
      </c>
      <c r="D72">
        <f>[10]道具表价值评估!D72</f>
        <v>0</v>
      </c>
      <c r="E72">
        <f>[10]道具表价值评估!E72</f>
        <v>5</v>
      </c>
      <c r="F72">
        <f>[10]道具表价值评估!F72</f>
        <v>5000</v>
      </c>
      <c r="G72">
        <f>[10]道具表价值评估!G72</f>
        <v>10</v>
      </c>
    </row>
    <row r="73" spans="1:7">
      <c r="A73">
        <f>[10]道具表价值评估!A73</f>
        <v>70301</v>
      </c>
      <c r="B73" t="str">
        <f>[10]道具表价值评估!B73</f>
        <v>高级升星石</v>
      </c>
      <c r="C73">
        <f>[10]道具表价值评估!C73</f>
        <v>100</v>
      </c>
      <c r="D73">
        <f>[10]道具表价值评估!D73</f>
        <v>0</v>
      </c>
      <c r="E73">
        <f>[10]道具表价值评估!E73</f>
        <v>5</v>
      </c>
      <c r="F73">
        <f>[10]道具表价值评估!F73</f>
        <v>25000</v>
      </c>
      <c r="G73">
        <f>[10]道具表价值评估!G73</f>
        <v>50</v>
      </c>
    </row>
    <row r="74" spans="1:7">
      <c r="A74">
        <f>[10]道具表价值评估!A74</f>
        <v>70401</v>
      </c>
      <c r="B74" t="str">
        <f>[10]道具表价值评估!B74</f>
        <v>4阶升星石(不用）</v>
      </c>
      <c r="C74">
        <f>[10]道具表价值评估!C74</f>
        <v>0</v>
      </c>
      <c r="D74">
        <f>[10]道具表价值评估!D74</f>
        <v>0</v>
      </c>
      <c r="E74">
        <f>[10]道具表价值评估!E74</f>
        <v>0</v>
      </c>
      <c r="F74">
        <f>[10]道具表价值评估!F74</f>
        <v>0</v>
      </c>
      <c r="G74">
        <f>[10]道具表价值评估!G74</f>
        <v>0</v>
      </c>
    </row>
    <row r="75" spans="1:7">
      <c r="A75">
        <f>[10]道具表价值评估!A75</f>
        <v>70501</v>
      </c>
      <c r="B75" t="str">
        <f>[10]道具表价值评估!B75</f>
        <v>5阶升星石（不用）</v>
      </c>
      <c r="C75">
        <f>[10]道具表价值评估!C75</f>
        <v>0</v>
      </c>
      <c r="D75">
        <f>[10]道具表价值评估!D75</f>
        <v>0</v>
      </c>
      <c r="E75">
        <f>[10]道具表价值评估!E75</f>
        <v>0</v>
      </c>
      <c r="F75">
        <f>[10]道具表价值评估!F75</f>
        <v>0</v>
      </c>
      <c r="G75">
        <f>[10]道具表价值评估!G75</f>
        <v>0</v>
      </c>
    </row>
    <row r="76" spans="1:7">
      <c r="A76">
        <f>[10]道具表价值评估!A76</f>
        <v>82100</v>
      </c>
      <c r="B76" t="str">
        <f>[10]道具表价值评估!B76</f>
        <v>金币卡(1万)</v>
      </c>
      <c r="C76">
        <f>[10]道具表价值评估!C76</f>
        <v>0</v>
      </c>
      <c r="D76">
        <f>[10]道具表价值评估!D76</f>
        <v>0</v>
      </c>
      <c r="E76">
        <f>[10]道具表价值评估!E76</f>
        <v>0</v>
      </c>
      <c r="F76">
        <f>[10]道具表价值评估!F76</f>
        <v>10000</v>
      </c>
      <c r="G76">
        <f>[10]道具表价值评估!G76</f>
        <v>20</v>
      </c>
    </row>
    <row r="77" spans="1:7">
      <c r="A77">
        <f>[10]道具表价值评估!A77</f>
        <v>82200</v>
      </c>
      <c r="B77" t="str">
        <f>[10]道具表价值评估!B77</f>
        <v>金币卡(2万)</v>
      </c>
      <c r="C77">
        <f>[10]道具表价值评估!C77</f>
        <v>0</v>
      </c>
      <c r="D77">
        <f>[10]道具表价值评估!D77</f>
        <v>0</v>
      </c>
      <c r="E77">
        <f>[10]道具表价值评估!E77</f>
        <v>0</v>
      </c>
      <c r="F77">
        <f>[10]道具表价值评估!F77</f>
        <v>20000</v>
      </c>
      <c r="G77">
        <f>[10]道具表价值评估!G77</f>
        <v>40</v>
      </c>
    </row>
    <row r="78" spans="1:7">
      <c r="A78">
        <f>[10]道具表价值评估!A78</f>
        <v>82300</v>
      </c>
      <c r="B78" t="str">
        <f>[10]道具表价值评估!B78</f>
        <v>金币卡(5万)</v>
      </c>
      <c r="C78">
        <f>[10]道具表价值评估!C78</f>
        <v>0</v>
      </c>
      <c r="D78">
        <f>[10]道具表价值评估!D78</f>
        <v>0</v>
      </c>
      <c r="E78">
        <f>[10]道具表价值评估!E78</f>
        <v>0</v>
      </c>
      <c r="F78">
        <f>[10]道具表价值评估!F78</f>
        <v>50000</v>
      </c>
      <c r="G78">
        <f>[10]道具表价值评估!G78</f>
        <v>100</v>
      </c>
    </row>
    <row r="79" spans="1:7">
      <c r="A79">
        <f>[10]道具表价值评估!A79</f>
        <v>91100</v>
      </c>
      <c r="B79" t="str">
        <f>[10]道具表价值评估!B79</f>
        <v>马仔经验药水</v>
      </c>
      <c r="C79">
        <f>[10]道具表价值评估!C79</f>
        <v>10</v>
      </c>
      <c r="D79">
        <f>[10]道具表价值评估!D79</f>
        <v>0</v>
      </c>
      <c r="E79">
        <f>[10]道具表价值评估!E79</f>
        <v>2</v>
      </c>
      <c r="F79">
        <f>[10]道具表价值评估!F79</f>
        <v>1000</v>
      </c>
      <c r="G79">
        <f>[10]道具表价值评估!G79</f>
        <v>2</v>
      </c>
    </row>
    <row r="80" spans="1:7">
      <c r="A80">
        <f>[10]道具表价值评估!A80</f>
        <v>91200</v>
      </c>
      <c r="B80" t="str">
        <f>[10]道具表价值评估!B80</f>
        <v>马仔经验合剂</v>
      </c>
      <c r="C80">
        <f>[10]道具表价值评估!C80</f>
        <v>30</v>
      </c>
      <c r="D80">
        <f>[10]道具表价值评估!D80</f>
        <v>0</v>
      </c>
      <c r="E80">
        <f>[10]道具表价值评估!E80</f>
        <v>2</v>
      </c>
      <c r="F80">
        <f>[10]道具表价值评估!F80</f>
        <v>3000</v>
      </c>
      <c r="G80">
        <f>[10]道具表价值评估!G80</f>
        <v>6</v>
      </c>
    </row>
    <row r="81" spans="1:7">
      <c r="A81">
        <f>[10]道具表价值评估!A81</f>
        <v>91300</v>
      </c>
      <c r="B81" t="str">
        <f>[10]道具表价值评估!B81</f>
        <v>马仔经验甘露</v>
      </c>
      <c r="C81">
        <f>[10]道具表价值评估!C81</f>
        <v>100</v>
      </c>
      <c r="D81">
        <f>[10]道具表价值评估!D81</f>
        <v>0</v>
      </c>
      <c r="E81">
        <f>[10]道具表价值评估!E81</f>
        <v>2</v>
      </c>
      <c r="F81">
        <f>[10]道具表价值评估!F81</f>
        <v>10000</v>
      </c>
      <c r="G81">
        <f>[10]道具表价值评估!G81</f>
        <v>20</v>
      </c>
    </row>
    <row r="82" spans="1:7">
      <c r="A82">
        <f>[10]道具表价值评估!A82</f>
        <v>87100</v>
      </c>
      <c r="B82" t="str">
        <f>[10]道具表价值评估!B82</f>
        <v>钻石兑换卡(100)</v>
      </c>
      <c r="C82">
        <f>[10]道具表价值评估!C82</f>
        <v>0</v>
      </c>
      <c r="D82">
        <f>[10]道具表价值评估!D82</f>
        <v>0</v>
      </c>
      <c r="E82">
        <f>[10]道具表价值评估!E82</f>
        <v>0</v>
      </c>
      <c r="F82">
        <f>[10]道具表价值评估!F82</f>
        <v>0</v>
      </c>
      <c r="G82">
        <f>[10]道具表价值评估!G82</f>
        <v>100</v>
      </c>
    </row>
    <row r="83" spans="1:7">
      <c r="A83">
        <f>[10]道具表价值评估!A83</f>
        <v>87200</v>
      </c>
      <c r="B83" t="str">
        <f>[10]道具表价值评估!B83</f>
        <v>钻石兑换卡(500)</v>
      </c>
      <c r="C83">
        <f>[10]道具表价值评估!C83</f>
        <v>0</v>
      </c>
      <c r="D83">
        <f>[10]道具表价值评估!D83</f>
        <v>0</v>
      </c>
      <c r="E83">
        <f>[10]道具表价值评估!E83</f>
        <v>0</v>
      </c>
      <c r="F83">
        <f>[10]道具表价值评估!F83</f>
        <v>0</v>
      </c>
      <c r="G83">
        <f>[10]道具表价值评估!G83</f>
        <v>500</v>
      </c>
    </row>
    <row r="84" spans="1:7">
      <c r="A84">
        <f>[10]道具表价值评估!A84</f>
        <v>87400</v>
      </c>
      <c r="B84" t="str">
        <f>[10]道具表价值评估!B84</f>
        <v>钻石兑换卡(1000)</v>
      </c>
      <c r="C84">
        <f>[10]道具表价值评估!C84</f>
        <v>0</v>
      </c>
      <c r="D84">
        <f>[10]道具表价值评估!D84</f>
        <v>0</v>
      </c>
      <c r="E84">
        <f>[10]道具表价值评估!E84</f>
        <v>0</v>
      </c>
      <c r="F84">
        <f>[10]道具表价值评估!F84</f>
        <v>0</v>
      </c>
      <c r="G84">
        <f>[10]道具表价值评估!G84</f>
        <v>1000</v>
      </c>
    </row>
    <row r="85" spans="1:7">
      <c r="A85">
        <f>[10]道具表价值评估!A85</f>
        <v>89100</v>
      </c>
      <c r="B85" t="str">
        <f>[10]道具表价值评估!B85</f>
        <v>初级体力药水</v>
      </c>
      <c r="C85">
        <f>[10]道具表价值评估!C85</f>
        <v>20</v>
      </c>
      <c r="D85">
        <f>[10]道具表价值评估!D85</f>
        <v>0</v>
      </c>
      <c r="E85">
        <f>[10]道具表价值评估!E85</f>
        <v>0</v>
      </c>
      <c r="F85">
        <f>[10]道具表价值评估!F85</f>
        <v>5000</v>
      </c>
      <c r="G85">
        <f>[10]道具表价值评估!G85</f>
        <v>10</v>
      </c>
    </row>
    <row r="86" spans="1:7">
      <c r="A86">
        <f>[10]道具表价值评估!A86</f>
        <v>89200</v>
      </c>
      <c r="B86" t="str">
        <f>[10]道具表价值评估!B86</f>
        <v>中级体力药水</v>
      </c>
      <c r="C86">
        <f>[10]道具表价值评估!C86</f>
        <v>40</v>
      </c>
      <c r="D86">
        <f>[10]道具表价值评估!D86</f>
        <v>0</v>
      </c>
      <c r="E86">
        <f>[10]道具表价值评估!E86</f>
        <v>0</v>
      </c>
      <c r="F86">
        <f>[10]道具表价值评估!F86</f>
        <v>10000</v>
      </c>
      <c r="G86">
        <f>[10]道具表价值评估!G86</f>
        <v>20</v>
      </c>
    </row>
    <row r="87" spans="1:7">
      <c r="A87">
        <f>[10]道具表价值评估!A87</f>
        <v>89300</v>
      </c>
      <c r="B87" t="str">
        <f>[10]道具表价值评估!B87</f>
        <v>高级体力药水</v>
      </c>
      <c r="C87">
        <f>[10]道具表价值评估!C87</f>
        <v>80</v>
      </c>
      <c r="D87">
        <f>[10]道具表价值评估!D87</f>
        <v>0</v>
      </c>
      <c r="E87">
        <f>[10]道具表价值评估!E87</f>
        <v>0</v>
      </c>
      <c r="F87">
        <f>[10]道具表价值评估!F87</f>
        <v>20000</v>
      </c>
      <c r="G87">
        <f>[10]道具表价值评估!G87</f>
        <v>40</v>
      </c>
    </row>
    <row r="88" spans="1:7">
      <c r="A88">
        <f>[10]道具表价值评估!A88</f>
        <v>83100</v>
      </c>
      <c r="B88" t="str">
        <f>[10]道具表价值评估!B88</f>
        <v>成长礼包</v>
      </c>
      <c r="C88">
        <f>[10]道具表价值评估!C88</f>
        <v>0</v>
      </c>
      <c r="D88">
        <f>[10]道具表价值评估!D88</f>
        <v>0</v>
      </c>
      <c r="E88">
        <f>[10]道具表价值评估!E88</f>
        <v>0</v>
      </c>
      <c r="F88">
        <f>[10]道具表价值评估!F88</f>
        <v>0</v>
      </c>
      <c r="G88">
        <f>[10]道具表价值评估!G88</f>
        <v>0</v>
      </c>
    </row>
    <row r="89" spans="1:7">
      <c r="A89">
        <f>[10]道具表价值评估!A89</f>
        <v>70010</v>
      </c>
      <c r="B89" t="str">
        <f>[10]道具表价值评估!B89</f>
        <v>部位材料(武器)</v>
      </c>
      <c r="C89">
        <f>[10]道具表价值评估!C89</f>
        <v>30</v>
      </c>
      <c r="D89">
        <f>[10]道具表价值评估!D89</f>
        <v>2530</v>
      </c>
      <c r="E89">
        <f>[10]道具表价值评估!E89</f>
        <v>1</v>
      </c>
      <c r="F89">
        <f>[10]道具表价值评估!F89</f>
        <v>1500</v>
      </c>
      <c r="G89">
        <f>[10]道具表价值评估!G89</f>
        <v>3</v>
      </c>
    </row>
    <row r="90" spans="1:7">
      <c r="A90">
        <f>[10]道具表价值评估!A90</f>
        <v>71010</v>
      </c>
      <c r="B90" t="str">
        <f>[10]道具表价值评估!B90</f>
        <v>部位材料(衣服)</v>
      </c>
      <c r="C90">
        <f>[10]道具表价值评估!C90</f>
        <v>30</v>
      </c>
      <c r="D90">
        <f>[10]道具表价值评估!D90</f>
        <v>2035</v>
      </c>
      <c r="E90">
        <f>[10]道具表价值评估!E90</f>
        <v>1</v>
      </c>
      <c r="F90">
        <f>[10]道具表价值评估!F90</f>
        <v>1500</v>
      </c>
      <c r="G90">
        <f>[10]道具表价值评估!G90</f>
        <v>3</v>
      </c>
    </row>
    <row r="91" spans="1:7">
      <c r="A91">
        <f>[10]道具表价值评估!A91</f>
        <v>72010</v>
      </c>
      <c r="B91" t="str">
        <f>[10]道具表价值评估!B91</f>
        <v>部位材料(裤子)</v>
      </c>
      <c r="C91">
        <f>[10]道具表价值评估!C91</f>
        <v>30</v>
      </c>
      <c r="D91">
        <f>[10]道具表价值评估!D91</f>
        <v>935</v>
      </c>
      <c r="E91">
        <f>[10]道具表价值评估!E91</f>
        <v>1</v>
      </c>
      <c r="F91">
        <f>[10]道具表价值评估!F91</f>
        <v>1500</v>
      </c>
      <c r="G91">
        <f>[10]道具表价值评估!G91</f>
        <v>3</v>
      </c>
    </row>
    <row r="92" spans="1:7">
      <c r="A92">
        <f>[10]道具表价值评估!A92</f>
        <v>73010</v>
      </c>
      <c r="B92" t="str">
        <f>[10]道具表价值评估!B92</f>
        <v>部位材料(项链)</v>
      </c>
      <c r="C92">
        <f>[10]道具表价值评估!C92</f>
        <v>30</v>
      </c>
      <c r="D92">
        <f>[10]道具表价值评估!D92</f>
        <v>880</v>
      </c>
      <c r="E92">
        <f>[10]道具表价值评估!E92</f>
        <v>1</v>
      </c>
      <c r="F92">
        <f>[10]道具表价值评估!F92</f>
        <v>1500</v>
      </c>
      <c r="G92">
        <f>[10]道具表价值评估!G92</f>
        <v>3</v>
      </c>
    </row>
    <row r="93" spans="1:7">
      <c r="A93">
        <f>[10]道具表价值评估!A93</f>
        <v>74010</v>
      </c>
      <c r="B93" t="str">
        <f>[10]道具表价值评估!B93</f>
        <v>部位材料(腰带)</v>
      </c>
      <c r="C93">
        <f>[10]道具表价值评估!C93</f>
        <v>30</v>
      </c>
      <c r="D93">
        <f>[10]道具表价值评估!D93</f>
        <v>2200</v>
      </c>
      <c r="E93">
        <f>[10]道具表价值评估!E93</f>
        <v>1</v>
      </c>
      <c r="F93">
        <f>[10]道具表价值评估!F93</f>
        <v>1500</v>
      </c>
      <c r="G93">
        <f>[10]道具表价值评估!G93</f>
        <v>3</v>
      </c>
    </row>
    <row r="94" spans="1:7">
      <c r="A94">
        <f>[10]道具表价值评估!A94</f>
        <v>75010</v>
      </c>
      <c r="B94" t="str">
        <f>[10]道具表价值评估!B94</f>
        <v>部位材料(鞋子)</v>
      </c>
      <c r="C94">
        <f>[10]道具表价值评估!C94</f>
        <v>30</v>
      </c>
      <c r="D94">
        <f>[10]道具表价值评估!D94</f>
        <v>660</v>
      </c>
      <c r="E94">
        <f>[10]道具表价值评估!E94</f>
        <v>1</v>
      </c>
      <c r="F94">
        <f>[10]道具表价值评估!F94</f>
        <v>1500</v>
      </c>
      <c r="G94">
        <f>[10]道具表价值评估!G94</f>
        <v>3</v>
      </c>
    </row>
    <row r="95" spans="1:7">
      <c r="A95">
        <f>[10]道具表价值评估!A95</f>
        <v>80110</v>
      </c>
      <c r="B95" t="str">
        <f>[10]道具表价值评估!B95</f>
        <v>龙魂币(500)</v>
      </c>
      <c r="C95">
        <f>[10]道具表价值评估!C95</f>
        <v>100</v>
      </c>
      <c r="D95">
        <f>[10]道具表价值评估!D95</f>
        <v>666.8601232231822</v>
      </c>
      <c r="E95">
        <f>[10]道具表价值评估!E95</f>
        <v>2</v>
      </c>
      <c r="F95">
        <f>[10]道具表价值评估!F95</f>
        <v>10000</v>
      </c>
      <c r="G95">
        <f>[10]道具表价值评估!G95</f>
        <v>20</v>
      </c>
    </row>
    <row r="96" spans="1:7">
      <c r="A96">
        <f>[10]道具表价值评估!A96</f>
        <v>80210</v>
      </c>
      <c r="B96" t="str">
        <f>[10]道具表价值评估!B96</f>
        <v>龙魂币(1000)</v>
      </c>
      <c r="C96">
        <f>[10]道具表价值评估!C96</f>
        <v>200</v>
      </c>
      <c r="D96">
        <f>[10]道具表价值评估!D96</f>
        <v>333.4300616115911</v>
      </c>
      <c r="E96">
        <f>[10]道具表价值评估!E96</f>
        <v>2</v>
      </c>
      <c r="F96">
        <f>[10]道具表价值评估!F96</f>
        <v>20000</v>
      </c>
      <c r="G96">
        <f>[10]道具表价值评估!G96</f>
        <v>40</v>
      </c>
    </row>
    <row r="97" spans="1:7">
      <c r="A97">
        <f>[10]道具表价值评估!A97</f>
        <v>80310</v>
      </c>
      <c r="B97" t="str">
        <f>[10]道具表价值评估!B97</f>
        <v>龙魂币(2000)</v>
      </c>
      <c r="C97">
        <f>[10]道具表价值评估!C97</f>
        <v>400</v>
      </c>
      <c r="D97">
        <f>[10]道具表价值评估!D97</f>
        <v>166.71503080579555</v>
      </c>
      <c r="E97">
        <f>[10]道具表价值评估!E97</f>
        <v>2</v>
      </c>
      <c r="F97">
        <f>[10]道具表价值评估!F97</f>
        <v>40000</v>
      </c>
      <c r="G97">
        <f>[10]道具表价值评估!G97</f>
        <v>80</v>
      </c>
    </row>
    <row r="98" spans="1:7">
      <c r="A98">
        <f>[10]道具表价值评估!A98</f>
        <v>80410</v>
      </c>
      <c r="B98" t="str">
        <f>[10]道具表价值评估!B98</f>
        <v>命运石(5000)</v>
      </c>
      <c r="C98">
        <f>[10]道具表价值评估!C98</f>
        <v>0</v>
      </c>
      <c r="D98">
        <f>[10]道具表价值评估!D98</f>
        <v>4944.0440536387459</v>
      </c>
      <c r="E98">
        <f>[10]道具表价值评估!E98</f>
        <v>1</v>
      </c>
      <c r="F98">
        <f>[10]道具表价值评估!F98</f>
        <v>2500</v>
      </c>
      <c r="G98">
        <f>[10]道具表价值评估!G98</f>
        <v>5</v>
      </c>
    </row>
    <row r="99" spans="1:7">
      <c r="A99">
        <f>[10]道具表价值评估!A99</f>
        <v>80510</v>
      </c>
      <c r="B99" t="str">
        <f>[10]道具表价值评估!B99</f>
        <v>命运石(1万)</v>
      </c>
      <c r="C99">
        <f>[10]道具表价值评估!C99</f>
        <v>0</v>
      </c>
      <c r="D99">
        <f>[10]道具表价值评估!D99</f>
        <v>2472.022026819373</v>
      </c>
      <c r="E99">
        <f>[10]道具表价值评估!E99</f>
        <v>1</v>
      </c>
      <c r="F99">
        <f>[10]道具表价值评估!F99</f>
        <v>5000</v>
      </c>
      <c r="G99">
        <f>[10]道具表价值评估!G99</f>
        <v>10</v>
      </c>
    </row>
    <row r="100" spans="1:7">
      <c r="A100">
        <f>[10]道具表价值评估!A100</f>
        <v>80610</v>
      </c>
      <c r="B100" t="str">
        <f>[10]道具表价值评估!B100</f>
        <v>命运石(2万)</v>
      </c>
      <c r="C100">
        <f>[10]道具表价值评估!C100</f>
        <v>0</v>
      </c>
      <c r="D100">
        <f>[10]道具表价值评估!D100</f>
        <v>1236.0110134096865</v>
      </c>
      <c r="E100">
        <f>[10]道具表价值评估!E100</f>
        <v>1</v>
      </c>
      <c r="F100">
        <f>[10]道具表价值评估!F100</f>
        <v>10000</v>
      </c>
      <c r="G100">
        <f>[10]道具表价值评估!G100</f>
        <v>20</v>
      </c>
    </row>
    <row r="101" spans="1:7">
      <c r="A101">
        <f>[10]道具表价值评估!A101</f>
        <v>87300</v>
      </c>
      <c r="B101" t="str">
        <f>[10]道具表价值评估!B101</f>
        <v>钻石</v>
      </c>
      <c r="C101">
        <f>[10]道具表价值评估!C101</f>
        <v>0</v>
      </c>
      <c r="D101">
        <f>[10]道具表价值评估!D101</f>
        <v>0</v>
      </c>
      <c r="E101">
        <f>[10]道具表价值评估!E101</f>
        <v>0</v>
      </c>
      <c r="F101">
        <f>[10]道具表价值评估!F101</f>
        <v>500</v>
      </c>
      <c r="G101">
        <f>[10]道具表价值评估!G101</f>
        <v>1</v>
      </c>
    </row>
    <row r="102" spans="1:7">
      <c r="A102">
        <f>[10]道具表价值评估!A102</f>
        <v>83300</v>
      </c>
      <c r="B102" t="str">
        <f>[10]道具表价值评估!B102</f>
        <v>金币</v>
      </c>
      <c r="C102">
        <f>[10]道具表价值评估!C102</f>
        <v>0</v>
      </c>
      <c r="D102">
        <f>[10]道具表价值评估!D102</f>
        <v>0</v>
      </c>
      <c r="E102">
        <f>[10]道具表价值评估!E102</f>
        <v>0</v>
      </c>
      <c r="F102">
        <f>[10]道具表价值评估!F102</f>
        <v>1</v>
      </c>
      <c r="G102">
        <f>[10]道具表价值评估!G102</f>
        <v>2E-3</v>
      </c>
    </row>
    <row r="103" spans="1:7">
      <c r="A103">
        <f>[10]道具表价值评估!A103</f>
        <v>83301</v>
      </c>
      <c r="B103" t="str">
        <f>[10]道具表价值评估!B103</f>
        <v>龙魂币</v>
      </c>
      <c r="C103">
        <f>[10]道具表价值评估!C103</f>
        <v>0</v>
      </c>
      <c r="D103">
        <f>[10]道具表价值评估!D103</f>
        <v>0</v>
      </c>
      <c r="E103">
        <f>[10]道具表价值评估!E103</f>
        <v>0</v>
      </c>
      <c r="F103">
        <f>[10]道具表价值评估!F103</f>
        <v>20</v>
      </c>
      <c r="G103">
        <f>[10]道具表价值评估!G103</f>
        <v>0.04</v>
      </c>
    </row>
    <row r="104" spans="1:7">
      <c r="A104">
        <f>[10]道具表价值评估!A104</f>
        <v>83302</v>
      </c>
      <c r="B104" t="str">
        <f>[10]道具表价值评估!B104</f>
        <v>命运石</v>
      </c>
      <c r="C104">
        <f>[10]道具表价值评估!C104</f>
        <v>0</v>
      </c>
      <c r="D104">
        <f>[10]道具表价值评估!D104</f>
        <v>0</v>
      </c>
      <c r="E104">
        <f>[10]道具表价值评估!E104</f>
        <v>0</v>
      </c>
      <c r="F104">
        <f>[10]道具表价值评估!F104</f>
        <v>0.5</v>
      </c>
      <c r="G104">
        <f>[10]道具表价值评估!G104</f>
        <v>1E-3</v>
      </c>
    </row>
    <row r="105" spans="1:7">
      <c r="A105">
        <f>[10]道具表价值评估!A105</f>
        <v>83303</v>
      </c>
      <c r="B105" t="str">
        <f>[10]道具表价值评估!B105</f>
        <v>擂台币</v>
      </c>
      <c r="C105">
        <f>[10]道具表价值评估!C105</f>
        <v>0</v>
      </c>
      <c r="D105">
        <f>[10]道具表价值评估!D105</f>
        <v>0</v>
      </c>
      <c r="E105">
        <f>[10]道具表价值评估!E105</f>
        <v>0</v>
      </c>
      <c r="F105">
        <f>[10]道具表价值评估!F105</f>
        <v>50</v>
      </c>
      <c r="G105">
        <f>[10]道具表价值评估!G105</f>
        <v>0.1</v>
      </c>
    </row>
    <row r="106" spans="1:7">
      <c r="A106">
        <f>[10]道具表价值评估!A106</f>
        <v>89101</v>
      </c>
      <c r="B106" t="str">
        <f>[10]道具表价值评估!B106</f>
        <v>双倍经验卡（1天）</v>
      </c>
      <c r="C106">
        <f>[10]道具表价值评估!C106</f>
        <v>0</v>
      </c>
      <c r="D106">
        <f>[10]道具表价值评估!D106</f>
        <v>0</v>
      </c>
      <c r="E106">
        <f>[10]道具表价值评估!E106</f>
        <v>6</v>
      </c>
      <c r="F106">
        <f>[10]道具表价值评估!F106</f>
        <v>0</v>
      </c>
      <c r="G106">
        <f>[10]道具表价值评估!G106</f>
        <v>0</v>
      </c>
    </row>
    <row r="107" spans="1:7">
      <c r="A107">
        <f>[10]道具表价值评估!A107</f>
        <v>89102</v>
      </c>
      <c r="B107" t="str">
        <f>[10]道具表价值评估!B107</f>
        <v>双倍经验卡（2天）</v>
      </c>
      <c r="C107">
        <f>[10]道具表价值评估!C107</f>
        <v>0</v>
      </c>
      <c r="D107">
        <f>[10]道具表价值评估!D107</f>
        <v>0</v>
      </c>
      <c r="E107">
        <f>[10]道具表价值评估!E107</f>
        <v>6</v>
      </c>
      <c r="F107">
        <f>[10]道具表价值评估!F107</f>
        <v>0</v>
      </c>
      <c r="G107">
        <f>[10]道具表价值评估!G107</f>
        <v>0</v>
      </c>
    </row>
    <row r="108" spans="1:7">
      <c r="A108">
        <f>[10]道具表价值评估!A108</f>
        <v>89106</v>
      </c>
      <c r="B108" t="str">
        <f>[10]道具表价值评估!B108</f>
        <v>vip经验卡</v>
      </c>
      <c r="C108">
        <f>[10]道具表价值评估!C108</f>
        <v>0</v>
      </c>
      <c r="D108">
        <f>[10]道具表价值评估!D108</f>
        <v>0</v>
      </c>
      <c r="E108">
        <f>[10]道具表价值评估!E108</f>
        <v>0</v>
      </c>
      <c r="F108">
        <f>[10]道具表价值评估!F108</f>
        <v>0</v>
      </c>
      <c r="G108">
        <f>[10]道具表价值评估!G108</f>
        <v>0</v>
      </c>
    </row>
    <row r="109" spans="1:7">
      <c r="A109">
        <f>[10]道具表价值评估!A109</f>
        <v>89107</v>
      </c>
      <c r="B109" t="str">
        <f>[10]道具表价值评估!B109</f>
        <v>技能升级石</v>
      </c>
      <c r="C109">
        <f>[10]道具表价值评估!C109</f>
        <v>2.5</v>
      </c>
      <c r="D109">
        <f>[10]道具表价值评估!D109</f>
        <v>7724</v>
      </c>
      <c r="E109">
        <f>[10]道具表价值评估!E109</f>
        <v>1</v>
      </c>
      <c r="F109">
        <f>[10]道具表价值评估!F109</f>
        <v>500</v>
      </c>
      <c r="G109">
        <f>[10]道具表价值评估!G109</f>
        <v>1</v>
      </c>
    </row>
    <row r="110" spans="1:7">
      <c r="A110">
        <f>[10]道具表价值评估!A110</f>
        <v>89108</v>
      </c>
      <c r="B110" t="str">
        <f>[10]道具表价值评估!B110</f>
        <v>蓝色装备碎片（无用）</v>
      </c>
      <c r="C110">
        <f>[10]道具表价值评估!C110</f>
        <v>0</v>
      </c>
      <c r="D110">
        <f>[10]道具表价值评估!D110</f>
        <v>0</v>
      </c>
      <c r="E110">
        <f>[10]道具表价值评估!E110</f>
        <v>0</v>
      </c>
      <c r="F110">
        <f>[10]道具表价值评估!F110</f>
        <v>0</v>
      </c>
      <c r="G110">
        <f>[10]道具表价值评估!G110</f>
        <v>0</v>
      </c>
    </row>
    <row r="111" spans="1:7">
      <c r="A111">
        <f>[10]道具表价值评估!A111</f>
        <v>89109</v>
      </c>
      <c r="B111" t="str">
        <f>[10]道具表价值评估!B111</f>
        <v>紫色装备碎片（无用）</v>
      </c>
      <c r="C111">
        <f>[10]道具表价值评估!C111</f>
        <v>0</v>
      </c>
      <c r="D111">
        <f>[10]道具表价值评估!D111</f>
        <v>0</v>
      </c>
      <c r="E111">
        <f>[10]道具表价值评估!E111</f>
        <v>0</v>
      </c>
      <c r="F111">
        <f>[10]道具表价值评估!F111</f>
        <v>0</v>
      </c>
      <c r="G111">
        <f>[10]道具表价值评估!G111</f>
        <v>0</v>
      </c>
    </row>
    <row r="112" spans="1:7">
      <c r="A112">
        <f>[10]道具表价值评估!A112</f>
        <v>89110</v>
      </c>
      <c r="B112" t="str">
        <f>[10]道具表价值评估!B112</f>
        <v>橙色装备碎片（无用）</v>
      </c>
      <c r="C112">
        <f>[10]道具表价值评估!C112</f>
        <v>0</v>
      </c>
      <c r="D112">
        <f>[10]道具表价值评估!D112</f>
        <v>0</v>
      </c>
      <c r="E112">
        <f>[10]道具表价值评估!E112</f>
        <v>0</v>
      </c>
      <c r="F112">
        <f>[10]道具表价值评估!F112</f>
        <v>0</v>
      </c>
      <c r="G112">
        <f>[10]道具表价值评估!G112</f>
        <v>0</v>
      </c>
    </row>
    <row r="113" spans="1:7">
      <c r="A113">
        <f>[10]道具表价值评估!A113</f>
        <v>89111</v>
      </c>
      <c r="B113" t="str">
        <f>[10]道具表价值评估!B113</f>
        <v>技能冷却石</v>
      </c>
      <c r="C113">
        <f>[10]道具表价值评估!C113</f>
        <v>0.7</v>
      </c>
      <c r="D113">
        <f>[10]道具表价值评估!D113</f>
        <v>30978</v>
      </c>
      <c r="E113">
        <f>[10]道具表价值评估!E113</f>
        <v>1</v>
      </c>
      <c r="F113">
        <f>[10]道具表价值评估!F113</f>
        <v>500</v>
      </c>
      <c r="G113">
        <f>[10]道具表价值评估!G113</f>
        <v>1</v>
      </c>
    </row>
    <row r="114" spans="1:7">
      <c r="A114">
        <f>[10]道具表价值评估!A114</f>
        <v>83304</v>
      </c>
      <c r="B114" t="str">
        <f>[10]道具表价值评估!B114</f>
        <v>寻宝券</v>
      </c>
      <c r="C114">
        <f>[10]道具表价值评估!C114</f>
        <v>0</v>
      </c>
      <c r="D114">
        <f>[10]道具表价值评估!D114</f>
        <v>0</v>
      </c>
      <c r="E114">
        <f>[10]道具表价值评估!E114</f>
        <v>0</v>
      </c>
      <c r="F114">
        <f>[10]道具表价值评估!F114</f>
        <v>15000</v>
      </c>
      <c r="G114">
        <f>[10]道具表价值评估!G114</f>
        <v>30</v>
      </c>
    </row>
    <row r="115" spans="1:7">
      <c r="A115">
        <f>[10]道具表价值评估!A115</f>
        <v>85200</v>
      </c>
      <c r="B115" t="str">
        <f>[10]道具表价值评估!B115</f>
        <v>高级装备升级石</v>
      </c>
      <c r="C115">
        <f>[10]道具表价值评估!C115</f>
        <v>0</v>
      </c>
      <c r="D115">
        <f>[10]道具表价值评估!D115</f>
        <v>2019.7074124618819</v>
      </c>
      <c r="E115">
        <f>[10]道具表价值评估!E115</f>
        <v>0</v>
      </c>
      <c r="F115">
        <f>[10]道具表价值评估!F115</f>
        <v>5000</v>
      </c>
      <c r="G115">
        <f>[10]道具表价值评估!G115</f>
        <v>10</v>
      </c>
    </row>
    <row r="116" spans="1:7">
      <c r="A116">
        <f>[10]道具表价值评估!A116</f>
        <v>85300</v>
      </c>
      <c r="B116" t="str">
        <f>[10]道具表价值评估!B116</f>
        <v>稀有装备升级石</v>
      </c>
      <c r="C116">
        <f>[10]道具表价值评估!C116</f>
        <v>0</v>
      </c>
      <c r="D116">
        <f>[10]道具表价值评估!D116</f>
        <v>2019.7074124618819</v>
      </c>
      <c r="E116">
        <f>[10]道具表价值评估!E116</f>
        <v>0</v>
      </c>
      <c r="F116">
        <f>[10]道具表价值评估!F116</f>
        <v>15000</v>
      </c>
      <c r="G116">
        <f>[10]道具表价值评估!G116</f>
        <v>30</v>
      </c>
    </row>
    <row r="117" spans="1:7">
      <c r="A117">
        <f>[10]道具表价值评估!A117</f>
        <v>85400</v>
      </c>
      <c r="B117" t="str">
        <f>[10]道具表价值评估!B117</f>
        <v>史诗装备升级石</v>
      </c>
      <c r="C117">
        <f>[10]道具表价值评估!C117</f>
        <v>0</v>
      </c>
      <c r="D117">
        <f>[10]道具表价值评估!D117</f>
        <v>2019.7074124618819</v>
      </c>
      <c r="E117">
        <f>[10]道具表价值评估!E117</f>
        <v>0</v>
      </c>
      <c r="F117">
        <f>[10]道具表价值评估!F117</f>
        <v>40000</v>
      </c>
      <c r="G117">
        <f>[10]道具表价值评估!G117</f>
        <v>80</v>
      </c>
    </row>
    <row r="118" spans="1:7">
      <c r="A118">
        <f>[10]道具表价值评估!A118</f>
        <v>85500</v>
      </c>
      <c r="B118" t="str">
        <f>[10]道具表价值评估!B118</f>
        <v>传说装备升级石</v>
      </c>
      <c r="C118">
        <f>[10]道具表价值评估!C118</f>
        <v>0</v>
      </c>
      <c r="D118">
        <f>[10]道具表价值评估!D118</f>
        <v>2019.7074124618819</v>
      </c>
      <c r="E118">
        <f>[10]道具表价值评估!E118</f>
        <v>0</v>
      </c>
      <c r="F118">
        <f>[10]道具表价值评估!F118</f>
        <v>50000</v>
      </c>
      <c r="G118">
        <f>[10]道具表价值评估!G118</f>
        <v>100</v>
      </c>
    </row>
    <row r="119" spans="1:7">
      <c r="A119">
        <f>[10]道具表价值评估!A119</f>
        <v>86001</v>
      </c>
      <c r="B119" t="str">
        <f>[10]道具表价值评估!B119</f>
        <v>马仔追债宝箱</v>
      </c>
      <c r="C119">
        <f>[10]道具表价值评估!C119</f>
        <v>0</v>
      </c>
      <c r="D119">
        <f>[10]道具表价值评估!D119</f>
        <v>0</v>
      </c>
      <c r="E119">
        <f>[10]道具表价值评估!E119</f>
        <v>0</v>
      </c>
      <c r="F119">
        <f>[10]道具表价值评估!F119</f>
        <v>0</v>
      </c>
      <c r="G119">
        <f>[10]道具表价值评估!G119</f>
        <v>0</v>
      </c>
    </row>
    <row r="120" spans="1:7">
      <c r="A120">
        <f>[10]道具表价值评估!A120</f>
        <v>86002</v>
      </c>
      <c r="B120" t="str">
        <f>[10]道具表价值评估!B120</f>
        <v>马仔追债宝箱</v>
      </c>
      <c r="C120">
        <f>[10]道具表价值评估!C120</f>
        <v>0</v>
      </c>
      <c r="D120">
        <f>[10]道具表价值评估!D120</f>
        <v>0</v>
      </c>
      <c r="E120">
        <f>[10]道具表价值评估!E120</f>
        <v>0</v>
      </c>
      <c r="F120">
        <f>[10]道具表价值评估!F120</f>
        <v>0</v>
      </c>
      <c r="G120">
        <f>[10]道具表价值评估!G120</f>
        <v>0</v>
      </c>
    </row>
    <row r="121" spans="1:7">
      <c r="A121">
        <f>[10]道具表价值评估!A121</f>
        <v>86003</v>
      </c>
      <c r="B121" t="str">
        <f>[10]道具表价值评估!B121</f>
        <v>马仔追债宝箱</v>
      </c>
      <c r="C121">
        <f>[10]道具表价值评估!C121</f>
        <v>0</v>
      </c>
      <c r="D121">
        <f>[10]道具表价值评估!D121</f>
        <v>0</v>
      </c>
      <c r="E121">
        <f>[10]道具表价值评估!E121</f>
        <v>0</v>
      </c>
      <c r="F121">
        <f>[10]道具表价值评估!F121</f>
        <v>0</v>
      </c>
      <c r="G121">
        <f>[10]道具表价值评估!G121</f>
        <v>0</v>
      </c>
    </row>
    <row r="122" spans="1:7">
      <c r="A122">
        <f>[10]道具表价值评估!A122</f>
        <v>86004</v>
      </c>
      <c r="B122" t="str">
        <f>[10]道具表价值评估!B122</f>
        <v>马仔追债宝箱</v>
      </c>
      <c r="C122">
        <f>[10]道具表价值评估!C122</f>
        <v>0</v>
      </c>
      <c r="D122">
        <f>[10]道具表价值评估!D122</f>
        <v>0</v>
      </c>
      <c r="E122">
        <f>[10]道具表价值评估!E122</f>
        <v>0</v>
      </c>
      <c r="F122">
        <f>[10]道具表价值评估!F122</f>
        <v>0</v>
      </c>
      <c r="G122">
        <f>[10]道具表价值评估!G122</f>
        <v>0</v>
      </c>
    </row>
    <row r="123" spans="1:7">
      <c r="A123">
        <f>[10]道具表价值评估!A123</f>
        <v>86005</v>
      </c>
      <c r="B123" t="str">
        <f>[10]道具表价值评估!B123</f>
        <v>马仔追债宝箱</v>
      </c>
      <c r="C123">
        <f>[10]道具表价值评估!C123</f>
        <v>0</v>
      </c>
      <c r="D123">
        <f>[10]道具表价值评估!D123</f>
        <v>0</v>
      </c>
      <c r="E123">
        <f>[10]道具表价值评估!E123</f>
        <v>0</v>
      </c>
      <c r="F123">
        <f>[10]道具表价值评估!F123</f>
        <v>0</v>
      </c>
      <c r="G123">
        <f>[10]道具表价值评估!G123</f>
        <v>0</v>
      </c>
    </row>
    <row r="124" spans="1:7">
      <c r="A124">
        <f>[10]道具表价值评估!A124</f>
        <v>86110</v>
      </c>
      <c r="B124" t="str">
        <f>[10]道具表价值评估!B124</f>
        <v>马仔宝物礼包</v>
      </c>
      <c r="C124">
        <f>[10]道具表价值评估!C124</f>
        <v>0</v>
      </c>
      <c r="D124">
        <f>[10]道具表价值评估!D124</f>
        <v>0</v>
      </c>
      <c r="E124">
        <f>[10]道具表价值评估!E124</f>
        <v>3</v>
      </c>
      <c r="F124">
        <f>[10]道具表价值评估!F124</f>
        <v>2500</v>
      </c>
      <c r="G124">
        <f>[10]道具表价值评估!G124</f>
        <v>5</v>
      </c>
    </row>
    <row r="125" spans="1:7">
      <c r="A125">
        <f>[10]道具表价值评估!A125</f>
        <v>86120</v>
      </c>
      <c r="B125" t="str">
        <f>[10]道具表价值评估!B125</f>
        <v>马仔宝物礼包</v>
      </c>
      <c r="C125">
        <f>[10]道具表价值评估!C125</f>
        <v>0</v>
      </c>
      <c r="D125">
        <f>[10]道具表价值评估!D125</f>
        <v>0</v>
      </c>
      <c r="E125">
        <f>[10]道具表价值评估!E125</f>
        <v>6</v>
      </c>
      <c r="F125">
        <f>[10]道具表价值评估!F125</f>
        <v>7500</v>
      </c>
      <c r="G125">
        <f>[10]道具表价值评估!G125</f>
        <v>15</v>
      </c>
    </row>
    <row r="126" spans="1:7">
      <c r="A126">
        <f>[10]道具表价值评估!A126</f>
        <v>86130</v>
      </c>
      <c r="B126" t="str">
        <f>[10]道具表价值评估!B126</f>
        <v>马仔宝物礼包</v>
      </c>
      <c r="C126">
        <f>[10]道具表价值评估!C126</f>
        <v>0</v>
      </c>
      <c r="D126">
        <f>[10]道具表价值评估!D126</f>
        <v>0</v>
      </c>
      <c r="E126">
        <f>[10]道具表价值评估!E126</f>
        <v>9</v>
      </c>
      <c r="F126">
        <f>[10]道具表价值评估!F126</f>
        <v>25000</v>
      </c>
      <c r="G126">
        <f>[10]道具表价值评估!G126</f>
        <v>50</v>
      </c>
    </row>
    <row r="127" spans="1:7">
      <c r="A127">
        <f>[10]道具表价值评估!A127</f>
        <v>86140</v>
      </c>
      <c r="B127" t="str">
        <f>[10]道具表价值评估!B127</f>
        <v>马仔宝物礼包</v>
      </c>
      <c r="C127">
        <f>[10]道具表价值评估!C127</f>
        <v>0</v>
      </c>
      <c r="D127">
        <f>[10]道具表价值评估!D127</f>
        <v>0</v>
      </c>
      <c r="E127">
        <f>[10]道具表价值评估!E127</f>
        <v>12</v>
      </c>
      <c r="F127">
        <f>[10]道具表价值评估!F127</f>
        <v>75000</v>
      </c>
      <c r="G127">
        <f>[10]道具表价值评估!G127</f>
        <v>150</v>
      </c>
    </row>
    <row r="128" spans="1:7">
      <c r="A128">
        <f>[10]道具表价值评估!A128</f>
        <v>86150</v>
      </c>
      <c r="B128" t="str">
        <f>[10]道具表价值评估!B128</f>
        <v>马仔宝物礼包</v>
      </c>
      <c r="C128">
        <f>[10]道具表价值评估!C128</f>
        <v>0</v>
      </c>
      <c r="D128">
        <f>[10]道具表价值评估!D128</f>
        <v>0</v>
      </c>
      <c r="E128">
        <f>[10]道具表价值评估!E128</f>
        <v>15</v>
      </c>
      <c r="F128">
        <f>[10]道具表价值评估!F128</f>
        <v>200000</v>
      </c>
      <c r="G128">
        <f>[10]道具表价值评估!G128</f>
        <v>400</v>
      </c>
    </row>
    <row r="129" spans="1:7">
      <c r="A129">
        <f>[10]道具表价值评估!A129</f>
        <v>83305</v>
      </c>
      <c r="B129" t="str">
        <f>[10]道具表价值评估!B129</f>
        <v>金豆</v>
      </c>
      <c r="C129">
        <f>[10]道具表价值评估!C129</f>
        <v>0</v>
      </c>
      <c r="D129">
        <f>[10]道具表价值评估!D129</f>
        <v>0</v>
      </c>
      <c r="E129">
        <f>[10]道具表价值评估!E129</f>
        <v>0</v>
      </c>
      <c r="F129">
        <f>[10]道具表价值评估!F129</f>
        <v>10000</v>
      </c>
      <c r="G129">
        <f>[10]道具表价值评估!G129</f>
        <v>20</v>
      </c>
    </row>
    <row r="130" spans="1:7">
      <c r="A130">
        <f>[10]道具表价值评估!A130</f>
        <v>83306</v>
      </c>
      <c r="B130" t="str">
        <f>[10]道具表价值评估!B130</f>
        <v>单次扫荡特权</v>
      </c>
      <c r="C130">
        <f>[10]道具表价值评估!C130</f>
        <v>0</v>
      </c>
      <c r="D130">
        <f>[10]道具表价值评估!D130</f>
        <v>0</v>
      </c>
      <c r="E130">
        <f>[10]道具表价值评估!E130</f>
        <v>0</v>
      </c>
      <c r="F130">
        <f>[10]道具表价值评估!F130</f>
        <v>0</v>
      </c>
      <c r="G130">
        <f>[10]道具表价值评估!G130</f>
        <v>0</v>
      </c>
    </row>
    <row r="131" spans="1:7">
      <c r="A131">
        <f>[10]道具表价值评估!A131</f>
        <v>83307</v>
      </c>
      <c r="B131" t="str">
        <f>[10]道具表价值评估!B131</f>
        <v>多次扫荡特权</v>
      </c>
      <c r="C131">
        <f>[10]道具表价值评估!C131</f>
        <v>0</v>
      </c>
      <c r="D131">
        <f>[10]道具表价值评估!D131</f>
        <v>0</v>
      </c>
      <c r="E131">
        <f>[10]道具表价值评估!E131</f>
        <v>0</v>
      </c>
      <c r="F131">
        <f>[10]道具表价值评估!F131</f>
        <v>0</v>
      </c>
      <c r="G131">
        <f>[10]道具表价值评估!G131</f>
        <v>0</v>
      </c>
    </row>
    <row r="132" spans="1:7">
      <c r="A132">
        <f>[10]道具表价值评估!A132</f>
        <v>83308</v>
      </c>
      <c r="B132" t="str">
        <f>[10]道具表价值评估!B132</f>
        <v>扫荡特权</v>
      </c>
      <c r="C132">
        <f>[10]道具表价值评估!C132</f>
        <v>0</v>
      </c>
      <c r="D132">
        <f>[10]道具表价值评估!D132</f>
        <v>0</v>
      </c>
      <c r="E132">
        <f>[10]道具表价值评估!E132</f>
        <v>0</v>
      </c>
      <c r="F132">
        <f>[10]道具表价值评估!F132</f>
        <v>0</v>
      </c>
      <c r="G132">
        <f>[10]道具表价值评估!G132</f>
        <v>0</v>
      </c>
    </row>
    <row r="133" spans="1:7">
      <c r="A133">
        <f>[10]道具表价值评估!A133</f>
        <v>86010</v>
      </c>
      <c r="B133" t="str">
        <f>[10]道具表价值评估!B133</f>
        <v>部位材料宝箱</v>
      </c>
      <c r="C133">
        <f>[10]道具表价值评估!C133</f>
        <v>0</v>
      </c>
      <c r="D133">
        <f>[10]道具表价值评估!D133</f>
        <v>0</v>
      </c>
      <c r="E133">
        <f>[10]道具表价值评估!E133</f>
        <v>0</v>
      </c>
      <c r="F133">
        <f>[10]道具表价值评估!F133</f>
        <v>10000</v>
      </c>
      <c r="G133">
        <f>[10]道具表价值评估!G133</f>
        <v>20</v>
      </c>
    </row>
    <row r="134" spans="1:7">
      <c r="A134">
        <f>[10]道具表价值评估!A134</f>
        <v>86021</v>
      </c>
      <c r="B134" t="str">
        <f>[10]道具表价值评估!B134</f>
        <v>紫色装备礼包</v>
      </c>
      <c r="C134">
        <f>[10]道具表价值评估!C134</f>
        <v>0</v>
      </c>
      <c r="D134">
        <f>[10]道具表价值评估!D134</f>
        <v>0</v>
      </c>
      <c r="E134">
        <f>[10]道具表价值评估!E134</f>
        <v>0</v>
      </c>
      <c r="F134">
        <f>[10]道具表价值评估!F134</f>
        <v>99500</v>
      </c>
      <c r="G134">
        <f>[10]道具表价值评估!G134</f>
        <v>199</v>
      </c>
    </row>
    <row r="135" spans="1:7">
      <c r="A135">
        <f>[10]道具表价值评估!A135</f>
        <v>86022</v>
      </c>
      <c r="B135" t="str">
        <f>[10]道具表价值评估!B135</f>
        <v>橙色装备礼包</v>
      </c>
      <c r="C135">
        <f>[10]道具表价值评估!C135</f>
        <v>0</v>
      </c>
      <c r="D135">
        <f>[10]道具表价值评估!D135</f>
        <v>0</v>
      </c>
      <c r="E135">
        <f>[10]道具表价值评估!E135</f>
        <v>0</v>
      </c>
      <c r="F135">
        <f>[10]道具表价值评估!F135</f>
        <v>500000</v>
      </c>
      <c r="G135">
        <f>[10]道具表价值评估!G135</f>
        <v>1000</v>
      </c>
    </row>
    <row r="136" spans="1:7">
      <c r="A136">
        <f>[10]道具表价值评估!A136</f>
        <v>86023</v>
      </c>
      <c r="B136" t="str">
        <f>[10]道具表价值评估!B136</f>
        <v>红色装备礼包</v>
      </c>
      <c r="C136">
        <f>[10]道具表价值评估!C136</f>
        <v>0</v>
      </c>
      <c r="D136">
        <f>[10]道具表价值评估!D136</f>
        <v>0</v>
      </c>
      <c r="E136">
        <f>[10]道具表价值评估!E136</f>
        <v>0</v>
      </c>
      <c r="F136">
        <f>[10]道具表价值评估!F136</f>
        <v>2500000</v>
      </c>
      <c r="G136">
        <f>[10]道具表价值评估!G136</f>
        <v>5000</v>
      </c>
    </row>
    <row r="137" spans="1:7">
      <c r="A137">
        <f>[10]道具表价值评估!A137</f>
        <v>78214</v>
      </c>
      <c r="B137" t="str">
        <f>[10]道具表价值评估!B137</f>
        <v>限时碎片(陈浩南)</v>
      </c>
      <c r="C137">
        <f>[10]道具表价值评估!C137</f>
        <v>0</v>
      </c>
      <c r="D137">
        <f>[10]道具表价值评估!D137</f>
        <v>0</v>
      </c>
      <c r="E137">
        <f>[10]道具表价值评估!E137</f>
        <v>0</v>
      </c>
      <c r="F137">
        <f>[10]道具表价值评估!F137</f>
        <v>0</v>
      </c>
      <c r="G137">
        <f>[10]道具表价值评估!G137</f>
        <v>0</v>
      </c>
    </row>
    <row r="138" spans="1:7">
      <c r="A138">
        <f>[10]道具表价值评估!A138</f>
        <v>78215</v>
      </c>
      <c r="B138" t="str">
        <f>[10]道具表价值评估!B138</f>
        <v>限时碎片(山鸡)</v>
      </c>
      <c r="C138">
        <f>[10]道具表价值评估!C138</f>
        <v>0</v>
      </c>
      <c r="D138">
        <f>[10]道具表价值评估!D138</f>
        <v>0</v>
      </c>
      <c r="E138">
        <f>[10]道具表价值评估!E138</f>
        <v>0</v>
      </c>
      <c r="F138">
        <f>[10]道具表价值评估!F138</f>
        <v>0</v>
      </c>
      <c r="G138">
        <f>[10]道具表价值评估!G138</f>
        <v>0</v>
      </c>
    </row>
    <row r="139" spans="1:7">
      <c r="A139">
        <f>[10]道具表价值评估!A139</f>
        <v>78216</v>
      </c>
      <c r="B139" t="str">
        <f>[10]道具表价值评估!B139</f>
        <v>限时碎片(大天二)</v>
      </c>
      <c r="C139">
        <f>[10]道具表价值评估!C139</f>
        <v>0</v>
      </c>
      <c r="D139">
        <f>[10]道具表价值评估!D139</f>
        <v>0</v>
      </c>
      <c r="E139">
        <f>[10]道具表价值评估!E139</f>
        <v>0</v>
      </c>
      <c r="F139">
        <f>[10]道具表价值评估!F139</f>
        <v>0</v>
      </c>
      <c r="G139">
        <f>[10]道具表价值评估!G139</f>
        <v>0</v>
      </c>
    </row>
    <row r="140" spans="1:7">
      <c r="A140">
        <f>[10]道具表价值评估!A140</f>
        <v>83309</v>
      </c>
      <c r="B140" t="str">
        <f>[10]道具表价值评估!B140</f>
        <v>堂口贡献</v>
      </c>
      <c r="C140">
        <f>[10]道具表价值评估!C140</f>
        <v>0</v>
      </c>
      <c r="D140">
        <f>[10]道具表价值评估!D140</f>
        <v>0</v>
      </c>
      <c r="E140">
        <f>[10]道具表价值评估!E140</f>
        <v>0</v>
      </c>
      <c r="F140">
        <f>[10]道具表价值评估!F140</f>
        <v>16.666666666666668</v>
      </c>
      <c r="G140">
        <f>[10]道具表价值评估!G140</f>
        <v>3.3333333333333333E-2</v>
      </c>
    </row>
    <row r="141" spans="1:7">
      <c r="A141">
        <f>[10]道具表价值评估!A141</f>
        <v>86121</v>
      </c>
      <c r="B141" t="str">
        <f>[10]道具表价值评估!B141</f>
        <v>马仔宝物碎片礼包</v>
      </c>
      <c r="C141">
        <f>[10]道具表价值评估!C141</f>
        <v>0</v>
      </c>
      <c r="D141">
        <f>[10]道具表价值评估!D141</f>
        <v>0</v>
      </c>
      <c r="E141">
        <f>[10]道具表价值评估!E141</f>
        <v>0</v>
      </c>
      <c r="F141">
        <f>[10]道具表价值评估!F141</f>
        <v>1250</v>
      </c>
      <c r="G141">
        <f>[10]道具表价值评估!G141</f>
        <v>2.5</v>
      </c>
    </row>
    <row r="142" spans="1:7">
      <c r="A142">
        <f>[10]道具表价值评估!A142</f>
        <v>86131</v>
      </c>
      <c r="B142" t="str">
        <f>[10]道具表价值评估!B142</f>
        <v>马仔宝物碎片礼包</v>
      </c>
      <c r="C142">
        <f>[10]道具表价值评估!C142</f>
        <v>0</v>
      </c>
      <c r="D142">
        <f>[10]道具表价值评估!D142</f>
        <v>0</v>
      </c>
      <c r="E142">
        <f>[10]道具表价值评估!E142</f>
        <v>0</v>
      </c>
      <c r="F142">
        <f>[10]道具表价值评估!F142</f>
        <v>2500</v>
      </c>
      <c r="G142">
        <f>[10]道具表价值评估!G142</f>
        <v>5</v>
      </c>
    </row>
    <row r="143" spans="1:7">
      <c r="A143">
        <f>[10]道具表价值评估!A143</f>
        <v>86141</v>
      </c>
      <c r="B143" t="str">
        <f>[10]道具表价值评估!B143</f>
        <v>马仔宝物碎片礼包</v>
      </c>
      <c r="C143">
        <f>[10]道具表价值评估!C143</f>
        <v>0</v>
      </c>
      <c r="D143">
        <f>[10]道具表价值评估!D143</f>
        <v>0</v>
      </c>
      <c r="E143">
        <f>[10]道具表价值评估!E143</f>
        <v>0</v>
      </c>
      <c r="F143">
        <f>[10]道具表价值评估!F143</f>
        <v>3750</v>
      </c>
      <c r="G143">
        <f>[10]道具表价值评估!G143</f>
        <v>7.5</v>
      </c>
    </row>
    <row r="144" spans="1:7">
      <c r="A144">
        <f>[10]道具表价值评估!A144</f>
        <v>86151</v>
      </c>
      <c r="B144" t="str">
        <f>[10]道具表价值评估!B144</f>
        <v>马仔宝物碎片礼包</v>
      </c>
      <c r="C144">
        <f>[10]道具表价值评估!C144</f>
        <v>0</v>
      </c>
      <c r="D144">
        <f>[10]道具表价值评估!D144</f>
        <v>0</v>
      </c>
      <c r="E144">
        <f>[10]道具表价值评估!E144</f>
        <v>0</v>
      </c>
      <c r="F144">
        <f>[10]道具表价值评估!F144</f>
        <v>5000</v>
      </c>
      <c r="G144">
        <f>[10]道具表价值评估!G144</f>
        <v>10</v>
      </c>
    </row>
    <row r="145" spans="1:7">
      <c r="A145">
        <f>[10]道具表价值评估!A145</f>
        <v>86210</v>
      </c>
      <c r="B145" t="str">
        <f>[10]道具表价值评估!B145</f>
        <v>命格福袋</v>
      </c>
      <c r="C145">
        <f>[10]道具表价值评估!C145</f>
        <v>0</v>
      </c>
      <c r="D145">
        <f>[10]道具表价值评估!D145</f>
        <v>0</v>
      </c>
      <c r="E145">
        <f>[10]道具表价值评估!E145</f>
        <v>0</v>
      </c>
      <c r="F145">
        <f>[10]道具表价值评估!F145</f>
        <v>2500</v>
      </c>
      <c r="G145">
        <f>[10]道具表价值评估!G145</f>
        <v>5</v>
      </c>
    </row>
    <row r="146" spans="1:7">
      <c r="A146">
        <f>[10]道具表价值评估!A146</f>
        <v>86220</v>
      </c>
      <c r="B146" t="str">
        <f>[10]道具表价值评估!B146</f>
        <v>命格福袋</v>
      </c>
      <c r="C146">
        <f>[10]道具表价值评估!C146</f>
        <v>0</v>
      </c>
      <c r="D146">
        <f>[10]道具表价值评估!D146</f>
        <v>0</v>
      </c>
      <c r="E146">
        <f>[10]道具表价值评估!E146</f>
        <v>0</v>
      </c>
      <c r="F146">
        <f>[10]道具表价值评估!F146</f>
        <v>25000</v>
      </c>
      <c r="G146">
        <f>[10]道具表价值评估!G146</f>
        <v>50</v>
      </c>
    </row>
    <row r="147" spans="1:7">
      <c r="A147">
        <f>[10]道具表价值评估!A147</f>
        <v>86230</v>
      </c>
      <c r="B147" t="str">
        <f>[10]道具表价值评估!B147</f>
        <v>命格福袋</v>
      </c>
      <c r="C147">
        <f>[10]道具表价值评估!C147</f>
        <v>0</v>
      </c>
      <c r="D147">
        <f>[10]道具表价值评估!D147</f>
        <v>0</v>
      </c>
      <c r="E147">
        <f>[10]道具表价值评估!E147</f>
        <v>0</v>
      </c>
      <c r="F147">
        <f>[10]道具表价值评估!F147</f>
        <v>200000</v>
      </c>
      <c r="G147">
        <f>[10]道具表价值评估!G147</f>
        <v>400</v>
      </c>
    </row>
    <row r="148" spans="1:7">
      <c r="A148">
        <f>[10]道具表价值评估!A148</f>
        <v>86240</v>
      </c>
      <c r="B148" t="str">
        <f>[10]道具表价值评估!B148</f>
        <v>命格福袋</v>
      </c>
      <c r="C148">
        <f>[10]道具表价值评估!C148</f>
        <v>0</v>
      </c>
      <c r="D148">
        <f>[10]道具表价值评估!D148</f>
        <v>0</v>
      </c>
      <c r="E148">
        <f>[10]道具表价值评估!E148</f>
        <v>0</v>
      </c>
      <c r="F148">
        <f>[10]道具表价值评估!F148</f>
        <v>2000000</v>
      </c>
      <c r="G148">
        <f>[10]道具表价值评估!G148</f>
        <v>4000</v>
      </c>
    </row>
    <row r="149" spans="1:7">
      <c r="A149">
        <f>[10]道具表价值评估!A149</f>
        <v>86250</v>
      </c>
      <c r="B149" t="str">
        <f>[10]道具表价值评估!B149</f>
        <v>命格福袋</v>
      </c>
      <c r="C149">
        <f>[10]道具表价值评估!C149</f>
        <v>0</v>
      </c>
      <c r="D149">
        <f>[10]道具表价值评估!D149</f>
        <v>0</v>
      </c>
      <c r="E149">
        <f>[10]道具表价值评估!E149</f>
        <v>0</v>
      </c>
      <c r="F149">
        <f>[10]道具表价值评估!F149</f>
        <v>10000000</v>
      </c>
      <c r="G149">
        <f>[10]道具表价值评估!G149</f>
        <v>20000</v>
      </c>
    </row>
    <row r="150" spans="1:7">
      <c r="A150">
        <f>[10]道具表价值评估!A150</f>
        <v>86310</v>
      </c>
      <c r="B150" t="str">
        <f>[10]道具表价值评估!B150</f>
        <v>马仔碎片福袋</v>
      </c>
      <c r="C150">
        <f>[10]道具表价值评估!C150</f>
        <v>0</v>
      </c>
      <c r="D150">
        <f>[10]道具表价值评估!D150</f>
        <v>0</v>
      </c>
      <c r="E150">
        <f>[10]道具表价值评估!E150</f>
        <v>0</v>
      </c>
      <c r="F150">
        <f>[10]道具表价值评估!F150</f>
        <v>12500</v>
      </c>
      <c r="G150">
        <f>[10]道具表价值评估!G150</f>
        <v>25</v>
      </c>
    </row>
    <row r="151" spans="1:7">
      <c r="A151">
        <f>[10]道具表价值评估!A151</f>
        <v>86320</v>
      </c>
      <c r="B151" t="str">
        <f>[10]道具表价值评估!B151</f>
        <v>马仔碎片福袋</v>
      </c>
      <c r="C151">
        <f>[10]道具表价值评估!C151</f>
        <v>0</v>
      </c>
      <c r="D151">
        <f>[10]道具表价值评估!D151</f>
        <v>0</v>
      </c>
      <c r="E151">
        <f>[10]道具表价值评估!E151</f>
        <v>0</v>
      </c>
      <c r="F151">
        <f>[10]道具表价值评估!F151</f>
        <v>25000</v>
      </c>
      <c r="G151">
        <f>[10]道具表价值评估!G151</f>
        <v>50</v>
      </c>
    </row>
    <row r="152" spans="1:7">
      <c r="A152">
        <f>[10]道具表价值评估!A152</f>
        <v>86330</v>
      </c>
      <c r="B152" t="str">
        <f>[10]道具表价值评估!B152</f>
        <v>马仔碎片福袋</v>
      </c>
      <c r="C152">
        <f>[10]道具表价值评估!C152</f>
        <v>0</v>
      </c>
      <c r="D152">
        <f>[10]道具表价值评估!D152</f>
        <v>0</v>
      </c>
      <c r="E152">
        <f>[10]道具表价值评估!E152</f>
        <v>0</v>
      </c>
      <c r="F152">
        <f>[10]道具表价值评估!F152</f>
        <v>50000</v>
      </c>
      <c r="G152">
        <f>[10]道具表价值评估!G152</f>
        <v>100</v>
      </c>
    </row>
    <row r="153" spans="1:7">
      <c r="A153">
        <f>[10]道具表价值评估!A153</f>
        <v>86340</v>
      </c>
      <c r="B153" t="str">
        <f>[10]道具表价值评估!B153</f>
        <v>马仔碎片福袋</v>
      </c>
      <c r="C153">
        <f>[10]道具表价值评估!C153</f>
        <v>0</v>
      </c>
      <c r="D153">
        <f>[10]道具表价值评估!D153</f>
        <v>0</v>
      </c>
      <c r="E153">
        <f>[10]道具表价值评估!E153</f>
        <v>0</v>
      </c>
      <c r="F153">
        <f>[10]道具表价值评估!F153</f>
        <v>75000</v>
      </c>
      <c r="G153">
        <f>[10]道具表价值评估!G153</f>
        <v>150</v>
      </c>
    </row>
    <row r="154" spans="1:7">
      <c r="A154">
        <f>[10]道具表价值评估!A154</f>
        <v>86350</v>
      </c>
      <c r="B154" t="str">
        <f>[10]道具表价值评估!B154</f>
        <v>马仔碎片福袋</v>
      </c>
      <c r="C154">
        <f>[10]道具表价值评估!C154</f>
        <v>0</v>
      </c>
      <c r="D154">
        <f>[10]道具表价值评估!D154</f>
        <v>0</v>
      </c>
      <c r="E154">
        <f>[10]道具表价值评估!E154</f>
        <v>0</v>
      </c>
      <c r="F154">
        <f>[10]道具表价值评估!F154</f>
        <v>150000</v>
      </c>
      <c r="G154">
        <f>[10]道具表价值评估!G154</f>
        <v>300</v>
      </c>
    </row>
    <row r="155" spans="1:7">
      <c r="A155">
        <f>[10]道具表价值评估!A155</f>
        <v>86400</v>
      </c>
      <c r="B155" t="str">
        <f>[10]道具表价值评估!B155</f>
        <v>装备升星石福袋</v>
      </c>
      <c r="C155">
        <f>[10]道具表价值评估!C155</f>
        <v>0</v>
      </c>
      <c r="D155">
        <f>[10]道具表价值评估!D155</f>
        <v>0</v>
      </c>
      <c r="E155">
        <f>[10]道具表价值评估!E155</f>
        <v>0</v>
      </c>
      <c r="F155">
        <f>[10]道具表价值评估!F155</f>
        <v>2800</v>
      </c>
      <c r="G155">
        <f>[10]道具表价值评估!G155</f>
        <v>5.6</v>
      </c>
    </row>
    <row r="156" spans="1:7">
      <c r="A156">
        <f>[10]道具表价值评估!A156</f>
        <v>91400</v>
      </c>
      <c r="B156" t="str">
        <f>[10]道具表价值评估!B156</f>
        <v>马仔经验圣水</v>
      </c>
      <c r="C156">
        <f>[10]道具表价值评估!C156</f>
        <v>0</v>
      </c>
      <c r="D156">
        <f>[10]道具表价值评估!D156</f>
        <v>0</v>
      </c>
      <c r="E156">
        <f>[10]道具表价值评估!E156</f>
        <v>0</v>
      </c>
      <c r="F156">
        <f>[10]道具表价值评估!F156</f>
        <v>100000</v>
      </c>
      <c r="G156">
        <f>[10]道具表价值评估!G156</f>
        <v>200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118"/>
  <sheetViews>
    <sheetView topLeftCell="A85" workbookViewId="0">
      <selection activeCell="K124" sqref="K124"/>
    </sheetView>
  </sheetViews>
  <sheetFormatPr defaultRowHeight="13.5"/>
  <cols>
    <col min="2" max="2" width="13.875" bestFit="1" customWidth="1"/>
    <col min="6" max="6" width="8.875" style="55"/>
    <col min="7" max="7" width="8.875" style="36"/>
  </cols>
  <sheetData>
    <row r="1" spans="1:13">
      <c r="A1" s="2" t="s">
        <v>403</v>
      </c>
      <c r="B1" s="2" t="s">
        <v>404</v>
      </c>
      <c r="C1" s="2" t="s">
        <v>405</v>
      </c>
      <c r="D1" s="2" t="s">
        <v>406</v>
      </c>
      <c r="E1" s="10" t="s">
        <v>407</v>
      </c>
      <c r="F1" s="55" t="s">
        <v>408</v>
      </c>
      <c r="G1" s="36" t="s">
        <v>409</v>
      </c>
      <c r="I1" t="s">
        <v>575</v>
      </c>
    </row>
    <row r="2" spans="1:13">
      <c r="A2">
        <f>[14]价值评估!P6</f>
        <v>92131</v>
      </c>
      <c r="B2" t="str">
        <f>[14]价值评估!Q6</f>
        <v>幸运戒指</v>
      </c>
      <c r="C2">
        <f>[14]价值评估!R6</f>
        <v>16.48</v>
      </c>
      <c r="D2">
        <f>[14]价值评估!S6</f>
        <v>250</v>
      </c>
      <c r="E2">
        <v>2</v>
      </c>
      <c r="F2" s="56">
        <f>C2*E2*'0、经济设定'!$C$18</f>
        <v>1648</v>
      </c>
      <c r="G2" s="36">
        <f>ROUNDUP(C2*'0、经济设定'!$E$18*E2,0)</f>
        <v>4</v>
      </c>
      <c r="H2">
        <v>2</v>
      </c>
      <c r="I2">
        <v>1</v>
      </c>
    </row>
    <row r="3" spans="1:13">
      <c r="A3">
        <f>[14]价值评估!P7</f>
        <v>92011</v>
      </c>
      <c r="B3" t="str">
        <f>[14]价值评估!Q7</f>
        <v>亚诺</v>
      </c>
      <c r="C3">
        <f>[14]价值评估!R7</f>
        <v>20</v>
      </c>
      <c r="D3">
        <f>[14]价值评估!S7</f>
        <v>126</v>
      </c>
      <c r="E3">
        <v>2</v>
      </c>
      <c r="F3" s="56">
        <f>C3*E3*'0、经济设定'!$C$18</f>
        <v>2000</v>
      </c>
      <c r="G3" s="36">
        <f>ROUNDUP(C3*'0、经济设定'!$E$18*E3,0)</f>
        <v>4</v>
      </c>
      <c r="H3">
        <v>2</v>
      </c>
      <c r="I3">
        <v>1</v>
      </c>
    </row>
    <row r="4" spans="1:13">
      <c r="A4">
        <f>[14]价值评估!P8</f>
        <v>92228</v>
      </c>
      <c r="B4" t="str">
        <f>[14]价值评估!Q8</f>
        <v>银色手环</v>
      </c>
      <c r="C4">
        <f>[14]价值评估!R8</f>
        <v>8</v>
      </c>
      <c r="D4">
        <f>[14]价值评估!S8</f>
        <v>253</v>
      </c>
      <c r="E4">
        <v>2</v>
      </c>
      <c r="F4" s="56">
        <f>C4*E4*'0、经济设定'!$C$18</f>
        <v>800</v>
      </c>
      <c r="G4" s="36">
        <f>ROUNDUP(C4*'0、经济设定'!$E$18*E4,0)</f>
        <v>2</v>
      </c>
      <c r="H4">
        <v>2</v>
      </c>
      <c r="I4">
        <v>1</v>
      </c>
    </row>
    <row r="5" spans="1:13">
      <c r="A5">
        <f>[14]价值评估!P9</f>
        <v>92232</v>
      </c>
      <c r="B5" t="str">
        <f>[14]价值评估!Q9</f>
        <v>鎏金手环</v>
      </c>
      <c r="C5">
        <f>[14]价值评估!R9</f>
        <v>16.48</v>
      </c>
      <c r="D5">
        <f>[14]价值评估!S9</f>
        <v>718</v>
      </c>
      <c r="E5">
        <v>2</v>
      </c>
      <c r="F5" s="56">
        <f>C5*E5*'0、经济设定'!$C$18</f>
        <v>1648</v>
      </c>
      <c r="G5" s="36">
        <f>ROUNDUP(C5*'0、经济设定'!$E$18*E5,0)</f>
        <v>4</v>
      </c>
      <c r="H5">
        <v>2</v>
      </c>
      <c r="I5">
        <v>1</v>
      </c>
    </row>
    <row r="6" spans="1:13">
      <c r="A6">
        <f>[14]价值评估!P10</f>
        <v>92121</v>
      </c>
      <c r="B6" t="str">
        <f>[14]价值评估!Q10</f>
        <v>镀金耳钉</v>
      </c>
      <c r="C6">
        <f>[14]价值评估!R10</f>
        <v>20</v>
      </c>
      <c r="D6">
        <f>[14]价值评估!S10</f>
        <v>259</v>
      </c>
      <c r="E6">
        <v>2</v>
      </c>
      <c r="F6" s="56">
        <f>C6*E6*'0、经济设定'!$C$18</f>
        <v>2000</v>
      </c>
      <c r="G6" s="36">
        <f>ROUNDUP(C6*'0、经济设定'!$E$18*E6,0)</f>
        <v>4</v>
      </c>
      <c r="H6">
        <v>2</v>
      </c>
      <c r="I6">
        <v>1</v>
      </c>
    </row>
    <row r="7" spans="1:13">
      <c r="A7">
        <f>[14]价值评估!P11</f>
        <v>92243</v>
      </c>
      <c r="B7" t="str">
        <f>[14]价值评估!Q11</f>
        <v>诅咒项链</v>
      </c>
      <c r="C7">
        <f>[14]价值评估!R11</f>
        <v>8</v>
      </c>
      <c r="D7">
        <f>[14]价值评估!S11</f>
        <v>333</v>
      </c>
      <c r="E7">
        <v>2</v>
      </c>
      <c r="F7" s="56">
        <f>C7*E7*'0、经济设定'!$C$18</f>
        <v>800</v>
      </c>
      <c r="G7" s="36">
        <f>ROUNDUP(C7*'0、经济设定'!$E$18*E7,0)</f>
        <v>2</v>
      </c>
      <c r="H7">
        <v>2</v>
      </c>
      <c r="I7">
        <v>1</v>
      </c>
    </row>
    <row r="8" spans="1:13">
      <c r="A8">
        <f>[14]价值评估!P12</f>
        <v>92244</v>
      </c>
      <c r="B8" t="str">
        <f>[14]价值评估!Q12</f>
        <v>金饰项链</v>
      </c>
      <c r="C8">
        <f>[14]价值评估!R12</f>
        <v>16.48</v>
      </c>
      <c r="D8">
        <f>[14]价值评估!S12</f>
        <v>653</v>
      </c>
      <c r="E8">
        <v>2</v>
      </c>
      <c r="F8" s="56">
        <f>C8*E8*'0、经济设定'!$C$18</f>
        <v>1648</v>
      </c>
      <c r="G8" s="36">
        <f>ROUNDUP(C8*'0、经济设定'!$E$18*E8,0)</f>
        <v>4</v>
      </c>
      <c r="H8">
        <v>2</v>
      </c>
      <c r="I8">
        <v>1</v>
      </c>
    </row>
    <row r="9" spans="1:13">
      <c r="A9">
        <f>[14]价值评估!P13</f>
        <v>92263</v>
      </c>
      <c r="B9" t="str">
        <f>[14]价值评估!Q13</f>
        <v>银针手表</v>
      </c>
      <c r="C9">
        <f>[14]价值评估!R13</f>
        <v>20</v>
      </c>
      <c r="D9">
        <f>[14]价值评估!S13</f>
        <v>117</v>
      </c>
      <c r="E9">
        <v>2</v>
      </c>
      <c r="F9" s="56">
        <f>C9*E9*'0、经济设定'!$C$18</f>
        <v>2000</v>
      </c>
      <c r="G9" s="36">
        <f>ROUNDUP(C9*'0、经济设定'!$E$18*E9,0)</f>
        <v>4</v>
      </c>
      <c r="H9">
        <v>2</v>
      </c>
      <c r="I9">
        <v>1</v>
      </c>
    </row>
    <row r="10" spans="1:13">
      <c r="A10">
        <f>[14]价值评估!P14</f>
        <v>92277</v>
      </c>
      <c r="B10" t="str">
        <f>[14]价值评估!Q14</f>
        <v>冬利</v>
      </c>
      <c r="C10">
        <f>[14]价值评估!R14</f>
        <v>8</v>
      </c>
      <c r="D10">
        <f>[14]价值评估!S14</f>
        <v>122</v>
      </c>
      <c r="E10">
        <v>2</v>
      </c>
      <c r="F10" s="56">
        <f>C10*E10*'0、经济设定'!$C$18</f>
        <v>800</v>
      </c>
      <c r="G10" s="36">
        <f>ROUNDUP(C10*'0、经济设定'!$E$18*E10,0)</f>
        <v>2</v>
      </c>
      <c r="H10">
        <v>2</v>
      </c>
      <c r="I10">
        <v>1</v>
      </c>
    </row>
    <row r="11" spans="1:13">
      <c r="A11">
        <f>[14]价值评估!P15</f>
        <v>92233</v>
      </c>
      <c r="B11" t="str">
        <f>[14]价值评估!Q15</f>
        <v>白金手环</v>
      </c>
      <c r="C11">
        <f>[14]价值评估!R15</f>
        <v>50</v>
      </c>
      <c r="D11">
        <f>[14]价值评估!S15</f>
        <v>382</v>
      </c>
      <c r="E11">
        <v>3</v>
      </c>
      <c r="F11" s="56">
        <f>C11*E11*'0、经济设定'!$C$18</f>
        <v>7500</v>
      </c>
      <c r="G11" s="36">
        <f>ROUNDUP(C11*'0、经济设定'!$E$18*E11,0)</f>
        <v>15</v>
      </c>
      <c r="H11">
        <v>2</v>
      </c>
      <c r="I11">
        <v>1</v>
      </c>
      <c r="J11">
        <f>SUM(D2:D11)</f>
        <v>3213</v>
      </c>
    </row>
    <row r="12" spans="1:13">
      <c r="A12">
        <f>[14]价值评估!P16</f>
        <v>92122</v>
      </c>
      <c r="B12" t="str">
        <f>[14]价值评估!Q16</f>
        <v>银饰耳钉</v>
      </c>
      <c r="C12">
        <f>[14]价值评估!R16</f>
        <v>50</v>
      </c>
      <c r="D12">
        <f>[14]价值评估!S16</f>
        <v>362</v>
      </c>
      <c r="E12">
        <v>3</v>
      </c>
      <c r="F12" s="56">
        <f>C12*E12*'0、经济设定'!$C$18</f>
        <v>7500</v>
      </c>
      <c r="G12" s="36">
        <f>ROUNDUP(C12*'0、经济设定'!$E$18*E12,0)</f>
        <v>15</v>
      </c>
      <c r="H12">
        <v>7</v>
      </c>
      <c r="I12">
        <v>2</v>
      </c>
      <c r="M12">
        <v>4</v>
      </c>
    </row>
    <row r="13" spans="1:13">
      <c r="A13">
        <f>[14]价值评估!P17</f>
        <v>92141</v>
      </c>
      <c r="B13" t="str">
        <f>[14]价值评估!Q17</f>
        <v>白银戒指</v>
      </c>
      <c r="C13">
        <f>[14]价值评估!R17</f>
        <v>50</v>
      </c>
      <c r="D13">
        <f>[14]价值评估!S17</f>
        <v>381</v>
      </c>
      <c r="E13">
        <v>3</v>
      </c>
      <c r="F13" s="56">
        <f>C13*E13*'0、经济设定'!$C$18</f>
        <v>7500</v>
      </c>
      <c r="G13" s="36">
        <f>ROUNDUP(C13*'0、经济设定'!$E$18*E13,0)</f>
        <v>15</v>
      </c>
      <c r="H13">
        <v>5</v>
      </c>
      <c r="I13">
        <v>2</v>
      </c>
      <c r="M13">
        <v>4</v>
      </c>
    </row>
    <row r="14" spans="1:13">
      <c r="A14">
        <f>[14]价值评估!P18</f>
        <v>92245</v>
      </c>
      <c r="B14" t="str">
        <f>[14]价值评估!Q18</f>
        <v>水晶项链</v>
      </c>
      <c r="C14">
        <f>[14]价值评估!R18</f>
        <v>50</v>
      </c>
      <c r="D14">
        <f>[14]价值评估!S18</f>
        <v>276</v>
      </c>
      <c r="E14">
        <v>3</v>
      </c>
      <c r="F14" s="56">
        <f>C14*E14*'0、经济设定'!$C$18</f>
        <v>7500</v>
      </c>
      <c r="G14" s="36">
        <f>ROUNDUP(C14*'0、经济设定'!$E$18*E14,0)</f>
        <v>15</v>
      </c>
      <c r="H14">
        <v>6</v>
      </c>
      <c r="I14">
        <v>2</v>
      </c>
      <c r="M14">
        <v>6</v>
      </c>
    </row>
    <row r="15" spans="1:13">
      <c r="A15">
        <f>[14]价值评估!P19</f>
        <v>92251</v>
      </c>
      <c r="B15" t="str">
        <f>[14]价值评估!Q19</f>
        <v>红石项链</v>
      </c>
      <c r="C15">
        <f>[14]价值评估!R19</f>
        <v>50</v>
      </c>
      <c r="D15">
        <f>[14]价值评估!S19</f>
        <v>469</v>
      </c>
      <c r="E15">
        <v>3</v>
      </c>
      <c r="F15" s="56">
        <f>C15*E15*'0、经济设定'!$C$18</f>
        <v>7500</v>
      </c>
      <c r="G15" s="36">
        <f>ROUNDUP(C15*'0、经济设定'!$E$18*E15,0)</f>
        <v>15</v>
      </c>
      <c r="H15">
        <v>7</v>
      </c>
      <c r="I15">
        <v>2</v>
      </c>
      <c r="M15">
        <v>6</v>
      </c>
    </row>
    <row r="16" spans="1:13">
      <c r="A16">
        <f>[14]价值评估!P20</f>
        <v>92264</v>
      </c>
      <c r="B16" t="str">
        <f>[14]价值评估!Q20</f>
        <v>越野手表</v>
      </c>
      <c r="C16">
        <f>[14]价值评估!R20</f>
        <v>50</v>
      </c>
      <c r="D16">
        <f>[14]价值评估!S20</f>
        <v>204</v>
      </c>
      <c r="E16">
        <v>3</v>
      </c>
      <c r="F16" s="56">
        <f>C16*E16*'0、经济设定'!$C$18</f>
        <v>7500</v>
      </c>
      <c r="G16" s="36">
        <f>ROUNDUP(C16*'0、经济设定'!$E$18*E16,0)</f>
        <v>15</v>
      </c>
      <c r="H16">
        <v>5</v>
      </c>
      <c r="I16">
        <v>2</v>
      </c>
      <c r="M16">
        <v>10</v>
      </c>
    </row>
    <row r="17" spans="1:13">
      <c r="A17">
        <f>[14]价值评估!P21</f>
        <v>92271</v>
      </c>
      <c r="B17" t="str">
        <f>[14]价值评估!Q21</f>
        <v>精准手表</v>
      </c>
      <c r="C17">
        <f>[14]价值评估!R21</f>
        <v>50</v>
      </c>
      <c r="D17">
        <f>[14]价值评估!S21</f>
        <v>108</v>
      </c>
      <c r="E17">
        <v>3</v>
      </c>
      <c r="F17" s="56">
        <f>C17*E17*'0、经济设定'!$C$18</f>
        <v>7500</v>
      </c>
      <c r="G17" s="36">
        <f>ROUNDUP(C17*'0、经济设定'!$E$18*E17,0)</f>
        <v>15</v>
      </c>
      <c r="H17">
        <v>6</v>
      </c>
      <c r="I17">
        <v>2</v>
      </c>
      <c r="M17">
        <v>10</v>
      </c>
    </row>
    <row r="18" spans="1:13">
      <c r="A18">
        <f>[14]价值评估!P22</f>
        <v>92278</v>
      </c>
      <c r="B18" t="str">
        <f>[14]价值评估!Q22</f>
        <v>宝驼</v>
      </c>
      <c r="C18">
        <f>[14]价值评估!R22</f>
        <v>50</v>
      </c>
      <c r="D18">
        <f>[14]价值评估!S22</f>
        <v>224</v>
      </c>
      <c r="E18">
        <v>3</v>
      </c>
      <c r="F18" s="56">
        <f>C18*E18*'0、经济设定'!$C$18</f>
        <v>7500</v>
      </c>
      <c r="G18" s="36">
        <f>ROUNDUP(C18*'0、经济设定'!$E$18*E18,0)</f>
        <v>15</v>
      </c>
      <c r="H18">
        <v>7</v>
      </c>
      <c r="I18">
        <v>2</v>
      </c>
    </row>
    <row r="19" spans="1:13">
      <c r="A19">
        <f>[14]价值评估!P23</f>
        <v>92283</v>
      </c>
      <c r="B19" t="str">
        <f>[14]价值评估!Q23</f>
        <v>小迭钞票</v>
      </c>
      <c r="C19">
        <f>[14]价值评估!R23</f>
        <v>50</v>
      </c>
      <c r="D19">
        <f>[14]价值评估!S23</f>
        <v>713</v>
      </c>
      <c r="E19">
        <v>3</v>
      </c>
      <c r="F19" s="56">
        <f>C19*E19*'0、经济设定'!$C$18</f>
        <v>7500</v>
      </c>
      <c r="G19" s="36">
        <f>ROUNDUP(C19*'0、经济设定'!$E$18*E19,0)</f>
        <v>15</v>
      </c>
      <c r="H19">
        <v>5</v>
      </c>
      <c r="I19">
        <v>2</v>
      </c>
    </row>
    <row r="20" spans="1:13">
      <c r="A20">
        <f>[14]价值评估!P24</f>
        <v>92287</v>
      </c>
      <c r="B20" t="str">
        <f>[14]价值评估!Q24</f>
        <v>金块</v>
      </c>
      <c r="C20">
        <f>[14]价值评估!R24</f>
        <v>50</v>
      </c>
      <c r="D20">
        <f>[14]价值评估!S24</f>
        <v>655</v>
      </c>
      <c r="E20">
        <v>3</v>
      </c>
      <c r="F20" s="56">
        <f>C20*E20*'0、经济设定'!$C$18</f>
        <v>7500</v>
      </c>
      <c r="G20" s="36">
        <f>ROUNDUP(C20*'0、经济设定'!$E$18*E20,0)</f>
        <v>15</v>
      </c>
      <c r="H20">
        <v>6</v>
      </c>
      <c r="I20">
        <v>2</v>
      </c>
    </row>
    <row r="21" spans="1:13">
      <c r="A21">
        <f>[14]价值评估!P25</f>
        <v>92142</v>
      </c>
      <c r="B21" t="str">
        <f>[14]价值评估!Q25</f>
        <v>黄金戒指</v>
      </c>
      <c r="C21">
        <f>[14]价值评估!R25</f>
        <v>119.73766952966369</v>
      </c>
      <c r="D21">
        <f>[14]价值评估!S25</f>
        <v>221</v>
      </c>
      <c r="E21">
        <v>4</v>
      </c>
      <c r="F21" s="56">
        <f>C21*E21*'0、经济设定'!$C$18</f>
        <v>23947.533905932738</v>
      </c>
      <c r="G21" s="36">
        <f>ROUNDUP(C21*'0、经济设定'!$E$18*E21,0)</f>
        <v>48</v>
      </c>
      <c r="H21">
        <v>7</v>
      </c>
      <c r="I21">
        <v>2</v>
      </c>
    </row>
    <row r="22" spans="1:13">
      <c r="A22">
        <f>[14]价值评估!P26</f>
        <v>92235</v>
      </c>
      <c r="B22" t="str">
        <f>[14]价值评估!Q26</f>
        <v>宝石手环</v>
      </c>
      <c r="C22">
        <f>[14]价值评估!R26</f>
        <v>118.67766952966369</v>
      </c>
      <c r="D22">
        <f>[14]价值评估!S26</f>
        <v>227</v>
      </c>
      <c r="E22">
        <v>4</v>
      </c>
      <c r="F22" s="56">
        <f>C22*E22*'0、经济设定'!$C$18</f>
        <v>23735.533905932738</v>
      </c>
      <c r="G22" s="36">
        <f>ROUNDUP(C22*'0、经济设定'!$E$18*E22,0)</f>
        <v>48</v>
      </c>
      <c r="H22">
        <v>5</v>
      </c>
      <c r="I22">
        <v>2</v>
      </c>
      <c r="J22">
        <f>SUM(D12:D22)</f>
        <v>3840</v>
      </c>
    </row>
    <row r="23" spans="1:13">
      <c r="A23">
        <f>[14]价值评估!P27</f>
        <v>92012</v>
      </c>
      <c r="B23" t="str">
        <f>[14]价值评估!Q27</f>
        <v>摩拉</v>
      </c>
      <c r="C23">
        <f>[14]价值评估!R27</f>
        <v>120.17766952966369</v>
      </c>
      <c r="D23">
        <f>[14]价值评估!S27</f>
        <v>105</v>
      </c>
      <c r="E23">
        <v>4</v>
      </c>
      <c r="F23" s="56">
        <f>C23*E23*'0、经济设定'!$C$18</f>
        <v>24035.533905932738</v>
      </c>
      <c r="G23" s="36">
        <f>ROUNDUP(C23*'0、经济设定'!$E$18*E23,0)</f>
        <v>49</v>
      </c>
      <c r="H23">
        <v>13</v>
      </c>
      <c r="I23">
        <v>3</v>
      </c>
    </row>
    <row r="24" spans="1:13">
      <c r="A24">
        <f>[14]价值评估!P28</f>
        <v>92252</v>
      </c>
      <c r="B24" t="str">
        <f>[14]价值评估!Q28</f>
        <v>青玉项链</v>
      </c>
      <c r="C24">
        <f>[14]价值评估!R28</f>
        <v>118.67766952966369</v>
      </c>
      <c r="D24">
        <f>[14]价值评估!S28</f>
        <v>308</v>
      </c>
      <c r="E24">
        <v>4</v>
      </c>
      <c r="F24" s="56">
        <f>C24*E24*'0、经济设定'!$C$18</f>
        <v>23735.533905932738</v>
      </c>
      <c r="G24" s="36">
        <f>ROUNDUP(C24*'0、经济设定'!$E$18*E24,0)</f>
        <v>48</v>
      </c>
      <c r="H24">
        <v>11</v>
      </c>
      <c r="I24">
        <v>3</v>
      </c>
    </row>
    <row r="25" spans="1:13">
      <c r="A25">
        <f>[14]价值评估!P29</f>
        <v>92124</v>
      </c>
      <c r="B25" t="str">
        <f>[14]价值评估!Q29</f>
        <v>水晶耳钉</v>
      </c>
      <c r="C25">
        <f>[14]价值评估!R29</f>
        <v>120.17766952966369</v>
      </c>
      <c r="D25">
        <f>[14]价值评估!S29</f>
        <v>234</v>
      </c>
      <c r="E25">
        <v>4</v>
      </c>
      <c r="F25" s="56">
        <f>C25*E25*'0、经济设定'!$C$18</f>
        <v>24035.533905932738</v>
      </c>
      <c r="G25" s="36">
        <f>ROUNDUP(C25*'0、经济设定'!$E$18*E25,0)</f>
        <v>49</v>
      </c>
      <c r="H25">
        <v>13</v>
      </c>
      <c r="I25">
        <v>3</v>
      </c>
    </row>
    <row r="26" spans="1:13">
      <c r="A26">
        <f>[14]价值评估!P30</f>
        <v>92272</v>
      </c>
      <c r="B26" t="str">
        <f>[14]价值评估!Q30</f>
        <v>金针手表</v>
      </c>
      <c r="C26">
        <f>[14]价值评估!R30</f>
        <v>120.17766952966369</v>
      </c>
      <c r="D26">
        <f>[14]价值评估!S30</f>
        <v>93</v>
      </c>
      <c r="E26">
        <v>4</v>
      </c>
      <c r="F26" s="56">
        <f>C26*E26*'0、经济设定'!$C$18</f>
        <v>24035.533905932738</v>
      </c>
      <c r="G26" s="36">
        <f>ROUNDUP(C26*'0、经济设定'!$E$18*E26,0)</f>
        <v>49</v>
      </c>
      <c r="H26">
        <v>11</v>
      </c>
      <c r="I26">
        <v>3</v>
      </c>
    </row>
    <row r="27" spans="1:13">
      <c r="A27">
        <f>[14]价值评估!P31</f>
        <v>92273</v>
      </c>
      <c r="B27" t="str">
        <f>[14]价值评估!Q31</f>
        <v>智能手表</v>
      </c>
      <c r="C27">
        <f>[14]价值评估!R31</f>
        <v>135.35533905932738</v>
      </c>
      <c r="D27">
        <f>[14]价值评估!S31</f>
        <v>86</v>
      </c>
      <c r="E27">
        <v>4</v>
      </c>
      <c r="F27" s="56">
        <f>C27*E27*'0、经济设定'!$C$18</f>
        <v>27071.067811865476</v>
      </c>
      <c r="G27" s="36">
        <f>ROUNDUP(C27*'0、经济设定'!$E$18*E27,0)</f>
        <v>55</v>
      </c>
      <c r="H27">
        <v>11</v>
      </c>
      <c r="I27">
        <v>3</v>
      </c>
    </row>
    <row r="28" spans="1:13">
      <c r="A28">
        <f>[14]价值评估!P32</f>
        <v>92279</v>
      </c>
      <c r="B28" t="str">
        <f>[14]价值评估!Q32</f>
        <v>宾倪</v>
      </c>
      <c r="C28">
        <f>[14]价值评估!R32</f>
        <v>118.67766952966369</v>
      </c>
      <c r="D28">
        <f>[14]价值评估!S32</f>
        <v>99</v>
      </c>
      <c r="E28">
        <v>4</v>
      </c>
      <c r="F28" s="56">
        <f>C28*E28*'0、经济设定'!$C$18</f>
        <v>23735.533905932738</v>
      </c>
      <c r="G28" s="36">
        <f>ROUNDUP(C28*'0、经济设定'!$E$18*E28,0)</f>
        <v>48</v>
      </c>
      <c r="H28">
        <v>12</v>
      </c>
      <c r="I28">
        <v>3</v>
      </c>
    </row>
    <row r="29" spans="1:13">
      <c r="A29">
        <f>[14]价值评估!P33</f>
        <v>92284</v>
      </c>
      <c r="B29" t="str">
        <f>[14]价值评估!Q33</f>
        <v>大迭钞票</v>
      </c>
      <c r="C29">
        <f>[14]价值评估!R33</f>
        <v>119.73766952966369</v>
      </c>
      <c r="D29">
        <f>[14]价值评估!S33</f>
        <v>687</v>
      </c>
      <c r="E29">
        <v>4</v>
      </c>
      <c r="F29" s="56">
        <f>C29*E29*'0、经济设定'!$C$18</f>
        <v>23947.533905932738</v>
      </c>
      <c r="G29" s="36">
        <f>ROUNDUP(C29*'0、经济设定'!$E$18*E29,0)</f>
        <v>48</v>
      </c>
      <c r="H29">
        <v>15</v>
      </c>
      <c r="I29">
        <v>3</v>
      </c>
    </row>
    <row r="30" spans="1:13">
      <c r="A30">
        <f>[14]价值评估!P34</f>
        <v>92288</v>
      </c>
      <c r="B30" t="str">
        <f>[14]价值评估!Q34</f>
        <v>大金块</v>
      </c>
      <c r="C30">
        <f>[14]价值评估!R34</f>
        <v>119.73766952966369</v>
      </c>
      <c r="D30">
        <f>[14]价值评估!S34</f>
        <v>629</v>
      </c>
      <c r="E30">
        <v>4</v>
      </c>
      <c r="F30" s="56">
        <f>C30*E30*'0、经济设定'!$C$18</f>
        <v>23947.533905932738</v>
      </c>
      <c r="G30" s="36">
        <f>ROUNDUP(C30*'0、经济设定'!$E$18*E30,0)</f>
        <v>48</v>
      </c>
      <c r="H30">
        <v>15</v>
      </c>
      <c r="I30">
        <v>3</v>
      </c>
      <c r="J30">
        <f>SUM(D23:D30)</f>
        <v>2241</v>
      </c>
    </row>
    <row r="31" spans="1:13">
      <c r="A31">
        <f>[14]价值评估!P35</f>
        <v>92125</v>
      </c>
      <c r="B31" t="str">
        <f>[14]价值评估!Q35</f>
        <v>红石耳钉</v>
      </c>
      <c r="C31">
        <f>[14]价值评估!R35</f>
        <v>348.73922253581054</v>
      </c>
      <c r="D31">
        <f>[14]价值评估!S35</f>
        <v>104</v>
      </c>
      <c r="E31">
        <v>4</v>
      </c>
      <c r="F31" s="56">
        <f>C31*E31*'0、经济设定'!$C$18</f>
        <v>69747.84450716211</v>
      </c>
      <c r="G31" s="36">
        <f>ROUNDUP(C31*'0、经济设定'!$E$18*E31,0)</f>
        <v>140</v>
      </c>
      <c r="H31">
        <v>38</v>
      </c>
      <c r="I31">
        <v>4</v>
      </c>
    </row>
    <row r="32" spans="1:13">
      <c r="A32">
        <f>[14]价值评估!P36</f>
        <v>92134</v>
      </c>
      <c r="B32" t="str">
        <f>[14]价值评估!Q36</f>
        <v>毒蝎耳钉</v>
      </c>
      <c r="C32">
        <f>[14]价值评估!R36</f>
        <v>348.73922253581054</v>
      </c>
      <c r="D32">
        <f>[14]价值评估!S36</f>
        <v>108</v>
      </c>
      <c r="E32">
        <v>4</v>
      </c>
      <c r="F32" s="56">
        <f>C32*E32*'0、经济设定'!$C$18</f>
        <v>69747.84450716211</v>
      </c>
      <c r="G32" s="36">
        <f>ROUNDUP(C32*'0、经济设定'!$E$18*E32,0)</f>
        <v>140</v>
      </c>
      <c r="H32">
        <v>36</v>
      </c>
      <c r="I32">
        <v>4</v>
      </c>
    </row>
    <row r="33" spans="1:10">
      <c r="A33">
        <f>[14]价值评估!P37</f>
        <v>92223</v>
      </c>
      <c r="B33" t="str">
        <f>[14]价值评估!Q37</f>
        <v>赤金戒指</v>
      </c>
      <c r="C33">
        <f>[14]价值评估!R37</f>
        <v>348.58365904394952</v>
      </c>
      <c r="D33">
        <f>[14]价值评估!S37</f>
        <v>130</v>
      </c>
      <c r="E33">
        <v>4</v>
      </c>
      <c r="F33" s="56">
        <f>C33*E33*'0、经济设定'!$C$18</f>
        <v>69716.731808789904</v>
      </c>
      <c r="G33" s="36">
        <f>ROUNDUP(C33*'0、经济设定'!$E$18*E33,0)</f>
        <v>140</v>
      </c>
      <c r="H33">
        <v>31</v>
      </c>
      <c r="I33">
        <v>4</v>
      </c>
    </row>
    <row r="34" spans="1:10">
      <c r="A34">
        <f>[14]价值评估!P38</f>
        <v>92227</v>
      </c>
      <c r="B34" t="str">
        <f>[14]价值评估!Q38</f>
        <v>王者手环</v>
      </c>
      <c r="C34">
        <f>[14]价值评估!R38</f>
        <v>348.20889244992065</v>
      </c>
      <c r="D34">
        <f>[14]价值评估!S38</f>
        <v>141</v>
      </c>
      <c r="E34">
        <v>4</v>
      </c>
      <c r="F34" s="56">
        <f>C34*E34*'0、经济设定'!$C$18</f>
        <v>69641.778489984135</v>
      </c>
      <c r="G34" s="36">
        <f>ROUNDUP(C34*'0、经济设定'!$E$18*E34,0)</f>
        <v>140</v>
      </c>
      <c r="H34">
        <v>31</v>
      </c>
      <c r="I34">
        <v>4</v>
      </c>
    </row>
    <row r="35" spans="1:10">
      <c r="A35">
        <f>[14]价值评估!P39</f>
        <v>92236</v>
      </c>
      <c r="B35" t="str">
        <f>[14]价值评估!Q39</f>
        <v>符文手环</v>
      </c>
      <c r="C35">
        <f>[14]价值评估!R39</f>
        <v>384.29255149387018</v>
      </c>
      <c r="D35">
        <f>[14]价值评估!S39</f>
        <v>67</v>
      </c>
      <c r="E35">
        <v>4</v>
      </c>
      <c r="F35" s="56">
        <f>C35*E35*'0、经济设定'!$C$18</f>
        <v>76858.510298774039</v>
      </c>
      <c r="G35" s="36">
        <f>ROUNDUP(C35*'0、经济设定'!$E$18*E35,0)</f>
        <v>154</v>
      </c>
      <c r="H35">
        <v>35</v>
      </c>
      <c r="I35">
        <v>4</v>
      </c>
    </row>
    <row r="36" spans="1:10">
      <c r="A36">
        <f>[14]价值评估!P40</f>
        <v>92013</v>
      </c>
      <c r="B36" t="str">
        <f>[14]价值评估!Q40</f>
        <v>月立</v>
      </c>
      <c r="C36">
        <f>[14]价值评估!R40</f>
        <v>384.82288157976006</v>
      </c>
      <c r="D36">
        <f>[14]价值评估!S40</f>
        <v>85</v>
      </c>
      <c r="E36">
        <v>4</v>
      </c>
      <c r="F36" s="56">
        <f>C36*E36*'0、经济设定'!$C$18</f>
        <v>76964.576315952014</v>
      </c>
      <c r="G36" s="36">
        <f>ROUNDUP(C36*'0、经济设定'!$E$18*E36,0)</f>
        <v>154</v>
      </c>
      <c r="H36">
        <v>31</v>
      </c>
      <c r="I36">
        <v>4</v>
      </c>
    </row>
    <row r="37" spans="1:10">
      <c r="A37">
        <f>[14]价值评估!P41</f>
        <v>92253</v>
      </c>
      <c r="B37" t="str">
        <f>[14]价值评估!Q41</f>
        <v>猫妖项链</v>
      </c>
      <c r="C37">
        <f>[14]价值评估!R41</f>
        <v>348.20889244992065</v>
      </c>
      <c r="D37">
        <f>[14]价值评估!S41</f>
        <v>148</v>
      </c>
      <c r="E37">
        <v>4</v>
      </c>
      <c r="F37" s="56">
        <f>C37*E37*'0、经济设定'!$C$18</f>
        <v>69641.778489984135</v>
      </c>
      <c r="G37" s="36">
        <f>ROUNDUP(C37*'0、经济设定'!$E$18*E37,0)</f>
        <v>140</v>
      </c>
      <c r="H37">
        <v>33</v>
      </c>
      <c r="I37">
        <v>4</v>
      </c>
    </row>
    <row r="38" spans="1:10">
      <c r="A38">
        <f>[14]价值评估!P42</f>
        <v>92254</v>
      </c>
      <c r="B38" t="str">
        <f>[14]价值评估!Q42</f>
        <v>苍蓝项链</v>
      </c>
      <c r="C38">
        <f>[14]价值评估!R42</f>
        <v>348.20889244992065</v>
      </c>
      <c r="D38">
        <f>[14]价值评估!S42</f>
        <v>140</v>
      </c>
      <c r="E38">
        <v>4</v>
      </c>
      <c r="F38" s="56">
        <f>C38*E38*'0、经济设定'!$C$18</f>
        <v>69641.778489984135</v>
      </c>
      <c r="G38" s="36">
        <f>ROUNDUP(C38*'0、经济设定'!$E$18*E38,0)</f>
        <v>140</v>
      </c>
      <c r="H38">
        <v>31</v>
      </c>
      <c r="I38">
        <v>4</v>
      </c>
    </row>
    <row r="39" spans="1:10">
      <c r="A39">
        <f>[14]价值评估!P43</f>
        <v>92274</v>
      </c>
      <c r="B39" t="str">
        <f>[14]价值评估!Q43</f>
        <v>汉密手表</v>
      </c>
      <c r="C39">
        <f>[14]价值评估!R43</f>
        <v>390.34456159513792</v>
      </c>
      <c r="D39">
        <f>[14]价值评估!S43</f>
        <v>70</v>
      </c>
      <c r="E39">
        <v>4</v>
      </c>
      <c r="F39" s="56">
        <f>C39*E39*'0、经济设定'!$C$18</f>
        <v>78068.912319027586</v>
      </c>
      <c r="G39" s="36">
        <f>ROUNDUP(C39*'0、经济设定'!$E$18*E39,0)</f>
        <v>157</v>
      </c>
      <c r="H39">
        <v>38</v>
      </c>
      <c r="I39">
        <v>4</v>
      </c>
    </row>
    <row r="40" spans="1:10">
      <c r="A40">
        <f>[14]价值评估!P44</f>
        <v>92280</v>
      </c>
      <c r="B40" t="str">
        <f>[14]价值评估!Q44</f>
        <v>法拉捷</v>
      </c>
      <c r="C40">
        <f>[14]价值评估!R44</f>
        <v>384.29255149387018</v>
      </c>
      <c r="D40">
        <f>[14]价值评估!S44</f>
        <v>75</v>
      </c>
      <c r="E40">
        <v>4</v>
      </c>
      <c r="F40" s="56">
        <f>C40*E40*'0、经济设定'!$C$18</f>
        <v>76858.510298774039</v>
      </c>
      <c r="G40" s="36">
        <f>ROUNDUP(C40*'0、经济设定'!$E$18*E40,0)</f>
        <v>154</v>
      </c>
      <c r="H40">
        <v>31</v>
      </c>
      <c r="I40">
        <v>4</v>
      </c>
    </row>
    <row r="41" spans="1:10">
      <c r="A41">
        <f>[14]价值评估!P45</f>
        <v>92285</v>
      </c>
      <c r="B41" t="str">
        <f>[14]价值评估!Q45</f>
        <v>大堆钞票</v>
      </c>
      <c r="C41">
        <f>[14]价值评估!R45</f>
        <v>384.66731808789905</v>
      </c>
      <c r="D41">
        <f>[14]价值评估!S45</f>
        <v>286</v>
      </c>
      <c r="E41">
        <v>4</v>
      </c>
      <c r="F41" s="56">
        <f>C41*E41*'0、经济设定'!$C$18</f>
        <v>76933.463617579808</v>
      </c>
      <c r="G41" s="36">
        <f>ROUNDUP(C41*'0、经济设定'!$E$18*E41,0)</f>
        <v>154</v>
      </c>
      <c r="H41">
        <v>36</v>
      </c>
      <c r="I41">
        <v>4</v>
      </c>
    </row>
    <row r="42" spans="1:10">
      <c r="A42">
        <f>[14]价值评估!P46</f>
        <v>92289</v>
      </c>
      <c r="B42" t="str">
        <f>[14]价值评估!Q46</f>
        <v>小堆金块</v>
      </c>
      <c r="C42">
        <f>[14]价值评估!R46</f>
        <v>384.66731808789905</v>
      </c>
      <c r="D42">
        <f>[14]价值评估!S46</f>
        <v>262</v>
      </c>
      <c r="E42">
        <v>4</v>
      </c>
      <c r="F42" s="56">
        <f>C42*E42*'0、经济设定'!$C$18</f>
        <v>76933.463617579808</v>
      </c>
      <c r="G42" s="36">
        <f>ROUNDUP(C42*'0、经济设定'!$E$18*E42,0)</f>
        <v>154</v>
      </c>
      <c r="H42">
        <v>32</v>
      </c>
      <c r="I42">
        <v>4</v>
      </c>
      <c r="J42">
        <f>SUM(D31:D42)</f>
        <v>1616</v>
      </c>
    </row>
    <row r="43" spans="1:10">
      <c r="A43">
        <f>[14]价值评估!P47</f>
        <v>92014</v>
      </c>
      <c r="B43" t="str">
        <f>[14]价值评估!Q47</f>
        <v>菠萝</v>
      </c>
      <c r="C43">
        <f>[14]价值评估!R47</f>
        <v>1072.0558691207962</v>
      </c>
      <c r="D43">
        <f>[14]价值评估!S47</f>
        <v>64</v>
      </c>
      <c r="E43">
        <v>4</v>
      </c>
      <c r="F43" s="56">
        <f>C43*E43*'0、经济设定'!$C$18</f>
        <v>214411.17382415922</v>
      </c>
      <c r="G43" s="36">
        <f>ROUNDUP(C43*'0、经济设定'!$E$18*E43,0)</f>
        <v>429</v>
      </c>
      <c r="H43">
        <v>94</v>
      </c>
      <c r="I43">
        <v>5</v>
      </c>
    </row>
    <row r="44" spans="1:10">
      <c r="A44">
        <f>[14]价值评估!P48</f>
        <v>92296</v>
      </c>
      <c r="B44" t="str">
        <f>[14]价值评估!Q48</f>
        <v>星光红石</v>
      </c>
      <c r="C44">
        <f>[14]价值评估!R48</f>
        <v>1046.5958691207961</v>
      </c>
      <c r="D44">
        <f>[14]价值评估!S48</f>
        <v>87</v>
      </c>
      <c r="E44">
        <v>4</v>
      </c>
      <c r="F44" s="56">
        <f>C44*E44*'0、经济设定'!$C$18</f>
        <v>209319.17382415922</v>
      </c>
      <c r="G44" s="36">
        <f>ROUNDUP(C44*'0、经济设定'!$E$18*E44,0)</f>
        <v>419</v>
      </c>
      <c r="H44">
        <v>80</v>
      </c>
      <c r="I44">
        <v>5</v>
      </c>
    </row>
    <row r="45" spans="1:10">
      <c r="A45">
        <f>[14]价值评估!P49</f>
        <v>92240</v>
      </c>
      <c r="B45" t="str">
        <f>[14]价值评估!Q49</f>
        <v>苍蓝戒指</v>
      </c>
      <c r="C45">
        <f>[14]价值评估!R49</f>
        <v>1059.110869120796</v>
      </c>
      <c r="D45">
        <f>[14]价值评估!S49</f>
        <v>50</v>
      </c>
      <c r="E45">
        <v>4</v>
      </c>
      <c r="F45" s="56">
        <f>C45*E45*'0、经济设定'!$C$18</f>
        <v>211822.1738241592</v>
      </c>
      <c r="G45" s="36">
        <f>ROUNDUP(C45*'0、经济设定'!$E$18*E45,0)</f>
        <v>424</v>
      </c>
      <c r="H45">
        <v>124</v>
      </c>
      <c r="I45">
        <v>5</v>
      </c>
    </row>
    <row r="46" spans="1:10">
      <c r="A46">
        <f>[14]价值评估!P50</f>
        <v>92292</v>
      </c>
      <c r="B46" t="str">
        <f>[14]价值评估!Q50</f>
        <v>金饰宝盒</v>
      </c>
      <c r="C46">
        <f>[14]价值评估!R50</f>
        <v>1046.3533691207961</v>
      </c>
      <c r="D46">
        <f>[14]价值评估!S50</f>
        <v>64</v>
      </c>
      <c r="E46">
        <v>4</v>
      </c>
      <c r="F46" s="56">
        <f>C46*E46*'0、经济设定'!$C$18</f>
        <v>209270.67382415922</v>
      </c>
      <c r="G46" s="36">
        <f>ROUNDUP(C46*'0、经济设定'!$E$18*E46,0)</f>
        <v>419</v>
      </c>
      <c r="H46">
        <v>94</v>
      </c>
      <c r="I46">
        <v>5</v>
      </c>
    </row>
    <row r="47" spans="1:10">
      <c r="A47">
        <f>[14]价值评估!P51</f>
        <v>92256</v>
      </c>
      <c r="B47" t="str">
        <f>[14]价值评估!Q51</f>
        <v>圣徒项链</v>
      </c>
      <c r="C47">
        <f>[14]价值评估!R51</f>
        <v>1046.2208691207961</v>
      </c>
      <c r="D47">
        <f>[14]价值评估!S51</f>
        <v>66</v>
      </c>
      <c r="E47">
        <v>4</v>
      </c>
      <c r="F47" s="56">
        <f>C47*E47*'0、经济设定'!$C$18</f>
        <v>209244.17382415922</v>
      </c>
      <c r="G47" s="36">
        <f>ROUNDUP(C47*'0、经济设定'!$E$18*E47,0)</f>
        <v>419</v>
      </c>
      <c r="H47">
        <v>133</v>
      </c>
      <c r="I47">
        <v>5</v>
      </c>
    </row>
    <row r="48" spans="1:10">
      <c r="A48">
        <f>[14]价值评估!P52</f>
        <v>92261</v>
      </c>
      <c r="B48" t="str">
        <f>[14]价值评估!Q52</f>
        <v>贵族项链</v>
      </c>
      <c r="C48">
        <f>[14]价值评估!R52</f>
        <v>1046.2208691207961</v>
      </c>
      <c r="D48">
        <f>[14]价值评估!S52</f>
        <v>60</v>
      </c>
      <c r="E48">
        <v>4</v>
      </c>
      <c r="F48" s="56">
        <f>C48*E48*'0、经济设定'!$C$18</f>
        <v>209244.17382415922</v>
      </c>
      <c r="G48" s="36">
        <f>ROUNDUP(C48*'0、经济设定'!$E$18*E48,0)</f>
        <v>419</v>
      </c>
      <c r="H48">
        <v>90</v>
      </c>
      <c r="I48">
        <v>5</v>
      </c>
    </row>
    <row r="49" spans="1:10">
      <c r="A49">
        <f>[14]价值评估!P53</f>
        <v>92275</v>
      </c>
      <c r="B49" t="str">
        <f>[14]价值评估!Q53</f>
        <v>千国手表</v>
      </c>
      <c r="C49">
        <f>[14]价值评估!R53</f>
        <v>1061.1180778120042</v>
      </c>
      <c r="D49">
        <f>[14]价值评估!S53</f>
        <v>54</v>
      </c>
      <c r="E49">
        <v>4</v>
      </c>
      <c r="F49" s="56">
        <f>C49*E49*'0、经济设定'!$C$18</f>
        <v>212223.61556240084</v>
      </c>
      <c r="G49" s="36">
        <f>ROUNDUP(C49*'0、经济设定'!$E$18*E49,0)</f>
        <v>425</v>
      </c>
      <c r="H49">
        <v>88</v>
      </c>
      <c r="I49">
        <v>5</v>
      </c>
    </row>
    <row r="50" spans="1:10">
      <c r="A50">
        <f>[14]价值评估!P54</f>
        <v>92281</v>
      </c>
      <c r="B50" t="str">
        <f>[14]价值评估!Q54</f>
        <v>红博机利</v>
      </c>
      <c r="C50">
        <f>[14]价值评估!R54</f>
        <v>1071.8683691207962</v>
      </c>
      <c r="D50">
        <f>[14]价值评估!S54</f>
        <v>58</v>
      </c>
      <c r="E50">
        <v>4</v>
      </c>
      <c r="F50" s="56">
        <f>C50*E50*'0、经济设定'!$C$18</f>
        <v>214373.67382415922</v>
      </c>
      <c r="G50" s="36">
        <f>ROUNDUP(C50*'0、经济设定'!$E$18*E50,0)</f>
        <v>429</v>
      </c>
      <c r="H50">
        <v>175</v>
      </c>
      <c r="I50">
        <v>5</v>
      </c>
    </row>
    <row r="51" spans="1:10">
      <c r="A51">
        <f>[14]价值评估!P55</f>
        <v>92286</v>
      </c>
      <c r="B51" t="str">
        <f>[14]价值评估!Q55</f>
        <v>巨额钞票</v>
      </c>
      <c r="C51">
        <f>[14]价值评估!R55</f>
        <v>1072.0008691207961</v>
      </c>
      <c r="D51">
        <f>[14]价值评估!S55</f>
        <v>100</v>
      </c>
      <c r="E51">
        <v>4</v>
      </c>
      <c r="F51" s="56">
        <f>C51*E51*'0、经济设定'!$C$18</f>
        <v>214400.17382415922</v>
      </c>
      <c r="G51" s="36">
        <f>ROUNDUP(C51*'0、经济设定'!$E$18*E51,0)</f>
        <v>429</v>
      </c>
      <c r="H51">
        <v>76</v>
      </c>
      <c r="I51">
        <v>5</v>
      </c>
    </row>
    <row r="52" spans="1:10">
      <c r="A52">
        <f>[14]价值评估!P56</f>
        <v>92290</v>
      </c>
      <c r="B52" t="str">
        <f>[14]价值评估!Q56</f>
        <v>大堆金块</v>
      </c>
      <c r="C52">
        <f>[14]价值评估!R56</f>
        <v>1072.0008691207961</v>
      </c>
      <c r="D52">
        <f>[14]价值评估!S56</f>
        <v>91</v>
      </c>
      <c r="E52">
        <v>4</v>
      </c>
      <c r="F52" s="56">
        <f>C52*E52*'0、经济设定'!$C$18</f>
        <v>214400.17382415922</v>
      </c>
      <c r="G52" s="36">
        <f>ROUNDUP(C52*'0、经济设定'!$E$18*E52,0)</f>
        <v>429</v>
      </c>
      <c r="H52">
        <v>127</v>
      </c>
      <c r="I52">
        <v>5</v>
      </c>
    </row>
    <row r="53" spans="1:10">
      <c r="A53">
        <f>[14]价值评估!P57</f>
        <v>92026</v>
      </c>
      <c r="B53" t="str">
        <f>[14]价值评估!Q57</f>
        <v>深蓝</v>
      </c>
      <c r="C53">
        <f>[14]价值评估!R57</f>
        <v>2316.0770588593405</v>
      </c>
      <c r="D53">
        <f>[14]价值评估!S57</f>
        <v>25</v>
      </c>
      <c r="E53">
        <v>4</v>
      </c>
      <c r="F53" s="56">
        <f>C53*E53*'0、经济设定'!$C$18</f>
        <v>463215.41177186812</v>
      </c>
      <c r="G53" s="36">
        <f>ROUNDUP(C53*'0、经济设定'!$E$18*E53,0)</f>
        <v>927</v>
      </c>
      <c r="H53">
        <v>125</v>
      </c>
      <c r="I53">
        <v>5</v>
      </c>
    </row>
    <row r="54" spans="1:10">
      <c r="A54">
        <f>[14]价值评估!P58</f>
        <v>92255</v>
      </c>
      <c r="B54" t="str">
        <f>[14]价值评估!Q58</f>
        <v>黑耀项链</v>
      </c>
      <c r="C54">
        <f>[14]价值评估!R58</f>
        <v>2279.5797423483964</v>
      </c>
      <c r="D54">
        <f>[14]价值评估!S58</f>
        <v>26</v>
      </c>
      <c r="E54">
        <v>4</v>
      </c>
      <c r="F54" s="56">
        <f>C54*E54*'0、经济设定'!$C$18</f>
        <v>455915.94846967928</v>
      </c>
      <c r="G54" s="36">
        <f>ROUNDUP(C54*'0、经济设定'!$E$18*E54,0)</f>
        <v>912</v>
      </c>
      <c r="H54">
        <v>87</v>
      </c>
      <c r="I54">
        <v>5</v>
      </c>
    </row>
    <row r="55" spans="1:10">
      <c r="A55">
        <f>[14]价值评估!P59</f>
        <v>92297</v>
      </c>
      <c r="B55" t="str">
        <f>[14]价值评估!Q59</f>
        <v>翠绿之心</v>
      </c>
      <c r="C55">
        <f>[14]价值评估!R59</f>
        <v>2288.9595138008362</v>
      </c>
      <c r="D55">
        <f>[14]价值评估!S59</f>
        <v>11</v>
      </c>
      <c r="E55">
        <v>4</v>
      </c>
      <c r="F55" s="56">
        <f>C55*E55*'0、经济设定'!$C$18</f>
        <v>457791.90276016726</v>
      </c>
      <c r="G55" s="36">
        <f>ROUNDUP(C55*'0、经济设定'!$E$18*E55,0)</f>
        <v>916</v>
      </c>
      <c r="H55">
        <v>134</v>
      </c>
      <c r="I55">
        <v>5</v>
      </c>
    </row>
    <row r="56" spans="1:10">
      <c r="A56">
        <f>[14]价值评估!P60</f>
        <v>92293</v>
      </c>
      <c r="B56" t="str">
        <f>[14]价值评估!Q60</f>
        <v>珍珠宝盒</v>
      </c>
      <c r="C56">
        <f>[14]价值评估!R60</f>
        <v>2290.3788246776458</v>
      </c>
      <c r="D56">
        <f>[14]价值评估!S60</f>
        <v>20</v>
      </c>
      <c r="E56">
        <v>4</v>
      </c>
      <c r="F56" s="56">
        <f>C56*E56*'0、经济设定'!$C$18</f>
        <v>458075.76493552915</v>
      </c>
      <c r="G56" s="36">
        <f>ROUNDUP(C56*'0、经济设定'!$E$18*E56,0)</f>
        <v>917</v>
      </c>
      <c r="H56">
        <v>93</v>
      </c>
      <c r="I56">
        <v>5</v>
      </c>
    </row>
    <row r="57" spans="1:10">
      <c r="A57">
        <f>[14]价值评估!P61</f>
        <v>92294</v>
      </c>
      <c r="B57" t="str">
        <f>[14]价值评估!Q61</f>
        <v>古董宝盒</v>
      </c>
      <c r="C57">
        <f>[14]价值评估!R61</f>
        <v>2297.8089551673856</v>
      </c>
      <c r="D57">
        <f>[14]价值评估!S61</f>
        <v>25</v>
      </c>
      <c r="E57">
        <v>4</v>
      </c>
      <c r="F57" s="56">
        <f>C57*E57*'0、经济设定'!$C$18</f>
        <v>459561.79103347711</v>
      </c>
      <c r="G57" s="36">
        <f>ROUNDUP(C57*'0、经济设定'!$E$18*E57,0)</f>
        <v>920</v>
      </c>
      <c r="H57">
        <v>77</v>
      </c>
      <c r="I57">
        <v>5</v>
      </c>
    </row>
    <row r="58" spans="1:10">
      <c r="A58">
        <f>[14]价值评估!P62</f>
        <v>92295</v>
      </c>
      <c r="B58" t="str">
        <f>[14]价值评估!Q62</f>
        <v>水晶宝盒</v>
      </c>
      <c r="C58">
        <f>[14]价值评估!R62</f>
        <v>2279.9385990398487</v>
      </c>
      <c r="D58">
        <f>[14]价值评估!S62</f>
        <v>19</v>
      </c>
      <c r="E58">
        <v>4</v>
      </c>
      <c r="F58" s="56">
        <f>C58*E58*'0、经济设定'!$C$18</f>
        <v>455987.71980796976</v>
      </c>
      <c r="G58" s="36">
        <f>ROUNDUP(C58*'0、经济设定'!$E$18*E58,0)</f>
        <v>912</v>
      </c>
      <c r="H58">
        <v>76</v>
      </c>
      <c r="I58">
        <v>5</v>
      </c>
    </row>
    <row r="59" spans="1:10">
      <c r="A59">
        <f>[14]价值评估!P63</f>
        <v>92262</v>
      </c>
      <c r="B59" t="str">
        <f>[14]价值评估!Q63</f>
        <v>皇家项链</v>
      </c>
      <c r="C59">
        <f>[14]价值评估!R63</f>
        <v>2279.5797423483964</v>
      </c>
      <c r="D59">
        <f>[14]价值评估!S63</f>
        <v>14</v>
      </c>
      <c r="E59">
        <v>4</v>
      </c>
      <c r="F59" s="56">
        <f>C59*E59*'0、经济设定'!$C$18</f>
        <v>455915.94846967928</v>
      </c>
      <c r="G59" s="36">
        <f>ROUNDUP(C59*'0、经济设定'!$E$18*E59,0)</f>
        <v>912</v>
      </c>
      <c r="H59">
        <v>193</v>
      </c>
      <c r="I59">
        <v>5</v>
      </c>
    </row>
    <row r="60" spans="1:10">
      <c r="A60">
        <f>[14]价值评估!P64</f>
        <v>92298</v>
      </c>
      <c r="B60" t="str">
        <f>[14]价值评估!Q64</f>
        <v>海洋之泪</v>
      </c>
      <c r="C60">
        <f>[14]价值评估!R64</f>
        <v>2288.9595138008362</v>
      </c>
      <c r="D60">
        <f>[14]价值评估!S64</f>
        <v>17</v>
      </c>
      <c r="E60">
        <v>4</v>
      </c>
      <c r="F60" s="56">
        <f>C60*E60*'0、经济设定'!$C$18</f>
        <v>457791.90276016726</v>
      </c>
      <c r="G60" s="36">
        <f>ROUNDUP(C60*'0、经济设定'!$E$18*E60,0)</f>
        <v>916</v>
      </c>
      <c r="H60">
        <v>125</v>
      </c>
      <c r="I60">
        <v>5</v>
      </c>
    </row>
    <row r="61" spans="1:10">
      <c r="A61">
        <f>[14]价值评估!P65</f>
        <v>92276</v>
      </c>
      <c r="B61" t="str">
        <f>[14]价值评估!Q65</f>
        <v>壕利手表</v>
      </c>
      <c r="C61">
        <f>[14]价值评估!R65</f>
        <v>2308.3817633266553</v>
      </c>
      <c r="D61">
        <f>[14]价值评估!S65</f>
        <v>16</v>
      </c>
      <c r="E61">
        <v>4</v>
      </c>
      <c r="F61" s="56">
        <f>C61*E61*'0、经济设定'!$C$18</f>
        <v>461676.3526653311</v>
      </c>
      <c r="G61" s="36">
        <f>ROUNDUP(C61*'0、经济设定'!$E$18*E61,0)</f>
        <v>924</v>
      </c>
      <c r="H61">
        <v>175</v>
      </c>
      <c r="I61">
        <v>5</v>
      </c>
    </row>
    <row r="62" spans="1:10">
      <c r="A62">
        <f>[14]价值评估!P66</f>
        <v>92282</v>
      </c>
      <c r="B62" t="str">
        <f>[14]价值评估!Q66</f>
        <v>劳莱斯特</v>
      </c>
      <c r="C62">
        <f>[14]价值评估!R66</f>
        <v>2315.9444763378679</v>
      </c>
      <c r="D62">
        <f>[14]价值评估!S66</f>
        <v>14</v>
      </c>
      <c r="E62">
        <v>4</v>
      </c>
      <c r="F62" s="56">
        <f>C62*E62*'0、经济设定'!$C$18</f>
        <v>463188.89526757359</v>
      </c>
      <c r="G62" s="36">
        <f>ROUNDUP(C62*'0、经济设定'!$E$18*E62,0)</f>
        <v>927</v>
      </c>
      <c r="H62">
        <v>192</v>
      </c>
      <c r="I62">
        <v>5</v>
      </c>
    </row>
    <row r="63" spans="1:10">
      <c r="A63">
        <f>[14]价值评估!P67</f>
        <v>92299</v>
      </c>
      <c r="B63" t="str">
        <f>[14]价值评估!Q67</f>
        <v>房产证</v>
      </c>
      <c r="C63">
        <f>[14]价值评估!R67</f>
        <v>2316.0381679863749</v>
      </c>
      <c r="D63">
        <f>[14]价值评估!S67</f>
        <v>25</v>
      </c>
      <c r="E63">
        <v>4</v>
      </c>
      <c r="F63" s="56">
        <f>C63*E63*'0、经济设定'!$C$18</f>
        <v>463207.63359727501</v>
      </c>
      <c r="G63" s="36">
        <f>ROUNDUP(C63*'0、经济设定'!$E$18*E63,0)</f>
        <v>927</v>
      </c>
      <c r="H63">
        <v>125</v>
      </c>
      <c r="I63">
        <v>5</v>
      </c>
    </row>
    <row r="64" spans="1:10">
      <c r="A64">
        <f>[14]价值评估!P68</f>
        <v>92291</v>
      </c>
      <c r="B64" t="str">
        <f>[14]价值评估!Q68</f>
        <v>巨量金块</v>
      </c>
      <c r="C64">
        <f>[14]价值评估!R68</f>
        <v>2316.0381679863749</v>
      </c>
      <c r="D64">
        <f>[14]价值评估!S68</f>
        <v>26</v>
      </c>
      <c r="E64">
        <v>4</v>
      </c>
      <c r="F64" s="56">
        <f>C64*E64*'0、经济设定'!$C$18</f>
        <v>463207.63359727501</v>
      </c>
      <c r="G64" s="36">
        <f>ROUNDUP(C64*'0、经济设定'!$E$18*E64,0)</f>
        <v>927</v>
      </c>
      <c r="H64">
        <v>193</v>
      </c>
      <c r="I64">
        <v>5</v>
      </c>
      <c r="J64">
        <f>SUM(D43:D64)</f>
        <v>932</v>
      </c>
    </row>
    <row r="65" spans="1:10">
      <c r="A65">
        <f>[14]价值评估!P69</f>
        <v>93233</v>
      </c>
      <c r="B65" t="str">
        <f>[14]价值评估!Q69</f>
        <v>白金手环碎片</v>
      </c>
      <c r="C65">
        <f>[14]价值评估!R69</f>
        <v>10</v>
      </c>
      <c r="D65">
        <f>[14]价值评估!S69</f>
        <v>1910</v>
      </c>
      <c r="E65">
        <v>2</v>
      </c>
      <c r="F65" s="56">
        <f>C65*E65*'0、经济设定'!$C$18</f>
        <v>1000</v>
      </c>
      <c r="G65" s="36">
        <f>ROUNDUP(C65*'0、经济设定'!$E$18*E65,0)</f>
        <v>2</v>
      </c>
      <c r="H65">
        <v>2</v>
      </c>
      <c r="I65">
        <v>3</v>
      </c>
    </row>
    <row r="66" spans="1:10">
      <c r="A66">
        <f>[14]价值评估!P70</f>
        <v>93122</v>
      </c>
      <c r="B66" t="str">
        <f>[14]价值评估!Q70</f>
        <v>银饰耳钉碎片</v>
      </c>
      <c r="C66">
        <f>[14]价值评估!R70</f>
        <v>10</v>
      </c>
      <c r="D66">
        <f>[14]价值评估!S70</f>
        <v>1810</v>
      </c>
      <c r="E66">
        <v>2</v>
      </c>
      <c r="F66" s="56">
        <f>C66*E66*'0、经济设定'!$C$18</f>
        <v>1000</v>
      </c>
      <c r="G66" s="36">
        <f>ROUNDUP(C66*'0、经济设定'!$E$18*E66,0)</f>
        <v>2</v>
      </c>
      <c r="H66">
        <v>2</v>
      </c>
      <c r="I66">
        <v>3</v>
      </c>
    </row>
    <row r="67" spans="1:10">
      <c r="A67">
        <f>[14]价值评估!P71</f>
        <v>93141</v>
      </c>
      <c r="B67" t="str">
        <f>[14]价值评估!Q71</f>
        <v>白银戒指碎片</v>
      </c>
      <c r="C67">
        <f>[14]价值评估!R71</f>
        <v>10</v>
      </c>
      <c r="D67">
        <f>[14]价值评估!S71</f>
        <v>1905</v>
      </c>
      <c r="E67">
        <v>2</v>
      </c>
      <c r="F67" s="56">
        <f>C67*E67*'0、经济设定'!$C$18</f>
        <v>1000</v>
      </c>
      <c r="G67" s="36">
        <f>ROUNDUP(C67*'0、经济设定'!$E$18*E67,0)</f>
        <v>2</v>
      </c>
      <c r="H67">
        <v>2</v>
      </c>
      <c r="I67">
        <v>3</v>
      </c>
    </row>
    <row r="68" spans="1:10">
      <c r="A68">
        <f>[14]价值评估!P72</f>
        <v>93245</v>
      </c>
      <c r="B68" t="str">
        <f>[14]价值评估!Q72</f>
        <v>水晶项链碎片</v>
      </c>
      <c r="C68">
        <f>[14]价值评估!R72</f>
        <v>10</v>
      </c>
      <c r="D68">
        <f>[14]价值评估!S72</f>
        <v>1380</v>
      </c>
      <c r="E68">
        <v>2</v>
      </c>
      <c r="F68" s="56">
        <f>C68*E68*'0、经济设定'!$C$18</f>
        <v>1000</v>
      </c>
      <c r="G68" s="36">
        <f>ROUNDUP(C68*'0、经济设定'!$E$18*E68,0)</f>
        <v>2</v>
      </c>
      <c r="H68">
        <v>2</v>
      </c>
      <c r="I68">
        <v>3</v>
      </c>
    </row>
    <row r="69" spans="1:10">
      <c r="A69">
        <f>[14]价值评估!P73</f>
        <v>93251</v>
      </c>
      <c r="B69" t="str">
        <f>[14]价值评估!Q73</f>
        <v>红石项链碎片</v>
      </c>
      <c r="C69">
        <f>[14]价值评估!R73</f>
        <v>10</v>
      </c>
      <c r="D69">
        <f>[14]价值评估!S73</f>
        <v>2345</v>
      </c>
      <c r="E69">
        <v>2</v>
      </c>
      <c r="F69" s="56">
        <f>C69*E69*'0、经济设定'!$C$18</f>
        <v>1000</v>
      </c>
      <c r="G69" s="36">
        <f>ROUNDUP(C69*'0、经济设定'!$E$18*E69,0)</f>
        <v>2</v>
      </c>
      <c r="H69">
        <v>2</v>
      </c>
      <c r="I69">
        <v>3</v>
      </c>
    </row>
    <row r="70" spans="1:10">
      <c r="A70">
        <f>[14]价值评估!P74</f>
        <v>93264</v>
      </c>
      <c r="B70" t="str">
        <f>[14]价值评估!Q74</f>
        <v>越野手表碎片</v>
      </c>
      <c r="C70">
        <f>[14]价值评估!R74</f>
        <v>10</v>
      </c>
      <c r="D70">
        <f>[14]价值评估!S74</f>
        <v>1020</v>
      </c>
      <c r="E70">
        <v>2</v>
      </c>
      <c r="F70" s="56">
        <f>C70*E70*'0、经济设定'!$C$18</f>
        <v>1000</v>
      </c>
      <c r="G70" s="36">
        <f>ROUNDUP(C70*'0、经济设定'!$E$18*E70,0)</f>
        <v>2</v>
      </c>
      <c r="H70">
        <v>2</v>
      </c>
      <c r="I70">
        <v>3</v>
      </c>
    </row>
    <row r="71" spans="1:10">
      <c r="A71">
        <f>[14]价值评估!P75</f>
        <v>93271</v>
      </c>
      <c r="B71" t="str">
        <f>[14]价值评估!Q75</f>
        <v>精准手表碎片</v>
      </c>
      <c r="C71">
        <f>[14]价值评估!R75</f>
        <v>10</v>
      </c>
      <c r="D71">
        <f>[14]价值评估!S75</f>
        <v>540</v>
      </c>
      <c r="E71">
        <v>2</v>
      </c>
      <c r="F71" s="56">
        <f>C71*E71*'0、经济设定'!$C$18</f>
        <v>1000</v>
      </c>
      <c r="G71" s="36">
        <f>ROUNDUP(C71*'0、经济设定'!$E$18*E71,0)</f>
        <v>2</v>
      </c>
      <c r="H71">
        <v>2</v>
      </c>
      <c r="I71">
        <v>3</v>
      </c>
    </row>
    <row r="72" spans="1:10">
      <c r="A72">
        <f>[14]价值评估!P76</f>
        <v>93278</v>
      </c>
      <c r="B72" t="str">
        <f>[14]价值评估!Q76</f>
        <v>宝驼碎片</v>
      </c>
      <c r="C72">
        <f>[14]价值评估!R76</f>
        <v>10</v>
      </c>
      <c r="D72">
        <f>[14]价值评估!S76</f>
        <v>1120</v>
      </c>
      <c r="E72">
        <v>2</v>
      </c>
      <c r="F72" s="56">
        <f>C72*E72*'0、经济设定'!$C$18</f>
        <v>1000</v>
      </c>
      <c r="G72" s="36">
        <f>ROUNDUP(C72*'0、经济设定'!$E$18*E72,0)</f>
        <v>2</v>
      </c>
      <c r="H72">
        <v>2</v>
      </c>
      <c r="I72">
        <v>3</v>
      </c>
      <c r="J72">
        <f>SUM(D65:D72)</f>
        <v>12030</v>
      </c>
    </row>
    <row r="73" spans="1:10">
      <c r="A73">
        <f>[14]价值评估!P77</f>
        <v>93283</v>
      </c>
      <c r="B73" t="str">
        <f>[14]价值评估!Q77</f>
        <v>小迭钞票碎片</v>
      </c>
      <c r="C73">
        <f>[14]价值评估!R77</f>
        <v>10</v>
      </c>
      <c r="D73">
        <f>[14]价值评估!S77</f>
        <v>3565</v>
      </c>
      <c r="E73">
        <v>2</v>
      </c>
      <c r="F73" s="56">
        <f>C73*E73*'0、经济设定'!$C$18</f>
        <v>1000</v>
      </c>
      <c r="G73" s="36">
        <f>ROUNDUP(C73*'0、经济设定'!$E$18*E73,0)</f>
        <v>2</v>
      </c>
      <c r="H73">
        <v>2</v>
      </c>
      <c r="I73">
        <v>4</v>
      </c>
    </row>
    <row r="74" spans="1:10">
      <c r="A74">
        <f>[14]价值评估!P78</f>
        <v>93287</v>
      </c>
      <c r="B74" t="str">
        <f>[14]价值评估!Q78</f>
        <v>金块碎片</v>
      </c>
      <c r="C74">
        <f>[14]价值评估!R78</f>
        <v>10</v>
      </c>
      <c r="D74">
        <f>[14]价值评估!S78</f>
        <v>3275</v>
      </c>
      <c r="E74">
        <v>2</v>
      </c>
      <c r="F74" s="56">
        <f>C74*E74*'0、经济设定'!$C$18</f>
        <v>1000</v>
      </c>
      <c r="G74" s="36">
        <f>ROUNDUP(C74*'0、经济设定'!$E$18*E74,0)</f>
        <v>2</v>
      </c>
      <c r="H74">
        <v>2</v>
      </c>
      <c r="I74">
        <v>4</v>
      </c>
    </row>
    <row r="75" spans="1:10">
      <c r="A75">
        <f>[14]价值评估!P79</f>
        <v>93142</v>
      </c>
      <c r="B75" t="str">
        <f>[14]价值评估!Q79</f>
        <v>黄金戒指碎片</v>
      </c>
      <c r="C75">
        <f>[14]价值评估!R79</f>
        <v>20</v>
      </c>
      <c r="D75">
        <f>[14]价值评估!S79</f>
        <v>1105</v>
      </c>
      <c r="E75">
        <v>2</v>
      </c>
      <c r="F75" s="56">
        <f>C75*E75*'0、经济设定'!$C$18</f>
        <v>2000</v>
      </c>
      <c r="G75" s="36">
        <f>ROUNDUP(C75*'0、经济设定'!$E$18*E75,0)</f>
        <v>4</v>
      </c>
      <c r="H75">
        <v>3</v>
      </c>
      <c r="I75">
        <v>4</v>
      </c>
    </row>
    <row r="76" spans="1:10">
      <c r="A76">
        <f>[14]价值评估!P80</f>
        <v>93235</v>
      </c>
      <c r="B76" t="str">
        <f>[14]价值评估!Q80</f>
        <v>宝石手环碎片</v>
      </c>
      <c r="C76">
        <f>[14]价值评估!R80</f>
        <v>20</v>
      </c>
      <c r="D76">
        <f>[14]价值评估!S80</f>
        <v>1135</v>
      </c>
      <c r="E76">
        <v>2</v>
      </c>
      <c r="F76" s="56">
        <f>C76*E76*'0、经济设定'!$C$18</f>
        <v>2000</v>
      </c>
      <c r="G76" s="36">
        <f>ROUNDUP(C76*'0、经济设定'!$E$18*E76,0)</f>
        <v>4</v>
      </c>
      <c r="H76">
        <v>3</v>
      </c>
      <c r="I76">
        <v>4</v>
      </c>
    </row>
    <row r="77" spans="1:10">
      <c r="A77">
        <f>[14]价值评估!P81</f>
        <v>93012</v>
      </c>
      <c r="B77" t="str">
        <f>[14]价值评估!Q81</f>
        <v>摩拉碎片</v>
      </c>
      <c r="C77">
        <f>[14]价值评估!R81</f>
        <v>20</v>
      </c>
      <c r="D77">
        <f>[14]价值评估!S81</f>
        <v>525</v>
      </c>
      <c r="E77">
        <v>2</v>
      </c>
      <c r="F77" s="56">
        <f>C77*E77*'0、经济设定'!$C$18</f>
        <v>2000</v>
      </c>
      <c r="G77" s="36">
        <f>ROUNDUP(C77*'0、经济设定'!$E$18*E77,0)</f>
        <v>4</v>
      </c>
      <c r="H77">
        <v>3</v>
      </c>
      <c r="I77">
        <v>4</v>
      </c>
    </row>
    <row r="78" spans="1:10">
      <c r="A78">
        <f>[14]价值评估!P82</f>
        <v>93252</v>
      </c>
      <c r="B78" t="str">
        <f>[14]价值评估!Q82</f>
        <v>青玉项链碎片</v>
      </c>
      <c r="C78">
        <f>[14]价值评估!R82</f>
        <v>20</v>
      </c>
      <c r="D78">
        <f>[14]价值评估!S82</f>
        <v>1540</v>
      </c>
      <c r="E78">
        <v>2</v>
      </c>
      <c r="F78" s="56">
        <f>C78*E78*'0、经济设定'!$C$18</f>
        <v>2000</v>
      </c>
      <c r="G78" s="36">
        <f>ROUNDUP(C78*'0、经济设定'!$E$18*E78,0)</f>
        <v>4</v>
      </c>
      <c r="H78">
        <v>3</v>
      </c>
      <c r="I78">
        <v>4</v>
      </c>
    </row>
    <row r="79" spans="1:10">
      <c r="A79">
        <f>[14]价值评估!P83</f>
        <v>93124</v>
      </c>
      <c r="B79" t="str">
        <f>[14]价值评估!Q83</f>
        <v>水晶耳钉碎片</v>
      </c>
      <c r="C79">
        <f>[14]价值评估!R83</f>
        <v>20</v>
      </c>
      <c r="D79">
        <f>[14]价值评估!S83</f>
        <v>1170</v>
      </c>
      <c r="E79">
        <v>2</v>
      </c>
      <c r="F79" s="56">
        <f>C79*E79*'0、经济设定'!$C$18</f>
        <v>2000</v>
      </c>
      <c r="G79" s="36">
        <f>ROUNDUP(C79*'0、经济设定'!$E$18*E79,0)</f>
        <v>4</v>
      </c>
      <c r="H79">
        <v>3</v>
      </c>
      <c r="I79">
        <v>4</v>
      </c>
    </row>
    <row r="80" spans="1:10">
      <c r="A80">
        <f>[14]价值评估!P84</f>
        <v>93272</v>
      </c>
      <c r="B80" t="str">
        <f>[14]价值评估!Q84</f>
        <v>金针手表碎片</v>
      </c>
      <c r="C80">
        <f>[14]价值评估!R84</f>
        <v>20</v>
      </c>
      <c r="D80">
        <f>[14]价值评估!S84</f>
        <v>465</v>
      </c>
      <c r="E80">
        <v>2</v>
      </c>
      <c r="F80" s="56">
        <f>C80*E80*'0、经济设定'!$C$18</f>
        <v>2000</v>
      </c>
      <c r="G80" s="36">
        <f>ROUNDUP(C80*'0、经济设定'!$E$18*E80,0)</f>
        <v>4</v>
      </c>
      <c r="H80">
        <v>3</v>
      </c>
      <c r="I80">
        <v>4</v>
      </c>
    </row>
    <row r="81" spans="1:10">
      <c r="A81">
        <f>[14]价值评估!P85</f>
        <v>93273</v>
      </c>
      <c r="B81" t="str">
        <f>[14]价值评估!Q85</f>
        <v>智能手表碎片</v>
      </c>
      <c r="C81">
        <f>[14]价值评估!R85</f>
        <v>20</v>
      </c>
      <c r="D81">
        <f>[14]价值评估!S85</f>
        <v>430</v>
      </c>
      <c r="E81">
        <v>2</v>
      </c>
      <c r="F81" s="56">
        <f>C81*E81*'0、经济设定'!$C$18</f>
        <v>2000</v>
      </c>
      <c r="G81" s="36">
        <f>ROUNDUP(C81*'0、经济设定'!$E$18*E81,0)</f>
        <v>4</v>
      </c>
      <c r="H81">
        <v>3</v>
      </c>
      <c r="I81">
        <v>4</v>
      </c>
    </row>
    <row r="82" spans="1:10">
      <c r="A82">
        <f>[14]价值评估!P86</f>
        <v>93279</v>
      </c>
      <c r="B82" t="str">
        <f>[14]价值评估!Q86</f>
        <v>宾倪碎片</v>
      </c>
      <c r="C82">
        <f>[14]价值评估!R86</f>
        <v>20</v>
      </c>
      <c r="D82">
        <f>[14]价值评估!S86</f>
        <v>495</v>
      </c>
      <c r="E82">
        <v>2</v>
      </c>
      <c r="F82" s="56">
        <f>C82*E82*'0、经济设定'!$C$18</f>
        <v>2000</v>
      </c>
      <c r="G82" s="36">
        <f>ROUNDUP(C82*'0、经济设定'!$E$18*E82,0)</f>
        <v>4</v>
      </c>
      <c r="H82">
        <v>3</v>
      </c>
      <c r="I82">
        <v>4</v>
      </c>
    </row>
    <row r="83" spans="1:10">
      <c r="A83">
        <f>[14]价值评估!P87</f>
        <v>93284</v>
      </c>
      <c r="B83" t="str">
        <f>[14]价值评估!Q87</f>
        <v>大迭钞票碎片</v>
      </c>
      <c r="C83">
        <f>[14]价值评估!R87</f>
        <v>20</v>
      </c>
      <c r="D83">
        <f>[14]价值评估!S87</f>
        <v>3435</v>
      </c>
      <c r="E83">
        <v>2</v>
      </c>
      <c r="F83" s="56">
        <f>C83*E83*'0、经济设定'!$C$18</f>
        <v>2000</v>
      </c>
      <c r="G83" s="36">
        <f>ROUNDUP(C83*'0、经济设定'!$E$18*E83,0)</f>
        <v>4</v>
      </c>
      <c r="H83">
        <v>3</v>
      </c>
      <c r="I83">
        <v>4</v>
      </c>
    </row>
    <row r="84" spans="1:10">
      <c r="A84">
        <f>[14]价值评估!P88</f>
        <v>93288</v>
      </c>
      <c r="B84" t="str">
        <f>[14]价值评估!Q88</f>
        <v>大金块碎片</v>
      </c>
      <c r="C84">
        <f>[14]价值评估!R88</f>
        <v>20</v>
      </c>
      <c r="D84">
        <f>[14]价值评估!S88</f>
        <v>3145</v>
      </c>
      <c r="E84">
        <v>2</v>
      </c>
      <c r="F84" s="56">
        <f>C84*E84*'0、经济设定'!$C$18</f>
        <v>2000</v>
      </c>
      <c r="G84" s="36">
        <f>ROUNDUP(C84*'0、经济设定'!$E$18*E84,0)</f>
        <v>4</v>
      </c>
      <c r="H84">
        <v>3</v>
      </c>
      <c r="I84">
        <v>4</v>
      </c>
      <c r="J84">
        <f>SUM(D73:D84)</f>
        <v>20285</v>
      </c>
    </row>
    <row r="85" spans="1:10">
      <c r="A85">
        <f>[14]价值评估!P89</f>
        <v>93125</v>
      </c>
      <c r="B85" t="str">
        <f>[14]价值评估!Q89</f>
        <v>红石耳钉碎片</v>
      </c>
      <c r="C85">
        <f>[14]价值评估!R89</f>
        <v>30</v>
      </c>
      <c r="D85">
        <f>[14]价值评估!S89</f>
        <v>1040</v>
      </c>
      <c r="E85">
        <v>2</v>
      </c>
      <c r="F85" s="56">
        <f>C85*E85*'0、经济设定'!$C$18</f>
        <v>3000</v>
      </c>
      <c r="G85" s="36">
        <f>ROUNDUP(C85*'0、经济设定'!$E$18*E85,0)</f>
        <v>6</v>
      </c>
      <c r="H85">
        <v>4</v>
      </c>
      <c r="I85">
        <v>5</v>
      </c>
    </row>
    <row r="86" spans="1:10">
      <c r="A86">
        <f>[14]价值评估!P90</f>
        <v>93134</v>
      </c>
      <c r="B86" t="str">
        <f>[14]价值评估!Q90</f>
        <v>毒蝎耳钉碎片</v>
      </c>
      <c r="C86">
        <f>[14]价值评估!R90</f>
        <v>30</v>
      </c>
      <c r="D86">
        <f>[14]价值评估!S90</f>
        <v>1080</v>
      </c>
      <c r="E86">
        <v>2</v>
      </c>
      <c r="F86" s="56">
        <f>C86*E86*'0、经济设定'!$C$18</f>
        <v>3000</v>
      </c>
      <c r="G86" s="36">
        <f>ROUNDUP(C86*'0、经济设定'!$E$18*E86,0)</f>
        <v>6</v>
      </c>
      <c r="H86">
        <v>4</v>
      </c>
      <c r="I86">
        <v>5</v>
      </c>
    </row>
    <row r="87" spans="1:10">
      <c r="A87">
        <f>[14]价值评估!P91</f>
        <v>93223</v>
      </c>
      <c r="B87" t="str">
        <f>[14]价值评估!Q91</f>
        <v>赤金戒指碎片</v>
      </c>
      <c r="C87">
        <f>[14]价值评估!R91</f>
        <v>30</v>
      </c>
      <c r="D87">
        <f>[14]价值评估!S91</f>
        <v>1300</v>
      </c>
      <c r="E87">
        <v>2</v>
      </c>
      <c r="F87" s="56">
        <f>C87*E87*'0、经济设定'!$C$18</f>
        <v>3000</v>
      </c>
      <c r="G87" s="36">
        <f>ROUNDUP(C87*'0、经济设定'!$E$18*E87,0)</f>
        <v>6</v>
      </c>
      <c r="H87">
        <v>4</v>
      </c>
      <c r="I87">
        <v>5</v>
      </c>
    </row>
    <row r="88" spans="1:10">
      <c r="A88">
        <f>[14]价值评估!P92</f>
        <v>93227</v>
      </c>
      <c r="B88" t="str">
        <f>[14]价值评估!Q92</f>
        <v>王者手环碎片</v>
      </c>
      <c r="C88">
        <f>[14]价值评估!R92</f>
        <v>30</v>
      </c>
      <c r="D88">
        <f>[14]价值评估!S92</f>
        <v>1410</v>
      </c>
      <c r="E88">
        <v>2</v>
      </c>
      <c r="F88" s="56">
        <f>C88*E88*'0、经济设定'!$C$18</f>
        <v>3000</v>
      </c>
      <c r="G88" s="36">
        <f>ROUNDUP(C88*'0、经济设定'!$E$18*E88,0)</f>
        <v>6</v>
      </c>
      <c r="H88">
        <v>4</v>
      </c>
      <c r="I88">
        <v>5</v>
      </c>
    </row>
    <row r="89" spans="1:10">
      <c r="A89">
        <f>[14]价值评估!P93</f>
        <v>93236</v>
      </c>
      <c r="B89" t="str">
        <f>[14]价值评估!Q93</f>
        <v>符文手环碎片</v>
      </c>
      <c r="C89">
        <f>[14]价值评估!R93</f>
        <v>30</v>
      </c>
      <c r="D89">
        <f>[14]价值评估!S93</f>
        <v>670</v>
      </c>
      <c r="E89">
        <v>2</v>
      </c>
      <c r="F89" s="56">
        <f>C89*E89*'0、经济设定'!$C$18</f>
        <v>3000</v>
      </c>
      <c r="G89" s="36">
        <f>ROUNDUP(C89*'0、经济设定'!$E$18*E89,0)</f>
        <v>6</v>
      </c>
      <c r="H89">
        <v>4</v>
      </c>
      <c r="I89">
        <v>5</v>
      </c>
    </row>
    <row r="90" spans="1:10">
      <c r="A90">
        <f>[14]价值评估!P94</f>
        <v>93013</v>
      </c>
      <c r="B90" t="str">
        <f>[14]价值评估!Q94</f>
        <v>月立碎片</v>
      </c>
      <c r="C90">
        <f>[14]价值评估!R94</f>
        <v>30</v>
      </c>
      <c r="D90">
        <f>[14]价值评估!S94</f>
        <v>850</v>
      </c>
      <c r="E90">
        <v>2</v>
      </c>
      <c r="F90" s="56">
        <f>C90*E90*'0、经济设定'!$C$18</f>
        <v>3000</v>
      </c>
      <c r="G90" s="36">
        <f>ROUNDUP(C90*'0、经济设定'!$E$18*E90,0)</f>
        <v>6</v>
      </c>
      <c r="H90">
        <v>4</v>
      </c>
      <c r="I90">
        <v>5</v>
      </c>
    </row>
    <row r="91" spans="1:10">
      <c r="A91">
        <f>[14]价值评估!P95</f>
        <v>93253</v>
      </c>
      <c r="B91" t="str">
        <f>[14]价值评估!Q95</f>
        <v>猫妖项链碎片</v>
      </c>
      <c r="C91">
        <f>[14]价值评估!R95</f>
        <v>30</v>
      </c>
      <c r="D91">
        <f>[14]价值评估!S95</f>
        <v>1480</v>
      </c>
      <c r="E91">
        <v>2</v>
      </c>
      <c r="F91" s="56">
        <f>C91*E91*'0、经济设定'!$C$18</f>
        <v>3000</v>
      </c>
      <c r="G91" s="36">
        <f>ROUNDUP(C91*'0、经济设定'!$E$18*E91,0)</f>
        <v>6</v>
      </c>
      <c r="H91">
        <v>4</v>
      </c>
      <c r="I91">
        <v>5</v>
      </c>
    </row>
    <row r="92" spans="1:10">
      <c r="A92">
        <f>[14]价值评估!P96</f>
        <v>93254</v>
      </c>
      <c r="B92" t="str">
        <f>[14]价值评估!Q96</f>
        <v>苍蓝项链碎片</v>
      </c>
      <c r="C92">
        <f>[14]价值评估!R96</f>
        <v>30</v>
      </c>
      <c r="D92">
        <f>[14]价值评估!S96</f>
        <v>1400</v>
      </c>
      <c r="E92">
        <v>2</v>
      </c>
      <c r="F92" s="56">
        <f>C92*E92*'0、经济设定'!$C$18</f>
        <v>3000</v>
      </c>
      <c r="G92" s="36">
        <f>ROUNDUP(C92*'0、经济设定'!$E$18*E92,0)</f>
        <v>6</v>
      </c>
      <c r="H92">
        <v>4</v>
      </c>
      <c r="I92">
        <v>5</v>
      </c>
    </row>
    <row r="93" spans="1:10">
      <c r="A93">
        <f>[14]价值评估!P97</f>
        <v>93274</v>
      </c>
      <c r="B93" t="str">
        <f>[14]价值评估!Q97</f>
        <v>汉密手表碎片</v>
      </c>
      <c r="C93">
        <f>[14]价值评估!R97</f>
        <v>30</v>
      </c>
      <c r="D93">
        <f>[14]价值评估!S97</f>
        <v>700</v>
      </c>
      <c r="E93">
        <v>2</v>
      </c>
      <c r="F93" s="56">
        <f>C93*E93*'0、经济设定'!$C$18</f>
        <v>3000</v>
      </c>
      <c r="G93" s="36">
        <f>ROUNDUP(C93*'0、经济设定'!$E$18*E93,0)</f>
        <v>6</v>
      </c>
      <c r="H93">
        <v>4</v>
      </c>
      <c r="I93">
        <v>5</v>
      </c>
    </row>
    <row r="94" spans="1:10">
      <c r="A94">
        <f>[14]价值评估!P98</f>
        <v>93280</v>
      </c>
      <c r="B94" t="str">
        <f>[14]价值评估!Q98</f>
        <v>法拉捷碎片</v>
      </c>
      <c r="C94">
        <f>[14]价值评估!R98</f>
        <v>30</v>
      </c>
      <c r="D94">
        <f>[14]价值评估!S98</f>
        <v>750</v>
      </c>
      <c r="E94">
        <v>2</v>
      </c>
      <c r="F94" s="56">
        <f>C94*E94*'0、经济设定'!$C$18</f>
        <v>3000</v>
      </c>
      <c r="G94" s="36">
        <f>ROUNDUP(C94*'0、经济设定'!$E$18*E94,0)</f>
        <v>6</v>
      </c>
      <c r="H94">
        <v>4</v>
      </c>
      <c r="I94">
        <v>5</v>
      </c>
    </row>
    <row r="95" spans="1:10">
      <c r="A95">
        <f>[14]价值评估!P99</f>
        <v>93285</v>
      </c>
      <c r="B95" t="str">
        <f>[14]价值评估!Q99</f>
        <v>大堆钞票碎片</v>
      </c>
      <c r="C95">
        <f>[14]价值评估!R99</f>
        <v>30</v>
      </c>
      <c r="D95">
        <f>[14]价值评估!S99</f>
        <v>2860</v>
      </c>
      <c r="E95">
        <v>2</v>
      </c>
      <c r="F95" s="56">
        <f>C95*E95*'0、经济设定'!$C$18</f>
        <v>3000</v>
      </c>
      <c r="G95" s="36">
        <f>ROUNDUP(C95*'0、经济设定'!$E$18*E95,0)</f>
        <v>6</v>
      </c>
      <c r="H95">
        <v>4</v>
      </c>
      <c r="I95">
        <v>5</v>
      </c>
    </row>
    <row r="96" spans="1:10">
      <c r="A96">
        <f>[14]价值评估!P100</f>
        <v>93289</v>
      </c>
      <c r="B96" t="str">
        <f>[14]价值评估!Q100</f>
        <v>小堆金块碎片</v>
      </c>
      <c r="C96">
        <f>[14]价值评估!R100</f>
        <v>30</v>
      </c>
      <c r="D96">
        <f>[14]价值评估!S100</f>
        <v>2620</v>
      </c>
      <c r="E96">
        <v>2</v>
      </c>
      <c r="F96" s="56">
        <f>C96*E96*'0、经济设定'!$C$18</f>
        <v>3000</v>
      </c>
      <c r="G96" s="36">
        <f>ROUNDUP(C96*'0、经济设定'!$E$18*E96,0)</f>
        <v>6</v>
      </c>
      <c r="H96">
        <v>4</v>
      </c>
      <c r="I96">
        <v>5</v>
      </c>
    </row>
    <row r="97" spans="1:10">
      <c r="A97">
        <f>[14]价值评估!P101</f>
        <v>93014</v>
      </c>
      <c r="B97" t="str">
        <f>[14]价值评估!Q101</f>
        <v>菠萝碎片</v>
      </c>
      <c r="C97">
        <f>[14]价值评估!R101</f>
        <v>40</v>
      </c>
      <c r="D97">
        <f>[14]价值评估!S101</f>
        <v>1280</v>
      </c>
      <c r="E97">
        <v>2</v>
      </c>
      <c r="F97" s="56">
        <f>C97*E97*'0、经济设定'!$C$18</f>
        <v>4000</v>
      </c>
      <c r="G97" s="36">
        <f>ROUNDUP(C97*'0、经济设定'!$E$18*E97,0)</f>
        <v>8</v>
      </c>
      <c r="H97">
        <v>5</v>
      </c>
      <c r="I97">
        <v>5</v>
      </c>
    </row>
    <row r="98" spans="1:10">
      <c r="A98">
        <f>[14]价值评估!P102</f>
        <v>93296</v>
      </c>
      <c r="B98" t="str">
        <f>[14]价值评估!Q102</f>
        <v>星光红石碎片</v>
      </c>
      <c r="C98">
        <f>[14]价值评估!R102</f>
        <v>40</v>
      </c>
      <c r="D98">
        <f>[14]价值评估!S102</f>
        <v>1740</v>
      </c>
      <c r="E98">
        <v>2</v>
      </c>
      <c r="F98" s="56">
        <f>C98*E98*'0、经济设定'!$C$18</f>
        <v>4000</v>
      </c>
      <c r="G98" s="36">
        <f>ROUNDUP(C98*'0、经济设定'!$E$18*E98,0)</f>
        <v>8</v>
      </c>
      <c r="H98">
        <v>5</v>
      </c>
      <c r="I98">
        <v>5</v>
      </c>
    </row>
    <row r="99" spans="1:10">
      <c r="A99">
        <f>[14]价值评估!P103</f>
        <v>93240</v>
      </c>
      <c r="B99" t="str">
        <f>[14]价值评估!Q103</f>
        <v>苍蓝戒指碎片</v>
      </c>
      <c r="C99">
        <f>[14]价值评估!R103</f>
        <v>40</v>
      </c>
      <c r="D99">
        <f>[14]价值评估!S103</f>
        <v>1000</v>
      </c>
      <c r="E99">
        <v>2</v>
      </c>
      <c r="F99" s="56">
        <f>C99*E99*'0、经济设定'!$C$18</f>
        <v>4000</v>
      </c>
      <c r="G99" s="36">
        <f>ROUNDUP(C99*'0、经济设定'!$E$18*E99,0)</f>
        <v>8</v>
      </c>
      <c r="H99">
        <v>5</v>
      </c>
      <c r="I99">
        <v>5</v>
      </c>
    </row>
    <row r="100" spans="1:10">
      <c r="A100">
        <f>[14]价值评估!P104</f>
        <v>93292</v>
      </c>
      <c r="B100" t="str">
        <f>[14]价值评估!Q104</f>
        <v>金饰宝盒碎片</v>
      </c>
      <c r="C100">
        <f>[14]价值评估!R104</f>
        <v>40</v>
      </c>
      <c r="D100">
        <f>[14]价值评估!S104</f>
        <v>1280</v>
      </c>
      <c r="E100">
        <v>2</v>
      </c>
      <c r="F100" s="56">
        <f>C100*E100*'0、经济设定'!$C$18</f>
        <v>4000</v>
      </c>
      <c r="G100" s="36">
        <f>ROUNDUP(C100*'0、经济设定'!$E$18*E100,0)</f>
        <v>8</v>
      </c>
      <c r="H100">
        <v>5</v>
      </c>
      <c r="I100">
        <v>5</v>
      </c>
    </row>
    <row r="101" spans="1:10">
      <c r="A101">
        <f>[14]价值评估!P105</f>
        <v>93256</v>
      </c>
      <c r="B101" t="str">
        <f>[14]价值评估!Q105</f>
        <v>圣徒项链碎片</v>
      </c>
      <c r="C101">
        <f>[14]价值评估!R105</f>
        <v>40</v>
      </c>
      <c r="D101">
        <f>[14]价值评估!S105</f>
        <v>1320</v>
      </c>
      <c r="E101">
        <v>2</v>
      </c>
      <c r="F101" s="56">
        <f>C101*E101*'0、经济设定'!$C$18</f>
        <v>4000</v>
      </c>
      <c r="G101" s="36">
        <f>ROUNDUP(C101*'0、经济设定'!$E$18*E101,0)</f>
        <v>8</v>
      </c>
      <c r="H101">
        <v>5</v>
      </c>
      <c r="I101">
        <v>5</v>
      </c>
    </row>
    <row r="102" spans="1:10">
      <c r="A102">
        <f>[14]价值评估!P106</f>
        <v>93261</v>
      </c>
      <c r="B102" t="str">
        <f>[14]价值评估!Q106</f>
        <v>贵族项链碎片</v>
      </c>
      <c r="C102">
        <f>[14]价值评估!R106</f>
        <v>40</v>
      </c>
      <c r="D102">
        <f>[14]价值评估!S106</f>
        <v>1200</v>
      </c>
      <c r="E102">
        <v>2</v>
      </c>
      <c r="F102" s="56">
        <f>C102*E102*'0、经济设定'!$C$18</f>
        <v>4000</v>
      </c>
      <c r="G102" s="36">
        <f>ROUNDUP(C102*'0、经济设定'!$E$18*E102,0)</f>
        <v>8</v>
      </c>
      <c r="H102">
        <v>5</v>
      </c>
      <c r="I102">
        <v>5</v>
      </c>
    </row>
    <row r="103" spans="1:10">
      <c r="A103">
        <f>[14]价值评估!P107</f>
        <v>93275</v>
      </c>
      <c r="B103" t="str">
        <f>[14]价值评估!Q107</f>
        <v>千国手表碎片</v>
      </c>
      <c r="C103">
        <f>[14]价值评估!R107</f>
        <v>40</v>
      </c>
      <c r="D103">
        <f>[14]价值评估!S107</f>
        <v>1080</v>
      </c>
      <c r="E103">
        <v>2</v>
      </c>
      <c r="F103" s="56">
        <f>C103*E103*'0、经济设定'!$C$18</f>
        <v>4000</v>
      </c>
      <c r="G103" s="36">
        <f>ROUNDUP(C103*'0、经济设定'!$E$18*E103,0)</f>
        <v>8</v>
      </c>
      <c r="H103">
        <v>5</v>
      </c>
      <c r="I103">
        <v>5</v>
      </c>
    </row>
    <row r="104" spans="1:10">
      <c r="A104">
        <f>[14]价值评估!P108</f>
        <v>93281</v>
      </c>
      <c r="B104" t="str">
        <f>[14]价值评估!Q108</f>
        <v>红博机利碎片</v>
      </c>
      <c r="C104">
        <f>[14]价值评估!R108</f>
        <v>40</v>
      </c>
      <c r="D104">
        <f>[14]价值评估!S108</f>
        <v>1160</v>
      </c>
      <c r="E104">
        <v>2</v>
      </c>
      <c r="F104" s="56">
        <f>C104*E104*'0、经济设定'!$C$18</f>
        <v>4000</v>
      </c>
      <c r="G104" s="36">
        <f>ROUNDUP(C104*'0、经济设定'!$E$18*E104,0)</f>
        <v>8</v>
      </c>
      <c r="H104">
        <v>5</v>
      </c>
      <c r="I104">
        <v>5</v>
      </c>
    </row>
    <row r="105" spans="1:10">
      <c r="A105">
        <f>[14]价值评估!P109</f>
        <v>93286</v>
      </c>
      <c r="B105" t="str">
        <f>[14]价值评估!Q109</f>
        <v>巨额钞票碎片</v>
      </c>
      <c r="C105">
        <f>[14]价值评估!R109</f>
        <v>40</v>
      </c>
      <c r="D105">
        <f>[14]价值评估!S109</f>
        <v>2000</v>
      </c>
      <c r="E105">
        <v>2</v>
      </c>
      <c r="F105" s="56">
        <f>C105*E105*'0、经济设定'!$C$18</f>
        <v>4000</v>
      </c>
      <c r="G105" s="36">
        <f>ROUNDUP(C105*'0、经济设定'!$E$18*E105,0)</f>
        <v>8</v>
      </c>
      <c r="H105">
        <v>5</v>
      </c>
      <c r="I105">
        <v>5</v>
      </c>
    </row>
    <row r="106" spans="1:10">
      <c r="A106">
        <f>[14]价值评估!P110</f>
        <v>93290</v>
      </c>
      <c r="B106" t="str">
        <f>[14]价值评估!Q110</f>
        <v>大堆金块碎片</v>
      </c>
      <c r="C106">
        <f>[14]价值评估!R110</f>
        <v>40</v>
      </c>
      <c r="D106">
        <f>[14]价值评估!S110</f>
        <v>1820</v>
      </c>
      <c r="E106">
        <v>2</v>
      </c>
      <c r="F106" s="56">
        <f>C106*E106*'0、经济设定'!$C$18</f>
        <v>4000</v>
      </c>
      <c r="G106" s="36">
        <f>ROUNDUP(C106*'0、经济设定'!$E$18*E106,0)</f>
        <v>8</v>
      </c>
      <c r="H106">
        <v>5</v>
      </c>
      <c r="I106">
        <v>5</v>
      </c>
      <c r="J106">
        <f>SUM(D85:D106)</f>
        <v>30040</v>
      </c>
    </row>
    <row r="107" spans="1:10">
      <c r="A107">
        <f>[14]价值评估!P111</f>
        <v>93026</v>
      </c>
      <c r="B107" t="str">
        <f>[14]价值评估!Q111</f>
        <v>深蓝碎片</v>
      </c>
      <c r="C107">
        <f>[14]价值评估!R111</f>
        <v>40</v>
      </c>
      <c r="D107">
        <f>[14]价值评估!S111</f>
        <v>500</v>
      </c>
      <c r="E107">
        <v>2.5</v>
      </c>
      <c r="F107" s="56">
        <f>C107*E107*'0、经济设定'!$C$18</f>
        <v>5000</v>
      </c>
      <c r="G107" s="36">
        <f>ROUNDUP(C107*'0、经济设定'!$E$18*E107,0)</f>
        <v>10</v>
      </c>
      <c r="H107">
        <v>5</v>
      </c>
      <c r="I107">
        <v>5</v>
      </c>
    </row>
    <row r="108" spans="1:10">
      <c r="A108">
        <f>[14]价值评估!P112</f>
        <v>93255</v>
      </c>
      <c r="B108" t="str">
        <f>[14]价值评估!Q112</f>
        <v>黑耀项链碎片</v>
      </c>
      <c r="C108">
        <f>[14]价值评估!R112</f>
        <v>40</v>
      </c>
      <c r="D108">
        <f>[14]价值评估!S112</f>
        <v>520</v>
      </c>
      <c r="E108">
        <v>2.5</v>
      </c>
      <c r="F108" s="56">
        <f>C108*E108*'0、经济设定'!$C$18</f>
        <v>5000</v>
      </c>
      <c r="G108" s="36">
        <f>ROUNDUP(C108*'0、经济设定'!$E$18*E108,0)</f>
        <v>10</v>
      </c>
      <c r="H108">
        <v>5</v>
      </c>
      <c r="I108">
        <v>5</v>
      </c>
    </row>
    <row r="109" spans="1:10">
      <c r="A109">
        <f>[14]价值评估!P113</f>
        <v>93297</v>
      </c>
      <c r="B109" t="str">
        <f>[14]价值评估!Q113</f>
        <v>翠绿之心碎片</v>
      </c>
      <c r="C109">
        <f>[14]价值评估!R113</f>
        <v>40</v>
      </c>
      <c r="D109">
        <f>[14]价值评估!S113</f>
        <v>220</v>
      </c>
      <c r="E109">
        <v>2.5</v>
      </c>
      <c r="F109" s="56">
        <f>C109*E109*'0、经济设定'!$C$18</f>
        <v>5000</v>
      </c>
      <c r="G109" s="36">
        <f>ROUNDUP(C109*'0、经济设定'!$E$18*E109,0)</f>
        <v>10</v>
      </c>
      <c r="H109">
        <v>5</v>
      </c>
      <c r="I109">
        <v>5</v>
      </c>
    </row>
    <row r="110" spans="1:10">
      <c r="A110">
        <f>[14]价值评估!P114</f>
        <v>93293</v>
      </c>
      <c r="B110" t="str">
        <f>[14]价值评估!Q114</f>
        <v>珍珠宝盒碎片</v>
      </c>
      <c r="C110">
        <f>[14]价值评估!R114</f>
        <v>40</v>
      </c>
      <c r="D110">
        <f>[14]价值评估!S114</f>
        <v>400</v>
      </c>
      <c r="E110">
        <v>2.5</v>
      </c>
      <c r="F110" s="56">
        <f>C110*E110*'0、经济设定'!$C$18</f>
        <v>5000</v>
      </c>
      <c r="G110" s="36">
        <f>ROUNDUP(C110*'0、经济设定'!$E$18*E110,0)</f>
        <v>10</v>
      </c>
      <c r="H110">
        <v>5</v>
      </c>
      <c r="I110">
        <v>5</v>
      </c>
    </row>
    <row r="111" spans="1:10">
      <c r="A111">
        <f>[14]价值评估!P115</f>
        <v>93294</v>
      </c>
      <c r="B111" t="str">
        <f>[14]价值评估!Q115</f>
        <v>古董宝盒碎片</v>
      </c>
      <c r="C111">
        <f>[14]价值评估!R115</f>
        <v>40</v>
      </c>
      <c r="D111">
        <f>[14]价值评估!S115</f>
        <v>500</v>
      </c>
      <c r="E111">
        <v>2.5</v>
      </c>
      <c r="F111" s="56">
        <f>C111*E111*'0、经济设定'!$C$18</f>
        <v>5000</v>
      </c>
      <c r="G111" s="36">
        <f>ROUNDUP(C111*'0、经济设定'!$E$18*E111,0)</f>
        <v>10</v>
      </c>
      <c r="H111">
        <v>5</v>
      </c>
      <c r="I111">
        <v>5</v>
      </c>
    </row>
    <row r="112" spans="1:10">
      <c r="A112">
        <f>[14]价值评估!P116</f>
        <v>93295</v>
      </c>
      <c r="B112" t="str">
        <f>[14]价值评估!Q116</f>
        <v>水晶宝盒碎片</v>
      </c>
      <c r="C112">
        <f>[14]价值评估!R116</f>
        <v>40</v>
      </c>
      <c r="D112">
        <f>[14]价值评估!S116</f>
        <v>380</v>
      </c>
      <c r="E112">
        <v>2.5</v>
      </c>
      <c r="F112" s="56">
        <f>C112*E112*'0、经济设定'!$C$18</f>
        <v>5000</v>
      </c>
      <c r="G112" s="36">
        <f>ROUNDUP(C112*'0、经济设定'!$E$18*E112,0)</f>
        <v>10</v>
      </c>
      <c r="H112">
        <v>5</v>
      </c>
      <c r="I112">
        <v>5</v>
      </c>
    </row>
    <row r="113" spans="1:9">
      <c r="A113">
        <f>[14]价值评估!P117</f>
        <v>93262</v>
      </c>
      <c r="B113" t="str">
        <f>[14]价值评估!Q117</f>
        <v>皇家项链碎片</v>
      </c>
      <c r="C113">
        <f>[14]价值评估!R117</f>
        <v>40</v>
      </c>
      <c r="D113">
        <f>[14]价值评估!S117</f>
        <v>280</v>
      </c>
      <c r="E113">
        <v>2.5</v>
      </c>
      <c r="F113" s="56">
        <f>C113*E113*'0、经济设定'!$C$18</f>
        <v>5000</v>
      </c>
      <c r="G113" s="36">
        <f>ROUNDUP(C113*'0、经济设定'!$E$18*E113,0)</f>
        <v>10</v>
      </c>
      <c r="H113">
        <v>5</v>
      </c>
      <c r="I113">
        <v>5</v>
      </c>
    </row>
    <row r="114" spans="1:9">
      <c r="A114">
        <f>[14]价值评估!P118</f>
        <v>93298</v>
      </c>
      <c r="B114" t="str">
        <f>[14]价值评估!Q118</f>
        <v>海洋之泪碎片</v>
      </c>
      <c r="C114">
        <f>[14]价值评估!R118</f>
        <v>40</v>
      </c>
      <c r="D114">
        <f>[14]价值评估!S118</f>
        <v>340</v>
      </c>
      <c r="E114">
        <v>2.5</v>
      </c>
      <c r="F114" s="56">
        <f>C114*E114*'0、经济设定'!$C$18</f>
        <v>5000</v>
      </c>
      <c r="G114" s="36">
        <f>ROUNDUP(C114*'0、经济设定'!$E$18*E114,0)</f>
        <v>10</v>
      </c>
      <c r="H114">
        <v>5</v>
      </c>
      <c r="I114">
        <v>5</v>
      </c>
    </row>
    <row r="115" spans="1:9">
      <c r="A115">
        <f>[14]价值评估!P119</f>
        <v>93276</v>
      </c>
      <c r="B115" t="str">
        <f>[14]价值评估!Q119</f>
        <v>壕利手表碎片</v>
      </c>
      <c r="C115">
        <f>[14]价值评估!R119</f>
        <v>40</v>
      </c>
      <c r="D115">
        <f>[14]价值评估!S119</f>
        <v>320</v>
      </c>
      <c r="E115">
        <v>2.5</v>
      </c>
      <c r="F115" s="56">
        <f>C115*E115*'0、经济设定'!$C$18</f>
        <v>5000</v>
      </c>
      <c r="G115" s="36">
        <f>ROUNDUP(C115*'0、经济设定'!$E$18*E115,0)</f>
        <v>10</v>
      </c>
      <c r="H115">
        <v>5</v>
      </c>
      <c r="I115">
        <v>5</v>
      </c>
    </row>
    <row r="116" spans="1:9">
      <c r="A116">
        <f>[14]价值评估!P120</f>
        <v>93282</v>
      </c>
      <c r="B116" t="str">
        <f>[14]价值评估!Q120</f>
        <v>劳莱斯特碎片</v>
      </c>
      <c r="C116">
        <f>[14]价值评估!R120</f>
        <v>40</v>
      </c>
      <c r="D116">
        <f>[14]价值评估!S120</f>
        <v>280</v>
      </c>
      <c r="E116">
        <v>2.5</v>
      </c>
      <c r="F116" s="56">
        <f>C116*E116*'0、经济设定'!$C$18</f>
        <v>5000</v>
      </c>
      <c r="G116" s="36">
        <f>ROUNDUP(C116*'0、经济设定'!$E$18*E116,0)</f>
        <v>10</v>
      </c>
      <c r="H116">
        <v>5</v>
      </c>
      <c r="I116">
        <v>5</v>
      </c>
    </row>
    <row r="117" spans="1:9">
      <c r="A117">
        <f>[14]价值评估!P121</f>
        <v>93299</v>
      </c>
      <c r="B117" t="str">
        <f>[14]价值评估!Q121</f>
        <v>房产证碎片</v>
      </c>
      <c r="C117">
        <f>[14]价值评估!R121</f>
        <v>40</v>
      </c>
      <c r="D117">
        <f>[14]价值评估!S121</f>
        <v>500</v>
      </c>
      <c r="E117">
        <v>2.5</v>
      </c>
      <c r="F117" s="56">
        <f>C117*E117*'0、经济设定'!$C$18</f>
        <v>5000</v>
      </c>
      <c r="G117" s="36">
        <f>ROUNDUP(C117*'0、经济设定'!$E$18*E117,0)</f>
        <v>10</v>
      </c>
      <c r="H117">
        <v>5</v>
      </c>
      <c r="I117">
        <v>5</v>
      </c>
    </row>
    <row r="118" spans="1:9">
      <c r="A118">
        <f>[14]价值评估!P122</f>
        <v>93291</v>
      </c>
      <c r="B118" t="str">
        <f>[14]价值评估!Q122</f>
        <v>巨量金块碎片</v>
      </c>
      <c r="C118">
        <f>[14]价值评估!R122</f>
        <v>40</v>
      </c>
      <c r="D118">
        <f>[14]价值评估!S122</f>
        <v>520</v>
      </c>
      <c r="E118">
        <v>2.5</v>
      </c>
      <c r="F118" s="56">
        <f>C118*E118*'0、经济设定'!$C$18</f>
        <v>5000</v>
      </c>
      <c r="G118" s="36">
        <f>ROUNDUP(C118*'0、经济设定'!$E$18*E118,0)</f>
        <v>10</v>
      </c>
      <c r="H118">
        <v>5</v>
      </c>
      <c r="I118">
        <v>5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212"/>
  <sheetViews>
    <sheetView workbookViewId="0">
      <selection activeCell="Q42" sqref="Q42"/>
    </sheetView>
  </sheetViews>
  <sheetFormatPr defaultRowHeight="13.5"/>
  <cols>
    <col min="2" max="2" width="9.5" bestFit="1" customWidth="1"/>
    <col min="8" max="8" width="11" bestFit="1" customWidth="1"/>
  </cols>
  <sheetData>
    <row r="1" spans="1:9">
      <c r="A1" s="2" t="s">
        <v>403</v>
      </c>
      <c r="B1" s="2" t="s">
        <v>404</v>
      </c>
      <c r="C1" s="2" t="s">
        <v>405</v>
      </c>
      <c r="D1" s="2" t="s">
        <v>406</v>
      </c>
      <c r="E1" s="2" t="s">
        <v>407</v>
      </c>
      <c r="F1" s="2" t="s">
        <v>408</v>
      </c>
      <c r="G1" s="2" t="s">
        <v>409</v>
      </c>
      <c r="H1" s="54" t="s">
        <v>1137</v>
      </c>
      <c r="I1" t="s">
        <v>876</v>
      </c>
    </row>
    <row r="2" spans="1:9">
      <c r="A2" t="str">
        <f>[5]D_装备基础数据!A2</f>
        <v>10001</v>
      </c>
      <c r="B2" t="str">
        <f>[5]D_装备基础数据!B2</f>
        <v>新手之剑</v>
      </c>
      <c r="C2">
        <f>[5]D_装备基础数据!$AP2</f>
        <v>0</v>
      </c>
      <c r="D2">
        <v>1</v>
      </c>
      <c r="E2">
        <f>[5]D_装备基础数据!AS2*H2</f>
        <v>10</v>
      </c>
      <c r="F2">
        <f>[5]D_装备基础数据!AQ2</f>
        <v>0</v>
      </c>
      <c r="G2">
        <f>[5]D_装备基础数据!AR2*H2</f>
        <v>0</v>
      </c>
      <c r="H2">
        <v>1</v>
      </c>
      <c r="I2">
        <f>[5]D_装备基础数据!$I2</f>
        <v>0</v>
      </c>
    </row>
    <row r="3" spans="1:9">
      <c r="A3" t="str">
        <f>[5]D_装备基础数据!A3</f>
        <v>20001</v>
      </c>
      <c r="B3" t="str">
        <f>[5]D_装备基础数据!B3</f>
        <v>新手之拳</v>
      </c>
      <c r="C3">
        <f>[5]D_装备基础数据!$AP3</f>
        <v>0</v>
      </c>
      <c r="D3">
        <v>1</v>
      </c>
      <c r="E3">
        <f>[5]D_装备基础数据!AS3*H3</f>
        <v>10</v>
      </c>
      <c r="F3">
        <f>[5]D_装备基础数据!AQ3</f>
        <v>0</v>
      </c>
      <c r="G3">
        <f>[5]D_装备基础数据!AR3*H3</f>
        <v>0</v>
      </c>
      <c r="H3">
        <v>1</v>
      </c>
      <c r="I3">
        <f>[5]D_装备基础数据!$I3</f>
        <v>0</v>
      </c>
    </row>
    <row r="4" spans="1:9">
      <c r="A4" t="str">
        <f>[5]D_装备基础数据!A4</f>
        <v>30001</v>
      </c>
      <c r="B4" t="str">
        <f>[5]D_装备基础数据!B4</f>
        <v>新手之枪</v>
      </c>
      <c r="C4">
        <f>[5]D_装备基础数据!$AP4</f>
        <v>0</v>
      </c>
      <c r="D4">
        <v>1</v>
      </c>
      <c r="E4">
        <f>[5]D_装备基础数据!AS4*H4</f>
        <v>10</v>
      </c>
      <c r="F4">
        <f>[5]D_装备基础数据!AQ4</f>
        <v>0</v>
      </c>
      <c r="G4">
        <f>[5]D_装备基础数据!AR4*H4</f>
        <v>0</v>
      </c>
      <c r="H4">
        <v>1</v>
      </c>
      <c r="I4">
        <f>[5]D_装备基础数据!$I4</f>
        <v>0</v>
      </c>
    </row>
    <row r="5" spans="1:9">
      <c r="A5" t="str">
        <f>[5]D_装备基础数据!A5</f>
        <v>10002</v>
      </c>
      <c r="B5" t="str">
        <f>[5]D_装备基础数据!B5</f>
        <v>染血之剑</v>
      </c>
      <c r="C5">
        <f ca="1">[5]D_装备基础数据!$AP5</f>
        <v>16.599081639928706</v>
      </c>
      <c r="D5">
        <v>1</v>
      </c>
      <c r="E5">
        <f>[5]D_装备基础数据!AS5*H5</f>
        <v>10</v>
      </c>
      <c r="F5">
        <f ca="1">[5]D_装备基础数据!AQ5</f>
        <v>829.95408199643532</v>
      </c>
      <c r="G5">
        <f ca="1">[5]D_装备基础数据!AR5*H5</f>
        <v>50</v>
      </c>
      <c r="H5">
        <v>1</v>
      </c>
      <c r="I5">
        <f>[5]D_装备基础数据!$I5</f>
        <v>0</v>
      </c>
    </row>
    <row r="6" spans="1:9">
      <c r="A6" t="str">
        <f>[5]D_装备基础数据!A6</f>
        <v>20002</v>
      </c>
      <c r="B6" t="str">
        <f>[5]D_装备基础数据!B6</f>
        <v>染血之拳</v>
      </c>
      <c r="C6">
        <f ca="1">[5]D_装备基础数据!$AP6</f>
        <v>16.599081639928706</v>
      </c>
      <c r="D6">
        <v>1</v>
      </c>
      <c r="E6">
        <f>[5]D_装备基础数据!AS6*H6</f>
        <v>10</v>
      </c>
      <c r="F6">
        <f ca="1">[5]D_装备基础数据!AQ6</f>
        <v>829.95408199643532</v>
      </c>
      <c r="G6">
        <f ca="1">[5]D_装备基础数据!AR6*H6</f>
        <v>50</v>
      </c>
      <c r="H6">
        <v>1</v>
      </c>
      <c r="I6">
        <f>[5]D_装备基础数据!$I6</f>
        <v>0</v>
      </c>
    </row>
    <row r="7" spans="1:9">
      <c r="A7" t="str">
        <f>[5]D_装备基础数据!A7</f>
        <v>30002</v>
      </c>
      <c r="B7" t="str">
        <f>[5]D_装备基础数据!B7</f>
        <v>染血之枪</v>
      </c>
      <c r="C7">
        <f ca="1">[5]D_装备基础数据!$AP7</f>
        <v>16.599081639928706</v>
      </c>
      <c r="D7">
        <v>1</v>
      </c>
      <c r="E7">
        <f>[5]D_装备基础数据!AS7*H7</f>
        <v>10</v>
      </c>
      <c r="F7">
        <f ca="1">[5]D_装备基础数据!AQ7</f>
        <v>829.95408199643532</v>
      </c>
      <c r="G7">
        <f ca="1">[5]D_装备基础数据!AR7*H7</f>
        <v>50</v>
      </c>
      <c r="H7">
        <v>1</v>
      </c>
      <c r="I7">
        <f>[5]D_装备基础数据!$I7</f>
        <v>0</v>
      </c>
    </row>
    <row r="8" spans="1:9">
      <c r="A8" t="str">
        <f>[5]D_装备基础数据!A8</f>
        <v>51002</v>
      </c>
      <c r="B8" t="str">
        <f>[5]D_装备基础数据!B8</f>
        <v>染血战衣</v>
      </c>
      <c r="C8">
        <f ca="1">[5]D_装备基础数据!$AP8</f>
        <v>14.569636415687212</v>
      </c>
      <c r="D8">
        <v>1</v>
      </c>
      <c r="E8">
        <f>[5]D_装备基础数据!AS8*H8</f>
        <v>10</v>
      </c>
      <c r="F8">
        <f ca="1">[5]D_装备基础数据!AQ8</f>
        <v>728.48182078436059</v>
      </c>
      <c r="G8">
        <f ca="1">[5]D_装备基础数据!AR8*H8</f>
        <v>43.886874984216874</v>
      </c>
      <c r="H8">
        <v>1</v>
      </c>
      <c r="I8">
        <f>[5]D_装备基础数据!$I8</f>
        <v>0</v>
      </c>
    </row>
    <row r="9" spans="1:9">
      <c r="A9" t="str">
        <f>[5]D_装备基础数据!A9</f>
        <v>52002</v>
      </c>
      <c r="B9" t="str">
        <f>[5]D_装备基础数据!B9</f>
        <v>染血长裤</v>
      </c>
      <c r="C9">
        <f ca="1">[5]D_装备基础数据!$AP9</f>
        <v>5.2122187059503178</v>
      </c>
      <c r="D9">
        <v>1</v>
      </c>
      <c r="E9">
        <f>[5]D_装备基础数据!AS9*H9</f>
        <v>10</v>
      </c>
      <c r="F9">
        <f ca="1">[5]D_装备基础数据!AQ9</f>
        <v>260.61093529751588</v>
      </c>
      <c r="G9">
        <f ca="1">[5]D_装备基础数据!AR9*H9</f>
        <v>15.700322520893103</v>
      </c>
      <c r="H9">
        <v>1</v>
      </c>
      <c r="I9">
        <f>[5]D_装备基础数据!$I9</f>
        <v>0</v>
      </c>
    </row>
    <row r="10" spans="1:9">
      <c r="A10" t="str">
        <f>[5]D_装备基础数据!A10</f>
        <v>55002</v>
      </c>
      <c r="B10" t="str">
        <f>[5]D_装备基础数据!B10</f>
        <v>染血长靴</v>
      </c>
      <c r="C10">
        <f ca="1">[5]D_装备基础数据!$AP10</f>
        <v>6.677519452253911</v>
      </c>
      <c r="D10">
        <v>1</v>
      </c>
      <c r="E10">
        <f>[5]D_装备基础数据!AS10*H10</f>
        <v>10</v>
      </c>
      <c r="F10">
        <f ca="1">[5]D_装备基础数据!AQ10</f>
        <v>333.87597261269553</v>
      </c>
      <c r="G10">
        <f ca="1">[5]D_装备基础数据!AR10*H10</f>
        <v>20.114123169896615</v>
      </c>
      <c r="H10">
        <v>1</v>
      </c>
      <c r="I10">
        <f>[5]D_装备基础数据!$I10</f>
        <v>0</v>
      </c>
    </row>
    <row r="11" spans="1:9">
      <c r="A11" t="str">
        <f>[5]D_装备基础数据!A11</f>
        <v>54002</v>
      </c>
      <c r="B11" t="str">
        <f>[5]D_装备基础数据!B11</f>
        <v>染血腰带</v>
      </c>
      <c r="C11">
        <f ca="1">[5]D_装备基础数据!$AP11</f>
        <v>4.8025194522539119</v>
      </c>
      <c r="D11">
        <v>1</v>
      </c>
      <c r="E11">
        <f>[5]D_装备基础数据!AS11*H11</f>
        <v>10</v>
      </c>
      <c r="F11">
        <f ca="1">[5]D_装备基础数据!AQ11</f>
        <v>240.12597261269559</v>
      </c>
      <c r="G11">
        <f ca="1">[5]D_装备基础数据!AR11*H11</f>
        <v>14.466220350111305</v>
      </c>
      <c r="H11">
        <v>1</v>
      </c>
      <c r="I11">
        <f>[5]D_装备基础数据!$I11</f>
        <v>0</v>
      </c>
    </row>
    <row r="12" spans="1:9">
      <c r="A12" t="str">
        <f>[5]D_装备基础数据!A12</f>
        <v>53002</v>
      </c>
      <c r="B12" t="str">
        <f>[5]D_装备基础数据!B12</f>
        <v>染血项链</v>
      </c>
      <c r="C12">
        <f ca="1">[5]D_装备基础数据!$AP12</f>
        <v>10.289971657754013</v>
      </c>
      <c r="D12">
        <v>1</v>
      </c>
      <c r="E12">
        <f>[5]D_装备基础数据!AS12*H12</f>
        <v>10</v>
      </c>
      <c r="F12">
        <f ca="1">[5]D_装备基础数据!AQ12</f>
        <v>514.49858288770065</v>
      </c>
      <c r="G12">
        <f ca="1">[5]D_装备基础数据!AR12*H12</f>
        <v>30.995605302047927</v>
      </c>
      <c r="H12">
        <v>1</v>
      </c>
      <c r="I12">
        <f>[5]D_装备基础数据!$I12</f>
        <v>0</v>
      </c>
    </row>
    <row r="13" spans="1:9">
      <c r="A13" t="str">
        <f>[5]D_装备基础数据!A13</f>
        <v>10103</v>
      </c>
      <c r="B13" t="str">
        <f>[5]D_装备基础数据!B13</f>
        <v>狂气之剑</v>
      </c>
      <c r="C13">
        <f ca="1">[5]D_装备基础数据!$AP13</f>
        <v>27.271223842473059</v>
      </c>
      <c r="D13">
        <v>1</v>
      </c>
      <c r="E13">
        <f>[5]D_装备基础数据!AS13*H13</f>
        <v>10</v>
      </c>
      <c r="F13">
        <f ca="1">[5]D_装备基础数据!AQ13</f>
        <v>1363.561192123653</v>
      </c>
      <c r="G13">
        <f ca="1">[5]D_装备基础数据!AR13*H13</f>
        <v>60</v>
      </c>
      <c r="H13">
        <v>1</v>
      </c>
      <c r="I13">
        <f>[5]D_装备基础数据!$I13</f>
        <v>1</v>
      </c>
    </row>
    <row r="14" spans="1:9">
      <c r="A14" t="str">
        <f>[5]D_装备基础数据!A14</f>
        <v>20103</v>
      </c>
      <c r="B14" t="str">
        <f>[5]D_装备基础数据!B14</f>
        <v>狂气之拳</v>
      </c>
      <c r="C14">
        <f ca="1">[5]D_装备基础数据!$AP14</f>
        <v>27.271223842473059</v>
      </c>
      <c r="D14">
        <v>1</v>
      </c>
      <c r="E14">
        <f>[5]D_装备基础数据!AS14*H14</f>
        <v>10</v>
      </c>
      <c r="F14">
        <f ca="1">[5]D_装备基础数据!AQ14</f>
        <v>1363.561192123653</v>
      </c>
      <c r="G14">
        <f ca="1">[5]D_装备基础数据!AR14*H14</f>
        <v>60</v>
      </c>
      <c r="H14">
        <v>1</v>
      </c>
      <c r="I14">
        <f>[5]D_装备基础数据!$I14</f>
        <v>1</v>
      </c>
    </row>
    <row r="15" spans="1:9">
      <c r="A15" t="str">
        <f>[5]D_装备基础数据!A15</f>
        <v>30103</v>
      </c>
      <c r="B15" t="str">
        <f>[5]D_装备基础数据!B15</f>
        <v>狂气之枪</v>
      </c>
      <c r="C15">
        <f ca="1">[5]D_装备基础数据!$AP15</f>
        <v>27.271223842473059</v>
      </c>
      <c r="D15">
        <v>1</v>
      </c>
      <c r="E15">
        <f>[5]D_装备基础数据!AS15*H15</f>
        <v>10</v>
      </c>
      <c r="F15">
        <f ca="1">[5]D_装备基础数据!AQ15</f>
        <v>1363.561192123653</v>
      </c>
      <c r="G15">
        <f ca="1">[5]D_装备基础数据!AR15*H15</f>
        <v>60</v>
      </c>
      <c r="H15">
        <v>1</v>
      </c>
      <c r="I15">
        <f>[5]D_装备基础数据!$I15</f>
        <v>1</v>
      </c>
    </row>
    <row r="16" spans="1:9">
      <c r="A16" t="str">
        <f>[5]D_装备基础数据!A16</f>
        <v>51103</v>
      </c>
      <c r="B16" t="str">
        <f>[5]D_装备基础数据!B16</f>
        <v>狂气战衣</v>
      </c>
      <c r="C16">
        <f ca="1">[5]D_装备基础数据!$AP16</f>
        <v>23.526385910626644</v>
      </c>
      <c r="D16">
        <v>1</v>
      </c>
      <c r="E16">
        <f>[5]D_装备基础数据!AS16*H16</f>
        <v>10</v>
      </c>
      <c r="F16">
        <f ca="1">[5]D_装备基础数据!AQ16</f>
        <v>1176.3192955313323</v>
      </c>
      <c r="G16">
        <f ca="1">[5]D_装备基础数据!AR16*H16</f>
        <v>51.760902363287215</v>
      </c>
      <c r="H16">
        <v>1</v>
      </c>
      <c r="I16">
        <f>[5]D_装备基础数据!$I16</f>
        <v>1</v>
      </c>
    </row>
    <row r="17" spans="1:9">
      <c r="A17" t="str">
        <f>[5]D_装备基础数据!A17</f>
        <v>52103</v>
      </c>
      <c r="B17" t="str">
        <f>[5]D_装备基础数据!B17</f>
        <v>狂气长裤</v>
      </c>
      <c r="C17">
        <f ca="1">[5]D_装备基础数据!$AP17</f>
        <v>8.6681045762457778</v>
      </c>
      <c r="D17">
        <v>1</v>
      </c>
      <c r="E17">
        <f>[5]D_装备基础数据!AS17*H17</f>
        <v>10</v>
      </c>
      <c r="F17">
        <f ca="1">[5]D_装备基础数据!AQ17</f>
        <v>433.4052288122889</v>
      </c>
      <c r="G17">
        <f ca="1">[5]D_装备基础数据!AR17*H17</f>
        <v>19.070881364874719</v>
      </c>
      <c r="H17">
        <v>1</v>
      </c>
      <c r="I17">
        <f>[5]D_装备基础数据!$I17</f>
        <v>1</v>
      </c>
    </row>
    <row r="18" spans="1:9">
      <c r="A18" t="str">
        <f>[5]D_装备基础数据!A18</f>
        <v>55103</v>
      </c>
      <c r="B18" t="str">
        <f>[5]D_装备基础数据!B18</f>
        <v>狂气长靴</v>
      </c>
      <c r="C18">
        <f ca="1">[5]D_装备基础数据!$AP18</f>
        <v>11.042635776579273</v>
      </c>
      <c r="D18">
        <v>1</v>
      </c>
      <c r="E18">
        <f>[5]D_装备基础数据!AS18*H18</f>
        <v>10</v>
      </c>
      <c r="F18">
        <f ca="1">[5]D_装备基础数据!AQ18</f>
        <v>552.13178882896364</v>
      </c>
      <c r="G18">
        <f ca="1">[5]D_装备基础数据!AR18*H18</f>
        <v>24.295137996809203</v>
      </c>
      <c r="H18">
        <v>1</v>
      </c>
      <c r="I18">
        <f>[5]D_装备基础数据!$I18</f>
        <v>1</v>
      </c>
    </row>
    <row r="19" spans="1:9">
      <c r="A19" t="str">
        <f>[5]D_装备基础数据!A19</f>
        <v>54103</v>
      </c>
      <c r="B19" t="str">
        <f>[5]D_装备基础数据!B19</f>
        <v>狂气腰带</v>
      </c>
      <c r="C19">
        <f ca="1">[5]D_装备基础数据!$AP19</f>
        <v>8.8834588928300544</v>
      </c>
      <c r="D19">
        <v>1</v>
      </c>
      <c r="E19">
        <f>[5]D_装备基础数据!AS19*H19</f>
        <v>10</v>
      </c>
      <c r="F19">
        <f ca="1">[5]D_装备基础数据!AQ19</f>
        <v>444.17294464150274</v>
      </c>
      <c r="G19">
        <f ca="1">[5]D_装备基础数据!AR19*H19</f>
        <v>19.544686980262345</v>
      </c>
      <c r="H19">
        <v>1</v>
      </c>
      <c r="I19">
        <f>[5]D_装备基础数据!$I19</f>
        <v>1</v>
      </c>
    </row>
    <row r="20" spans="1:9">
      <c r="A20" t="str">
        <f>[5]D_装备基础数据!A20</f>
        <v>53103</v>
      </c>
      <c r="B20" t="str">
        <f>[5]D_装备基础数据!B20</f>
        <v>狂气项链</v>
      </c>
      <c r="C20">
        <f ca="1">[5]D_装备基础数据!$AP20</f>
        <v>16.5572540855615</v>
      </c>
      <c r="D20">
        <v>1</v>
      </c>
      <c r="E20">
        <f>[5]D_装备基础数据!AS20*H20</f>
        <v>10</v>
      </c>
      <c r="F20">
        <f ca="1">[5]D_装备基础数据!AQ20</f>
        <v>827.86270427807494</v>
      </c>
      <c r="G20">
        <f ca="1">[5]D_装备基础数据!AR20*H20</f>
        <v>36.42796710818979</v>
      </c>
      <c r="H20">
        <v>1</v>
      </c>
      <c r="I20">
        <f>[5]D_装备基础数据!$I20</f>
        <v>1</v>
      </c>
    </row>
    <row r="21" spans="1:9">
      <c r="A21" t="str">
        <f>[5]D_装备基础数据!A21</f>
        <v>10104</v>
      </c>
      <c r="B21" t="str">
        <f>[5]D_装备基础数据!B21</f>
        <v>野性之剑</v>
      </c>
      <c r="C21">
        <f ca="1">[5]D_装备基础数据!$AP21</f>
        <v>54.542447684946119</v>
      </c>
      <c r="D21">
        <v>1</v>
      </c>
      <c r="E21">
        <f>[5]D_装备基础数据!AS21*H21</f>
        <v>10</v>
      </c>
      <c r="F21">
        <f ca="1">[5]D_装备基础数据!AQ21</f>
        <v>2727.1223842473059</v>
      </c>
      <c r="G21">
        <f ca="1">[5]D_装备基础数据!AR21*H21</f>
        <v>180</v>
      </c>
      <c r="H21">
        <v>1</v>
      </c>
      <c r="I21">
        <f>[5]D_装备基础数据!$I21</f>
        <v>1</v>
      </c>
    </row>
    <row r="22" spans="1:9">
      <c r="A22" t="str">
        <f>[5]D_装备基础数据!A22</f>
        <v>20104</v>
      </c>
      <c r="B22" t="str">
        <f>[5]D_装备基础数据!B22</f>
        <v>野性之拳</v>
      </c>
      <c r="C22">
        <f ca="1">[5]D_装备基础数据!$AP22</f>
        <v>54.542447684946119</v>
      </c>
      <c r="D22">
        <v>1</v>
      </c>
      <c r="E22">
        <f>[5]D_装备基础数据!AS22*H22</f>
        <v>10</v>
      </c>
      <c r="F22">
        <f ca="1">[5]D_装备基础数据!AQ22</f>
        <v>2727.1223842473059</v>
      </c>
      <c r="G22">
        <f ca="1">[5]D_装备基础数据!AR22*H22</f>
        <v>180</v>
      </c>
      <c r="H22">
        <v>1</v>
      </c>
      <c r="I22">
        <f>[5]D_装备基础数据!$I22</f>
        <v>1</v>
      </c>
    </row>
    <row r="23" spans="1:9">
      <c r="A23" t="str">
        <f>[5]D_装备基础数据!A23</f>
        <v>30104</v>
      </c>
      <c r="B23" t="str">
        <f>[5]D_装备基础数据!B23</f>
        <v>野性之枪</v>
      </c>
      <c r="C23">
        <f ca="1">[5]D_装备基础数据!$AP23</f>
        <v>54.542447684946119</v>
      </c>
      <c r="D23">
        <v>1</v>
      </c>
      <c r="E23">
        <f>[5]D_装备基础数据!AS23*H23</f>
        <v>10</v>
      </c>
      <c r="F23">
        <f ca="1">[5]D_装备基础数据!AQ23</f>
        <v>2727.1223842473059</v>
      </c>
      <c r="G23">
        <f ca="1">[5]D_装备基础数据!AR23*H23</f>
        <v>180</v>
      </c>
      <c r="H23">
        <v>1</v>
      </c>
      <c r="I23">
        <f>[5]D_装备基础数据!$I23</f>
        <v>1</v>
      </c>
    </row>
    <row r="24" spans="1:9">
      <c r="A24" t="str">
        <f>[5]D_装备基础数据!A24</f>
        <v>51104</v>
      </c>
      <c r="B24" t="str">
        <f>[5]D_装备基础数据!B24</f>
        <v>野性战衣</v>
      </c>
      <c r="C24">
        <f ca="1">[5]D_装备基础数据!$AP24</f>
        <v>47.052771821253287</v>
      </c>
      <c r="D24">
        <v>1</v>
      </c>
      <c r="E24">
        <f>[5]D_装备基础数据!AS24*H24</f>
        <v>10</v>
      </c>
      <c r="F24">
        <f ca="1">[5]D_装备基础数据!AQ24</f>
        <v>2352.6385910626645</v>
      </c>
      <c r="G24">
        <f ca="1">[5]D_装备基础数据!AR24*H24</f>
        <v>155.28270708986165</v>
      </c>
      <c r="H24">
        <v>1</v>
      </c>
      <c r="I24">
        <f>[5]D_装备基础数据!$I24</f>
        <v>1</v>
      </c>
    </row>
    <row r="25" spans="1:9">
      <c r="A25" t="str">
        <f>[5]D_装备基础数据!A25</f>
        <v>52104</v>
      </c>
      <c r="B25" t="str">
        <f>[5]D_装备基础数据!B25</f>
        <v>野性长裤</v>
      </c>
      <c r="C25">
        <f ca="1">[5]D_装备基础数据!$AP25</f>
        <v>17.336209152491556</v>
      </c>
      <c r="D25">
        <v>1</v>
      </c>
      <c r="E25">
        <f>[5]D_装备基础数据!AS25*H25</f>
        <v>10</v>
      </c>
      <c r="F25">
        <f ca="1">[5]D_装备基础数据!AQ25</f>
        <v>866.81045762457779</v>
      </c>
      <c r="G25">
        <f ca="1">[5]D_装备基础数据!AR25*H25</f>
        <v>57.212644094624153</v>
      </c>
      <c r="H25">
        <v>1</v>
      </c>
      <c r="I25">
        <f>[5]D_装备基础数据!$I25</f>
        <v>1</v>
      </c>
    </row>
    <row r="26" spans="1:9">
      <c r="A26" t="str">
        <f>[5]D_装备基础数据!A26</f>
        <v>55104</v>
      </c>
      <c r="B26" t="str">
        <f>[5]D_装备基础数据!B26</f>
        <v>野性长靴</v>
      </c>
      <c r="C26">
        <f ca="1">[5]D_装备基础数据!$AP26</f>
        <v>22.085271553158545</v>
      </c>
      <c r="D26">
        <v>1</v>
      </c>
      <c r="E26">
        <f>[5]D_装备基础数据!AS26*H26</f>
        <v>10</v>
      </c>
      <c r="F26">
        <f ca="1">[5]D_装备基础数据!AQ26</f>
        <v>1104.2635776579273</v>
      </c>
      <c r="G26">
        <f ca="1">[5]D_装备基础数据!AR26*H26</f>
        <v>72.885413990427608</v>
      </c>
      <c r="H26">
        <v>1</v>
      </c>
      <c r="I26">
        <f>[5]D_装备基础数据!$I26</f>
        <v>1</v>
      </c>
    </row>
    <row r="27" spans="1:9">
      <c r="A27" t="str">
        <f>[5]D_装备基础数据!A27</f>
        <v>54104</v>
      </c>
      <c r="B27" t="str">
        <f>[5]D_装备基础数据!B27</f>
        <v>野性腰带</v>
      </c>
      <c r="C27">
        <f ca="1">[5]D_装备基础数据!$AP27</f>
        <v>17.766917785660109</v>
      </c>
      <c r="D27">
        <v>1</v>
      </c>
      <c r="E27">
        <f>[5]D_装备基础数据!AS27*H27</f>
        <v>10</v>
      </c>
      <c r="F27">
        <f ca="1">[5]D_装备基础数据!AQ27</f>
        <v>888.34588928300548</v>
      </c>
      <c r="G27">
        <f ca="1">[5]D_装备基础数据!AR27*H27</f>
        <v>58.634060940787037</v>
      </c>
      <c r="H27">
        <v>1</v>
      </c>
      <c r="I27">
        <f>[5]D_装备基础数据!$I27</f>
        <v>1</v>
      </c>
    </row>
    <row r="28" spans="1:9">
      <c r="A28" t="str">
        <f>[5]D_装备基础数据!A28</f>
        <v>53104</v>
      </c>
      <c r="B28" t="str">
        <f>[5]D_装备基础数据!B28</f>
        <v>野性项链</v>
      </c>
      <c r="C28">
        <f ca="1">[5]D_装备基础数据!$AP28</f>
        <v>33.114508171122999</v>
      </c>
      <c r="D28">
        <v>1</v>
      </c>
      <c r="E28">
        <f>[5]D_装备基础数据!AS28*H28</f>
        <v>10</v>
      </c>
      <c r="F28">
        <f ca="1">[5]D_装备基础数据!AQ28</f>
        <v>1655.7254085561499</v>
      </c>
      <c r="G28">
        <f ca="1">[5]D_装备基础数据!AR28*H28</f>
        <v>109.28390132456938</v>
      </c>
      <c r="H28">
        <v>1</v>
      </c>
      <c r="I28">
        <f>[5]D_装备基础数据!$I28</f>
        <v>1</v>
      </c>
    </row>
    <row r="29" spans="1:9">
      <c r="A29" t="str">
        <f>[5]D_装备基础数据!A29</f>
        <v>10205</v>
      </c>
      <c r="B29" t="str">
        <f>[5]D_装备基础数据!B29</f>
        <v>紫云之剑</v>
      </c>
      <c r="C29">
        <f ca="1">[5]D_装备基础数据!$AP29</f>
        <v>78.44478193951754</v>
      </c>
      <c r="D29">
        <v>1</v>
      </c>
      <c r="E29">
        <f>[5]D_装备基础数据!AS29*H29</f>
        <v>10</v>
      </c>
      <c r="F29">
        <f ca="1">[5]D_装备基础数据!AQ29</f>
        <v>3922.2390969758771</v>
      </c>
      <c r="G29">
        <f ca="1">[5]D_装备基础数据!AR29*H29</f>
        <v>359.99999999999994</v>
      </c>
      <c r="H29">
        <v>1</v>
      </c>
      <c r="I29">
        <f>[5]D_装备基础数据!$I29</f>
        <v>2</v>
      </c>
    </row>
    <row r="30" spans="1:9">
      <c r="A30" t="str">
        <f>[5]D_装备基础数据!A30</f>
        <v>20205</v>
      </c>
      <c r="B30" t="str">
        <f>[5]D_装备基础数据!B30</f>
        <v>紫云之拳</v>
      </c>
      <c r="C30">
        <f ca="1">[5]D_装备基础数据!$AP30</f>
        <v>78.44478193951754</v>
      </c>
      <c r="D30">
        <v>1</v>
      </c>
      <c r="E30">
        <f>[5]D_装备基础数据!AS30*H30</f>
        <v>10</v>
      </c>
      <c r="F30">
        <f ca="1">[5]D_装备基础数据!AQ30</f>
        <v>3922.2390969758771</v>
      </c>
      <c r="G30">
        <f ca="1">[5]D_装备基础数据!AR30*H30</f>
        <v>359.99999999999994</v>
      </c>
      <c r="H30">
        <v>1</v>
      </c>
      <c r="I30">
        <f>[5]D_装备基础数据!$I30</f>
        <v>2</v>
      </c>
    </row>
    <row r="31" spans="1:9">
      <c r="A31" t="str">
        <f>[5]D_装备基础数据!A31</f>
        <v>30205</v>
      </c>
      <c r="B31" t="str">
        <f>[5]D_装备基础数据!B31</f>
        <v>紫云之枪</v>
      </c>
      <c r="C31">
        <f ca="1">[5]D_装备基础数据!$AP31</f>
        <v>78.44478193951754</v>
      </c>
      <c r="D31">
        <v>1</v>
      </c>
      <c r="E31">
        <f>[5]D_装备基础数据!AS31*H31</f>
        <v>10</v>
      </c>
      <c r="F31">
        <f ca="1">[5]D_装备基础数据!AQ31</f>
        <v>3922.2390969758771</v>
      </c>
      <c r="G31">
        <f ca="1">[5]D_装备基础数据!AR31*H31</f>
        <v>359.99999999999994</v>
      </c>
      <c r="H31">
        <v>1</v>
      </c>
      <c r="I31">
        <f>[5]D_装备基础数据!$I31</f>
        <v>2</v>
      </c>
    </row>
    <row r="32" spans="1:9">
      <c r="A32" t="str">
        <f>[5]D_装备基础数据!A32</f>
        <v>51205</v>
      </c>
      <c r="B32" t="str">
        <f>[5]D_装备基础数据!B32</f>
        <v>紫云战衣</v>
      </c>
      <c r="C32">
        <f ca="1">[5]D_装备基础数据!$AP32</f>
        <v>66.481629457733803</v>
      </c>
      <c r="D32">
        <v>1</v>
      </c>
      <c r="E32">
        <f>[5]D_装备基础数据!AS32*H32</f>
        <v>10</v>
      </c>
      <c r="F32">
        <f ca="1">[5]D_装备基础数据!AQ32</f>
        <v>3324.0814728866903</v>
      </c>
      <c r="G32">
        <f ca="1">[5]D_装备基础数据!AR32*H32</f>
        <v>305.0985166003428</v>
      </c>
      <c r="H32">
        <v>1</v>
      </c>
      <c r="I32">
        <f>[5]D_装备基础数据!$I32</f>
        <v>2</v>
      </c>
    </row>
    <row r="33" spans="1:9">
      <c r="A33" t="str">
        <f>[5]D_装备基础数据!A33</f>
        <v>52205</v>
      </c>
      <c r="B33" t="str">
        <f>[5]D_装备基础数据!B33</f>
        <v>紫云长裤</v>
      </c>
      <c r="C33">
        <f ca="1">[5]D_装备基础数据!$AP33</f>
        <v>25.23747283105687</v>
      </c>
      <c r="D33">
        <v>1</v>
      </c>
      <c r="E33">
        <f>[5]D_装备基础数据!AS33*H33</f>
        <v>10</v>
      </c>
      <c r="F33">
        <f ca="1">[5]D_装备基础数据!AQ33</f>
        <v>1261.8736415528435</v>
      </c>
      <c r="G33">
        <f ca="1">[5]D_装备基础数据!AR33*H33</f>
        <v>115.8201985466103</v>
      </c>
      <c r="H33">
        <v>1</v>
      </c>
      <c r="I33">
        <f>[5]D_装备基础数据!$I33</f>
        <v>2</v>
      </c>
    </row>
    <row r="34" spans="1:9">
      <c r="A34" t="str">
        <f>[5]D_装备基础数据!A34</f>
        <v>55205</v>
      </c>
      <c r="B34" t="str">
        <f>[5]D_装备基础数据!B34</f>
        <v>紫云长靴</v>
      </c>
      <c r="C34">
        <f ca="1">[5]D_装备基础数据!$AP34</f>
        <v>31.972386208936598</v>
      </c>
      <c r="D34">
        <v>1</v>
      </c>
      <c r="E34">
        <f>[5]D_装备基础数据!AS34*H34</f>
        <v>10</v>
      </c>
      <c r="F34">
        <f ca="1">[5]D_装备基础数据!AQ34</f>
        <v>1598.6193104468298</v>
      </c>
      <c r="G34">
        <f ca="1">[5]D_装备基础数据!AR34*H34</f>
        <v>146.72816662415676</v>
      </c>
      <c r="H34">
        <v>1</v>
      </c>
      <c r="I34">
        <f>[5]D_装备基础数据!$I34</f>
        <v>2</v>
      </c>
    </row>
    <row r="35" spans="1:9">
      <c r="A35" t="str">
        <f>[5]D_装备基础数据!A35</f>
        <v>54205</v>
      </c>
      <c r="B35" t="str">
        <f>[5]D_装备基础数据!B35</f>
        <v>紫云腰带</v>
      </c>
      <c r="C35">
        <f ca="1">[5]D_装备基础数据!$AP35</f>
        <v>28.434641991718891</v>
      </c>
      <c r="D35">
        <v>1</v>
      </c>
      <c r="E35">
        <f>[5]D_装备基础数据!AS35*H35</f>
        <v>10</v>
      </c>
      <c r="F35">
        <f ca="1">[5]D_装备基础数据!AQ35</f>
        <v>1421.7320995859445</v>
      </c>
      <c r="G35">
        <f ca="1">[5]D_装备基础数据!AR35*H35</f>
        <v>130.49269644106244</v>
      </c>
      <c r="H35">
        <v>1</v>
      </c>
      <c r="I35">
        <f>[5]D_装备基础数据!$I35</f>
        <v>2</v>
      </c>
    </row>
    <row r="36" spans="1:9">
      <c r="A36" t="str">
        <f>[5]D_装备基础数据!A36</f>
        <v>53205</v>
      </c>
      <c r="B36" t="str">
        <f>[5]D_装备基础数据!B36</f>
        <v>紫云项链</v>
      </c>
      <c r="C36">
        <f ca="1">[5]D_装备基础数据!$AP36</f>
        <v>46.615269814616767</v>
      </c>
      <c r="D36">
        <v>1</v>
      </c>
      <c r="E36">
        <f>[5]D_装备基础数据!AS36*H36</f>
        <v>10</v>
      </c>
      <c r="F36">
        <f ca="1">[5]D_装备基础数据!AQ36</f>
        <v>2330.7634907308384</v>
      </c>
      <c r="G36">
        <f ca="1">[5]D_装备基础数据!AR36*H36</f>
        <v>213.92751332014529</v>
      </c>
      <c r="H36">
        <v>1</v>
      </c>
      <c r="I36">
        <f>[5]D_装备基础数据!$I36</f>
        <v>2</v>
      </c>
    </row>
    <row r="37" spans="1:9">
      <c r="A37" t="str">
        <f>[5]D_装备基础数据!A37</f>
        <v>10306</v>
      </c>
      <c r="B37" t="str">
        <f>[5]D_装备基础数据!B37</f>
        <v>鎏金之剑</v>
      </c>
      <c r="C37">
        <f ca="1">[5]D_装备基础数据!$AP37</f>
        <v>102.13865243691686</v>
      </c>
      <c r="D37">
        <v>1</v>
      </c>
      <c r="E37">
        <f>[5]D_装备基础数据!AS37*H37</f>
        <v>10</v>
      </c>
      <c r="F37">
        <f ca="1">[5]D_装备基础数据!AQ37</f>
        <v>5106.9326218458427</v>
      </c>
      <c r="G37">
        <f ca="1">[5]D_装备基础数据!AR37*H37</f>
        <v>899.99999999999989</v>
      </c>
      <c r="H37">
        <v>1</v>
      </c>
      <c r="I37">
        <f>[5]D_装备基础数据!$I37</f>
        <v>3</v>
      </c>
    </row>
    <row r="38" spans="1:9">
      <c r="A38" t="str">
        <f>[5]D_装备基础数据!A38</f>
        <v>20306</v>
      </c>
      <c r="B38" t="str">
        <f>[5]D_装备基础数据!B38</f>
        <v>鎏金之拳</v>
      </c>
      <c r="C38">
        <f ca="1">[5]D_装备基础数据!$AP38</f>
        <v>102.13865243691686</v>
      </c>
      <c r="D38">
        <v>1</v>
      </c>
      <c r="E38">
        <f>[5]D_装备基础数据!AS38*H38</f>
        <v>10</v>
      </c>
      <c r="F38">
        <f ca="1">[5]D_装备基础数据!AQ38</f>
        <v>5106.9326218458427</v>
      </c>
      <c r="G38">
        <f ca="1">[5]D_装备基础数据!AR38*H38</f>
        <v>899.99999999999989</v>
      </c>
      <c r="H38">
        <v>1</v>
      </c>
      <c r="I38">
        <f>[5]D_装备基础数据!$I38</f>
        <v>3</v>
      </c>
    </row>
    <row r="39" spans="1:9">
      <c r="A39" t="str">
        <f>[5]D_装备基础数据!A39</f>
        <v>30306</v>
      </c>
      <c r="B39" t="str">
        <f>[5]D_装备基础数据!B39</f>
        <v>鎏金之枪</v>
      </c>
      <c r="C39">
        <f ca="1">[5]D_装备基础数据!$AP39</f>
        <v>102.13865243691686</v>
      </c>
      <c r="D39">
        <v>1</v>
      </c>
      <c r="E39">
        <f>[5]D_装备基础数据!AS39*H39</f>
        <v>10</v>
      </c>
      <c r="F39">
        <f ca="1">[5]D_装备基础数据!AQ39</f>
        <v>5106.9326218458427</v>
      </c>
      <c r="G39">
        <f ca="1">[5]D_装备基础数据!AR39*H39</f>
        <v>899.99999999999989</v>
      </c>
      <c r="H39">
        <v>1</v>
      </c>
      <c r="I39">
        <f>[5]D_装备基础数据!$I39</f>
        <v>3</v>
      </c>
    </row>
    <row r="40" spans="1:9">
      <c r="A40" t="str">
        <f>[5]D_装备基础数据!A40</f>
        <v>51306</v>
      </c>
      <c r="B40" t="str">
        <f>[5]D_装备基础数据!B40</f>
        <v>鎏金战衣</v>
      </c>
      <c r="C40">
        <f ca="1">[5]D_装备基础数据!$AP40</f>
        <v>84.997573004868073</v>
      </c>
      <c r="D40">
        <v>1</v>
      </c>
      <c r="E40">
        <f>[5]D_装备基础数据!AS40*H40</f>
        <v>10</v>
      </c>
      <c r="F40">
        <f ca="1">[5]D_装备基础数据!AQ40</f>
        <v>4249.8786502434041</v>
      </c>
      <c r="G40">
        <f ca="1">[5]D_装备基础数据!AR40*H40</f>
        <v>748.96049516247569</v>
      </c>
      <c r="H40">
        <v>1</v>
      </c>
      <c r="I40">
        <f>[5]D_装备基础数据!$I40</f>
        <v>3</v>
      </c>
    </row>
    <row r="41" spans="1:9">
      <c r="A41" t="str">
        <f>[5]D_装备基础数据!A41</f>
        <v>52306</v>
      </c>
      <c r="B41" t="str">
        <f>[5]D_装备基础数据!B41</f>
        <v>鎏金长裤</v>
      </c>
      <c r="C41">
        <f ca="1">[5]D_装备基础数据!$AP41</f>
        <v>33.259525329938178</v>
      </c>
      <c r="D41">
        <v>1</v>
      </c>
      <c r="E41">
        <f>[5]D_装备基础数据!AS41*H41</f>
        <v>10</v>
      </c>
      <c r="F41">
        <f ca="1">[5]D_装备基础数据!AQ41</f>
        <v>1662.9762664969089</v>
      </c>
      <c r="G41">
        <f ca="1">[5]D_装备基础数据!AR41*H41</f>
        <v>293.06802158401308</v>
      </c>
      <c r="H41">
        <v>1</v>
      </c>
      <c r="I41">
        <f>[5]D_装备基础数据!$I41</f>
        <v>3</v>
      </c>
    </row>
    <row r="42" spans="1:9">
      <c r="A42" t="str">
        <f>[5]D_装备基础数据!A42</f>
        <v>55306</v>
      </c>
      <c r="B42" t="str">
        <f>[5]D_装备基础数据!B42</f>
        <v>鎏金长靴</v>
      </c>
      <c r="C42">
        <f ca="1">[5]D_装备基础数据!$AP42</f>
        <v>41.903462963133002</v>
      </c>
      <c r="D42">
        <v>1</v>
      </c>
      <c r="E42">
        <f>[5]D_装备基础数据!AS42*H42</f>
        <v>10</v>
      </c>
      <c r="F42">
        <f ca="1">[5]D_装备基础数据!AQ42</f>
        <v>2095.1731481566503</v>
      </c>
      <c r="G42">
        <f ca="1">[5]D_装备基础数据!AR42*H42</f>
        <v>369.23452353272603</v>
      </c>
      <c r="H42">
        <v>1</v>
      </c>
      <c r="I42">
        <f>[5]D_装备基础数据!$I42</f>
        <v>3</v>
      </c>
    </row>
    <row r="43" spans="1:9">
      <c r="A43" t="str">
        <f>[5]D_装备基础数据!A43</f>
        <v>54306</v>
      </c>
      <c r="B43" t="str">
        <f>[5]D_装备基础数据!B43</f>
        <v>鎏金腰带</v>
      </c>
      <c r="C43">
        <f ca="1">[5]D_装备基础数据!$AP43</f>
        <v>40.807791613975198</v>
      </c>
      <c r="D43">
        <v>1</v>
      </c>
      <c r="E43">
        <f>[5]D_装备基础数据!AS43*H43</f>
        <v>10</v>
      </c>
      <c r="F43">
        <f ca="1">[5]D_装备基础数据!AQ43</f>
        <v>2040.3895806987598</v>
      </c>
      <c r="G43">
        <f ca="1">[5]D_装备基础数据!AR43*H43</f>
        <v>359.57995897058765</v>
      </c>
      <c r="H43">
        <v>1</v>
      </c>
      <c r="I43">
        <f>[5]D_装备基础数据!$I43</f>
        <v>3</v>
      </c>
    </row>
    <row r="44" spans="1:9">
      <c r="A44" t="str">
        <f>[5]D_装备基础数据!A44</f>
        <v>53306</v>
      </c>
      <c r="B44" t="str">
        <f>[5]D_装备基础数据!B44</f>
        <v>鎏金项链</v>
      </c>
      <c r="C44">
        <f ca="1">[5]D_装备基础数据!$AP44</f>
        <v>59.367232969697</v>
      </c>
      <c r="D44">
        <v>1</v>
      </c>
      <c r="E44">
        <f>[5]D_装备基础数据!AS44*H44</f>
        <v>10</v>
      </c>
      <c r="F44">
        <f ca="1">[5]D_装备基础数据!AQ44</f>
        <v>2968.3616484848499</v>
      </c>
      <c r="G44">
        <f ca="1">[5]D_装备基础数据!AR44*H44</f>
        <v>523.11743299851332</v>
      </c>
      <c r="H44">
        <v>1</v>
      </c>
      <c r="I44">
        <f>[5]D_装备基础数据!$I44</f>
        <v>3</v>
      </c>
    </row>
    <row r="45" spans="1:9">
      <c r="A45" t="str">
        <f>[5]D_装备基础数据!A45</f>
        <v>10407</v>
      </c>
      <c r="B45" t="str">
        <f>[5]D_装备基础数据!B45</f>
        <v>虹光之剑</v>
      </c>
      <c r="C45">
        <f ca="1">[5]D_装备基础数据!$AP45</f>
        <v>119.64196112108959</v>
      </c>
      <c r="D45">
        <v>1</v>
      </c>
      <c r="E45">
        <f>[5]D_装备基础数据!AS45*H45</f>
        <v>10</v>
      </c>
      <c r="F45">
        <f ca="1">[5]D_装备基础数据!AQ45</f>
        <v>5982.0980560544795</v>
      </c>
      <c r="G45">
        <f ca="1">[5]D_装备基础数据!AR45*H45</f>
        <v>1500</v>
      </c>
      <c r="H45">
        <v>1</v>
      </c>
      <c r="I45">
        <f>[5]D_装备基础数据!$I45</f>
        <v>4</v>
      </c>
    </row>
    <row r="46" spans="1:9">
      <c r="A46" t="str">
        <f>[5]D_装备基础数据!A46</f>
        <v>20407</v>
      </c>
      <c r="B46" t="str">
        <f>[5]D_装备基础数据!B46</f>
        <v>虹光之拳</v>
      </c>
      <c r="C46">
        <f ca="1">[5]D_装备基础数据!$AP46</f>
        <v>119.64196112108959</v>
      </c>
      <c r="D46">
        <v>1</v>
      </c>
      <c r="E46">
        <f>[5]D_装备基础数据!AS46*H46</f>
        <v>10</v>
      </c>
      <c r="F46">
        <f ca="1">[5]D_装备基础数据!AQ46</f>
        <v>5982.0980560544795</v>
      </c>
      <c r="G46">
        <f ca="1">[5]D_装备基础数据!AR46*H46</f>
        <v>1500</v>
      </c>
      <c r="H46">
        <v>1</v>
      </c>
      <c r="I46">
        <f>[5]D_装备基础数据!$I46</f>
        <v>4</v>
      </c>
    </row>
    <row r="47" spans="1:9">
      <c r="A47" t="str">
        <f>[5]D_装备基础数据!A47</f>
        <v>30407</v>
      </c>
      <c r="B47" t="str">
        <f>[5]D_装备基础数据!B47</f>
        <v>虹光之枪</v>
      </c>
      <c r="C47">
        <f ca="1">[5]D_装备基础数据!$AP47</f>
        <v>119.64196112108959</v>
      </c>
      <c r="D47">
        <v>1</v>
      </c>
      <c r="E47">
        <f>[5]D_装备基础数据!AS47*H47</f>
        <v>10</v>
      </c>
      <c r="F47">
        <f ca="1">[5]D_装备基础数据!AQ47</f>
        <v>5982.0980560544795</v>
      </c>
      <c r="G47">
        <f ca="1">[5]D_装备基础数据!AR47*H47</f>
        <v>1500</v>
      </c>
      <c r="H47">
        <v>1</v>
      </c>
      <c r="I47">
        <f>[5]D_装备基础数据!$I47</f>
        <v>4</v>
      </c>
    </row>
    <row r="48" spans="1:9">
      <c r="A48" t="str">
        <f>[5]D_装备基础数据!A48</f>
        <v>51407</v>
      </c>
      <c r="B48" t="str">
        <f>[5]D_装备基础数据!B48</f>
        <v>虹光战衣</v>
      </c>
      <c r="C48">
        <f ca="1">[5]D_装备基础数据!$AP48</f>
        <v>97.714859488243945</v>
      </c>
      <c r="D48">
        <v>1</v>
      </c>
      <c r="E48">
        <f>[5]D_装备基础数据!AS48*H48</f>
        <v>10</v>
      </c>
      <c r="F48">
        <f ca="1">[5]D_装备基础数据!AQ48</f>
        <v>4885.7429744121973</v>
      </c>
      <c r="G48">
        <f ca="1">[5]D_装备基础数据!AR48*H48</f>
        <v>1225.0909953241251</v>
      </c>
      <c r="H48">
        <v>1</v>
      </c>
      <c r="I48">
        <f>[5]D_装备基础数据!$I48</f>
        <v>4</v>
      </c>
    </row>
    <row r="49" spans="1:9">
      <c r="A49" t="str">
        <f>[5]D_装备基础数据!A49</f>
        <v>52407</v>
      </c>
      <c r="B49" t="str">
        <f>[5]D_装备基础数据!B49</f>
        <v>虹光长裤</v>
      </c>
      <c r="C49">
        <f ca="1">[5]D_装备基础数据!$AP49</f>
        <v>39.43082538012905</v>
      </c>
      <c r="D49">
        <v>1</v>
      </c>
      <c r="E49">
        <f>[5]D_装备基础数据!AS49*H49</f>
        <v>10</v>
      </c>
      <c r="F49">
        <f ca="1">[5]D_装备基础数据!AQ49</f>
        <v>1971.5412690064525</v>
      </c>
      <c r="G49">
        <f ca="1">[5]D_装备基础数据!AR49*H49</f>
        <v>494.36031903833202</v>
      </c>
      <c r="H49">
        <v>1</v>
      </c>
      <c r="I49">
        <f>[5]D_装备基础数据!$I49</f>
        <v>4</v>
      </c>
    </row>
    <row r="50" spans="1:9">
      <c r="A50" t="str">
        <f>[5]D_装备基础数据!A50</f>
        <v>55407</v>
      </c>
      <c r="B50" t="str">
        <f>[5]D_装备基础数据!B50</f>
        <v>虹光长靴</v>
      </c>
      <c r="C50">
        <f ca="1">[5]D_装备基础数据!$AP50</f>
        <v>49.408096967378796</v>
      </c>
      <c r="D50">
        <v>1</v>
      </c>
      <c r="E50">
        <f>[5]D_装备基础数据!AS50*H50</f>
        <v>10</v>
      </c>
      <c r="F50">
        <f ca="1">[5]D_装备基础数据!AQ50</f>
        <v>2470.4048483689398</v>
      </c>
      <c r="G50">
        <f ca="1">[5]D_装备基础数据!AR50*H50</f>
        <v>619.44943694177095</v>
      </c>
      <c r="H50">
        <v>1</v>
      </c>
      <c r="I50">
        <f>[5]D_装备基础数据!$I50</f>
        <v>4</v>
      </c>
    </row>
    <row r="51" spans="1:9">
      <c r="A51" t="str">
        <f>[5]D_装备基础数据!A51</f>
        <v>54407</v>
      </c>
      <c r="B51" t="str">
        <f>[5]D_装备基础数据!B51</f>
        <v>虹光腰带</v>
      </c>
      <c r="C51">
        <f ca="1">[5]D_装备基础数据!$AP51</f>
        <v>52.27273014517047</v>
      </c>
      <c r="D51">
        <v>1</v>
      </c>
      <c r="E51">
        <f>[5]D_装备基础数据!AS51*H51</f>
        <v>10</v>
      </c>
      <c r="F51">
        <f ca="1">[5]D_装备基础数据!AQ51</f>
        <v>2613.6365072585236</v>
      </c>
      <c r="G51">
        <f ca="1">[5]D_装备基础数据!AR51*H51</f>
        <v>655.36450993475341</v>
      </c>
      <c r="H51">
        <v>1</v>
      </c>
      <c r="I51">
        <f>[5]D_装备基础数据!$I51</f>
        <v>4</v>
      </c>
    </row>
    <row r="52" spans="1:9">
      <c r="A52" t="str">
        <f>[5]D_装备基础数据!A52</f>
        <v>53407</v>
      </c>
      <c r="B52" t="str">
        <f>[5]D_装备基础数据!B52</f>
        <v>虹光项链</v>
      </c>
      <c r="C52">
        <f ca="1">[5]D_装备基础数据!$AP52</f>
        <v>67.97180727272729</v>
      </c>
      <c r="D52">
        <v>1</v>
      </c>
      <c r="E52">
        <f>[5]D_装备基础数据!AS52*H52</f>
        <v>10</v>
      </c>
      <c r="F52">
        <f ca="1">[5]D_装备基础数据!AQ52</f>
        <v>3398.5903636363646</v>
      </c>
      <c r="G52">
        <f ca="1">[5]D_装备基础数据!AR52*H52</f>
        <v>852.19023454404567</v>
      </c>
      <c r="H52">
        <v>1</v>
      </c>
      <c r="I52">
        <f>[5]D_装备基础数据!$I52</f>
        <v>4</v>
      </c>
    </row>
    <row r="53" spans="1:9">
      <c r="A53" t="str">
        <f>[5]D_装备基础数据!A53</f>
        <v>10108</v>
      </c>
      <c r="B53" t="str">
        <f>[5]D_装备基础数据!B53</f>
        <v>碧蓝之剑</v>
      </c>
      <c r="C53">
        <f ca="1">[5]D_装备基础数据!$AP53</f>
        <v>109.08489536989224</v>
      </c>
      <c r="D53">
        <v>1</v>
      </c>
      <c r="E53">
        <f>[5]D_装备基础数据!AS53*H53</f>
        <v>10</v>
      </c>
      <c r="F53">
        <f ca="1">[5]D_装备基础数据!AQ53</f>
        <v>5454.2447684946119</v>
      </c>
      <c r="G53">
        <f ca="1">[5]D_装备基础数据!AR53*H53</f>
        <v>360</v>
      </c>
      <c r="H53">
        <v>1</v>
      </c>
      <c r="I53">
        <f>[5]D_装备基础数据!$I53</f>
        <v>1</v>
      </c>
    </row>
    <row r="54" spans="1:9">
      <c r="A54" t="str">
        <f>[5]D_装备基础数据!A54</f>
        <v>20108</v>
      </c>
      <c r="B54" t="str">
        <f>[5]D_装备基础数据!B54</f>
        <v>碧蓝之拳</v>
      </c>
      <c r="C54">
        <f ca="1">[5]D_装备基础数据!$AP54</f>
        <v>109.08489536989224</v>
      </c>
      <c r="D54">
        <v>1</v>
      </c>
      <c r="E54">
        <f>[5]D_装备基础数据!AS54*H54</f>
        <v>10</v>
      </c>
      <c r="F54">
        <f ca="1">[5]D_装备基础数据!AQ54</f>
        <v>5454.2447684946119</v>
      </c>
      <c r="G54">
        <f ca="1">[5]D_装备基础数据!AR54*H54</f>
        <v>360</v>
      </c>
      <c r="H54">
        <v>1</v>
      </c>
      <c r="I54">
        <f>[5]D_装备基础数据!$I54</f>
        <v>1</v>
      </c>
    </row>
    <row r="55" spans="1:9">
      <c r="A55" t="str">
        <f>[5]D_装备基础数据!A55</f>
        <v>30108</v>
      </c>
      <c r="B55" t="str">
        <f>[5]D_装备基础数据!B55</f>
        <v>碧蓝之枪</v>
      </c>
      <c r="C55">
        <f ca="1">[5]D_装备基础数据!$AP55</f>
        <v>109.08489536989224</v>
      </c>
      <c r="D55">
        <v>1</v>
      </c>
      <c r="E55">
        <f>[5]D_装备基础数据!AS55*H55</f>
        <v>10</v>
      </c>
      <c r="F55">
        <f ca="1">[5]D_装备基础数据!AQ55</f>
        <v>5454.2447684946119</v>
      </c>
      <c r="G55">
        <f ca="1">[5]D_装备基础数据!AR55*H55</f>
        <v>360</v>
      </c>
      <c r="H55">
        <v>1</v>
      </c>
      <c r="I55">
        <f>[5]D_装备基础数据!$I55</f>
        <v>1</v>
      </c>
    </row>
    <row r="56" spans="1:9">
      <c r="A56" t="str">
        <f>[5]D_装备基础数据!A56</f>
        <v>51108</v>
      </c>
      <c r="B56" t="str">
        <f>[5]D_装备基础数据!B56</f>
        <v>碧蓝战衣</v>
      </c>
      <c r="C56">
        <f ca="1">[5]D_装备基础数据!$AP56</f>
        <v>94.105543642506575</v>
      </c>
      <c r="D56">
        <v>1</v>
      </c>
      <c r="E56">
        <f>[5]D_装备基础数据!AS56*H56</f>
        <v>10</v>
      </c>
      <c r="F56">
        <f ca="1">[5]D_装备基础数据!AQ56</f>
        <v>4705.2771821253291</v>
      </c>
      <c r="G56">
        <f ca="1">[5]D_装备基础数据!AR56*H56</f>
        <v>310.56541417972329</v>
      </c>
      <c r="H56">
        <v>1</v>
      </c>
      <c r="I56">
        <f>[5]D_装备基础数据!$I56</f>
        <v>1</v>
      </c>
    </row>
    <row r="57" spans="1:9">
      <c r="A57" t="str">
        <f>[5]D_装备基础数据!A57</f>
        <v>52108</v>
      </c>
      <c r="B57" t="str">
        <f>[5]D_装备基础数据!B57</f>
        <v>碧蓝长裤</v>
      </c>
      <c r="C57">
        <f ca="1">[5]D_装备基础数据!$AP57</f>
        <v>34.672418304983111</v>
      </c>
      <c r="D57">
        <v>1</v>
      </c>
      <c r="E57">
        <f>[5]D_装备基础数据!AS57*H57</f>
        <v>10</v>
      </c>
      <c r="F57">
        <f ca="1">[5]D_装备基础数据!AQ57</f>
        <v>1733.6209152491556</v>
      </c>
      <c r="G57">
        <f ca="1">[5]D_装备基础数据!AR57*H57</f>
        <v>114.42528818924831</v>
      </c>
      <c r="H57">
        <v>1</v>
      </c>
      <c r="I57">
        <f>[5]D_装备基础数据!$I57</f>
        <v>1</v>
      </c>
    </row>
    <row r="58" spans="1:9">
      <c r="A58" t="str">
        <f>[5]D_装备基础数据!A58</f>
        <v>55108</v>
      </c>
      <c r="B58" t="str">
        <f>[5]D_装备基础数据!B58</f>
        <v>碧蓝长靴</v>
      </c>
      <c r="C58">
        <f ca="1">[5]D_装备基础数据!$AP58</f>
        <v>44.170543106317091</v>
      </c>
      <c r="D58">
        <v>1</v>
      </c>
      <c r="E58">
        <f>[5]D_装备基础数据!AS58*H58</f>
        <v>10</v>
      </c>
      <c r="F58">
        <f ca="1">[5]D_装备基础数据!AQ58</f>
        <v>2208.5271553158545</v>
      </c>
      <c r="G58">
        <f ca="1">[5]D_装备基础数据!AR58*H58</f>
        <v>145.77082798085522</v>
      </c>
      <c r="H58">
        <v>1</v>
      </c>
      <c r="I58">
        <f>[5]D_装备基础数据!$I58</f>
        <v>1</v>
      </c>
    </row>
    <row r="59" spans="1:9">
      <c r="A59" t="str">
        <f>[5]D_装备基础数据!A59</f>
        <v>54108</v>
      </c>
      <c r="B59" t="str">
        <f>[5]D_装备基础数据!B59</f>
        <v>碧蓝腰带</v>
      </c>
      <c r="C59">
        <f ca="1">[5]D_装备基础数据!$AP59</f>
        <v>35.533835571320218</v>
      </c>
      <c r="D59">
        <v>1</v>
      </c>
      <c r="E59">
        <f>[5]D_装备基础数据!AS59*H59</f>
        <v>10</v>
      </c>
      <c r="F59">
        <f ca="1">[5]D_装备基础数据!AQ59</f>
        <v>1776.691778566011</v>
      </c>
      <c r="G59">
        <f ca="1">[5]D_装备基础数据!AR59*H59</f>
        <v>117.26812188157407</v>
      </c>
      <c r="H59">
        <v>1</v>
      </c>
      <c r="I59">
        <f>[5]D_装备基础数据!$I59</f>
        <v>1</v>
      </c>
    </row>
    <row r="60" spans="1:9">
      <c r="A60" t="str">
        <f>[5]D_装备基础数据!A60</f>
        <v>53108</v>
      </c>
      <c r="B60" t="str">
        <f>[5]D_装备基础数据!B60</f>
        <v>碧蓝项链</v>
      </c>
      <c r="C60">
        <f ca="1">[5]D_装备基础数据!$AP60</f>
        <v>66.229016342245998</v>
      </c>
      <c r="D60">
        <v>1</v>
      </c>
      <c r="E60">
        <f>[5]D_装备基础数据!AS60*H60</f>
        <v>10</v>
      </c>
      <c r="F60">
        <f ca="1">[5]D_装备基础数据!AQ60</f>
        <v>3311.4508171122998</v>
      </c>
      <c r="G60">
        <f ca="1">[5]D_装备基础数据!AR60*H60</f>
        <v>218.56780264913877</v>
      </c>
      <c r="H60">
        <v>1</v>
      </c>
      <c r="I60">
        <f>[5]D_装备基础数据!$I60</f>
        <v>1</v>
      </c>
    </row>
    <row r="61" spans="1:9">
      <c r="A61" t="str">
        <f>[5]D_装备基础数据!A61</f>
        <v>10209</v>
      </c>
      <c r="B61" t="str">
        <f>[5]D_装备基础数据!B61</f>
        <v>斩魄之刃</v>
      </c>
      <c r="C61">
        <f ca="1">[5]D_装备基础数据!$AP61</f>
        <v>156.88956387903508</v>
      </c>
      <c r="D61">
        <v>1</v>
      </c>
      <c r="E61">
        <f>[5]D_装备基础数据!AS61*H61</f>
        <v>10</v>
      </c>
      <c r="F61">
        <f ca="1">[5]D_装备基础数据!AQ61</f>
        <v>7844.4781939517543</v>
      </c>
      <c r="G61">
        <f ca="1">[5]D_装备基础数据!AR61*H61</f>
        <v>719.99999999999989</v>
      </c>
      <c r="H61">
        <v>1</v>
      </c>
      <c r="I61">
        <f>[5]D_装备基础数据!$I61</f>
        <v>2</v>
      </c>
    </row>
    <row r="62" spans="1:9">
      <c r="A62" t="str">
        <f>[5]D_装备基础数据!A62</f>
        <v>20209</v>
      </c>
      <c r="B62" t="str">
        <f>[5]D_装备基础数据!B62</f>
        <v>流光之拳</v>
      </c>
      <c r="C62">
        <f ca="1">[5]D_装备基础数据!$AP62</f>
        <v>156.88956387903508</v>
      </c>
      <c r="D62">
        <v>1</v>
      </c>
      <c r="E62">
        <f>[5]D_装备基础数据!AS62*H62</f>
        <v>10</v>
      </c>
      <c r="F62">
        <f ca="1">[5]D_装备基础数据!AQ62</f>
        <v>7844.4781939517543</v>
      </c>
      <c r="G62">
        <f ca="1">[5]D_装备基础数据!AR62*H62</f>
        <v>719.99999999999989</v>
      </c>
      <c r="H62">
        <v>1</v>
      </c>
      <c r="I62">
        <f>[5]D_装备基础数据!$I62</f>
        <v>2</v>
      </c>
    </row>
    <row r="63" spans="1:9">
      <c r="A63" t="str">
        <f>[5]D_装备基础数据!A63</f>
        <v>30209</v>
      </c>
      <c r="B63" t="str">
        <f>[5]D_装备基础数据!B63</f>
        <v>玫瑰骑士</v>
      </c>
      <c r="C63">
        <f ca="1">[5]D_装备基础数据!$AP63</f>
        <v>156.88956387903508</v>
      </c>
      <c r="D63">
        <v>1</v>
      </c>
      <c r="E63">
        <f>[5]D_装备基础数据!AS63*H63</f>
        <v>10</v>
      </c>
      <c r="F63">
        <f ca="1">[5]D_装备基础数据!AQ63</f>
        <v>7844.4781939517543</v>
      </c>
      <c r="G63">
        <f ca="1">[5]D_装备基础数据!AR63*H63</f>
        <v>719.99999999999989</v>
      </c>
      <c r="H63">
        <v>1</v>
      </c>
      <c r="I63">
        <f>[5]D_装备基础数据!$I63</f>
        <v>2</v>
      </c>
    </row>
    <row r="64" spans="1:9">
      <c r="A64" t="str">
        <f>[5]D_装备基础数据!A64</f>
        <v>51209</v>
      </c>
      <c r="B64" t="str">
        <f>[5]D_装备基础数据!B64</f>
        <v>黑鸦战衣</v>
      </c>
      <c r="C64">
        <f ca="1">[5]D_装备基础数据!$AP64</f>
        <v>132.96325891546761</v>
      </c>
      <c r="D64">
        <v>1</v>
      </c>
      <c r="E64">
        <f>[5]D_装备基础数据!AS64*H64</f>
        <v>10</v>
      </c>
      <c r="F64">
        <f ca="1">[5]D_装备基础数据!AQ64</f>
        <v>6648.1629457733807</v>
      </c>
      <c r="G64">
        <f ca="1">[5]D_装备基础数据!AR64*H64</f>
        <v>610.19703320068561</v>
      </c>
      <c r="H64">
        <v>1</v>
      </c>
      <c r="I64">
        <f>[5]D_装备基础数据!$I64</f>
        <v>2</v>
      </c>
    </row>
    <row r="65" spans="1:9">
      <c r="A65" t="str">
        <f>[5]D_装备基础数据!A65</f>
        <v>52209</v>
      </c>
      <c r="B65" t="str">
        <f>[5]D_装备基础数据!B65</f>
        <v>黑鸦长裤</v>
      </c>
      <c r="C65">
        <f ca="1">[5]D_装备基础数据!$AP65</f>
        <v>50.47494566211374</v>
      </c>
      <c r="D65">
        <v>1</v>
      </c>
      <c r="E65">
        <f>[5]D_装备基础数据!AS65*H65</f>
        <v>10</v>
      </c>
      <c r="F65">
        <f ca="1">[5]D_装备基础数据!AQ65</f>
        <v>2523.7472831056871</v>
      </c>
      <c r="G65">
        <f ca="1">[5]D_装备基础数据!AR65*H65</f>
        <v>231.6403970932206</v>
      </c>
      <c r="H65">
        <v>1</v>
      </c>
      <c r="I65">
        <f>[5]D_装备基础数据!$I65</f>
        <v>2</v>
      </c>
    </row>
    <row r="66" spans="1:9">
      <c r="A66" t="str">
        <f>[5]D_装备基础数据!A66</f>
        <v>55209</v>
      </c>
      <c r="B66" t="str">
        <f>[5]D_装备基础数据!B66</f>
        <v>黑鸦长靴</v>
      </c>
      <c r="C66">
        <f ca="1">[5]D_装备基础数据!$AP66</f>
        <v>63.944772417873196</v>
      </c>
      <c r="D66">
        <v>1</v>
      </c>
      <c r="E66">
        <f>[5]D_装备基础数据!AS66*H66</f>
        <v>10</v>
      </c>
      <c r="F66">
        <f ca="1">[5]D_装备基础数据!AQ66</f>
        <v>3197.2386208936596</v>
      </c>
      <c r="G66">
        <f ca="1">[5]D_装备基础数据!AR66*H66</f>
        <v>293.45633324831351</v>
      </c>
      <c r="H66">
        <v>1</v>
      </c>
      <c r="I66">
        <f>[5]D_装备基础数据!$I66</f>
        <v>2</v>
      </c>
    </row>
    <row r="67" spans="1:9">
      <c r="A67" t="str">
        <f>[5]D_装备基础数据!A67</f>
        <v>54209</v>
      </c>
      <c r="B67" t="str">
        <f>[5]D_装备基础数据!B67</f>
        <v>黑鸦腰带</v>
      </c>
      <c r="C67">
        <f ca="1">[5]D_装备基础数据!$AP67</f>
        <v>56.869283983437782</v>
      </c>
      <c r="D67">
        <v>1</v>
      </c>
      <c r="E67">
        <f>[5]D_装备基础数据!AS67*H67</f>
        <v>10</v>
      </c>
      <c r="F67">
        <f ca="1">[5]D_装备基础数据!AQ67</f>
        <v>2843.464199171889</v>
      </c>
      <c r="G67">
        <f ca="1">[5]D_装备基础数据!AR67*H67</f>
        <v>260.98539288212487</v>
      </c>
      <c r="H67">
        <v>1</v>
      </c>
      <c r="I67">
        <f>[5]D_装备基础数据!$I67</f>
        <v>2</v>
      </c>
    </row>
    <row r="68" spans="1:9">
      <c r="A68" t="str">
        <f>[5]D_装备基础数据!A68</f>
        <v>53209</v>
      </c>
      <c r="B68" t="str">
        <f>[5]D_装备基础数据!B68</f>
        <v>黑鸦项链</v>
      </c>
      <c r="C68">
        <f ca="1">[5]D_装备基础数据!$AP68</f>
        <v>93.230539629233533</v>
      </c>
      <c r="D68">
        <v>1</v>
      </c>
      <c r="E68">
        <f>[5]D_装备基础数据!AS68*H68</f>
        <v>10</v>
      </c>
      <c r="F68">
        <f ca="1">[5]D_装备基础数据!AQ68</f>
        <v>4661.5269814616768</v>
      </c>
      <c r="G68">
        <f ca="1">[5]D_装备基础数据!AR68*H68</f>
        <v>427.85502664029059</v>
      </c>
      <c r="H68">
        <v>1</v>
      </c>
      <c r="I68">
        <f>[5]D_装备基础数据!$I68</f>
        <v>2</v>
      </c>
    </row>
    <row r="69" spans="1:9">
      <c r="A69" t="str">
        <f>[5]D_装备基础数据!A69</f>
        <v>10310</v>
      </c>
      <c r="B69" t="str">
        <f>[5]D_装备基础数据!B69</f>
        <v>爵士之刃</v>
      </c>
      <c r="C69">
        <f ca="1">[5]D_装备基础数据!$AP69</f>
        <v>204.27730487383371</v>
      </c>
      <c r="D69">
        <v>1</v>
      </c>
      <c r="E69">
        <f>[5]D_装备基础数据!AS69*H69</f>
        <v>10</v>
      </c>
      <c r="F69">
        <f ca="1">[5]D_装备基础数据!AQ69</f>
        <v>10213.865243691685</v>
      </c>
      <c r="G69">
        <f ca="1">[5]D_装备基础数据!AR69*H69</f>
        <v>1799.9999999999998</v>
      </c>
      <c r="H69">
        <v>1</v>
      </c>
      <c r="I69">
        <f>[5]D_装备基础数据!$I69</f>
        <v>3</v>
      </c>
    </row>
    <row r="70" spans="1:9">
      <c r="A70" t="str">
        <f>[5]D_装备基础数据!A70</f>
        <v>20310</v>
      </c>
      <c r="B70" t="str">
        <f>[5]D_装备基础数据!B70</f>
        <v>爵士之拳</v>
      </c>
      <c r="C70">
        <f ca="1">[5]D_装备基础数据!$AP70</f>
        <v>204.27730487383371</v>
      </c>
      <c r="D70">
        <v>1</v>
      </c>
      <c r="E70">
        <f>[5]D_装备基础数据!AS70*H70</f>
        <v>10</v>
      </c>
      <c r="F70">
        <f ca="1">[5]D_装备基础数据!AQ70</f>
        <v>10213.865243691685</v>
      </c>
      <c r="G70">
        <f ca="1">[5]D_装备基础数据!AR70*H70</f>
        <v>1799.9999999999998</v>
      </c>
      <c r="H70">
        <v>1</v>
      </c>
      <c r="I70">
        <f>[5]D_装备基础数据!$I70</f>
        <v>3</v>
      </c>
    </row>
    <row r="71" spans="1:9">
      <c r="A71" t="str">
        <f>[5]D_装备基础数据!A71</f>
        <v>30310</v>
      </c>
      <c r="B71" t="str">
        <f>[5]D_装备基础数据!B71</f>
        <v>爵士之枪</v>
      </c>
      <c r="C71">
        <f ca="1">[5]D_装备基础数据!$AP71</f>
        <v>204.27730487383371</v>
      </c>
      <c r="D71">
        <v>1</v>
      </c>
      <c r="E71">
        <f>[5]D_装备基础数据!AS71*H71</f>
        <v>10</v>
      </c>
      <c r="F71">
        <f ca="1">[5]D_装备基础数据!AQ71</f>
        <v>10213.865243691685</v>
      </c>
      <c r="G71">
        <f ca="1">[5]D_装备基础数据!AR71*H71</f>
        <v>1799.9999999999998</v>
      </c>
      <c r="H71">
        <v>1</v>
      </c>
      <c r="I71">
        <f>[5]D_装备基础数据!$I71</f>
        <v>3</v>
      </c>
    </row>
    <row r="72" spans="1:9">
      <c r="A72" t="str">
        <f>[5]D_装备基础数据!A72</f>
        <v>51310</v>
      </c>
      <c r="B72" t="str">
        <f>[5]D_装备基础数据!B72</f>
        <v>爵士战衣</v>
      </c>
      <c r="C72">
        <f ca="1">[5]D_装备基础数据!$AP72</f>
        <v>169.99514600973615</v>
      </c>
      <c r="D72">
        <v>1</v>
      </c>
      <c r="E72">
        <f>[5]D_装备基础数据!AS72*H72</f>
        <v>10</v>
      </c>
      <c r="F72">
        <f ca="1">[5]D_装备基础数据!AQ72</f>
        <v>8499.7573004868082</v>
      </c>
      <c r="G72">
        <f ca="1">[5]D_装备基础数据!AR72*H72</f>
        <v>1497.9209903249514</v>
      </c>
      <c r="H72">
        <v>1</v>
      </c>
      <c r="I72">
        <f>[5]D_装备基础数据!$I72</f>
        <v>3</v>
      </c>
    </row>
    <row r="73" spans="1:9">
      <c r="A73" t="str">
        <f>[5]D_装备基础数据!A73</f>
        <v>52310</v>
      </c>
      <c r="B73" t="str">
        <f>[5]D_装备基础数据!B73</f>
        <v>爵士长裤</v>
      </c>
      <c r="C73">
        <f ca="1">[5]D_装备基础数据!$AP73</f>
        <v>66.519050659876356</v>
      </c>
      <c r="D73">
        <v>1</v>
      </c>
      <c r="E73">
        <f>[5]D_装备基础数据!AS73*H73</f>
        <v>10</v>
      </c>
      <c r="F73">
        <f ca="1">[5]D_装备基础数据!AQ73</f>
        <v>3325.9525329938178</v>
      </c>
      <c r="G73">
        <f ca="1">[5]D_装备基础数据!AR73*H73</f>
        <v>586.13604316802616</v>
      </c>
      <c r="H73">
        <v>1</v>
      </c>
      <c r="I73">
        <f>[5]D_装备基础数据!$I73</f>
        <v>3</v>
      </c>
    </row>
    <row r="74" spans="1:9">
      <c r="A74" t="str">
        <f>[5]D_装备基础数据!A74</f>
        <v>55310</v>
      </c>
      <c r="B74" t="str">
        <f>[5]D_装备基础数据!B74</f>
        <v>爵士长靴</v>
      </c>
      <c r="C74">
        <f ca="1">[5]D_装备基础数据!$AP74</f>
        <v>83.806925926266004</v>
      </c>
      <c r="D74">
        <v>1</v>
      </c>
      <c r="E74">
        <f>[5]D_装备基础数据!AS74*H74</f>
        <v>10</v>
      </c>
      <c r="F74">
        <f ca="1">[5]D_装备基础数据!AQ74</f>
        <v>4190.3462963133006</v>
      </c>
      <c r="G74">
        <f ca="1">[5]D_装备基础数据!AR74*H74</f>
        <v>738.46904706545206</v>
      </c>
      <c r="H74">
        <v>1</v>
      </c>
      <c r="I74">
        <f>[5]D_装备基础数据!$I74</f>
        <v>3</v>
      </c>
    </row>
    <row r="75" spans="1:9">
      <c r="A75" t="str">
        <f>[5]D_装备基础数据!A75</f>
        <v>54310</v>
      </c>
      <c r="B75" t="str">
        <f>[5]D_装备基础数据!B75</f>
        <v>爵士腰带</v>
      </c>
      <c r="C75">
        <f ca="1">[5]D_装备基础数据!$AP75</f>
        <v>81.615583227950395</v>
      </c>
      <c r="D75">
        <v>1</v>
      </c>
      <c r="E75">
        <f>[5]D_装备基础数据!AS75*H75</f>
        <v>10</v>
      </c>
      <c r="F75">
        <f ca="1">[5]D_装备基础数据!AQ75</f>
        <v>4080.7791613975196</v>
      </c>
      <c r="G75">
        <f ca="1">[5]D_装备基础数据!AR75*H75</f>
        <v>719.15991794117531</v>
      </c>
      <c r="H75">
        <v>1</v>
      </c>
      <c r="I75">
        <f>[5]D_装备基础数据!$I75</f>
        <v>3</v>
      </c>
    </row>
    <row r="76" spans="1:9">
      <c r="A76" t="str">
        <f>[5]D_装备基础数据!A76</f>
        <v>53310</v>
      </c>
      <c r="B76" t="str">
        <f>[5]D_装备基础数据!B76</f>
        <v>爵士项链</v>
      </c>
      <c r="C76">
        <f ca="1">[5]D_装备基础数据!$AP76</f>
        <v>118.734465939394</v>
      </c>
      <c r="D76">
        <v>1</v>
      </c>
      <c r="E76">
        <f>[5]D_装备基础数据!AS76*H76</f>
        <v>10</v>
      </c>
      <c r="F76">
        <f ca="1">[5]D_装备基础数据!AQ76</f>
        <v>5936.7232969696997</v>
      </c>
      <c r="G76">
        <f ca="1">[5]D_装备基础数据!AR76*H76</f>
        <v>1046.2348659970266</v>
      </c>
      <c r="H76">
        <v>1</v>
      </c>
      <c r="I76">
        <f>[5]D_装备基础数据!$I76</f>
        <v>3</v>
      </c>
    </row>
    <row r="77" spans="1:9">
      <c r="A77" t="str">
        <f>[5]D_装备基础数据!A77</f>
        <v>10411</v>
      </c>
      <c r="B77" t="str">
        <f>[5]D_装备基础数据!B77</f>
        <v>暴血之刃</v>
      </c>
      <c r="C77">
        <f ca="1">[5]D_装备基础数据!$AP77</f>
        <v>239.28392224217919</v>
      </c>
      <c r="D77">
        <v>1</v>
      </c>
      <c r="E77">
        <f>[5]D_装备基础数据!AS77*H77</f>
        <v>10</v>
      </c>
      <c r="F77">
        <f ca="1">[5]D_装备基础数据!AQ77</f>
        <v>11964.196112108959</v>
      </c>
      <c r="G77">
        <f ca="1">[5]D_装备基础数据!AR77*H77</f>
        <v>3000</v>
      </c>
      <c r="H77">
        <v>1</v>
      </c>
      <c r="I77">
        <f>[5]D_装备基础数据!$I77</f>
        <v>4</v>
      </c>
    </row>
    <row r="78" spans="1:9">
      <c r="A78" t="str">
        <f>[5]D_装备基础数据!A78</f>
        <v>20411</v>
      </c>
      <c r="B78" t="str">
        <f>[5]D_装备基础数据!B78</f>
        <v>暴血之拳</v>
      </c>
      <c r="C78">
        <f ca="1">[5]D_装备基础数据!$AP78</f>
        <v>239.28392224217919</v>
      </c>
      <c r="D78">
        <v>1</v>
      </c>
      <c r="E78">
        <f>[5]D_装备基础数据!AS78*H78</f>
        <v>10</v>
      </c>
      <c r="F78">
        <f ca="1">[5]D_装备基础数据!AQ78</f>
        <v>11964.196112108959</v>
      </c>
      <c r="G78">
        <f ca="1">[5]D_装备基础数据!AR78*H78</f>
        <v>3000</v>
      </c>
      <c r="H78">
        <v>1</v>
      </c>
      <c r="I78">
        <f>[5]D_装备基础数据!$I78</f>
        <v>4</v>
      </c>
    </row>
    <row r="79" spans="1:9">
      <c r="A79" t="str">
        <f>[5]D_装备基础数据!A79</f>
        <v>30411</v>
      </c>
      <c r="B79" t="str">
        <f>[5]D_装备基础数据!B79</f>
        <v>暴血之枪</v>
      </c>
      <c r="C79">
        <f ca="1">[5]D_装备基础数据!$AP79</f>
        <v>239.28392224217919</v>
      </c>
      <c r="D79">
        <v>1</v>
      </c>
      <c r="E79">
        <f>[5]D_装备基础数据!AS79*H79</f>
        <v>10</v>
      </c>
      <c r="F79">
        <f ca="1">[5]D_装备基础数据!AQ79</f>
        <v>11964.196112108959</v>
      </c>
      <c r="G79">
        <f ca="1">[5]D_装备基础数据!AR79*H79</f>
        <v>3000</v>
      </c>
      <c r="H79">
        <v>1</v>
      </c>
      <c r="I79">
        <f>[5]D_装备基础数据!$I79</f>
        <v>4</v>
      </c>
    </row>
    <row r="80" spans="1:9">
      <c r="A80" t="str">
        <f>[5]D_装备基础数据!A80</f>
        <v>51411</v>
      </c>
      <c r="B80" t="str">
        <f>[5]D_装备基础数据!B80</f>
        <v>暴血战衣</v>
      </c>
      <c r="C80">
        <f ca="1">[5]D_装备基础数据!$AP80</f>
        <v>195.42971897648789</v>
      </c>
      <c r="D80">
        <v>1</v>
      </c>
      <c r="E80">
        <f>[5]D_装备基础数据!AS80*H80</f>
        <v>10</v>
      </c>
      <c r="F80">
        <f ca="1">[5]D_装备基础数据!AQ80</f>
        <v>9771.4859488243947</v>
      </c>
      <c r="G80">
        <f ca="1">[5]D_装备基础数据!AR80*H80</f>
        <v>2450.1819906482501</v>
      </c>
      <c r="H80">
        <v>1</v>
      </c>
      <c r="I80">
        <f>[5]D_装备基础数据!$I80</f>
        <v>4</v>
      </c>
    </row>
    <row r="81" spans="1:9">
      <c r="A81" t="str">
        <f>[5]D_装备基础数据!A81</f>
        <v>52411</v>
      </c>
      <c r="B81" t="str">
        <f>[5]D_装备基础数据!B81</f>
        <v>暴血长裤</v>
      </c>
      <c r="C81">
        <f ca="1">[5]D_装备基础数据!$AP81</f>
        <v>78.861650760258101</v>
      </c>
      <c r="D81">
        <v>1</v>
      </c>
      <c r="E81">
        <f>[5]D_装备基础数据!AS81*H81</f>
        <v>10</v>
      </c>
      <c r="F81">
        <f ca="1">[5]D_装备基础数据!AQ81</f>
        <v>3943.0825380129049</v>
      </c>
      <c r="G81">
        <f ca="1">[5]D_装备基础数据!AR81*H81</f>
        <v>988.72063807666405</v>
      </c>
      <c r="H81">
        <v>1</v>
      </c>
      <c r="I81">
        <f>[5]D_装备基础数据!$I81</f>
        <v>4</v>
      </c>
    </row>
    <row r="82" spans="1:9">
      <c r="A82" t="str">
        <f>[5]D_装备基础数据!A82</f>
        <v>55411</v>
      </c>
      <c r="B82" t="str">
        <f>[5]D_装备基础数据!B82</f>
        <v>暴血长靴</v>
      </c>
      <c r="C82">
        <f ca="1">[5]D_装备基础数据!$AP82</f>
        <v>98.816193934757592</v>
      </c>
      <c r="D82">
        <v>1</v>
      </c>
      <c r="E82">
        <f>[5]D_装备基础数据!AS82*H82</f>
        <v>10</v>
      </c>
      <c r="F82">
        <f ca="1">[5]D_装备基础数据!AQ82</f>
        <v>4940.8096967378797</v>
      </c>
      <c r="G82">
        <f ca="1">[5]D_装备基础数据!AR82*H82</f>
        <v>1238.8988738835419</v>
      </c>
      <c r="H82">
        <v>1</v>
      </c>
      <c r="I82">
        <f>[5]D_装备基础数据!$I82</f>
        <v>4</v>
      </c>
    </row>
    <row r="83" spans="1:9">
      <c r="A83" t="str">
        <f>[5]D_装备基础数据!A83</f>
        <v>54411</v>
      </c>
      <c r="B83" t="str">
        <f>[5]D_装备基础数据!B83</f>
        <v>暴血腰带</v>
      </c>
      <c r="C83">
        <f ca="1">[5]D_装备基础数据!$AP83</f>
        <v>104.54546029034094</v>
      </c>
      <c r="D83">
        <v>1</v>
      </c>
      <c r="E83">
        <f>[5]D_装备基础数据!AS83*H83</f>
        <v>10</v>
      </c>
      <c r="F83">
        <f ca="1">[5]D_装备基础数据!AQ83</f>
        <v>5227.2730145170472</v>
      </c>
      <c r="G83">
        <f ca="1">[5]D_装备基础数据!AR83*H83</f>
        <v>1310.7290198695068</v>
      </c>
      <c r="H83">
        <v>1</v>
      </c>
      <c r="I83">
        <f>[5]D_装备基础数据!$I83</f>
        <v>4</v>
      </c>
    </row>
    <row r="84" spans="1:9">
      <c r="A84" t="str">
        <f>[5]D_装备基础数据!A84</f>
        <v>53411</v>
      </c>
      <c r="B84" t="str">
        <f>[5]D_装备基础数据!B84</f>
        <v>暴血项链</v>
      </c>
      <c r="C84">
        <f ca="1">[5]D_装备基础数据!$AP84</f>
        <v>135.94361454545458</v>
      </c>
      <c r="D84">
        <v>1</v>
      </c>
      <c r="E84">
        <f>[5]D_装备基础数据!AS84*H84</f>
        <v>10</v>
      </c>
      <c r="F84">
        <f ca="1">[5]D_装备基础数据!AQ84</f>
        <v>6797.1807272727292</v>
      </c>
      <c r="G84">
        <f ca="1">[5]D_装备基础数据!AR84*H84</f>
        <v>1704.3804690880913</v>
      </c>
      <c r="H84">
        <v>1</v>
      </c>
      <c r="I84">
        <f>[5]D_装备基础数据!$I84</f>
        <v>4</v>
      </c>
    </row>
    <row r="85" spans="1:9">
      <c r="A85" t="str">
        <f>[5]D_装备基础数据!A85</f>
        <v>10112</v>
      </c>
      <c r="B85" t="str">
        <f>[5]D_装备基础数据!B85</f>
        <v>勇气之刃</v>
      </c>
      <c r="C85">
        <f ca="1">[5]D_装备基础数据!$AP85</f>
        <v>218.16979073978447</v>
      </c>
      <c r="D85">
        <v>1</v>
      </c>
      <c r="E85">
        <f>[5]D_装备基础数据!AS85*H85</f>
        <v>10</v>
      </c>
      <c r="F85">
        <f ca="1">[5]D_装备基础数据!AQ85</f>
        <v>10908.489536989224</v>
      </c>
      <c r="G85">
        <f ca="1">[5]D_装备基础数据!AR85*H85</f>
        <v>539.99999999999989</v>
      </c>
      <c r="H85">
        <v>1</v>
      </c>
      <c r="I85">
        <f>[5]D_装备基础数据!$I85</f>
        <v>1</v>
      </c>
    </row>
    <row r="86" spans="1:9">
      <c r="A86" t="str">
        <f>[5]D_装备基础数据!A86</f>
        <v>20112</v>
      </c>
      <c r="B86" t="str">
        <f>[5]D_装备基础数据!B86</f>
        <v>勇气之拳</v>
      </c>
      <c r="C86">
        <f ca="1">[5]D_装备基础数据!$AP86</f>
        <v>218.16979073978447</v>
      </c>
      <c r="D86">
        <v>1</v>
      </c>
      <c r="E86">
        <f>[5]D_装备基础数据!AS86*H86</f>
        <v>10</v>
      </c>
      <c r="F86">
        <f ca="1">[5]D_装备基础数据!AQ86</f>
        <v>10908.489536989224</v>
      </c>
      <c r="G86">
        <f ca="1">[5]D_装备基础数据!AR86*H86</f>
        <v>539.99999999999989</v>
      </c>
      <c r="H86">
        <v>1</v>
      </c>
      <c r="I86">
        <f>[5]D_装备基础数据!$I86</f>
        <v>1</v>
      </c>
    </row>
    <row r="87" spans="1:9">
      <c r="A87" t="str">
        <f>[5]D_装备基础数据!A87</f>
        <v>30112</v>
      </c>
      <c r="B87" t="str">
        <f>[5]D_装备基础数据!B87</f>
        <v>勇气之枪</v>
      </c>
      <c r="C87">
        <f ca="1">[5]D_装备基础数据!$AP87</f>
        <v>218.16979073978447</v>
      </c>
      <c r="D87">
        <v>1</v>
      </c>
      <c r="E87">
        <f>[5]D_装备基础数据!AS87*H87</f>
        <v>10</v>
      </c>
      <c r="F87">
        <f ca="1">[5]D_装备基础数据!AQ87</f>
        <v>10908.489536989224</v>
      </c>
      <c r="G87">
        <f ca="1">[5]D_装备基础数据!AR87*H87</f>
        <v>539.99999999999989</v>
      </c>
      <c r="H87">
        <v>1</v>
      </c>
      <c r="I87">
        <f>[5]D_装备基础数据!$I87</f>
        <v>1</v>
      </c>
    </row>
    <row r="88" spans="1:9">
      <c r="A88" t="str">
        <f>[5]D_装备基础数据!A88</f>
        <v>51112</v>
      </c>
      <c r="B88" t="str">
        <f>[5]D_装备基础数据!B88</f>
        <v>勇气战衣</v>
      </c>
      <c r="C88">
        <f ca="1">[5]D_装备基础数据!$AP88</f>
        <v>188.21108728501315</v>
      </c>
      <c r="D88">
        <v>1</v>
      </c>
      <c r="E88">
        <f>[5]D_装备基础数据!AS88*H88</f>
        <v>10</v>
      </c>
      <c r="F88">
        <f ca="1">[5]D_装备基础数据!AQ88</f>
        <v>9410.5543642506582</v>
      </c>
      <c r="G88">
        <f ca="1">[5]D_装备基础数据!AR88*H88</f>
        <v>465.84812126958496</v>
      </c>
      <c r="H88">
        <v>1</v>
      </c>
      <c r="I88">
        <f>[5]D_装备基础数据!$I88</f>
        <v>1</v>
      </c>
    </row>
    <row r="89" spans="1:9">
      <c r="A89" t="str">
        <f>[5]D_装备基础数据!A89</f>
        <v>52112</v>
      </c>
      <c r="B89" t="str">
        <f>[5]D_装备基础数据!B89</f>
        <v>勇气长裤</v>
      </c>
      <c r="C89">
        <f ca="1">[5]D_装备基础数据!$AP89</f>
        <v>69.344836609966222</v>
      </c>
      <c r="D89">
        <v>1</v>
      </c>
      <c r="E89">
        <f>[5]D_装备基础数据!AS89*H89</f>
        <v>10</v>
      </c>
      <c r="F89">
        <f ca="1">[5]D_装备基础数据!AQ89</f>
        <v>3467.2418304983112</v>
      </c>
      <c r="G89">
        <f ca="1">[5]D_装备基础数据!AR89*H89</f>
        <v>171.63793228387246</v>
      </c>
      <c r="H89">
        <v>1</v>
      </c>
      <c r="I89">
        <f>[5]D_装备基础数据!$I89</f>
        <v>1</v>
      </c>
    </row>
    <row r="90" spans="1:9">
      <c r="A90" t="str">
        <f>[5]D_装备基础数据!A90</f>
        <v>55112</v>
      </c>
      <c r="B90" t="str">
        <f>[5]D_装备基础数据!B90</f>
        <v>勇气长靴</v>
      </c>
      <c r="C90">
        <f ca="1">[5]D_装备基础数据!$AP90</f>
        <v>88.341086212634181</v>
      </c>
      <c r="D90">
        <v>1</v>
      </c>
      <c r="E90">
        <f>[5]D_装备基础数据!AS90*H90</f>
        <v>10</v>
      </c>
      <c r="F90">
        <f ca="1">[5]D_装备基础数据!AQ90</f>
        <v>4417.0543106317091</v>
      </c>
      <c r="G90">
        <f ca="1">[5]D_装备基础数据!AR90*H90</f>
        <v>218.65624197128281</v>
      </c>
      <c r="H90">
        <v>1</v>
      </c>
      <c r="I90">
        <f>[5]D_装备基础数据!$I90</f>
        <v>1</v>
      </c>
    </row>
    <row r="91" spans="1:9">
      <c r="A91" t="str">
        <f>[5]D_装备基础数据!A91</f>
        <v>54112</v>
      </c>
      <c r="B91" t="str">
        <f>[5]D_装备基础数据!B91</f>
        <v>勇气腰带</v>
      </c>
      <c r="C91">
        <f ca="1">[5]D_装备基础数据!$AP91</f>
        <v>71.067671142640435</v>
      </c>
      <c r="D91">
        <v>1</v>
      </c>
      <c r="E91">
        <f>[5]D_装备基础数据!AS91*H91</f>
        <v>10</v>
      </c>
      <c r="F91">
        <f ca="1">[5]D_装备基础数据!AQ91</f>
        <v>3553.3835571320219</v>
      </c>
      <c r="G91">
        <f ca="1">[5]D_装备基础数据!AR91*H91</f>
        <v>175.90218282236108</v>
      </c>
      <c r="H91">
        <v>1</v>
      </c>
      <c r="I91">
        <f>[5]D_装备基础数据!$I91</f>
        <v>1</v>
      </c>
    </row>
    <row r="92" spans="1:9">
      <c r="A92" t="str">
        <f>[5]D_装备基础数据!A92</f>
        <v>53112</v>
      </c>
      <c r="B92" t="str">
        <f>[5]D_装备基础数据!B92</f>
        <v>勇气项链</v>
      </c>
      <c r="C92">
        <f ca="1">[5]D_装备基础数据!$AP92</f>
        <v>132.458032684492</v>
      </c>
      <c r="D92">
        <v>1</v>
      </c>
      <c r="E92">
        <f>[5]D_装备基础数据!AS92*H92</f>
        <v>10</v>
      </c>
      <c r="F92">
        <f ca="1">[5]D_装备基础数据!AQ92</f>
        <v>6622.9016342245995</v>
      </c>
      <c r="G92">
        <f ca="1">[5]D_装备基础数据!AR92*H92</f>
        <v>327.85170397370814</v>
      </c>
      <c r="H92">
        <v>1</v>
      </c>
      <c r="I92">
        <f>[5]D_装备基础数据!$I92</f>
        <v>1</v>
      </c>
    </row>
    <row r="93" spans="1:9">
      <c r="A93" t="str">
        <f>[5]D_装备基础数据!A93</f>
        <v>10213</v>
      </c>
      <c r="B93" t="str">
        <f>[5]D_装备基础数据!B93</f>
        <v>暗羽霸刀</v>
      </c>
      <c r="C93">
        <f ca="1">[5]D_装备基础数据!$AP93</f>
        <v>313.77912775807016</v>
      </c>
      <c r="D93">
        <v>1</v>
      </c>
      <c r="E93">
        <f>[5]D_装备基础数据!AS93*H93</f>
        <v>10</v>
      </c>
      <c r="F93">
        <f ca="1">[5]D_装备基础数据!AQ93</f>
        <v>15688.956387903509</v>
      </c>
      <c r="G93">
        <f ca="1">[5]D_装备基础数据!AR93*H93</f>
        <v>1080.0000000000002</v>
      </c>
      <c r="H93">
        <v>1</v>
      </c>
      <c r="I93">
        <f>[5]D_装备基础数据!$I93</f>
        <v>2</v>
      </c>
    </row>
    <row r="94" spans="1:9">
      <c r="A94" t="str">
        <f>[5]D_装备基础数据!A94</f>
        <v>20213</v>
      </c>
      <c r="B94" t="str">
        <f>[5]D_装备基础数据!B94</f>
        <v>暗羽之拳</v>
      </c>
      <c r="C94">
        <f ca="1">[5]D_装备基础数据!$AP94</f>
        <v>313.77912775807016</v>
      </c>
      <c r="D94">
        <v>1</v>
      </c>
      <c r="E94">
        <f>[5]D_装备基础数据!AS94*H94</f>
        <v>10</v>
      </c>
      <c r="F94">
        <f ca="1">[5]D_装备基础数据!AQ94</f>
        <v>15688.956387903509</v>
      </c>
      <c r="G94">
        <f ca="1">[5]D_装备基础数据!AR94*H94</f>
        <v>1080.0000000000002</v>
      </c>
      <c r="H94">
        <v>1</v>
      </c>
      <c r="I94">
        <f>[5]D_装备基础数据!$I94</f>
        <v>2</v>
      </c>
    </row>
    <row r="95" spans="1:9">
      <c r="A95" t="str">
        <f>[5]D_装备基础数据!A95</f>
        <v>30213</v>
      </c>
      <c r="B95" t="str">
        <f>[5]D_装备基础数据!B95</f>
        <v>暗羽之枪</v>
      </c>
      <c r="C95">
        <f ca="1">[5]D_装备基础数据!$AP95</f>
        <v>313.77912775807016</v>
      </c>
      <c r="D95">
        <v>1</v>
      </c>
      <c r="E95">
        <f>[5]D_装备基础数据!AS95*H95</f>
        <v>10</v>
      </c>
      <c r="F95">
        <f ca="1">[5]D_装备基础数据!AQ95</f>
        <v>15688.956387903509</v>
      </c>
      <c r="G95">
        <f ca="1">[5]D_装备基础数据!AR95*H95</f>
        <v>1080.0000000000002</v>
      </c>
      <c r="H95">
        <v>1</v>
      </c>
      <c r="I95">
        <f>[5]D_装备基础数据!$I95</f>
        <v>2</v>
      </c>
    </row>
    <row r="96" spans="1:9">
      <c r="A96" t="str">
        <f>[5]D_装备基础数据!A96</f>
        <v>51213</v>
      </c>
      <c r="B96" t="str">
        <f>[5]D_装备基础数据!B96</f>
        <v>暗羽战衣</v>
      </c>
      <c r="C96">
        <f ca="1">[5]D_装备基础数据!$AP96</f>
        <v>265.92651783093521</v>
      </c>
      <c r="D96">
        <v>1</v>
      </c>
      <c r="E96">
        <f>[5]D_装备基础数据!AS96*H96</f>
        <v>10</v>
      </c>
      <c r="F96">
        <f ca="1">[5]D_装备基础数据!AQ96</f>
        <v>13296.325891546761</v>
      </c>
      <c r="G96">
        <f ca="1">[5]D_装备基础数据!AR96*H96</f>
        <v>915.29554980102876</v>
      </c>
      <c r="H96">
        <v>1</v>
      </c>
      <c r="I96">
        <f>[5]D_装备基础数据!$I96</f>
        <v>2</v>
      </c>
    </row>
    <row r="97" spans="1:9">
      <c r="A97" t="str">
        <f>[5]D_装备基础数据!A97</f>
        <v>52213</v>
      </c>
      <c r="B97" t="str">
        <f>[5]D_装备基础数据!B97</f>
        <v>暗羽长裤</v>
      </c>
      <c r="C97">
        <f ca="1">[5]D_装备基础数据!$AP97</f>
        <v>100.94989132422748</v>
      </c>
      <c r="D97">
        <v>1</v>
      </c>
      <c r="E97">
        <f>[5]D_装备基础数据!AS97*H97</f>
        <v>10</v>
      </c>
      <c r="F97">
        <f ca="1">[5]D_装备基础数据!AQ97</f>
        <v>5047.4945662113741</v>
      </c>
      <c r="G97">
        <f ca="1">[5]D_装备基础数据!AR97*H97</f>
        <v>347.46059563983096</v>
      </c>
      <c r="H97">
        <v>1</v>
      </c>
      <c r="I97">
        <f>[5]D_装备基础数据!$I97</f>
        <v>2</v>
      </c>
    </row>
    <row r="98" spans="1:9">
      <c r="A98" t="str">
        <f>[5]D_装备基础数据!A98</f>
        <v>55213</v>
      </c>
      <c r="B98" t="str">
        <f>[5]D_装备基础数据!B98</f>
        <v>暗羽长靴</v>
      </c>
      <c r="C98">
        <f ca="1">[5]D_装备基础数据!$AP98</f>
        <v>127.88954483574639</v>
      </c>
      <c r="D98">
        <v>1</v>
      </c>
      <c r="E98">
        <f>[5]D_装备基础数据!AS98*H98</f>
        <v>10</v>
      </c>
      <c r="F98">
        <f ca="1">[5]D_装备基础数据!AQ98</f>
        <v>6394.4772417873191</v>
      </c>
      <c r="G98">
        <f ca="1">[5]D_装备基础数据!AR98*H98</f>
        <v>440.18449987247038</v>
      </c>
      <c r="H98">
        <v>1</v>
      </c>
      <c r="I98">
        <f>[5]D_装备基础数据!$I98</f>
        <v>2</v>
      </c>
    </row>
    <row r="99" spans="1:9">
      <c r="A99" t="str">
        <f>[5]D_装备基础数据!A99</f>
        <v>54213</v>
      </c>
      <c r="B99" t="str">
        <f>[5]D_装备基础数据!B99</f>
        <v>暗羽腰带</v>
      </c>
      <c r="C99">
        <f ca="1">[5]D_装备基础数据!$AP99</f>
        <v>113.73856796687556</v>
      </c>
      <c r="D99">
        <v>1</v>
      </c>
      <c r="E99">
        <f>[5]D_装备基础数据!AS99*H99</f>
        <v>10</v>
      </c>
      <c r="F99">
        <f ca="1">[5]D_装备基础数据!AQ99</f>
        <v>5686.9283983437781</v>
      </c>
      <c r="G99">
        <f ca="1">[5]D_装备基础数据!AR99*H99</f>
        <v>391.47808932318742</v>
      </c>
      <c r="H99">
        <v>1</v>
      </c>
      <c r="I99">
        <f>[5]D_装备基础数据!$I99</f>
        <v>2</v>
      </c>
    </row>
    <row r="100" spans="1:9">
      <c r="A100" t="str">
        <f>[5]D_装备基础数据!A100</f>
        <v>53213</v>
      </c>
      <c r="B100" t="str">
        <f>[5]D_装备基础数据!B100</f>
        <v>暗羽项链</v>
      </c>
      <c r="C100">
        <f ca="1">[5]D_装备基础数据!$AP100</f>
        <v>186.46107925846707</v>
      </c>
      <c r="D100">
        <v>1</v>
      </c>
      <c r="E100">
        <f>[5]D_装备基础数据!AS100*H100</f>
        <v>10</v>
      </c>
      <c r="F100">
        <f ca="1">[5]D_装备基础数据!AQ100</f>
        <v>9323.0539629233535</v>
      </c>
      <c r="G100">
        <f ca="1">[5]D_装备基础数据!AR100*H100</f>
        <v>641.78253996043611</v>
      </c>
      <c r="H100">
        <v>1</v>
      </c>
      <c r="I100">
        <f>[5]D_装备基础数据!$I100</f>
        <v>2</v>
      </c>
    </row>
    <row r="101" spans="1:9">
      <c r="A101" t="str">
        <f>[5]D_装备基础数据!A101</f>
        <v>10314</v>
      </c>
      <c r="B101" t="str">
        <f>[5]D_装备基础数据!B101</f>
        <v>玄武霸刀</v>
      </c>
      <c r="C101">
        <f ca="1">[5]D_装备基础数据!$AP101</f>
        <v>408.55460974766743</v>
      </c>
      <c r="D101">
        <v>1</v>
      </c>
      <c r="E101">
        <f>[5]D_装备基础数据!AS101*H101</f>
        <v>10</v>
      </c>
      <c r="F101">
        <f ca="1">[5]D_装备基础数据!AQ101</f>
        <v>20427.730487383371</v>
      </c>
      <c r="G101">
        <f ca="1">[5]D_装备基础数据!AR101*H101</f>
        <v>2700</v>
      </c>
      <c r="H101">
        <v>1</v>
      </c>
      <c r="I101">
        <f>[5]D_装备基础数据!$I101</f>
        <v>3</v>
      </c>
    </row>
    <row r="102" spans="1:9">
      <c r="A102" t="str">
        <f>[5]D_装备基础数据!A102</f>
        <v>20314</v>
      </c>
      <c r="B102" t="str">
        <f>[5]D_装备基础数据!B102</f>
        <v>玄武之拳</v>
      </c>
      <c r="C102">
        <f ca="1">[5]D_装备基础数据!$AP102</f>
        <v>408.55460974766743</v>
      </c>
      <c r="D102">
        <v>1</v>
      </c>
      <c r="E102">
        <f>[5]D_装备基础数据!AS102*H102</f>
        <v>10</v>
      </c>
      <c r="F102">
        <f ca="1">[5]D_装备基础数据!AQ102</f>
        <v>20427.730487383371</v>
      </c>
      <c r="G102">
        <f ca="1">[5]D_装备基础数据!AR102*H102</f>
        <v>2700</v>
      </c>
      <c r="H102">
        <v>1</v>
      </c>
      <c r="I102">
        <f>[5]D_装备基础数据!$I102</f>
        <v>3</v>
      </c>
    </row>
    <row r="103" spans="1:9">
      <c r="A103" t="str">
        <f>[5]D_装备基础数据!A103</f>
        <v>30314</v>
      </c>
      <c r="B103" t="str">
        <f>[5]D_装备基础数据!B103</f>
        <v>玄武之枪</v>
      </c>
      <c r="C103">
        <f ca="1">[5]D_装备基础数据!$AP103</f>
        <v>408.55460974766743</v>
      </c>
      <c r="D103">
        <v>1</v>
      </c>
      <c r="E103">
        <f>[5]D_装备基础数据!AS103*H103</f>
        <v>10</v>
      </c>
      <c r="F103">
        <f ca="1">[5]D_装备基础数据!AQ103</f>
        <v>20427.730487383371</v>
      </c>
      <c r="G103">
        <f ca="1">[5]D_装备基础数据!AR103*H103</f>
        <v>2700</v>
      </c>
      <c r="H103">
        <v>1</v>
      </c>
      <c r="I103">
        <f>[5]D_装备基础数据!$I103</f>
        <v>3</v>
      </c>
    </row>
    <row r="104" spans="1:9">
      <c r="A104" t="str">
        <f>[5]D_装备基础数据!A104</f>
        <v>51314</v>
      </c>
      <c r="B104" t="str">
        <f>[5]D_装备基础数据!B104</f>
        <v>玄武战衣</v>
      </c>
      <c r="C104">
        <f ca="1">[5]D_装备基础数据!$AP104</f>
        <v>339.99029201947229</v>
      </c>
      <c r="D104">
        <v>1</v>
      </c>
      <c r="E104">
        <f>[5]D_装备基础数据!AS104*H104</f>
        <v>10</v>
      </c>
      <c r="F104">
        <f ca="1">[5]D_装备基础数据!AQ104</f>
        <v>16999.514600973616</v>
      </c>
      <c r="G104">
        <f ca="1">[5]D_装备基础数据!AR104*H104</f>
        <v>2246.8814854874277</v>
      </c>
      <c r="H104">
        <v>1</v>
      </c>
      <c r="I104">
        <f>[5]D_装备基础数据!$I104</f>
        <v>3</v>
      </c>
    </row>
    <row r="105" spans="1:9">
      <c r="A105" t="str">
        <f>[5]D_装备基础数据!A105</f>
        <v>52314</v>
      </c>
      <c r="B105" t="str">
        <f>[5]D_装备基础数据!B105</f>
        <v>玄武长裤</v>
      </c>
      <c r="C105">
        <f ca="1">[5]D_装备基础数据!$AP105</f>
        <v>133.03810131975271</v>
      </c>
      <c r="D105">
        <v>1</v>
      </c>
      <c r="E105">
        <f>[5]D_装备基础数据!AS105*H105</f>
        <v>10</v>
      </c>
      <c r="F105">
        <f ca="1">[5]D_装备基础数据!AQ105</f>
        <v>6651.9050659876357</v>
      </c>
      <c r="G105">
        <f ca="1">[5]D_装备基础数据!AR105*H105</f>
        <v>879.20406475203936</v>
      </c>
      <c r="H105">
        <v>1</v>
      </c>
      <c r="I105">
        <f>[5]D_装备基础数据!$I105</f>
        <v>3</v>
      </c>
    </row>
    <row r="106" spans="1:9">
      <c r="A106" t="str">
        <f>[5]D_装备基础数据!A106</f>
        <v>55314</v>
      </c>
      <c r="B106" t="str">
        <f>[5]D_装备基础数据!B106</f>
        <v>玄武长靴</v>
      </c>
      <c r="C106">
        <f ca="1">[5]D_装备基础数据!$AP106</f>
        <v>167.61385185253201</v>
      </c>
      <c r="D106">
        <v>1</v>
      </c>
      <c r="E106">
        <f>[5]D_装备基础数据!AS106*H106</f>
        <v>10</v>
      </c>
      <c r="F106">
        <f ca="1">[5]D_装备基础数据!AQ106</f>
        <v>8380.6925926266013</v>
      </c>
      <c r="G106">
        <f ca="1">[5]D_装备基础数据!AR106*H106</f>
        <v>1107.7035705981784</v>
      </c>
      <c r="H106">
        <v>1</v>
      </c>
      <c r="I106">
        <f>[5]D_装备基础数据!$I106</f>
        <v>3</v>
      </c>
    </row>
    <row r="107" spans="1:9">
      <c r="A107" t="str">
        <f>[5]D_装备基础数据!A107</f>
        <v>54314</v>
      </c>
      <c r="B107" t="str">
        <f>[5]D_装备基础数据!B107</f>
        <v>玄武腰带</v>
      </c>
      <c r="C107">
        <f ca="1">[5]D_装备基础数据!$AP107</f>
        <v>163.23116645590079</v>
      </c>
      <c r="D107">
        <v>1</v>
      </c>
      <c r="E107">
        <f>[5]D_装备基础数据!AS107*H107</f>
        <v>10</v>
      </c>
      <c r="F107">
        <f ca="1">[5]D_装备基础数据!AQ107</f>
        <v>8161.5583227950392</v>
      </c>
      <c r="G107">
        <f ca="1">[5]D_装备基础数据!AR107*H107</f>
        <v>1078.7398769117631</v>
      </c>
      <c r="H107">
        <v>1</v>
      </c>
      <c r="I107">
        <f>[5]D_装备基础数据!$I107</f>
        <v>3</v>
      </c>
    </row>
    <row r="108" spans="1:9">
      <c r="A108" t="str">
        <f>[5]D_装备基础数据!A108</f>
        <v>53314</v>
      </c>
      <c r="B108" t="str">
        <f>[5]D_装备基础数据!B108</f>
        <v>玄武项链</v>
      </c>
      <c r="C108">
        <f ca="1">[5]D_装备基础数据!$AP108</f>
        <v>237.468931878788</v>
      </c>
      <c r="D108">
        <v>1</v>
      </c>
      <c r="E108">
        <f>[5]D_装备基础数据!AS108*H108</f>
        <v>10</v>
      </c>
      <c r="F108">
        <f ca="1">[5]D_装备基础数据!AQ108</f>
        <v>11873.446593939399</v>
      </c>
      <c r="G108">
        <f ca="1">[5]D_装备基础数据!AR108*H108</f>
        <v>1569.3522989955404</v>
      </c>
      <c r="H108">
        <v>1</v>
      </c>
      <c r="I108">
        <f>[5]D_装备基础数据!$I108</f>
        <v>3</v>
      </c>
    </row>
    <row r="109" spans="1:9">
      <c r="A109" t="str">
        <f>[5]D_装备基础数据!A109</f>
        <v>10415</v>
      </c>
      <c r="B109" t="str">
        <f>[5]D_装备基础数据!B109</f>
        <v>暗魔之刃</v>
      </c>
      <c r="C109">
        <f ca="1">[5]D_装备基础数据!$AP109</f>
        <v>478.56784448435837</v>
      </c>
      <c r="D109">
        <v>1</v>
      </c>
      <c r="E109">
        <f>[5]D_装备基础数据!AS109*H109</f>
        <v>10</v>
      </c>
      <c r="F109">
        <f ca="1">[5]D_装备基础数据!AQ109</f>
        <v>23928.392224217918</v>
      </c>
      <c r="G109">
        <f ca="1">[5]D_装备基础数据!AR109*H109</f>
        <v>4500</v>
      </c>
      <c r="H109">
        <v>1</v>
      </c>
      <c r="I109">
        <f>[5]D_装备基础数据!$I109</f>
        <v>4</v>
      </c>
    </row>
    <row r="110" spans="1:9">
      <c r="A110" t="str">
        <f>[5]D_装备基础数据!A110</f>
        <v>20415</v>
      </c>
      <c r="B110" t="str">
        <f>[5]D_装备基础数据!B110</f>
        <v>暗魔之拳</v>
      </c>
      <c r="C110">
        <f ca="1">[5]D_装备基础数据!$AP110</f>
        <v>478.56784448435837</v>
      </c>
      <c r="D110">
        <v>1</v>
      </c>
      <c r="E110">
        <f>[5]D_装备基础数据!AS110*H110</f>
        <v>10</v>
      </c>
      <c r="F110">
        <f ca="1">[5]D_装备基础数据!AQ110</f>
        <v>23928.392224217918</v>
      </c>
      <c r="G110">
        <f ca="1">[5]D_装备基础数据!AR110*H110</f>
        <v>4500</v>
      </c>
      <c r="H110">
        <v>1</v>
      </c>
      <c r="I110">
        <f>[5]D_装备基础数据!$I110</f>
        <v>4</v>
      </c>
    </row>
    <row r="111" spans="1:9">
      <c r="A111" t="str">
        <f>[5]D_装备基础数据!A111</f>
        <v>30415</v>
      </c>
      <c r="B111" t="str">
        <f>[5]D_装备基础数据!B111</f>
        <v>暗魔之枪</v>
      </c>
      <c r="C111">
        <f ca="1">[5]D_装备基础数据!$AP111</f>
        <v>478.56784448435837</v>
      </c>
      <c r="D111">
        <v>1</v>
      </c>
      <c r="E111">
        <f>[5]D_装备基础数据!AS111*H111</f>
        <v>10</v>
      </c>
      <c r="F111">
        <f ca="1">[5]D_装备基础数据!AQ111</f>
        <v>23928.392224217918</v>
      </c>
      <c r="G111">
        <f ca="1">[5]D_装备基础数据!AR111*H111</f>
        <v>4500</v>
      </c>
      <c r="H111">
        <v>1</v>
      </c>
      <c r="I111">
        <f>[5]D_装备基础数据!$I111</f>
        <v>4</v>
      </c>
    </row>
    <row r="112" spans="1:9">
      <c r="A112" t="str">
        <f>[5]D_装备基础数据!A112</f>
        <v>51415</v>
      </c>
      <c r="B112" t="str">
        <f>[5]D_装备基础数据!B112</f>
        <v>暗魔战衣</v>
      </c>
      <c r="C112">
        <f ca="1">[5]D_装备基础数据!$AP112</f>
        <v>390.85943795297578</v>
      </c>
      <c r="D112">
        <v>1</v>
      </c>
      <c r="E112">
        <f>[5]D_装备基础数据!AS112*H112</f>
        <v>10</v>
      </c>
      <c r="F112">
        <f ca="1">[5]D_装备基础数据!AQ112</f>
        <v>19542.971897648789</v>
      </c>
      <c r="G112">
        <f ca="1">[5]D_装备基础数据!AR112*H112</f>
        <v>3675.272985972375</v>
      </c>
      <c r="H112">
        <v>1</v>
      </c>
      <c r="I112">
        <f>[5]D_装备基础数据!$I112</f>
        <v>4</v>
      </c>
    </row>
    <row r="113" spans="1:9">
      <c r="A113" t="str">
        <f>[5]D_装备基础数据!A113</f>
        <v>52415</v>
      </c>
      <c r="B113" t="str">
        <f>[5]D_装备基础数据!B113</f>
        <v>暗魔长裤</v>
      </c>
      <c r="C113">
        <f ca="1">[5]D_装备基础数据!$AP113</f>
        <v>157.7233015205162</v>
      </c>
      <c r="D113">
        <v>1</v>
      </c>
      <c r="E113">
        <f>[5]D_装备基础数据!AS113*H113</f>
        <v>10</v>
      </c>
      <c r="F113">
        <f ca="1">[5]D_装备基础数据!AQ113</f>
        <v>7886.1650760258099</v>
      </c>
      <c r="G113">
        <f ca="1">[5]D_装备基础数据!AR113*H113</f>
        <v>1483.0809571149962</v>
      </c>
      <c r="H113">
        <v>1</v>
      </c>
      <c r="I113">
        <f>[5]D_装备基础数据!$I113</f>
        <v>4</v>
      </c>
    </row>
    <row r="114" spans="1:9">
      <c r="A114" t="str">
        <f>[5]D_装备基础数据!A114</f>
        <v>55415</v>
      </c>
      <c r="B114" t="str">
        <f>[5]D_装备基础数据!B114</f>
        <v>暗魔长靴</v>
      </c>
      <c r="C114">
        <f ca="1">[5]D_装备基础数据!$AP114</f>
        <v>197.63238786951518</v>
      </c>
      <c r="D114">
        <v>1</v>
      </c>
      <c r="E114">
        <f>[5]D_装备基础数据!AS114*H114</f>
        <v>10</v>
      </c>
      <c r="F114">
        <f ca="1">[5]D_装备基础数据!AQ114</f>
        <v>9881.6193934757594</v>
      </c>
      <c r="G114">
        <f ca="1">[5]D_装备基础数据!AR114*H114</f>
        <v>1858.3483108253126</v>
      </c>
      <c r="H114">
        <v>1</v>
      </c>
      <c r="I114">
        <f>[5]D_装备基础数据!$I114</f>
        <v>4</v>
      </c>
    </row>
    <row r="115" spans="1:9">
      <c r="A115" t="str">
        <f>[5]D_装备基础数据!A115</f>
        <v>54415</v>
      </c>
      <c r="B115" t="str">
        <f>[5]D_装备基础数据!B115</f>
        <v>暗魔腰带</v>
      </c>
      <c r="C115">
        <f ca="1">[5]D_装备基础数据!$AP115</f>
        <v>209.09092058068188</v>
      </c>
      <c r="D115">
        <v>1</v>
      </c>
      <c r="E115">
        <f>[5]D_装备基础数据!AS115*H115</f>
        <v>10</v>
      </c>
      <c r="F115">
        <f ca="1">[5]D_装备基础数据!AQ115</f>
        <v>10454.546029034094</v>
      </c>
      <c r="G115">
        <f ca="1">[5]D_装备基础数据!AR115*H115</f>
        <v>1966.0935298042602</v>
      </c>
      <c r="H115">
        <v>1</v>
      </c>
      <c r="I115">
        <f>[5]D_装备基础数据!$I115</f>
        <v>4</v>
      </c>
    </row>
    <row r="116" spans="1:9">
      <c r="A116" t="str">
        <f>[5]D_装备基础数据!A116</f>
        <v>53415</v>
      </c>
      <c r="B116" t="str">
        <f>[5]D_装备基础数据!B116</f>
        <v>暗魔项链</v>
      </c>
      <c r="C116">
        <f ca="1">[5]D_装备基础数据!$AP116</f>
        <v>271.88722909090916</v>
      </c>
      <c r="D116">
        <v>1</v>
      </c>
      <c r="E116">
        <f>[5]D_装备基础数据!AS116*H116</f>
        <v>10</v>
      </c>
      <c r="F116">
        <f ca="1">[5]D_装备基础数据!AQ116</f>
        <v>13594.361454545458</v>
      </c>
      <c r="G116">
        <f ca="1">[5]D_装备基础数据!AR116*H116</f>
        <v>2556.5707036321369</v>
      </c>
      <c r="H116">
        <v>1</v>
      </c>
      <c r="I116">
        <f>[5]D_装备基础数据!$I116</f>
        <v>4</v>
      </c>
    </row>
    <row r="117" spans="1:9">
      <c r="A117" t="str">
        <f>[5]D_装备基础数据!A117</f>
        <v>10116</v>
      </c>
      <c r="B117" t="str">
        <f>[5]D_装备基础数据!B117</f>
        <v>战爵之刃</v>
      </c>
      <c r="C117">
        <f ca="1">[5]D_装备基础数据!$AP117</f>
        <v>327.2546861096767</v>
      </c>
      <c r="D117">
        <v>1</v>
      </c>
      <c r="E117">
        <f>[5]D_装备基础数据!AS117*H117</f>
        <v>10</v>
      </c>
      <c r="F117">
        <f ca="1">[5]D_装备基础数据!AQ117</f>
        <v>16362.734305483835</v>
      </c>
      <c r="G117">
        <f ca="1">[5]D_装备基础数据!AR117*H117</f>
        <v>719.99999999999989</v>
      </c>
      <c r="H117">
        <v>1</v>
      </c>
      <c r="I117">
        <f>[5]D_装备基础数据!$I117</f>
        <v>1</v>
      </c>
    </row>
    <row r="118" spans="1:9">
      <c r="A118" t="str">
        <f>[5]D_装备基础数据!A118</f>
        <v>20116</v>
      </c>
      <c r="B118" t="str">
        <f>[5]D_装备基础数据!B118</f>
        <v>战爵之拳</v>
      </c>
      <c r="C118">
        <f ca="1">[5]D_装备基础数据!$AP118</f>
        <v>327.2546861096767</v>
      </c>
      <c r="D118">
        <v>1</v>
      </c>
      <c r="E118">
        <f>[5]D_装备基础数据!AS118*H118</f>
        <v>10</v>
      </c>
      <c r="F118">
        <f ca="1">[5]D_装备基础数据!AQ118</f>
        <v>16362.734305483835</v>
      </c>
      <c r="G118">
        <f ca="1">[5]D_装备基础数据!AR118*H118</f>
        <v>719.99999999999989</v>
      </c>
      <c r="H118">
        <v>1</v>
      </c>
      <c r="I118">
        <f>[5]D_装备基础数据!$I118</f>
        <v>1</v>
      </c>
    </row>
    <row r="119" spans="1:9">
      <c r="A119" t="str">
        <f>[5]D_装备基础数据!A119</f>
        <v>30116</v>
      </c>
      <c r="B119" t="str">
        <f>[5]D_装备基础数据!B119</f>
        <v>战爵之枪</v>
      </c>
      <c r="C119">
        <f ca="1">[5]D_装备基础数据!$AP119</f>
        <v>327.2546861096767</v>
      </c>
      <c r="D119">
        <v>1</v>
      </c>
      <c r="E119">
        <f>[5]D_装备基础数据!AS119*H119</f>
        <v>10</v>
      </c>
      <c r="F119">
        <f ca="1">[5]D_装备基础数据!AQ119</f>
        <v>16362.734305483835</v>
      </c>
      <c r="G119">
        <f ca="1">[5]D_装备基础数据!AR119*H119</f>
        <v>719.99999999999989</v>
      </c>
      <c r="H119">
        <v>1</v>
      </c>
      <c r="I119">
        <f>[5]D_装备基础数据!$I119</f>
        <v>1</v>
      </c>
    </row>
    <row r="120" spans="1:9">
      <c r="A120" t="str">
        <f>[5]D_装备基础数据!A120</f>
        <v>51116</v>
      </c>
      <c r="B120" t="str">
        <f>[5]D_装备基础数据!B120</f>
        <v>战爵之衣</v>
      </c>
      <c r="C120">
        <f ca="1">[5]D_装备基础数据!$AP120</f>
        <v>282.31663092751972</v>
      </c>
      <c r="D120">
        <v>1</v>
      </c>
      <c r="E120">
        <f>[5]D_装备基础数据!AS120*H120</f>
        <v>10</v>
      </c>
      <c r="F120">
        <f ca="1">[5]D_装备基础数据!AQ120</f>
        <v>14115.831546375986</v>
      </c>
      <c r="G120">
        <f ca="1">[5]D_装备基础数据!AR120*H120</f>
        <v>621.13082835944658</v>
      </c>
      <c r="H120">
        <v>1</v>
      </c>
      <c r="I120">
        <f>[5]D_装备基础数据!$I120</f>
        <v>1</v>
      </c>
    </row>
    <row r="121" spans="1:9">
      <c r="A121" t="str">
        <f>[5]D_装备基础数据!A121</f>
        <v>52116</v>
      </c>
      <c r="B121" t="str">
        <f>[5]D_装备基础数据!B121</f>
        <v>战爵长裤</v>
      </c>
      <c r="C121">
        <f ca="1">[5]D_装备基础数据!$AP121</f>
        <v>104.01725491494935</v>
      </c>
      <c r="D121">
        <v>1</v>
      </c>
      <c r="E121">
        <f>[5]D_装备基础数据!AS121*H121</f>
        <v>10</v>
      </c>
      <c r="F121">
        <f ca="1">[5]D_装备基础数据!AQ121</f>
        <v>5200.8627457474677</v>
      </c>
      <c r="G121">
        <f ca="1">[5]D_装备基础数据!AR121*H121</f>
        <v>228.8505763784967</v>
      </c>
      <c r="H121">
        <v>1</v>
      </c>
      <c r="I121">
        <f>[5]D_装备基础数据!$I121</f>
        <v>1</v>
      </c>
    </row>
    <row r="122" spans="1:9">
      <c r="A122" t="str">
        <f>[5]D_装备基础数据!A122</f>
        <v>55116</v>
      </c>
      <c r="B122" t="str">
        <f>[5]D_装备基础数据!B122</f>
        <v>战爵长靴</v>
      </c>
      <c r="C122">
        <f ca="1">[5]D_装备基础数据!$AP122</f>
        <v>132.51162931895126</v>
      </c>
      <c r="D122">
        <v>1</v>
      </c>
      <c r="E122">
        <f>[5]D_装备基础数据!AS122*H122</f>
        <v>10</v>
      </c>
      <c r="F122">
        <f ca="1">[5]D_装备基础数据!AQ122</f>
        <v>6625.5814659475636</v>
      </c>
      <c r="G122">
        <f ca="1">[5]D_装备基础数据!AR122*H122</f>
        <v>291.54165596171043</v>
      </c>
      <c r="H122">
        <v>1</v>
      </c>
      <c r="I122">
        <f>[5]D_装备基础数据!$I122</f>
        <v>1</v>
      </c>
    </row>
    <row r="123" spans="1:9">
      <c r="A123" t="str">
        <f>[5]D_装备基础数据!A123</f>
        <v>54116</v>
      </c>
      <c r="B123" t="str">
        <f>[5]D_装备基础数据!B123</f>
        <v>战爵腰带</v>
      </c>
      <c r="C123">
        <f ca="1">[5]D_装备基础数据!$AP123</f>
        <v>106.60150671396066</v>
      </c>
      <c r="D123">
        <v>1</v>
      </c>
      <c r="E123">
        <f>[5]D_装备基础数据!AS123*H123</f>
        <v>10</v>
      </c>
      <c r="F123">
        <f ca="1">[5]D_装备基础数据!AQ123</f>
        <v>5330.0753356980331</v>
      </c>
      <c r="G123">
        <f ca="1">[5]D_装备基础数据!AR123*H123</f>
        <v>234.53624376314815</v>
      </c>
      <c r="H123">
        <v>1</v>
      </c>
      <c r="I123">
        <f>[5]D_装备基础数据!$I123</f>
        <v>1</v>
      </c>
    </row>
    <row r="124" spans="1:9">
      <c r="A124" t="str">
        <f>[5]D_装备基础数据!A124</f>
        <v>53116</v>
      </c>
      <c r="B124" t="str">
        <f>[5]D_装备基础数据!B124</f>
        <v>战爵项链</v>
      </c>
      <c r="C124">
        <f ca="1">[5]D_装备基础数据!$AP124</f>
        <v>198.68704902673798</v>
      </c>
      <c r="D124">
        <v>1</v>
      </c>
      <c r="E124">
        <f>[5]D_装备基础数据!AS124*H124</f>
        <v>10</v>
      </c>
      <c r="F124">
        <f ca="1">[5]D_装备基础数据!AQ124</f>
        <v>9934.3524513368993</v>
      </c>
      <c r="G124">
        <f ca="1">[5]D_装备基础数据!AR124*H124</f>
        <v>437.13560529827754</v>
      </c>
      <c r="H124">
        <v>1</v>
      </c>
      <c r="I124">
        <f>[5]D_装备基础数据!$I124</f>
        <v>1</v>
      </c>
    </row>
    <row r="125" spans="1:9">
      <c r="A125" t="str">
        <f>[5]D_装备基础数据!A125</f>
        <v>10217</v>
      </c>
      <c r="B125" t="str">
        <f>[5]D_装备基础数据!B125</f>
        <v>嗜血之剑</v>
      </c>
      <c r="C125">
        <f ca="1">[5]D_装备基础数据!$AP125</f>
        <v>470.66869163710521</v>
      </c>
      <c r="D125">
        <v>1</v>
      </c>
      <c r="E125">
        <f>[5]D_装备基础数据!AS125*H125</f>
        <v>10</v>
      </c>
      <c r="F125">
        <f ca="1">[5]D_装备基础数据!AQ125</f>
        <v>23533.434581855261</v>
      </c>
      <c r="G125">
        <f ca="1">[5]D_装备基础数据!AR125*H125</f>
        <v>1440</v>
      </c>
      <c r="H125">
        <v>1</v>
      </c>
      <c r="I125">
        <f>[5]D_装备基础数据!$I125</f>
        <v>2</v>
      </c>
    </row>
    <row r="126" spans="1:9">
      <c r="A126" t="str">
        <f>[5]D_装备基础数据!A126</f>
        <v>20217</v>
      </c>
      <c r="B126" t="str">
        <f>[5]D_装备基础数据!B126</f>
        <v>嗜血拳</v>
      </c>
      <c r="C126">
        <f ca="1">[5]D_装备基础数据!$AP126</f>
        <v>470.66869163710521</v>
      </c>
      <c r="D126">
        <v>1</v>
      </c>
      <c r="E126">
        <f>[5]D_装备基础数据!AS126*H126</f>
        <v>10</v>
      </c>
      <c r="F126">
        <f ca="1">[5]D_装备基础数据!AQ126</f>
        <v>23533.434581855261</v>
      </c>
      <c r="G126">
        <f ca="1">[5]D_装备基础数据!AR126*H126</f>
        <v>1440</v>
      </c>
      <c r="H126">
        <v>1</v>
      </c>
      <c r="I126">
        <f>[5]D_装备基础数据!$I126</f>
        <v>2</v>
      </c>
    </row>
    <row r="127" spans="1:9">
      <c r="A127" t="str">
        <f>[5]D_装备基础数据!A127</f>
        <v>30217</v>
      </c>
      <c r="B127" t="str">
        <f>[5]D_装备基础数据!B127</f>
        <v>嗜血枪</v>
      </c>
      <c r="C127">
        <f ca="1">[5]D_装备基础数据!$AP127</f>
        <v>470.66869163710521</v>
      </c>
      <c r="D127">
        <v>1</v>
      </c>
      <c r="E127">
        <f>[5]D_装备基础数据!AS127*H127</f>
        <v>10</v>
      </c>
      <c r="F127">
        <f ca="1">[5]D_装备基础数据!AQ127</f>
        <v>23533.434581855261</v>
      </c>
      <c r="G127">
        <f ca="1">[5]D_装备基础数据!AR127*H127</f>
        <v>1440</v>
      </c>
      <c r="H127">
        <v>1</v>
      </c>
      <c r="I127">
        <f>[5]D_装备基础数据!$I127</f>
        <v>2</v>
      </c>
    </row>
    <row r="128" spans="1:9">
      <c r="A128" t="str">
        <f>[5]D_装备基础数据!A128</f>
        <v>51217</v>
      </c>
      <c r="B128" t="str">
        <f>[5]D_装备基础数据!B128</f>
        <v>嗜血战衣</v>
      </c>
      <c r="C128">
        <f ca="1">[5]D_装备基础数据!$AP128</f>
        <v>398.88977674640279</v>
      </c>
      <c r="D128">
        <v>1</v>
      </c>
      <c r="E128">
        <f>[5]D_装备基础数据!AS128*H128</f>
        <v>10</v>
      </c>
      <c r="F128">
        <f ca="1">[5]D_装备基础数据!AQ128</f>
        <v>19944.488837320139</v>
      </c>
      <c r="G128">
        <f ca="1">[5]D_装备基础数据!AR128*H128</f>
        <v>1220.3940664013714</v>
      </c>
      <c r="H128">
        <v>1</v>
      </c>
      <c r="I128">
        <f>[5]D_装备基础数据!$I128</f>
        <v>2</v>
      </c>
    </row>
    <row r="129" spans="1:9">
      <c r="A129" t="str">
        <f>[5]D_装备基础数据!A129</f>
        <v>52217</v>
      </c>
      <c r="B129" t="str">
        <f>[5]D_装备基础数据!B129</f>
        <v>嗜血长裤</v>
      </c>
      <c r="C129">
        <f ca="1">[5]D_装备基础数据!$AP129</f>
        <v>151.42483698634121</v>
      </c>
      <c r="D129">
        <v>1</v>
      </c>
      <c r="E129">
        <f>[5]D_装备基础数据!AS129*H129</f>
        <v>10</v>
      </c>
      <c r="F129">
        <f ca="1">[5]D_装备基础数据!AQ129</f>
        <v>7571.2418493170599</v>
      </c>
      <c r="G129">
        <f ca="1">[5]D_装备基础数据!AR129*H129</f>
        <v>463.2807941864412</v>
      </c>
      <c r="H129">
        <v>1</v>
      </c>
      <c r="I129">
        <f>[5]D_装备基础数据!$I129</f>
        <v>2</v>
      </c>
    </row>
    <row r="130" spans="1:9">
      <c r="A130" t="str">
        <f>[5]D_装备基础数据!A130</f>
        <v>55217</v>
      </c>
      <c r="B130" t="str">
        <f>[5]D_装备基础数据!B130</f>
        <v>嗜血长靴</v>
      </c>
      <c r="C130">
        <f ca="1">[5]D_装备基础数据!$AP130</f>
        <v>191.83431725361959</v>
      </c>
      <c r="D130">
        <v>1</v>
      </c>
      <c r="E130">
        <f>[5]D_装备基础数据!AS130*H130</f>
        <v>10</v>
      </c>
      <c r="F130">
        <f ca="1">[5]D_装备基础数据!AQ130</f>
        <v>9591.7158626809796</v>
      </c>
      <c r="G130">
        <f ca="1">[5]D_装备基础数据!AR130*H130</f>
        <v>586.91266649662725</v>
      </c>
      <c r="H130">
        <v>1</v>
      </c>
      <c r="I130">
        <f>[5]D_装备基础数据!$I130</f>
        <v>2</v>
      </c>
    </row>
    <row r="131" spans="1:9">
      <c r="A131" t="str">
        <f>[5]D_装备基础数据!A131</f>
        <v>54217</v>
      </c>
      <c r="B131" t="str">
        <f>[5]D_装备基础数据!B131</f>
        <v>嗜血腰带</v>
      </c>
      <c r="C131">
        <f ca="1">[5]D_装备基础数据!$AP131</f>
        <v>170.60785195031335</v>
      </c>
      <c r="D131">
        <v>1</v>
      </c>
      <c r="E131">
        <f>[5]D_装备基础数据!AS131*H131</f>
        <v>10</v>
      </c>
      <c r="F131">
        <f ca="1">[5]D_装备基础数据!AQ131</f>
        <v>8530.3925975156671</v>
      </c>
      <c r="G131">
        <f ca="1">[5]D_装备基础数据!AR131*H131</f>
        <v>521.97078576424985</v>
      </c>
      <c r="H131">
        <v>1</v>
      </c>
      <c r="I131">
        <f>[5]D_装备基础数据!$I131</f>
        <v>2</v>
      </c>
    </row>
    <row r="132" spans="1:9">
      <c r="A132" t="str">
        <f>[5]D_装备基础数据!A132</f>
        <v>53217</v>
      </c>
      <c r="B132" t="str">
        <f>[5]D_装备基础数据!B132</f>
        <v>嗜血项链</v>
      </c>
      <c r="C132">
        <f ca="1">[5]D_装备基础数据!$AP132</f>
        <v>279.6916188877006</v>
      </c>
      <c r="D132">
        <v>1</v>
      </c>
      <c r="E132">
        <f>[5]D_装备基础数据!AS132*H132</f>
        <v>10</v>
      </c>
      <c r="F132">
        <f ca="1">[5]D_装备基础数据!AQ132</f>
        <v>13984.58094438503</v>
      </c>
      <c r="G132">
        <f ca="1">[5]D_装备基础数据!AR132*H132</f>
        <v>855.71005328058141</v>
      </c>
      <c r="H132">
        <v>1</v>
      </c>
      <c r="I132">
        <f>[5]D_装备基础数据!$I132</f>
        <v>2</v>
      </c>
    </row>
    <row r="133" spans="1:9">
      <c r="A133" t="str">
        <f>[5]D_装备基础数据!A133</f>
        <v>10318</v>
      </c>
      <c r="B133" t="str">
        <f>[5]D_装备基础数据!B133</f>
        <v>霸道之刃</v>
      </c>
      <c r="C133">
        <f ca="1">[5]D_装备基础数据!$AP133</f>
        <v>612.83191462150103</v>
      </c>
      <c r="D133">
        <v>1</v>
      </c>
      <c r="E133">
        <f>[5]D_装备基础数据!AS133*H133</f>
        <v>10</v>
      </c>
      <c r="F133">
        <f ca="1">[5]D_装备基础数据!AQ133</f>
        <v>30641.595731075053</v>
      </c>
      <c r="G133">
        <f ca="1">[5]D_装备基础数据!AR133*H133</f>
        <v>3599.9999999999995</v>
      </c>
      <c r="H133">
        <v>1</v>
      </c>
      <c r="I133">
        <f>[5]D_装备基础数据!$I133</f>
        <v>3</v>
      </c>
    </row>
    <row r="134" spans="1:9">
      <c r="A134" t="str">
        <f>[5]D_装备基础数据!A134</f>
        <v>20318</v>
      </c>
      <c r="B134" t="str">
        <f>[5]D_装备基础数据!B134</f>
        <v>霸道之拳</v>
      </c>
      <c r="C134">
        <f ca="1">[5]D_装备基础数据!$AP134</f>
        <v>612.83191462150103</v>
      </c>
      <c r="D134">
        <v>1</v>
      </c>
      <c r="E134">
        <f>[5]D_装备基础数据!AS134*H134</f>
        <v>10</v>
      </c>
      <c r="F134">
        <f ca="1">[5]D_装备基础数据!AQ134</f>
        <v>30641.595731075053</v>
      </c>
      <c r="G134">
        <f ca="1">[5]D_装备基础数据!AR134*H134</f>
        <v>3599.9999999999995</v>
      </c>
      <c r="H134">
        <v>1</v>
      </c>
      <c r="I134">
        <f>[5]D_装备基础数据!$I134</f>
        <v>3</v>
      </c>
    </row>
    <row r="135" spans="1:9">
      <c r="A135" t="str">
        <f>[5]D_装备基础数据!A135</f>
        <v>30318</v>
      </c>
      <c r="B135" t="str">
        <f>[5]D_装备基础数据!B135</f>
        <v>霸道之枪</v>
      </c>
      <c r="C135">
        <f ca="1">[5]D_装备基础数据!$AP135</f>
        <v>612.83191462150103</v>
      </c>
      <c r="D135">
        <v>1</v>
      </c>
      <c r="E135">
        <f>[5]D_装备基础数据!AS135*H135</f>
        <v>10</v>
      </c>
      <c r="F135">
        <f ca="1">[5]D_装备基础数据!AQ135</f>
        <v>30641.595731075053</v>
      </c>
      <c r="G135">
        <f ca="1">[5]D_装备基础数据!AR135*H135</f>
        <v>3599.9999999999995</v>
      </c>
      <c r="H135">
        <v>1</v>
      </c>
      <c r="I135">
        <f>[5]D_装备基础数据!$I135</f>
        <v>3</v>
      </c>
    </row>
    <row r="136" spans="1:9">
      <c r="A136" t="str">
        <f>[5]D_装备基础数据!A136</f>
        <v>51318</v>
      </c>
      <c r="B136" t="str">
        <f>[5]D_装备基础数据!B136</f>
        <v>霸道战衣</v>
      </c>
      <c r="C136">
        <f ca="1">[5]D_装备基础数据!$AP136</f>
        <v>509.98543802920847</v>
      </c>
      <c r="D136">
        <v>1</v>
      </c>
      <c r="E136">
        <f>[5]D_装备基础数据!AS136*H136</f>
        <v>10</v>
      </c>
      <c r="F136">
        <f ca="1">[5]D_装备基础数据!AQ136</f>
        <v>25499.271901460423</v>
      </c>
      <c r="G136">
        <f ca="1">[5]D_装备基础数据!AR136*H136</f>
        <v>2995.8419806499032</v>
      </c>
      <c r="H136">
        <v>1</v>
      </c>
      <c r="I136">
        <f>[5]D_装备基础数据!$I136</f>
        <v>3</v>
      </c>
    </row>
    <row r="137" spans="1:9">
      <c r="A137" t="str">
        <f>[5]D_装备基础数据!A137</f>
        <v>52318</v>
      </c>
      <c r="B137" t="str">
        <f>[5]D_装备基础数据!B137</f>
        <v>霸道长裤</v>
      </c>
      <c r="C137">
        <f ca="1">[5]D_装备基础数据!$AP137</f>
        <v>199.55715197962905</v>
      </c>
      <c r="D137">
        <v>1</v>
      </c>
      <c r="E137">
        <f>[5]D_装备基础数据!AS137*H137</f>
        <v>10</v>
      </c>
      <c r="F137">
        <f ca="1">[5]D_装备基础数据!AQ137</f>
        <v>9977.8575989814526</v>
      </c>
      <c r="G137">
        <f ca="1">[5]D_装备基础数据!AR137*H137</f>
        <v>1172.2720863360523</v>
      </c>
      <c r="H137">
        <v>1</v>
      </c>
      <c r="I137">
        <f>[5]D_装备基础数据!$I137</f>
        <v>3</v>
      </c>
    </row>
    <row r="138" spans="1:9">
      <c r="A138" t="str">
        <f>[5]D_装备基础数据!A138</f>
        <v>55318</v>
      </c>
      <c r="B138" t="str">
        <f>[5]D_装备基础数据!B138</f>
        <v>霸道长靴</v>
      </c>
      <c r="C138">
        <f ca="1">[5]D_装备基础数据!$AP138</f>
        <v>251.42077777879794</v>
      </c>
      <c r="D138">
        <v>1</v>
      </c>
      <c r="E138">
        <f>[5]D_装备基础数据!AS138*H138</f>
        <v>10</v>
      </c>
      <c r="F138">
        <f ca="1">[5]D_装备基础数据!AQ138</f>
        <v>12571.038888939896</v>
      </c>
      <c r="G138">
        <f ca="1">[5]D_装备基础数据!AR138*H138</f>
        <v>1476.9380941309037</v>
      </c>
      <c r="H138">
        <v>1</v>
      </c>
      <c r="I138">
        <f>[5]D_装备基础数据!$I138</f>
        <v>3</v>
      </c>
    </row>
    <row r="139" spans="1:9">
      <c r="A139" t="str">
        <f>[5]D_装备基础数据!A139</f>
        <v>54318</v>
      </c>
      <c r="B139" t="str">
        <f>[5]D_装备基础数据!B139</f>
        <v>霸道腰带</v>
      </c>
      <c r="C139">
        <f ca="1">[5]D_装备基础数据!$AP139</f>
        <v>244.8467496838511</v>
      </c>
      <c r="D139">
        <v>1</v>
      </c>
      <c r="E139">
        <f>[5]D_装备基础数据!AS139*H139</f>
        <v>10</v>
      </c>
      <c r="F139">
        <f ca="1">[5]D_装备基础数据!AQ139</f>
        <v>12242.337484192554</v>
      </c>
      <c r="G139">
        <f ca="1">[5]D_装备基础数据!AR139*H139</f>
        <v>1438.3198358823502</v>
      </c>
      <c r="H139">
        <v>1</v>
      </c>
      <c r="I139">
        <f>[5]D_装备基础数据!$I139</f>
        <v>3</v>
      </c>
    </row>
    <row r="140" spans="1:9">
      <c r="A140" t="str">
        <f>[5]D_装备基础数据!A140</f>
        <v>53318</v>
      </c>
      <c r="B140" t="str">
        <f>[5]D_装备基础数据!B140</f>
        <v>霸道项链</v>
      </c>
      <c r="C140">
        <f ca="1">[5]D_装备基础数据!$AP140</f>
        <v>356.20339781818188</v>
      </c>
      <c r="D140">
        <v>1</v>
      </c>
      <c r="E140">
        <f>[5]D_装备基础数据!AS140*H140</f>
        <v>10</v>
      </c>
      <c r="F140">
        <f ca="1">[5]D_装备基础数据!AQ140</f>
        <v>17810.169890909096</v>
      </c>
      <c r="G140">
        <f ca="1">[5]D_装备基础数据!AR140*H140</f>
        <v>2092.4697319940528</v>
      </c>
      <c r="H140">
        <v>1</v>
      </c>
      <c r="I140">
        <f>[5]D_装备基础数据!$I140</f>
        <v>3</v>
      </c>
    </row>
    <row r="141" spans="1:9">
      <c r="A141" t="str">
        <f>[5]D_装备基础数据!A141</f>
        <v>10419</v>
      </c>
      <c r="B141" t="str">
        <f>[5]D_装备基础数据!B141</f>
        <v>白虎霸刀</v>
      </c>
      <c r="C141">
        <f ca="1">[5]D_装备基础数据!$AP141</f>
        <v>717.85176672653756</v>
      </c>
      <c r="D141">
        <v>1</v>
      </c>
      <c r="E141">
        <f>[5]D_装备基础数据!AS141*H141</f>
        <v>10</v>
      </c>
      <c r="F141">
        <f ca="1">[5]D_装备基础数据!AQ141</f>
        <v>35892.58833632688</v>
      </c>
      <c r="G141">
        <f ca="1">[5]D_装备基础数据!AR141*H141</f>
        <v>6000</v>
      </c>
      <c r="H141">
        <v>1</v>
      </c>
      <c r="I141">
        <f>[5]D_装备基础数据!$I141</f>
        <v>4</v>
      </c>
    </row>
    <row r="142" spans="1:9">
      <c r="A142" t="str">
        <f>[5]D_装备基础数据!A142</f>
        <v>20419</v>
      </c>
      <c r="B142" t="str">
        <f>[5]D_装备基础数据!B142</f>
        <v>白虎之拳</v>
      </c>
      <c r="C142">
        <f ca="1">[5]D_装备基础数据!$AP142</f>
        <v>717.85176672653756</v>
      </c>
      <c r="D142">
        <v>1</v>
      </c>
      <c r="E142">
        <f>[5]D_装备基础数据!AS142*H142</f>
        <v>10</v>
      </c>
      <c r="F142">
        <f ca="1">[5]D_装备基础数据!AQ142</f>
        <v>35892.58833632688</v>
      </c>
      <c r="G142">
        <f ca="1">[5]D_装备基础数据!AR142*H142</f>
        <v>6000</v>
      </c>
      <c r="H142">
        <v>1</v>
      </c>
      <c r="I142">
        <f>[5]D_装备基础数据!$I142</f>
        <v>4</v>
      </c>
    </row>
    <row r="143" spans="1:9">
      <c r="A143" t="str">
        <f>[5]D_装备基础数据!A143</f>
        <v>30419</v>
      </c>
      <c r="B143" t="str">
        <f>[5]D_装备基础数据!B143</f>
        <v>白虎之枪</v>
      </c>
      <c r="C143">
        <f ca="1">[5]D_装备基础数据!$AP143</f>
        <v>717.85176672653756</v>
      </c>
      <c r="D143">
        <v>1</v>
      </c>
      <c r="E143">
        <f>[5]D_装备基础数据!AS143*H143</f>
        <v>10</v>
      </c>
      <c r="F143">
        <f ca="1">[5]D_装备基础数据!AQ143</f>
        <v>35892.58833632688</v>
      </c>
      <c r="G143">
        <f ca="1">[5]D_装备基础数据!AR143*H143</f>
        <v>6000</v>
      </c>
      <c r="H143">
        <v>1</v>
      </c>
      <c r="I143">
        <f>[5]D_装备基础数据!$I143</f>
        <v>4</v>
      </c>
    </row>
    <row r="144" spans="1:9">
      <c r="A144" t="str">
        <f>[5]D_装备基础数据!A144</f>
        <v>51419</v>
      </c>
      <c r="B144" t="str">
        <f>[5]D_装备基础数据!B144</f>
        <v>白虎战衣</v>
      </c>
      <c r="C144">
        <f ca="1">[5]D_装备基础数据!$AP144</f>
        <v>586.28915692946362</v>
      </c>
      <c r="D144">
        <v>1</v>
      </c>
      <c r="E144">
        <f>[5]D_装备基础数据!AS144*H144</f>
        <v>10</v>
      </c>
      <c r="F144">
        <f ca="1">[5]D_装备基础数据!AQ144</f>
        <v>29314.457846473182</v>
      </c>
      <c r="G144">
        <f ca="1">[5]D_装备基础数据!AR144*H144</f>
        <v>4900.3639812964993</v>
      </c>
      <c r="H144">
        <v>1</v>
      </c>
      <c r="I144">
        <f>[5]D_装备基础数据!$I144</f>
        <v>4</v>
      </c>
    </row>
    <row r="145" spans="1:9">
      <c r="A145" t="str">
        <f>[5]D_装备基础数据!A145</f>
        <v>52419</v>
      </c>
      <c r="B145" t="str">
        <f>[5]D_装备基础数据!B145</f>
        <v>白虎长裤</v>
      </c>
      <c r="C145">
        <f ca="1">[5]D_装备基础数据!$AP145</f>
        <v>236.58495228077425</v>
      </c>
      <c r="D145">
        <v>1</v>
      </c>
      <c r="E145">
        <f>[5]D_装备基础数据!AS145*H145</f>
        <v>10</v>
      </c>
      <c r="F145">
        <f ca="1">[5]D_装备基础数据!AQ145</f>
        <v>11829.247614038712</v>
      </c>
      <c r="G145">
        <f ca="1">[5]D_装备基础数据!AR145*H145</f>
        <v>1977.4412761533276</v>
      </c>
      <c r="H145">
        <v>1</v>
      </c>
      <c r="I145">
        <f>[5]D_装备基础数据!$I145</f>
        <v>4</v>
      </c>
    </row>
    <row r="146" spans="1:9">
      <c r="A146" t="str">
        <f>[5]D_装备基础数据!A146</f>
        <v>55419</v>
      </c>
      <c r="B146" t="str">
        <f>[5]D_装备基础数据!B146</f>
        <v>白虎长靴</v>
      </c>
      <c r="C146">
        <f ca="1">[5]D_装备基础数据!$AP146</f>
        <v>296.44858180427275</v>
      </c>
      <c r="D146">
        <v>1</v>
      </c>
      <c r="E146">
        <f>[5]D_装备基础数据!AS146*H146</f>
        <v>10</v>
      </c>
      <c r="F146">
        <f ca="1">[5]D_装备基础数据!AQ146</f>
        <v>14822.429090213638</v>
      </c>
      <c r="G146">
        <f ca="1">[5]D_装备基础数据!AR146*H146</f>
        <v>2477.7977477670834</v>
      </c>
      <c r="H146">
        <v>1</v>
      </c>
      <c r="I146">
        <f>[5]D_装备基础数据!$I146</f>
        <v>4</v>
      </c>
    </row>
    <row r="147" spans="1:9">
      <c r="A147" t="str">
        <f>[5]D_装备基础数据!A147</f>
        <v>54419</v>
      </c>
      <c r="B147" t="str">
        <f>[5]D_装备基础数据!B147</f>
        <v>白虎腰带</v>
      </c>
      <c r="C147">
        <f ca="1">[5]D_装备基础数据!$AP147</f>
        <v>313.63638087102282</v>
      </c>
      <c r="D147">
        <v>1</v>
      </c>
      <c r="E147">
        <f>[5]D_装备基础数据!AS147*H147</f>
        <v>10</v>
      </c>
      <c r="F147">
        <f ca="1">[5]D_装备基础数据!AQ147</f>
        <v>15681.819043551141</v>
      </c>
      <c r="G147">
        <f ca="1">[5]D_装备基础数据!AR147*H147</f>
        <v>2621.4580397390137</v>
      </c>
      <c r="H147">
        <v>1</v>
      </c>
      <c r="I147">
        <f>[5]D_装备基础数据!$I147</f>
        <v>4</v>
      </c>
    </row>
    <row r="148" spans="1:9">
      <c r="A148" t="str">
        <f>[5]D_装备基础数据!A148</f>
        <v>53419</v>
      </c>
      <c r="B148" t="str">
        <f>[5]D_装备基础数据!B148</f>
        <v>白虎项链</v>
      </c>
      <c r="C148">
        <f ca="1">[5]D_装备基础数据!$AP148</f>
        <v>407.83084363636368</v>
      </c>
      <c r="D148">
        <v>1</v>
      </c>
      <c r="E148">
        <f>[5]D_装备基础数据!AS148*H148</f>
        <v>10</v>
      </c>
      <c r="F148">
        <f ca="1">[5]D_装备基础数据!AQ148</f>
        <v>20391.542181818186</v>
      </c>
      <c r="G148">
        <f ca="1">[5]D_装备基础数据!AR148*H148</f>
        <v>3408.7609381761822</v>
      </c>
      <c r="H148">
        <v>1</v>
      </c>
      <c r="I148">
        <f>[5]D_装备基础数据!$I148</f>
        <v>4</v>
      </c>
    </row>
    <row r="149" spans="1:9">
      <c r="A149" t="str">
        <f>[5]D_装备基础数据!A149</f>
        <v>10120</v>
      </c>
      <c r="B149" t="str">
        <f>[5]D_装备基础数据!B149</f>
        <v>堕落之刃</v>
      </c>
      <c r="C149">
        <f ca="1">[5]D_装备基础数据!$AP149</f>
        <v>436.33958147956895</v>
      </c>
      <c r="D149">
        <v>1</v>
      </c>
      <c r="E149">
        <f>[5]D_装备基础数据!AS149*H149</f>
        <v>10</v>
      </c>
      <c r="F149">
        <f ca="1">[5]D_装备基础数据!AQ149</f>
        <v>21816.979073978448</v>
      </c>
      <c r="G149">
        <f ca="1">[5]D_装备基础数据!AR149*H149</f>
        <v>840</v>
      </c>
      <c r="H149">
        <v>1</v>
      </c>
      <c r="I149">
        <f>[5]D_装备基础数据!$I149</f>
        <v>1</v>
      </c>
    </row>
    <row r="150" spans="1:9">
      <c r="A150" t="str">
        <f>[5]D_装备基础数据!A150</f>
        <v>20120</v>
      </c>
      <c r="B150" t="str">
        <f>[5]D_装备基础数据!B150</f>
        <v>堕落之拳</v>
      </c>
      <c r="C150">
        <f ca="1">[5]D_装备基础数据!$AP150</f>
        <v>436.33958147956895</v>
      </c>
      <c r="D150">
        <v>1</v>
      </c>
      <c r="E150">
        <f>[5]D_装备基础数据!AS150*H150</f>
        <v>10</v>
      </c>
      <c r="F150">
        <f ca="1">[5]D_装备基础数据!AQ150</f>
        <v>21816.979073978448</v>
      </c>
      <c r="G150">
        <f ca="1">[5]D_装备基础数据!AR150*H150</f>
        <v>840</v>
      </c>
      <c r="H150">
        <v>1</v>
      </c>
      <c r="I150">
        <f>[5]D_装备基础数据!$I150</f>
        <v>1</v>
      </c>
    </row>
    <row r="151" spans="1:9">
      <c r="A151" t="str">
        <f>[5]D_装备基础数据!A151</f>
        <v>30120</v>
      </c>
      <c r="B151" t="str">
        <f>[5]D_装备基础数据!B151</f>
        <v>堕落之枪</v>
      </c>
      <c r="C151">
        <f ca="1">[5]D_装备基础数据!$AP151</f>
        <v>436.33958147956895</v>
      </c>
      <c r="D151">
        <v>1</v>
      </c>
      <c r="E151">
        <f>[5]D_装备基础数据!AS151*H151</f>
        <v>10</v>
      </c>
      <c r="F151">
        <f ca="1">[5]D_装备基础数据!AQ151</f>
        <v>21816.979073978448</v>
      </c>
      <c r="G151">
        <f ca="1">[5]D_装备基础数据!AR151*H151</f>
        <v>840</v>
      </c>
      <c r="H151">
        <v>1</v>
      </c>
      <c r="I151">
        <f>[5]D_装备基础数据!$I151</f>
        <v>1</v>
      </c>
    </row>
    <row r="152" spans="1:9">
      <c r="A152" t="str">
        <f>[5]D_装备基础数据!A152</f>
        <v>51120</v>
      </c>
      <c r="B152" t="str">
        <f>[5]D_装备基础数据!B152</f>
        <v>堕落战衣</v>
      </c>
      <c r="C152">
        <f ca="1">[5]D_装备基础数据!$AP152</f>
        <v>376.4221745700263</v>
      </c>
      <c r="D152">
        <v>1</v>
      </c>
      <c r="E152">
        <f>[5]D_装备基础数据!AS152*H152</f>
        <v>10</v>
      </c>
      <c r="F152">
        <f ca="1">[5]D_装备基础数据!AQ152</f>
        <v>18821.108728501316</v>
      </c>
      <c r="G152">
        <f ca="1">[5]D_装备基础数据!AR152*H152</f>
        <v>724.65263308602107</v>
      </c>
      <c r="H152">
        <v>1</v>
      </c>
      <c r="I152">
        <f>[5]D_装备基础数据!$I152</f>
        <v>1</v>
      </c>
    </row>
    <row r="153" spans="1:9">
      <c r="A153" t="str">
        <f>[5]D_装备基础数据!A153</f>
        <v>52120</v>
      </c>
      <c r="B153" t="str">
        <f>[5]D_装备基础数据!B153</f>
        <v>堕落长裤</v>
      </c>
      <c r="C153">
        <f ca="1">[5]D_装备基础数据!$AP153</f>
        <v>138.68967321993244</v>
      </c>
      <c r="D153">
        <v>1</v>
      </c>
      <c r="E153">
        <f>[5]D_装备基础数据!AS153*H153</f>
        <v>10</v>
      </c>
      <c r="F153">
        <f ca="1">[5]D_装备基础数据!AQ153</f>
        <v>6934.4836609966223</v>
      </c>
      <c r="G153">
        <f ca="1">[5]D_装备基础数据!AR153*H153</f>
        <v>266.99233910824609</v>
      </c>
      <c r="H153">
        <v>1</v>
      </c>
      <c r="I153">
        <f>[5]D_装备基础数据!$I153</f>
        <v>1</v>
      </c>
    </row>
    <row r="154" spans="1:9">
      <c r="A154" t="str">
        <f>[5]D_装备基础数据!A154</f>
        <v>55120</v>
      </c>
      <c r="B154" t="str">
        <f>[5]D_装备基础数据!B154</f>
        <v>堕落长靴</v>
      </c>
      <c r="C154">
        <f ca="1">[5]D_装备基础数据!$AP154</f>
        <v>176.68217242526836</v>
      </c>
      <c r="D154">
        <v>1</v>
      </c>
      <c r="E154">
        <f>[5]D_装备基础数据!AS154*H154</f>
        <v>10</v>
      </c>
      <c r="F154">
        <f ca="1">[5]D_装备基础数据!AQ154</f>
        <v>8834.1086212634182</v>
      </c>
      <c r="G154">
        <f ca="1">[5]D_装备基础数据!AR154*H154</f>
        <v>340.13193195532887</v>
      </c>
      <c r="H154">
        <v>1</v>
      </c>
      <c r="I154">
        <f>[5]D_装备基础数据!$I154</f>
        <v>1</v>
      </c>
    </row>
    <row r="155" spans="1:9">
      <c r="A155" t="str">
        <f>[5]D_装备基础数据!A155</f>
        <v>54120</v>
      </c>
      <c r="B155" t="str">
        <f>[5]D_装备基础数据!B155</f>
        <v>堕落腰带</v>
      </c>
      <c r="C155">
        <f ca="1">[5]D_装备基础数据!$AP155</f>
        <v>142.13534228528087</v>
      </c>
      <c r="D155">
        <v>1</v>
      </c>
      <c r="E155">
        <f>[5]D_装备基础数据!AS155*H155</f>
        <v>10</v>
      </c>
      <c r="F155">
        <f ca="1">[5]D_装备基础数据!AQ155</f>
        <v>7106.7671142640438</v>
      </c>
      <c r="G155">
        <f ca="1">[5]D_装备基础数据!AR155*H155</f>
        <v>273.62561772367286</v>
      </c>
      <c r="H155">
        <v>1</v>
      </c>
      <c r="I155">
        <f>[5]D_装备基础数据!$I155</f>
        <v>1</v>
      </c>
    </row>
    <row r="156" spans="1:9">
      <c r="A156" t="str">
        <f>[5]D_装备基础数据!A156</f>
        <v>53120</v>
      </c>
      <c r="B156" t="str">
        <f>[5]D_装备基础数据!B156</f>
        <v>堕落项链</v>
      </c>
      <c r="C156">
        <f ca="1">[5]D_装备基础数据!$AP156</f>
        <v>264.91606536898399</v>
      </c>
      <c r="D156">
        <v>1</v>
      </c>
      <c r="E156">
        <f>[5]D_装备基础数据!AS156*H156</f>
        <v>10</v>
      </c>
      <c r="F156">
        <f ca="1">[5]D_装备基础数据!AQ156</f>
        <v>13245.803268449199</v>
      </c>
      <c r="G156">
        <f ca="1">[5]D_装备基础数据!AR156*H156</f>
        <v>509.99153951465712</v>
      </c>
      <c r="H156">
        <v>1</v>
      </c>
      <c r="I156">
        <f>[5]D_装备基础数据!$I156</f>
        <v>1</v>
      </c>
    </row>
    <row r="157" spans="1:9">
      <c r="A157" t="str">
        <f>[5]D_装备基础数据!A157</f>
        <v>10221</v>
      </c>
      <c r="B157" t="str">
        <f>[5]D_装备基础数据!B157</f>
        <v>幻痛霸刀</v>
      </c>
      <c r="C157">
        <f ca="1">[5]D_装备基础数据!$AP157</f>
        <v>627.55825551614032</v>
      </c>
      <c r="D157">
        <v>1</v>
      </c>
      <c r="E157">
        <f>[5]D_装备基础数据!AS157*H157</f>
        <v>10</v>
      </c>
      <c r="F157">
        <f ca="1">[5]D_装备基础数据!AQ157</f>
        <v>31377.912775807017</v>
      </c>
      <c r="G157">
        <f ca="1">[5]D_装备基础数据!AR157*H157</f>
        <v>1680</v>
      </c>
      <c r="H157">
        <v>1</v>
      </c>
      <c r="I157">
        <f>[5]D_装备基础数据!$I157</f>
        <v>2</v>
      </c>
    </row>
    <row r="158" spans="1:9">
      <c r="A158" t="str">
        <f>[5]D_装备基础数据!A158</f>
        <v>20221</v>
      </c>
      <c r="B158" t="str">
        <f>[5]D_装备基础数据!B158</f>
        <v>幻痛之拳</v>
      </c>
      <c r="C158">
        <f ca="1">[5]D_装备基础数据!$AP158</f>
        <v>627.55825551614032</v>
      </c>
      <c r="D158">
        <v>1</v>
      </c>
      <c r="E158">
        <f>[5]D_装备基础数据!AS158*H158</f>
        <v>10</v>
      </c>
      <c r="F158">
        <f ca="1">[5]D_装备基础数据!AQ158</f>
        <v>31377.912775807017</v>
      </c>
      <c r="G158">
        <f ca="1">[5]D_装备基础数据!AR158*H158</f>
        <v>1680</v>
      </c>
      <c r="H158">
        <v>1</v>
      </c>
      <c r="I158">
        <f>[5]D_装备基础数据!$I158</f>
        <v>2</v>
      </c>
    </row>
    <row r="159" spans="1:9">
      <c r="A159" t="str">
        <f>[5]D_装备基础数据!A159</f>
        <v>30221</v>
      </c>
      <c r="B159" t="str">
        <f>[5]D_装备基础数据!B159</f>
        <v>幻痛之枪</v>
      </c>
      <c r="C159">
        <f ca="1">[5]D_装备基础数据!$AP159</f>
        <v>627.55825551614032</v>
      </c>
      <c r="D159">
        <v>1</v>
      </c>
      <c r="E159">
        <f>[5]D_装备基础数据!AS159*H159</f>
        <v>10</v>
      </c>
      <c r="F159">
        <f ca="1">[5]D_装备基础数据!AQ159</f>
        <v>31377.912775807017</v>
      </c>
      <c r="G159">
        <f ca="1">[5]D_装备基础数据!AR159*H159</f>
        <v>1680</v>
      </c>
      <c r="H159">
        <v>1</v>
      </c>
      <c r="I159">
        <f>[5]D_装备基础数据!$I159</f>
        <v>2</v>
      </c>
    </row>
    <row r="160" spans="1:9">
      <c r="A160" t="str">
        <f>[5]D_装备基础数据!A160</f>
        <v>51221</v>
      </c>
      <c r="B160" t="str">
        <f>[5]D_装备基础数据!B160</f>
        <v>幻痛战衣</v>
      </c>
      <c r="C160">
        <f ca="1">[5]D_装备基础数据!$AP160</f>
        <v>531.85303566187042</v>
      </c>
      <c r="D160">
        <v>1</v>
      </c>
      <c r="E160">
        <f>[5]D_装备基础数据!AS160*H160</f>
        <v>10</v>
      </c>
      <c r="F160">
        <f ca="1">[5]D_装备基础数据!AQ160</f>
        <v>26592.651783093523</v>
      </c>
      <c r="G160">
        <f ca="1">[5]D_装备基础数据!AR160*H160</f>
        <v>1423.7930774682668</v>
      </c>
      <c r="H160">
        <v>1</v>
      </c>
      <c r="I160">
        <f>[5]D_装备基础数据!$I160</f>
        <v>2</v>
      </c>
    </row>
    <row r="161" spans="1:9">
      <c r="A161" t="str">
        <f>[5]D_装备基础数据!A161</f>
        <v>52221</v>
      </c>
      <c r="B161" t="str">
        <f>[5]D_装备基础数据!B161</f>
        <v>幻痛长裤</v>
      </c>
      <c r="C161">
        <f ca="1">[5]D_装备基础数据!$AP161</f>
        <v>201.89978264845496</v>
      </c>
      <c r="D161">
        <v>1</v>
      </c>
      <c r="E161">
        <f>[5]D_装备基础数据!AS161*H161</f>
        <v>10</v>
      </c>
      <c r="F161">
        <f ca="1">[5]D_装备基础数据!AQ161</f>
        <v>10094.989132422748</v>
      </c>
      <c r="G161">
        <f ca="1">[5]D_装备基础数据!AR161*H161</f>
        <v>540.49425988418147</v>
      </c>
      <c r="H161">
        <v>1</v>
      </c>
      <c r="I161">
        <f>[5]D_装备基础数据!$I161</f>
        <v>2</v>
      </c>
    </row>
    <row r="162" spans="1:9">
      <c r="A162" t="str">
        <f>[5]D_装备基础数据!A162</f>
        <v>55221</v>
      </c>
      <c r="B162" t="str">
        <f>[5]D_装备基础数据!B162</f>
        <v>幻痛长靴</v>
      </c>
      <c r="C162">
        <f ca="1">[5]D_装备基础数据!$AP162</f>
        <v>255.77908967149278</v>
      </c>
      <c r="D162">
        <v>1</v>
      </c>
      <c r="E162">
        <f>[5]D_装备基础数据!AS162*H162</f>
        <v>10</v>
      </c>
      <c r="F162">
        <f ca="1">[5]D_装备基础数据!AQ162</f>
        <v>12788.954483574638</v>
      </c>
      <c r="G162">
        <f ca="1">[5]D_装备基础数据!AR162*H162</f>
        <v>684.73144424606494</v>
      </c>
      <c r="H162">
        <v>1</v>
      </c>
      <c r="I162">
        <f>[5]D_装备基础数据!$I162</f>
        <v>2</v>
      </c>
    </row>
    <row r="163" spans="1:9">
      <c r="A163" t="str">
        <f>[5]D_装备基础数据!A163</f>
        <v>54221</v>
      </c>
      <c r="B163" t="str">
        <f>[5]D_装备基础数据!B163</f>
        <v>幻痛腰带</v>
      </c>
      <c r="C163">
        <f ca="1">[5]D_装备基础数据!$AP163</f>
        <v>227.47713593375113</v>
      </c>
      <c r="D163">
        <v>1</v>
      </c>
      <c r="E163">
        <f>[5]D_装备基础数据!AS163*H163</f>
        <v>10</v>
      </c>
      <c r="F163">
        <f ca="1">[5]D_装备基础数据!AQ163</f>
        <v>11373.856796687556</v>
      </c>
      <c r="G163">
        <f ca="1">[5]D_装备基础数据!AR163*H163</f>
        <v>608.96591672495799</v>
      </c>
      <c r="H163">
        <v>1</v>
      </c>
      <c r="I163">
        <f>[5]D_装备基础数据!$I163</f>
        <v>2</v>
      </c>
    </row>
    <row r="164" spans="1:9">
      <c r="A164" t="str">
        <f>[5]D_装备基础数据!A164</f>
        <v>53221</v>
      </c>
      <c r="B164" t="str">
        <f>[5]D_装备基础数据!B164</f>
        <v>幻痛项链</v>
      </c>
      <c r="C164">
        <f ca="1">[5]D_装备基础数据!$AP164</f>
        <v>372.92215851693413</v>
      </c>
      <c r="D164">
        <v>1</v>
      </c>
      <c r="E164">
        <f>[5]D_装备基础数据!AS164*H164</f>
        <v>10</v>
      </c>
      <c r="F164">
        <f ca="1">[5]D_装备基础数据!AQ164</f>
        <v>18646.107925846707</v>
      </c>
      <c r="G164">
        <f ca="1">[5]D_装备基础数据!AR164*H164</f>
        <v>998.32839549401137</v>
      </c>
      <c r="H164">
        <v>1</v>
      </c>
      <c r="I164">
        <f>[5]D_装备基础数据!$I164</f>
        <v>2</v>
      </c>
    </row>
    <row r="165" spans="1:9">
      <c r="A165" t="str">
        <f>[5]D_装备基础数据!A165</f>
        <v>10322</v>
      </c>
      <c r="B165" t="str">
        <f>[5]D_装备基础数据!B165</f>
        <v>焚天之剑</v>
      </c>
      <c r="C165">
        <f ca="1">[5]D_装备基础数据!$AP165</f>
        <v>817.10921949533486</v>
      </c>
      <c r="D165">
        <v>1</v>
      </c>
      <c r="E165">
        <f>[5]D_装备基础数据!AS165*H165</f>
        <v>10</v>
      </c>
      <c r="F165">
        <f ca="1">[5]D_装备基础数据!AQ165</f>
        <v>40855.460974766742</v>
      </c>
      <c r="G165">
        <f ca="1">[5]D_装备基础数据!AR165*H165</f>
        <v>4200</v>
      </c>
      <c r="H165">
        <v>1</v>
      </c>
      <c r="I165">
        <f>[5]D_装备基础数据!$I165</f>
        <v>3</v>
      </c>
    </row>
    <row r="166" spans="1:9">
      <c r="A166" t="str">
        <f>[5]D_装备基础数据!A166</f>
        <v>20322</v>
      </c>
      <c r="B166" t="str">
        <f>[5]D_装备基础数据!B166</f>
        <v>焚天之拳</v>
      </c>
      <c r="C166">
        <f ca="1">[5]D_装备基础数据!$AP166</f>
        <v>817.10921949533486</v>
      </c>
      <c r="D166">
        <v>1</v>
      </c>
      <c r="E166">
        <f>[5]D_装备基础数据!AS166*H166</f>
        <v>10</v>
      </c>
      <c r="F166">
        <f ca="1">[5]D_装备基础数据!AQ166</f>
        <v>40855.460974766742</v>
      </c>
      <c r="G166">
        <f ca="1">[5]D_装备基础数据!AR166*H166</f>
        <v>4200</v>
      </c>
      <c r="H166">
        <v>1</v>
      </c>
      <c r="I166">
        <f>[5]D_装备基础数据!$I166</f>
        <v>3</v>
      </c>
    </row>
    <row r="167" spans="1:9">
      <c r="A167" t="str">
        <f>[5]D_装备基础数据!A167</f>
        <v>30322</v>
      </c>
      <c r="B167" t="str">
        <f>[5]D_装备基础数据!B167</f>
        <v>焚天之枪</v>
      </c>
      <c r="C167">
        <f ca="1">[5]D_装备基础数据!$AP167</f>
        <v>817.10921949533486</v>
      </c>
      <c r="D167">
        <v>1</v>
      </c>
      <c r="E167">
        <f>[5]D_装备基础数据!AS167*H167</f>
        <v>10</v>
      </c>
      <c r="F167">
        <f ca="1">[5]D_装备基础数据!AQ167</f>
        <v>40855.460974766742</v>
      </c>
      <c r="G167">
        <f ca="1">[5]D_装备基础数据!AR167*H167</f>
        <v>4200</v>
      </c>
      <c r="H167">
        <v>1</v>
      </c>
      <c r="I167">
        <f>[5]D_装备基础数据!$I167</f>
        <v>3</v>
      </c>
    </row>
    <row r="168" spans="1:9">
      <c r="A168" t="str">
        <f>[5]D_装备基础数据!A168</f>
        <v>51322</v>
      </c>
      <c r="B168" t="str">
        <f>[5]D_装备基础数据!B168</f>
        <v>焚天战衣</v>
      </c>
      <c r="C168">
        <f ca="1">[5]D_装备基础数据!$AP168</f>
        <v>679.98058403894458</v>
      </c>
      <c r="D168">
        <v>1</v>
      </c>
      <c r="E168">
        <f>[5]D_装备基础数据!AS168*H168</f>
        <v>10</v>
      </c>
      <c r="F168">
        <f ca="1">[5]D_装备基础数据!AQ168</f>
        <v>33999.029201947233</v>
      </c>
      <c r="G168">
        <f ca="1">[5]D_装备基础数据!AR168*H168</f>
        <v>3495.1489774248871</v>
      </c>
      <c r="H168">
        <v>1</v>
      </c>
      <c r="I168">
        <f>[5]D_装备基础数据!$I168</f>
        <v>3</v>
      </c>
    </row>
    <row r="169" spans="1:9">
      <c r="A169" t="str">
        <f>[5]D_装备基础数据!A169</f>
        <v>52322</v>
      </c>
      <c r="B169" t="str">
        <f>[5]D_装备基础数据!B169</f>
        <v>焚天长裤</v>
      </c>
      <c r="C169">
        <f ca="1">[5]D_装备基础数据!$AP169</f>
        <v>266.07620263950542</v>
      </c>
      <c r="D169">
        <v>1</v>
      </c>
      <c r="E169">
        <f>[5]D_装备基础数据!AS169*H169</f>
        <v>10</v>
      </c>
      <c r="F169">
        <f ca="1">[5]D_装备基础数据!AQ169</f>
        <v>13303.810131975271</v>
      </c>
      <c r="G169">
        <f ca="1">[5]D_装备基础数据!AR169*H169</f>
        <v>1367.650767392061</v>
      </c>
      <c r="H169">
        <v>1</v>
      </c>
      <c r="I169">
        <f>[5]D_装备基础数据!$I169</f>
        <v>3</v>
      </c>
    </row>
    <row r="170" spans="1:9">
      <c r="A170" t="str">
        <f>[5]D_装备基础数据!A170</f>
        <v>55322</v>
      </c>
      <c r="B170" t="str">
        <f>[5]D_装备基础数据!B170</f>
        <v>焚天长靴</v>
      </c>
      <c r="C170">
        <f ca="1">[5]D_装备基础数据!$AP170</f>
        <v>335.22770370506402</v>
      </c>
      <c r="D170">
        <v>1</v>
      </c>
      <c r="E170">
        <f>[5]D_装备基础数据!AS170*H170</f>
        <v>10</v>
      </c>
      <c r="F170">
        <f ca="1">[5]D_装备基础数据!AQ170</f>
        <v>16761.385185253203</v>
      </c>
      <c r="G170">
        <f ca="1">[5]D_装备基础数据!AR170*H170</f>
        <v>1723.0944431527219</v>
      </c>
      <c r="H170">
        <v>1</v>
      </c>
      <c r="I170">
        <f>[5]D_装备基础数据!$I170</f>
        <v>3</v>
      </c>
    </row>
    <row r="171" spans="1:9">
      <c r="A171" t="str">
        <f>[5]D_装备基础数据!A171</f>
        <v>54322</v>
      </c>
      <c r="B171" t="str">
        <f>[5]D_装备基础数据!B171</f>
        <v>焚天腰带</v>
      </c>
      <c r="C171">
        <f ca="1">[5]D_装备基础数据!$AP171</f>
        <v>326.46233291180158</v>
      </c>
      <c r="D171">
        <v>1</v>
      </c>
      <c r="E171">
        <f>[5]D_装备基础数据!AS171*H171</f>
        <v>10</v>
      </c>
      <c r="F171">
        <f ca="1">[5]D_装备基础数据!AQ171</f>
        <v>16323.116645590078</v>
      </c>
      <c r="G171">
        <f ca="1">[5]D_装备基础数据!AR171*H171</f>
        <v>1678.0398085294091</v>
      </c>
      <c r="H171">
        <v>1</v>
      </c>
      <c r="I171">
        <f>[5]D_装备基础数据!$I171</f>
        <v>3</v>
      </c>
    </row>
    <row r="172" spans="1:9">
      <c r="A172" t="str">
        <f>[5]D_装备基础数据!A172</f>
        <v>53322</v>
      </c>
      <c r="B172" t="str">
        <f>[5]D_装备基础数据!B172</f>
        <v>焚天项链</v>
      </c>
      <c r="C172">
        <f ca="1">[5]D_装备基础数据!$AP172</f>
        <v>474.937863757576</v>
      </c>
      <c r="D172">
        <v>1</v>
      </c>
      <c r="E172">
        <f>[5]D_装备基础数据!AS172*H172</f>
        <v>10</v>
      </c>
      <c r="F172">
        <f ca="1">[5]D_装备基础数据!AQ172</f>
        <v>23746.893187878799</v>
      </c>
      <c r="G172">
        <f ca="1">[5]D_装备基础数据!AR172*H172</f>
        <v>2441.214687326396</v>
      </c>
      <c r="H172">
        <v>1</v>
      </c>
      <c r="I172">
        <f>[5]D_装备基础数据!$I172</f>
        <v>3</v>
      </c>
    </row>
    <row r="173" spans="1:9">
      <c r="A173" t="str">
        <f>[5]D_装备基础数据!A173</f>
        <v>10423</v>
      </c>
      <c r="B173" t="str">
        <f>[5]D_装备基础数据!B173</f>
        <v>朱雀霸刀</v>
      </c>
      <c r="C173">
        <f ca="1">[5]D_装备基础数据!$AP173</f>
        <v>957.13568896871675</v>
      </c>
      <c r="D173">
        <v>1</v>
      </c>
      <c r="E173">
        <f>[5]D_装备基础数据!AS173*H173</f>
        <v>10</v>
      </c>
      <c r="F173">
        <f ca="1">[5]D_装备基础数据!AQ173</f>
        <v>47856.784448435836</v>
      </c>
      <c r="G173">
        <f ca="1">[5]D_装备基础数据!AR173*H173</f>
        <v>7000</v>
      </c>
      <c r="H173">
        <v>1</v>
      </c>
      <c r="I173">
        <f>[5]D_装备基础数据!$I173</f>
        <v>4</v>
      </c>
    </row>
    <row r="174" spans="1:9">
      <c r="A174" t="str">
        <f>[5]D_装备基础数据!A174</f>
        <v>20423</v>
      </c>
      <c r="B174" t="str">
        <f>[5]D_装备基础数据!B174</f>
        <v>朱雀之拳</v>
      </c>
      <c r="C174">
        <f ca="1">[5]D_装备基础数据!$AP174</f>
        <v>957.13568896871675</v>
      </c>
      <c r="D174">
        <v>1</v>
      </c>
      <c r="E174">
        <f>[5]D_装备基础数据!AS174*H174</f>
        <v>10</v>
      </c>
      <c r="F174">
        <f ca="1">[5]D_装备基础数据!AQ174</f>
        <v>47856.784448435836</v>
      </c>
      <c r="G174">
        <f ca="1">[5]D_装备基础数据!AR174*H174</f>
        <v>7000</v>
      </c>
      <c r="H174">
        <v>1</v>
      </c>
      <c r="I174">
        <f>[5]D_装备基础数据!$I174</f>
        <v>4</v>
      </c>
    </row>
    <row r="175" spans="1:9">
      <c r="A175" t="str">
        <f>[5]D_装备基础数据!A175</f>
        <v>30423</v>
      </c>
      <c r="B175" t="str">
        <f>[5]D_装备基础数据!B175</f>
        <v>朱雀之枪</v>
      </c>
      <c r="C175">
        <f ca="1">[5]D_装备基础数据!$AP175</f>
        <v>957.13568896871675</v>
      </c>
      <c r="D175">
        <v>1</v>
      </c>
      <c r="E175">
        <f>[5]D_装备基础数据!AS175*H175</f>
        <v>10</v>
      </c>
      <c r="F175">
        <f ca="1">[5]D_装备基础数据!AQ175</f>
        <v>47856.784448435836</v>
      </c>
      <c r="G175">
        <f ca="1">[5]D_装备基础数据!AR175*H175</f>
        <v>7000</v>
      </c>
      <c r="H175">
        <v>1</v>
      </c>
      <c r="I175">
        <f>[5]D_装备基础数据!$I175</f>
        <v>4</v>
      </c>
    </row>
    <row r="176" spans="1:9">
      <c r="A176" t="str">
        <f>[5]D_装备基础数据!A176</f>
        <v>51423</v>
      </c>
      <c r="B176" t="str">
        <f>[5]D_装备基础数据!B176</f>
        <v>朱雀战衣</v>
      </c>
      <c r="C176">
        <f ca="1">[5]D_装备基础数据!$AP176</f>
        <v>781.71887590595156</v>
      </c>
      <c r="D176">
        <v>1</v>
      </c>
      <c r="E176">
        <f>[5]D_装备基础数据!AS176*H176</f>
        <v>10</v>
      </c>
      <c r="F176">
        <f ca="1">[5]D_装备基础数据!AQ176</f>
        <v>39085.943795297579</v>
      </c>
      <c r="G176">
        <f ca="1">[5]D_装备基础数据!AR176*H176</f>
        <v>5717.0913115125841</v>
      </c>
      <c r="H176">
        <v>1</v>
      </c>
      <c r="I176">
        <f>[5]D_装备基础数据!$I176</f>
        <v>4</v>
      </c>
    </row>
    <row r="177" spans="1:9">
      <c r="A177" t="str">
        <f>[5]D_装备基础数据!A177</f>
        <v>52423</v>
      </c>
      <c r="B177" t="str">
        <f>[5]D_装备基础数据!B177</f>
        <v>朱雀长裤</v>
      </c>
      <c r="C177">
        <f ca="1">[5]D_装备基础数据!$AP177</f>
        <v>315.4466030410324</v>
      </c>
      <c r="D177">
        <v>1</v>
      </c>
      <c r="E177">
        <f>[5]D_装备基础数据!AS177*H177</f>
        <v>10</v>
      </c>
      <c r="F177">
        <f ca="1">[5]D_装备基础数据!AQ177</f>
        <v>15772.33015205162</v>
      </c>
      <c r="G177">
        <f ca="1">[5]D_装备基础数据!AR177*H177</f>
        <v>2307.0148221788832</v>
      </c>
      <c r="H177">
        <v>1</v>
      </c>
      <c r="I177">
        <f>[5]D_装备基础数据!$I177</f>
        <v>4</v>
      </c>
    </row>
    <row r="178" spans="1:9">
      <c r="A178" t="str">
        <f>[5]D_装备基础数据!A178</f>
        <v>55423</v>
      </c>
      <c r="B178" t="str">
        <f>[5]D_装备基础数据!B178</f>
        <v>朱雀长靴</v>
      </c>
      <c r="C178">
        <f ca="1">[5]D_装备基础数据!$AP178</f>
        <v>395.26477573903037</v>
      </c>
      <c r="D178">
        <v>1</v>
      </c>
      <c r="E178">
        <f>[5]D_装备基础数据!AS178*H178</f>
        <v>10</v>
      </c>
      <c r="F178">
        <f ca="1">[5]D_装备基础数据!AQ178</f>
        <v>19763.238786951519</v>
      </c>
      <c r="G178">
        <f ca="1">[5]D_装备基础数据!AR178*H178</f>
        <v>2890.764039061597</v>
      </c>
      <c r="H178">
        <v>1</v>
      </c>
      <c r="I178">
        <f>[5]D_装备基础数据!$I178</f>
        <v>4</v>
      </c>
    </row>
    <row r="179" spans="1:9">
      <c r="A179" t="str">
        <f>[5]D_装备基础数据!A179</f>
        <v>54423</v>
      </c>
      <c r="B179" t="str">
        <f>[5]D_装备基础数据!B179</f>
        <v>朱雀腰带</v>
      </c>
      <c r="C179">
        <f ca="1">[5]D_装备基础数据!$AP179</f>
        <v>418.18184116136376</v>
      </c>
      <c r="D179">
        <v>1</v>
      </c>
      <c r="E179">
        <f>[5]D_装备基础数据!AS179*H179</f>
        <v>10</v>
      </c>
      <c r="F179">
        <f ca="1">[5]D_装备基础数据!AQ179</f>
        <v>20909.092058068189</v>
      </c>
      <c r="G179">
        <f ca="1">[5]D_装备基础数据!AR179*H179</f>
        <v>3058.3677130288493</v>
      </c>
      <c r="H179">
        <v>1</v>
      </c>
      <c r="I179">
        <f>[5]D_装备基础数据!$I179</f>
        <v>4</v>
      </c>
    </row>
    <row r="180" spans="1:9">
      <c r="A180" t="str">
        <f>[5]D_装备基础数据!A180</f>
        <v>53423</v>
      </c>
      <c r="B180" t="str">
        <f>[5]D_装备基础数据!B180</f>
        <v>朱雀项链</v>
      </c>
      <c r="C180">
        <f ca="1">[5]D_装备基础数据!$AP180</f>
        <v>543.77445818181832</v>
      </c>
      <c r="D180">
        <v>1</v>
      </c>
      <c r="E180">
        <f>[5]D_装备基础数据!AS180*H180</f>
        <v>10</v>
      </c>
      <c r="F180">
        <f ca="1">[5]D_装备基础数据!AQ180</f>
        <v>27188.722909090917</v>
      </c>
      <c r="G180">
        <f ca="1">[5]D_装备基础数据!AR180*H180</f>
        <v>3976.8877612055462</v>
      </c>
      <c r="H180">
        <v>1</v>
      </c>
      <c r="I180">
        <f>[5]D_装备基础数据!$I180</f>
        <v>4</v>
      </c>
    </row>
    <row r="181" spans="1:9">
      <c r="A181" t="str">
        <f>[5]D_装备基础数据!A181</f>
        <v>10124</v>
      </c>
      <c r="B181" t="str">
        <f>[5]D_装备基础数据!B181</f>
        <v>高洁之刃</v>
      </c>
      <c r="C181">
        <f ca="1">[5]D_装备基础数据!$AP181</f>
        <v>545.42447684946114</v>
      </c>
      <c r="D181">
        <v>1</v>
      </c>
      <c r="E181">
        <f>[5]D_装备基础数据!AS181*H181</f>
        <v>10</v>
      </c>
      <c r="F181">
        <f ca="1">[5]D_装备基础数据!AQ181</f>
        <v>27271.223842473057</v>
      </c>
      <c r="G181">
        <f ca="1">[5]D_装备基础数据!AR181*H181</f>
        <v>959.99999999999989</v>
      </c>
      <c r="H181">
        <v>1</v>
      </c>
      <c r="I181">
        <f>[5]D_装备基础数据!$I181</f>
        <v>1</v>
      </c>
    </row>
    <row r="182" spans="1:9">
      <c r="A182" t="str">
        <f>[5]D_装备基础数据!A182</f>
        <v>20124</v>
      </c>
      <c r="B182" t="str">
        <f>[5]D_装备基础数据!B182</f>
        <v>高洁之拳</v>
      </c>
      <c r="C182">
        <f ca="1">[5]D_装备基础数据!$AP182</f>
        <v>545.42447684946114</v>
      </c>
      <c r="D182">
        <v>1</v>
      </c>
      <c r="E182">
        <f>[5]D_装备基础数据!AS182*H182</f>
        <v>10</v>
      </c>
      <c r="F182">
        <f ca="1">[5]D_装备基础数据!AQ182</f>
        <v>27271.223842473057</v>
      </c>
      <c r="G182">
        <f ca="1">[5]D_装备基础数据!AR182*H182</f>
        <v>959.99999999999989</v>
      </c>
      <c r="H182">
        <v>1</v>
      </c>
      <c r="I182">
        <f>[5]D_装备基础数据!$I182</f>
        <v>1</v>
      </c>
    </row>
    <row r="183" spans="1:9">
      <c r="A183" t="str">
        <f>[5]D_装备基础数据!A183</f>
        <v>30124</v>
      </c>
      <c r="B183" t="str">
        <f>[5]D_装备基础数据!B183</f>
        <v>高洁之枪</v>
      </c>
      <c r="C183">
        <f ca="1">[5]D_装备基础数据!$AP183</f>
        <v>545.42447684946114</v>
      </c>
      <c r="D183">
        <v>1</v>
      </c>
      <c r="E183">
        <f>[5]D_装备基础数据!AS183*H183</f>
        <v>10</v>
      </c>
      <c r="F183">
        <f ca="1">[5]D_装备基础数据!AQ183</f>
        <v>27271.223842473057</v>
      </c>
      <c r="G183">
        <f ca="1">[5]D_装备基础数据!AR183*H183</f>
        <v>959.99999999999989</v>
      </c>
      <c r="H183">
        <v>1</v>
      </c>
      <c r="I183">
        <f>[5]D_装备基础数据!$I183</f>
        <v>1</v>
      </c>
    </row>
    <row r="184" spans="1:9">
      <c r="A184" t="str">
        <f>[5]D_装备基础数据!A184</f>
        <v>51124</v>
      </c>
      <c r="B184" t="str">
        <f>[5]D_装备基础数据!B184</f>
        <v>高洁战衣</v>
      </c>
      <c r="C184">
        <f ca="1">[5]D_装备基础数据!$AP184</f>
        <v>470.52771821253282</v>
      </c>
      <c r="D184">
        <v>1</v>
      </c>
      <c r="E184">
        <f>[5]D_装备基础数据!AS184*H184</f>
        <v>10</v>
      </c>
      <c r="F184">
        <f ca="1">[5]D_装备基础数据!AQ184</f>
        <v>23526.385910626639</v>
      </c>
      <c r="G184">
        <f ca="1">[5]D_装备基础数据!AR184*H184</f>
        <v>828.17443781259544</v>
      </c>
      <c r="H184">
        <v>1</v>
      </c>
      <c r="I184">
        <f>[5]D_装备基础数据!$I184</f>
        <v>1</v>
      </c>
    </row>
    <row r="185" spans="1:9">
      <c r="A185" t="str">
        <f>[5]D_装备基础数据!A185</f>
        <v>52124</v>
      </c>
      <c r="B185" t="str">
        <f>[5]D_装备基础数据!B185</f>
        <v>高洁长裤</v>
      </c>
      <c r="C185">
        <f ca="1">[5]D_装备基础数据!$AP185</f>
        <v>173.36209152491557</v>
      </c>
      <c r="D185">
        <v>1</v>
      </c>
      <c r="E185">
        <f>[5]D_装备基础数据!AS185*H185</f>
        <v>10</v>
      </c>
      <c r="F185">
        <f ca="1">[5]D_装备基础数据!AQ185</f>
        <v>8668.1045762457779</v>
      </c>
      <c r="G185">
        <f ca="1">[5]D_装备基础数据!AR185*H185</f>
        <v>305.13410183799556</v>
      </c>
      <c r="H185">
        <v>1</v>
      </c>
      <c r="I185">
        <f>[5]D_装备基础数据!$I185</f>
        <v>1</v>
      </c>
    </row>
    <row r="186" spans="1:9">
      <c r="A186" t="str">
        <f>[5]D_装备基础数据!A186</f>
        <v>55124</v>
      </c>
      <c r="B186" t="str">
        <f>[5]D_装备基础数据!B186</f>
        <v>高洁长靴</v>
      </c>
      <c r="C186">
        <f ca="1">[5]D_装备基础数据!$AP186</f>
        <v>220.85271553158546</v>
      </c>
      <c r="D186">
        <v>1</v>
      </c>
      <c r="E186">
        <f>[5]D_装备基础数据!AS186*H186</f>
        <v>10</v>
      </c>
      <c r="F186">
        <f ca="1">[5]D_装备基础数据!AQ186</f>
        <v>11042.635776579273</v>
      </c>
      <c r="G186">
        <f ca="1">[5]D_装备基础数据!AR186*H186</f>
        <v>388.7222079489473</v>
      </c>
      <c r="H186">
        <v>1</v>
      </c>
      <c r="I186">
        <f>[5]D_装备基础数据!$I186</f>
        <v>1</v>
      </c>
    </row>
    <row r="187" spans="1:9">
      <c r="A187" t="str">
        <f>[5]D_装备基础数据!A187</f>
        <v>54124</v>
      </c>
      <c r="B187" t="str">
        <f>[5]D_装备基础数据!B187</f>
        <v>高洁腰带</v>
      </c>
      <c r="C187">
        <f ca="1">[5]D_装备基础数据!$AP187</f>
        <v>177.6691778566011</v>
      </c>
      <c r="D187">
        <v>1</v>
      </c>
      <c r="E187">
        <f>[5]D_装备基础数据!AS187*H187</f>
        <v>10</v>
      </c>
      <c r="F187">
        <f ca="1">[5]D_装备基础数据!AQ187</f>
        <v>8883.4588928300545</v>
      </c>
      <c r="G187">
        <f ca="1">[5]D_装备基础数据!AR187*H187</f>
        <v>312.71499168419757</v>
      </c>
      <c r="H187">
        <v>1</v>
      </c>
      <c r="I187">
        <f>[5]D_装备基础数据!$I187</f>
        <v>1</v>
      </c>
    </row>
    <row r="188" spans="1:9">
      <c r="A188" t="str">
        <f>[5]D_装备基础数据!A188</f>
        <v>53124</v>
      </c>
      <c r="B188" t="str">
        <f>[5]D_装备基础数据!B188</f>
        <v>高洁项链</v>
      </c>
      <c r="C188">
        <f ca="1">[5]D_装备基础数据!$AP188</f>
        <v>331.14508171122998</v>
      </c>
      <c r="D188">
        <v>1</v>
      </c>
      <c r="E188">
        <f>[5]D_装备基础数据!AS188*H188</f>
        <v>10</v>
      </c>
      <c r="F188">
        <f ca="1">[5]D_装备基础数据!AQ188</f>
        <v>16557.254085561501</v>
      </c>
      <c r="G188">
        <f ca="1">[5]D_装备基础数据!AR188*H188</f>
        <v>582.84747373103676</v>
      </c>
      <c r="H188">
        <v>1</v>
      </c>
      <c r="I188">
        <f>[5]D_装备基础数据!$I188</f>
        <v>1</v>
      </c>
    </row>
    <row r="189" spans="1:9">
      <c r="A189" t="str">
        <f>[5]D_装备基础数据!A189</f>
        <v>10225</v>
      </c>
      <c r="B189" t="str">
        <f>[5]D_装备基础数据!B189</f>
        <v>星宿之刃</v>
      </c>
      <c r="C189">
        <f ca="1">[5]D_装备基础数据!$AP189</f>
        <v>784.44781939517532</v>
      </c>
      <c r="D189">
        <v>1</v>
      </c>
      <c r="E189">
        <f>[5]D_装备基础数据!AS189*H189</f>
        <v>10</v>
      </c>
      <c r="F189">
        <f ca="1">[5]D_装备基础数据!AQ189</f>
        <v>39222.390969758766</v>
      </c>
      <c r="G189">
        <f ca="1">[5]D_装备基础数据!AR189*H189</f>
        <v>1920</v>
      </c>
      <c r="H189">
        <v>1</v>
      </c>
      <c r="I189">
        <f>[5]D_装备基础数据!$I189</f>
        <v>2</v>
      </c>
    </row>
    <row r="190" spans="1:9">
      <c r="A190" t="str">
        <f>[5]D_装备基础数据!A190</f>
        <v>20225</v>
      </c>
      <c r="B190" t="str">
        <f>[5]D_装备基础数据!B190</f>
        <v>星宿之拳</v>
      </c>
      <c r="C190">
        <f ca="1">[5]D_装备基础数据!$AP190</f>
        <v>784.44781939517532</v>
      </c>
      <c r="D190">
        <v>1</v>
      </c>
      <c r="E190">
        <f>[5]D_装备基础数据!AS190*H190</f>
        <v>10</v>
      </c>
      <c r="F190">
        <f ca="1">[5]D_装备基础数据!AQ190</f>
        <v>39222.390969758766</v>
      </c>
      <c r="G190">
        <f ca="1">[5]D_装备基础数据!AR190*H190</f>
        <v>1920</v>
      </c>
      <c r="H190">
        <v>1</v>
      </c>
      <c r="I190">
        <f>[5]D_装备基础数据!$I190</f>
        <v>2</v>
      </c>
    </row>
    <row r="191" spans="1:9">
      <c r="A191" t="str">
        <f>[5]D_装备基础数据!A191</f>
        <v>30225</v>
      </c>
      <c r="B191" t="str">
        <f>[5]D_装备基础数据!B191</f>
        <v>星宿之枪</v>
      </c>
      <c r="C191">
        <f ca="1">[5]D_装备基础数据!$AP191</f>
        <v>784.44781939517532</v>
      </c>
      <c r="D191">
        <v>1</v>
      </c>
      <c r="E191">
        <f>[5]D_装备基础数据!AS191*H191</f>
        <v>10</v>
      </c>
      <c r="F191">
        <f ca="1">[5]D_装备基础数据!AQ191</f>
        <v>39222.390969758766</v>
      </c>
      <c r="G191">
        <f ca="1">[5]D_装备基础数据!AR191*H191</f>
        <v>1920</v>
      </c>
      <c r="H191">
        <v>1</v>
      </c>
      <c r="I191">
        <f>[5]D_装备基础数据!$I191</f>
        <v>2</v>
      </c>
    </row>
    <row r="192" spans="1:9">
      <c r="A192" t="str">
        <f>[5]D_装备基础数据!A192</f>
        <v>51225</v>
      </c>
      <c r="B192" t="str">
        <f>[5]D_装备基础数据!B192</f>
        <v>星宿战衣</v>
      </c>
      <c r="C192">
        <f ca="1">[5]D_装备基础数据!$AP192</f>
        <v>664.816294577338</v>
      </c>
      <c r="D192">
        <v>1</v>
      </c>
      <c r="E192">
        <f>[5]D_装备基础数据!AS192*H192</f>
        <v>10</v>
      </c>
      <c r="F192">
        <f ca="1">[5]D_装备基础数据!AQ192</f>
        <v>33240.814728866899</v>
      </c>
      <c r="G192">
        <f ca="1">[5]D_装备基础数据!AR192*H192</f>
        <v>1627.1920885351622</v>
      </c>
      <c r="H192">
        <v>1</v>
      </c>
      <c r="I192">
        <f>[5]D_装备基础数据!$I192</f>
        <v>2</v>
      </c>
    </row>
    <row r="193" spans="1:9">
      <c r="A193" t="str">
        <f>[5]D_装备基础数据!A193</f>
        <v>52225</v>
      </c>
      <c r="B193" t="str">
        <f>[5]D_装备基础数据!B193</f>
        <v>星宿长裤</v>
      </c>
      <c r="C193">
        <f ca="1">[5]D_装备基础数据!$AP193</f>
        <v>252.37472831056871</v>
      </c>
      <c r="D193">
        <v>1</v>
      </c>
      <c r="E193">
        <f>[5]D_装备基础数据!AS193*H193</f>
        <v>10</v>
      </c>
      <c r="F193">
        <f ca="1">[5]D_装备基础数据!AQ193</f>
        <v>12618.736415528436</v>
      </c>
      <c r="G193">
        <f ca="1">[5]D_装备基础数据!AR193*H193</f>
        <v>617.70772558192186</v>
      </c>
      <c r="H193">
        <v>1</v>
      </c>
      <c r="I193">
        <f>[5]D_装备基础数据!$I193</f>
        <v>2</v>
      </c>
    </row>
    <row r="194" spans="1:9">
      <c r="A194" t="str">
        <f>[5]D_装备基础数据!A194</f>
        <v>55225</v>
      </c>
      <c r="B194" t="str">
        <f>[5]D_装备基础数据!B194</f>
        <v>星宿长靴</v>
      </c>
      <c r="C194">
        <f ca="1">[5]D_装备基础数据!$AP194</f>
        <v>319.72386208936598</v>
      </c>
      <c r="D194">
        <v>1</v>
      </c>
      <c r="E194">
        <f>[5]D_装备基础数据!AS194*H194</f>
        <v>10</v>
      </c>
      <c r="F194">
        <f ca="1">[5]D_装备基础数据!AQ194</f>
        <v>15986.193104468299</v>
      </c>
      <c r="G194">
        <f ca="1">[5]D_装备基础数据!AR194*H194</f>
        <v>782.55022199550297</v>
      </c>
      <c r="H194">
        <v>1</v>
      </c>
      <c r="I194">
        <f>[5]D_装备基础数据!$I194</f>
        <v>2</v>
      </c>
    </row>
    <row r="195" spans="1:9">
      <c r="A195" t="str">
        <f>[5]D_装备基础数据!A195</f>
        <v>54225</v>
      </c>
      <c r="B195" t="str">
        <f>[5]D_装备基础数据!B195</f>
        <v>星宿腰带</v>
      </c>
      <c r="C195">
        <f ca="1">[5]D_装备基础数据!$AP195</f>
        <v>284.34641991718894</v>
      </c>
      <c r="D195">
        <v>1</v>
      </c>
      <c r="E195">
        <f>[5]D_装备基础数据!AS195*H195</f>
        <v>10</v>
      </c>
      <c r="F195">
        <f ca="1">[5]D_装备基础数据!AQ195</f>
        <v>14217.320995859447</v>
      </c>
      <c r="G195">
        <f ca="1">[5]D_装备基础数据!AR195*H195</f>
        <v>695.96104768566659</v>
      </c>
      <c r="H195">
        <v>1</v>
      </c>
      <c r="I195">
        <f>[5]D_装备基础数据!$I195</f>
        <v>2</v>
      </c>
    </row>
    <row r="196" spans="1:9">
      <c r="A196" t="str">
        <f>[5]D_装备基础数据!A196</f>
        <v>53225</v>
      </c>
      <c r="B196" t="str">
        <f>[5]D_装备基础数据!B196</f>
        <v>星宿项链</v>
      </c>
      <c r="C196">
        <f ca="1">[5]D_装备基础数据!$AP196</f>
        <v>466.15269814616761</v>
      </c>
      <c r="D196">
        <v>1</v>
      </c>
      <c r="E196">
        <f>[5]D_装备基础数据!AS196*H196</f>
        <v>10</v>
      </c>
      <c r="F196">
        <f ca="1">[5]D_装备基础数据!AQ196</f>
        <v>23307.63490730838</v>
      </c>
      <c r="G196">
        <f ca="1">[5]D_装备基础数据!AR196*H196</f>
        <v>1140.9467377074418</v>
      </c>
      <c r="H196">
        <v>1</v>
      </c>
      <c r="I196">
        <f>[5]D_装备基础数据!$I196</f>
        <v>2</v>
      </c>
    </row>
    <row r="197" spans="1:9">
      <c r="A197" t="str">
        <f>[5]D_装备基础数据!A197</f>
        <v>10326</v>
      </c>
      <c r="B197" t="str">
        <f>[5]D_装备基础数据!B197</f>
        <v>炼狱之剑</v>
      </c>
      <c r="C197">
        <f ca="1">[5]D_装备基础数据!$AP197</f>
        <v>1021.3865243691686</v>
      </c>
      <c r="D197">
        <v>1</v>
      </c>
      <c r="E197">
        <f>[5]D_装备基础数据!AS197*H197</f>
        <v>10</v>
      </c>
      <c r="F197">
        <f ca="1">[5]D_装备基础数据!AQ197</f>
        <v>51069.326218458431</v>
      </c>
      <c r="G197">
        <f ca="1">[5]D_装备基础数据!AR197*H197</f>
        <v>4800.0000000000009</v>
      </c>
      <c r="H197">
        <v>1</v>
      </c>
      <c r="I197">
        <f>[5]D_装备基础数据!$I197</f>
        <v>3</v>
      </c>
    </row>
    <row r="198" spans="1:9">
      <c r="A198" t="str">
        <f>[5]D_装备基础数据!A198</f>
        <v>20326</v>
      </c>
      <c r="B198" t="str">
        <f>[5]D_装备基础数据!B198</f>
        <v>炼狱之拳</v>
      </c>
      <c r="C198">
        <f ca="1">[5]D_装备基础数据!$AP198</f>
        <v>1021.3865243691686</v>
      </c>
      <c r="D198">
        <v>1</v>
      </c>
      <c r="E198">
        <f>[5]D_装备基础数据!AS198*H198</f>
        <v>10</v>
      </c>
      <c r="F198">
        <f ca="1">[5]D_装备基础数据!AQ198</f>
        <v>51069.326218458431</v>
      </c>
      <c r="G198">
        <f ca="1">[5]D_装备基础数据!AR198*H198</f>
        <v>4800.0000000000009</v>
      </c>
      <c r="H198">
        <v>1</v>
      </c>
      <c r="I198">
        <f>[5]D_装备基础数据!$I198</f>
        <v>3</v>
      </c>
    </row>
    <row r="199" spans="1:9">
      <c r="A199" t="str">
        <f>[5]D_装备基础数据!A199</f>
        <v>30326</v>
      </c>
      <c r="B199" t="str">
        <f>[5]D_装备基础数据!B199</f>
        <v>炼狱之枪</v>
      </c>
      <c r="C199">
        <f ca="1">[5]D_装备基础数据!$AP199</f>
        <v>1021.3865243691686</v>
      </c>
      <c r="D199">
        <v>1</v>
      </c>
      <c r="E199">
        <f>[5]D_装备基础数据!AS199*H199</f>
        <v>10</v>
      </c>
      <c r="F199">
        <f ca="1">[5]D_装备基础数据!AQ199</f>
        <v>51069.326218458431</v>
      </c>
      <c r="G199">
        <f ca="1">[5]D_装备基础数据!AR199*H199</f>
        <v>4800.0000000000009</v>
      </c>
      <c r="H199">
        <v>1</v>
      </c>
      <c r="I199">
        <f>[5]D_装备基础数据!$I199</f>
        <v>3</v>
      </c>
    </row>
    <row r="200" spans="1:9">
      <c r="A200" t="str">
        <f>[5]D_装备基础数据!A200</f>
        <v>51326</v>
      </c>
      <c r="B200" t="str">
        <f>[5]D_装备基础数据!B200</f>
        <v>炼狱战衣</v>
      </c>
      <c r="C200">
        <f ca="1">[5]D_装备基础数据!$AP200</f>
        <v>849.97573004868082</v>
      </c>
      <c r="D200">
        <v>1</v>
      </c>
      <c r="E200">
        <f>[5]D_装备基础数据!AS200*H200</f>
        <v>10</v>
      </c>
      <c r="F200">
        <f ca="1">[5]D_装备基础数据!AQ200</f>
        <v>42498.786502434043</v>
      </c>
      <c r="G200">
        <f ca="1">[5]D_装备基础数据!AR200*H200</f>
        <v>3994.4559741998719</v>
      </c>
      <c r="H200">
        <v>1</v>
      </c>
      <c r="I200">
        <f>[5]D_装备基础数据!$I200</f>
        <v>3</v>
      </c>
    </row>
    <row r="201" spans="1:9">
      <c r="A201" t="str">
        <f>[5]D_装备基础数据!A201</f>
        <v>52326</v>
      </c>
      <c r="B201" t="str">
        <f>[5]D_装备基础数据!B201</f>
        <v>炼狱长裤</v>
      </c>
      <c r="C201">
        <f ca="1">[5]D_装备基础数据!$AP201</f>
        <v>332.5952532993818</v>
      </c>
      <c r="D201">
        <v>1</v>
      </c>
      <c r="E201">
        <f>[5]D_装备基础数据!AS201*H201</f>
        <v>10</v>
      </c>
      <c r="F201">
        <f ca="1">[5]D_装备基础数据!AQ201</f>
        <v>16629.76266496909</v>
      </c>
      <c r="G201">
        <f ca="1">[5]D_装备基础数据!AR201*H201</f>
        <v>1563.0294484480696</v>
      </c>
      <c r="H201">
        <v>1</v>
      </c>
      <c r="I201">
        <f>[5]D_装备基础数据!$I201</f>
        <v>3</v>
      </c>
    </row>
    <row r="202" spans="1:9">
      <c r="A202" t="str">
        <f>[5]D_装备基础数据!A202</f>
        <v>55326</v>
      </c>
      <c r="B202" t="str">
        <f>[5]D_装备基础数据!B202</f>
        <v>炼狱长靴</v>
      </c>
      <c r="C202">
        <f ca="1">[5]D_装备基础数据!$AP202</f>
        <v>419.03462963132995</v>
      </c>
      <c r="D202">
        <v>1</v>
      </c>
      <c r="E202">
        <f>[5]D_装备基础数据!AS202*H202</f>
        <v>10</v>
      </c>
      <c r="F202">
        <f ca="1">[5]D_装备基础数据!AQ202</f>
        <v>20951.731481566498</v>
      </c>
      <c r="G202">
        <f ca="1">[5]D_装备基础数据!AR202*H202</f>
        <v>1969.2507921745382</v>
      </c>
      <c r="H202">
        <v>1</v>
      </c>
      <c r="I202">
        <f>[5]D_装备基础数据!$I202</f>
        <v>3</v>
      </c>
    </row>
    <row r="203" spans="1:9">
      <c r="A203" t="str">
        <f>[5]D_装备基础数据!A203</f>
        <v>54326</v>
      </c>
      <c r="B203" t="str">
        <f>[5]D_装备基础数据!B203</f>
        <v>炼狱腰带</v>
      </c>
      <c r="C203">
        <f ca="1">[5]D_装备基础数据!$AP203</f>
        <v>408.07791613975189</v>
      </c>
      <c r="D203">
        <v>1</v>
      </c>
      <c r="E203">
        <f>[5]D_装备基础数据!AS203*H203</f>
        <v>10</v>
      </c>
      <c r="F203">
        <f ca="1">[5]D_装备基础数据!AQ203</f>
        <v>20403.895806987595</v>
      </c>
      <c r="G203">
        <f ca="1">[5]D_装备基础数据!AR203*H203</f>
        <v>1917.759781176467</v>
      </c>
      <c r="H203">
        <v>1</v>
      </c>
      <c r="I203">
        <f>[5]D_装备基础数据!$I203</f>
        <v>3</v>
      </c>
    </row>
    <row r="204" spans="1:9">
      <c r="A204" t="str">
        <f>[5]D_装备基础数据!A204</f>
        <v>53326</v>
      </c>
      <c r="B204" t="str">
        <f>[5]D_装备基础数据!B204</f>
        <v>炼狱项链</v>
      </c>
      <c r="C204">
        <f ca="1">[5]D_装备基础数据!$AP204</f>
        <v>593.67232969696988</v>
      </c>
      <c r="D204">
        <v>1</v>
      </c>
      <c r="E204">
        <f>[5]D_装备基础数据!AS204*H204</f>
        <v>10</v>
      </c>
      <c r="F204">
        <f ca="1">[5]D_装备基础数据!AQ204</f>
        <v>29683.616484848495</v>
      </c>
      <c r="G204">
        <f ca="1">[5]D_装备基础数据!AR204*H204</f>
        <v>2789.9596426587373</v>
      </c>
      <c r="H204">
        <v>1</v>
      </c>
      <c r="I204">
        <f>[5]D_装备基础数据!$I204</f>
        <v>3</v>
      </c>
    </row>
    <row r="205" spans="1:9">
      <c r="A205" t="str">
        <f>[5]D_装备基础数据!A205</f>
        <v>10427</v>
      </c>
      <c r="B205" t="str">
        <f>[5]D_装备基础数据!B205</f>
        <v>青龙霸刀</v>
      </c>
      <c r="C205">
        <f ca="1">[5]D_装备基础数据!$AP205</f>
        <v>1196.4196112108959</v>
      </c>
      <c r="D205">
        <v>1</v>
      </c>
      <c r="E205">
        <f>[5]D_装备基础数据!AS205*H205</f>
        <v>10</v>
      </c>
      <c r="F205">
        <f ca="1">[5]D_装备基础数据!AQ205</f>
        <v>59820.980560544798</v>
      </c>
      <c r="G205">
        <f ca="1">[5]D_装备基础数据!AR205*H205</f>
        <v>8000</v>
      </c>
      <c r="H205">
        <v>1</v>
      </c>
      <c r="I205">
        <f>[5]D_装备基础数据!$I205</f>
        <v>4</v>
      </c>
    </row>
    <row r="206" spans="1:9">
      <c r="A206" t="str">
        <f>[5]D_装备基础数据!A206</f>
        <v>20427</v>
      </c>
      <c r="B206" t="str">
        <f>[5]D_装备基础数据!B206</f>
        <v>青龙之拳</v>
      </c>
      <c r="C206">
        <f ca="1">[5]D_装备基础数据!$AP206</f>
        <v>1196.4196112108959</v>
      </c>
      <c r="D206">
        <v>1</v>
      </c>
      <c r="E206">
        <f>[5]D_装备基础数据!AS206*H206</f>
        <v>10</v>
      </c>
      <c r="F206">
        <f ca="1">[5]D_装备基础数据!AQ206</f>
        <v>59820.980560544798</v>
      </c>
      <c r="G206">
        <f ca="1">[5]D_装备基础数据!AR206*H206</f>
        <v>8000</v>
      </c>
      <c r="H206">
        <v>1</v>
      </c>
      <c r="I206">
        <f>[5]D_装备基础数据!$I206</f>
        <v>4</v>
      </c>
    </row>
    <row r="207" spans="1:9">
      <c r="A207" t="str">
        <f>[5]D_装备基础数据!A207</f>
        <v>30427</v>
      </c>
      <c r="B207" t="str">
        <f>[5]D_装备基础数据!B207</f>
        <v>青龙之枪</v>
      </c>
      <c r="C207">
        <f ca="1">[5]D_装备基础数据!$AP207</f>
        <v>1196.4196112108959</v>
      </c>
      <c r="D207">
        <v>1</v>
      </c>
      <c r="E207">
        <f>[5]D_装备基础数据!AS207*H207</f>
        <v>10</v>
      </c>
      <c r="F207">
        <f ca="1">[5]D_装备基础数据!AQ207</f>
        <v>59820.980560544798</v>
      </c>
      <c r="G207">
        <f ca="1">[5]D_装备基础数据!AR207*H207</f>
        <v>8000</v>
      </c>
      <c r="H207">
        <v>1</v>
      </c>
      <c r="I207">
        <f>[5]D_装备基础数据!$I207</f>
        <v>4</v>
      </c>
    </row>
    <row r="208" spans="1:9">
      <c r="A208" t="str">
        <f>[5]D_装备基础数据!A208</f>
        <v>51427</v>
      </c>
      <c r="B208" t="str">
        <f>[5]D_装备基础数据!B208</f>
        <v>青龙战衣</v>
      </c>
      <c r="C208">
        <f ca="1">[5]D_装备基础数据!$AP208</f>
        <v>977.14859488243928</v>
      </c>
      <c r="D208">
        <v>1</v>
      </c>
      <c r="E208">
        <f>[5]D_装备基础数据!AS208*H208</f>
        <v>10</v>
      </c>
      <c r="F208">
        <f ca="1">[5]D_装备基础数据!AQ208</f>
        <v>48857.429744121968</v>
      </c>
      <c r="G208">
        <f ca="1">[5]D_装备基础数据!AR208*H208</f>
        <v>6533.8186417286661</v>
      </c>
      <c r="H208">
        <v>1</v>
      </c>
      <c r="I208">
        <f>[5]D_装备基础数据!$I208</f>
        <v>4</v>
      </c>
    </row>
    <row r="209" spans="1:9">
      <c r="A209" t="str">
        <f>[5]D_装备基础数据!A209</f>
        <v>52427</v>
      </c>
      <c r="B209" t="str">
        <f>[5]D_装备基础数据!B209</f>
        <v>青龙长裤</v>
      </c>
      <c r="C209">
        <f ca="1">[5]D_装备基础数据!$AP209</f>
        <v>394.30825380129045</v>
      </c>
      <c r="D209">
        <v>1</v>
      </c>
      <c r="E209">
        <f>[5]D_装备基础数据!AS209*H209</f>
        <v>10</v>
      </c>
      <c r="F209">
        <f ca="1">[5]D_装备基础数据!AQ209</f>
        <v>19715.412690064521</v>
      </c>
      <c r="G209">
        <f ca="1">[5]D_装备基础数据!AR209*H209</f>
        <v>2636.5883682044378</v>
      </c>
      <c r="H209">
        <v>1</v>
      </c>
      <c r="I209">
        <f>[5]D_装备基础数据!$I209</f>
        <v>4</v>
      </c>
    </row>
    <row r="210" spans="1:9">
      <c r="A210" t="str">
        <f>[5]D_装备基础数据!A210</f>
        <v>55427</v>
      </c>
      <c r="B210" t="str">
        <f>[5]D_装备基础数据!B210</f>
        <v>青龙长靴</v>
      </c>
      <c r="C210">
        <f ca="1">[5]D_装备基础数据!$AP210</f>
        <v>494.08096967378793</v>
      </c>
      <c r="D210">
        <v>1</v>
      </c>
      <c r="E210">
        <f>[5]D_装备基础数据!AS210*H210</f>
        <v>10</v>
      </c>
      <c r="F210">
        <f ca="1">[5]D_装备基础数据!AQ210</f>
        <v>24704.048483689396</v>
      </c>
      <c r="G210">
        <f ca="1">[5]D_装备基础数据!AR210*H210</f>
        <v>3303.7303303561112</v>
      </c>
      <c r="H210">
        <v>1</v>
      </c>
      <c r="I210">
        <f>[5]D_装备基础数据!$I210</f>
        <v>4</v>
      </c>
    </row>
    <row r="211" spans="1:9">
      <c r="A211" t="str">
        <f>[5]D_装备基础数据!A211</f>
        <v>54427</v>
      </c>
      <c r="B211" t="str">
        <f>[5]D_装备基础数据!B211</f>
        <v>青龙腰带</v>
      </c>
      <c r="C211">
        <f ca="1">[5]D_装备基础数据!$AP211</f>
        <v>522.72730145170476</v>
      </c>
      <c r="D211">
        <v>1</v>
      </c>
      <c r="E211">
        <f>[5]D_装备基础数据!AS211*H211</f>
        <v>10</v>
      </c>
      <c r="F211">
        <f ca="1">[5]D_装备基础数据!AQ211</f>
        <v>26136.365072585239</v>
      </c>
      <c r="G211">
        <f ca="1">[5]D_装备基础数据!AR211*H211</f>
        <v>3495.2773863186853</v>
      </c>
      <c r="H211">
        <v>1</v>
      </c>
      <c r="I211">
        <f>[5]D_装备基础数据!$I211</f>
        <v>4</v>
      </c>
    </row>
    <row r="212" spans="1:9">
      <c r="A212" t="str">
        <f>[5]D_装备基础数据!A212</f>
        <v>53427</v>
      </c>
      <c r="B212" t="str">
        <f>[5]D_装备基础数据!B212</f>
        <v>青龙项链</v>
      </c>
      <c r="C212">
        <f ca="1">[5]D_装备基础数据!$AP212</f>
        <v>679.7180727272729</v>
      </c>
      <c r="D212">
        <v>1</v>
      </c>
      <c r="E212">
        <f>[5]D_装备基础数据!AS212*H212</f>
        <v>10</v>
      </c>
      <c r="F212">
        <f ca="1">[5]D_装备基础数据!AQ212</f>
        <v>33985.903636363648</v>
      </c>
      <c r="G212">
        <f ca="1">[5]D_装备基础数据!AR212*H212</f>
        <v>4545.0145842349111</v>
      </c>
      <c r="H212">
        <v>1</v>
      </c>
      <c r="I212">
        <f>[5]D_装备基础数据!$I212</f>
        <v>4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61"/>
  <sheetViews>
    <sheetView workbookViewId="0">
      <selection activeCell="I15" sqref="I15"/>
    </sheetView>
  </sheetViews>
  <sheetFormatPr defaultRowHeight="13.5"/>
  <sheetData>
    <row r="1" spans="1:8">
      <c r="A1" s="2" t="s">
        <v>253</v>
      </c>
      <c r="B1" s="2" t="s">
        <v>404</v>
      </c>
      <c r="C1" s="2" t="s">
        <v>405</v>
      </c>
      <c r="D1" s="2" t="s">
        <v>406</v>
      </c>
      <c r="E1" s="2" t="s">
        <v>407</v>
      </c>
      <c r="F1" s="2" t="s">
        <v>408</v>
      </c>
      <c r="G1" s="2" t="s">
        <v>409</v>
      </c>
    </row>
    <row r="2" spans="1:8">
      <c r="A2">
        <f>[13]命格辅助表!A93</f>
        <v>8001</v>
      </c>
      <c r="B2" t="s">
        <v>831</v>
      </c>
      <c r="C2">
        <f>[13]命格辅助表!$R93</f>
        <v>0</v>
      </c>
      <c r="D2">
        <v>1</v>
      </c>
      <c r="E2">
        <f>VLOOKUP(A2,[13]!命格属性表,27,0)</f>
        <v>0</v>
      </c>
      <c r="F2">
        <f>G2/'0、经济设定'!$E$19</f>
        <v>0</v>
      </c>
      <c r="G2">
        <f>ROUND(VLOOKUP(A2,[13]!命格属性表,28,0),0)</f>
        <v>0</v>
      </c>
      <c r="H2">
        <f>ROUND(VLOOKUP(A2,[13]!命格属性表,28,0),0)</f>
        <v>0</v>
      </c>
    </row>
    <row r="3" spans="1:8">
      <c r="A3">
        <f>[13]命格辅助表!A94</f>
        <v>8110</v>
      </c>
      <c r="B3" t="s">
        <v>832</v>
      </c>
      <c r="C3">
        <f>[13]命格辅助表!$R94</f>
        <v>76.2</v>
      </c>
      <c r="D3">
        <v>1</v>
      </c>
      <c r="E3">
        <f>ROUND(VLOOKUP(A3,[13]!命格属性表,27,0),0)</f>
        <v>2</v>
      </c>
      <c r="F3">
        <f>G3/'0、经济设定'!$E$19</f>
        <v>2500</v>
      </c>
      <c r="G3">
        <f>ROUND(VLOOKUP(A3,[13]!命格属性表,28,0),0)</f>
        <v>5</v>
      </c>
      <c r="H3">
        <f>ROUND(VLOOKUP(A3,[13]!命格属性表,28,0),0)</f>
        <v>5</v>
      </c>
    </row>
    <row r="4" spans="1:8">
      <c r="A4">
        <f>[13]命格辅助表!A95</f>
        <v>8210</v>
      </c>
      <c r="B4" t="s">
        <v>833</v>
      </c>
      <c r="C4">
        <f>[13]命格辅助表!$R95</f>
        <v>76</v>
      </c>
      <c r="D4">
        <v>1</v>
      </c>
      <c r="E4">
        <f>ROUND(VLOOKUP(A4,[13]!命格属性表,27,0),0)</f>
        <v>2</v>
      </c>
      <c r="F4">
        <f>G4/'0、经济设定'!$E$19</f>
        <v>2500</v>
      </c>
      <c r="G4">
        <f>ROUND(VLOOKUP(A4,[13]!命格属性表,28,0),0)</f>
        <v>5</v>
      </c>
      <c r="H4">
        <f>ROUND(VLOOKUP(A4,[13]!命格属性表,28,0),0)</f>
        <v>5</v>
      </c>
    </row>
    <row r="5" spans="1:8">
      <c r="A5">
        <f>[13]命格辅助表!A96</f>
        <v>8310</v>
      </c>
      <c r="B5" t="s">
        <v>834</v>
      </c>
      <c r="C5">
        <f>[13]命格辅助表!$R96</f>
        <v>76</v>
      </c>
      <c r="D5">
        <v>1</v>
      </c>
      <c r="E5">
        <f>ROUND(VLOOKUP(A5,[13]!命格属性表,27,0),0)</f>
        <v>2</v>
      </c>
      <c r="F5">
        <f>G5/'0、经济设定'!$E$19</f>
        <v>2500</v>
      </c>
      <c r="G5">
        <f>ROUND(VLOOKUP(A5,[13]!命格属性表,28,0),0)</f>
        <v>5</v>
      </c>
      <c r="H5">
        <f>ROUND(VLOOKUP(A5,[13]!命格属性表,28,0),0)</f>
        <v>5</v>
      </c>
    </row>
    <row r="6" spans="1:8">
      <c r="A6">
        <f>[13]命格辅助表!A97</f>
        <v>8120</v>
      </c>
      <c r="B6" t="s">
        <v>835</v>
      </c>
      <c r="C6">
        <f>[13]命格辅助表!$R97</f>
        <v>137.16</v>
      </c>
      <c r="D6">
        <v>1</v>
      </c>
      <c r="E6">
        <f>ROUND(VLOOKUP(A6,[13]!命格属性表,27,0),0)</f>
        <v>11</v>
      </c>
      <c r="F6">
        <f>G6/'0、经济设定'!$E$19</f>
        <v>25000</v>
      </c>
      <c r="G6">
        <v>50</v>
      </c>
      <c r="H6">
        <f>ROUND(VLOOKUP(A6,[13]!命格属性表,28,0),0)</f>
        <v>25</v>
      </c>
    </row>
    <row r="7" spans="1:8">
      <c r="A7">
        <f>[13]命格辅助表!A98</f>
        <v>8220</v>
      </c>
      <c r="B7" t="s">
        <v>836</v>
      </c>
      <c r="C7">
        <f>[13]命格辅助表!$R98</f>
        <v>137</v>
      </c>
      <c r="D7">
        <v>1</v>
      </c>
      <c r="E7">
        <f>ROUND(VLOOKUP(A7,[13]!命格属性表,27,0),0)</f>
        <v>11</v>
      </c>
      <c r="F7">
        <f>G7/'0、经济设定'!$E$19</f>
        <v>25000</v>
      </c>
      <c r="G7">
        <v>50</v>
      </c>
      <c r="H7">
        <f>ROUND(VLOOKUP(A7,[13]!命格属性表,28,0),0)</f>
        <v>25</v>
      </c>
    </row>
    <row r="8" spans="1:8">
      <c r="A8">
        <f>[13]命格辅助表!A99</f>
        <v>8320</v>
      </c>
      <c r="B8" t="str">
        <f>[13]命格辅助表!B99</f>
        <v>真刚</v>
      </c>
      <c r="C8">
        <f>[13]命格辅助表!$R99</f>
        <v>137</v>
      </c>
      <c r="D8">
        <v>1</v>
      </c>
      <c r="E8">
        <f>ROUND(VLOOKUP(A8,[13]!命格属性表,27,0),0)</f>
        <v>11</v>
      </c>
      <c r="F8">
        <f>G8/'0、经济设定'!$E$19</f>
        <v>25000</v>
      </c>
      <c r="G8">
        <v>50</v>
      </c>
      <c r="H8">
        <f>ROUND(VLOOKUP(A8,[13]!命格属性表,28,0),0)</f>
        <v>25</v>
      </c>
    </row>
    <row r="9" spans="1:8">
      <c r="A9">
        <f>[13]命格辅助表!A100</f>
        <v>8420</v>
      </c>
      <c r="B9" t="s">
        <v>837</v>
      </c>
      <c r="C9">
        <f>[13]命格辅助表!$R100</f>
        <v>137.02000000000001</v>
      </c>
      <c r="D9">
        <v>1</v>
      </c>
      <c r="E9">
        <f>ROUND(VLOOKUP(A9,[13]!命格属性表,27,0),0)</f>
        <v>11</v>
      </c>
      <c r="F9">
        <f>G9/'0、经济设定'!$E$19</f>
        <v>25000</v>
      </c>
      <c r="G9">
        <v>50</v>
      </c>
      <c r="H9">
        <f>ROUND(VLOOKUP(A9,[13]!命格属性表,28,0),0)</f>
        <v>25</v>
      </c>
    </row>
    <row r="10" spans="1:8">
      <c r="A10">
        <f>[13]命格辅助表!A101</f>
        <v>8520</v>
      </c>
      <c r="B10" t="s">
        <v>838</v>
      </c>
      <c r="C10">
        <f>[13]命格辅助表!$R101</f>
        <v>137.02000000000001</v>
      </c>
      <c r="D10">
        <v>1</v>
      </c>
      <c r="E10">
        <f>ROUND(VLOOKUP(A10,[13]!命格属性表,27,0),0)</f>
        <v>11</v>
      </c>
      <c r="F10">
        <f>G10/'0、经济设定'!$E$19</f>
        <v>25000</v>
      </c>
      <c r="G10">
        <v>50</v>
      </c>
      <c r="H10">
        <f>ROUND(VLOOKUP(A10,[13]!命格属性表,28,0),0)</f>
        <v>25</v>
      </c>
    </row>
    <row r="11" spans="1:8">
      <c r="A11">
        <f>[13]命格辅助表!A102</f>
        <v>8620</v>
      </c>
      <c r="B11" t="s">
        <v>839</v>
      </c>
      <c r="C11">
        <f>[13]命格辅助表!$R102</f>
        <v>137.16</v>
      </c>
      <c r="D11">
        <v>1</v>
      </c>
      <c r="E11">
        <f>ROUND(VLOOKUP(A11,[13]!命格属性表,27,0),0)</f>
        <v>11</v>
      </c>
      <c r="F11">
        <f>G11/'0、经济设定'!$E$19</f>
        <v>25000</v>
      </c>
      <c r="G11">
        <v>50</v>
      </c>
      <c r="H11">
        <f>ROUND(VLOOKUP(A11,[13]!命格属性表,28,0),0)</f>
        <v>25</v>
      </c>
    </row>
    <row r="12" spans="1:8">
      <c r="A12">
        <f>[13]命格辅助表!A103</f>
        <v>8720</v>
      </c>
      <c r="B12" t="s">
        <v>840</v>
      </c>
      <c r="C12">
        <f>[13]命格辅助表!$R103</f>
        <v>137.16</v>
      </c>
      <c r="D12">
        <v>1</v>
      </c>
      <c r="E12">
        <f>ROUND(VLOOKUP(A12,[13]!命格属性表,27,0),0)</f>
        <v>11</v>
      </c>
      <c r="F12">
        <f>G12/'0、经济设定'!$E$19</f>
        <v>25000</v>
      </c>
      <c r="G12">
        <v>50</v>
      </c>
      <c r="H12">
        <f>ROUND(VLOOKUP(A12,[13]!命格属性表,28,0),0)</f>
        <v>25</v>
      </c>
    </row>
    <row r="13" spans="1:8">
      <c r="A13">
        <f>[13]命格辅助表!A104</f>
        <v>8820</v>
      </c>
      <c r="B13" t="s">
        <v>841</v>
      </c>
      <c r="C13">
        <f>[13]命格辅助表!$R104</f>
        <v>129.68</v>
      </c>
      <c r="D13">
        <v>1</v>
      </c>
      <c r="E13">
        <f>ROUND(VLOOKUP(A13,[13]!命格属性表,27,0),0)</f>
        <v>11</v>
      </c>
      <c r="F13">
        <f>G13/'0、经济设定'!$E$19</f>
        <v>25000</v>
      </c>
      <c r="G13">
        <v>50</v>
      </c>
      <c r="H13">
        <f>ROUND(VLOOKUP(A13,[13]!命格属性表,28,0),0)</f>
        <v>25</v>
      </c>
    </row>
    <row r="14" spans="1:8">
      <c r="A14">
        <f>[13]命格辅助表!A105</f>
        <v>8130</v>
      </c>
      <c r="B14" t="str">
        <f>[13]命格辅助表!B105</f>
        <v>霸主</v>
      </c>
      <c r="C14">
        <f>[13]命格辅助表!$R105</f>
        <v>246.92000000000002</v>
      </c>
      <c r="D14">
        <v>1</v>
      </c>
      <c r="E14">
        <f>ROUND(VLOOKUP(A14,[13]!命格属性表,27,0),0)</f>
        <v>80</v>
      </c>
      <c r="F14">
        <f>G14/'0、经济设定'!$E$19</f>
        <v>200000</v>
      </c>
      <c r="G14">
        <v>400</v>
      </c>
      <c r="H14">
        <f>ROUND(VLOOKUP(A14,[13]!命格属性表,28,0),0)</f>
        <v>200</v>
      </c>
    </row>
    <row r="15" spans="1:8">
      <c r="A15">
        <f>[13]命格辅助表!A106</f>
        <v>8230</v>
      </c>
      <c r="B15" t="str">
        <f>[13]命格辅助表!B106</f>
        <v>虎啸</v>
      </c>
      <c r="C15">
        <f>[13]命格辅助表!$R106</f>
        <v>247</v>
      </c>
      <c r="D15">
        <v>1</v>
      </c>
      <c r="E15">
        <f>ROUND(VLOOKUP(A15,[13]!命格属性表,27,0),0)</f>
        <v>80</v>
      </c>
      <c r="F15">
        <f>G15/'0、经济设定'!$E$19</f>
        <v>200000</v>
      </c>
      <c r="G15">
        <v>400</v>
      </c>
      <c r="H15">
        <f>ROUND(VLOOKUP(A15,[13]!命格属性表,28,0),0)</f>
        <v>200</v>
      </c>
    </row>
    <row r="16" spans="1:8">
      <c r="A16">
        <f>[13]命格辅助表!A107</f>
        <v>8330</v>
      </c>
      <c r="B16" t="str">
        <f>[13]命格辅助表!B107</f>
        <v>豪魄</v>
      </c>
      <c r="C16">
        <f>[13]命格辅助表!$R107</f>
        <v>247</v>
      </c>
      <c r="D16">
        <v>1</v>
      </c>
      <c r="E16">
        <f>ROUND(VLOOKUP(A16,[13]!命格属性表,27,0),0)</f>
        <v>80</v>
      </c>
      <c r="F16">
        <f>G16/'0、经济设定'!$E$19</f>
        <v>200000</v>
      </c>
      <c r="G16">
        <v>400</v>
      </c>
      <c r="H16">
        <f>ROUND(VLOOKUP(A16,[13]!命格属性表,28,0),0)</f>
        <v>200</v>
      </c>
    </row>
    <row r="17" spans="1:8">
      <c r="A17">
        <f>[13]命格辅助表!A108</f>
        <v>8430</v>
      </c>
      <c r="B17" t="str">
        <f>[13]命格辅助表!B108</f>
        <v>捉影</v>
      </c>
      <c r="C17">
        <f>[13]命格辅助表!$R108</f>
        <v>246.84000000000003</v>
      </c>
      <c r="D17">
        <v>1</v>
      </c>
      <c r="E17">
        <f>ROUND(VLOOKUP(A17,[13]!命格属性表,27,0),0)</f>
        <v>80</v>
      </c>
      <c r="F17">
        <f>G17/'0、经济设定'!$E$19</f>
        <v>200000</v>
      </c>
      <c r="G17">
        <v>400</v>
      </c>
      <c r="H17">
        <f>ROUND(VLOOKUP(A17,[13]!命格属性表,28,0),0)</f>
        <v>200</v>
      </c>
    </row>
    <row r="18" spans="1:8">
      <c r="A18">
        <f>[13]命格辅助表!A109</f>
        <v>8530</v>
      </c>
      <c r="B18" t="str">
        <f>[13]命格辅助表!B109</f>
        <v>游刃</v>
      </c>
      <c r="C18">
        <f>[13]命格辅助表!$R109</f>
        <v>246.84000000000003</v>
      </c>
      <c r="D18">
        <v>1</v>
      </c>
      <c r="E18">
        <f>ROUND(VLOOKUP(A18,[13]!命格属性表,27,0),0)</f>
        <v>80</v>
      </c>
      <c r="F18">
        <f>G18/'0、经济设定'!$E$19</f>
        <v>200000</v>
      </c>
      <c r="G18">
        <v>400</v>
      </c>
      <c r="H18">
        <f>ROUND(VLOOKUP(A18,[13]!命格属性表,28,0),0)</f>
        <v>200</v>
      </c>
    </row>
    <row r="19" spans="1:8">
      <c r="A19">
        <f>[13]命格辅助表!A110</f>
        <v>8630</v>
      </c>
      <c r="B19" t="str">
        <f>[13]命格辅助表!B110</f>
        <v>傲骨</v>
      </c>
      <c r="C19">
        <f>[13]命格辅助表!$R110</f>
        <v>246.95999999999998</v>
      </c>
      <c r="D19">
        <v>1</v>
      </c>
      <c r="E19">
        <f>ROUND(VLOOKUP(A19,[13]!命格属性表,27,0),0)</f>
        <v>80</v>
      </c>
      <c r="F19">
        <f>G19/'0、经济设定'!$E$19</f>
        <v>200000</v>
      </c>
      <c r="G19">
        <v>400</v>
      </c>
      <c r="H19">
        <f>ROUND(VLOOKUP(A19,[13]!命格属性表,28,0),0)</f>
        <v>200</v>
      </c>
    </row>
    <row r="20" spans="1:8">
      <c r="A20">
        <f>[13]命格辅助表!A111</f>
        <v>8730</v>
      </c>
      <c r="B20" t="str">
        <f>[13]命格辅助表!B111</f>
        <v>心眼</v>
      </c>
      <c r="C20">
        <f>[13]命格辅助表!$R111</f>
        <v>246.95999999999998</v>
      </c>
      <c r="D20">
        <v>1</v>
      </c>
      <c r="E20">
        <f>ROUND(VLOOKUP(A20,[13]!命格属性表,27,0),0)</f>
        <v>80</v>
      </c>
      <c r="F20">
        <f>G20/'0、经济设定'!$E$19</f>
        <v>200000</v>
      </c>
      <c r="G20">
        <v>400</v>
      </c>
      <c r="H20">
        <f>ROUND(VLOOKUP(A20,[13]!命格属性表,28,0),0)</f>
        <v>200</v>
      </c>
    </row>
    <row r="21" spans="1:8">
      <c r="A21">
        <f>[13]命格辅助表!A112</f>
        <v>8830</v>
      </c>
      <c r="B21" t="str">
        <f>[13]命格辅助表!B112</f>
        <v>噬生</v>
      </c>
      <c r="C21">
        <f>[13]命格辅助表!$R112</f>
        <v>234.12</v>
      </c>
      <c r="D21">
        <v>1</v>
      </c>
      <c r="E21">
        <f>ROUND(VLOOKUP(A21,[13]!命格属性表,27,0),0)</f>
        <v>80</v>
      </c>
      <c r="F21">
        <f>G21/'0、经济设定'!$E$19</f>
        <v>200000</v>
      </c>
      <c r="G21">
        <v>400</v>
      </c>
      <c r="H21">
        <f>ROUND(VLOOKUP(A21,[13]!命格属性表,28,0),0)</f>
        <v>200</v>
      </c>
    </row>
    <row r="22" spans="1:8">
      <c r="A22">
        <f>[13]命格辅助表!A113</f>
        <v>8930</v>
      </c>
      <c r="B22" t="str">
        <f>[13]命格辅助表!B113</f>
        <v>痛击</v>
      </c>
      <c r="C22">
        <f>[13]命格辅助表!$R113</f>
        <v>234.68</v>
      </c>
      <c r="D22">
        <v>1</v>
      </c>
      <c r="E22">
        <f>ROUND(VLOOKUP(A22,[13]!命格属性表,27,0),0)</f>
        <v>80</v>
      </c>
      <c r="F22">
        <f>G22/'0、经济设定'!$E$19</f>
        <v>200000</v>
      </c>
      <c r="G22">
        <v>400</v>
      </c>
      <c r="H22">
        <f>ROUND(VLOOKUP(A22,[13]!命格属性表,28,0),0)</f>
        <v>200</v>
      </c>
    </row>
    <row r="23" spans="1:8">
      <c r="A23">
        <f>[13]命格辅助表!A114</f>
        <v>9030</v>
      </c>
      <c r="B23" t="str">
        <f>[13]命格辅助表!B114</f>
        <v>不坏</v>
      </c>
      <c r="C23">
        <f>[13]命格辅助表!$R114</f>
        <v>234.12</v>
      </c>
      <c r="D23">
        <v>1</v>
      </c>
      <c r="E23">
        <f>ROUND(VLOOKUP(A23,[13]!命格属性表,27,0),0)</f>
        <v>80</v>
      </c>
      <c r="F23">
        <f>G23/'0、经济设定'!$E$19</f>
        <v>200000</v>
      </c>
      <c r="G23">
        <v>400</v>
      </c>
      <c r="H23">
        <f>ROUND(VLOOKUP(A23,[13]!命格属性表,28,0),0)</f>
        <v>200</v>
      </c>
    </row>
    <row r="24" spans="1:8">
      <c r="A24">
        <f>[13]命格辅助表!A115</f>
        <v>9130</v>
      </c>
      <c r="B24" t="s">
        <v>842</v>
      </c>
      <c r="C24">
        <f>[13]命格辅助表!$R115</f>
        <v>234.44</v>
      </c>
      <c r="D24">
        <v>1</v>
      </c>
      <c r="E24">
        <f>ROUND(VLOOKUP(A24,[13]!命格属性表,27,0),0)</f>
        <v>80</v>
      </c>
      <c r="F24">
        <f>G24/'0、经济设定'!$E$19</f>
        <v>200000</v>
      </c>
      <c r="G24">
        <v>400</v>
      </c>
      <c r="H24">
        <f>ROUND(VLOOKUP(A24,[13]!命格属性表,28,0),0)</f>
        <v>200</v>
      </c>
    </row>
    <row r="25" spans="1:8">
      <c r="A25">
        <f>[13]命格辅助表!A116</f>
        <v>9230</v>
      </c>
      <c r="B25" t="str">
        <f>[13]命格辅助表!B116</f>
        <v>盘蛇</v>
      </c>
      <c r="C25">
        <f>[13]命格辅助表!$R116</f>
        <v>234</v>
      </c>
      <c r="D25">
        <v>1</v>
      </c>
      <c r="E25">
        <f>ROUND(VLOOKUP(A25,[13]!命格属性表,27,0),0)</f>
        <v>80</v>
      </c>
      <c r="F25">
        <f>G25/'0、经济设定'!$E$19</f>
        <v>200000</v>
      </c>
      <c r="G25">
        <v>400</v>
      </c>
      <c r="H25">
        <f>ROUND(VLOOKUP(A25,[13]!命格属性表,28,0),0)</f>
        <v>200</v>
      </c>
    </row>
    <row r="26" spans="1:8">
      <c r="A26">
        <f>[13]命格辅助表!A117</f>
        <v>8140</v>
      </c>
      <c r="B26" t="str">
        <f>[13]命格辅助表!B117</f>
        <v>天命</v>
      </c>
      <c r="C26">
        <f>[13]命格辅助表!$R117</f>
        <v>444.44</v>
      </c>
      <c r="D26">
        <v>1</v>
      </c>
      <c r="E26">
        <f>ROUND(VLOOKUP(A26,[13]!命格属性表,27,0),0)</f>
        <v>608</v>
      </c>
      <c r="F26">
        <f>G26/'0、经济设定'!$E$19</f>
        <v>2000000</v>
      </c>
      <c r="G26">
        <v>4000</v>
      </c>
      <c r="H26">
        <f>ROUND(VLOOKUP(A26,[13]!命格属性表,28,0),0)</f>
        <v>1250</v>
      </c>
    </row>
    <row r="27" spans="1:8">
      <c r="A27">
        <f>[13]命格辅助表!A118</f>
        <v>8240</v>
      </c>
      <c r="B27" t="str">
        <f>[13]命格辅助表!B118</f>
        <v>龙吟</v>
      </c>
      <c r="C27">
        <f>[13]命格辅助表!$R118</f>
        <v>444</v>
      </c>
      <c r="D27">
        <v>1</v>
      </c>
      <c r="E27">
        <f>ROUND(VLOOKUP(A27,[13]!命格属性表,27,0),0)</f>
        <v>608</v>
      </c>
      <c r="F27">
        <f>G27/'0、经济设定'!$E$19</f>
        <v>2000000</v>
      </c>
      <c r="G27">
        <v>4000</v>
      </c>
      <c r="H27">
        <f>ROUND(VLOOKUP(A27,[13]!命格属性表,28,0),0)</f>
        <v>1250</v>
      </c>
    </row>
    <row r="28" spans="1:8">
      <c r="A28">
        <f>[13]命格辅助表!A119</f>
        <v>8340</v>
      </c>
      <c r="B28" t="str">
        <f>[13]命格辅助表!B119</f>
        <v>守御</v>
      </c>
      <c r="C28">
        <f>[13]命格辅助表!$R119</f>
        <v>444</v>
      </c>
      <c r="D28">
        <v>1</v>
      </c>
      <c r="E28">
        <f>ROUND(VLOOKUP(A28,[13]!命格属性表,27,0),0)</f>
        <v>608</v>
      </c>
      <c r="F28">
        <f>G28/'0、经济设定'!$E$19</f>
        <v>2000000</v>
      </c>
      <c r="G28">
        <v>4000</v>
      </c>
      <c r="H28">
        <f>ROUND(VLOOKUP(A28,[13]!命格属性表,28,0),0)</f>
        <v>1250</v>
      </c>
    </row>
    <row r="29" spans="1:8">
      <c r="A29">
        <f>[13]命格辅助表!A120</f>
        <v>8440</v>
      </c>
      <c r="B29" t="str">
        <f>[13]命格辅助表!B120</f>
        <v>千眼</v>
      </c>
      <c r="C29">
        <f>[13]命格辅助表!$R120</f>
        <v>444.38000000000005</v>
      </c>
      <c r="D29">
        <v>1</v>
      </c>
      <c r="E29">
        <f>ROUND(VLOOKUP(A29,[13]!命格属性表,27,0),0)</f>
        <v>608</v>
      </c>
      <c r="F29">
        <f>G29/'0、经济设定'!$E$19</f>
        <v>2000000</v>
      </c>
      <c r="G29">
        <v>4000</v>
      </c>
      <c r="H29">
        <f>ROUND(VLOOKUP(A29,[13]!命格属性表,28,0),0)</f>
        <v>1250</v>
      </c>
    </row>
    <row r="30" spans="1:8">
      <c r="A30">
        <f>[13]命格辅助表!A121</f>
        <v>8540</v>
      </c>
      <c r="B30" t="str">
        <f>[13]命格辅助表!B121</f>
        <v>逍遥</v>
      </c>
      <c r="C30">
        <f>[13]命格辅助表!$R121</f>
        <v>444.38000000000005</v>
      </c>
      <c r="D30">
        <v>1</v>
      </c>
      <c r="E30">
        <f>ROUND(VLOOKUP(A30,[13]!命格属性表,27,0),0)</f>
        <v>608</v>
      </c>
      <c r="F30">
        <f>G30/'0、经济设定'!$E$19</f>
        <v>2000000</v>
      </c>
      <c r="G30">
        <v>4000</v>
      </c>
      <c r="H30">
        <f>ROUND(VLOOKUP(A30,[13]!命格属性表,28,0),0)</f>
        <v>1250</v>
      </c>
    </row>
    <row r="31" spans="1:8">
      <c r="A31">
        <f>[13]命格辅助表!A122</f>
        <v>8640</v>
      </c>
      <c r="B31" t="str">
        <f>[13]命格辅助表!B122</f>
        <v>流离</v>
      </c>
      <c r="C31">
        <f>[13]命格辅助表!$R122</f>
        <v>444.41999999999996</v>
      </c>
      <c r="D31">
        <v>1</v>
      </c>
      <c r="E31">
        <f>ROUND(VLOOKUP(A31,[13]!命格属性表,27,0),0)</f>
        <v>608</v>
      </c>
      <c r="F31">
        <f>G31/'0、经济设定'!$E$19</f>
        <v>2000000</v>
      </c>
      <c r="G31">
        <v>4000</v>
      </c>
      <c r="H31">
        <f>ROUND(VLOOKUP(A31,[13]!命格属性表,28,0),0)</f>
        <v>1250</v>
      </c>
    </row>
    <row r="32" spans="1:8">
      <c r="A32">
        <f>[13]命格辅助表!A123</f>
        <v>8740</v>
      </c>
      <c r="B32" t="str">
        <f>[13]命格辅助表!B123</f>
        <v>夺魄</v>
      </c>
      <c r="C32">
        <f>[13]命格辅助表!$R123</f>
        <v>444.41999999999996</v>
      </c>
      <c r="D32">
        <v>1</v>
      </c>
      <c r="E32">
        <f>ROUND(VLOOKUP(A32,[13]!命格属性表,27,0),0)</f>
        <v>608</v>
      </c>
      <c r="F32">
        <f>G32/'0、经济设定'!$E$19</f>
        <v>2000000</v>
      </c>
      <c r="G32">
        <v>4000</v>
      </c>
      <c r="H32">
        <f>ROUND(VLOOKUP(A32,[13]!命格属性表,28,0),0)</f>
        <v>1250</v>
      </c>
    </row>
    <row r="33" spans="1:8">
      <c r="A33">
        <f>[13]命格辅助表!A124</f>
        <v>8840</v>
      </c>
      <c r="B33" t="s">
        <v>843</v>
      </c>
      <c r="C33">
        <f>[13]命格辅助表!$R124</f>
        <v>422.03999999999996</v>
      </c>
      <c r="D33">
        <v>1</v>
      </c>
      <c r="E33">
        <f>ROUND(VLOOKUP(A33,[13]!命格属性表,27,0),0)</f>
        <v>608</v>
      </c>
      <c r="F33">
        <f>G33/'0、经济设定'!$E$19</f>
        <v>2000000</v>
      </c>
      <c r="G33">
        <v>4000</v>
      </c>
      <c r="H33">
        <f>ROUND(VLOOKUP(A33,[13]!命格属性表,28,0),0)</f>
        <v>1250</v>
      </c>
    </row>
    <row r="34" spans="1:8">
      <c r="A34">
        <f>[13]命格辅助表!A125</f>
        <v>8940</v>
      </c>
      <c r="B34" t="str">
        <f>[13]命格辅助表!B125</f>
        <v>破天</v>
      </c>
      <c r="C34">
        <f>[13]命格辅助表!$R125</f>
        <v>462.32000000000005</v>
      </c>
      <c r="D34">
        <v>1</v>
      </c>
      <c r="E34">
        <f>ROUND(VLOOKUP(A34,[13]!命格属性表,27,0),0)</f>
        <v>608</v>
      </c>
      <c r="F34">
        <f>G34/'0、经济设定'!$E$19</f>
        <v>2000000</v>
      </c>
      <c r="G34">
        <v>4000</v>
      </c>
      <c r="H34">
        <f>ROUND(VLOOKUP(A34,[13]!命格属性表,28,0),0)</f>
        <v>1250</v>
      </c>
    </row>
    <row r="35" spans="1:8">
      <c r="A35">
        <f>[13]命格辅助表!A126</f>
        <v>9040</v>
      </c>
      <c r="B35" t="s">
        <v>844</v>
      </c>
      <c r="C35">
        <f>[13]命格辅助表!$R126</f>
        <v>421.91999999999996</v>
      </c>
      <c r="D35">
        <v>1</v>
      </c>
      <c r="E35">
        <f>ROUND(VLOOKUP(A35,[13]!命格属性表,27,0),0)</f>
        <v>608</v>
      </c>
      <c r="F35">
        <f>G35/'0、经济设定'!$E$19</f>
        <v>2000000</v>
      </c>
      <c r="G35">
        <v>4000</v>
      </c>
      <c r="H35">
        <f>ROUND(VLOOKUP(A35,[13]!命格属性表,28,0),0)</f>
        <v>1250</v>
      </c>
    </row>
    <row r="36" spans="1:8">
      <c r="A36">
        <f>[13]命格辅助表!A127</f>
        <v>9140</v>
      </c>
      <c r="B36" t="str">
        <f>[13]命格辅助表!B127</f>
        <v>幽灵</v>
      </c>
      <c r="C36">
        <f>[13]命格辅助表!$R127</f>
        <v>422.3</v>
      </c>
      <c r="D36">
        <v>1</v>
      </c>
      <c r="E36">
        <f>ROUND(VLOOKUP(A36,[13]!命格属性表,27,0),0)</f>
        <v>608</v>
      </c>
      <c r="F36">
        <f>G36/'0、经济设定'!$E$19</f>
        <v>2000000</v>
      </c>
      <c r="G36">
        <v>4000</v>
      </c>
      <c r="H36">
        <f>ROUND(VLOOKUP(A36,[13]!命格属性表,28,0),0)</f>
        <v>1250</v>
      </c>
    </row>
    <row r="37" spans="1:8">
      <c r="A37">
        <f>[13]命格辅助表!A128</f>
        <v>9240</v>
      </c>
      <c r="B37" t="str">
        <f>[13]命格辅助表!B128</f>
        <v>困魔</v>
      </c>
      <c r="C37">
        <f>[13]命格辅助表!$R128</f>
        <v>422.1</v>
      </c>
      <c r="D37">
        <v>1</v>
      </c>
      <c r="E37">
        <f>ROUND(VLOOKUP(A37,[13]!命格属性表,27,0),0)</f>
        <v>608</v>
      </c>
      <c r="F37">
        <f>G37/'0、经济设定'!$E$19</f>
        <v>2000000</v>
      </c>
      <c r="G37">
        <v>4000</v>
      </c>
      <c r="H37">
        <f>ROUND(VLOOKUP(A37,[13]!命格属性表,28,0),0)</f>
        <v>1250</v>
      </c>
    </row>
    <row r="38" spans="1:8">
      <c r="A38">
        <f>[13]命格辅助表!A129</f>
        <v>9340</v>
      </c>
      <c r="B38" t="str">
        <f>[13]命格辅助表!B129</f>
        <v>无尽</v>
      </c>
      <c r="C38">
        <f>[13]命格辅助表!$R129</f>
        <v>444.24</v>
      </c>
      <c r="D38">
        <v>1</v>
      </c>
      <c r="E38">
        <f>ROUND(VLOOKUP(A38,[13]!命格属性表,27,0),0)</f>
        <v>608</v>
      </c>
      <c r="F38">
        <f>G38/'0、经济设定'!$E$19</f>
        <v>2000000</v>
      </c>
      <c r="G38">
        <v>4000</v>
      </c>
      <c r="H38">
        <f>ROUND(VLOOKUP(A38,[13]!命格属性表,28,0),0)</f>
        <v>1250</v>
      </c>
    </row>
    <row r="39" spans="1:8">
      <c r="A39">
        <f>[13]命格辅助表!A130</f>
        <v>9440</v>
      </c>
      <c r="B39" t="s">
        <v>845</v>
      </c>
      <c r="C39">
        <f>[13]命格辅助表!$R130</f>
        <v>222</v>
      </c>
      <c r="D39">
        <v>1</v>
      </c>
      <c r="E39">
        <f>ROUND(VLOOKUP(A39,[13]!命格属性表,27,0),0)</f>
        <v>608</v>
      </c>
      <c r="F39">
        <f>G39/'0、经济设定'!$E$19</f>
        <v>2000000</v>
      </c>
      <c r="G39">
        <v>4000</v>
      </c>
      <c r="H39">
        <f>ROUND(VLOOKUP(A39,[13]!命格属性表,28,0),0)</f>
        <v>1250</v>
      </c>
    </row>
    <row r="40" spans="1:8">
      <c r="A40">
        <f>[13]命格辅助表!A131</f>
        <v>9540</v>
      </c>
      <c r="B40" t="str">
        <f>[13]命格辅助表!B131</f>
        <v>八卦</v>
      </c>
      <c r="C40">
        <f>[13]命格辅助表!$R131</f>
        <v>111.12</v>
      </c>
      <c r="D40">
        <v>1</v>
      </c>
      <c r="E40">
        <f>ROUND(VLOOKUP(A40,[13]!命格属性表,27,0),0)</f>
        <v>608</v>
      </c>
      <c r="F40">
        <f>G40/'0、经济设定'!$E$19</f>
        <v>2000000</v>
      </c>
      <c r="G40">
        <v>4000</v>
      </c>
      <c r="H40">
        <f>ROUND(VLOOKUP(A40,[13]!命格属性表,28,0),0)</f>
        <v>1250</v>
      </c>
    </row>
    <row r="41" spans="1:8">
      <c r="A41">
        <f>[13]命格辅助表!A132</f>
        <v>9640</v>
      </c>
      <c r="B41" t="str">
        <f>[13]命格辅助表!B132</f>
        <v>剎那</v>
      </c>
      <c r="C41">
        <f>[13]命格辅助表!$R132</f>
        <v>532.44000000000005</v>
      </c>
      <c r="D41">
        <v>1</v>
      </c>
      <c r="E41">
        <f>ROUND(VLOOKUP(A41,[13]!命格属性表,27,0),0)</f>
        <v>608</v>
      </c>
      <c r="F41">
        <f>G41/'0、经济设定'!$E$19</f>
        <v>2000000</v>
      </c>
      <c r="G41">
        <v>4000</v>
      </c>
      <c r="H41">
        <f>ROUND(VLOOKUP(A41,[13]!命格属性表,28,0),0)</f>
        <v>1250</v>
      </c>
    </row>
    <row r="42" spans="1:8">
      <c r="A42">
        <f>[13]命格辅助表!A133</f>
        <v>9740</v>
      </c>
      <c r="B42" t="str">
        <f>[13]命格辅助表!B133</f>
        <v>咆哮</v>
      </c>
      <c r="C42">
        <f>[13]命格辅助表!$R133</f>
        <v>532</v>
      </c>
      <c r="D42">
        <v>1</v>
      </c>
      <c r="E42">
        <f>ROUND(VLOOKUP(A42,[13]!命格属性表,27,0),0)</f>
        <v>608</v>
      </c>
      <c r="F42">
        <f>G42/'0、经济设定'!$E$19</f>
        <v>2000000</v>
      </c>
      <c r="G42">
        <v>4000</v>
      </c>
      <c r="H42">
        <f>ROUND(VLOOKUP(A42,[13]!命格属性表,28,0),0)</f>
        <v>1250</v>
      </c>
    </row>
    <row r="43" spans="1:8">
      <c r="A43">
        <f>[13]命格辅助表!A134</f>
        <v>9840</v>
      </c>
      <c r="B43" t="s">
        <v>846</v>
      </c>
      <c r="C43">
        <f>[13]命格辅助表!$R134</f>
        <v>222.29999999999998</v>
      </c>
      <c r="D43">
        <v>1</v>
      </c>
      <c r="E43">
        <f>ROUND(VLOOKUP(A43,[13]!命格属性表,27,0),0)</f>
        <v>608</v>
      </c>
      <c r="F43">
        <f>G43/'0、经济设定'!$E$19</f>
        <v>2000000</v>
      </c>
      <c r="G43">
        <v>4000</v>
      </c>
      <c r="H43">
        <f>ROUND(VLOOKUP(A43,[13]!命格属性表,28,0),0)</f>
        <v>1250</v>
      </c>
    </row>
    <row r="44" spans="1:8">
      <c r="A44">
        <f>[13]命格辅助表!A135</f>
        <v>8150</v>
      </c>
      <c r="B44" t="s">
        <v>847</v>
      </c>
      <c r="C44">
        <f>[13]命格辅助表!$R135</f>
        <v>800</v>
      </c>
      <c r="D44">
        <v>1</v>
      </c>
      <c r="E44">
        <f>ROUND(VLOOKUP(A44,[13]!命格属性表,27,0),0)</f>
        <v>4867</v>
      </c>
      <c r="F44">
        <f>G44/'0、经济设定'!$E$19</f>
        <v>5000000</v>
      </c>
      <c r="G44">
        <v>10000</v>
      </c>
      <c r="H44">
        <f>ROUND(VLOOKUP(A44,[13]!命格属性表,28,0),0)</f>
        <v>5000</v>
      </c>
    </row>
    <row r="45" spans="1:8">
      <c r="A45">
        <f>[13]命格辅助表!A136</f>
        <v>8250</v>
      </c>
      <c r="B45" t="s">
        <v>848</v>
      </c>
      <c r="C45">
        <f>[13]命格辅助表!$R136</f>
        <v>800</v>
      </c>
      <c r="D45">
        <v>1</v>
      </c>
      <c r="E45">
        <f>ROUND(VLOOKUP(A45,[13]!命格属性表,27,0),0)</f>
        <v>4867</v>
      </c>
      <c r="F45">
        <f>G45/'0、经济设定'!$E$19</f>
        <v>5000000</v>
      </c>
      <c r="G45">
        <v>10000</v>
      </c>
      <c r="H45">
        <f>ROUND(VLOOKUP(A45,[13]!命格属性表,28,0),0)</f>
        <v>5000</v>
      </c>
    </row>
    <row r="46" spans="1:8">
      <c r="A46">
        <f>[13]命格辅助表!A137</f>
        <v>8350</v>
      </c>
      <c r="B46" t="s">
        <v>849</v>
      </c>
      <c r="C46">
        <f>[13]命格辅助表!$R137</f>
        <v>800</v>
      </c>
      <c r="D46">
        <v>1</v>
      </c>
      <c r="E46">
        <f>ROUND(VLOOKUP(A46,[13]!命格属性表,27,0),0)</f>
        <v>4867</v>
      </c>
      <c r="F46">
        <f>G46/'0、经济设定'!$E$19</f>
        <v>5000000</v>
      </c>
      <c r="G46">
        <v>10000</v>
      </c>
      <c r="H46">
        <f>ROUND(VLOOKUP(A46,[13]!命格属性表,28,0),0)</f>
        <v>5000</v>
      </c>
    </row>
    <row r="47" spans="1:8">
      <c r="A47">
        <f>[13]命格辅助表!A138</f>
        <v>8450</v>
      </c>
      <c r="B47" t="s">
        <v>850</v>
      </c>
      <c r="C47">
        <f>[13]命格辅助表!$R138</f>
        <v>800.0200000000001</v>
      </c>
      <c r="D47">
        <v>1</v>
      </c>
      <c r="E47">
        <f>ROUND(VLOOKUP(A47,[13]!命格属性表,27,0),0)</f>
        <v>4867</v>
      </c>
      <c r="F47">
        <f>G47/'0、经济设定'!$E$19</f>
        <v>5000000</v>
      </c>
      <c r="G47">
        <v>10000</v>
      </c>
      <c r="H47">
        <f>ROUND(VLOOKUP(A47,[13]!命格属性表,28,0),0)</f>
        <v>5000</v>
      </c>
    </row>
    <row r="48" spans="1:8">
      <c r="A48">
        <f>[13]命格辅助表!A139</f>
        <v>8550</v>
      </c>
      <c r="B48" t="s">
        <v>851</v>
      </c>
      <c r="C48">
        <f>[13]命格辅助表!$R139</f>
        <v>800.0200000000001</v>
      </c>
      <c r="D48">
        <v>1</v>
      </c>
      <c r="E48">
        <f>ROUND(VLOOKUP(A48,[13]!命格属性表,27,0),0)</f>
        <v>4867</v>
      </c>
      <c r="F48">
        <f>G48/'0、经济设定'!$E$19</f>
        <v>5000000</v>
      </c>
      <c r="G48">
        <v>10000</v>
      </c>
      <c r="H48">
        <f>ROUND(VLOOKUP(A48,[13]!命格属性表,28,0),0)</f>
        <v>5000</v>
      </c>
    </row>
    <row r="49" spans="1:8">
      <c r="A49">
        <f>[13]命格辅助表!A140</f>
        <v>8650</v>
      </c>
      <c r="B49" t="str">
        <f>[13]命格辅助表!B140</f>
        <v>冰魄寒光</v>
      </c>
      <c r="C49">
        <f>[13]命格辅助表!$R140</f>
        <v>799.92</v>
      </c>
      <c r="D49">
        <v>1</v>
      </c>
      <c r="E49">
        <f>ROUND(VLOOKUP(A49,[13]!命格属性表,27,0),0)</f>
        <v>4867</v>
      </c>
      <c r="F49">
        <f>G49/'0、经济设定'!$E$19</f>
        <v>5000000</v>
      </c>
      <c r="G49">
        <v>10000</v>
      </c>
      <c r="H49">
        <f>ROUND(VLOOKUP(A49,[13]!命格属性表,28,0),0)</f>
        <v>5000</v>
      </c>
    </row>
    <row r="50" spans="1:8">
      <c r="A50">
        <f>[13]命格辅助表!A141</f>
        <v>8750</v>
      </c>
      <c r="B50" t="s">
        <v>852</v>
      </c>
      <c r="C50">
        <f>[13]命格辅助表!$R141</f>
        <v>799.92</v>
      </c>
      <c r="D50">
        <v>1</v>
      </c>
      <c r="E50">
        <f>ROUND(VLOOKUP(A50,[13]!命格属性表,27,0),0)</f>
        <v>4867</v>
      </c>
      <c r="F50">
        <f>G50/'0、经济设定'!$E$19</f>
        <v>5000000</v>
      </c>
      <c r="G50">
        <v>10000</v>
      </c>
      <c r="H50">
        <f>ROUND(VLOOKUP(A50,[13]!命格属性表,28,0),0)</f>
        <v>5000</v>
      </c>
    </row>
    <row r="51" spans="1:8">
      <c r="A51">
        <f>[13]命格辅助表!A142</f>
        <v>8850</v>
      </c>
      <c r="B51" t="s">
        <v>853</v>
      </c>
      <c r="C51">
        <f>[13]命格辅助表!$R142</f>
        <v>760</v>
      </c>
      <c r="D51">
        <v>1</v>
      </c>
      <c r="E51">
        <f>ROUND(VLOOKUP(A51,[13]!命格属性表,27,0),0)</f>
        <v>4867</v>
      </c>
      <c r="F51">
        <f>G51/'0、经济设定'!$E$19</f>
        <v>5000000</v>
      </c>
      <c r="G51">
        <v>10000</v>
      </c>
      <c r="H51">
        <f>ROUND(VLOOKUP(A51,[13]!命格属性表,28,0),0)</f>
        <v>5000</v>
      </c>
    </row>
    <row r="52" spans="1:8">
      <c r="A52">
        <f>[13]命格辅助表!A143</f>
        <v>8950</v>
      </c>
      <c r="B52" t="s">
        <v>854</v>
      </c>
      <c r="C52">
        <f>[13]命格辅助表!$R143</f>
        <v>760</v>
      </c>
      <c r="D52">
        <v>1</v>
      </c>
      <c r="E52">
        <f>ROUND(VLOOKUP(A52,[13]!命格属性表,27,0),0)</f>
        <v>4867</v>
      </c>
      <c r="F52">
        <f>G52/'0、经济设定'!$E$19</f>
        <v>5000000</v>
      </c>
      <c r="G52">
        <v>10000</v>
      </c>
      <c r="H52">
        <f>ROUND(VLOOKUP(A52,[13]!命格属性表,28,0),0)</f>
        <v>5000</v>
      </c>
    </row>
    <row r="53" spans="1:8">
      <c r="A53">
        <f>[13]命格辅助表!A144</f>
        <v>9050</v>
      </c>
      <c r="B53" t="s">
        <v>855</v>
      </c>
      <c r="C53">
        <f>[13]命格辅助表!$R144</f>
        <v>760</v>
      </c>
      <c r="D53">
        <v>1</v>
      </c>
      <c r="E53">
        <f>ROUND(VLOOKUP(A53,[13]!命格属性表,27,0),0)</f>
        <v>4867</v>
      </c>
      <c r="F53">
        <f>G53/'0、经济设定'!$E$19</f>
        <v>5000000</v>
      </c>
      <c r="G53">
        <v>10000</v>
      </c>
      <c r="H53">
        <f>ROUND(VLOOKUP(A53,[13]!命格属性表,28,0),0)</f>
        <v>5000</v>
      </c>
    </row>
    <row r="54" spans="1:8">
      <c r="A54">
        <f>[13]命格辅助表!A145</f>
        <v>9150</v>
      </c>
      <c r="B54" t="s">
        <v>856</v>
      </c>
      <c r="C54">
        <f>[13]命格辅助表!$R145</f>
        <v>760</v>
      </c>
      <c r="D54">
        <v>1</v>
      </c>
      <c r="E54">
        <f>ROUND(VLOOKUP(A54,[13]!命格属性表,27,0),0)</f>
        <v>4867</v>
      </c>
      <c r="F54">
        <f>G54/'0、经济设定'!$E$19</f>
        <v>5000000</v>
      </c>
      <c r="G54">
        <v>10000</v>
      </c>
      <c r="H54">
        <f>ROUND(VLOOKUP(A54,[13]!命格属性表,28,0),0)</f>
        <v>5000</v>
      </c>
    </row>
    <row r="55" spans="1:8">
      <c r="A55">
        <f>[13]命格辅助表!A146</f>
        <v>9250</v>
      </c>
      <c r="B55" t="s">
        <v>857</v>
      </c>
      <c r="C55">
        <f>[13]命格辅助表!$R146</f>
        <v>760</v>
      </c>
      <c r="D55">
        <v>1</v>
      </c>
      <c r="E55">
        <f>ROUND(VLOOKUP(A55,[13]!命格属性表,27,0),0)</f>
        <v>4867</v>
      </c>
      <c r="F55">
        <f>G55/'0、经济设定'!$E$19</f>
        <v>5000000</v>
      </c>
      <c r="G55">
        <v>10000</v>
      </c>
      <c r="H55">
        <f>ROUND(VLOOKUP(A55,[13]!命格属性表,28,0),0)</f>
        <v>5000</v>
      </c>
    </row>
    <row r="56" spans="1:8">
      <c r="A56">
        <f>[13]命格辅助表!A147</f>
        <v>9350</v>
      </c>
      <c r="B56" t="s">
        <v>858</v>
      </c>
      <c r="C56">
        <f>[13]命格辅助表!$R147</f>
        <v>800</v>
      </c>
      <c r="D56">
        <v>1</v>
      </c>
      <c r="E56">
        <f>ROUND(VLOOKUP(A56,[13]!命格属性表,27,0),0)</f>
        <v>4867</v>
      </c>
      <c r="F56">
        <f>G56/'0、经济设定'!$E$19</f>
        <v>5000000</v>
      </c>
      <c r="G56">
        <v>10000</v>
      </c>
      <c r="H56">
        <f>ROUND(VLOOKUP(A56,[13]!命格属性表,28,0),0)</f>
        <v>5000</v>
      </c>
    </row>
    <row r="57" spans="1:8">
      <c r="A57">
        <f>[13]命格辅助表!A148</f>
        <v>9450</v>
      </c>
      <c r="B57" t="s">
        <v>859</v>
      </c>
      <c r="C57">
        <f>[13]命格辅助表!$R148</f>
        <v>400</v>
      </c>
      <c r="D57">
        <v>1</v>
      </c>
      <c r="E57">
        <f>ROUND(VLOOKUP(A57,[13]!命格属性表,27,0),0)</f>
        <v>4867</v>
      </c>
      <c r="F57">
        <f>G57/'0、经济设定'!$E$19</f>
        <v>5000000</v>
      </c>
      <c r="G57">
        <v>10000</v>
      </c>
      <c r="H57">
        <f>ROUND(VLOOKUP(A57,[13]!命格属性表,28,0),0)</f>
        <v>5000</v>
      </c>
    </row>
    <row r="58" spans="1:8">
      <c r="A58">
        <f>[13]命格辅助表!A149</f>
        <v>9550</v>
      </c>
      <c r="B58" t="s">
        <v>860</v>
      </c>
      <c r="C58">
        <f>[13]命格辅助表!$R149</f>
        <v>200</v>
      </c>
      <c r="D58">
        <v>1</v>
      </c>
      <c r="E58">
        <f>ROUND(VLOOKUP(A58,[13]!命格属性表,27,0),0)</f>
        <v>4867</v>
      </c>
      <c r="F58">
        <f>G58/'0、经济设定'!$E$19</f>
        <v>5000000</v>
      </c>
      <c r="G58">
        <v>10000</v>
      </c>
      <c r="H58">
        <f>ROUND(VLOOKUP(A58,[13]!命格属性表,28,0),0)</f>
        <v>5000</v>
      </c>
    </row>
    <row r="59" spans="1:8">
      <c r="A59">
        <f>[13]命格辅助表!A150</f>
        <v>9650</v>
      </c>
      <c r="B59" t="s">
        <v>861</v>
      </c>
      <c r="C59">
        <f>[13]命格辅助表!$R150</f>
        <v>960</v>
      </c>
      <c r="D59">
        <v>1</v>
      </c>
      <c r="E59">
        <f>ROUND(VLOOKUP(A59,[13]!命格属性表,27,0),0)</f>
        <v>4867</v>
      </c>
      <c r="F59">
        <f>G59/'0、经济设定'!$E$19</f>
        <v>5000000</v>
      </c>
      <c r="G59">
        <v>10000</v>
      </c>
      <c r="H59">
        <f>ROUND(VLOOKUP(A59,[13]!命格属性表,28,0),0)</f>
        <v>5000</v>
      </c>
    </row>
    <row r="60" spans="1:8">
      <c r="A60">
        <f>[13]命格辅助表!A151</f>
        <v>9750</v>
      </c>
      <c r="B60" t="s">
        <v>862</v>
      </c>
      <c r="C60">
        <f>[13]命格辅助表!$R151</f>
        <v>960</v>
      </c>
      <c r="D60">
        <v>1</v>
      </c>
      <c r="E60">
        <f>ROUND(VLOOKUP(A60,[13]!命格属性表,27,0),0)</f>
        <v>4867</v>
      </c>
      <c r="F60">
        <f>G60/'0、经济设定'!$E$19</f>
        <v>5000000</v>
      </c>
      <c r="G60">
        <v>10000</v>
      </c>
      <c r="H60">
        <f>ROUND(VLOOKUP(A60,[13]!命格属性表,28,0),0)</f>
        <v>5000</v>
      </c>
    </row>
    <row r="61" spans="1:8">
      <c r="A61">
        <f>[13]命格辅助表!A152</f>
        <v>9850</v>
      </c>
      <c r="B61" t="s">
        <v>863</v>
      </c>
      <c r="C61">
        <f>[13]命格辅助表!$R152</f>
        <v>399.96</v>
      </c>
      <c r="D61">
        <v>1</v>
      </c>
      <c r="E61">
        <f>ROUND(VLOOKUP(A61,[13]!命格属性表,27,0),0)</f>
        <v>4867</v>
      </c>
      <c r="F61">
        <f>G61/'0、经济设定'!$E$19</f>
        <v>5000000</v>
      </c>
      <c r="G61">
        <v>10000</v>
      </c>
      <c r="H61">
        <f>ROUND(VLOOKUP(A61,[13]!命格属性表,28,0),0)</f>
        <v>5000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20"/>
  <sheetViews>
    <sheetView workbookViewId="0">
      <selection activeCell="I20" sqref="I20"/>
    </sheetView>
  </sheetViews>
  <sheetFormatPr defaultRowHeight="13.5"/>
  <cols>
    <col min="6" max="6" width="14.625" customWidth="1"/>
  </cols>
  <sheetData>
    <row r="1" spans="1:8">
      <c r="A1" s="2" t="s">
        <v>253</v>
      </c>
      <c r="B1" s="2" t="s">
        <v>404</v>
      </c>
      <c r="C1" s="2" t="s">
        <v>405</v>
      </c>
      <c r="D1" s="2" t="s">
        <v>406</v>
      </c>
      <c r="E1" s="2" t="s">
        <v>407</v>
      </c>
      <c r="F1" s="2" t="s">
        <v>408</v>
      </c>
      <c r="G1" s="2" t="s">
        <v>409</v>
      </c>
      <c r="H1" s="54" t="s">
        <v>1112</v>
      </c>
    </row>
    <row r="2" spans="1:8">
      <c r="A2">
        <f>[14]价值评估!I14</f>
        <v>101101</v>
      </c>
      <c r="B2" t="s">
        <v>868</v>
      </c>
      <c r="C2">
        <f>[14]价值评估!M14</f>
        <v>25.55355230742893</v>
      </c>
      <c r="D2">
        <v>1</v>
      </c>
      <c r="E2">
        <f>[10]道具表价值评估!E49</f>
        <v>97.5</v>
      </c>
      <c r="F2" s="15">
        <f>G2*'0、经济设定'!$C$19</f>
        <v>125000</v>
      </c>
      <c r="G2">
        <f>ROUNDUP(C2/H2/10*E2*'0、经济设定'!$E$18,0)*H2*10</f>
        <v>250</v>
      </c>
      <c r="H2">
        <f>[14]D_马仔表!$E2</f>
        <v>1</v>
      </c>
    </row>
    <row r="3" spans="1:8">
      <c r="A3">
        <f>[14]价值评估!I15</f>
        <v>101102</v>
      </c>
      <c r="B3" t="str">
        <f>[14]价值评估!J15</f>
        <v>蟹仔</v>
      </c>
      <c r="C3">
        <f>[14]价值评估!M15</f>
        <v>25.55355230742893</v>
      </c>
      <c r="D3">
        <v>1</v>
      </c>
      <c r="E3">
        <f>[10]道具表价值评估!E50</f>
        <v>97.5</v>
      </c>
      <c r="F3" s="15">
        <f>G3*'0、经济设定'!$C$19</f>
        <v>125000</v>
      </c>
      <c r="G3">
        <f>ROUNDUP(C3/H3/10*E3*'0、经济设定'!$E$18,0)*H3*10</f>
        <v>250</v>
      </c>
      <c r="H3">
        <f>[14]D_马仔表!$E3</f>
        <v>1</v>
      </c>
    </row>
    <row r="4" spans="1:8">
      <c r="A4">
        <f>[14]价值评估!I16</f>
        <v>101103</v>
      </c>
      <c r="B4" t="str">
        <f>[14]价值评估!J16</f>
        <v>比利</v>
      </c>
      <c r="C4">
        <f>[14]价值评估!M16</f>
        <v>25.55355230742893</v>
      </c>
      <c r="D4">
        <v>1</v>
      </c>
      <c r="E4">
        <f>[10]道具表价值评估!E51</f>
        <v>97.5</v>
      </c>
      <c r="F4" s="15">
        <f>G4*'0、经济设定'!$C$19</f>
        <v>125000</v>
      </c>
      <c r="G4">
        <f>ROUNDUP(C4/H4/10*E4*'0、经济设定'!$E$18,0)*H4*10</f>
        <v>250</v>
      </c>
      <c r="H4">
        <f>[14]D_马仔表!$E4</f>
        <v>1</v>
      </c>
    </row>
    <row r="5" spans="1:8">
      <c r="A5">
        <f>[14]价值评估!I17</f>
        <v>101104</v>
      </c>
      <c r="B5" t="str">
        <f>[14]价值评估!J17</f>
        <v>黎九</v>
      </c>
      <c r="C5">
        <f>[14]价值评估!M17</f>
        <v>25.55355230742893</v>
      </c>
      <c r="D5">
        <v>1</v>
      </c>
      <c r="E5">
        <f>[10]道具表价值评估!E52</f>
        <v>97.5</v>
      </c>
      <c r="F5" s="15">
        <f>G5*'0、经济设定'!$C$19</f>
        <v>125000</v>
      </c>
      <c r="G5">
        <f>ROUNDUP(C5/H5/10*E5*'0、经济设定'!$E$18,0)*H5*10</f>
        <v>250</v>
      </c>
      <c r="H5">
        <f>[14]D_马仔表!$E5</f>
        <v>1</v>
      </c>
    </row>
    <row r="6" spans="1:8">
      <c r="A6">
        <f>[14]价值评估!I18</f>
        <v>101105</v>
      </c>
      <c r="B6" t="str">
        <f>[14]价值评估!J18</f>
        <v>黑古</v>
      </c>
      <c r="C6">
        <f>[14]价值评估!M18</f>
        <v>25.55355230742893</v>
      </c>
      <c r="D6">
        <v>1</v>
      </c>
      <c r="E6">
        <f>[10]道具表价值评估!E53</f>
        <v>97.5</v>
      </c>
      <c r="F6" s="15">
        <f>G6*'0、经济设定'!$C$19</f>
        <v>125000</v>
      </c>
      <c r="G6">
        <f>ROUNDUP(C6/H6/10*E6*'0、经济设定'!$E$18,0)*H6*10</f>
        <v>250</v>
      </c>
      <c r="H6">
        <f>[14]D_马仔表!$E6</f>
        <v>1</v>
      </c>
    </row>
    <row r="7" spans="1:8">
      <c r="A7">
        <f>[14]价值评估!I19</f>
        <v>101106</v>
      </c>
      <c r="B7" t="s">
        <v>869</v>
      </c>
      <c r="C7">
        <f>[14]价值评估!M19</f>
        <v>51.10710461485786</v>
      </c>
      <c r="D7">
        <v>1</v>
      </c>
      <c r="E7">
        <f>[10]道具表价值评估!E54</f>
        <v>97.5</v>
      </c>
      <c r="F7" s="15">
        <f>G7*'0、经济设定'!$C$19</f>
        <v>250000</v>
      </c>
      <c r="G7">
        <f>ROUNDUP(C7/H7/10*E7*'0、经济设定'!$E$18,0)*H7*10</f>
        <v>500</v>
      </c>
      <c r="H7">
        <f>[14]D_马仔表!$E7</f>
        <v>1</v>
      </c>
    </row>
    <row r="8" spans="1:8">
      <c r="A8">
        <f>[14]价值评估!I20</f>
        <v>101107</v>
      </c>
      <c r="B8" t="s">
        <v>870</v>
      </c>
      <c r="C8">
        <f>[14]价值评估!M20</f>
        <v>51.10710461485786</v>
      </c>
      <c r="D8">
        <v>1</v>
      </c>
      <c r="E8">
        <f>[10]道具表价值评估!E55</f>
        <v>97.5</v>
      </c>
      <c r="F8" s="15">
        <f>G8*'0、经济设定'!$C$19</f>
        <v>250000</v>
      </c>
      <c r="G8">
        <f>ROUNDUP(C8/H8/10*E8*'0、经济设定'!$E$18,0)*H8*10</f>
        <v>500</v>
      </c>
      <c r="H8">
        <f>[14]D_马仔表!$E8</f>
        <v>1</v>
      </c>
    </row>
    <row r="9" spans="1:8">
      <c r="A9">
        <f>[14]价值评估!I21</f>
        <v>101108</v>
      </c>
      <c r="B9" t="str">
        <f>[14]价值评估!J21</f>
        <v>肥仔</v>
      </c>
      <c r="C9">
        <f>[14]价值评估!M21</f>
        <v>51.10710461485786</v>
      </c>
      <c r="D9">
        <v>1</v>
      </c>
      <c r="E9">
        <f>[10]道具表价值评估!E56</f>
        <v>97.5</v>
      </c>
      <c r="F9" s="15">
        <f>G9*'0、经济设定'!$C$19</f>
        <v>250000</v>
      </c>
      <c r="G9">
        <f>ROUNDUP(C9/H9/10*E9*'0、经济设定'!$E$18,0)*H9*10</f>
        <v>500</v>
      </c>
      <c r="H9">
        <f>[14]D_马仔表!$E9</f>
        <v>1</v>
      </c>
    </row>
    <row r="10" spans="1:8">
      <c r="A10">
        <f>[14]价值评估!I22</f>
        <v>101109</v>
      </c>
      <c r="B10" t="str">
        <f>[14]价值评估!J22</f>
        <v>司徒浩南</v>
      </c>
      <c r="C10">
        <f>[14]价值评估!M22</f>
        <v>102.21420922971572</v>
      </c>
      <c r="D10">
        <v>1</v>
      </c>
      <c r="E10">
        <f>[10]道具表价值评估!E57</f>
        <v>97.5</v>
      </c>
      <c r="F10" s="15">
        <f>G10*'0、经济设定'!$C$19</f>
        <v>500000</v>
      </c>
      <c r="G10">
        <f>ROUNDUP(C10/H10/10*E10*'0、经济设定'!$E$18,0)*H10*10</f>
        <v>1000</v>
      </c>
      <c r="H10">
        <f>[14]D_马仔表!$E10</f>
        <v>1</v>
      </c>
    </row>
    <row r="11" spans="1:8">
      <c r="A11">
        <f>[14]价值评估!I23</f>
        <v>101110</v>
      </c>
      <c r="B11" t="s">
        <v>871</v>
      </c>
      <c r="C11">
        <f>[14]价值评估!M23</f>
        <v>102.21420922971572</v>
      </c>
      <c r="D11">
        <v>1</v>
      </c>
      <c r="E11">
        <f>[10]道具表价值评估!E58</f>
        <v>97.5</v>
      </c>
      <c r="F11" s="15">
        <f>G11*'0、经济设定'!$C$19</f>
        <v>500000</v>
      </c>
      <c r="G11">
        <f>ROUNDUP(C11/H11/10*E11*'0、经济设定'!$E$18,0)*H11*10</f>
        <v>1000</v>
      </c>
      <c r="H11">
        <f>[14]D_马仔表!$E11</f>
        <v>1</v>
      </c>
    </row>
    <row r="12" spans="1:8">
      <c r="A12">
        <f>[14]价值评估!I24</f>
        <v>101111</v>
      </c>
      <c r="B12" t="str">
        <f>[14]价值评估!J24</f>
        <v>赌王</v>
      </c>
      <c r="C12">
        <f>[14]价值评估!M24</f>
        <v>102.21420922971572</v>
      </c>
      <c r="D12">
        <v>1</v>
      </c>
      <c r="E12">
        <f>[10]道具表价值评估!E59</f>
        <v>97.5</v>
      </c>
      <c r="F12" s="15">
        <f>G12*'0、经济设定'!$C$19</f>
        <v>500000</v>
      </c>
      <c r="G12">
        <f>ROUNDUP(C12/H12/10*E12*'0、经济设定'!$E$18,0)*H12*10</f>
        <v>1000</v>
      </c>
      <c r="H12">
        <f>[14]D_马仔表!$E12</f>
        <v>1</v>
      </c>
    </row>
    <row r="13" spans="1:8">
      <c r="A13">
        <f>[14]价值评估!I25</f>
        <v>101112</v>
      </c>
      <c r="B13" t="str">
        <f>[14]价值评估!J25</f>
        <v>山下忠秀</v>
      </c>
      <c r="C13">
        <f>[14]价值评估!M25</f>
        <v>102.21420922971572</v>
      </c>
      <c r="D13">
        <v>1</v>
      </c>
      <c r="E13">
        <f>[10]道具表价值评估!E60</f>
        <v>97.5</v>
      </c>
      <c r="F13" s="15">
        <f>G13*'0、经济设定'!$C$19</f>
        <v>500000</v>
      </c>
      <c r="G13">
        <f>ROUNDUP(C13/H13/10*E13*'0、经济设定'!$E$18,0)*H13*10</f>
        <v>1000</v>
      </c>
      <c r="H13">
        <f>[14]D_马仔表!$E13</f>
        <v>1</v>
      </c>
    </row>
    <row r="14" spans="1:8">
      <c r="A14">
        <f>[14]价值评估!I26</f>
        <v>101113</v>
      </c>
      <c r="B14" t="s">
        <v>872</v>
      </c>
      <c r="C14">
        <f>[14]价值评估!M26</f>
        <v>102.21420922971572</v>
      </c>
      <c r="D14">
        <v>1</v>
      </c>
      <c r="E14">
        <f>[10]道具表价值评估!E61</f>
        <v>97.5</v>
      </c>
      <c r="F14" s="15">
        <f>G14*'0、经济设定'!$C$19</f>
        <v>500000</v>
      </c>
      <c r="G14">
        <f>ROUNDUP(C14/H14/10*E14*'0、经济设定'!$E$18,0)*H14*10</f>
        <v>1000</v>
      </c>
      <c r="H14">
        <f>[14]D_马仔表!$E14</f>
        <v>1</v>
      </c>
    </row>
    <row r="15" spans="1:8">
      <c r="A15">
        <f>[14]价值评估!I27</f>
        <v>101114</v>
      </c>
      <c r="B15" t="s">
        <v>873</v>
      </c>
      <c r="C15">
        <f>[14]价值评估!M27</f>
        <v>153.32131384457352</v>
      </c>
      <c r="D15">
        <v>1</v>
      </c>
      <c r="E15">
        <f>[10]道具表价值评估!E62</f>
        <v>97.5</v>
      </c>
      <c r="F15" s="15">
        <f>G15*'0、经济设定'!$C$19</f>
        <v>750000</v>
      </c>
      <c r="G15">
        <f>ROUNDUP(C15/H15/10*E15*'0、经济设定'!$E$18,0)*H15*10</f>
        <v>1500</v>
      </c>
      <c r="H15">
        <f>[14]D_马仔表!$E15</f>
        <v>1</v>
      </c>
    </row>
    <row r="16" spans="1:8">
      <c r="A16">
        <f>[14]价值评估!I28</f>
        <v>101115</v>
      </c>
      <c r="B16" t="s">
        <v>874</v>
      </c>
      <c r="C16">
        <f>[14]价值评估!M28</f>
        <v>153.32131384457352</v>
      </c>
      <c r="D16">
        <v>1</v>
      </c>
      <c r="E16">
        <f>[10]道具表价值评估!E63</f>
        <v>97.5</v>
      </c>
      <c r="F16" s="15">
        <f>G16*'0、经济设定'!$C$19</f>
        <v>750000</v>
      </c>
      <c r="G16">
        <f>ROUNDUP(C16/H16/10*E16*'0、经济设定'!$E$18,0)*H16*10</f>
        <v>1500</v>
      </c>
      <c r="H16">
        <f>[14]D_马仔表!$E16</f>
        <v>1</v>
      </c>
    </row>
    <row r="17" spans="1:8">
      <c r="A17">
        <f>[14]价值评估!I29</f>
        <v>101116</v>
      </c>
      <c r="B17" t="str">
        <f>[14]价值评估!J29</f>
        <v>大天二</v>
      </c>
      <c r="C17">
        <f>[14]价值评估!M29</f>
        <v>153.32131384457352</v>
      </c>
      <c r="D17">
        <v>1</v>
      </c>
      <c r="E17">
        <f>[10]道具表价值评估!E64</f>
        <v>97.5</v>
      </c>
      <c r="F17" s="15">
        <f>G17*'0、经济设定'!$C$19</f>
        <v>750000</v>
      </c>
      <c r="G17">
        <f>ROUNDUP(C17/H17/10*E17*'0、经济设定'!$E$18,0)*H17*10</f>
        <v>1500</v>
      </c>
      <c r="H17">
        <f>[14]D_马仔表!$E17</f>
        <v>1</v>
      </c>
    </row>
    <row r="18" spans="1:8">
      <c r="A18">
        <f>[14]价值评估!I30</f>
        <v>101117</v>
      </c>
      <c r="B18" t="str">
        <f>[14]价值评估!J30</f>
        <v>巴闭</v>
      </c>
      <c r="C18">
        <f>[14]价值评估!M30</f>
        <v>51.10710461485786</v>
      </c>
      <c r="D18">
        <v>2</v>
      </c>
      <c r="E18">
        <f>[10]道具表价值评估!E65</f>
        <v>97.5</v>
      </c>
      <c r="F18" s="15">
        <f>G18*'0、经济设定'!$C$19</f>
        <v>250000</v>
      </c>
      <c r="G18">
        <f>ROUNDUP(C18/H18/10*E18*'0、经济设定'!$E$18,0)*H18*10</f>
        <v>500</v>
      </c>
      <c r="H18">
        <f>[14]D_马仔表!$E18</f>
        <v>1</v>
      </c>
    </row>
    <row r="19" spans="1:8">
      <c r="A19">
        <f>[14]价值评估!I31</f>
        <v>101118</v>
      </c>
      <c r="B19" t="str">
        <f>[14]价值评估!J31</f>
        <v>耀阳</v>
      </c>
      <c r="C19">
        <f>[14]价值评估!M31</f>
        <v>102.21420922971572</v>
      </c>
      <c r="D19">
        <v>3</v>
      </c>
      <c r="E19">
        <f>[10]道具表价值评估!E66</f>
        <v>97.5</v>
      </c>
      <c r="F19" s="15">
        <f>G19*'0、经济设定'!$C$19</f>
        <v>500000</v>
      </c>
      <c r="G19">
        <f>ROUNDUP(C19/H19/10*E19*'0、经济设定'!$E$18,0)*H19*10</f>
        <v>1000</v>
      </c>
      <c r="H19">
        <f>[14]D_马仔表!$E19</f>
        <v>1</v>
      </c>
    </row>
    <row r="20" spans="1:8">
      <c r="A20">
        <f>[14]价值评估!I32</f>
        <v>101119</v>
      </c>
      <c r="B20" t="str">
        <f>[14]价值评估!J32</f>
        <v>笑面虎</v>
      </c>
      <c r="C20">
        <f>[14]价值评估!M32</f>
        <v>102.21420922971572</v>
      </c>
      <c r="D20">
        <v>4</v>
      </c>
      <c r="E20">
        <f>[10]道具表价值评估!E67</f>
        <v>97.5</v>
      </c>
      <c r="F20" s="15">
        <f>G20*'0、经济设定'!$C$19</f>
        <v>500000</v>
      </c>
      <c r="G20">
        <f>ROUNDUP(C20/H20/10*E20*'0、经济设定'!$E$18,0)*H20*10</f>
        <v>1000</v>
      </c>
      <c r="H20">
        <f>[14]D_马仔表!$E20</f>
        <v>1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92"/>
  <sheetViews>
    <sheetView workbookViewId="0">
      <selection activeCell="G5" sqref="G5"/>
    </sheetView>
  </sheetViews>
  <sheetFormatPr defaultRowHeight="13.5"/>
  <sheetData>
    <row r="1" spans="1:7">
      <c r="A1" s="2" t="s">
        <v>253</v>
      </c>
      <c r="B1" s="2" t="s">
        <v>404</v>
      </c>
      <c r="C1" s="2" t="s">
        <v>405</v>
      </c>
      <c r="D1" s="2" t="s">
        <v>406</v>
      </c>
      <c r="E1" s="2" t="s">
        <v>407</v>
      </c>
      <c r="F1" s="2" t="s">
        <v>408</v>
      </c>
      <c r="G1" s="2" t="s">
        <v>409</v>
      </c>
    </row>
    <row r="2" spans="1:7">
      <c r="A2">
        <f>[11]龙魂辅助表!B6</f>
        <v>1001</v>
      </c>
      <c r="B2" t="str">
        <f>[11]龙魂辅助表!C6</f>
        <v>赑屃</v>
      </c>
      <c r="C2">
        <f>[11]龙魂辅助表!$V6</f>
        <v>34.691225182728921</v>
      </c>
      <c r="D2">
        <v>1</v>
      </c>
      <c r="E2">
        <f>1/INDEX([11]龙魂辅助表!$C$1:$C$2,VLOOKUP(A2,[11]龙魂辅助表!$B$6:$G$96,6,0))</f>
        <v>1</v>
      </c>
      <c r="F2">
        <f>C2*'0、经济设定'!$C$18*E2</f>
        <v>1734.5612591364461</v>
      </c>
      <c r="G2">
        <f>F2*'0、经济设定'!$E$19</f>
        <v>3.4691225182728922</v>
      </c>
    </row>
    <row r="3" spans="1:7">
      <c r="A3">
        <f>[11]龙魂辅助表!B7</f>
        <v>1002</v>
      </c>
      <c r="B3" t="str">
        <f>[11]龙魂辅助表!C7</f>
        <v>鸱吻</v>
      </c>
      <c r="C3">
        <f>[11]龙魂辅助表!$V7</f>
        <v>38.211554801191532</v>
      </c>
      <c r="D3">
        <v>1</v>
      </c>
      <c r="E3">
        <f>1/INDEX([11]龙魂辅助表!$C$1:$C$2,VLOOKUP(A3,[11]龙魂辅助表!$B$6:$G$96,6,0))</f>
        <v>1</v>
      </c>
      <c r="F3">
        <f>C3*'0、经济设定'!$C$18*E3</f>
        <v>1910.5777400595766</v>
      </c>
      <c r="G3">
        <f>F3*'0、经济设定'!$E$19</f>
        <v>3.8211554801191534</v>
      </c>
    </row>
    <row r="4" spans="1:7">
      <c r="A4">
        <f>[11]龙魂辅助表!B8</f>
        <v>1003</v>
      </c>
      <c r="B4" t="str">
        <f>[11]龙魂辅助表!C8</f>
        <v>蒲牢</v>
      </c>
      <c r="C4">
        <f>[11]龙魂辅助表!$V8</f>
        <v>35.059146245116374</v>
      </c>
      <c r="D4">
        <v>1</v>
      </c>
      <c r="E4">
        <f>1/INDEX([11]龙魂辅助表!$C$1:$C$2,VLOOKUP(A4,[11]龙魂辅助表!$B$6:$G$96,6,0))</f>
        <v>1</v>
      </c>
      <c r="F4">
        <f>C4*'0、经济设定'!$C$18*E4</f>
        <v>1752.9573122558186</v>
      </c>
      <c r="G4">
        <f>F4*'0、经济设定'!$E$19</f>
        <v>3.5059146245116373</v>
      </c>
    </row>
    <row r="5" spans="1:7">
      <c r="A5">
        <f>[11]龙魂辅助表!B9</f>
        <v>1004</v>
      </c>
      <c r="B5" t="str">
        <f>[11]龙魂辅助表!C9</f>
        <v>睚眦</v>
      </c>
      <c r="C5">
        <f>[11]龙魂辅助表!$V9</f>
        <v>38.960800973763916</v>
      </c>
      <c r="D5">
        <v>1</v>
      </c>
      <c r="E5">
        <f>1/INDEX([11]龙魂辅助表!$C$1:$C$2,VLOOKUP(A5,[11]龙魂辅助表!$B$6:$G$96,6,0))</f>
        <v>1</v>
      </c>
      <c r="F5">
        <f>C5*'0、经济设定'!$C$18*E5</f>
        <v>1948.0400486881958</v>
      </c>
      <c r="G5">
        <f>F5*'0、经济设定'!$E$19</f>
        <v>3.8960800973763918</v>
      </c>
    </row>
    <row r="6" spans="1:7">
      <c r="A6">
        <f>[11]龙魂辅助表!B10</f>
        <v>1005</v>
      </c>
      <c r="B6" t="str">
        <f>[11]龙魂辅助表!C10</f>
        <v>饕餮</v>
      </c>
      <c r="C6">
        <f>[11]龙魂辅助表!$V10</f>
        <v>34.340791473479662</v>
      </c>
      <c r="D6">
        <v>1</v>
      </c>
      <c r="E6">
        <f>1/INDEX([11]龙魂辅助表!$C$1:$C$2,VLOOKUP(A6,[11]龙魂辅助表!$B$6:$G$96,6,0))</f>
        <v>1</v>
      </c>
      <c r="F6">
        <f>C6*'0、经济设定'!$C$18*E6</f>
        <v>1717.0395736739831</v>
      </c>
      <c r="G6">
        <f>F6*'0、经济设定'!$E$19</f>
        <v>3.4340791473479664</v>
      </c>
    </row>
    <row r="7" spans="1:7">
      <c r="A7">
        <f>[11]龙魂辅助表!B11</f>
        <v>1006</v>
      </c>
      <c r="B7" t="str">
        <f>[11]龙魂辅助表!C11</f>
        <v>蚣蝮</v>
      </c>
      <c r="C7">
        <f>[11]龙魂辅助表!$V11</f>
        <v>31.69243215673859</v>
      </c>
      <c r="D7">
        <v>1</v>
      </c>
      <c r="E7">
        <f>1/INDEX([11]龙魂辅助表!$C$1:$C$2,VLOOKUP(A7,[11]龙魂辅助表!$B$6:$G$96,6,0))</f>
        <v>1</v>
      </c>
      <c r="F7">
        <f>C7*'0、经济设定'!$C$18*E7</f>
        <v>1584.6216078369296</v>
      </c>
      <c r="G7">
        <f>F7*'0、经济设定'!$E$19</f>
        <v>3.169243215673859</v>
      </c>
    </row>
    <row r="8" spans="1:7">
      <c r="A8">
        <f>[11]龙魂辅助表!B12</f>
        <v>2001</v>
      </c>
      <c r="B8" t="str">
        <f>[11]龙魂辅助表!C12</f>
        <v>狴犴</v>
      </c>
      <c r="C8">
        <f>[11]龙魂辅助表!$V12</f>
        <v>55.128135067603871</v>
      </c>
      <c r="D8">
        <v>1</v>
      </c>
      <c r="E8">
        <f>1/INDEX([11]龙魂辅助表!$C$1:$C$2,VLOOKUP(A8,[11]龙魂辅助表!$B$6:$G$96,6,0))</f>
        <v>2</v>
      </c>
      <c r="F8">
        <f>C8*'0、经济设定'!$C$18*E8</f>
        <v>5512.8135067603871</v>
      </c>
      <c r="G8">
        <f>F8*'0、经济设定'!$E$19</f>
        <v>11.025627013520774</v>
      </c>
    </row>
    <row r="9" spans="1:7">
      <c r="A9">
        <f>[11]龙魂辅助表!B13</f>
        <v>2002</v>
      </c>
      <c r="B9" t="str">
        <f>[11]龙魂辅助表!C13</f>
        <v>狻猊</v>
      </c>
      <c r="C9">
        <f>[11]龙魂辅助表!$V13</f>
        <v>60.688939978363017</v>
      </c>
      <c r="D9">
        <v>1</v>
      </c>
      <c r="E9">
        <f>1/INDEX([11]龙魂辅助表!$C$1:$C$2,VLOOKUP(A9,[11]龙魂辅助表!$B$6:$G$96,6,0))</f>
        <v>2</v>
      </c>
      <c r="F9">
        <f>C9*'0、经济设定'!$C$18*E9</f>
        <v>6068.8939978363014</v>
      </c>
      <c r="G9">
        <f>F9*'0、经济设定'!$E$19</f>
        <v>12.137787995672603</v>
      </c>
    </row>
    <row r="10" spans="1:7">
      <c r="A10">
        <f>[11]龙魂辅助表!B14</f>
        <v>2003</v>
      </c>
      <c r="B10" t="str">
        <f>[11]龙魂辅助表!C14</f>
        <v>椒图</v>
      </c>
      <c r="C10">
        <f>[11]龙魂辅助表!$V14</f>
        <v>55.652139913364344</v>
      </c>
      <c r="D10">
        <v>1</v>
      </c>
      <c r="E10">
        <f>1/INDEX([11]龙魂辅助表!$C$1:$C$2,VLOOKUP(A10,[11]龙魂辅助表!$B$6:$G$96,6,0))</f>
        <v>2</v>
      </c>
      <c r="F10">
        <f>C10*'0、经济设定'!$C$18*E10</f>
        <v>5565.2139913364344</v>
      </c>
      <c r="G10">
        <f>F10*'0、经济设定'!$E$19</f>
        <v>11.130427982672868</v>
      </c>
    </row>
    <row r="11" spans="1:7">
      <c r="A11">
        <f>[11]龙魂辅助表!B15</f>
        <v>1007</v>
      </c>
      <c r="B11" t="str">
        <f>[11]龙魂辅助表!C15</f>
        <v>貔貅</v>
      </c>
      <c r="C11">
        <f>[11]龙魂辅助表!$V15</f>
        <v>24.963122659707253</v>
      </c>
      <c r="D11">
        <v>1</v>
      </c>
      <c r="E11">
        <f>1/INDEX([11]龙魂辅助表!$C$1:$C$2,VLOOKUP(A11,[11]龙魂辅助表!$B$6:$G$96,6,0))</f>
        <v>1</v>
      </c>
      <c r="F11">
        <f>C11*'0、经济设定'!$C$18*E11</f>
        <v>1248.1561329853625</v>
      </c>
      <c r="G11">
        <f>F11*'0、经济设定'!$E$19</f>
        <v>2.4963122659707251</v>
      </c>
    </row>
    <row r="12" spans="1:7">
      <c r="A12">
        <f>[11]龙魂辅助表!B16</f>
        <v>1008</v>
      </c>
      <c r="B12" t="str">
        <f>[11]龙魂辅助表!C16</f>
        <v>赑屃</v>
      </c>
      <c r="C12">
        <f>[11]龙魂辅助表!$V16</f>
        <v>62.234975290929377</v>
      </c>
      <c r="D12">
        <v>1</v>
      </c>
      <c r="E12">
        <f>1/INDEX([11]龙魂辅助表!$C$1:$C$2,VLOOKUP(A12,[11]龙魂辅助表!$B$6:$G$96,6,0))</f>
        <v>1</v>
      </c>
      <c r="F12">
        <f>C12*'0、经济设定'!$C$18*E12</f>
        <v>3111.7487645464689</v>
      </c>
      <c r="G12">
        <f>F12*'0、经济设定'!$E$19</f>
        <v>6.2234975290929384</v>
      </c>
    </row>
    <row r="13" spans="1:7">
      <c r="A13">
        <f>[11]龙魂辅助表!B17</f>
        <v>1009</v>
      </c>
      <c r="B13" t="str">
        <f>[11]龙魂辅助表!C17</f>
        <v>鸱吻</v>
      </c>
      <c r="C13">
        <f>[11]龙魂辅助表!$V17</f>
        <v>85.182414310067045</v>
      </c>
      <c r="D13">
        <v>1</v>
      </c>
      <c r="E13">
        <f>1/INDEX([11]龙魂辅助表!$C$1:$C$2,VLOOKUP(A13,[11]龙魂辅助表!$B$6:$G$96,6,0))</f>
        <v>1</v>
      </c>
      <c r="F13">
        <f>C13*'0、经济设定'!$C$18*E13</f>
        <v>4259.1207155033526</v>
      </c>
      <c r="G13">
        <f>F13*'0、经济设定'!$E$19</f>
        <v>8.5182414310067056</v>
      </c>
    </row>
    <row r="14" spans="1:7">
      <c r="A14">
        <f>[11]龙魂辅助表!B18</f>
        <v>1010</v>
      </c>
      <c r="B14" t="str">
        <f>[11]龙魂辅助表!C18</f>
        <v>蒲牢</v>
      </c>
      <c r="C14">
        <f>[11]龙魂辅助表!$V18</f>
        <v>94.405017744120229</v>
      </c>
      <c r="D14">
        <v>1</v>
      </c>
      <c r="E14">
        <f>1/INDEX([11]龙魂辅助表!$C$1:$C$2,VLOOKUP(A14,[11]龙魂辅助表!$B$6:$G$96,6,0))</f>
        <v>1</v>
      </c>
      <c r="F14">
        <f>C14*'0、经济设定'!$C$18*E14</f>
        <v>4720.2508872060116</v>
      </c>
      <c r="G14">
        <f>F14*'0、经济设定'!$E$19</f>
        <v>9.4405017744120237</v>
      </c>
    </row>
    <row r="15" spans="1:7">
      <c r="A15">
        <f>[11]龙魂辅助表!B19</f>
        <v>1011</v>
      </c>
      <c r="B15" t="str">
        <f>[11]龙魂辅助表!C19</f>
        <v>睚眦</v>
      </c>
      <c r="C15">
        <f>[11]龙魂辅助表!$V19</f>
        <v>83.726120163912327</v>
      </c>
      <c r="D15">
        <v>1</v>
      </c>
      <c r="E15">
        <f>1/INDEX([11]龙魂辅助表!$C$1:$C$2,VLOOKUP(A15,[11]龙魂辅助表!$B$6:$G$96,6,0))</f>
        <v>1</v>
      </c>
      <c r="F15">
        <f>C15*'0、经济设定'!$C$18*E15</f>
        <v>4186.3060081956164</v>
      </c>
      <c r="G15">
        <f>F15*'0、经济设定'!$E$19</f>
        <v>8.3726120163912334</v>
      </c>
    </row>
    <row r="16" spans="1:7">
      <c r="A16">
        <f>[11]龙魂辅助表!B20</f>
        <v>2004</v>
      </c>
      <c r="B16" t="str">
        <f>[11]龙魂辅助表!C20</f>
        <v>饕餮</v>
      </c>
      <c r="C16">
        <f>[11]龙魂辅助表!$V20</f>
        <v>133.95621605212159</v>
      </c>
      <c r="D16">
        <v>1</v>
      </c>
      <c r="E16">
        <f>1/INDEX([11]龙魂辅助表!$C$1:$C$2,VLOOKUP(A16,[11]龙魂辅助表!$B$6:$G$96,6,0))</f>
        <v>2</v>
      </c>
      <c r="F16">
        <f>C16*'0、经济设定'!$C$18*E16</f>
        <v>13395.62160521216</v>
      </c>
      <c r="G16">
        <f>F16*'0、经济设定'!$E$19</f>
        <v>26.791243210424319</v>
      </c>
    </row>
    <row r="17" spans="1:7">
      <c r="A17">
        <f>[11]龙魂辅助表!B21</f>
        <v>2005</v>
      </c>
      <c r="B17" t="str">
        <f>[11]龙魂辅助表!C21</f>
        <v>蚣蝮</v>
      </c>
      <c r="C17">
        <f>[11]龙魂辅助表!$V21</f>
        <v>148.35074216933182</v>
      </c>
      <c r="D17">
        <v>1</v>
      </c>
      <c r="E17">
        <f>1/INDEX([11]龙魂辅助表!$C$1:$C$2,VLOOKUP(A17,[11]龙魂辅助表!$B$6:$G$96,6,0))</f>
        <v>2</v>
      </c>
      <c r="F17">
        <f>C17*'0、经济设定'!$C$18*E17</f>
        <v>14835.074216933182</v>
      </c>
      <c r="G17">
        <f>F17*'0、经济设定'!$E$19</f>
        <v>29.670148433866366</v>
      </c>
    </row>
    <row r="18" spans="1:7">
      <c r="A18">
        <f>[11]龙魂辅助表!B22</f>
        <v>1012</v>
      </c>
      <c r="B18" t="str">
        <f>[11]龙魂辅助表!C22</f>
        <v>狴犴</v>
      </c>
      <c r="C18">
        <f>[11]龙魂辅助表!$V22</f>
        <v>91.22185624942901</v>
      </c>
      <c r="D18">
        <v>1</v>
      </c>
      <c r="E18">
        <f>1/INDEX([11]龙魂辅助表!$C$1:$C$2,VLOOKUP(A18,[11]龙魂辅助表!$B$6:$G$96,6,0))</f>
        <v>1</v>
      </c>
      <c r="F18">
        <f>C18*'0、经济设定'!$C$18*E18</f>
        <v>4561.0928124714501</v>
      </c>
      <c r="G18">
        <f>F18*'0、经济设定'!$E$19</f>
        <v>9.122185624942901</v>
      </c>
    </row>
    <row r="19" spans="1:7">
      <c r="A19">
        <f>[11]龙魂辅助表!B23</f>
        <v>1013</v>
      </c>
      <c r="B19" t="str">
        <f>[11]龙魂辅助表!C23</f>
        <v>狻猊</v>
      </c>
      <c r="C19">
        <f>[11]龙魂辅助表!$V23</f>
        <v>81.323976855027311</v>
      </c>
      <c r="D19">
        <v>1</v>
      </c>
      <c r="E19">
        <f>1/INDEX([11]龙魂辅助表!$C$1:$C$2,VLOOKUP(A19,[11]龙魂辅助表!$B$6:$G$96,6,0))</f>
        <v>1</v>
      </c>
      <c r="F19">
        <f>C19*'0、经济设定'!$C$18*E19</f>
        <v>4066.1988427513656</v>
      </c>
      <c r="G19">
        <f>F19*'0、经济设定'!$E$19</f>
        <v>8.1323976855027311</v>
      </c>
    </row>
    <row r="20" spans="1:7">
      <c r="A20">
        <f>[11]龙魂辅助表!B24</f>
        <v>1014</v>
      </c>
      <c r="B20" t="str">
        <f>[11]龙魂辅助表!C24</f>
        <v>椒图</v>
      </c>
      <c r="C20">
        <f>[11]龙魂辅助表!$V24</f>
        <v>103.39597181498883</v>
      </c>
      <c r="D20">
        <v>1</v>
      </c>
      <c r="E20">
        <f>1/INDEX([11]龙魂辅助表!$C$1:$C$2,VLOOKUP(A20,[11]龙魂辅助表!$B$6:$G$96,6,0))</f>
        <v>1</v>
      </c>
      <c r="F20">
        <f>C20*'0、经济设定'!$C$18*E20</f>
        <v>5169.7985907494412</v>
      </c>
      <c r="G20">
        <f>F20*'0、经济设定'!$E$19</f>
        <v>10.339597181498883</v>
      </c>
    </row>
    <row r="21" spans="1:7">
      <c r="A21">
        <f>[11]龙魂辅助表!B25</f>
        <v>1015</v>
      </c>
      <c r="B21" t="str">
        <f>[11]龙魂辅助表!C25</f>
        <v>貔貅</v>
      </c>
      <c r="C21">
        <f>[11]龙魂辅助表!$V25</f>
        <v>96.17369357588214</v>
      </c>
      <c r="D21">
        <v>1</v>
      </c>
      <c r="E21">
        <f>1/INDEX([11]龙魂辅助表!$C$1:$C$2,VLOOKUP(A21,[11]龙魂辅助表!$B$6:$G$96,6,0))</f>
        <v>1</v>
      </c>
      <c r="F21">
        <f>C21*'0、经济设定'!$C$18*E21</f>
        <v>4808.6846787941067</v>
      </c>
      <c r="G21">
        <f>F21*'0、经济设定'!$E$19</f>
        <v>9.6173693575882133</v>
      </c>
    </row>
    <row r="22" spans="1:7">
      <c r="A22">
        <f>[11]龙魂辅助表!B26</f>
        <v>2006</v>
      </c>
      <c r="B22" t="str">
        <f>[11]龙魂辅助表!C26</f>
        <v>犼</v>
      </c>
      <c r="C22">
        <f>[11]龙魂辅助表!$V26</f>
        <v>139.32549683526034</v>
      </c>
      <c r="D22">
        <v>1</v>
      </c>
      <c r="E22">
        <f>1/INDEX([11]龙魂辅助表!$C$1:$C$2,VLOOKUP(A22,[11]龙魂辅助表!$B$6:$G$96,6,0))</f>
        <v>2</v>
      </c>
      <c r="F22">
        <f>C22*'0、经济设定'!$C$18*E22</f>
        <v>13932.549683526035</v>
      </c>
      <c r="G22">
        <f>F22*'0、经济设定'!$E$19</f>
        <v>27.865099367052071</v>
      </c>
    </row>
    <row r="23" spans="1:7">
      <c r="A23">
        <f>[11]龙魂辅助表!B27</f>
        <v>2007</v>
      </c>
      <c r="B23" t="str">
        <f>[11]龙魂辅助表!C27</f>
        <v>螭</v>
      </c>
      <c r="C23">
        <f>[11]龙魂辅助表!$V27</f>
        <v>161.83717327563471</v>
      </c>
      <c r="D23">
        <v>1</v>
      </c>
      <c r="E23">
        <f>1/INDEX([11]龙魂辅助表!$C$1:$C$2,VLOOKUP(A23,[11]龙魂辅助表!$B$6:$G$96,6,0))</f>
        <v>2</v>
      </c>
      <c r="F23">
        <f>C23*'0、经济设定'!$C$18*E23</f>
        <v>16183.71732756347</v>
      </c>
      <c r="G23">
        <f>F23*'0、经济设定'!$E$19</f>
        <v>32.367434655126942</v>
      </c>
    </row>
    <row r="24" spans="1:7">
      <c r="A24">
        <f>[11]龙魂辅助表!B28</f>
        <v>2008</v>
      </c>
      <c r="B24" t="str">
        <f>[11]龙魂辅助表!C28</f>
        <v>麒麟</v>
      </c>
      <c r="C24">
        <f>[11]龙魂辅助表!$V28</f>
        <v>130.95552155331606</v>
      </c>
      <c r="D24">
        <v>1</v>
      </c>
      <c r="E24">
        <f>1/INDEX([11]龙魂辅助表!$C$1:$C$2,VLOOKUP(A24,[11]龙魂辅助表!$B$6:$G$96,6,0))</f>
        <v>2</v>
      </c>
      <c r="F24">
        <f>C24*'0、经济设定'!$C$18*E24</f>
        <v>13095.552155331607</v>
      </c>
      <c r="G24">
        <f>F24*'0、经济设定'!$E$19</f>
        <v>26.191104310663214</v>
      </c>
    </row>
    <row r="25" spans="1:7">
      <c r="A25">
        <f>[11]龙魂辅助表!B29</f>
        <v>1016</v>
      </c>
      <c r="B25" t="s">
        <v>864</v>
      </c>
      <c r="C25">
        <f>[11]龙魂辅助表!$V29</f>
        <v>75.498166746373357</v>
      </c>
      <c r="D25">
        <v>1</v>
      </c>
      <c r="E25">
        <f>1/INDEX([11]龙魂辅助表!$C$1:$C$2,VLOOKUP(A25,[11]龙魂辅助表!$B$6:$G$96,6,0))</f>
        <v>1</v>
      </c>
      <c r="F25">
        <f>C25*'0、经济设定'!$C$18*E25</f>
        <v>3774.9083373186677</v>
      </c>
      <c r="G25">
        <f>F25*'0、经济设定'!$E$19</f>
        <v>7.5498166746373352</v>
      </c>
    </row>
    <row r="26" spans="1:7">
      <c r="A26">
        <f>[11]龙魂辅助表!B30</f>
        <v>1017</v>
      </c>
      <c r="B26" t="str">
        <f>[11]龙魂辅助表!C30</f>
        <v>赑屃</v>
      </c>
      <c r="C26">
        <f>[11]龙魂辅助表!$V30</f>
        <v>179.81908141737193</v>
      </c>
      <c r="D26">
        <v>1</v>
      </c>
      <c r="E26">
        <f>1/INDEX([11]龙魂辅助表!$C$1:$C$2,VLOOKUP(A26,[11]龙魂辅助表!$B$6:$G$96,6,0))</f>
        <v>1</v>
      </c>
      <c r="F26">
        <f>C26*'0、经济设定'!$C$18*E26</f>
        <v>8990.9540708685963</v>
      </c>
      <c r="G26">
        <f>F26*'0、经济设定'!$E$19</f>
        <v>17.981908141737193</v>
      </c>
    </row>
    <row r="27" spans="1:7">
      <c r="A27">
        <f>[11]龙魂辅助表!B31</f>
        <v>1018</v>
      </c>
      <c r="B27" t="str">
        <f>[11]龙魂辅助表!C31</f>
        <v>鸱吻</v>
      </c>
      <c r="C27">
        <f>[11]龙魂辅助表!$V31</f>
        <v>159.43938898401274</v>
      </c>
      <c r="D27">
        <v>1</v>
      </c>
      <c r="E27">
        <f>1/INDEX([11]龙魂辅助表!$C$1:$C$2,VLOOKUP(A27,[11]龙魂辅助表!$B$6:$G$96,6,0))</f>
        <v>1</v>
      </c>
      <c r="F27">
        <f>C27*'0、经济设定'!$C$18*E27</f>
        <v>7971.9694492006365</v>
      </c>
      <c r="G27">
        <f>F27*'0、经济设定'!$E$19</f>
        <v>15.943938898401273</v>
      </c>
    </row>
    <row r="28" spans="1:7">
      <c r="A28">
        <f>[11]龙魂辅助表!B32</f>
        <v>2009</v>
      </c>
      <c r="B28" t="str">
        <f>[11]龙魂辅助表!C32</f>
        <v>蒲牢</v>
      </c>
      <c r="C28">
        <f>[11]龙魂辅助表!$V32</f>
        <v>278.15764156749708</v>
      </c>
      <c r="D28">
        <v>1</v>
      </c>
      <c r="E28">
        <f>1/INDEX([11]龙魂辅助表!$C$1:$C$2,VLOOKUP(A28,[11]龙魂辅助表!$B$6:$G$96,6,0))</f>
        <v>2</v>
      </c>
      <c r="F28">
        <f>C28*'0、经济设定'!$C$18*E28</f>
        <v>27815.764156749708</v>
      </c>
      <c r="G28">
        <f>F28*'0、经济设定'!$E$19</f>
        <v>55.631528313499416</v>
      </c>
    </row>
    <row r="29" spans="1:7">
      <c r="A29">
        <f>[11]龙魂辅助表!B33</f>
        <v>1019</v>
      </c>
      <c r="B29" t="str">
        <f>[11]龙魂辅助表!C33</f>
        <v>睚眦</v>
      </c>
      <c r="C29">
        <f>[11]龙魂辅助表!$V33</f>
        <v>172.5974322210028</v>
      </c>
      <c r="D29">
        <v>1</v>
      </c>
      <c r="E29">
        <f>1/INDEX([11]龙魂辅助表!$C$1:$C$2,VLOOKUP(A29,[11]龙魂辅助表!$B$6:$G$96,6,0))</f>
        <v>1</v>
      </c>
      <c r="F29">
        <f>C29*'0、经济设定'!$C$18*E29</f>
        <v>8629.8716110501409</v>
      </c>
      <c r="G29">
        <f>F29*'0、经济设定'!$E$19</f>
        <v>17.259743222100283</v>
      </c>
    </row>
    <row r="30" spans="1:7">
      <c r="A30">
        <f>[11]龙魂辅助表!B34</f>
        <v>2010</v>
      </c>
      <c r="B30" t="str">
        <f>[11]龙魂辅助表!C34</f>
        <v>饕餮</v>
      </c>
      <c r="C30">
        <f>[11]龙魂辅助表!$V34</f>
        <v>173.60717122432769</v>
      </c>
      <c r="D30">
        <v>1</v>
      </c>
      <c r="E30">
        <f>1/INDEX([11]龙魂辅助表!$C$1:$C$2,VLOOKUP(A30,[11]龙魂辅助表!$B$6:$G$96,6,0))</f>
        <v>2</v>
      </c>
      <c r="F30">
        <f>C30*'0、经济设定'!$C$18*E30</f>
        <v>17360.717122432769</v>
      </c>
      <c r="G30">
        <f>F30*'0、经济设定'!$E$19</f>
        <v>34.721434244865534</v>
      </c>
    </row>
    <row r="31" spans="1:7">
      <c r="A31">
        <f>[11]龙魂辅助表!B35</f>
        <v>2011</v>
      </c>
      <c r="B31" t="str">
        <f>[11]龙魂辅助表!C35</f>
        <v>蚣蝮</v>
      </c>
      <c r="C31">
        <f>[11]龙魂辅助表!$V35</f>
        <v>266.62439156528046</v>
      </c>
      <c r="D31">
        <v>1</v>
      </c>
      <c r="E31">
        <f>1/INDEX([11]龙魂辅助表!$C$1:$C$2,VLOOKUP(A31,[11]龙魂辅助表!$B$6:$G$96,6,0))</f>
        <v>2</v>
      </c>
      <c r="F31">
        <f>C31*'0、经济设定'!$C$18*E31</f>
        <v>26662.439156528046</v>
      </c>
      <c r="G31">
        <f>F31*'0、经济设定'!$E$19</f>
        <v>53.324878313056089</v>
      </c>
    </row>
    <row r="32" spans="1:7">
      <c r="A32">
        <f>[11]龙魂辅助表!B36</f>
        <v>2012</v>
      </c>
      <c r="B32" t="str">
        <f>[11]龙魂辅助表!C36</f>
        <v>狴犴</v>
      </c>
      <c r="C32">
        <f>[11]龙魂辅助表!$V36</f>
        <v>268.04929774785575</v>
      </c>
      <c r="D32">
        <v>1</v>
      </c>
      <c r="E32">
        <f>1/INDEX([11]龙魂辅助表!$C$1:$C$2,VLOOKUP(A32,[11]龙魂辅助表!$B$6:$G$96,6,0))</f>
        <v>2</v>
      </c>
      <c r="F32">
        <f>C32*'0、经济设定'!$C$18*E32</f>
        <v>26804.929774785574</v>
      </c>
      <c r="G32">
        <f>F32*'0、经济设定'!$E$19</f>
        <v>53.609859549571148</v>
      </c>
    </row>
    <row r="33" spans="1:7">
      <c r="A33">
        <f>[11]龙魂辅助表!B37</f>
        <v>1020</v>
      </c>
      <c r="B33" t="str">
        <f>[11]龙魂辅助表!C37</f>
        <v>狻猊</v>
      </c>
      <c r="C33">
        <f>[11]龙魂辅助表!$V37</f>
        <v>199.48679344739688</v>
      </c>
      <c r="D33">
        <v>1</v>
      </c>
      <c r="E33">
        <f>1/INDEX([11]龙魂辅助表!$C$1:$C$2,VLOOKUP(A33,[11]龙魂辅助表!$B$6:$G$96,6,0))</f>
        <v>1</v>
      </c>
      <c r="F33">
        <f>C33*'0、经济设定'!$C$18*E33</f>
        <v>9974.3396723698443</v>
      </c>
      <c r="G33">
        <f>F33*'0、经济设定'!$E$19</f>
        <v>19.948679344739688</v>
      </c>
    </row>
    <row r="34" spans="1:7">
      <c r="A34">
        <f>[11]龙魂辅助表!B38</f>
        <v>1021</v>
      </c>
      <c r="B34" t="str">
        <f>[11]龙魂辅助表!C38</f>
        <v>椒图</v>
      </c>
      <c r="C34">
        <f>[11]龙魂辅助表!$V38</f>
        <v>183.80523274138682</v>
      </c>
      <c r="D34">
        <v>1</v>
      </c>
      <c r="E34">
        <f>1/INDEX([11]龙魂辅助表!$C$1:$C$2,VLOOKUP(A34,[11]龙魂辅助表!$B$6:$G$96,6,0))</f>
        <v>1</v>
      </c>
      <c r="F34">
        <f>C34*'0、经济设定'!$C$18*E34</f>
        <v>9190.2616370693413</v>
      </c>
      <c r="G34">
        <f>F34*'0、经济设定'!$E$19</f>
        <v>18.380523274138682</v>
      </c>
    </row>
    <row r="35" spans="1:7">
      <c r="A35">
        <f>[11]龙魂辅助表!B39</f>
        <v>2013</v>
      </c>
      <c r="B35" t="str">
        <f>[11]龙魂辅助表!C39</f>
        <v>貔貅</v>
      </c>
      <c r="C35">
        <f>[11]龙魂辅助表!$V39</f>
        <v>245.54160291246757</v>
      </c>
      <c r="D35">
        <v>1</v>
      </c>
      <c r="E35">
        <f>1/INDEX([11]龙魂辅助表!$C$1:$C$2,VLOOKUP(A35,[11]龙魂辅助表!$B$6:$G$96,6,0))</f>
        <v>2</v>
      </c>
      <c r="F35">
        <f>C35*'0、经济设定'!$C$18*E35</f>
        <v>24554.160291246757</v>
      </c>
      <c r="G35">
        <f>F35*'0、经济设定'!$E$19</f>
        <v>49.108320582493512</v>
      </c>
    </row>
    <row r="36" spans="1:7">
      <c r="A36">
        <f>[11]龙魂辅助表!B40</f>
        <v>2014</v>
      </c>
      <c r="B36" t="str">
        <f>[11]龙魂辅助表!C40</f>
        <v>犼</v>
      </c>
      <c r="C36">
        <f>[11]龙魂辅助表!$V40</f>
        <v>212.33859397417507</v>
      </c>
      <c r="D36">
        <v>1</v>
      </c>
      <c r="E36">
        <f>1/INDEX([11]龙魂辅助表!$C$1:$C$2,VLOOKUP(A36,[11]龙魂辅助表!$B$6:$G$96,6,0))</f>
        <v>2</v>
      </c>
      <c r="F36">
        <f>C36*'0、经济设定'!$C$18*E36</f>
        <v>21233.859397417506</v>
      </c>
      <c r="G36">
        <f>F36*'0、经济设定'!$E$19</f>
        <v>42.467718794835015</v>
      </c>
    </row>
    <row r="37" spans="1:7">
      <c r="A37">
        <f>[11]龙魂辅助表!B41</f>
        <v>2015</v>
      </c>
      <c r="B37" t="str">
        <f>[11]龙魂辅助表!C41</f>
        <v>螭</v>
      </c>
      <c r="C37">
        <f>[11]龙魂辅助表!$V41</f>
        <v>316.08822905397403</v>
      </c>
      <c r="D37">
        <v>1</v>
      </c>
      <c r="E37">
        <f>1/INDEX([11]龙魂辅助表!$C$1:$C$2,VLOOKUP(A37,[11]龙魂辅助表!$B$6:$G$96,6,0))</f>
        <v>2</v>
      </c>
      <c r="F37">
        <f>C37*'0、经济设定'!$C$18*E37</f>
        <v>31608.822905397403</v>
      </c>
      <c r="G37">
        <f>F37*'0、经济设定'!$E$19</f>
        <v>63.217645810794806</v>
      </c>
    </row>
    <row r="38" spans="1:7">
      <c r="A38">
        <f>[11]龙魂辅助表!B42</f>
        <v>1022</v>
      </c>
      <c r="B38" t="str">
        <f>[11]龙魂辅助表!C42</f>
        <v>麒麟</v>
      </c>
      <c r="C38">
        <f>[11]龙魂辅助表!$V42</f>
        <v>171.20330392340904</v>
      </c>
      <c r="D38">
        <v>1</v>
      </c>
      <c r="E38">
        <f>1/INDEX([11]龙魂辅助表!$C$1:$C$2,VLOOKUP(A38,[11]龙魂辅助表!$B$6:$G$96,6,0))</f>
        <v>1</v>
      </c>
      <c r="F38">
        <f>C38*'0、经济设定'!$C$18*E38</f>
        <v>8560.165196170452</v>
      </c>
      <c r="G38">
        <f>F38*'0、经济设定'!$E$19</f>
        <v>17.120330392340904</v>
      </c>
    </row>
    <row r="39" spans="1:7">
      <c r="A39">
        <f>[11]龙魂辅助表!B43</f>
        <v>1023</v>
      </c>
      <c r="B39" t="s">
        <v>864</v>
      </c>
      <c r="C39">
        <f>[11]龙魂辅助表!$V43</f>
        <v>216.34483233027558</v>
      </c>
      <c r="D39">
        <v>1</v>
      </c>
      <c r="E39">
        <f>1/INDEX([11]龙魂辅助表!$C$1:$C$2,VLOOKUP(A39,[11]龙魂辅助表!$B$6:$G$96,6,0))</f>
        <v>1</v>
      </c>
      <c r="F39">
        <f>C39*'0、经济设定'!$C$18*E39</f>
        <v>10817.241616513778</v>
      </c>
      <c r="G39">
        <f>F39*'0、经济设定'!$E$19</f>
        <v>21.634483233027556</v>
      </c>
    </row>
    <row r="40" spans="1:7">
      <c r="A40">
        <f>[11]龙魂辅助表!B44</f>
        <v>1024</v>
      </c>
      <c r="B40" t="str">
        <f>[11]龙魂辅助表!C44</f>
        <v>蟠螭</v>
      </c>
      <c r="C40">
        <f>[11]龙魂辅助表!$V44</f>
        <v>200.93432407818236</v>
      </c>
      <c r="D40">
        <v>1</v>
      </c>
      <c r="E40">
        <f>1/INDEX([11]龙魂辅助表!$C$1:$C$2,VLOOKUP(A40,[11]龙魂辅助表!$B$6:$G$96,6,0))</f>
        <v>1</v>
      </c>
      <c r="F40">
        <f>C40*'0、经济设定'!$C$18*E40</f>
        <v>10046.716203909118</v>
      </c>
      <c r="G40">
        <f>F40*'0、经济设定'!$E$19</f>
        <v>20.093432407818238</v>
      </c>
    </row>
    <row r="41" spans="1:7">
      <c r="A41">
        <f>[11]龙魂辅助表!B45</f>
        <v>1025</v>
      </c>
      <c r="B41" t="str">
        <f>[11]龙魂辅助表!C45</f>
        <v>赑屃</v>
      </c>
      <c r="C41">
        <f>[11]龙魂辅助表!$V45</f>
        <v>274.7263317878373</v>
      </c>
      <c r="D41">
        <v>1</v>
      </c>
      <c r="E41">
        <f>1/INDEX([11]龙魂辅助表!$C$1:$C$2,VLOOKUP(A41,[11]龙魂辅助表!$B$6:$G$96,6,0))</f>
        <v>1</v>
      </c>
      <c r="F41">
        <f>C41*'0、经济设定'!$C$18*E41</f>
        <v>13736.316589391865</v>
      </c>
      <c r="G41">
        <f>F41*'0、经济设定'!$E$19</f>
        <v>27.472633178783731</v>
      </c>
    </row>
    <row r="42" spans="1:7">
      <c r="A42">
        <f>[11]龙魂辅助表!B46</f>
        <v>1026</v>
      </c>
      <c r="B42" t="str">
        <f>[11]龙魂辅助表!C46</f>
        <v>鸱吻</v>
      </c>
      <c r="C42">
        <f>[11]龙魂辅助表!$V46</f>
        <v>319.17886951583506</v>
      </c>
      <c r="D42">
        <v>1</v>
      </c>
      <c r="E42">
        <f>1/INDEX([11]龙魂辅助表!$C$1:$C$2,VLOOKUP(A42,[11]龙魂辅助表!$B$6:$G$96,6,0))</f>
        <v>1</v>
      </c>
      <c r="F42">
        <f>C42*'0、经济设定'!$C$18*E42</f>
        <v>15958.943475791753</v>
      </c>
      <c r="G42">
        <f>F42*'0、经济设定'!$E$19</f>
        <v>31.917886951583508</v>
      </c>
    </row>
    <row r="43" spans="1:7">
      <c r="A43">
        <f>[11]龙魂辅助表!B47</f>
        <v>2016</v>
      </c>
      <c r="B43" t="str">
        <f>[11]龙魂辅助表!C47</f>
        <v>蒲牢</v>
      </c>
      <c r="C43">
        <f>[11]龙魂辅助表!$V47</f>
        <v>294.11097242709633</v>
      </c>
      <c r="D43">
        <v>1</v>
      </c>
      <c r="E43">
        <f>1/INDEX([11]龙魂辅助表!$C$1:$C$2,VLOOKUP(A43,[11]龙魂辅助表!$B$6:$G$96,6,0))</f>
        <v>2</v>
      </c>
      <c r="F43">
        <f>C43*'0、经济设定'!$C$18*E43</f>
        <v>29411.097242709631</v>
      </c>
      <c r="G43">
        <f>F43*'0、经济设定'!$E$19</f>
        <v>58.822194485419267</v>
      </c>
    </row>
    <row r="44" spans="1:7">
      <c r="A44">
        <f>[11]龙魂辅助表!B48</f>
        <v>2017</v>
      </c>
      <c r="B44" t="str">
        <f>[11]龙魂辅助表!C48</f>
        <v>睚眦</v>
      </c>
      <c r="C44">
        <f>[11]龙魂辅助表!$V48</f>
        <v>451.32940485253266</v>
      </c>
      <c r="D44">
        <v>1</v>
      </c>
      <c r="E44">
        <f>1/INDEX([11]龙魂辅助表!$C$1:$C$2,VLOOKUP(A44,[11]龙魂辅助表!$B$6:$G$96,6,0))</f>
        <v>2</v>
      </c>
      <c r="F44">
        <f>C44*'0、经济设定'!$C$18*E44</f>
        <v>45132.940485253268</v>
      </c>
      <c r="G44">
        <f>F44*'0、经济设定'!$E$19</f>
        <v>90.265880970506544</v>
      </c>
    </row>
    <row r="45" spans="1:7">
      <c r="A45">
        <f>[11]龙魂辅助表!B49</f>
        <v>2018</v>
      </c>
      <c r="B45" t="str">
        <f>[11]龙魂辅助表!C49</f>
        <v>饕餮</v>
      </c>
      <c r="C45">
        <f>[11]龙魂辅助表!$V49</f>
        <v>435.63746897785626</v>
      </c>
      <c r="D45">
        <v>1</v>
      </c>
      <c r="E45">
        <f>1/INDEX([11]龙魂辅助表!$C$1:$C$2,VLOOKUP(A45,[11]龙魂辅助表!$B$6:$G$96,6,0))</f>
        <v>2</v>
      </c>
      <c r="F45">
        <f>C45*'0、经济设定'!$C$18*E45</f>
        <v>43563.746897785626</v>
      </c>
      <c r="G45">
        <f>F45*'0、经济设定'!$E$19</f>
        <v>87.127493795571255</v>
      </c>
    </row>
    <row r="46" spans="1:7">
      <c r="A46">
        <f>[11]龙魂辅助表!B50</f>
        <v>2019</v>
      </c>
      <c r="B46" t="str">
        <f>[11]龙魂辅助表!C50</f>
        <v>蚣蝮</v>
      </c>
      <c r="C46">
        <f>[11]龙魂辅助表!$V50</f>
        <v>505.74116648635851</v>
      </c>
      <c r="D46">
        <v>1</v>
      </c>
      <c r="E46">
        <f>1/INDEX([11]龙魂辅助表!$C$1:$C$2,VLOOKUP(A46,[11]龙魂辅助表!$B$6:$G$96,6,0))</f>
        <v>2</v>
      </c>
      <c r="F46">
        <f>C46*'0、经济设定'!$C$18*E46</f>
        <v>50574.116648635849</v>
      </c>
      <c r="G46">
        <f>F46*'0、经济设定'!$E$19</f>
        <v>101.1482332972717</v>
      </c>
    </row>
    <row r="47" spans="1:7">
      <c r="A47">
        <f>[11]龙魂辅助表!B51</f>
        <v>1027</v>
      </c>
      <c r="B47" t="str">
        <f>[11]龙魂辅助表!C51</f>
        <v>狴犴</v>
      </c>
      <c r="C47">
        <f>[11]龙魂辅助表!$V51</f>
        <v>313.25145907573045</v>
      </c>
      <c r="D47">
        <v>1</v>
      </c>
      <c r="E47">
        <f>1/INDEX([11]龙魂辅助表!$C$1:$C$2,VLOOKUP(A47,[11]龙魂辅助表!$B$6:$G$96,6,0))</f>
        <v>1</v>
      </c>
      <c r="F47">
        <f>C47*'0、经济设定'!$C$18*E47</f>
        <v>15662.572953786523</v>
      </c>
      <c r="G47">
        <f>F47*'0、经济设定'!$E$19</f>
        <v>31.325145907573045</v>
      </c>
    </row>
    <row r="48" spans="1:7">
      <c r="A48">
        <f>[11]龙魂辅助表!B52</f>
        <v>1028</v>
      </c>
      <c r="B48" t="str">
        <f>[11]龙魂辅助表!C52</f>
        <v>狻猊</v>
      </c>
      <c r="C48">
        <f>[11]龙魂辅助表!$V52</f>
        <v>314.51117602415076</v>
      </c>
      <c r="D48">
        <v>1</v>
      </c>
      <c r="E48">
        <f>1/INDEX([11]龙魂辅助表!$C$1:$C$2,VLOOKUP(A48,[11]龙魂辅助表!$B$6:$G$96,6,0))</f>
        <v>1</v>
      </c>
      <c r="F48">
        <f>C48*'0、经济设定'!$C$18*E48</f>
        <v>15725.558801207539</v>
      </c>
      <c r="G48">
        <f>F48*'0、经济设定'!$E$19</f>
        <v>31.451117602415078</v>
      </c>
    </row>
    <row r="49" spans="1:7">
      <c r="A49">
        <f>[11]龙魂辅助表!B53</f>
        <v>2020</v>
      </c>
      <c r="B49" t="str">
        <f>[11]龙魂辅助表!C53</f>
        <v>椒图</v>
      </c>
      <c r="C49">
        <f>[11]龙魂辅助表!$V53</f>
        <v>419.77523347227338</v>
      </c>
      <c r="D49">
        <v>1</v>
      </c>
      <c r="E49">
        <f>1/INDEX([11]龙魂辅助表!$C$1:$C$2,VLOOKUP(A49,[11]龙魂辅助表!$B$6:$G$96,6,0))</f>
        <v>2</v>
      </c>
      <c r="F49">
        <f>C49*'0、经济设定'!$C$18*E49</f>
        <v>41977.523347227339</v>
      </c>
      <c r="G49">
        <f>F49*'0、经济设定'!$E$19</f>
        <v>83.95504669445468</v>
      </c>
    </row>
    <row r="50" spans="1:7">
      <c r="A50">
        <f>[11]龙魂辅助表!B54</f>
        <v>2021</v>
      </c>
      <c r="B50" t="str">
        <f>[11]龙魂辅助表!C54</f>
        <v>貔貅</v>
      </c>
      <c r="C50">
        <f>[11]龙魂辅助表!$V54</f>
        <v>488.42497237465869</v>
      </c>
      <c r="D50">
        <v>1</v>
      </c>
      <c r="E50">
        <f>1/INDEX([11]龙魂辅助表!$C$1:$C$2,VLOOKUP(A50,[11]龙魂辅助表!$B$6:$G$96,6,0))</f>
        <v>2</v>
      </c>
      <c r="F50">
        <f>C50*'0、经济设定'!$C$18*E50</f>
        <v>48842.497237465868</v>
      </c>
      <c r="G50">
        <f>F50*'0、经济设定'!$E$19</f>
        <v>97.684994474931742</v>
      </c>
    </row>
    <row r="51" spans="1:7">
      <c r="A51">
        <f>[11]龙魂辅助表!B55</f>
        <v>2022</v>
      </c>
      <c r="B51" t="str">
        <f>[11]龙魂辅助表!C55</f>
        <v>犼</v>
      </c>
      <c r="C51">
        <f>[11]龙魂辅助表!$V55</f>
        <v>539.45724425211563</v>
      </c>
      <c r="D51">
        <v>1</v>
      </c>
      <c r="E51">
        <f>1/INDEX([11]龙魂辅助表!$C$1:$C$2,VLOOKUP(A51,[11]龙魂辅助表!$B$6:$G$96,6,0))</f>
        <v>2</v>
      </c>
      <c r="F51">
        <f>C51*'0、经济设定'!$C$18*E51</f>
        <v>53945.724425211563</v>
      </c>
      <c r="G51">
        <f>F51*'0、经济设定'!$E$19</f>
        <v>107.89144885042313</v>
      </c>
    </row>
    <row r="52" spans="1:7">
      <c r="A52">
        <f>[11]龙魂辅助表!B56</f>
        <v>2023</v>
      </c>
      <c r="B52" t="str">
        <f>[11]龙魂辅助表!C56</f>
        <v>螭</v>
      </c>
      <c r="C52">
        <f>[11]龙魂辅助表!$V56</f>
        <v>496.27412840174435</v>
      </c>
      <c r="D52">
        <v>1</v>
      </c>
      <c r="E52">
        <f>1/INDEX([11]龙魂辅助表!$C$1:$C$2,VLOOKUP(A52,[11]龙魂辅助表!$B$6:$G$96,6,0))</f>
        <v>2</v>
      </c>
      <c r="F52">
        <f>C52*'0、经济设定'!$C$18*E52</f>
        <v>49627.412840174438</v>
      </c>
      <c r="G52">
        <f>F52*'0、经济设定'!$E$19</f>
        <v>99.254825680348873</v>
      </c>
    </row>
    <row r="53" spans="1:7">
      <c r="A53">
        <f>[11]龙魂辅助表!B57</f>
        <v>1029</v>
      </c>
      <c r="B53" t="str">
        <f>[11]龙魂辅助表!C57</f>
        <v>麒麟</v>
      </c>
      <c r="C53">
        <f>[11]龙魂辅助表!$V57</f>
        <v>368.62911690561242</v>
      </c>
      <c r="D53">
        <v>1</v>
      </c>
      <c r="E53">
        <f>1/INDEX([11]龙魂辅助表!$C$1:$C$2,VLOOKUP(A53,[11]龙魂辅助表!$B$6:$G$96,6,0))</f>
        <v>1</v>
      </c>
      <c r="F53">
        <f>C53*'0、经济设定'!$C$18*E53</f>
        <v>18431.45584528062</v>
      </c>
      <c r="G53">
        <f>F53*'0、经济设定'!$E$19</f>
        <v>36.862911690561241</v>
      </c>
    </row>
    <row r="54" spans="1:7">
      <c r="A54">
        <f>[11]龙魂辅助表!B58</f>
        <v>1030</v>
      </c>
      <c r="B54" t="s">
        <v>864</v>
      </c>
      <c r="C54">
        <f>[11]龙魂辅助表!$V58</f>
        <v>226.02972880971296</v>
      </c>
      <c r="D54">
        <v>1</v>
      </c>
      <c r="E54">
        <f>1/INDEX([11]龙魂辅助表!$C$1:$C$2,VLOOKUP(A54,[11]龙魂辅助表!$B$6:$G$96,6,0))</f>
        <v>1</v>
      </c>
      <c r="F54">
        <f>C54*'0、经济设定'!$C$18*E54</f>
        <v>11301.486440485649</v>
      </c>
      <c r="G54">
        <f>F54*'0、经济设定'!$E$19</f>
        <v>22.602972880971297</v>
      </c>
    </row>
    <row r="55" spans="1:7">
      <c r="A55">
        <f>[11]龙魂辅助表!B59</f>
        <v>1031</v>
      </c>
      <c r="B55" t="str">
        <f>[11]龙魂辅助表!C59</f>
        <v>蟠螭</v>
      </c>
      <c r="C55">
        <f>[11]龙魂辅助表!$V59</f>
        <v>301.37709069804242</v>
      </c>
      <c r="D55">
        <v>1</v>
      </c>
      <c r="E55">
        <f>1/INDEX([11]龙魂辅助表!$C$1:$C$2,VLOOKUP(A55,[11]龙魂辅助表!$B$6:$G$96,6,0))</f>
        <v>1</v>
      </c>
      <c r="F55">
        <f>C55*'0、经济设定'!$C$18*E55</f>
        <v>15068.854534902121</v>
      </c>
      <c r="G55">
        <f>F55*'0、经济设定'!$E$19</f>
        <v>30.137709069804242</v>
      </c>
    </row>
    <row r="56" spans="1:7">
      <c r="A56">
        <f>[11]龙魂辅助表!B60</f>
        <v>1032</v>
      </c>
      <c r="B56" t="s">
        <v>865</v>
      </c>
      <c r="C56">
        <f>[11]龙魂辅助表!$V60</f>
        <v>382.11554801191522</v>
      </c>
      <c r="D56">
        <v>1</v>
      </c>
      <c r="E56">
        <f>1/INDEX([11]龙魂辅助表!$C$1:$C$2,VLOOKUP(A56,[11]龙魂辅助表!$B$6:$G$96,6,0))</f>
        <v>1</v>
      </c>
      <c r="F56">
        <f>C56*'0、经济设定'!$C$18*E56</f>
        <v>19105.777400595762</v>
      </c>
      <c r="G56">
        <f>F56*'0、经济设定'!$E$19</f>
        <v>38.211554801191525</v>
      </c>
    </row>
    <row r="57" spans="1:7">
      <c r="A57">
        <f>[11]龙魂辅助表!B61</f>
        <v>1033</v>
      </c>
      <c r="B57" t="s">
        <v>866</v>
      </c>
      <c r="C57">
        <f>[11]龙魂辅助表!$V61</f>
        <v>263.22333811573412</v>
      </c>
      <c r="D57">
        <v>1</v>
      </c>
      <c r="E57">
        <f>1/INDEX([11]龙魂辅助表!$C$1:$C$2,VLOOKUP(A57,[11]龙魂辅助表!$B$6:$G$96,6,0))</f>
        <v>1</v>
      </c>
      <c r="F57">
        <f>C57*'0、经济设定'!$C$18*E57</f>
        <v>13161.166905786706</v>
      </c>
      <c r="G57">
        <f>F57*'0、经济设定'!$E$19</f>
        <v>26.322333811573412</v>
      </c>
    </row>
    <row r="58" spans="1:7">
      <c r="A58">
        <f>[11]龙魂辅助表!B62</f>
        <v>1034</v>
      </c>
      <c r="B58" t="s">
        <v>867</v>
      </c>
      <c r="C58">
        <f>[11]龙魂辅助表!$V62</f>
        <v>480.86846787941079</v>
      </c>
      <c r="D58">
        <v>1</v>
      </c>
      <c r="E58">
        <f>1/INDEX([11]龙魂辅助表!$C$1:$C$2,VLOOKUP(A58,[11]龙魂辅助表!$B$6:$G$96,6,0))</f>
        <v>1</v>
      </c>
      <c r="F58">
        <f>C58*'0、经济设定'!$C$18*E58</f>
        <v>24043.423393970541</v>
      </c>
      <c r="G58">
        <f>F58*'0、经济设定'!$E$19</f>
        <v>48.086846787941084</v>
      </c>
    </row>
    <row r="59" spans="1:7">
      <c r="A59">
        <f>[11]龙魂辅助表!B63</f>
        <v>1035</v>
      </c>
      <c r="B59" t="str">
        <f>[11]龙魂辅助表!C63</f>
        <v>赑屃</v>
      </c>
      <c r="C59">
        <f>[11]龙魂辅助表!$V63</f>
        <v>531.02822481067631</v>
      </c>
      <c r="D59">
        <v>1</v>
      </c>
      <c r="E59">
        <f>1/INDEX([11]龙魂辅助表!$C$1:$C$2,VLOOKUP(A59,[11]龙魂辅助表!$B$6:$G$96,6,0))</f>
        <v>1</v>
      </c>
      <c r="F59">
        <f>C59*'0、经济设定'!$C$18*E59</f>
        <v>26551.411240533816</v>
      </c>
      <c r="G59">
        <f>F59*'0、经济设定'!$E$19</f>
        <v>53.102822481067633</v>
      </c>
    </row>
    <row r="60" spans="1:7">
      <c r="A60">
        <f>[11]龙魂辅助表!B64</f>
        <v>1036</v>
      </c>
      <c r="B60" t="str">
        <f>[11]龙魂辅助表!C64</f>
        <v>鸱吻</v>
      </c>
      <c r="C60">
        <f>[11]龙魂辅助表!$V64</f>
        <v>488.44538700720392</v>
      </c>
      <c r="D60">
        <v>1</v>
      </c>
      <c r="E60">
        <f>1/INDEX([11]龙魂辅助表!$C$1:$C$2,VLOOKUP(A60,[11]龙魂辅助表!$B$6:$G$96,6,0))</f>
        <v>1</v>
      </c>
      <c r="F60">
        <f>C60*'0、经济设定'!$C$18*E60</f>
        <v>24422.269350360195</v>
      </c>
      <c r="G60">
        <f>F60*'0、经济设定'!$E$19</f>
        <v>48.844538700720392</v>
      </c>
    </row>
    <row r="61" spans="1:7">
      <c r="A61">
        <f>[11]龙魂辅助表!B65</f>
        <v>2024</v>
      </c>
      <c r="B61" t="str">
        <f>[11]龙魂辅助表!C65</f>
        <v>蒲牢</v>
      </c>
      <c r="C61">
        <f>[11]龙魂辅助表!$V65</f>
        <v>555.71496891439506</v>
      </c>
      <c r="D61">
        <v>1</v>
      </c>
      <c r="E61">
        <f>1/INDEX([11]龙魂辅助表!$C$1:$C$2,VLOOKUP(A61,[11]龙魂辅助表!$B$6:$G$96,6,0))</f>
        <v>2</v>
      </c>
      <c r="F61">
        <f>C61*'0、经济设定'!$C$18*E61</f>
        <v>55571.496891439507</v>
      </c>
      <c r="G61">
        <f>F61*'0、经济设定'!$E$19</f>
        <v>111.14299378287902</v>
      </c>
    </row>
    <row r="62" spans="1:7">
      <c r="A62">
        <f>[11]龙魂辅助表!B66</f>
        <v>2025</v>
      </c>
      <c r="B62" t="str">
        <f>[11]龙魂辅助表!C66</f>
        <v>睚眦</v>
      </c>
      <c r="C62">
        <f>[11]龙魂辅助表!$V66</f>
        <v>757.3678369100719</v>
      </c>
      <c r="D62">
        <v>1</v>
      </c>
      <c r="E62">
        <f>1/INDEX([11]龙魂辅助表!$C$1:$C$2,VLOOKUP(A62,[11]龙魂辅助表!$B$6:$G$96,6,0))</f>
        <v>2</v>
      </c>
      <c r="F62">
        <f>C62*'0、经济设定'!$C$18*E62</f>
        <v>75736.783691007193</v>
      </c>
      <c r="G62">
        <f>F62*'0、经济设定'!$E$19</f>
        <v>151.47356738201438</v>
      </c>
    </row>
    <row r="63" spans="1:7">
      <c r="A63">
        <f>[11]龙魂辅助表!B67</f>
        <v>2026</v>
      </c>
      <c r="B63" t="str">
        <f>[11]龙魂辅助表!C67</f>
        <v>饕餮</v>
      </c>
      <c r="C63">
        <f>[11]龙魂辅助表!$V67</f>
        <v>729.74181881144295</v>
      </c>
      <c r="D63">
        <v>1</v>
      </c>
      <c r="E63">
        <f>1/INDEX([11]龙魂辅助表!$C$1:$C$2,VLOOKUP(A63,[11]龙魂辅助表!$B$6:$G$96,6,0))</f>
        <v>2</v>
      </c>
      <c r="F63">
        <f>C63*'0、经济设定'!$C$18*E63</f>
        <v>72974.181881144294</v>
      </c>
      <c r="G63">
        <f>F63*'0、经济设定'!$E$19</f>
        <v>145.94836376228858</v>
      </c>
    </row>
    <row r="64" spans="1:7">
      <c r="A64">
        <f>[11]龙魂辅助表!B68</f>
        <v>2027</v>
      </c>
      <c r="B64" t="str">
        <f>[11]龙魂辅助表!C68</f>
        <v>蚣蝮</v>
      </c>
      <c r="C64">
        <f>[11]龙魂辅助表!$V68</f>
        <v>845.71161729107712</v>
      </c>
      <c r="D64">
        <v>1</v>
      </c>
      <c r="E64">
        <f>1/INDEX([11]龙魂辅助表!$C$1:$C$2,VLOOKUP(A64,[11]龙魂辅助表!$B$6:$G$96,6,0))</f>
        <v>2</v>
      </c>
      <c r="F64">
        <f>C64*'0、经济设定'!$C$18*E64</f>
        <v>84571.161729107713</v>
      </c>
      <c r="G64">
        <f>F64*'0、经济设定'!$E$19</f>
        <v>169.14232345821543</v>
      </c>
    </row>
    <row r="65" spans="1:7">
      <c r="A65">
        <f>[11]龙魂辅助表!B69</f>
        <v>2028</v>
      </c>
      <c r="B65" t="str">
        <f>[11]龙魂辅助表!C69</f>
        <v>狴犴</v>
      </c>
      <c r="C65">
        <f>[11]龙魂辅助表!$V69</f>
        <v>685.93955321944816</v>
      </c>
      <c r="D65">
        <v>1</v>
      </c>
      <c r="E65">
        <f>1/INDEX([11]龙魂辅助表!$C$1:$C$2,VLOOKUP(A65,[11]龙魂辅助表!$B$6:$G$96,6,0))</f>
        <v>2</v>
      </c>
      <c r="F65">
        <f>C65*'0、经济设定'!$C$18*E65</f>
        <v>68593.955321944813</v>
      </c>
      <c r="G65">
        <f>F65*'0、经济设定'!$E$19</f>
        <v>137.18791064388964</v>
      </c>
    </row>
    <row r="66" spans="1:7">
      <c r="A66">
        <f>[11]龙魂辅助表!B70</f>
        <v>1037</v>
      </c>
      <c r="B66" t="str">
        <f>[11]龙魂辅助表!C70</f>
        <v>狻猊</v>
      </c>
      <c r="C66">
        <f>[11]龙魂辅助表!$V70</f>
        <v>576.91955288073484</v>
      </c>
      <c r="D66">
        <v>1</v>
      </c>
      <c r="E66">
        <f>1/INDEX([11]龙魂辅助表!$C$1:$C$2,VLOOKUP(A66,[11]龙魂辅助表!$B$6:$G$96,6,0))</f>
        <v>1</v>
      </c>
      <c r="F66">
        <f>C66*'0、经济设定'!$C$18*E66</f>
        <v>28845.977644036742</v>
      </c>
      <c r="G66">
        <f>F66*'0、经济设定'!$E$19</f>
        <v>57.691955288073487</v>
      </c>
    </row>
    <row r="67" spans="1:7">
      <c r="A67">
        <f>[11]龙魂辅助表!B71</f>
        <v>1038</v>
      </c>
      <c r="B67" t="str">
        <f>[11]龙魂辅助表!C71</f>
        <v>椒图</v>
      </c>
      <c r="C67">
        <f>[11]龙魂辅助表!$V71</f>
        <v>534.96617051584451</v>
      </c>
      <c r="D67">
        <v>1</v>
      </c>
      <c r="E67">
        <f>1/INDEX([11]龙魂辅助表!$C$1:$C$2,VLOOKUP(A67,[11]龙魂辅助表!$B$6:$G$96,6,0))</f>
        <v>1</v>
      </c>
      <c r="F67">
        <f>C67*'0、经济设定'!$C$18*E67</f>
        <v>26748.308525792225</v>
      </c>
      <c r="G67">
        <f>F67*'0、经济设定'!$E$19</f>
        <v>53.496617051584451</v>
      </c>
    </row>
    <row r="68" spans="1:7">
      <c r="A68">
        <f>[11]龙魂辅助表!B72</f>
        <v>1039</v>
      </c>
      <c r="B68" t="str">
        <f>[11]龙魂辅助表!C72</f>
        <v>貔貅</v>
      </c>
      <c r="C68">
        <f>[11]龙魂辅助表!$V72</f>
        <v>515.11187210219498</v>
      </c>
      <c r="D68">
        <v>1</v>
      </c>
      <c r="E68">
        <f>1/INDEX([11]龙魂辅助表!$C$1:$C$2,VLOOKUP(A68,[11]龙魂辅助表!$B$6:$G$96,6,0))</f>
        <v>1</v>
      </c>
      <c r="F68">
        <f>C68*'0、经济设定'!$C$18*E68</f>
        <v>25755.593605109749</v>
      </c>
      <c r="G68">
        <f>F68*'0、经济设定'!$E$19</f>
        <v>51.511187210219497</v>
      </c>
    </row>
    <row r="69" spans="1:7">
      <c r="A69">
        <f>[11]龙魂辅助表!B73</f>
        <v>2029</v>
      </c>
      <c r="B69" t="str">
        <f>[11]龙魂辅助表!C73</f>
        <v>犼</v>
      </c>
      <c r="C69">
        <f>[11]龙魂辅助表!$V73</f>
        <v>820.48182331924465</v>
      </c>
      <c r="D69">
        <v>1</v>
      </c>
      <c r="E69">
        <f>1/INDEX([11]龙魂辅助表!$C$1:$C$2,VLOOKUP(A69,[11]龙魂辅助表!$B$6:$G$96,6,0))</f>
        <v>2</v>
      </c>
      <c r="F69">
        <f>C69*'0、经济设定'!$C$18*E69</f>
        <v>82048.182331924472</v>
      </c>
      <c r="G69">
        <f>F69*'0、经济设定'!$E$19</f>
        <v>164.09636466384896</v>
      </c>
    </row>
    <row r="70" spans="1:7">
      <c r="A70">
        <f>[11]龙魂辅助表!B74</f>
        <v>2030</v>
      </c>
      <c r="B70" t="str">
        <f>[11]龙魂辅助表!C74</f>
        <v>螭</v>
      </c>
      <c r="C70">
        <f>[11]龙魂辅助表!$V74</f>
        <v>904.71475338115238</v>
      </c>
      <c r="D70">
        <v>1</v>
      </c>
      <c r="E70">
        <f>1/INDEX([11]龙魂辅助表!$C$1:$C$2,VLOOKUP(A70,[11]龙魂辅助表!$B$6:$G$96,6,0))</f>
        <v>2</v>
      </c>
      <c r="F70">
        <f>C70*'0、经济设定'!$C$18*E70</f>
        <v>90471.47533811524</v>
      </c>
      <c r="G70">
        <f>F70*'0、经济设定'!$E$19</f>
        <v>180.94295067623048</v>
      </c>
    </row>
    <row r="71" spans="1:7">
      <c r="A71">
        <f>[11]龙魂辅助表!B75</f>
        <v>2031</v>
      </c>
      <c r="B71" t="str">
        <f>[11]龙魂辅助表!C75</f>
        <v>麒麟</v>
      </c>
      <c r="C71">
        <f>[11]龙魂辅助表!$V75</f>
        <v>830.95282301835277</v>
      </c>
      <c r="D71">
        <v>1</v>
      </c>
      <c r="E71">
        <f>1/INDEX([11]龙魂辅助表!$C$1:$C$2,VLOOKUP(A71,[11]龙魂辅助表!$B$6:$G$96,6,0))</f>
        <v>2</v>
      </c>
      <c r="F71">
        <f>C71*'0、经济设定'!$C$18*E71</f>
        <v>83095.282301835279</v>
      </c>
      <c r="G71">
        <f>F71*'0、经济设定'!$E$19</f>
        <v>166.19056460367057</v>
      </c>
    </row>
    <row r="72" spans="1:7">
      <c r="A72">
        <f>[11]龙魂辅助表!B76</f>
        <v>2032</v>
      </c>
      <c r="B72" t="s">
        <v>864</v>
      </c>
      <c r="C72">
        <f>[11]龙魂辅助表!$V76</f>
        <v>737.74600327124961</v>
      </c>
      <c r="D72">
        <v>1</v>
      </c>
      <c r="E72">
        <f>1/INDEX([11]龙魂辅助表!$C$1:$C$2,VLOOKUP(A72,[11]龙魂辅助表!$B$6:$G$96,6,0))</f>
        <v>2</v>
      </c>
      <c r="F72">
        <f>C72*'0、经济设定'!$C$18*E72</f>
        <v>73774.600327124965</v>
      </c>
      <c r="G72">
        <f>F72*'0、经济设定'!$E$19</f>
        <v>147.54920065424994</v>
      </c>
    </row>
    <row r="73" spans="1:7">
      <c r="A73">
        <f>[11]龙魂辅助表!B77</f>
        <v>1040</v>
      </c>
      <c r="B73" t="str">
        <f>[11]龙魂辅助表!C77</f>
        <v>蟠螭</v>
      </c>
      <c r="C73">
        <f>[11]龙魂辅助表!$V77</f>
        <v>622.81088095079326</v>
      </c>
      <c r="D73">
        <v>1</v>
      </c>
      <c r="E73">
        <f>1/INDEX([11]龙魂辅助表!$C$1:$C$2,VLOOKUP(A73,[11]龙魂辅助表!$B$6:$G$96,6,0))</f>
        <v>1</v>
      </c>
      <c r="F73">
        <f>C73*'0、经济设定'!$C$18*E73</f>
        <v>31140.544047539664</v>
      </c>
      <c r="G73">
        <f>F73*'0、经济设定'!$E$19</f>
        <v>62.281088095079333</v>
      </c>
    </row>
    <row r="74" spans="1:7">
      <c r="A74">
        <f>[11]龙魂辅助表!B78</f>
        <v>1041</v>
      </c>
      <c r="B74" t="s">
        <v>865</v>
      </c>
      <c r="C74">
        <f>[11]龙魂辅助表!$V78</f>
        <v>502.29515116340406</v>
      </c>
      <c r="D74">
        <v>1</v>
      </c>
      <c r="E74">
        <f>1/INDEX([11]龙魂辅助表!$C$1:$C$2,VLOOKUP(A74,[11]龙魂辅助表!$B$6:$G$96,6,0))</f>
        <v>1</v>
      </c>
      <c r="F74">
        <f>C74*'0、经济设定'!$C$18*E74</f>
        <v>25114.757558170204</v>
      </c>
      <c r="G74">
        <f>F74*'0、经济设定'!$E$19</f>
        <v>50.229515116340409</v>
      </c>
    </row>
    <row r="75" spans="1:7">
      <c r="A75">
        <f>[11]龙魂辅助表!B79</f>
        <v>1042</v>
      </c>
      <c r="B75" t="str">
        <f>[11]龙魂辅助表!C79</f>
        <v>赑屃</v>
      </c>
      <c r="C75">
        <f>[11]龙魂辅助表!$V79</f>
        <v>476.56870532168386</v>
      </c>
      <c r="D75">
        <v>1</v>
      </c>
      <c r="E75">
        <f>1/INDEX([11]龙魂辅助表!$C$1:$C$2,VLOOKUP(A75,[11]龙魂辅助表!$B$6:$G$96,6,0))</f>
        <v>1</v>
      </c>
      <c r="F75">
        <f>C75*'0、经济设定'!$C$18*E75</f>
        <v>23828.435266084194</v>
      </c>
      <c r="G75">
        <f>F75*'0、经济设定'!$E$19</f>
        <v>47.656870532168391</v>
      </c>
    </row>
    <row r="76" spans="1:7">
      <c r="A76">
        <f>[11]龙魂辅助表!B80</f>
        <v>1043</v>
      </c>
      <c r="B76" t="str">
        <f>[11]龙魂辅助表!C80</f>
        <v>鸱吻</v>
      </c>
      <c r="C76">
        <f>[11]龙魂辅助表!$V80</f>
        <v>795.69943527187058</v>
      </c>
      <c r="D76">
        <v>1</v>
      </c>
      <c r="E76">
        <f>1/INDEX([11]龙魂辅助表!$C$1:$C$2,VLOOKUP(A76,[11]龙魂辅助表!$B$6:$G$96,6,0))</f>
        <v>1</v>
      </c>
      <c r="F76">
        <f>C76*'0、经济设定'!$C$18*E76</f>
        <v>39784.97176359353</v>
      </c>
      <c r="G76">
        <f>F76*'0、经济设定'!$E$19</f>
        <v>79.569943527187064</v>
      </c>
    </row>
    <row r="77" spans="1:7">
      <c r="A77">
        <f>[11]龙魂辅助表!B81</f>
        <v>1044</v>
      </c>
      <c r="B77" t="str">
        <f>[11]龙魂辅助表!C81</f>
        <v>蒲牢</v>
      </c>
      <c r="C77">
        <f>[11]龙魂辅助表!$V81</f>
        <v>737.78962071783872</v>
      </c>
      <c r="D77">
        <v>1</v>
      </c>
      <c r="E77">
        <f>1/INDEX([11]龙魂辅助表!$C$1:$C$2,VLOOKUP(A77,[11]龙魂辅助表!$B$6:$G$96,6,0))</f>
        <v>1</v>
      </c>
      <c r="F77">
        <f>C77*'0、经济设定'!$C$18*E77</f>
        <v>36889.481035891935</v>
      </c>
      <c r="G77">
        <f>F77*'0、经济设定'!$E$19</f>
        <v>73.778962071783866</v>
      </c>
    </row>
    <row r="78" spans="1:7">
      <c r="A78">
        <f>[11]龙魂辅助表!B82</f>
        <v>2033</v>
      </c>
      <c r="B78" t="str">
        <f>[11]龙魂辅助表!C82</f>
        <v>睚眦</v>
      </c>
      <c r="C78">
        <f>[11]龙魂辅助表!$V82</f>
        <v>830.98995695839324</v>
      </c>
      <c r="D78">
        <v>1</v>
      </c>
      <c r="E78">
        <f>1/INDEX([11]龙魂辅助表!$C$1:$C$2,VLOOKUP(A78,[11]龙魂辅助表!$B$6:$G$96,6,0))</f>
        <v>2</v>
      </c>
      <c r="F78">
        <f>C78*'0、经济设定'!$C$18*E78</f>
        <v>83098.99569583933</v>
      </c>
      <c r="G78">
        <f>F78*'0、经济设定'!$E$19</f>
        <v>166.19799139167867</v>
      </c>
    </row>
    <row r="79" spans="1:7">
      <c r="A79">
        <f>[11]龙魂辅助表!B83</f>
        <v>2034</v>
      </c>
      <c r="B79" t="str">
        <f>[11]龙魂辅助表!C83</f>
        <v>饕餮</v>
      </c>
      <c r="C79">
        <f>[11]龙魂辅助表!$V83</f>
        <v>1234.0084462267146</v>
      </c>
      <c r="D79">
        <v>1</v>
      </c>
      <c r="E79">
        <f>1/INDEX([11]龙魂辅助表!$C$1:$C$2,VLOOKUP(A79,[11]龙魂辅助表!$B$6:$G$96,6,0))</f>
        <v>2</v>
      </c>
      <c r="F79">
        <f>C79*'0、经济设定'!$C$18*E79</f>
        <v>123400.84462267146</v>
      </c>
      <c r="G79">
        <f>F79*'0、经济设定'!$E$19</f>
        <v>246.80168924534291</v>
      </c>
    </row>
    <row r="80" spans="1:7">
      <c r="A80">
        <f>[11]龙魂辅助表!B84</f>
        <v>2035</v>
      </c>
      <c r="B80" t="str">
        <f>[11]龙魂辅助表!C84</f>
        <v>蚣蝮</v>
      </c>
      <c r="C80">
        <f>[11]龙魂辅助表!$V84</f>
        <v>1089.0936724446408</v>
      </c>
      <c r="D80">
        <v>1</v>
      </c>
      <c r="E80">
        <f>1/INDEX([11]龙魂辅助表!$C$1:$C$2,VLOOKUP(A80,[11]龙魂辅助表!$B$6:$G$96,6,0))</f>
        <v>2</v>
      </c>
      <c r="F80">
        <f>C80*'0、经济设定'!$C$18*E80</f>
        <v>108909.36724446408</v>
      </c>
      <c r="G80">
        <f>F80*'0、经济设定'!$E$19</f>
        <v>217.81873448892816</v>
      </c>
    </row>
    <row r="81" spans="1:7">
      <c r="A81">
        <f>[11]龙魂辅助表!B85</f>
        <v>1045</v>
      </c>
      <c r="B81" t="str">
        <f>[11]龙魂辅助表!C85</f>
        <v>狴犴</v>
      </c>
      <c r="C81">
        <f>[11]龙魂辅助表!$V85</f>
        <v>840.65420562621364</v>
      </c>
      <c r="D81">
        <v>1</v>
      </c>
      <c r="E81">
        <f>1/INDEX([11]龙魂辅助表!$C$1:$C$2,VLOOKUP(A81,[11]龙魂辅助表!$B$6:$G$96,6,0))</f>
        <v>1</v>
      </c>
      <c r="F81">
        <f>C81*'0、经济设定'!$C$18*E81</f>
        <v>42032.710281310683</v>
      </c>
      <c r="G81">
        <f>F81*'0、经济设定'!$E$19</f>
        <v>84.06542056262137</v>
      </c>
    </row>
    <row r="82" spans="1:7">
      <c r="A82">
        <f>[11]龙魂辅助表!B86</f>
        <v>2036</v>
      </c>
      <c r="B82" t="str">
        <f>[11]龙魂辅助表!C86</f>
        <v>狻猊</v>
      </c>
      <c r="C82">
        <f>[11]龙魂辅助表!$V86</f>
        <v>1168.5103769469681</v>
      </c>
      <c r="D82">
        <v>1</v>
      </c>
      <c r="E82">
        <f>1/INDEX([11]龙魂辅助表!$C$1:$C$2,VLOOKUP(A82,[11]龙魂辅助表!$B$6:$G$96,6,0))</f>
        <v>2</v>
      </c>
      <c r="F82">
        <f>C82*'0、经济设定'!$C$18*E82</f>
        <v>116851.03769469682</v>
      </c>
      <c r="G82">
        <f>F82*'0、经济设定'!$E$19</f>
        <v>233.70207538939363</v>
      </c>
    </row>
    <row r="83" spans="1:7">
      <c r="A83">
        <f>[11]龙魂辅助表!B87</f>
        <v>2037</v>
      </c>
      <c r="B83" t="str">
        <f>[11]龙魂辅助表!C87</f>
        <v>椒图</v>
      </c>
      <c r="C83">
        <f>[11]龙魂辅助表!$V87</f>
        <v>1170.226648453496</v>
      </c>
      <c r="D83">
        <v>1</v>
      </c>
      <c r="E83">
        <f>1/INDEX([11]龙魂辅助表!$C$1:$C$2,VLOOKUP(A83,[11]龙魂辅助表!$B$6:$G$96,6,0))</f>
        <v>2</v>
      </c>
      <c r="F83">
        <f>C83*'0、经济设定'!$C$18*E83</f>
        <v>117022.6648453496</v>
      </c>
      <c r="G83">
        <f>F83*'0、经济设定'!$E$19</f>
        <v>234.04532969069922</v>
      </c>
    </row>
    <row r="84" spans="1:7">
      <c r="A84">
        <f>[11]龙魂辅助表!B88</f>
        <v>2038</v>
      </c>
      <c r="B84" t="str">
        <f>[11]龙魂辅助表!C88</f>
        <v>貔貅</v>
      </c>
      <c r="C84">
        <f>[11]龙魂辅助表!$V88</f>
        <v>1301.4406017582291</v>
      </c>
      <c r="D84">
        <v>1</v>
      </c>
      <c r="E84">
        <f>1/INDEX([11]龙魂辅助表!$C$1:$C$2,VLOOKUP(A84,[11]龙魂辅助表!$B$6:$G$96,6,0))</f>
        <v>2</v>
      </c>
      <c r="F84">
        <f>C84*'0、经济设定'!$C$18*E84</f>
        <v>130144.06017582292</v>
      </c>
      <c r="G84">
        <f>F84*'0、经济设定'!$E$19</f>
        <v>260.28812035164583</v>
      </c>
    </row>
    <row r="85" spans="1:7">
      <c r="A85">
        <f>[11]龙魂辅助表!B89</f>
        <v>2039</v>
      </c>
      <c r="B85" t="str">
        <f>[11]龙魂辅助表!C89</f>
        <v>犼</v>
      </c>
      <c r="C85">
        <f>[11]龙魂辅助表!$V89</f>
        <v>1205.6059444690939</v>
      </c>
      <c r="D85">
        <v>1</v>
      </c>
      <c r="E85">
        <f>1/INDEX([11]龙魂辅助表!$C$1:$C$2,VLOOKUP(A85,[11]龙魂辅助表!$B$6:$G$96,6,0))</f>
        <v>2</v>
      </c>
      <c r="F85">
        <f>C85*'0、经济设定'!$C$18*E85</f>
        <v>120560.59444690938</v>
      </c>
      <c r="G85">
        <f>F85*'0、经济设定'!$E$19</f>
        <v>241.12118889381875</v>
      </c>
    </row>
    <row r="86" spans="1:7">
      <c r="A86">
        <f>[11]龙魂辅助表!B90</f>
        <v>2040</v>
      </c>
      <c r="B86" t="str">
        <f>[11]龙魂辅助表!C90</f>
        <v>螭</v>
      </c>
      <c r="C86">
        <f>[11]龙魂辅助表!$V90</f>
        <v>804.72029955747189</v>
      </c>
      <c r="D86">
        <v>1</v>
      </c>
      <c r="E86">
        <f>1/INDEX([11]龙魂辅助表!$C$1:$C$2,VLOOKUP(A86,[11]龙魂辅助表!$B$6:$G$96,6,0))</f>
        <v>2</v>
      </c>
      <c r="F86">
        <f>C86*'0、经济设定'!$C$18*E86</f>
        <v>80472.029955747188</v>
      </c>
      <c r="G86">
        <f>F86*'0、经济设定'!$E$19</f>
        <v>160.94405991149438</v>
      </c>
    </row>
    <row r="87" spans="1:7">
      <c r="A87">
        <f>[11]龙魂辅助表!B91</f>
        <v>2041</v>
      </c>
      <c r="B87" t="str">
        <f>[11]龙魂辅助表!C91</f>
        <v>麒麟</v>
      </c>
      <c r="C87">
        <f>[11]龙魂辅助表!$V91</f>
        <v>1070.9650187305438</v>
      </c>
      <c r="D87">
        <v>1</v>
      </c>
      <c r="E87">
        <f>1/INDEX([11]龙魂辅助表!$C$1:$C$2,VLOOKUP(A87,[11]龙魂辅助表!$B$6:$G$96,6,0))</f>
        <v>2</v>
      </c>
      <c r="F87">
        <f>C87*'0、经济设定'!$C$18*E87</f>
        <v>107096.50187305438</v>
      </c>
      <c r="G87">
        <f>F87*'0、经济设定'!$E$19</f>
        <v>214.19300374610876</v>
      </c>
    </row>
    <row r="88" spans="1:7">
      <c r="A88">
        <f>[11]龙魂辅助表!B92</f>
        <v>1046</v>
      </c>
      <c r="B88" t="s">
        <v>864</v>
      </c>
      <c r="C88">
        <f>[11]龙魂辅助表!$V92</f>
        <v>788.85703841936129</v>
      </c>
      <c r="D88">
        <v>1</v>
      </c>
      <c r="E88">
        <f>1/INDEX([11]龙魂辅助表!$C$1:$C$2,VLOOKUP(A88,[11]龙魂辅助表!$B$6:$G$96,6,0))</f>
        <v>1</v>
      </c>
      <c r="F88">
        <f>C88*'0、经济设定'!$C$18*E88</f>
        <v>39442.851920968067</v>
      </c>
      <c r="G88">
        <f>F88*'0、经济设定'!$E$19</f>
        <v>78.885703841936134</v>
      </c>
    </row>
    <row r="89" spans="1:7">
      <c r="A89">
        <f>[11]龙魂辅助表!B93</f>
        <v>1047</v>
      </c>
      <c r="B89" t="str">
        <f>[11]龙魂辅助表!C93</f>
        <v>蟠螭</v>
      </c>
      <c r="C89">
        <f>[11]龙魂辅助表!$V93</f>
        <v>728.32796918693589</v>
      </c>
      <c r="D89">
        <v>1</v>
      </c>
      <c r="E89">
        <f>1/INDEX([11]龙魂辅助表!$C$1:$C$2,VLOOKUP(A89,[11]龙魂辅助表!$B$6:$G$96,6,0))</f>
        <v>1</v>
      </c>
      <c r="F89">
        <f>C89*'0、经济设定'!$C$18*E89</f>
        <v>36416.398459346798</v>
      </c>
      <c r="G89">
        <f>F89*'0、经济设定'!$E$19</f>
        <v>72.832796918693603</v>
      </c>
    </row>
    <row r="90" spans="1:7">
      <c r="A90">
        <f>[11]龙魂辅助表!B94</f>
        <v>1048</v>
      </c>
      <c r="B90" t="s">
        <v>865</v>
      </c>
      <c r="C90">
        <f>[11]龙魂辅助表!$V94</f>
        <v>844.95459355953597</v>
      </c>
      <c r="D90">
        <v>1</v>
      </c>
      <c r="E90">
        <f>1/INDEX([11]龙魂辅助表!$C$1:$C$2,VLOOKUP(A90,[11]龙魂辅助表!$B$6:$G$96,6,0))</f>
        <v>1</v>
      </c>
      <c r="F90">
        <f>C90*'0、经济设定'!$C$18*E90</f>
        <v>42247.7296779768</v>
      </c>
      <c r="G90">
        <f>F90*'0、经济设定'!$E$19</f>
        <v>84.495459355953599</v>
      </c>
    </row>
    <row r="91" spans="1:7">
      <c r="A91">
        <f>[11]龙魂辅助表!B95</f>
        <v>1049</v>
      </c>
      <c r="B91" t="s">
        <v>866</v>
      </c>
      <c r="C91">
        <f>[11]龙魂辅助表!$V95</f>
        <v>845.50407061037936</v>
      </c>
      <c r="D91">
        <v>1</v>
      </c>
      <c r="E91">
        <f>1/INDEX([11]龙魂辅助表!$C$1:$C$2,VLOOKUP(A91,[11]龙魂辅助表!$B$6:$G$96,6,0))</f>
        <v>1</v>
      </c>
      <c r="F91">
        <f>C91*'0、经济设定'!$C$18*E91</f>
        <v>42275.203530518971</v>
      </c>
      <c r="G91">
        <f>F91*'0、经济设定'!$E$19</f>
        <v>84.550407061037944</v>
      </c>
    </row>
    <row r="92" spans="1:7">
      <c r="A92">
        <f>[11]龙魂辅助表!B96</f>
        <v>1050</v>
      </c>
      <c r="B92" t="s">
        <v>867</v>
      </c>
      <c r="C92">
        <f>[11]龙魂辅助表!$V96</f>
        <v>939.55470040576813</v>
      </c>
      <c r="D92">
        <v>1</v>
      </c>
      <c r="E92">
        <f>1/INDEX([11]龙魂辅助表!$C$1:$C$2,VLOOKUP(A92,[11]龙魂辅助表!$B$6:$G$96,6,0))</f>
        <v>1</v>
      </c>
      <c r="F92">
        <f>C92*'0、经济设定'!$C$18*E92</f>
        <v>46977.735020288404</v>
      </c>
      <c r="G92">
        <f>F92*'0、经济设定'!$E$19</f>
        <v>93.955470040576813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命名范围</vt:lpstr>
      </vt:variant>
      <vt:variant>
        <vt:i4>1</vt:i4>
      </vt:variant>
    </vt:vector>
  </HeadingPairs>
  <TitlesOfParts>
    <vt:vector size="27" baseType="lpstr">
      <vt:lpstr>0、经济设定</vt:lpstr>
      <vt:lpstr>1、经济推算</vt:lpstr>
      <vt:lpstr>升级时间</vt:lpstr>
      <vt:lpstr>金币生产率曲线</vt:lpstr>
      <vt:lpstr>技能消耗</vt:lpstr>
      <vt:lpstr>装备消耗</vt:lpstr>
      <vt:lpstr>竞技场</vt:lpstr>
      <vt:lpstr>体力消耗运算</vt:lpstr>
      <vt:lpstr>副本规划</vt:lpstr>
      <vt:lpstr>金币投放</vt:lpstr>
      <vt:lpstr>钻石投放</vt:lpstr>
      <vt:lpstr>经验投放节奏规划</vt:lpstr>
      <vt:lpstr>装备&amp;装备材料的投放</vt:lpstr>
      <vt:lpstr>龙魂的投放</vt:lpstr>
      <vt:lpstr>命币的投放</vt:lpstr>
      <vt:lpstr>马仔的投放</vt:lpstr>
      <vt:lpstr>马仔宝物投放</vt:lpstr>
      <vt:lpstr>技能材料的投放</vt:lpstr>
      <vt:lpstr>材料产出汇总</vt:lpstr>
      <vt:lpstr>价格评估并表</vt:lpstr>
      <vt:lpstr>道具价格评估</vt:lpstr>
      <vt:lpstr>马仔装备价格评估</vt:lpstr>
      <vt:lpstr>装备价格评估</vt:lpstr>
      <vt:lpstr>命格价格评估</vt:lpstr>
      <vt:lpstr>马仔价格评估</vt:lpstr>
      <vt:lpstr>龙魂价格评估</vt:lpstr>
      <vt:lpstr>游戏物价查询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Ycat008</dc:creator>
  <cp:lastModifiedBy>Javy</cp:lastModifiedBy>
  <dcterms:created xsi:type="dcterms:W3CDTF">2006-09-16T00:00:00Z</dcterms:created>
  <dcterms:modified xsi:type="dcterms:W3CDTF">2015-08-17T10:47:31Z</dcterms:modified>
</cp:coreProperties>
</file>