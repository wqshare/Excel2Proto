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古惑仔trunk\gamexlm\excel\"/>
    </mc:Choice>
  </mc:AlternateContent>
  <bookViews>
    <workbookView xWindow="240" yWindow="105" windowWidth="14805" windowHeight="8010" firstSheet="1" activeTab="9"/>
  </bookViews>
  <sheets>
    <sheet name="D_公会等级表" sheetId="4" r:id="rId1"/>
    <sheet name="D_公会职务表" sheetId="5" r:id="rId2"/>
    <sheet name="D_公会ICON表" sheetId="6" r:id="rId3"/>
    <sheet name="D_公会工坊表" sheetId="7" r:id="rId4"/>
    <sheet name="D_公会技能表" sheetId="8" r:id="rId5"/>
    <sheet name="D_工坊技能描述表" sheetId="9" r:id="rId6"/>
    <sheet name="工坊技能图标" sheetId="13" r:id="rId7"/>
    <sheet name="D_公会商店" sheetId="12" r:id="rId8"/>
    <sheet name="D_捐献表" sheetId="10" r:id="rId9"/>
    <sheet name="公会经济估算" sheetId="11" r:id="rId10"/>
  </sheets>
  <externalReferences>
    <externalReference r:id="rId11"/>
    <externalReference r:id="rId12"/>
    <externalReference r:id="rId13"/>
    <externalReference r:id="rId14"/>
    <externalReference r:id="rId15"/>
  </externalReferences>
  <calcPr calcId="152511"/>
</workbook>
</file>

<file path=xl/calcChain.xml><?xml version="1.0" encoding="utf-8"?>
<calcChain xmlns="http://schemas.openxmlformats.org/spreadsheetml/2006/main">
  <c r="K3" i="12" l="1"/>
  <c r="G3" i="12" s="1"/>
  <c r="D65" i="12" l="1"/>
  <c r="H65" i="12"/>
  <c r="K65" i="12"/>
  <c r="G65" i="12" s="1"/>
  <c r="L65" i="12"/>
  <c r="D66" i="12"/>
  <c r="H66" i="12"/>
  <c r="K66" i="12"/>
  <c r="G66" i="12" s="1"/>
  <c r="L66" i="12"/>
  <c r="D67" i="12"/>
  <c r="H67" i="12"/>
  <c r="K67" i="12"/>
  <c r="G67" i="12" s="1"/>
  <c r="L67" i="12"/>
  <c r="D68" i="12"/>
  <c r="H68" i="12"/>
  <c r="K68" i="12"/>
  <c r="G68" i="12" s="1"/>
  <c r="L68" i="12"/>
  <c r="D69" i="12"/>
  <c r="H69" i="12"/>
  <c r="K69" i="12"/>
  <c r="G69" i="12" s="1"/>
  <c r="L69" i="12"/>
  <c r="D70" i="12"/>
  <c r="H70" i="12"/>
  <c r="K70" i="12"/>
  <c r="G70" i="12" s="1"/>
  <c r="L70" i="12"/>
  <c r="D71" i="12"/>
  <c r="H71" i="12"/>
  <c r="K71" i="12"/>
  <c r="G71" i="12" s="1"/>
  <c r="L71" i="12"/>
  <c r="D72" i="12"/>
  <c r="H72" i="12"/>
  <c r="K72" i="12"/>
  <c r="G72" i="12" s="1"/>
  <c r="L72" i="12"/>
  <c r="D73" i="12"/>
  <c r="H73" i="12"/>
  <c r="K73" i="12"/>
  <c r="G73" i="12" s="1"/>
  <c r="L73" i="12"/>
  <c r="D74" i="12"/>
  <c r="H74" i="12"/>
  <c r="K74" i="12"/>
  <c r="G74" i="12" s="1"/>
  <c r="L74" i="12"/>
  <c r="D75" i="12"/>
  <c r="H75" i="12"/>
  <c r="K75" i="12"/>
  <c r="G75" i="12" s="1"/>
  <c r="L75" i="12"/>
  <c r="D76" i="12"/>
  <c r="H76" i="12"/>
  <c r="K76" i="12"/>
  <c r="G76" i="12" s="1"/>
  <c r="L76" i="12"/>
  <c r="E3" i="8" l="1"/>
  <c r="E4" i="8"/>
  <c r="E5" i="8"/>
  <c r="E6" i="8"/>
  <c r="E7" i="8"/>
  <c r="E8" i="8"/>
  <c r="E9" i="8"/>
  <c r="E10" i="8"/>
  <c r="E11" i="8"/>
  <c r="E2" i="8"/>
  <c r="E23" i="8"/>
  <c r="E24" i="8"/>
  <c r="E25" i="8"/>
  <c r="E26" i="8"/>
  <c r="E27" i="8"/>
  <c r="E28" i="8"/>
  <c r="E29" i="8"/>
  <c r="E30" i="8"/>
  <c r="E31" i="8"/>
  <c r="E22" i="8"/>
  <c r="E83" i="8"/>
  <c r="E84" i="8"/>
  <c r="E85" i="8"/>
  <c r="E86" i="8"/>
  <c r="E87" i="8"/>
  <c r="E88" i="8"/>
  <c r="E89" i="8"/>
  <c r="E90" i="8"/>
  <c r="E91" i="8"/>
  <c r="E82" i="8"/>
  <c r="E93" i="8"/>
  <c r="E94" i="8"/>
  <c r="E95" i="8"/>
  <c r="E96" i="8"/>
  <c r="E97" i="8"/>
  <c r="E98" i="8"/>
  <c r="E99" i="8"/>
  <c r="E100" i="8"/>
  <c r="E101" i="8"/>
  <c r="E92" i="8"/>
  <c r="E73" i="8"/>
  <c r="E74" i="8"/>
  <c r="E75" i="8"/>
  <c r="E76" i="8"/>
  <c r="E77" i="8"/>
  <c r="E78" i="8"/>
  <c r="E79" i="8"/>
  <c r="E80" i="8"/>
  <c r="E81" i="8"/>
  <c r="E72" i="8"/>
  <c r="E3" i="9" l="1"/>
  <c r="E4" i="9"/>
  <c r="E5" i="9"/>
  <c r="E6" i="9"/>
  <c r="E7" i="9"/>
  <c r="E8" i="9"/>
  <c r="E9" i="9"/>
  <c r="E10" i="9"/>
  <c r="E11" i="9"/>
  <c r="E2" i="9"/>
  <c r="H6" i="12" l="1"/>
  <c r="H7" i="12"/>
  <c r="H8" i="12"/>
  <c r="H9" i="12"/>
  <c r="H10" i="12"/>
  <c r="H11" i="12"/>
  <c r="H12" i="12"/>
  <c r="H13" i="12"/>
  <c r="H14" i="12"/>
  <c r="H15" i="12"/>
  <c r="H16" i="12"/>
  <c r="H17" i="12"/>
  <c r="H18" i="12"/>
  <c r="H19" i="12"/>
  <c r="H20" i="12"/>
  <c r="H21" i="12"/>
  <c r="H22" i="12"/>
  <c r="H23" i="12"/>
  <c r="H24" i="12"/>
  <c r="H25" i="12"/>
  <c r="H26" i="12"/>
  <c r="H27" i="12"/>
  <c r="H28" i="12"/>
  <c r="H29" i="12"/>
  <c r="H30" i="12"/>
  <c r="H31" i="12"/>
  <c r="H32" i="12"/>
  <c r="H33" i="12"/>
  <c r="H34" i="12"/>
  <c r="H35" i="12"/>
  <c r="H36" i="12"/>
  <c r="H37" i="12"/>
  <c r="H38" i="12"/>
  <c r="H39" i="12"/>
  <c r="H40" i="12"/>
  <c r="H41" i="12"/>
  <c r="H42" i="12"/>
  <c r="H43" i="12"/>
  <c r="H44" i="12"/>
  <c r="H45" i="12"/>
  <c r="H46" i="12"/>
  <c r="H47" i="12"/>
  <c r="H48" i="12"/>
  <c r="H49" i="12"/>
  <c r="H50" i="12"/>
  <c r="H51" i="12"/>
  <c r="H52" i="12"/>
  <c r="H53" i="12"/>
  <c r="H54" i="12"/>
  <c r="H55" i="12"/>
  <c r="H56" i="12"/>
  <c r="H57" i="12"/>
  <c r="H58" i="12"/>
  <c r="H59" i="12"/>
  <c r="H60" i="12"/>
  <c r="H61" i="12"/>
  <c r="H62" i="12"/>
  <c r="H63" i="12"/>
  <c r="H64" i="12"/>
  <c r="H4" i="12"/>
  <c r="H5" i="12"/>
  <c r="D3" i="9" l="1"/>
  <c r="D4" i="9"/>
  <c r="D5" i="9"/>
  <c r="D6" i="9"/>
  <c r="D7" i="9"/>
  <c r="D8" i="9"/>
  <c r="D9" i="9"/>
  <c r="D10" i="9"/>
  <c r="D11" i="9"/>
  <c r="D2" i="9"/>
  <c r="A2" i="13"/>
  <c r="B2" i="13"/>
  <c r="C2" i="13"/>
  <c r="A3" i="13"/>
  <c r="B3" i="13"/>
  <c r="C3" i="13"/>
  <c r="A4" i="13"/>
  <c r="B4" i="13"/>
  <c r="C4" i="13"/>
  <c r="A5" i="13"/>
  <c r="B5" i="13"/>
  <c r="C5" i="13"/>
  <c r="A6" i="13"/>
  <c r="B6" i="13"/>
  <c r="C6" i="13"/>
  <c r="A7" i="13"/>
  <c r="B7" i="13"/>
  <c r="C7" i="13"/>
  <c r="A8" i="13"/>
  <c r="B8" i="13"/>
  <c r="C8" i="13"/>
  <c r="A9" i="13"/>
  <c r="B9" i="13"/>
  <c r="C9" i="13"/>
  <c r="A10" i="13"/>
  <c r="B10" i="13"/>
  <c r="C10" i="13"/>
  <c r="A11" i="13"/>
  <c r="B11" i="13"/>
  <c r="C11" i="13"/>
  <c r="B1" i="13"/>
  <c r="C1" i="13"/>
  <c r="D1" i="13"/>
  <c r="A1" i="13"/>
  <c r="L3" i="12" l="1"/>
  <c r="L2" i="12"/>
  <c r="K15" i="12"/>
  <c r="G15" i="12" s="1"/>
  <c r="K16" i="12"/>
  <c r="G16" i="12" s="1"/>
  <c r="K17" i="12"/>
  <c r="G17" i="12" s="1"/>
  <c r="K18" i="12"/>
  <c r="G18" i="12" s="1"/>
  <c r="K19" i="12"/>
  <c r="G19" i="12" s="1"/>
  <c r="K20" i="12"/>
  <c r="G20" i="12" s="1"/>
  <c r="K21" i="12"/>
  <c r="G21" i="12" s="1"/>
  <c r="K22" i="12"/>
  <c r="G22" i="12" s="1"/>
  <c r="K23" i="12"/>
  <c r="G23" i="12" s="1"/>
  <c r="K24" i="12"/>
  <c r="G24" i="12" s="1"/>
  <c r="K25" i="12"/>
  <c r="G25" i="12" s="1"/>
  <c r="K26" i="12"/>
  <c r="G26" i="12" s="1"/>
  <c r="K27" i="12"/>
  <c r="G27" i="12" s="1"/>
  <c r="K28" i="12"/>
  <c r="G28" i="12" s="1"/>
  <c r="K29" i="12"/>
  <c r="G29" i="12" s="1"/>
  <c r="K30" i="12"/>
  <c r="G30" i="12" s="1"/>
  <c r="K31" i="12"/>
  <c r="G31" i="12" s="1"/>
  <c r="K32" i="12"/>
  <c r="G32" i="12" s="1"/>
  <c r="K33" i="12"/>
  <c r="G33" i="12" s="1"/>
  <c r="K34" i="12"/>
  <c r="G34" i="12" s="1"/>
  <c r="K35" i="12"/>
  <c r="G35" i="12" s="1"/>
  <c r="K36" i="12"/>
  <c r="G36" i="12" s="1"/>
  <c r="K37" i="12"/>
  <c r="G37" i="12" s="1"/>
  <c r="K38" i="12"/>
  <c r="G38" i="12" s="1"/>
  <c r="K39" i="12"/>
  <c r="G39" i="12" s="1"/>
  <c r="K40" i="12"/>
  <c r="G40" i="12" s="1"/>
  <c r="K41" i="12"/>
  <c r="G41" i="12" s="1"/>
  <c r="K42" i="12"/>
  <c r="G42" i="12" s="1"/>
  <c r="K43" i="12"/>
  <c r="G43" i="12" s="1"/>
  <c r="K44" i="12"/>
  <c r="G44" i="12" s="1"/>
  <c r="K45" i="12"/>
  <c r="G45" i="12" s="1"/>
  <c r="K46" i="12"/>
  <c r="G46" i="12" s="1"/>
  <c r="K47" i="12"/>
  <c r="G47" i="12" s="1"/>
  <c r="K48" i="12"/>
  <c r="G48" i="12" s="1"/>
  <c r="K49" i="12"/>
  <c r="G49" i="12" s="1"/>
  <c r="K50" i="12"/>
  <c r="G50" i="12" s="1"/>
  <c r="K51" i="12"/>
  <c r="G51" i="12" s="1"/>
  <c r="K52" i="12"/>
  <c r="G52" i="12" s="1"/>
  <c r="K53" i="12"/>
  <c r="G53" i="12" s="1"/>
  <c r="K54" i="12"/>
  <c r="G54" i="12" s="1"/>
  <c r="K55" i="12"/>
  <c r="G55" i="12" s="1"/>
  <c r="K56" i="12"/>
  <c r="G56" i="12" s="1"/>
  <c r="K57" i="12"/>
  <c r="G57" i="12" s="1"/>
  <c r="K58" i="12"/>
  <c r="G58" i="12" s="1"/>
  <c r="K59" i="12"/>
  <c r="G59" i="12" s="1"/>
  <c r="K60" i="12"/>
  <c r="G60" i="12" s="1"/>
  <c r="K61" i="12"/>
  <c r="G61" i="12" s="1"/>
  <c r="K62" i="12"/>
  <c r="G62" i="12" s="1"/>
  <c r="K63" i="12"/>
  <c r="G63" i="12" s="1"/>
  <c r="K64" i="12"/>
  <c r="G64" i="12" s="1"/>
  <c r="L4" i="12"/>
  <c r="L5" i="12"/>
  <c r="L6" i="12"/>
  <c r="L7" i="12"/>
  <c r="L8" i="12"/>
  <c r="L9" i="12"/>
  <c r="L10" i="12"/>
  <c r="L11" i="12"/>
  <c r="L12" i="12"/>
  <c r="L13" i="12"/>
  <c r="L14" i="12"/>
  <c r="L15" i="12"/>
  <c r="L16" i="12"/>
  <c r="L17" i="12"/>
  <c r="L18" i="12"/>
  <c r="L19" i="12"/>
  <c r="L20" i="12"/>
  <c r="L21" i="12"/>
  <c r="L22" i="12"/>
  <c r="L23" i="12"/>
  <c r="L24" i="12"/>
  <c r="L25" i="12"/>
  <c r="L26" i="12"/>
  <c r="L27" i="12"/>
  <c r="L28" i="12"/>
  <c r="L29" i="12"/>
  <c r="L30" i="12"/>
  <c r="L31" i="12"/>
  <c r="L32" i="12"/>
  <c r="L33" i="12"/>
  <c r="L34" i="12"/>
  <c r="L35" i="12"/>
  <c r="L36" i="12"/>
  <c r="L37" i="12"/>
  <c r="L38" i="12"/>
  <c r="L39" i="12"/>
  <c r="L40" i="12"/>
  <c r="L41" i="12"/>
  <c r="L42" i="12"/>
  <c r="L43" i="12"/>
  <c r="L44" i="12"/>
  <c r="L45" i="12"/>
  <c r="L46" i="12"/>
  <c r="L47" i="12"/>
  <c r="L48" i="12"/>
  <c r="L49" i="12"/>
  <c r="L50" i="12"/>
  <c r="L51" i="12"/>
  <c r="L52" i="12"/>
  <c r="L53" i="12"/>
  <c r="L54" i="12"/>
  <c r="L55" i="12"/>
  <c r="L56" i="12"/>
  <c r="L57" i="12"/>
  <c r="L58" i="12"/>
  <c r="L59" i="12"/>
  <c r="L60" i="12"/>
  <c r="L61" i="12"/>
  <c r="L62" i="12"/>
  <c r="L63" i="12"/>
  <c r="L64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D55" i="12"/>
  <c r="D56" i="12"/>
  <c r="D57" i="12"/>
  <c r="D58" i="12"/>
  <c r="D59" i="12"/>
  <c r="D60" i="12"/>
  <c r="D61" i="12"/>
  <c r="D62" i="12"/>
  <c r="D63" i="12"/>
  <c r="D64" i="12"/>
  <c r="K4" i="12"/>
  <c r="G4" i="12" s="1"/>
  <c r="K5" i="12"/>
  <c r="G5" i="12" s="1"/>
  <c r="K6" i="12"/>
  <c r="G6" i="12" s="1"/>
  <c r="K7" i="12"/>
  <c r="G7" i="12" s="1"/>
  <c r="K8" i="12"/>
  <c r="G8" i="12" s="1"/>
  <c r="K9" i="12"/>
  <c r="G9" i="12" s="1"/>
  <c r="K10" i="12"/>
  <c r="G10" i="12" s="1"/>
  <c r="K11" i="12"/>
  <c r="G11" i="12" s="1"/>
  <c r="K12" i="12"/>
  <c r="G12" i="12" s="1"/>
  <c r="K13" i="12"/>
  <c r="G13" i="12" s="1"/>
  <c r="K14" i="12"/>
  <c r="G14" i="12" s="1"/>
  <c r="K2" i="12"/>
  <c r="D3" i="12"/>
  <c r="D4" i="12"/>
  <c r="D5" i="12"/>
  <c r="D6" i="12"/>
  <c r="D7" i="12"/>
  <c r="D8" i="12"/>
  <c r="D2" i="12"/>
  <c r="C15" i="11" l="1"/>
  <c r="F63" i="8" l="1"/>
  <c r="F64" i="8"/>
  <c r="F65" i="8"/>
  <c r="F66" i="8"/>
  <c r="F67" i="8"/>
  <c r="F68" i="8"/>
  <c r="F69" i="8"/>
  <c r="F70" i="8"/>
  <c r="F71" i="8"/>
  <c r="F74" i="8"/>
  <c r="F75" i="8"/>
  <c r="F78" i="8"/>
  <c r="F79" i="8"/>
  <c r="F84" i="8"/>
  <c r="F94" i="8" s="1"/>
  <c r="F88" i="8"/>
  <c r="F98" i="8" s="1"/>
  <c r="F62" i="8"/>
  <c r="F49" i="8"/>
  <c r="F50" i="8"/>
  <c r="F60" i="8" s="1"/>
  <c r="F59" i="8"/>
  <c r="F13" i="8"/>
  <c r="F73" i="8" s="1"/>
  <c r="F14" i="8"/>
  <c r="F15" i="8"/>
  <c r="F16" i="8"/>
  <c r="F76" i="8" s="1"/>
  <c r="F17" i="8"/>
  <c r="F27" i="8" s="1"/>
  <c r="F18" i="8"/>
  <c r="F19" i="8"/>
  <c r="F29" i="8" s="1"/>
  <c r="F39" i="8" s="1"/>
  <c r="F20" i="8"/>
  <c r="F30" i="8" s="1"/>
  <c r="F40" i="8" s="1"/>
  <c r="F21" i="8"/>
  <c r="F81" i="8" s="1"/>
  <c r="F24" i="8"/>
  <c r="F25" i="8"/>
  <c r="F85" i="8" s="1"/>
  <c r="F95" i="8" s="1"/>
  <c r="F26" i="8"/>
  <c r="F36" i="8" s="1"/>
  <c r="F46" i="8" s="1"/>
  <c r="F56" i="8" s="1"/>
  <c r="F28" i="8"/>
  <c r="F38" i="8" s="1"/>
  <c r="F48" i="8" s="1"/>
  <c r="F58" i="8" s="1"/>
  <c r="F34" i="8"/>
  <c r="F44" i="8" s="1"/>
  <c r="F54" i="8" s="1"/>
  <c r="F12" i="8"/>
  <c r="F72" i="8" s="1"/>
  <c r="I4" i="11"/>
  <c r="J4" i="11" s="1"/>
  <c r="I6" i="11"/>
  <c r="J6" i="11" s="1"/>
  <c r="I5" i="11"/>
  <c r="J5" i="11" s="1"/>
  <c r="I3" i="11"/>
  <c r="J3" i="11" s="1"/>
  <c r="I2" i="11"/>
  <c r="J2" i="11" s="1"/>
  <c r="J7" i="11"/>
  <c r="F37" i="8" l="1"/>
  <c r="F47" i="8" s="1"/>
  <c r="F57" i="8" s="1"/>
  <c r="F87" i="8"/>
  <c r="F97" i="8" s="1"/>
  <c r="F35" i="8"/>
  <c r="F45" i="8" s="1"/>
  <c r="F55" i="8" s="1"/>
  <c r="F86" i="8"/>
  <c r="F96" i="8" s="1"/>
  <c r="F77" i="8"/>
  <c r="F23" i="8"/>
  <c r="F31" i="8"/>
  <c r="F90" i="8"/>
  <c r="F100" i="8" s="1"/>
  <c r="F89" i="8"/>
  <c r="F99" i="8" s="1"/>
  <c r="F80" i="8"/>
  <c r="F22" i="8"/>
  <c r="I8" i="11"/>
  <c r="F41" i="8" l="1"/>
  <c r="F51" i="8" s="1"/>
  <c r="F61" i="8" s="1"/>
  <c r="F91" i="8"/>
  <c r="F101" i="8" s="1"/>
  <c r="F33" i="8"/>
  <c r="F43" i="8" s="1"/>
  <c r="F53" i="8" s="1"/>
  <c r="F83" i="8"/>
  <c r="F93" i="8" s="1"/>
  <c r="F82" i="8"/>
  <c r="F92" i="8" s="1"/>
  <c r="F32" i="8"/>
  <c r="F42" i="8" s="1"/>
  <c r="F52" i="8" s="1"/>
  <c r="H13" i="11"/>
  <c r="H5" i="10" l="1"/>
  <c r="I5" i="10"/>
  <c r="B14" i="11" l="1"/>
  <c r="H3" i="10"/>
  <c r="I3" i="10"/>
  <c r="B3" i="7" l="1"/>
  <c r="C3" i="7"/>
  <c r="D3" i="7"/>
  <c r="E3" i="7"/>
  <c r="B4" i="7"/>
  <c r="C4" i="7"/>
  <c r="D4" i="7"/>
  <c r="E4" i="7"/>
  <c r="B5" i="7"/>
  <c r="C5" i="7"/>
  <c r="D5" i="7"/>
  <c r="E5" i="7"/>
  <c r="B6" i="7"/>
  <c r="C6" i="7"/>
  <c r="D6" i="7"/>
  <c r="E6" i="7"/>
  <c r="D2" i="7"/>
  <c r="E2" i="7"/>
  <c r="B2" i="7"/>
  <c r="B3" i="4"/>
  <c r="C3" i="4"/>
  <c r="D3" i="4"/>
  <c r="B4" i="4"/>
  <c r="C4" i="4"/>
  <c r="D4" i="4"/>
  <c r="B5" i="4"/>
  <c r="C5" i="4"/>
  <c r="D5" i="4"/>
  <c r="B6" i="4"/>
  <c r="C6" i="4"/>
  <c r="D6" i="4"/>
  <c r="B7" i="4"/>
  <c r="C7" i="4"/>
  <c r="D7" i="4"/>
  <c r="C2" i="4"/>
  <c r="D2" i="4"/>
  <c r="H2" i="10" l="1"/>
  <c r="H4" i="10"/>
  <c r="I4" i="10"/>
  <c r="I2" i="10"/>
  <c r="B12" i="11"/>
  <c r="B13" i="11"/>
  <c r="B11" i="11"/>
  <c r="L3" i="11" l="1"/>
  <c r="M3" i="11" s="1"/>
  <c r="L5" i="11"/>
  <c r="M5" i="11" s="1"/>
  <c r="L6" i="11" l="1"/>
  <c r="M6" i="11" s="1"/>
  <c r="L4" i="11"/>
  <c r="M4" i="11" s="1"/>
  <c r="L7" i="11"/>
  <c r="M7" i="11" s="1"/>
  <c r="M8" i="11" l="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20" i="11"/>
  <c r="H11" i="11" l="1"/>
  <c r="D15" i="11" l="1"/>
  <c r="K6" i="11"/>
  <c r="H8" i="11"/>
  <c r="L4" i="8"/>
  <c r="M4" i="8"/>
  <c r="N4" i="8"/>
  <c r="O4" i="8"/>
  <c r="P4" i="8"/>
  <c r="Q4" i="8"/>
  <c r="R4" i="8"/>
  <c r="S4" i="8"/>
  <c r="T4" i="8"/>
  <c r="U4" i="8"/>
  <c r="V4" i="8"/>
  <c r="W4" i="8"/>
  <c r="X4" i="8"/>
  <c r="X3" i="8"/>
  <c r="M3" i="8"/>
  <c r="N3" i="8"/>
  <c r="O3" i="8"/>
  <c r="P3" i="8"/>
  <c r="Q3" i="8"/>
  <c r="R3" i="8"/>
  <c r="S3" i="8"/>
  <c r="T3" i="8"/>
  <c r="U3" i="8"/>
  <c r="V3" i="8"/>
  <c r="W3" i="8"/>
  <c r="L3" i="8"/>
  <c r="H11" i="8" l="1"/>
  <c r="H3" i="8"/>
  <c r="H4" i="8"/>
  <c r="H5" i="8"/>
  <c r="H6" i="8"/>
  <c r="H2" i="8"/>
  <c r="H9" i="8"/>
  <c r="H8" i="8"/>
  <c r="H10" i="8"/>
  <c r="H7" i="8"/>
  <c r="D16" i="11"/>
  <c r="K3" i="11"/>
  <c r="A27" i="8"/>
  <c r="A37" i="8" s="1"/>
  <c r="A47" i="8" s="1"/>
  <c r="A24" i="8"/>
  <c r="A23" i="8"/>
  <c r="B22" i="8"/>
  <c r="B21" i="8"/>
  <c r="A21" i="8"/>
  <c r="C21" i="8" s="1"/>
  <c r="J21" i="8" s="1"/>
  <c r="B20" i="8"/>
  <c r="E20" i="8" s="1"/>
  <c r="H20" i="8" s="1"/>
  <c r="A20" i="8"/>
  <c r="A30" i="8" s="1"/>
  <c r="C30" i="8" s="1"/>
  <c r="J30" i="8" s="1"/>
  <c r="B19" i="8"/>
  <c r="E19" i="8" s="1"/>
  <c r="H19" i="8" s="1"/>
  <c r="A19" i="8"/>
  <c r="A29" i="8" s="1"/>
  <c r="C29" i="8" s="1"/>
  <c r="J29" i="8" s="1"/>
  <c r="B18" i="8"/>
  <c r="A18" i="8"/>
  <c r="A28" i="8" s="1"/>
  <c r="C28" i="8" s="1"/>
  <c r="J28" i="8" s="1"/>
  <c r="B17" i="8"/>
  <c r="A17" i="8"/>
  <c r="C17" i="8" s="1"/>
  <c r="J17" i="8" s="1"/>
  <c r="B16" i="8"/>
  <c r="E16" i="8" s="1"/>
  <c r="H16" i="8" s="1"/>
  <c r="A16" i="8"/>
  <c r="C16" i="8" s="1"/>
  <c r="J16" i="8" s="1"/>
  <c r="B15" i="8"/>
  <c r="A15" i="8"/>
  <c r="B14" i="8"/>
  <c r="E14" i="8" s="1"/>
  <c r="H14" i="8" s="1"/>
  <c r="A14" i="8"/>
  <c r="B13" i="8"/>
  <c r="E13" i="8" s="1"/>
  <c r="H13" i="8" s="1"/>
  <c r="A13" i="8"/>
  <c r="C13" i="8" s="1"/>
  <c r="J13" i="8" s="1"/>
  <c r="B12" i="8"/>
  <c r="E12" i="8" s="1"/>
  <c r="H12" i="8" s="1"/>
  <c r="A12" i="8"/>
  <c r="C12" i="8" s="1"/>
  <c r="J12" i="8" s="1"/>
  <c r="C11" i="8"/>
  <c r="J11" i="8" s="1"/>
  <c r="C10" i="8"/>
  <c r="J10" i="8" s="1"/>
  <c r="C9" i="8"/>
  <c r="J9" i="8" s="1"/>
  <c r="C8" i="8"/>
  <c r="J8" i="8" s="1"/>
  <c r="C7" i="8"/>
  <c r="J7" i="8" s="1"/>
  <c r="C6" i="8"/>
  <c r="J6" i="8" s="1"/>
  <c r="C5" i="8"/>
  <c r="J5" i="8" s="1"/>
  <c r="C4" i="8"/>
  <c r="J4" i="8" s="1"/>
  <c r="C3" i="8"/>
  <c r="J3" i="8" s="1"/>
  <c r="C2" i="8"/>
  <c r="J2" i="8" s="1"/>
  <c r="C27" i="8" l="1"/>
  <c r="J27" i="8" s="1"/>
  <c r="B24" i="8"/>
  <c r="B27" i="8"/>
  <c r="E17" i="8"/>
  <c r="H17" i="8" s="1"/>
  <c r="C20" i="8"/>
  <c r="J20" i="8" s="1"/>
  <c r="A26" i="8"/>
  <c r="A36" i="8" s="1"/>
  <c r="C36" i="8" s="1"/>
  <c r="J36" i="8" s="1"/>
  <c r="A31" i="8"/>
  <c r="B31" i="8"/>
  <c r="E21" i="8"/>
  <c r="H21" i="8" s="1"/>
  <c r="A38" i="8"/>
  <c r="C38" i="8" s="1"/>
  <c r="J38" i="8" s="1"/>
  <c r="B28" i="8"/>
  <c r="E18" i="8"/>
  <c r="H18" i="8" s="1"/>
  <c r="B25" i="8"/>
  <c r="E15" i="8"/>
  <c r="H15" i="8" s="1"/>
  <c r="A39" i="8"/>
  <c r="B30" i="8"/>
  <c r="B26" i="8"/>
  <c r="C37" i="8"/>
  <c r="J37" i="8" s="1"/>
  <c r="B32" i="8"/>
  <c r="H22" i="8"/>
  <c r="B23" i="8"/>
  <c r="B29" i="8"/>
  <c r="A57" i="8"/>
  <c r="C47" i="8"/>
  <c r="J47" i="8" s="1"/>
  <c r="A41" i="8"/>
  <c r="C31" i="8"/>
  <c r="J31" i="8" s="1"/>
  <c r="A49" i="8"/>
  <c r="C39" i="8"/>
  <c r="J39" i="8" s="1"/>
  <c r="A34" i="8"/>
  <c r="C24" i="8"/>
  <c r="J24" i="8" s="1"/>
  <c r="A22" i="8"/>
  <c r="A40" i="8"/>
  <c r="A46" i="8"/>
  <c r="A48" i="8"/>
  <c r="C14" i="8"/>
  <c r="J14" i="8" s="1"/>
  <c r="C19" i="8"/>
  <c r="J19" i="8" s="1"/>
  <c r="C26" i="8"/>
  <c r="J26" i="8" s="1"/>
  <c r="A33" i="8"/>
  <c r="C23" i="8"/>
  <c r="J23" i="8" s="1"/>
  <c r="A25" i="8"/>
  <c r="C15" i="8"/>
  <c r="J15" i="8" s="1"/>
  <c r="C18" i="8"/>
  <c r="J18" i="8" s="1"/>
  <c r="B36" i="8" l="1"/>
  <c r="H26" i="8"/>
  <c r="B40" i="8"/>
  <c r="H30" i="8"/>
  <c r="B41" i="8"/>
  <c r="H31" i="8"/>
  <c r="B35" i="8"/>
  <c r="H25" i="8"/>
  <c r="B39" i="8"/>
  <c r="H29" i="8"/>
  <c r="B33" i="8"/>
  <c r="H23" i="8"/>
  <c r="B42" i="8"/>
  <c r="E32" i="8"/>
  <c r="H32" i="8" s="1"/>
  <c r="H28" i="8"/>
  <c r="B38" i="8"/>
  <c r="B37" i="8"/>
  <c r="H27" i="8"/>
  <c r="B34" i="8"/>
  <c r="H24" i="8"/>
  <c r="A51" i="8"/>
  <c r="C41" i="8"/>
  <c r="J41" i="8" s="1"/>
  <c r="C48" i="8"/>
  <c r="J48" i="8" s="1"/>
  <c r="A58" i="8"/>
  <c r="A35" i="8"/>
  <c r="C25" i="8"/>
  <c r="J25" i="8" s="1"/>
  <c r="A44" i="8"/>
  <c r="C34" i="8"/>
  <c r="J34" i="8" s="1"/>
  <c r="A59" i="8"/>
  <c r="C49" i="8"/>
  <c r="J49" i="8" s="1"/>
  <c r="C46" i="8"/>
  <c r="J46" i="8" s="1"/>
  <c r="A56" i="8"/>
  <c r="C40" i="8"/>
  <c r="J40" i="8" s="1"/>
  <c r="A50" i="8"/>
  <c r="A32" i="8"/>
  <c r="C22" i="8"/>
  <c r="J22" i="8" s="1"/>
  <c r="A43" i="8"/>
  <c r="C33" i="8"/>
  <c r="J33" i="8" s="1"/>
  <c r="A67" i="8"/>
  <c r="C57" i="8"/>
  <c r="J57" i="8" s="1"/>
  <c r="B45" i="8" l="1"/>
  <c r="E35" i="8"/>
  <c r="H35" i="8" s="1"/>
  <c r="B52" i="8"/>
  <c r="E42" i="8"/>
  <c r="H42" i="8" s="1"/>
  <c r="B51" i="8"/>
  <c r="E41" i="8"/>
  <c r="H41" i="8" s="1"/>
  <c r="B48" i="8"/>
  <c r="E38" i="8"/>
  <c r="H38" i="8" s="1"/>
  <c r="B44" i="8"/>
  <c r="E34" i="8"/>
  <c r="H34" i="8" s="1"/>
  <c r="B43" i="8"/>
  <c r="E33" i="8"/>
  <c r="H33" i="8" s="1"/>
  <c r="B50" i="8"/>
  <c r="E40" i="8"/>
  <c r="H40" i="8" s="1"/>
  <c r="B47" i="8"/>
  <c r="E37" i="8"/>
  <c r="H37" i="8" s="1"/>
  <c r="B49" i="8"/>
  <c r="E39" i="8"/>
  <c r="H39" i="8" s="1"/>
  <c r="B46" i="8"/>
  <c r="E36" i="8"/>
  <c r="H36" i="8" s="1"/>
  <c r="A69" i="8"/>
  <c r="C59" i="8"/>
  <c r="J59" i="8" s="1"/>
  <c r="A68" i="8"/>
  <c r="C58" i="8"/>
  <c r="J58" i="8" s="1"/>
  <c r="A77" i="8"/>
  <c r="C67" i="8"/>
  <c r="J67" i="8" s="1"/>
  <c r="C44" i="8"/>
  <c r="J44" i="8" s="1"/>
  <c r="A54" i="8"/>
  <c r="A53" i="8"/>
  <c r="C43" i="8"/>
  <c r="J43" i="8" s="1"/>
  <c r="C56" i="8"/>
  <c r="J56" i="8" s="1"/>
  <c r="A66" i="8"/>
  <c r="C32" i="8"/>
  <c r="J32" i="8" s="1"/>
  <c r="A42" i="8"/>
  <c r="A45" i="8"/>
  <c r="C35" i="8"/>
  <c r="J35" i="8" s="1"/>
  <c r="A60" i="8"/>
  <c r="C50" i="8"/>
  <c r="J50" i="8" s="1"/>
  <c r="A61" i="8"/>
  <c r="C51" i="8"/>
  <c r="J51" i="8" s="1"/>
  <c r="B57" i="8" l="1"/>
  <c r="E47" i="8"/>
  <c r="H47" i="8" s="1"/>
  <c r="B58" i="8"/>
  <c r="E48" i="8"/>
  <c r="H48" i="8" s="1"/>
  <c r="B56" i="8"/>
  <c r="E46" i="8"/>
  <c r="H46" i="8" s="1"/>
  <c r="B53" i="8"/>
  <c r="E43" i="8"/>
  <c r="H43" i="8" s="1"/>
  <c r="B62" i="8"/>
  <c r="E52" i="8"/>
  <c r="H52" i="8" s="1"/>
  <c r="B60" i="8"/>
  <c r="E50" i="8"/>
  <c r="H50" i="8" s="1"/>
  <c r="B61" i="8"/>
  <c r="E51" i="8"/>
  <c r="H51" i="8" s="1"/>
  <c r="B59" i="8"/>
  <c r="E49" i="8"/>
  <c r="H49" i="8" s="1"/>
  <c r="B54" i="8"/>
  <c r="E44" i="8"/>
  <c r="H44" i="8" s="1"/>
  <c r="B55" i="8"/>
  <c r="E45" i="8"/>
  <c r="H45" i="8" s="1"/>
  <c r="A87" i="8"/>
  <c r="C77" i="8"/>
  <c r="J77" i="8" s="1"/>
  <c r="A78" i="8"/>
  <c r="C68" i="8"/>
  <c r="J68" i="8" s="1"/>
  <c r="A63" i="8"/>
  <c r="C53" i="8"/>
  <c r="J53" i="8" s="1"/>
  <c r="A71" i="8"/>
  <c r="C61" i="8"/>
  <c r="J61" i="8" s="1"/>
  <c r="A52" i="8"/>
  <c r="C42" i="8"/>
  <c r="J42" i="8" s="1"/>
  <c r="C54" i="8"/>
  <c r="J54" i="8" s="1"/>
  <c r="A64" i="8"/>
  <c r="A79" i="8"/>
  <c r="C69" i="8"/>
  <c r="J69" i="8" s="1"/>
  <c r="C60" i="8"/>
  <c r="J60" i="8" s="1"/>
  <c r="A70" i="8"/>
  <c r="A76" i="8"/>
  <c r="C66" i="8"/>
  <c r="J66" i="8" s="1"/>
  <c r="A55" i="8"/>
  <c r="C45" i="8"/>
  <c r="J45" i="8" s="1"/>
  <c r="B69" i="8" l="1"/>
  <c r="E59" i="8"/>
  <c r="H59" i="8" s="1"/>
  <c r="B63" i="8"/>
  <c r="E53" i="8"/>
  <c r="H53" i="8" s="1"/>
  <c r="B71" i="8"/>
  <c r="E61" i="8"/>
  <c r="H61" i="8" s="1"/>
  <c r="B65" i="8"/>
  <c r="E55" i="8"/>
  <c r="H55" i="8" s="1"/>
  <c r="E60" i="8"/>
  <c r="H60" i="8" s="1"/>
  <c r="B70" i="8"/>
  <c r="B68" i="8"/>
  <c r="E58" i="8"/>
  <c r="H58" i="8" s="1"/>
  <c r="B66" i="8"/>
  <c r="E56" i="8"/>
  <c r="H56" i="8" s="1"/>
  <c r="B64" i="8"/>
  <c r="E54" i="8"/>
  <c r="H54" i="8" s="1"/>
  <c r="E62" i="8"/>
  <c r="H62" i="8" s="1"/>
  <c r="B72" i="8"/>
  <c r="B67" i="8"/>
  <c r="E57" i="8"/>
  <c r="H57" i="8" s="1"/>
  <c r="C76" i="8"/>
  <c r="J76" i="8" s="1"/>
  <c r="A86" i="8"/>
  <c r="A74" i="8"/>
  <c r="C64" i="8"/>
  <c r="J64" i="8" s="1"/>
  <c r="A88" i="8"/>
  <c r="C78" i="8"/>
  <c r="J78" i="8" s="1"/>
  <c r="C52" i="8"/>
  <c r="J52" i="8" s="1"/>
  <c r="A62" i="8"/>
  <c r="A97" i="8"/>
  <c r="C97" i="8" s="1"/>
  <c r="J97" i="8" s="1"/>
  <c r="C87" i="8"/>
  <c r="J87" i="8" s="1"/>
  <c r="A80" i="8"/>
  <c r="C70" i="8"/>
  <c r="J70" i="8" s="1"/>
  <c r="A65" i="8"/>
  <c r="C55" i="8"/>
  <c r="J55" i="8" s="1"/>
  <c r="A81" i="8"/>
  <c r="C71" i="8"/>
  <c r="J71" i="8" s="1"/>
  <c r="A89" i="8"/>
  <c r="C79" i="8"/>
  <c r="J79" i="8" s="1"/>
  <c r="A73" i="8"/>
  <c r="C63" i="8"/>
  <c r="J63" i="8" s="1"/>
  <c r="B74" i="8" l="1"/>
  <c r="E64" i="8"/>
  <c r="H64" i="8" s="1"/>
  <c r="B75" i="8"/>
  <c r="E65" i="8"/>
  <c r="H65" i="8" s="1"/>
  <c r="B77" i="8"/>
  <c r="E67" i="8"/>
  <c r="H67" i="8" s="1"/>
  <c r="B78" i="8"/>
  <c r="E68" i="8"/>
  <c r="H68" i="8" s="1"/>
  <c r="B73" i="8"/>
  <c r="E63" i="8"/>
  <c r="H63" i="8" s="1"/>
  <c r="B76" i="8"/>
  <c r="E66" i="8"/>
  <c r="H66" i="8" s="1"/>
  <c r="B81" i="8"/>
  <c r="E71" i="8"/>
  <c r="H71" i="8" s="1"/>
  <c r="B82" i="8"/>
  <c r="H72" i="8"/>
  <c r="B80" i="8"/>
  <c r="E70" i="8"/>
  <c r="H70" i="8" s="1"/>
  <c r="B79" i="8"/>
  <c r="E69" i="8"/>
  <c r="H69" i="8" s="1"/>
  <c r="A91" i="8"/>
  <c r="C81" i="8"/>
  <c r="J81" i="8" s="1"/>
  <c r="A75" i="8"/>
  <c r="C65" i="8"/>
  <c r="J65" i="8" s="1"/>
  <c r="A84" i="8"/>
  <c r="C74" i="8"/>
  <c r="J74" i="8" s="1"/>
  <c r="A72" i="8"/>
  <c r="C62" i="8"/>
  <c r="J62" i="8" s="1"/>
  <c r="A96" i="8"/>
  <c r="C96" i="8" s="1"/>
  <c r="J96" i="8" s="1"/>
  <c r="C86" i="8"/>
  <c r="J86" i="8" s="1"/>
  <c r="A99" i="8"/>
  <c r="C99" i="8" s="1"/>
  <c r="J99" i="8" s="1"/>
  <c r="C89" i="8"/>
  <c r="J89" i="8" s="1"/>
  <c r="A90" i="8"/>
  <c r="C80" i="8"/>
  <c r="J80" i="8" s="1"/>
  <c r="A98" i="8"/>
  <c r="C98" i="8" s="1"/>
  <c r="J98" i="8" s="1"/>
  <c r="C88" i="8"/>
  <c r="J88" i="8" s="1"/>
  <c r="A83" i="8"/>
  <c r="C73" i="8"/>
  <c r="J73" i="8" s="1"/>
  <c r="B92" i="8" l="1"/>
  <c r="H92" i="8" s="1"/>
  <c r="H82" i="8"/>
  <c r="H78" i="8"/>
  <c r="B88" i="8"/>
  <c r="B91" i="8"/>
  <c r="H81" i="8"/>
  <c r="B89" i="8"/>
  <c r="H79" i="8"/>
  <c r="H76" i="8"/>
  <c r="B86" i="8"/>
  <c r="B85" i="8"/>
  <c r="H75" i="8"/>
  <c r="B87" i="8"/>
  <c r="H77" i="8"/>
  <c r="B90" i="8"/>
  <c r="H80" i="8"/>
  <c r="B83" i="8"/>
  <c r="H73" i="8"/>
  <c r="B84" i="8"/>
  <c r="H74" i="8"/>
  <c r="A100" i="8"/>
  <c r="C100" i="8" s="1"/>
  <c r="J100" i="8" s="1"/>
  <c r="C90" i="8"/>
  <c r="J90" i="8" s="1"/>
  <c r="A94" i="8"/>
  <c r="C94" i="8" s="1"/>
  <c r="J94" i="8" s="1"/>
  <c r="C84" i="8"/>
  <c r="J84" i="8" s="1"/>
  <c r="A93" i="8"/>
  <c r="C93" i="8" s="1"/>
  <c r="J93" i="8" s="1"/>
  <c r="C83" i="8"/>
  <c r="J83" i="8" s="1"/>
  <c r="A85" i="8"/>
  <c r="C75" i="8"/>
  <c r="J75" i="8" s="1"/>
  <c r="A82" i="8"/>
  <c r="C72" i="8"/>
  <c r="J72" i="8" s="1"/>
  <c r="A101" i="8"/>
  <c r="C101" i="8" s="1"/>
  <c r="J101" i="8" s="1"/>
  <c r="C91" i="8"/>
  <c r="J91" i="8" s="1"/>
  <c r="B93" i="8" l="1"/>
  <c r="H93" i="8" s="1"/>
  <c r="H83" i="8"/>
  <c r="B100" i="8"/>
  <c r="H100" i="8" s="1"/>
  <c r="H90" i="8"/>
  <c r="B99" i="8"/>
  <c r="H99" i="8" s="1"/>
  <c r="H89" i="8"/>
  <c r="B97" i="8"/>
  <c r="H97" i="8" s="1"/>
  <c r="H87" i="8"/>
  <c r="B101" i="8"/>
  <c r="H101" i="8" s="1"/>
  <c r="H91" i="8"/>
  <c r="B98" i="8"/>
  <c r="H98" i="8" s="1"/>
  <c r="H88" i="8"/>
  <c r="B94" i="8"/>
  <c r="H94" i="8" s="1"/>
  <c r="H84" i="8"/>
  <c r="B95" i="8"/>
  <c r="H95" i="8" s="1"/>
  <c r="H85" i="8"/>
  <c r="B96" i="8"/>
  <c r="H96" i="8" s="1"/>
  <c r="H86" i="8"/>
  <c r="A92" i="8"/>
  <c r="C92" i="8" s="1"/>
  <c r="J92" i="8" s="1"/>
  <c r="C82" i="8"/>
  <c r="J82" i="8" s="1"/>
  <c r="A95" i="8"/>
  <c r="C95" i="8" s="1"/>
  <c r="J95" i="8" s="1"/>
  <c r="C85" i="8"/>
  <c r="J85" i="8" s="1"/>
  <c r="D20" i="11" l="1"/>
  <c r="D21" i="11" l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D41" i="11" s="1"/>
  <c r="D42" i="11" s="1"/>
  <c r="D43" i="11" s="1"/>
  <c r="D44" i="11" s="1"/>
  <c r="D45" i="11" s="1"/>
  <c r="D46" i="11" s="1"/>
  <c r="D47" i="11" s="1"/>
  <c r="D48" i="11" s="1"/>
  <c r="C8" i="11" l="1"/>
  <c r="K7" i="11" l="1"/>
  <c r="K5" i="11"/>
  <c r="L8" i="11" l="1"/>
  <c r="K4" i="11"/>
  <c r="K8" i="11" s="1"/>
  <c r="B2" i="4"/>
  <c r="C31" i="11" l="1"/>
  <c r="C30" i="11"/>
  <c r="C34" i="11"/>
  <c r="C25" i="11"/>
  <c r="C33" i="11"/>
  <c r="C22" i="11"/>
  <c r="C29" i="11"/>
  <c r="C36" i="11"/>
  <c r="C24" i="11"/>
  <c r="C28" i="11"/>
  <c r="C26" i="11"/>
  <c r="C35" i="11"/>
  <c r="C21" i="11"/>
  <c r="C32" i="11"/>
  <c r="C27" i="11"/>
  <c r="C20" i="11"/>
  <c r="C23" i="11"/>
  <c r="E20" i="11" l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H10" i="11" l="1"/>
  <c r="H12" i="11" s="1"/>
  <c r="B18" i="11" s="1"/>
  <c r="B53" i="11" l="1"/>
  <c r="B51" i="11"/>
  <c r="B69" i="11"/>
  <c r="B68" i="11"/>
  <c r="B90" i="11"/>
  <c r="B79" i="11"/>
  <c r="B85" i="11"/>
  <c r="B99" i="11"/>
  <c r="B66" i="11"/>
  <c r="B81" i="11"/>
  <c r="B61" i="11"/>
  <c r="B86" i="11"/>
  <c r="B76" i="11"/>
  <c r="B91" i="11"/>
  <c r="B80" i="11"/>
  <c r="B54" i="11"/>
  <c r="B71" i="11"/>
  <c r="B56" i="11"/>
  <c r="B82" i="11"/>
  <c r="B72" i="11"/>
  <c r="B74" i="11"/>
  <c r="B73" i="11"/>
  <c r="B67" i="11"/>
  <c r="B62" i="11"/>
  <c r="B50" i="11"/>
  <c r="B58" i="11"/>
  <c r="B89" i="11"/>
  <c r="B65" i="11"/>
  <c r="B57" i="11"/>
  <c r="B77" i="11"/>
  <c r="B75" i="11"/>
  <c r="B64" i="11"/>
  <c r="B92" i="11"/>
  <c r="B96" i="11"/>
  <c r="B93" i="11"/>
  <c r="B78" i="11"/>
  <c r="B97" i="11"/>
  <c r="B59" i="11"/>
  <c r="B83" i="11"/>
  <c r="B84" i="11"/>
  <c r="B98" i="11"/>
  <c r="B70" i="11"/>
  <c r="B88" i="11"/>
  <c r="B52" i="11"/>
  <c r="B60" i="11"/>
  <c r="B87" i="11"/>
  <c r="B63" i="11"/>
  <c r="B55" i="11"/>
  <c r="B94" i="11"/>
  <c r="B95" i="11"/>
  <c r="B49" i="11"/>
  <c r="D49" i="11" s="1"/>
  <c r="D50" i="11" l="1"/>
  <c r="D51" i="11" s="1"/>
  <c r="D52" i="11" s="1"/>
  <c r="D53" i="11" s="1"/>
  <c r="D54" i="11" s="1"/>
  <c r="D55" i="11" s="1"/>
  <c r="D56" i="11" s="1"/>
  <c r="D57" i="11" s="1"/>
  <c r="D58" i="11" s="1"/>
  <c r="D59" i="11" s="1"/>
  <c r="D60" i="11" s="1"/>
  <c r="D61" i="11" s="1"/>
  <c r="D62" i="11" s="1"/>
  <c r="D63" i="11" s="1"/>
  <c r="D64" i="11" s="1"/>
  <c r="D65" i="11" s="1"/>
  <c r="D66" i="11" s="1"/>
  <c r="D67" i="11" s="1"/>
  <c r="D68" i="11" s="1"/>
  <c r="D69" i="11" s="1"/>
  <c r="D70" i="11" s="1"/>
  <c r="D71" i="11" s="1"/>
  <c r="D72" i="11" s="1"/>
  <c r="D73" i="11" s="1"/>
  <c r="D74" i="11" s="1"/>
  <c r="D75" i="11" s="1"/>
  <c r="D76" i="11" s="1"/>
  <c r="D77" i="11" s="1"/>
  <c r="D78" i="11" s="1"/>
  <c r="D79" i="11" s="1"/>
  <c r="D80" i="11" s="1"/>
  <c r="D81" i="11" s="1"/>
  <c r="D82" i="11" s="1"/>
  <c r="D83" i="11" s="1"/>
  <c r="D84" i="11" s="1"/>
  <c r="D85" i="11" s="1"/>
  <c r="D86" i="11" s="1"/>
  <c r="D87" i="11" s="1"/>
  <c r="D88" i="11" s="1"/>
  <c r="D89" i="11" s="1"/>
  <c r="D90" i="11" s="1"/>
  <c r="D91" i="11" s="1"/>
  <c r="D92" i="11" s="1"/>
  <c r="D93" i="11" s="1"/>
  <c r="D94" i="11" s="1"/>
  <c r="D95" i="11" s="1"/>
  <c r="D96" i="11" s="1"/>
  <c r="D97" i="11" s="1"/>
  <c r="D98" i="11" s="1"/>
  <c r="D99" i="11" s="1"/>
  <c r="C91" i="11" l="1"/>
  <c r="C92" i="11"/>
  <c r="C90" i="11"/>
  <c r="C87" i="11"/>
  <c r="C85" i="11"/>
  <c r="C86" i="11"/>
  <c r="C94" i="11"/>
  <c r="C96" i="11"/>
  <c r="C72" i="11"/>
  <c r="C70" i="11"/>
  <c r="C89" i="11"/>
  <c r="C83" i="11"/>
  <c r="C93" i="11"/>
  <c r="C71" i="11"/>
  <c r="C78" i="11"/>
  <c r="C79" i="11"/>
  <c r="C97" i="11"/>
  <c r="C98" i="11"/>
  <c r="C81" i="11"/>
  <c r="C77" i="11"/>
  <c r="C73" i="11"/>
  <c r="C76" i="11"/>
  <c r="C82" i="11"/>
  <c r="C95" i="11"/>
  <c r="C80" i="11"/>
  <c r="C74" i="11"/>
  <c r="C99" i="11"/>
  <c r="C84" i="11"/>
  <c r="C88" i="11"/>
  <c r="C75" i="11"/>
  <c r="C47" i="11"/>
  <c r="C66" i="11"/>
  <c r="C61" i="11"/>
  <c r="C64" i="11"/>
  <c r="C37" i="11"/>
  <c r="C67" i="11"/>
  <c r="C44" i="11"/>
  <c r="C38" i="11"/>
  <c r="C52" i="11"/>
  <c r="C57" i="11"/>
  <c r="C46" i="11"/>
  <c r="C56" i="11"/>
  <c r="C43" i="11"/>
  <c r="C63" i="11"/>
  <c r="C48" i="11"/>
  <c r="C49" i="11"/>
  <c r="C45" i="11"/>
  <c r="C54" i="11"/>
  <c r="C51" i="11"/>
  <c r="C42" i="11"/>
  <c r="C53" i="11"/>
  <c r="C58" i="11"/>
  <c r="C39" i="11"/>
  <c r="C50" i="11"/>
  <c r="C40" i="11"/>
  <c r="C41" i="11"/>
  <c r="C69" i="11"/>
  <c r="C59" i="11"/>
  <c r="C65" i="11"/>
  <c r="C55" i="11"/>
  <c r="C68" i="11"/>
  <c r="C60" i="11"/>
  <c r="C62" i="11"/>
  <c r="C100" i="11" l="1"/>
  <c r="E37" i="1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</calcChain>
</file>

<file path=xl/comments1.xml><?xml version="1.0" encoding="utf-8"?>
<comments xmlns="http://schemas.openxmlformats.org/spreadsheetml/2006/main">
  <authors>
    <author>Javy</author>
  </authors>
  <commentLis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Javy:</t>
        </r>
        <r>
          <rPr>
            <sz val="9"/>
            <color indexed="81"/>
            <rFont val="宋体"/>
            <family val="3"/>
            <charset val="134"/>
          </rPr>
          <t xml:space="preserve">
这里应为：技能升级消耗的公会贡献值</t>
        </r>
      </text>
    </comment>
  </commentList>
</comments>
</file>

<file path=xl/comments2.xml><?xml version="1.0" encoding="utf-8"?>
<comments xmlns="http://schemas.openxmlformats.org/spreadsheetml/2006/main">
  <authors>
    <author>林峻Tyler</author>
  </authors>
  <commentLis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林峻Tyler:</t>
        </r>
        <r>
          <rPr>
            <sz val="9"/>
            <color indexed="81"/>
            <rFont val="宋体"/>
            <family val="3"/>
            <charset val="134"/>
          </rPr>
          <t xml:space="preserve">
概率填-1为必然出现
概率填0为不出现</t>
        </r>
      </text>
    </comment>
    <comment ref="L1" authorId="0" shapeId="0">
      <text>
        <r>
          <rPr>
            <b/>
            <sz val="9"/>
            <color indexed="81"/>
            <rFont val="宋体"/>
            <family val="3"/>
            <charset val="134"/>
          </rPr>
          <t>林峻Tyler:</t>
        </r>
        <r>
          <rPr>
            <sz val="9"/>
            <color indexed="81"/>
            <rFont val="宋体"/>
            <family val="3"/>
            <charset val="134"/>
          </rPr>
          <t xml:space="preserve">
出现概率：策划配置概率
真实概率：商店刷新概率</t>
        </r>
      </text>
    </comment>
  </commentList>
</comments>
</file>

<file path=xl/sharedStrings.xml><?xml version="1.0" encoding="utf-8"?>
<sst xmlns="http://schemas.openxmlformats.org/spreadsheetml/2006/main" count="237" uniqueCount="222">
  <si>
    <t>社团等级</t>
  </si>
  <si>
    <t>需要钻石数</t>
  </si>
  <si>
    <t>需要捐献值</t>
  </si>
  <si>
    <t>人数</t>
  </si>
  <si>
    <t>副会长</t>
  </si>
  <si>
    <t>人员级别</t>
  </si>
  <si>
    <t>名称</t>
  </si>
  <si>
    <t>是否是管理人员</t>
  </si>
  <si>
    <t>核心任免</t>
  </si>
  <si>
    <t>职权赋予</t>
  </si>
  <si>
    <t>接收社员</t>
  </si>
  <si>
    <t>驱逐社员</t>
  </si>
  <si>
    <t>公文权</t>
  </si>
  <si>
    <t>社团建设</t>
  </si>
  <si>
    <t>社团战报名</t>
  </si>
  <si>
    <t>社团捐献</t>
  </si>
  <si>
    <t>成员禁言</t>
  </si>
  <si>
    <t>社团升级</t>
  </si>
  <si>
    <t>活动开启</t>
  </si>
  <si>
    <t>普通会员</t>
  </si>
  <si>
    <t>序号</t>
  </si>
  <si>
    <t>icon</t>
  </si>
  <si>
    <t>70001.png</t>
  </si>
  <si>
    <t>70002.png</t>
  </si>
  <si>
    <t>70003.png</t>
  </si>
  <si>
    <t>70101.png</t>
  </si>
  <si>
    <t>70201.png</t>
  </si>
  <si>
    <t>70301.png</t>
  </si>
  <si>
    <t>70401.png</t>
  </si>
  <si>
    <t>70501.png</t>
  </si>
  <si>
    <t>80110.png</t>
  </si>
  <si>
    <t>80111.png</t>
  </si>
  <si>
    <t>80112.png</t>
  </si>
  <si>
    <t>81003.png</t>
  </si>
  <si>
    <t>91100.png</t>
  </si>
  <si>
    <t>91200.png</t>
  </si>
  <si>
    <t>91300.png</t>
  </si>
  <si>
    <t>81100.png</t>
  </si>
  <si>
    <t>81200.png</t>
  </si>
  <si>
    <t>81300.png</t>
  </si>
  <si>
    <t>82001.png</t>
  </si>
  <si>
    <t>82100.png</t>
  </si>
  <si>
    <t>82200.png</t>
  </si>
  <si>
    <t>83300.png</t>
  </si>
  <si>
    <t>83002.png</t>
  </si>
  <si>
    <t>83003.png</t>
  </si>
  <si>
    <t>87200.png</t>
  </si>
  <si>
    <t>89300.png</t>
  </si>
  <si>
    <t>10001.png</t>
  </si>
  <si>
    <t>10102.png</t>
  </si>
  <si>
    <t>10204.png</t>
  </si>
  <si>
    <t>10305.png</t>
  </si>
  <si>
    <t>20001.png</t>
  </si>
  <si>
    <t>20102.png</t>
  </si>
  <si>
    <t>20204.png</t>
  </si>
  <si>
    <t>20305.png</t>
  </si>
  <si>
    <t>30001.png</t>
  </si>
  <si>
    <t>30102.png</t>
  </si>
  <si>
    <t>30204.png</t>
  </si>
  <si>
    <t>30305.png</t>
  </si>
  <si>
    <t>40001.png</t>
  </si>
  <si>
    <t>40304.png</t>
  </si>
  <si>
    <t>40305.png</t>
  </si>
  <si>
    <t>51001.png</t>
  </si>
  <si>
    <t>51102.png</t>
  </si>
  <si>
    <t>51204.png</t>
  </si>
  <si>
    <t>51305.png</t>
  </si>
  <si>
    <t>52001.png</t>
  </si>
  <si>
    <t>52102.png</t>
  </si>
  <si>
    <t>52204.png</t>
  </si>
  <si>
    <t>52305.png</t>
  </si>
  <si>
    <t>53001.png</t>
  </si>
  <si>
    <t>53102.png</t>
  </si>
  <si>
    <t>53204.png</t>
  </si>
  <si>
    <t>53305.png</t>
  </si>
  <si>
    <t>54001.png</t>
  </si>
  <si>
    <t>54102.png</t>
  </si>
  <si>
    <t>54204.png</t>
  </si>
  <si>
    <t>54305.png</t>
  </si>
  <si>
    <t>55002.png</t>
  </si>
  <si>
    <t>55103.png</t>
  </si>
  <si>
    <t>55204.png</t>
  </si>
  <si>
    <t>55305.png</t>
  </si>
  <si>
    <t>92011.png</t>
  </si>
  <si>
    <t>92012.png</t>
  </si>
  <si>
    <t>92013.png</t>
  </si>
  <si>
    <t>92014.png</t>
  </si>
  <si>
    <t>92026.png</t>
  </si>
  <si>
    <t>92121.png</t>
  </si>
  <si>
    <t>92122.png</t>
  </si>
  <si>
    <t>92124.png</t>
  </si>
  <si>
    <t>92125.png</t>
  </si>
  <si>
    <t>92131.png</t>
  </si>
  <si>
    <t>92134.png</t>
  </si>
  <si>
    <t>92141.png</t>
  </si>
  <si>
    <t>92142.png</t>
  </si>
  <si>
    <t>92223.png</t>
  </si>
  <si>
    <t>92227.png</t>
  </si>
  <si>
    <t>92228.png</t>
  </si>
  <si>
    <t>92232.png</t>
  </si>
  <si>
    <t>92233.png</t>
  </si>
  <si>
    <t>92235.png</t>
  </si>
  <si>
    <t>92236.png</t>
  </si>
  <si>
    <t>92240.png</t>
  </si>
  <si>
    <t>92243.png</t>
  </si>
  <si>
    <t>92244.png</t>
  </si>
  <si>
    <t>92245.png</t>
  </si>
  <si>
    <t>92251.png</t>
  </si>
  <si>
    <t>92252.png</t>
  </si>
  <si>
    <t>92253.png</t>
  </si>
  <si>
    <t>92254.png</t>
  </si>
  <si>
    <t>92255.png</t>
  </si>
  <si>
    <t>92256.png</t>
  </si>
  <si>
    <t>92261.png</t>
  </si>
  <si>
    <t>92262.png</t>
  </si>
  <si>
    <t>92263.png</t>
  </si>
  <si>
    <t>92264.png</t>
  </si>
  <si>
    <t>92271.png</t>
  </si>
  <si>
    <t>92272.png</t>
  </si>
  <si>
    <t>92273.png</t>
  </si>
  <si>
    <t>92274.png</t>
  </si>
  <si>
    <t>92275.png</t>
  </si>
  <si>
    <t>92276.png</t>
  </si>
  <si>
    <t>92277.png</t>
  </si>
  <si>
    <t>92278.png</t>
  </si>
  <si>
    <t>92279.png</t>
  </si>
  <si>
    <t>92280.png</t>
  </si>
  <si>
    <t>92281.png</t>
  </si>
  <si>
    <t>92282.png</t>
  </si>
  <si>
    <t>92283.png</t>
  </si>
  <si>
    <t>92284.png</t>
  </si>
  <si>
    <t>92285.png</t>
  </si>
  <si>
    <t>92286.png</t>
  </si>
  <si>
    <t>92287.png</t>
  </si>
  <si>
    <t>92288.png</t>
  </si>
  <si>
    <t>92289.png</t>
  </si>
  <si>
    <t>92290.png</t>
  </si>
  <si>
    <t>92291.png</t>
  </si>
  <si>
    <t>92292.png</t>
  </si>
  <si>
    <t>92293.png</t>
  </si>
  <si>
    <t>92294.png</t>
  </si>
  <si>
    <t>92295.png</t>
  </si>
  <si>
    <t>92296.png</t>
  </si>
  <si>
    <t>92297.png</t>
  </si>
  <si>
    <t>92298.png</t>
  </si>
  <si>
    <t>92299.png</t>
  </si>
  <si>
    <t>Goldcopy.png</t>
  </si>
  <si>
    <t>Dragoncopy.png</t>
  </si>
  <si>
    <t>Bosscopy.png</t>
  </si>
  <si>
    <t>Materialcopy.png</t>
  </si>
  <si>
    <t>Hero.png</t>
  </si>
  <si>
    <t>公会等级</t>
  </si>
  <si>
    <t>工坊等级</t>
  </si>
  <si>
    <t>工坊技能个数</t>
  </si>
  <si>
    <t>技能等级上限</t>
  </si>
  <si>
    <t>工坊升级消耗</t>
  </si>
  <si>
    <t>技能描述ID</t>
  </si>
  <si>
    <t>技能名称</t>
  </si>
  <si>
    <t>技能描述</t>
  </si>
  <si>
    <t>技能icon</t>
  </si>
  <si>
    <t>攻击提升</t>
  </si>
  <si>
    <t>生命提升</t>
  </si>
  <si>
    <t>防御提升</t>
  </si>
  <si>
    <t>暴击提升</t>
  </si>
  <si>
    <t>减伤提升</t>
  </si>
  <si>
    <t>捐献金币</t>
  </si>
  <si>
    <t>捐献钻石</t>
  </si>
  <si>
    <t>个人贡献</t>
  </si>
  <si>
    <t>公会贡献</t>
  </si>
  <si>
    <t>捐献次数</t>
  </si>
  <si>
    <t>工坊技能ID</t>
    <phoneticPr fontId="1" type="noConversion"/>
  </si>
  <si>
    <t>技能等级</t>
    <phoneticPr fontId="1" type="noConversion"/>
  </si>
  <si>
    <t>技能描述ID</t>
    <phoneticPr fontId="1" type="noConversion"/>
  </si>
  <si>
    <t>技能1类型</t>
    <phoneticPr fontId="1" type="noConversion"/>
  </si>
  <si>
    <t>技能1数值</t>
    <phoneticPr fontId="1" type="noConversion"/>
  </si>
  <si>
    <t>工坊技能个数</t>
    <phoneticPr fontId="1" type="noConversion"/>
  </si>
  <si>
    <t>总捐献值消耗</t>
    <phoneticPr fontId="1" type="noConversion"/>
  </si>
  <si>
    <t>个人捐献</t>
    <phoneticPr fontId="1" type="noConversion"/>
  </si>
  <si>
    <t>捐献次数</t>
    <phoneticPr fontId="1" type="noConversion"/>
  </si>
  <si>
    <t>个人最大捐献</t>
    <phoneticPr fontId="1" type="noConversion"/>
  </si>
  <si>
    <t>个人正常捐献</t>
    <phoneticPr fontId="1" type="noConversion"/>
  </si>
  <si>
    <t>掉落ID</t>
  </si>
  <si>
    <t>物品ID</t>
  </si>
  <si>
    <t>物品名称</t>
  </si>
  <si>
    <t>数量</t>
  </si>
  <si>
    <t>出现概率</t>
  </si>
  <si>
    <t>真实概率</t>
  </si>
  <si>
    <t>公会贡献</t>
    <phoneticPr fontId="1" type="noConversion"/>
  </si>
  <si>
    <t>技能石总需求量</t>
    <phoneticPr fontId="1" type="noConversion"/>
  </si>
  <si>
    <t>天数</t>
    <phoneticPr fontId="1" type="noConversion"/>
  </si>
  <si>
    <t>每天供给</t>
    <phoneticPr fontId="1" type="noConversion"/>
  </si>
  <si>
    <t>技能石</t>
    <phoneticPr fontId="1" type="noConversion"/>
  </si>
  <si>
    <t>总获得</t>
    <phoneticPr fontId="1" type="noConversion"/>
  </si>
  <si>
    <t>总需要</t>
    <phoneticPr fontId="1" type="noConversion"/>
  </si>
  <si>
    <t>每级获得</t>
    <phoneticPr fontId="1" type="noConversion"/>
  </si>
  <si>
    <t>每级需要</t>
    <phoneticPr fontId="1" type="noConversion"/>
  </si>
  <si>
    <t>堂口成员攻击</t>
  </si>
  <si>
    <t>堂口成员生命值</t>
  </si>
  <si>
    <t>堂口成员防御</t>
  </si>
  <si>
    <t>堂口成员伤害</t>
  </si>
  <si>
    <t>堂口成员减伤</t>
  </si>
  <si>
    <t>堂主</t>
    <phoneticPr fontId="1" type="noConversion"/>
  </si>
  <si>
    <t>副堂主</t>
    <phoneticPr fontId="1" type="noConversion"/>
  </si>
  <si>
    <t>个人收益</t>
    <phoneticPr fontId="1" type="noConversion"/>
  </si>
  <si>
    <t>公会收益</t>
    <phoneticPr fontId="1" type="noConversion"/>
  </si>
  <si>
    <t>公会极限升级天数</t>
    <phoneticPr fontId="1" type="noConversion"/>
  </si>
  <si>
    <t>普通公会升级天数</t>
    <phoneticPr fontId="1" type="noConversion"/>
  </si>
  <si>
    <t>活跃公会升级天数</t>
    <phoneticPr fontId="1" type="noConversion"/>
  </si>
  <si>
    <t>商城刷新消耗</t>
    <phoneticPr fontId="1" type="noConversion"/>
  </si>
  <si>
    <t>属性价值</t>
    <phoneticPr fontId="1" type="noConversion"/>
  </si>
  <si>
    <t>闪避提升</t>
    <phoneticPr fontId="1" type="noConversion"/>
  </si>
  <si>
    <t>堂口成员暴击值</t>
    <phoneticPr fontId="1" type="noConversion"/>
  </si>
  <si>
    <t>堂口成员闪避值</t>
    <phoneticPr fontId="1" type="noConversion"/>
  </si>
  <si>
    <t>消耗钻石</t>
    <phoneticPr fontId="1" type="noConversion"/>
  </si>
  <si>
    <t>公会技能消耗</t>
    <phoneticPr fontId="1" type="noConversion"/>
  </si>
  <si>
    <t>每次劫掠</t>
    <phoneticPr fontId="1" type="noConversion"/>
  </si>
  <si>
    <t>钻石价值</t>
    <phoneticPr fontId="1" type="noConversion"/>
  </si>
  <si>
    <t>钻石对应贡献</t>
    <phoneticPr fontId="1" type="noConversion"/>
  </si>
  <si>
    <t>马仔折扣</t>
    <phoneticPr fontId="1" type="noConversion"/>
  </si>
  <si>
    <t>期望获得</t>
    <phoneticPr fontId="1" type="noConversion"/>
  </si>
  <si>
    <t>参考值</t>
    <phoneticPr fontId="1" type="noConversion"/>
  </si>
  <si>
    <t>伤害提升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</si>
</sst>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theme="1"/>
      <name val="宋体"/>
      <family val="2"/>
      <scheme val="minor"/>
    </font>
    <font>
      <sz val="11"/>
      <color theme="0"/>
      <name val="宋体"/>
      <family val="3"/>
      <charset val="134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9" fontId="4" fillId="0" borderId="0" applyFont="0" applyFill="0" applyBorder="0" applyAlignment="0" applyProtection="0">
      <alignment vertical="center"/>
    </xf>
  </cellStyleXfs>
  <cellXfs count="25">
    <xf numFmtId="0" fontId="0" fillId="0" borderId="0" xfId="0"/>
    <xf numFmtId="0" fontId="0" fillId="2" borderId="0" xfId="0" applyFill="1"/>
    <xf numFmtId="0" fontId="0" fillId="0" borderId="1" xfId="0" applyBorder="1"/>
    <xf numFmtId="0" fontId="0" fillId="3" borderId="1" xfId="0" applyFill="1" applyBorder="1"/>
    <xf numFmtId="0" fontId="0" fillId="4" borderId="0" xfId="0" applyFill="1"/>
    <xf numFmtId="0" fontId="0" fillId="0" borderId="1" xfId="0" applyBorder="1" applyAlignment="1">
      <alignment horizontal="center"/>
    </xf>
    <xf numFmtId="0" fontId="0" fillId="0" borderId="2" xfId="0" applyBorder="1"/>
    <xf numFmtId="0" fontId="0" fillId="0" borderId="0" xfId="0" applyAlignment="1">
      <alignment horizontal="center"/>
    </xf>
    <xf numFmtId="0" fontId="0" fillId="0" borderId="3" xfId="0" applyFill="1" applyBorder="1"/>
    <xf numFmtId="0" fontId="0" fillId="0" borderId="0" xfId="0" applyNumberFormat="1"/>
    <xf numFmtId="0" fontId="0" fillId="5" borderId="1" xfId="0" applyFill="1" applyBorder="1"/>
    <xf numFmtId="0" fontId="0" fillId="3" borderId="3" xfId="0" applyFill="1" applyBorder="1"/>
    <xf numFmtId="0" fontId="0" fillId="0" borderId="0" xfId="0" applyFill="1" applyBorder="1"/>
    <xf numFmtId="0" fontId="0" fillId="0" borderId="0" xfId="0" applyBorder="1"/>
    <xf numFmtId="0" fontId="0" fillId="0" borderId="0" xfId="1" applyNumberFormat="1" applyFont="1" applyBorder="1" applyAlignment="1"/>
    <xf numFmtId="0" fontId="0" fillId="3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5" fillId="5" borderId="0" xfId="0" applyFont="1" applyFill="1"/>
    <xf numFmtId="0" fontId="5" fillId="11" borderId="0" xfId="0" applyFont="1" applyFill="1"/>
    <xf numFmtId="0" fontId="5" fillId="12" borderId="0" xfId="0" applyFont="1" applyFill="1"/>
    <xf numFmtId="0" fontId="5" fillId="13" borderId="0" xfId="0" applyFont="1" applyFill="1"/>
  </cellXfs>
  <cellStyles count="2">
    <cellStyle name="百分比" xfId="1" builtinId="5"/>
    <cellStyle name="常规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590550</xdr:colOff>
      <xdr:row>1</xdr:row>
      <xdr:rowOff>161925</xdr:rowOff>
    </xdr:from>
    <xdr:to>
      <xdr:col>19</xdr:col>
      <xdr:colOff>496625</xdr:colOff>
      <xdr:row>6</xdr:row>
      <xdr:rowOff>448333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81725" y="333375"/>
          <a:ext cx="9497750" cy="4715533"/>
        </a:xfrm>
        <a:prstGeom prst="rect">
          <a:avLst/>
        </a:prstGeom>
      </xdr:spPr>
    </xdr:pic>
    <xdr:clientData/>
  </xdr:twoCellAnchor>
  <xdr:twoCellAnchor editAs="oneCell">
    <xdr:from>
      <xdr:col>4</xdr:col>
      <xdr:colOff>76200</xdr:colOff>
      <xdr:row>10</xdr:row>
      <xdr:rowOff>57150</xdr:rowOff>
    </xdr:from>
    <xdr:to>
      <xdr:col>4</xdr:col>
      <xdr:colOff>895248</xdr:colOff>
      <xdr:row>10</xdr:row>
      <xdr:rowOff>885721</xdr:rowOff>
    </xdr:to>
    <xdr:pic>
      <xdr:nvPicPr>
        <xdr:cNvPr id="6" name="图片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76650" y="8201025"/>
          <a:ext cx="819048" cy="828571"/>
        </a:xfrm>
        <a:prstGeom prst="rect">
          <a:avLst/>
        </a:prstGeom>
      </xdr:spPr>
    </xdr:pic>
    <xdr:clientData/>
  </xdr:twoCellAnchor>
  <xdr:twoCellAnchor editAs="oneCell">
    <xdr:from>
      <xdr:col>4</xdr:col>
      <xdr:colOff>66675</xdr:colOff>
      <xdr:row>3</xdr:row>
      <xdr:rowOff>76200</xdr:rowOff>
    </xdr:from>
    <xdr:to>
      <xdr:col>4</xdr:col>
      <xdr:colOff>866675</xdr:colOff>
      <xdr:row>4</xdr:row>
      <xdr:rowOff>37994</xdr:rowOff>
    </xdr:to>
    <xdr:pic>
      <xdr:nvPicPr>
        <xdr:cNvPr id="9" name="图片 8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667125" y="2019300"/>
          <a:ext cx="800000" cy="847619"/>
        </a:xfrm>
        <a:prstGeom prst="rect">
          <a:avLst/>
        </a:prstGeom>
      </xdr:spPr>
    </xdr:pic>
    <xdr:clientData/>
  </xdr:twoCellAnchor>
  <xdr:twoCellAnchor editAs="oneCell">
    <xdr:from>
      <xdr:col>4</xdr:col>
      <xdr:colOff>47625</xdr:colOff>
      <xdr:row>2</xdr:row>
      <xdr:rowOff>9525</xdr:rowOff>
    </xdr:from>
    <xdr:to>
      <xdr:col>4</xdr:col>
      <xdr:colOff>790482</xdr:colOff>
      <xdr:row>2</xdr:row>
      <xdr:rowOff>866668</xdr:rowOff>
    </xdr:to>
    <xdr:pic>
      <xdr:nvPicPr>
        <xdr:cNvPr id="10" name="图片 9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648075" y="1066800"/>
          <a:ext cx="742857" cy="857143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</xdr:row>
      <xdr:rowOff>9525</xdr:rowOff>
    </xdr:from>
    <xdr:to>
      <xdr:col>4</xdr:col>
      <xdr:colOff>857150</xdr:colOff>
      <xdr:row>1</xdr:row>
      <xdr:rowOff>885715</xdr:rowOff>
    </xdr:to>
    <xdr:pic>
      <xdr:nvPicPr>
        <xdr:cNvPr id="11" name="图片 10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657600" y="180975"/>
          <a:ext cx="800000" cy="876190"/>
        </a:xfrm>
        <a:prstGeom prst="rect">
          <a:avLst/>
        </a:prstGeom>
      </xdr:spPr>
    </xdr:pic>
    <xdr:clientData/>
  </xdr:twoCellAnchor>
  <xdr:twoCellAnchor editAs="oneCell">
    <xdr:from>
      <xdr:col>4</xdr:col>
      <xdr:colOff>76200</xdr:colOff>
      <xdr:row>5</xdr:row>
      <xdr:rowOff>104775</xdr:rowOff>
    </xdr:from>
    <xdr:to>
      <xdr:col>4</xdr:col>
      <xdr:colOff>876200</xdr:colOff>
      <xdr:row>6</xdr:row>
      <xdr:rowOff>57045</xdr:rowOff>
    </xdr:to>
    <xdr:pic>
      <xdr:nvPicPr>
        <xdr:cNvPr id="12" name="图片 1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676650" y="3819525"/>
          <a:ext cx="800000" cy="838095"/>
        </a:xfrm>
        <a:prstGeom prst="rect">
          <a:avLst/>
        </a:prstGeom>
      </xdr:spPr>
    </xdr:pic>
    <xdr:clientData/>
  </xdr:twoCellAnchor>
  <xdr:twoCellAnchor editAs="oneCell">
    <xdr:from>
      <xdr:col>4</xdr:col>
      <xdr:colOff>47625</xdr:colOff>
      <xdr:row>4</xdr:row>
      <xdr:rowOff>38100</xdr:rowOff>
    </xdr:from>
    <xdr:to>
      <xdr:col>4</xdr:col>
      <xdr:colOff>790482</xdr:colOff>
      <xdr:row>5</xdr:row>
      <xdr:rowOff>9418</xdr:rowOff>
    </xdr:to>
    <xdr:pic>
      <xdr:nvPicPr>
        <xdr:cNvPr id="13" name="图片 12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648075" y="2867025"/>
          <a:ext cx="742857" cy="857143"/>
        </a:xfrm>
        <a:prstGeom prst="rect">
          <a:avLst/>
        </a:prstGeom>
      </xdr:spPr>
    </xdr:pic>
    <xdr:clientData/>
  </xdr:twoCellAnchor>
  <xdr:twoCellAnchor editAs="oneCell">
    <xdr:from>
      <xdr:col>4</xdr:col>
      <xdr:colOff>76200</xdr:colOff>
      <xdr:row>6</xdr:row>
      <xdr:rowOff>66675</xdr:rowOff>
    </xdr:from>
    <xdr:to>
      <xdr:col>4</xdr:col>
      <xdr:colOff>790486</xdr:colOff>
      <xdr:row>6</xdr:row>
      <xdr:rowOff>876199</xdr:rowOff>
    </xdr:to>
    <xdr:pic>
      <xdr:nvPicPr>
        <xdr:cNvPr id="14" name="图片 13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676650" y="4667250"/>
          <a:ext cx="714286" cy="809524"/>
        </a:xfrm>
        <a:prstGeom prst="rect">
          <a:avLst/>
        </a:prstGeom>
      </xdr:spPr>
    </xdr:pic>
    <xdr:clientData/>
  </xdr:twoCellAnchor>
  <xdr:twoCellAnchor editAs="oneCell">
    <xdr:from>
      <xdr:col>4</xdr:col>
      <xdr:colOff>9525</xdr:colOff>
      <xdr:row>7</xdr:row>
      <xdr:rowOff>38100</xdr:rowOff>
    </xdr:from>
    <xdr:to>
      <xdr:col>4</xdr:col>
      <xdr:colOff>847620</xdr:colOff>
      <xdr:row>8</xdr:row>
      <xdr:rowOff>9418</xdr:rowOff>
    </xdr:to>
    <xdr:pic>
      <xdr:nvPicPr>
        <xdr:cNvPr id="15" name="图片 14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609975" y="5524500"/>
          <a:ext cx="838095" cy="857143"/>
        </a:xfrm>
        <a:prstGeom prst="rect">
          <a:avLst/>
        </a:prstGeom>
      </xdr:spPr>
    </xdr:pic>
    <xdr:clientData/>
  </xdr:twoCellAnchor>
  <xdr:twoCellAnchor editAs="oneCell">
    <xdr:from>
      <xdr:col>4</xdr:col>
      <xdr:colOff>38100</xdr:colOff>
      <xdr:row>8</xdr:row>
      <xdr:rowOff>9525</xdr:rowOff>
    </xdr:from>
    <xdr:to>
      <xdr:col>4</xdr:col>
      <xdr:colOff>876195</xdr:colOff>
      <xdr:row>9</xdr:row>
      <xdr:rowOff>18938</xdr:rowOff>
    </xdr:to>
    <xdr:pic>
      <xdr:nvPicPr>
        <xdr:cNvPr id="17" name="图片 16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638550" y="6381750"/>
          <a:ext cx="838095" cy="895238"/>
        </a:xfrm>
        <a:prstGeom prst="rect">
          <a:avLst/>
        </a:prstGeom>
      </xdr:spPr>
    </xdr:pic>
    <xdr:clientData/>
  </xdr:twoCellAnchor>
  <xdr:twoCellAnchor editAs="oneCell">
    <xdr:from>
      <xdr:col>4</xdr:col>
      <xdr:colOff>38100</xdr:colOff>
      <xdr:row>9</xdr:row>
      <xdr:rowOff>19050</xdr:rowOff>
    </xdr:from>
    <xdr:to>
      <xdr:col>4</xdr:col>
      <xdr:colOff>847624</xdr:colOff>
      <xdr:row>9</xdr:row>
      <xdr:rowOff>885717</xdr:rowOff>
    </xdr:to>
    <xdr:pic>
      <xdr:nvPicPr>
        <xdr:cNvPr id="18" name="图片 17"/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638550" y="7277100"/>
          <a:ext cx="809524" cy="86666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5968;&#20540;&#26694;&#26550;&#25512;&#31639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25481;&#33853;&#34920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32463;&#27982;&#26694;&#26550;&#25512;&#31639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&#25216;&#33021;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&#21830;&#24215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、规划配置"/>
      <sheetName val="各种公式"/>
      <sheetName val="1、战斗节奏表"/>
      <sheetName val="2、属性成长"/>
      <sheetName val="3、总属性战斗节奏拟合"/>
      <sheetName val="4、人物躶体&amp;总属性表"/>
      <sheetName val="人物总属性查询表"/>
      <sheetName val="5、系统属性规划"/>
      <sheetName val="属性分配验证"/>
      <sheetName val="装备规划"/>
      <sheetName val="时装规划"/>
      <sheetName val="马仔规划"/>
      <sheetName val="称号规划"/>
      <sheetName val="翅膀规划"/>
      <sheetName val="龙魂规划"/>
      <sheetName val="命格规划"/>
      <sheetName val="祥云"/>
      <sheetName val="属性战斗节奏评估"/>
    </sheetNames>
    <definedNames>
      <definedName name="总属性参考数组" refersTo="='人物总属性查询表'!$B$4:$O$103"/>
    </definedNames>
    <sheetDataSet>
      <sheetData sheetId="0">
        <row r="1">
          <cell r="B1" t="str">
            <v>属性类型</v>
          </cell>
        </row>
        <row r="4">
          <cell r="B4" t="str">
            <v>攻击</v>
          </cell>
          <cell r="C4">
            <v>2</v>
          </cell>
        </row>
        <row r="5">
          <cell r="B5" t="str">
            <v>防御</v>
          </cell>
          <cell r="C5">
            <v>3</v>
          </cell>
        </row>
        <row r="6">
          <cell r="B6" t="str">
            <v>无属性</v>
          </cell>
          <cell r="C6">
            <v>4</v>
          </cell>
        </row>
        <row r="7">
          <cell r="B7" t="str">
            <v>无属性</v>
          </cell>
          <cell r="C7">
            <v>5</v>
          </cell>
        </row>
        <row r="8">
          <cell r="B8" t="str">
            <v>命中值</v>
          </cell>
          <cell r="C8">
            <v>6</v>
          </cell>
          <cell r="G8" t="str">
            <v>非R</v>
          </cell>
          <cell r="H8" t="str">
            <v>小R</v>
          </cell>
          <cell r="I8" t="str">
            <v>中R</v>
          </cell>
          <cell r="J8" t="str">
            <v>大R</v>
          </cell>
          <cell r="K8" t="str">
            <v>超R</v>
          </cell>
        </row>
        <row r="9">
          <cell r="B9" t="str">
            <v>闪避值</v>
          </cell>
          <cell r="C9">
            <v>7</v>
          </cell>
          <cell r="F9" t="str">
            <v>属性权重</v>
          </cell>
          <cell r="G9">
            <v>1.2</v>
          </cell>
          <cell r="H9">
            <v>2</v>
          </cell>
          <cell r="I9">
            <v>2.5</v>
          </cell>
          <cell r="J9">
            <v>2.7</v>
          </cell>
          <cell r="K9">
            <v>3</v>
          </cell>
        </row>
        <row r="10">
          <cell r="B10" t="str">
            <v>暴击值</v>
          </cell>
          <cell r="C10">
            <v>8</v>
          </cell>
          <cell r="F10" t="str">
            <v>属性份额</v>
          </cell>
          <cell r="G10">
            <v>0.39999999999999997</v>
          </cell>
          <cell r="H10">
            <v>0.66666666666666663</v>
          </cell>
          <cell r="I10">
            <v>0.83333333333333337</v>
          </cell>
          <cell r="J10">
            <v>0.9</v>
          </cell>
          <cell r="K10">
            <v>1</v>
          </cell>
        </row>
        <row r="11">
          <cell r="B11" t="str">
            <v>韧性值</v>
          </cell>
          <cell r="C11">
            <v>9</v>
          </cell>
        </row>
        <row r="12">
          <cell r="B12" t="str">
            <v>暴击倍数</v>
          </cell>
          <cell r="C12">
            <v>10</v>
          </cell>
        </row>
        <row r="13">
          <cell r="B13" t="str">
            <v>无属性</v>
          </cell>
          <cell r="C13">
            <v>11</v>
          </cell>
        </row>
        <row r="14">
          <cell r="B14" t="str">
            <v>生命加成</v>
          </cell>
          <cell r="C14">
            <v>21</v>
          </cell>
        </row>
        <row r="15">
          <cell r="B15" t="str">
            <v>攻击加成</v>
          </cell>
          <cell r="C15">
            <v>22</v>
          </cell>
        </row>
        <row r="16">
          <cell r="B16" t="str">
            <v>防御加成</v>
          </cell>
          <cell r="C16">
            <v>23</v>
          </cell>
        </row>
        <row r="17">
          <cell r="B17" t="str">
            <v>伤害加深</v>
          </cell>
          <cell r="C17">
            <v>24</v>
          </cell>
        </row>
        <row r="18">
          <cell r="B18" t="str">
            <v>伤害减免</v>
          </cell>
          <cell r="C18">
            <v>25</v>
          </cell>
        </row>
        <row r="27">
          <cell r="B27" t="str">
            <v>职业名称</v>
          </cell>
          <cell r="C27" t="str">
            <v>职业ID</v>
          </cell>
        </row>
        <row r="28">
          <cell r="B28" t="str">
            <v>全职业</v>
          </cell>
          <cell r="C28">
            <v>0</v>
          </cell>
        </row>
        <row r="29">
          <cell r="B29" t="str">
            <v>剑手</v>
          </cell>
          <cell r="C29">
            <v>1</v>
          </cell>
        </row>
        <row r="30">
          <cell r="B30" t="str">
            <v>拳师</v>
          </cell>
          <cell r="C30">
            <v>2</v>
          </cell>
        </row>
        <row r="31">
          <cell r="B31" t="str">
            <v>枪手</v>
          </cell>
          <cell r="C31">
            <v>3</v>
          </cell>
        </row>
        <row r="32">
          <cell r="B32" t="str">
            <v>牧师</v>
          </cell>
          <cell r="C32">
            <v>4</v>
          </cell>
        </row>
      </sheetData>
      <sheetData sheetId="1">
        <row r="3">
          <cell r="M3">
            <v>0.3</v>
          </cell>
        </row>
        <row r="4">
          <cell r="M4">
            <v>1</v>
          </cell>
        </row>
        <row r="5">
          <cell r="M5">
            <v>0.3</v>
          </cell>
        </row>
        <row r="6">
          <cell r="M6">
            <v>0.3</v>
          </cell>
        </row>
        <row r="8">
          <cell r="M8">
            <v>0.1</v>
          </cell>
        </row>
        <row r="9">
          <cell r="M9">
            <v>0.2</v>
          </cell>
        </row>
        <row r="10">
          <cell r="M10">
            <v>0.3</v>
          </cell>
        </row>
        <row r="11">
          <cell r="F11">
            <v>50000</v>
          </cell>
          <cell r="G11">
            <v>50000</v>
          </cell>
          <cell r="H11">
            <v>50000</v>
          </cell>
          <cell r="I11">
            <v>50000</v>
          </cell>
          <cell r="J11">
            <v>50000</v>
          </cell>
          <cell r="K11">
            <v>20000</v>
          </cell>
          <cell r="L11">
            <v>20000</v>
          </cell>
          <cell r="M11">
            <v>10000</v>
          </cell>
          <cell r="N11">
            <v>20000</v>
          </cell>
          <cell r="O11">
            <v>20000</v>
          </cell>
        </row>
        <row r="12">
          <cell r="C12" t="str">
            <v>生命</v>
          </cell>
          <cell r="D12" t="str">
            <v>攻击</v>
          </cell>
          <cell r="E12" t="str">
            <v>防御</v>
          </cell>
          <cell r="F12" t="str">
            <v>闪避值</v>
          </cell>
          <cell r="G12" t="str">
            <v>命中值</v>
          </cell>
          <cell r="H12" t="str">
            <v>暴击值</v>
          </cell>
          <cell r="I12" t="str">
            <v>暴击倍数</v>
          </cell>
          <cell r="J12" t="str">
            <v>韧性值</v>
          </cell>
          <cell r="K12" t="str">
            <v>伤害减免</v>
          </cell>
          <cell r="L12" t="str">
            <v>伤害加深</v>
          </cell>
          <cell r="M12" t="str">
            <v>生命加成</v>
          </cell>
          <cell r="N12" t="str">
            <v>攻击加成</v>
          </cell>
          <cell r="O12" t="str">
            <v>防御加成</v>
          </cell>
        </row>
        <row r="13">
          <cell r="C13">
            <v>0.04</v>
          </cell>
          <cell r="D13">
            <v>1</v>
          </cell>
          <cell r="E13">
            <v>1</v>
          </cell>
          <cell r="F13">
            <v>0.34</v>
          </cell>
          <cell r="G13">
            <v>0.34</v>
          </cell>
          <cell r="H13">
            <v>0.18</v>
          </cell>
          <cell r="I13">
            <v>0.12</v>
          </cell>
          <cell r="J13">
            <v>0.18</v>
          </cell>
          <cell r="K13">
            <v>0.3</v>
          </cell>
          <cell r="L13">
            <v>0.3</v>
          </cell>
          <cell r="M13">
            <v>0.4</v>
          </cell>
          <cell r="N13">
            <v>0.36</v>
          </cell>
          <cell r="O13">
            <v>0.24</v>
          </cell>
        </row>
      </sheetData>
      <sheetData sheetId="2" refreshError="1"/>
      <sheetData sheetId="3">
        <row r="6">
          <cell r="Q6">
            <v>1</v>
          </cell>
        </row>
      </sheetData>
      <sheetData sheetId="4">
        <row r="5">
          <cell r="B5">
            <v>1.3774999999999999</v>
          </cell>
          <cell r="C5">
            <v>1</v>
          </cell>
          <cell r="D5">
            <v>495.65999999999997</v>
          </cell>
          <cell r="E5">
            <v>118.80000000000001</v>
          </cell>
          <cell r="F5">
            <v>52.800000000000004</v>
          </cell>
          <cell r="G5">
            <v>66</v>
          </cell>
          <cell r="H5">
            <v>7.51</v>
          </cell>
        </row>
        <row r="6">
          <cell r="B6">
            <v>1.5049999999999999</v>
          </cell>
          <cell r="C6">
            <v>2</v>
          </cell>
          <cell r="D6">
            <v>577.43999999999994</v>
          </cell>
          <cell r="E6">
            <v>129.6</v>
          </cell>
          <cell r="F6">
            <v>57.6</v>
          </cell>
          <cell r="G6">
            <v>72</v>
          </cell>
          <cell r="H6">
            <v>8.02</v>
          </cell>
        </row>
        <row r="7">
          <cell r="B7">
            <v>1.6325000000000001</v>
          </cell>
          <cell r="C7">
            <v>3</v>
          </cell>
          <cell r="D7">
            <v>665.34000000000015</v>
          </cell>
          <cell r="E7">
            <v>140.4</v>
          </cell>
          <cell r="F7">
            <v>62.400000000000006</v>
          </cell>
          <cell r="G7">
            <v>78</v>
          </cell>
          <cell r="H7">
            <v>8.5300000000000011</v>
          </cell>
        </row>
        <row r="8">
          <cell r="B8">
            <v>1.76</v>
          </cell>
          <cell r="C8">
            <v>4</v>
          </cell>
          <cell r="D8">
            <v>759.3599999999999</v>
          </cell>
          <cell r="E8">
            <v>151.19999999999999</v>
          </cell>
          <cell r="F8">
            <v>67.2</v>
          </cell>
          <cell r="G8">
            <v>84</v>
          </cell>
          <cell r="H8">
            <v>9.0399999999999991</v>
          </cell>
        </row>
        <row r="9">
          <cell r="B9">
            <v>1.8875</v>
          </cell>
          <cell r="C9">
            <v>5</v>
          </cell>
          <cell r="D9">
            <v>859.50000000000011</v>
          </cell>
          <cell r="E9">
            <v>162</v>
          </cell>
          <cell r="F9">
            <v>72</v>
          </cell>
          <cell r="G9">
            <v>90</v>
          </cell>
          <cell r="H9">
            <v>9.5500000000000007</v>
          </cell>
        </row>
        <row r="10">
          <cell r="B10">
            <v>2.0150000000000001</v>
          </cell>
          <cell r="C10">
            <v>6</v>
          </cell>
          <cell r="D10">
            <v>1490.8920000000001</v>
          </cell>
          <cell r="E10">
            <v>266.76</v>
          </cell>
          <cell r="F10">
            <v>118.56</v>
          </cell>
          <cell r="G10">
            <v>148.19999999999999</v>
          </cell>
          <cell r="H10">
            <v>10.06</v>
          </cell>
        </row>
        <row r="11">
          <cell r="B11">
            <v>2.1425000000000001</v>
          </cell>
          <cell r="C11">
            <v>7</v>
          </cell>
          <cell r="D11">
            <v>1795.7769374999998</v>
          </cell>
          <cell r="E11">
            <v>305.80874999999997</v>
          </cell>
          <cell r="F11">
            <v>135.91499999999999</v>
          </cell>
          <cell r="G11">
            <v>169.89374999999998</v>
          </cell>
          <cell r="H11">
            <v>10.57</v>
          </cell>
        </row>
        <row r="12">
          <cell r="B12">
            <v>2.27</v>
          </cell>
          <cell r="C12">
            <v>8</v>
          </cell>
          <cell r="D12">
            <v>2138.9940000000001</v>
          </cell>
          <cell r="E12">
            <v>347.49</v>
          </cell>
          <cell r="F12">
            <v>154.44000000000003</v>
          </cell>
          <cell r="G12">
            <v>193.05</v>
          </cell>
          <cell r="H12">
            <v>11.08</v>
          </cell>
        </row>
        <row r="13">
          <cell r="B13">
            <v>2.3975</v>
          </cell>
          <cell r="C13">
            <v>9</v>
          </cell>
          <cell r="D13">
            <v>2810.0112472826086</v>
          </cell>
          <cell r="E13">
            <v>436.41244565217391</v>
          </cell>
          <cell r="F13">
            <v>193.96108695652174</v>
          </cell>
          <cell r="G13">
            <v>242.45135869565217</v>
          </cell>
          <cell r="H13">
            <v>11.59</v>
          </cell>
        </row>
        <row r="14">
          <cell r="B14">
            <v>2.5249999999999999</v>
          </cell>
          <cell r="C14">
            <v>10</v>
          </cell>
          <cell r="D14">
            <v>3580.6793478260875</v>
          </cell>
          <cell r="E14">
            <v>532.66304347826099</v>
          </cell>
          <cell r="F14">
            <v>236.73913043478265</v>
          </cell>
          <cell r="G14">
            <v>295.92391304347831</v>
          </cell>
          <cell r="H14">
            <v>12.1</v>
          </cell>
        </row>
        <row r="15">
          <cell r="B15">
            <v>2.6524999999999999</v>
          </cell>
          <cell r="C15">
            <v>11</v>
          </cell>
          <cell r="D15">
            <v>4457.2272309782602</v>
          </cell>
          <cell r="E15">
            <v>636.24179347826089</v>
          </cell>
          <cell r="F15">
            <v>282.77413043478259</v>
          </cell>
          <cell r="G15">
            <v>353.46766304347824</v>
          </cell>
          <cell r="H15">
            <v>12.61</v>
          </cell>
        </row>
        <row r="16">
          <cell r="B16">
            <v>2.7800000000000002</v>
          </cell>
          <cell r="C16">
            <v>12</v>
          </cell>
          <cell r="D16">
            <v>5445.8838260869561</v>
          </cell>
          <cell r="E16">
            <v>747.14869565217396</v>
          </cell>
          <cell r="F16">
            <v>332.06608695652176</v>
          </cell>
          <cell r="G16">
            <v>415.08260869565214</v>
          </cell>
          <cell r="H16">
            <v>13.120000000000001</v>
          </cell>
        </row>
        <row r="17">
          <cell r="B17">
            <v>2.9074999999999998</v>
          </cell>
          <cell r="C17">
            <v>13</v>
          </cell>
          <cell r="D17">
            <v>6552.878062499999</v>
          </cell>
          <cell r="E17">
            <v>865.38374999999996</v>
          </cell>
          <cell r="F17">
            <v>384.61500000000001</v>
          </cell>
          <cell r="G17">
            <v>480.76874999999995</v>
          </cell>
          <cell r="H17">
            <v>13.629999999999999</v>
          </cell>
        </row>
        <row r="18">
          <cell r="B18">
            <v>3.0350000000000001</v>
          </cell>
          <cell r="C18">
            <v>14</v>
          </cell>
          <cell r="D18">
            <v>7784.4388695652187</v>
          </cell>
          <cell r="E18">
            <v>990.94695652173925</v>
          </cell>
          <cell r="F18">
            <v>440.42086956521746</v>
          </cell>
          <cell r="G18">
            <v>550.52608695652179</v>
          </cell>
          <cell r="H18">
            <v>14.14</v>
          </cell>
        </row>
        <row r="19">
          <cell r="B19">
            <v>3.1625000000000001</v>
          </cell>
          <cell r="C19">
            <v>15</v>
          </cell>
          <cell r="D19">
            <v>9146.7951766304341</v>
          </cell>
          <cell r="E19">
            <v>1123.8383152173913</v>
          </cell>
          <cell r="F19">
            <v>499.48369565217394</v>
          </cell>
          <cell r="G19">
            <v>624.35461956521738</v>
          </cell>
          <cell r="H19">
            <v>14.65</v>
          </cell>
        </row>
        <row r="20">
          <cell r="B20">
            <v>3.29</v>
          </cell>
          <cell r="C20">
            <v>16</v>
          </cell>
          <cell r="D20">
            <v>10646.17591304348</v>
          </cell>
          <cell r="E20">
            <v>1264.0578260869565</v>
          </cell>
          <cell r="F20">
            <v>561.80347826086961</v>
          </cell>
          <cell r="G20">
            <v>702.25434782608704</v>
          </cell>
          <cell r="H20">
            <v>15.16</v>
          </cell>
        </row>
        <row r="21">
          <cell r="B21">
            <v>3.4175</v>
          </cell>
          <cell r="C21">
            <v>17</v>
          </cell>
          <cell r="D21">
            <v>12288.810008152173</v>
          </cell>
          <cell r="E21">
            <v>1411.6054891304348</v>
          </cell>
          <cell r="F21">
            <v>627.38021739130443</v>
          </cell>
          <cell r="G21">
            <v>784.22527173913045</v>
          </cell>
          <cell r="H21">
            <v>15.67</v>
          </cell>
        </row>
        <row r="22">
          <cell r="B22">
            <v>3.5449999999999999</v>
          </cell>
          <cell r="C22">
            <v>18</v>
          </cell>
          <cell r="D22">
            <v>14080.926391304352</v>
          </cell>
          <cell r="E22">
            <v>1566.4813043478266</v>
          </cell>
          <cell r="F22">
            <v>696.21391304347856</v>
          </cell>
          <cell r="G22">
            <v>870.26739130434817</v>
          </cell>
          <cell r="H22">
            <v>16.18</v>
          </cell>
        </row>
        <row r="23">
          <cell r="B23">
            <v>3.6724999999999999</v>
          </cell>
          <cell r="C23">
            <v>19</v>
          </cell>
          <cell r="D23">
            <v>16028.753991847825</v>
          </cell>
          <cell r="E23">
            <v>1728.6852717391307</v>
          </cell>
          <cell r="F23">
            <v>768.30456521739143</v>
          </cell>
          <cell r="G23">
            <v>960.38070652173917</v>
          </cell>
          <cell r="H23">
            <v>16.689999999999998</v>
          </cell>
        </row>
        <row r="24">
          <cell r="B24">
            <v>3.8</v>
          </cell>
          <cell r="C24">
            <v>20</v>
          </cell>
          <cell r="D24">
            <v>18138.521739130436</v>
          </cell>
          <cell r="E24">
            <v>1898.217391304348</v>
          </cell>
          <cell r="F24">
            <v>843.65217391304361</v>
          </cell>
          <cell r="G24">
            <v>1054.5652173913045</v>
          </cell>
          <cell r="H24">
            <v>17.2</v>
          </cell>
        </row>
        <row r="25">
          <cell r="B25">
            <v>3.9275000000000002</v>
          </cell>
          <cell r="C25">
            <v>21</v>
          </cell>
          <cell r="D25">
            <v>20416.458562500007</v>
          </cell>
          <cell r="E25">
            <v>2075.0776630434789</v>
          </cell>
          <cell r="F25">
            <v>922.25673913043511</v>
          </cell>
          <cell r="G25">
            <v>1152.8209239130438</v>
          </cell>
          <cell r="H25">
            <v>17.71</v>
          </cell>
        </row>
        <row r="26">
          <cell r="B26">
            <v>4.0549999999999997</v>
          </cell>
          <cell r="C26">
            <v>22</v>
          </cell>
          <cell r="D26">
            <v>22868.793391304349</v>
          </cell>
          <cell r="E26">
            <v>2259.266086956522</v>
          </cell>
          <cell r="F26">
            <v>1004.1182608695653</v>
          </cell>
          <cell r="G26">
            <v>1255.1478260869567</v>
          </cell>
          <cell r="H26">
            <v>18.22</v>
          </cell>
        </row>
        <row r="27">
          <cell r="B27">
            <v>4.1825000000000001</v>
          </cell>
          <cell r="C27">
            <v>23</v>
          </cell>
          <cell r="D27">
            <v>25977.209001045157</v>
          </cell>
          <cell r="E27">
            <v>2496.4749707357864</v>
          </cell>
          <cell r="F27">
            <v>1109.5444314381273</v>
          </cell>
          <cell r="G27">
            <v>1386.9305392976592</v>
          </cell>
          <cell r="H27">
            <v>18.73</v>
          </cell>
        </row>
        <row r="28">
          <cell r="B28">
            <v>4.3100000000000005</v>
          </cell>
          <cell r="C28">
            <v>24</v>
          </cell>
          <cell r="D28">
            <v>29327.9727826087</v>
          </cell>
          <cell r="E28">
            <v>2743.781237458194</v>
          </cell>
          <cell r="F28">
            <v>1219.4583277591973</v>
          </cell>
          <cell r="G28">
            <v>1524.3229096989967</v>
          </cell>
          <cell r="H28">
            <v>19.240000000000002</v>
          </cell>
        </row>
        <row r="29">
          <cell r="B29">
            <v>4.4375</v>
          </cell>
          <cell r="C29">
            <v>25</v>
          </cell>
          <cell r="D29">
            <v>32929.667511496664</v>
          </cell>
          <cell r="E29">
            <v>3001.1848871237471</v>
          </cell>
          <cell r="F29">
            <v>1333.8599498327765</v>
          </cell>
          <cell r="G29">
            <v>1667.3249372909704</v>
          </cell>
          <cell r="H29">
            <v>19.75</v>
          </cell>
        </row>
        <row r="30">
          <cell r="B30">
            <v>4.5649999999999995</v>
          </cell>
          <cell r="C30">
            <v>26</v>
          </cell>
          <cell r="D30">
            <v>37257.666363210708</v>
          </cell>
          <cell r="E30">
            <v>3310.1579197324422</v>
          </cell>
          <cell r="F30">
            <v>1471.1812976588633</v>
          </cell>
          <cell r="G30">
            <v>1838.9766220735789</v>
          </cell>
          <cell r="H30">
            <v>20.259999999999998</v>
          </cell>
        </row>
        <row r="31">
          <cell r="B31">
            <v>4.6924999999999999</v>
          </cell>
          <cell r="C31">
            <v>27</v>
          </cell>
          <cell r="D31">
            <v>41903.848113252519</v>
          </cell>
          <cell r="E31">
            <v>3631.5323352842815</v>
          </cell>
          <cell r="F31">
            <v>1614.0143712374586</v>
          </cell>
          <cell r="G31">
            <v>2017.5179640468232</v>
          </cell>
          <cell r="H31">
            <v>20.77</v>
          </cell>
        </row>
        <row r="32">
          <cell r="B32">
            <v>4.82</v>
          </cell>
          <cell r="C32">
            <v>28</v>
          </cell>
          <cell r="D32">
            <v>46878.753937123758</v>
          </cell>
          <cell r="E32">
            <v>3965.3081337792655</v>
          </cell>
          <cell r="F32">
            <v>1762.3591705685624</v>
          </cell>
          <cell r="G32">
            <v>2202.9489632107029</v>
          </cell>
          <cell r="H32">
            <v>21.28</v>
          </cell>
        </row>
        <row r="33">
          <cell r="B33">
            <v>4.9474999999999998</v>
          </cell>
          <cell r="C33">
            <v>29</v>
          </cell>
          <cell r="D33">
            <v>52192.925010326107</v>
          </cell>
          <cell r="E33">
            <v>4311.4853152173928</v>
          </cell>
          <cell r="F33">
            <v>1916.2156956521749</v>
          </cell>
          <cell r="G33">
            <v>2395.2696195652184</v>
          </cell>
          <cell r="H33">
            <v>21.79</v>
          </cell>
        </row>
        <row r="34">
          <cell r="B34">
            <v>5.0750000000000002</v>
          </cell>
          <cell r="C34">
            <v>30</v>
          </cell>
          <cell r="D34">
            <v>58580.113789715739</v>
          </cell>
          <cell r="E34">
            <v>4728.4396780936477</v>
          </cell>
          <cell r="F34">
            <v>2101.5287458193989</v>
          </cell>
          <cell r="G34">
            <v>2626.9109322742484</v>
          </cell>
          <cell r="H34">
            <v>22.3</v>
          </cell>
        </row>
        <row r="35">
          <cell r="B35">
            <v>5.2025000000000006</v>
          </cell>
          <cell r="C35">
            <v>31</v>
          </cell>
          <cell r="D35">
            <v>65439.306328846171</v>
          </cell>
          <cell r="E35">
            <v>5163.9961153846161</v>
          </cell>
          <cell r="F35">
            <v>2295.1093846153849</v>
          </cell>
          <cell r="G35">
            <v>2868.8867307692312</v>
          </cell>
          <cell r="H35">
            <v>22.810000000000002</v>
          </cell>
        </row>
        <row r="36">
          <cell r="B36">
            <v>5.33</v>
          </cell>
          <cell r="C36">
            <v>32</v>
          </cell>
          <cell r="D36">
            <v>72812.7775214047</v>
          </cell>
          <cell r="E36">
            <v>5620.1972357859549</v>
          </cell>
          <cell r="F36">
            <v>2497.8654381270912</v>
          </cell>
          <cell r="G36">
            <v>3122.3317976588637</v>
          </cell>
          <cell r="H36">
            <v>23.32</v>
          </cell>
        </row>
        <row r="37">
          <cell r="B37">
            <v>5.4575000000000005</v>
          </cell>
          <cell r="C37">
            <v>33</v>
          </cell>
          <cell r="D37">
            <v>80692.898434991686</v>
          </cell>
          <cell r="E37">
            <v>6095.1413001672272</v>
          </cell>
          <cell r="F37">
            <v>2708.9516889632123</v>
          </cell>
          <cell r="G37">
            <v>3386.1896112040149</v>
          </cell>
          <cell r="H37">
            <v>23.830000000000002</v>
          </cell>
        </row>
        <row r="38">
          <cell r="B38">
            <v>5.585</v>
          </cell>
          <cell r="C38">
            <v>34</v>
          </cell>
          <cell r="D38">
            <v>89095.600571989969</v>
          </cell>
          <cell r="E38">
            <v>6588.8283085284293</v>
          </cell>
          <cell r="F38">
            <v>2928.3681371237462</v>
          </cell>
          <cell r="G38">
            <v>3660.4601714046826</v>
          </cell>
          <cell r="H38">
            <v>24.34</v>
          </cell>
        </row>
        <row r="39">
          <cell r="B39">
            <v>5.7125000000000004</v>
          </cell>
          <cell r="C39">
            <v>35</v>
          </cell>
          <cell r="D39">
            <v>98036.81543478262</v>
          </cell>
          <cell r="E39">
            <v>7101.2582608695666</v>
          </cell>
          <cell r="F39">
            <v>3156.1147826086963</v>
          </cell>
          <cell r="G39">
            <v>3945.1434782608699</v>
          </cell>
          <cell r="H39">
            <v>24.85</v>
          </cell>
        </row>
        <row r="40">
          <cell r="B40">
            <v>5.84</v>
          </cell>
          <cell r="C40">
            <v>36</v>
          </cell>
          <cell r="D40">
            <v>107532.47452575252</v>
          </cell>
          <cell r="E40">
            <v>7632.4311571906364</v>
          </cell>
          <cell r="F40">
            <v>3392.191625418061</v>
          </cell>
          <cell r="G40">
            <v>4240.2395317725759</v>
          </cell>
          <cell r="H40">
            <v>25.36</v>
          </cell>
        </row>
        <row r="41">
          <cell r="B41">
            <v>5.9675000000000002</v>
          </cell>
          <cell r="C41">
            <v>37</v>
          </cell>
          <cell r="D41">
            <v>117598.50934728263</v>
          </cell>
          <cell r="E41">
            <v>8182.3469974916397</v>
          </cell>
          <cell r="F41">
            <v>3636.59866555184</v>
          </cell>
          <cell r="G41">
            <v>4545.7483319397998</v>
          </cell>
          <cell r="H41">
            <v>25.87</v>
          </cell>
        </row>
        <row r="42">
          <cell r="B42">
            <v>6.0949999999999998</v>
          </cell>
          <cell r="C42">
            <v>38</v>
          </cell>
          <cell r="D42">
            <v>128250.85140175585</v>
          </cell>
          <cell r="E42">
            <v>8751.0057817725756</v>
          </cell>
          <cell r="F42">
            <v>3889.3359030100337</v>
          </cell>
          <cell r="G42">
            <v>4861.6698787625419</v>
          </cell>
          <cell r="H42">
            <v>26.38</v>
          </cell>
        </row>
        <row r="43">
          <cell r="B43">
            <v>6.2225000000000001</v>
          </cell>
          <cell r="C43">
            <v>39</v>
          </cell>
          <cell r="D43">
            <v>139505.43219155521</v>
          </cell>
          <cell r="E43">
            <v>9338.4075100334449</v>
          </cell>
          <cell r="F43">
            <v>4150.4033377926426</v>
          </cell>
          <cell r="G43">
            <v>5188.0041722408032</v>
          </cell>
          <cell r="H43">
            <v>26.89</v>
          </cell>
        </row>
        <row r="44">
          <cell r="B44">
            <v>6.35</v>
          </cell>
          <cell r="C44">
            <v>40</v>
          </cell>
          <cell r="D44">
            <v>152741.95063545156</v>
          </cell>
          <cell r="E44">
            <v>10034.14274247492</v>
          </cell>
          <cell r="F44">
            <v>4459.6189966555203</v>
          </cell>
          <cell r="G44">
            <v>5574.5237458194006</v>
          </cell>
          <cell r="H44">
            <v>27.4</v>
          </cell>
        </row>
        <row r="45">
          <cell r="B45">
            <v>6.4775</v>
          </cell>
          <cell r="C45">
            <v>41</v>
          </cell>
          <cell r="D45">
            <v>166760.21205660541</v>
          </cell>
          <cell r="E45">
            <v>10754.868566889636</v>
          </cell>
          <cell r="F45">
            <v>4779.9415852842822</v>
          </cell>
          <cell r="G45">
            <v>5974.9269816053529</v>
          </cell>
          <cell r="H45">
            <v>27.91</v>
          </cell>
        </row>
        <row r="46">
          <cell r="B46">
            <v>6.6050000000000004</v>
          </cell>
          <cell r="C46">
            <v>42</v>
          </cell>
          <cell r="D46">
            <v>181581.45845819404</v>
          </cell>
          <cell r="E46">
            <v>11500.584983277597</v>
          </cell>
          <cell r="F46">
            <v>5111.3711036789318</v>
          </cell>
          <cell r="G46">
            <v>6389.2138795986639</v>
          </cell>
          <cell r="H46">
            <v>28.42</v>
          </cell>
        </row>
        <row r="47">
          <cell r="B47">
            <v>6.7324999999999999</v>
          </cell>
          <cell r="C47">
            <v>43</v>
          </cell>
          <cell r="D47">
            <v>197226.93184339468</v>
          </cell>
          <cell r="E47">
            <v>12271.291991638798</v>
          </cell>
          <cell r="F47">
            <v>5453.9075518394666</v>
          </cell>
          <cell r="G47">
            <v>6817.3844397993325</v>
          </cell>
          <cell r="H47">
            <v>28.93</v>
          </cell>
        </row>
        <row r="48">
          <cell r="B48">
            <v>6.86</v>
          </cell>
          <cell r="C48">
            <v>44</v>
          </cell>
          <cell r="D48">
            <v>213717.87421538465</v>
          </cell>
          <cell r="E48">
            <v>13066.989591973246</v>
          </cell>
          <cell r="F48">
            <v>5807.5509297658873</v>
          </cell>
          <cell r="G48">
            <v>7259.4386622073589</v>
          </cell>
          <cell r="H48">
            <v>29.44</v>
          </cell>
        </row>
        <row r="49">
          <cell r="B49">
            <v>6.9874999999999998</v>
          </cell>
          <cell r="C49">
            <v>45</v>
          </cell>
          <cell r="D49">
            <v>231075.52757734121</v>
          </cell>
          <cell r="E49">
            <v>13887.677784280941</v>
          </cell>
          <cell r="F49">
            <v>6172.3012374581958</v>
          </cell>
          <cell r="G49">
            <v>7715.3765468227448</v>
          </cell>
          <cell r="H49">
            <v>29.95</v>
          </cell>
        </row>
        <row r="50">
          <cell r="B50">
            <v>7.1150000000000002</v>
          </cell>
          <cell r="C50">
            <v>46</v>
          </cell>
          <cell r="D50">
            <v>249321.13393244156</v>
          </cell>
          <cell r="E50">
            <v>14733.356568561878</v>
          </cell>
          <cell r="F50">
            <v>6548.1584749163903</v>
          </cell>
          <cell r="G50">
            <v>8185.1980936454875</v>
          </cell>
          <cell r="H50">
            <v>30.46</v>
          </cell>
        </row>
        <row r="51">
          <cell r="B51">
            <v>7.2424999999999997</v>
          </cell>
          <cell r="C51">
            <v>47</v>
          </cell>
          <cell r="D51">
            <v>268475.93528386293</v>
          </cell>
          <cell r="E51">
            <v>15604.025944816058</v>
          </cell>
          <cell r="F51">
            <v>6935.1226421404708</v>
          </cell>
          <cell r="G51">
            <v>8668.9033026755878</v>
          </cell>
          <cell r="H51">
            <v>30.97</v>
          </cell>
        </row>
        <row r="52">
          <cell r="B52">
            <v>7.37</v>
          </cell>
          <cell r="C52">
            <v>48</v>
          </cell>
          <cell r="D52">
            <v>288561.17363478272</v>
          </cell>
          <cell r="E52">
            <v>16499.685913043486</v>
          </cell>
          <cell r="F52">
            <v>7333.1937391304382</v>
          </cell>
          <cell r="G52">
            <v>9166.4921739130477</v>
          </cell>
          <cell r="H52">
            <v>31.48</v>
          </cell>
        </row>
        <row r="53">
          <cell r="B53">
            <v>7.4975000000000005</v>
          </cell>
          <cell r="C53">
            <v>49</v>
          </cell>
          <cell r="D53">
            <v>309598.0909883781</v>
          </cell>
          <cell r="E53">
            <v>17420.336473244155</v>
          </cell>
          <cell r="F53">
            <v>7742.3717658862915</v>
          </cell>
          <cell r="G53">
            <v>9677.9647073578635</v>
          </cell>
          <cell r="H53">
            <v>31.990000000000002</v>
          </cell>
        </row>
        <row r="54">
          <cell r="B54">
            <v>7.625</v>
          </cell>
          <cell r="C54">
            <v>50</v>
          </cell>
          <cell r="D54">
            <v>333789.56046195666</v>
          </cell>
          <cell r="E54">
            <v>18486.806425585291</v>
          </cell>
          <cell r="F54">
            <v>8216.3584113712404</v>
          </cell>
          <cell r="G54">
            <v>10270.448014214051</v>
          </cell>
          <cell r="H54">
            <v>32.5</v>
          </cell>
        </row>
        <row r="55">
          <cell r="B55">
            <v>7.7525000000000004</v>
          </cell>
          <cell r="C55">
            <v>51</v>
          </cell>
          <cell r="D55">
            <v>359158.23752035969</v>
          </cell>
          <cell r="E55">
            <v>19584.514617892979</v>
          </cell>
          <cell r="F55">
            <v>8704.228719063547</v>
          </cell>
          <cell r="G55">
            <v>10880.285898829434</v>
          </cell>
          <cell r="H55">
            <v>33.010000000000005</v>
          </cell>
        </row>
        <row r="56">
          <cell r="B56">
            <v>7.88</v>
          </cell>
          <cell r="C56">
            <v>52</v>
          </cell>
          <cell r="D56">
            <v>385730.67466755857</v>
          </cell>
          <cell r="E56">
            <v>20713.461050167229</v>
          </cell>
          <cell r="F56">
            <v>9205.9826889632131</v>
          </cell>
          <cell r="G56">
            <v>11507.478361204016</v>
          </cell>
          <cell r="H56">
            <v>33.519999999999996</v>
          </cell>
        </row>
        <row r="57">
          <cell r="B57">
            <v>8.0075000000000003</v>
          </cell>
          <cell r="C57">
            <v>53</v>
          </cell>
          <cell r="D57">
            <v>413533.42440752522</v>
          </cell>
          <cell r="E57">
            <v>21873.645722408033</v>
          </cell>
          <cell r="F57">
            <v>9721.620321070237</v>
          </cell>
          <cell r="G57">
            <v>12152.025401337796</v>
          </cell>
          <cell r="H57">
            <v>34.03</v>
          </cell>
        </row>
        <row r="58">
          <cell r="B58">
            <v>8.1349999999999998</v>
          </cell>
          <cell r="C58">
            <v>54</v>
          </cell>
          <cell r="D58">
            <v>442593.03924423084</v>
          </cell>
          <cell r="E58">
            <v>23065.068634615389</v>
          </cell>
          <cell r="F58">
            <v>10251.141615384618</v>
          </cell>
          <cell r="G58">
            <v>12813.927019230772</v>
          </cell>
          <cell r="H58">
            <v>34.54</v>
          </cell>
        </row>
        <row r="59">
          <cell r="B59">
            <v>8.2624999999999993</v>
          </cell>
          <cell r="C59">
            <v>55</v>
          </cell>
          <cell r="D59">
            <v>472936.07168164715</v>
          </cell>
          <cell r="E59">
            <v>24287.729786789299</v>
          </cell>
          <cell r="F59">
            <v>10794.546571906356</v>
          </cell>
          <cell r="G59">
            <v>13493.183214882944</v>
          </cell>
          <cell r="H59">
            <v>35.049999999999997</v>
          </cell>
        </row>
        <row r="60">
          <cell r="B60">
            <v>8.39</v>
          </cell>
          <cell r="C60">
            <v>56</v>
          </cell>
          <cell r="D60">
            <v>504589.07422374596</v>
          </cell>
          <cell r="E60">
            <v>25541.629178929772</v>
          </cell>
          <cell r="F60">
            <v>11351.835190635455</v>
          </cell>
          <cell r="G60">
            <v>14189.793988294317</v>
          </cell>
          <cell r="H60">
            <v>35.56</v>
          </cell>
        </row>
        <row r="61">
          <cell r="B61">
            <v>8.5175000000000001</v>
          </cell>
          <cell r="C61">
            <v>57</v>
          </cell>
          <cell r="D61">
            <v>537578.59937449847</v>
          </cell>
          <cell r="E61">
            <v>26826.766811036796</v>
          </cell>
          <cell r="F61">
            <v>11923.007471571909</v>
          </cell>
          <cell r="G61">
            <v>14903.759339464887</v>
          </cell>
          <cell r="H61">
            <v>36.07</v>
          </cell>
        </row>
        <row r="62">
          <cell r="B62">
            <v>8.6449999999999996</v>
          </cell>
          <cell r="C62">
            <v>58</v>
          </cell>
          <cell r="D62">
            <v>571931.19963787636</v>
          </cell>
          <cell r="E62">
            <v>28143.142683110374</v>
          </cell>
          <cell r="F62">
            <v>12508.063414715723</v>
          </cell>
          <cell r="G62">
            <v>15635.079268394653</v>
          </cell>
          <cell r="H62">
            <v>36.58</v>
          </cell>
        </row>
        <row r="63">
          <cell r="B63">
            <v>8.7725000000000009</v>
          </cell>
          <cell r="C63">
            <v>59</v>
          </cell>
          <cell r="D63">
            <v>607673.42751785135</v>
          </cell>
          <cell r="E63">
            <v>29490.756795150512</v>
          </cell>
          <cell r="F63">
            <v>13107.003020066893</v>
          </cell>
          <cell r="G63">
            <v>16383.753775083616</v>
          </cell>
          <cell r="H63">
            <v>37.090000000000003</v>
          </cell>
        </row>
        <row r="64">
          <cell r="B64">
            <v>8.9</v>
          </cell>
          <cell r="C64">
            <v>60</v>
          </cell>
          <cell r="D64">
            <v>648008.34702341165</v>
          </cell>
          <cell r="E64">
            <v>31021.676187290985</v>
          </cell>
          <cell r="F64">
            <v>13787.411638795993</v>
          </cell>
          <cell r="G64">
            <v>17234.26454849499</v>
          </cell>
          <cell r="H64">
            <v>37.6</v>
          </cell>
        </row>
        <row r="65">
          <cell r="B65">
            <v>9.0274999999999999</v>
          </cell>
          <cell r="C65">
            <v>61</v>
          </cell>
          <cell r="D65">
            <v>690004.44706793502</v>
          </cell>
          <cell r="E65">
            <v>32590.081467391312</v>
          </cell>
          <cell r="F65">
            <v>14484.480652173917</v>
          </cell>
          <cell r="G65">
            <v>18105.600815217396</v>
          </cell>
          <cell r="H65">
            <v>38.11</v>
          </cell>
        </row>
        <row r="66">
          <cell r="B66">
            <v>9.1550000000000011</v>
          </cell>
          <cell r="C66">
            <v>62</v>
          </cell>
          <cell r="D66">
            <v>733693.59065618762</v>
          </cell>
          <cell r="E66">
            <v>34195.972635451515</v>
          </cell>
          <cell r="F66">
            <v>15198.210060200676</v>
          </cell>
          <cell r="G66">
            <v>18997.762575250843</v>
          </cell>
          <cell r="H66">
            <v>38.620000000000005</v>
          </cell>
        </row>
        <row r="67">
          <cell r="B67">
            <v>9.2825000000000006</v>
          </cell>
          <cell r="C67">
            <v>63</v>
          </cell>
          <cell r="D67">
            <v>779107.64079293516</v>
          </cell>
          <cell r="E67">
            <v>35839.349691471587</v>
          </cell>
          <cell r="F67">
            <v>15928.599862876261</v>
          </cell>
          <cell r="G67">
            <v>19910.749828595326</v>
          </cell>
          <cell r="H67">
            <v>39.130000000000003</v>
          </cell>
        </row>
        <row r="68">
          <cell r="B68">
            <v>9.41</v>
          </cell>
          <cell r="C68">
            <v>64</v>
          </cell>
          <cell r="D68">
            <v>826278.46048294357</v>
          </cell>
          <cell r="E68">
            <v>37520.21263545152</v>
          </cell>
          <cell r="F68">
            <v>16675.650060200678</v>
          </cell>
          <cell r="G68">
            <v>20844.562575250846</v>
          </cell>
          <cell r="H68">
            <v>39.64</v>
          </cell>
        </row>
        <row r="69">
          <cell r="B69">
            <v>9.5374999999999996</v>
          </cell>
          <cell r="C69">
            <v>65</v>
          </cell>
          <cell r="D69">
            <v>875237.91273097834</v>
          </cell>
          <cell r="E69">
            <v>39238.561467391308</v>
          </cell>
          <cell r="F69">
            <v>17439.360652173917</v>
          </cell>
          <cell r="G69">
            <v>21799.200815217395</v>
          </cell>
          <cell r="H69">
            <v>40.15</v>
          </cell>
        </row>
        <row r="70">
          <cell r="B70">
            <v>9.6650000000000009</v>
          </cell>
          <cell r="C70">
            <v>66</v>
          </cell>
          <cell r="D70">
            <v>926017.86054180656</v>
          </cell>
          <cell r="E70">
            <v>40994.396187290993</v>
          </cell>
          <cell r="F70">
            <v>18219.731638795998</v>
          </cell>
          <cell r="G70">
            <v>22774.664548494995</v>
          </cell>
          <cell r="H70">
            <v>40.660000000000004</v>
          </cell>
        </row>
        <row r="71">
          <cell r="B71">
            <v>9.7925000000000004</v>
          </cell>
          <cell r="C71">
            <v>67</v>
          </cell>
          <cell r="D71">
            <v>978650.16692019301</v>
          </cell>
          <cell r="E71">
            <v>42787.716795150533</v>
          </cell>
          <cell r="F71">
            <v>19016.763020066905</v>
          </cell>
          <cell r="G71">
            <v>23770.953775083628</v>
          </cell>
          <cell r="H71">
            <v>41.17</v>
          </cell>
        </row>
        <row r="72">
          <cell r="B72">
            <v>9.92</v>
          </cell>
          <cell r="C72">
            <v>68</v>
          </cell>
          <cell r="D72">
            <v>1033166.6948709039</v>
          </cell>
          <cell r="E72">
            <v>44618.523290969941</v>
          </cell>
          <cell r="F72">
            <v>19830.45479598664</v>
          </cell>
          <cell r="G72">
            <v>24788.068494983298</v>
          </cell>
          <cell r="H72">
            <v>41.68</v>
          </cell>
        </row>
        <row r="73">
          <cell r="B73">
            <v>10.047499999999999</v>
          </cell>
          <cell r="C73">
            <v>69</v>
          </cell>
          <cell r="D73">
            <v>1089599.307398705</v>
          </cell>
          <cell r="E73">
            <v>46486.815674749203</v>
          </cell>
          <cell r="F73">
            <v>20660.806966555203</v>
          </cell>
          <cell r="G73">
            <v>25826.008708194004</v>
          </cell>
          <cell r="H73">
            <v>42.19</v>
          </cell>
        </row>
        <row r="74">
          <cell r="B74">
            <v>10.175000000000001</v>
          </cell>
          <cell r="C74">
            <v>70</v>
          </cell>
          <cell r="D74">
            <v>1152328.276097409</v>
          </cell>
          <cell r="E74">
            <v>48575.89922658867</v>
          </cell>
          <cell r="F74">
            <v>21589.288545150521</v>
          </cell>
          <cell r="G74">
            <v>26986.610681438149</v>
          </cell>
          <cell r="H74">
            <v>42.7</v>
          </cell>
        </row>
        <row r="75">
          <cell r="B75">
            <v>10.3025</v>
          </cell>
          <cell r="C75">
            <v>71</v>
          </cell>
          <cell r="D75">
            <v>1217290.9066357866</v>
          </cell>
          <cell r="E75">
            <v>50708.716314381301</v>
          </cell>
          <cell r="F75">
            <v>22537.207250836134</v>
          </cell>
          <cell r="G75">
            <v>28171.509063545167</v>
          </cell>
          <cell r="H75">
            <v>43.21</v>
          </cell>
        </row>
        <row r="76">
          <cell r="B76">
            <v>10.43</v>
          </cell>
          <cell r="C76">
            <v>72</v>
          </cell>
          <cell r="D76">
            <v>1284524.3725193988</v>
          </cell>
          <cell r="E76">
            <v>52885.266938127126</v>
          </cell>
          <cell r="F76">
            <v>23504.563083612054</v>
          </cell>
          <cell r="G76">
            <v>29380.703854515068</v>
          </cell>
          <cell r="H76">
            <v>43.72</v>
          </cell>
        </row>
        <row r="77">
          <cell r="B77">
            <v>10.557500000000001</v>
          </cell>
          <cell r="C77">
            <v>73</v>
          </cell>
          <cell r="D77">
            <v>1354065.8472538053</v>
          </cell>
          <cell r="E77">
            <v>55105.551097826123</v>
          </cell>
          <cell r="F77">
            <v>24491.356043478278</v>
          </cell>
          <cell r="G77">
            <v>30614.195054347845</v>
          </cell>
          <cell r="H77">
            <v>44.230000000000004</v>
          </cell>
        </row>
        <row r="78">
          <cell r="B78">
            <v>10.685</v>
          </cell>
          <cell r="C78">
            <v>74</v>
          </cell>
          <cell r="D78">
            <v>1425952.504344566</v>
          </cell>
          <cell r="E78">
            <v>57369.568793478291</v>
          </cell>
          <cell r="F78">
            <v>25497.586130434796</v>
          </cell>
          <cell r="G78">
            <v>31871.982663043495</v>
          </cell>
          <cell r="H78">
            <v>44.74</v>
          </cell>
        </row>
        <row r="79">
          <cell r="B79">
            <v>10.8125</v>
          </cell>
          <cell r="C79">
            <v>75</v>
          </cell>
          <cell r="D79">
            <v>1500221.5172972416</v>
          </cell>
          <cell r="E79">
            <v>59677.320025083645</v>
          </cell>
          <cell r="F79">
            <v>26523.253344481622</v>
          </cell>
          <cell r="G79">
            <v>33154.066680602024</v>
          </cell>
          <cell r="H79">
            <v>45.25</v>
          </cell>
        </row>
        <row r="80">
          <cell r="B80">
            <v>10.94</v>
          </cell>
          <cell r="C80">
            <v>76</v>
          </cell>
          <cell r="D80">
            <v>1576910.059617392</v>
          </cell>
          <cell r="E80">
            <v>62028.804792642171</v>
          </cell>
          <cell r="F80">
            <v>27568.357685618743</v>
          </cell>
          <cell r="G80">
            <v>34460.447107023429</v>
          </cell>
          <cell r="H80">
            <v>45.76</v>
          </cell>
        </row>
        <row r="81">
          <cell r="B81">
            <v>11.067500000000001</v>
          </cell>
          <cell r="C81">
            <v>77</v>
          </cell>
          <cell r="D81">
            <v>1656055.3048105778</v>
          </cell>
          <cell r="E81">
            <v>64424.023096153876</v>
          </cell>
          <cell r="F81">
            <v>28632.899153846167</v>
          </cell>
          <cell r="G81">
            <v>35791.123942307706</v>
          </cell>
          <cell r="H81">
            <v>46.27</v>
          </cell>
        </row>
        <row r="82">
          <cell r="B82">
            <v>11.195</v>
          </cell>
          <cell r="C82">
            <v>78</v>
          </cell>
          <cell r="D82">
            <v>1737694.4263823582</v>
          </cell>
          <cell r="E82">
            <v>66862.974935618739</v>
          </cell>
          <cell r="F82">
            <v>29716.877749163887</v>
          </cell>
          <cell r="G82">
            <v>37146.097186454856</v>
          </cell>
          <cell r="H82">
            <v>46.78</v>
          </cell>
        </row>
        <row r="83">
          <cell r="B83">
            <v>11.3225</v>
          </cell>
          <cell r="C83">
            <v>79</v>
          </cell>
          <cell r="D83">
            <v>1821864.5978382952</v>
          </cell>
          <cell r="E83">
            <v>69345.660311036816</v>
          </cell>
          <cell r="F83">
            <v>30820.29347157192</v>
          </cell>
          <cell r="G83">
            <v>38525.366839464899</v>
          </cell>
          <cell r="H83">
            <v>47.29</v>
          </cell>
        </row>
        <row r="84">
          <cell r="B84">
            <v>11.45</v>
          </cell>
          <cell r="C84">
            <v>80</v>
          </cell>
          <cell r="D84">
            <v>1914300.3150501673</v>
          </cell>
          <cell r="E84">
            <v>72086.622742474923</v>
          </cell>
          <cell r="F84">
            <v>32038.498996655522</v>
          </cell>
          <cell r="G84">
            <v>40048.123745819401</v>
          </cell>
          <cell r="H84">
            <v>47.8</v>
          </cell>
        </row>
        <row r="85">
          <cell r="B85">
            <v>11.577500000000001</v>
          </cell>
          <cell r="C85">
            <v>81</v>
          </cell>
          <cell r="D85">
            <v>2009630.6837489975</v>
          </cell>
          <cell r="E85">
            <v>74877.566357859556</v>
          </cell>
          <cell r="F85">
            <v>33278.918381270916</v>
          </cell>
          <cell r="G85">
            <v>41598.647976588647</v>
          </cell>
          <cell r="H85">
            <v>48.31</v>
          </cell>
        </row>
        <row r="86">
          <cell r="B86">
            <v>11.705</v>
          </cell>
          <cell r="C86">
            <v>82</v>
          </cell>
          <cell r="D86">
            <v>2107898.1879411377</v>
          </cell>
          <cell r="E86">
            <v>77718.491157190656</v>
          </cell>
          <cell r="F86">
            <v>34541.551625418069</v>
          </cell>
          <cell r="G86">
            <v>43176.939531772587</v>
          </cell>
          <cell r="H86">
            <v>48.82</v>
          </cell>
        </row>
        <row r="87">
          <cell r="B87">
            <v>11.8325</v>
          </cell>
          <cell r="C87">
            <v>83</v>
          </cell>
          <cell r="D87">
            <v>2209145.3116329438</v>
          </cell>
          <cell r="E87">
            <v>80609.397140468252</v>
          </cell>
          <cell r="F87">
            <v>35826.398729097004</v>
          </cell>
          <cell r="G87">
            <v>44782.998411371249</v>
          </cell>
          <cell r="H87">
            <v>49.33</v>
          </cell>
        </row>
        <row r="88">
          <cell r="B88">
            <v>11.96</v>
          </cell>
          <cell r="C88">
            <v>84</v>
          </cell>
          <cell r="D88">
            <v>2313414.5388307702</v>
          </cell>
          <cell r="E88">
            <v>83550.284307692331</v>
          </cell>
          <cell r="F88">
            <v>37133.459692307704</v>
          </cell>
          <cell r="G88">
            <v>46416.824615384627</v>
          </cell>
          <cell r="H88">
            <v>49.84</v>
          </cell>
        </row>
        <row r="89">
          <cell r="B89">
            <v>12.0875</v>
          </cell>
          <cell r="C89">
            <v>85</v>
          </cell>
          <cell r="D89">
            <v>2420748.3535409695</v>
          </cell>
          <cell r="E89">
            <v>86541.152658862877</v>
          </cell>
          <cell r="F89">
            <v>38462.734515050164</v>
          </cell>
          <cell r="G89">
            <v>48078.418143812705</v>
          </cell>
          <cell r="H89">
            <v>50.35</v>
          </cell>
        </row>
        <row r="90">
          <cell r="B90">
            <v>12.215</v>
          </cell>
          <cell r="C90">
            <v>86</v>
          </cell>
          <cell r="D90">
            <v>2531189.2397698998</v>
          </cell>
          <cell r="E90">
            <v>89582.002193979948</v>
          </cell>
          <cell r="F90">
            <v>39814.22319732442</v>
          </cell>
          <cell r="G90">
            <v>49767.778996655521</v>
          </cell>
          <cell r="H90">
            <v>50.86</v>
          </cell>
        </row>
        <row r="91">
          <cell r="B91">
            <v>12.342499999999999</v>
          </cell>
          <cell r="C91">
            <v>87</v>
          </cell>
          <cell r="D91">
            <v>2644779.6815239121</v>
          </cell>
          <cell r="E91">
            <v>92672.832913043458</v>
          </cell>
          <cell r="F91">
            <v>41187.925739130427</v>
          </cell>
          <cell r="G91">
            <v>51484.90717391303</v>
          </cell>
          <cell r="H91">
            <v>51.37</v>
          </cell>
        </row>
        <row r="92">
          <cell r="B92">
            <v>12.47</v>
          </cell>
          <cell r="C92">
            <v>88</v>
          </cell>
          <cell r="D92">
            <v>2761562.162809364</v>
          </cell>
          <cell r="E92">
            <v>95813.644816053478</v>
          </cell>
          <cell r="F92">
            <v>42583.842140468216</v>
          </cell>
          <cell r="G92">
            <v>53229.80267558527</v>
          </cell>
          <cell r="H92">
            <v>51.88</v>
          </cell>
        </row>
        <row r="93">
          <cell r="B93">
            <v>12.5975</v>
          </cell>
          <cell r="C93">
            <v>89</v>
          </cell>
          <cell r="D93">
            <v>2881579.1676326082</v>
          </cell>
          <cell r="E93">
            <v>99004.437903010024</v>
          </cell>
          <cell r="F93">
            <v>44001.972401337785</v>
          </cell>
          <cell r="G93">
            <v>55002.465501672232</v>
          </cell>
          <cell r="H93">
            <v>52.39</v>
          </cell>
        </row>
        <row r="94">
          <cell r="B94">
            <v>12.725</v>
          </cell>
          <cell r="C94">
            <v>90</v>
          </cell>
          <cell r="D94">
            <v>3004873.1799999988</v>
          </cell>
          <cell r="E94">
            <v>102245.21217391299</v>
          </cell>
          <cell r="F94">
            <v>45442.316521739114</v>
          </cell>
          <cell r="G94">
            <v>56802.895652173887</v>
          </cell>
          <cell r="H94">
            <v>52.9</v>
          </cell>
        </row>
        <row r="95">
          <cell r="B95">
            <v>12.852500000000001</v>
          </cell>
          <cell r="C95">
            <v>91</v>
          </cell>
          <cell r="D95">
            <v>3131486.6839178922</v>
          </cell>
          <cell r="E95">
            <v>105535.9676287625</v>
          </cell>
          <cell r="F95">
            <v>46904.874501672224</v>
          </cell>
          <cell r="G95">
            <v>58631.09312709028</v>
          </cell>
          <cell r="H95">
            <v>53.410000000000004</v>
          </cell>
        </row>
        <row r="96">
          <cell r="B96">
            <v>12.98</v>
          </cell>
          <cell r="C96">
            <v>92</v>
          </cell>
          <cell r="D96">
            <v>3261462.1633926416</v>
          </cell>
          <cell r="E96">
            <v>108876.7042675585</v>
          </cell>
          <cell r="F96">
            <v>48389.646341137115</v>
          </cell>
          <cell r="G96">
            <v>60487.057926421388</v>
          </cell>
          <cell r="H96">
            <v>53.92</v>
          </cell>
        </row>
        <row r="97">
          <cell r="B97">
            <v>13.1075</v>
          </cell>
          <cell r="C97">
            <v>93</v>
          </cell>
          <cell r="D97">
            <v>3394842.1024305997</v>
          </cell>
          <cell r="E97">
            <v>112267.42209030094</v>
          </cell>
          <cell r="F97">
            <v>49896.632040133751</v>
          </cell>
          <cell r="G97">
            <v>62370.790050167183</v>
          </cell>
          <cell r="H97">
            <v>54.43</v>
          </cell>
        </row>
        <row r="98">
          <cell r="B98">
            <v>13.234999999999999</v>
          </cell>
          <cell r="C98">
            <v>94</v>
          </cell>
          <cell r="D98">
            <v>3531668.985038125</v>
          </cell>
          <cell r="E98">
            <v>115708.1210969899</v>
          </cell>
          <cell r="F98">
            <v>51425.831598662182</v>
          </cell>
          <cell r="G98">
            <v>64282.289498327722</v>
          </cell>
          <cell r="H98">
            <v>54.94</v>
          </cell>
        </row>
        <row r="99">
          <cell r="B99">
            <v>13.362500000000001</v>
          </cell>
          <cell r="C99">
            <v>95</v>
          </cell>
          <cell r="D99">
            <v>3671985.2952215695</v>
          </cell>
          <cell r="E99">
            <v>119198.80128762533</v>
          </cell>
          <cell r="F99">
            <v>52977.245016722372</v>
          </cell>
          <cell r="G99">
            <v>66221.556270902962</v>
          </cell>
          <cell r="H99">
            <v>55.45</v>
          </cell>
        </row>
        <row r="100">
          <cell r="B100">
            <v>13.49</v>
          </cell>
          <cell r="C100">
            <v>96</v>
          </cell>
          <cell r="D100">
            <v>3815833.5169872884</v>
          </cell>
          <cell r="E100">
            <v>122739.46266220728</v>
          </cell>
          <cell r="F100">
            <v>54550.872294314351</v>
          </cell>
          <cell r="G100">
            <v>68188.590367892932</v>
          </cell>
          <cell r="H100">
            <v>55.96</v>
          </cell>
        </row>
        <row r="101">
          <cell r="B101">
            <v>13.6175</v>
          </cell>
          <cell r="C101">
            <v>97</v>
          </cell>
          <cell r="D101">
            <v>3963256.1343416362</v>
          </cell>
          <cell r="E101">
            <v>126330.10522073571</v>
          </cell>
          <cell r="F101">
            <v>56146.713431438096</v>
          </cell>
          <cell r="G101">
            <v>70183.391789297617</v>
          </cell>
          <cell r="H101">
            <v>56.47</v>
          </cell>
        </row>
        <row r="102">
          <cell r="B102">
            <v>13.745000000000001</v>
          </cell>
          <cell r="C102">
            <v>98</v>
          </cell>
          <cell r="D102">
            <v>4114295.6312909662</v>
          </cell>
          <cell r="E102">
            <v>129970.72896321058</v>
          </cell>
          <cell r="F102">
            <v>57764.768428093594</v>
          </cell>
          <cell r="G102">
            <v>72205.960535116988</v>
          </cell>
          <cell r="H102">
            <v>56.980000000000004</v>
          </cell>
        </row>
        <row r="103">
          <cell r="B103">
            <v>13.8725</v>
          </cell>
          <cell r="C103">
            <v>99</v>
          </cell>
          <cell r="D103">
            <v>4268994.4918416347</v>
          </cell>
          <cell r="E103">
            <v>133661.33388963199</v>
          </cell>
          <cell r="F103">
            <v>59405.037284280887</v>
          </cell>
          <cell r="G103">
            <v>74256.296605351105</v>
          </cell>
          <cell r="H103">
            <v>57.49</v>
          </cell>
        </row>
      </sheetData>
      <sheetData sheetId="5">
        <row r="4">
          <cell r="B4" t="str">
            <v>等级</v>
          </cell>
          <cell r="C4" t="str">
            <v>生命</v>
          </cell>
          <cell r="D4" t="str">
            <v>攻击</v>
          </cell>
          <cell r="E4" t="str">
            <v>防御</v>
          </cell>
          <cell r="F4" t="str">
            <v>标准属性价值参考系</v>
          </cell>
        </row>
        <row r="5">
          <cell r="B5">
            <v>1</v>
          </cell>
          <cell r="C5">
            <v>495.65999999999997</v>
          </cell>
          <cell r="D5">
            <v>118.80000000000001</v>
          </cell>
          <cell r="E5">
            <v>52.800000000000004</v>
          </cell>
          <cell r="F5">
            <v>191.42640000000003</v>
          </cell>
        </row>
        <row r="6">
          <cell r="B6">
            <v>2</v>
          </cell>
          <cell r="C6">
            <v>577.43999999999994</v>
          </cell>
          <cell r="D6">
            <v>129.6</v>
          </cell>
          <cell r="E6">
            <v>57.6</v>
          </cell>
          <cell r="F6">
            <v>207.0264</v>
          </cell>
        </row>
        <row r="7">
          <cell r="B7">
            <v>3</v>
          </cell>
          <cell r="C7">
            <v>665.34000000000015</v>
          </cell>
          <cell r="D7">
            <v>140.4</v>
          </cell>
          <cell r="E7">
            <v>62.400000000000006</v>
          </cell>
          <cell r="F7">
            <v>222.62640000000002</v>
          </cell>
        </row>
        <row r="8">
          <cell r="B8">
            <v>4</v>
          </cell>
          <cell r="C8">
            <v>759.3599999999999</v>
          </cell>
          <cell r="D8">
            <v>151.19999999999999</v>
          </cell>
          <cell r="E8">
            <v>67.2</v>
          </cell>
          <cell r="F8">
            <v>238.22640000000001</v>
          </cell>
        </row>
        <row r="9">
          <cell r="B9">
            <v>5</v>
          </cell>
          <cell r="C9">
            <v>859.50000000000011</v>
          </cell>
          <cell r="D9">
            <v>162</v>
          </cell>
          <cell r="E9">
            <v>72</v>
          </cell>
          <cell r="F9">
            <v>253.82640000000001</v>
          </cell>
        </row>
        <row r="10">
          <cell r="B10">
            <v>6</v>
          </cell>
          <cell r="C10">
            <v>965.76</v>
          </cell>
          <cell r="D10">
            <v>172.79999999999998</v>
          </cell>
          <cell r="E10">
            <v>76.8</v>
          </cell>
          <cell r="F10">
            <v>269.4264</v>
          </cell>
        </row>
        <row r="11">
          <cell r="B11">
            <v>7</v>
          </cell>
          <cell r="C11">
            <v>1078.1399999999999</v>
          </cell>
          <cell r="D11">
            <v>183.6</v>
          </cell>
          <cell r="E11">
            <v>81.600000000000009</v>
          </cell>
          <cell r="F11">
            <v>285.02640000000002</v>
          </cell>
        </row>
        <row r="12">
          <cell r="B12">
            <v>8</v>
          </cell>
          <cell r="C12">
            <v>1196.6399999999999</v>
          </cell>
          <cell r="D12">
            <v>194.39999999999998</v>
          </cell>
          <cell r="E12">
            <v>86.4</v>
          </cell>
          <cell r="F12">
            <v>300.62639999999999</v>
          </cell>
        </row>
        <row r="13">
          <cell r="B13">
            <v>9</v>
          </cell>
          <cell r="C13">
            <v>1321.26</v>
          </cell>
          <cell r="D13">
            <v>205.20000000000002</v>
          </cell>
          <cell r="E13">
            <v>91.2</v>
          </cell>
          <cell r="F13">
            <v>316.22640000000001</v>
          </cell>
        </row>
        <row r="14">
          <cell r="B14">
            <v>10</v>
          </cell>
          <cell r="C14">
            <v>1452</v>
          </cell>
          <cell r="D14">
            <v>216.00000000000003</v>
          </cell>
          <cell r="E14">
            <v>96.000000000000014</v>
          </cell>
          <cell r="F14">
            <v>331.82640000000004</v>
          </cell>
        </row>
        <row r="15">
          <cell r="B15">
            <v>11</v>
          </cell>
          <cell r="C15">
            <v>1588.8599999999994</v>
          </cell>
          <cell r="D15">
            <v>226.79999999999995</v>
          </cell>
          <cell r="E15">
            <v>100.79999999999997</v>
          </cell>
          <cell r="F15">
            <v>347.42639999999994</v>
          </cell>
        </row>
        <row r="16">
          <cell r="B16">
            <v>12</v>
          </cell>
          <cell r="C16">
            <v>1731.84</v>
          </cell>
          <cell r="D16">
            <v>237.60000000000002</v>
          </cell>
          <cell r="E16">
            <v>105.60000000000001</v>
          </cell>
          <cell r="F16">
            <v>363.02640000000002</v>
          </cell>
        </row>
        <row r="17">
          <cell r="B17">
            <v>13</v>
          </cell>
          <cell r="C17">
            <v>1880.9399999999998</v>
          </cell>
          <cell r="D17">
            <v>248.4</v>
          </cell>
          <cell r="E17">
            <v>110.4</v>
          </cell>
          <cell r="F17">
            <v>378.62639999999999</v>
          </cell>
        </row>
        <row r="18">
          <cell r="B18">
            <v>14</v>
          </cell>
          <cell r="C18">
            <v>2036.1600000000003</v>
          </cell>
          <cell r="D18">
            <v>259.20000000000005</v>
          </cell>
          <cell r="E18">
            <v>115.20000000000002</v>
          </cell>
          <cell r="F18">
            <v>394.22640000000001</v>
          </cell>
        </row>
        <row r="19">
          <cell r="B19">
            <v>15</v>
          </cell>
          <cell r="C19">
            <v>2197.5</v>
          </cell>
          <cell r="D19">
            <v>270</v>
          </cell>
          <cell r="E19">
            <v>120.00000000000001</v>
          </cell>
          <cell r="F19">
            <v>409.82639999999998</v>
          </cell>
        </row>
        <row r="20">
          <cell r="B20">
            <v>16</v>
          </cell>
          <cell r="C20">
            <v>2364.9600000000005</v>
          </cell>
          <cell r="D20">
            <v>280.8</v>
          </cell>
          <cell r="E20">
            <v>124.80000000000001</v>
          </cell>
          <cell r="F20">
            <v>425.4264</v>
          </cell>
        </row>
        <row r="21">
          <cell r="B21">
            <v>17</v>
          </cell>
          <cell r="C21">
            <v>2538.54</v>
          </cell>
          <cell r="D21">
            <v>291.60000000000002</v>
          </cell>
          <cell r="E21">
            <v>129.60000000000002</v>
          </cell>
          <cell r="F21">
            <v>441.02640000000002</v>
          </cell>
        </row>
        <row r="22">
          <cell r="B22">
            <v>18</v>
          </cell>
          <cell r="C22">
            <v>2718.2400000000007</v>
          </cell>
          <cell r="D22">
            <v>302.40000000000009</v>
          </cell>
          <cell r="E22">
            <v>134.40000000000006</v>
          </cell>
          <cell r="F22">
            <v>456.6264000000001</v>
          </cell>
        </row>
        <row r="23">
          <cell r="B23">
            <v>19</v>
          </cell>
          <cell r="C23">
            <v>2904.06</v>
          </cell>
          <cell r="D23">
            <v>313.2000000000001</v>
          </cell>
          <cell r="E23">
            <v>139.20000000000005</v>
          </cell>
          <cell r="F23">
            <v>472.22640000000013</v>
          </cell>
        </row>
        <row r="24">
          <cell r="B24">
            <v>20</v>
          </cell>
          <cell r="C24">
            <v>3096.0000000000005</v>
          </cell>
          <cell r="D24">
            <v>324.00000000000006</v>
          </cell>
          <cell r="E24">
            <v>144.00000000000003</v>
          </cell>
          <cell r="F24">
            <v>487.82640000000004</v>
          </cell>
        </row>
        <row r="25">
          <cell r="B25">
            <v>21</v>
          </cell>
          <cell r="C25">
            <v>3294.0600000000009</v>
          </cell>
          <cell r="D25">
            <v>334.80000000000007</v>
          </cell>
          <cell r="E25">
            <v>148.80000000000004</v>
          </cell>
          <cell r="F25">
            <v>503.42640000000006</v>
          </cell>
        </row>
        <row r="26">
          <cell r="B26">
            <v>22</v>
          </cell>
          <cell r="C26">
            <v>3498.2400000000007</v>
          </cell>
          <cell r="D26">
            <v>345.60000000000008</v>
          </cell>
          <cell r="E26">
            <v>153.60000000000002</v>
          </cell>
          <cell r="F26">
            <v>519.02640000000008</v>
          </cell>
        </row>
        <row r="27">
          <cell r="B27">
            <v>23</v>
          </cell>
          <cell r="C27">
            <v>3708.5400000000013</v>
          </cell>
          <cell r="D27">
            <v>356.40000000000015</v>
          </cell>
          <cell r="E27">
            <v>158.40000000000006</v>
          </cell>
          <cell r="F27">
            <v>534.62640000000022</v>
          </cell>
        </row>
        <row r="28">
          <cell r="B28">
            <v>24</v>
          </cell>
          <cell r="C28">
            <v>3924.9600000000014</v>
          </cell>
          <cell r="D28">
            <v>367.2000000000001</v>
          </cell>
          <cell r="E28">
            <v>163.20000000000005</v>
          </cell>
          <cell r="F28">
            <v>550.22640000000013</v>
          </cell>
        </row>
        <row r="29">
          <cell r="B29">
            <v>25</v>
          </cell>
          <cell r="C29">
            <v>4147.5000000000009</v>
          </cell>
          <cell r="D29">
            <v>378.00000000000017</v>
          </cell>
          <cell r="E29">
            <v>168.00000000000006</v>
          </cell>
          <cell r="F29">
            <v>565.82640000000015</v>
          </cell>
        </row>
        <row r="30">
          <cell r="B30">
            <v>26</v>
          </cell>
          <cell r="C30">
            <v>4376.1600000000008</v>
          </cell>
          <cell r="D30">
            <v>388.80000000000013</v>
          </cell>
          <cell r="E30">
            <v>172.80000000000007</v>
          </cell>
          <cell r="F30">
            <v>581.42640000000017</v>
          </cell>
        </row>
        <row r="31">
          <cell r="B31">
            <v>27</v>
          </cell>
          <cell r="C31">
            <v>4610.9400000000014</v>
          </cell>
          <cell r="D31">
            <v>399.60000000000008</v>
          </cell>
          <cell r="E31">
            <v>177.60000000000005</v>
          </cell>
          <cell r="F31">
            <v>597.02640000000008</v>
          </cell>
        </row>
        <row r="32">
          <cell r="B32">
            <v>28</v>
          </cell>
          <cell r="C32">
            <v>4851.840000000002</v>
          </cell>
          <cell r="D32">
            <v>410.40000000000015</v>
          </cell>
          <cell r="E32">
            <v>182.40000000000006</v>
          </cell>
          <cell r="F32">
            <v>612.62640000000022</v>
          </cell>
        </row>
        <row r="33">
          <cell r="B33">
            <v>29</v>
          </cell>
          <cell r="C33">
            <v>5098.8600000000015</v>
          </cell>
          <cell r="D33">
            <v>421.2000000000001</v>
          </cell>
          <cell r="E33">
            <v>187.20000000000007</v>
          </cell>
          <cell r="F33">
            <v>628.22640000000013</v>
          </cell>
        </row>
        <row r="34">
          <cell r="B34">
            <v>30</v>
          </cell>
          <cell r="C34">
            <v>5418.9000000000015</v>
          </cell>
          <cell r="D34">
            <v>437.4000000000002</v>
          </cell>
          <cell r="E34">
            <v>194.40000000000006</v>
          </cell>
          <cell r="F34">
            <v>651.62640000000022</v>
          </cell>
        </row>
        <row r="35">
          <cell r="B35">
            <v>31</v>
          </cell>
          <cell r="C35">
            <v>5748.1200000000017</v>
          </cell>
          <cell r="D35">
            <v>453.60000000000008</v>
          </cell>
          <cell r="E35">
            <v>201.60000000000002</v>
          </cell>
          <cell r="F35">
            <v>675.02640000000008</v>
          </cell>
        </row>
        <row r="36">
          <cell r="B36">
            <v>32</v>
          </cell>
          <cell r="C36">
            <v>6086.5200000000023</v>
          </cell>
          <cell r="D36">
            <v>469.80000000000024</v>
          </cell>
          <cell r="E36">
            <v>208.80000000000013</v>
          </cell>
          <cell r="F36">
            <v>698.42640000000029</v>
          </cell>
        </row>
        <row r="37">
          <cell r="B37">
            <v>33</v>
          </cell>
          <cell r="C37">
            <v>6434.1000000000022</v>
          </cell>
          <cell r="D37">
            <v>486.00000000000017</v>
          </cell>
          <cell r="E37">
            <v>216.00000000000009</v>
          </cell>
          <cell r="F37">
            <v>721.82640000000026</v>
          </cell>
        </row>
        <row r="38">
          <cell r="B38">
            <v>34</v>
          </cell>
          <cell r="C38">
            <v>6790.86</v>
          </cell>
          <cell r="D38">
            <v>502.20000000000005</v>
          </cell>
          <cell r="E38">
            <v>223.20000000000002</v>
          </cell>
          <cell r="F38">
            <v>745.22640000000013</v>
          </cell>
        </row>
        <row r="39">
          <cell r="B39">
            <v>35</v>
          </cell>
          <cell r="C39">
            <v>7156.800000000002</v>
          </cell>
          <cell r="D39">
            <v>518.4000000000002</v>
          </cell>
          <cell r="E39">
            <v>230.40000000000006</v>
          </cell>
          <cell r="F39">
            <v>768.62640000000033</v>
          </cell>
        </row>
        <row r="40">
          <cell r="B40">
            <v>36</v>
          </cell>
          <cell r="C40">
            <v>7531.92</v>
          </cell>
          <cell r="D40">
            <v>534.6</v>
          </cell>
          <cell r="E40">
            <v>237.60000000000005</v>
          </cell>
          <cell r="F40">
            <v>792.02640000000008</v>
          </cell>
        </row>
        <row r="41">
          <cell r="B41">
            <v>37</v>
          </cell>
          <cell r="C41">
            <v>7916.2200000000021</v>
          </cell>
          <cell r="D41">
            <v>550.80000000000018</v>
          </cell>
          <cell r="E41">
            <v>244.80000000000007</v>
          </cell>
          <cell r="F41">
            <v>815.42640000000029</v>
          </cell>
        </row>
        <row r="42">
          <cell r="B42">
            <v>38</v>
          </cell>
          <cell r="C42">
            <v>8309.7000000000007</v>
          </cell>
          <cell r="D42">
            <v>567.00000000000011</v>
          </cell>
          <cell r="E42">
            <v>252.00000000000006</v>
          </cell>
          <cell r="F42">
            <v>838.82640000000015</v>
          </cell>
        </row>
        <row r="43">
          <cell r="B43">
            <v>39</v>
          </cell>
          <cell r="C43">
            <v>8712.3600000000024</v>
          </cell>
          <cell r="D43">
            <v>583.20000000000005</v>
          </cell>
          <cell r="E43">
            <v>259.20000000000005</v>
          </cell>
          <cell r="F43">
            <v>862.22640000000013</v>
          </cell>
        </row>
        <row r="44">
          <cell r="B44">
            <v>40</v>
          </cell>
          <cell r="C44">
            <v>9206.4000000000033</v>
          </cell>
          <cell r="D44">
            <v>604.80000000000018</v>
          </cell>
          <cell r="E44">
            <v>268.80000000000013</v>
          </cell>
          <cell r="F44">
            <v>893.42640000000029</v>
          </cell>
        </row>
        <row r="45">
          <cell r="B45">
            <v>41</v>
          </cell>
          <cell r="C45">
            <v>9712.6800000000039</v>
          </cell>
          <cell r="D45">
            <v>626.4000000000002</v>
          </cell>
          <cell r="E45">
            <v>278.40000000000009</v>
          </cell>
          <cell r="F45">
            <v>924.62640000000033</v>
          </cell>
        </row>
        <row r="46">
          <cell r="B46">
            <v>42</v>
          </cell>
          <cell r="C46">
            <v>10231.200000000004</v>
          </cell>
          <cell r="D46">
            <v>648.00000000000034</v>
          </cell>
          <cell r="E46">
            <v>288.00000000000011</v>
          </cell>
          <cell r="F46">
            <v>955.82640000000049</v>
          </cell>
        </row>
        <row r="47">
          <cell r="B47">
            <v>43</v>
          </cell>
          <cell r="C47">
            <v>10761.960000000003</v>
          </cell>
          <cell r="D47">
            <v>669.60000000000014</v>
          </cell>
          <cell r="E47">
            <v>297.60000000000014</v>
          </cell>
          <cell r="F47">
            <v>987.02640000000031</v>
          </cell>
        </row>
        <row r="48">
          <cell r="B48">
            <v>44</v>
          </cell>
          <cell r="C48">
            <v>11304.960000000003</v>
          </cell>
          <cell r="D48">
            <v>691.20000000000016</v>
          </cell>
          <cell r="E48">
            <v>307.2000000000001</v>
          </cell>
          <cell r="F48">
            <v>1018.2264000000002</v>
          </cell>
        </row>
        <row r="49">
          <cell r="B49">
            <v>45</v>
          </cell>
          <cell r="C49">
            <v>11860.200000000004</v>
          </cell>
          <cell r="D49">
            <v>712.80000000000018</v>
          </cell>
          <cell r="E49">
            <v>316.80000000000007</v>
          </cell>
          <cell r="F49">
            <v>1049.4264000000003</v>
          </cell>
        </row>
        <row r="50">
          <cell r="B50">
            <v>46</v>
          </cell>
          <cell r="C50">
            <v>12427.680000000006</v>
          </cell>
          <cell r="D50">
            <v>734.40000000000032</v>
          </cell>
          <cell r="E50">
            <v>326.40000000000015</v>
          </cell>
          <cell r="F50">
            <v>1080.6264000000006</v>
          </cell>
        </row>
        <row r="51">
          <cell r="B51">
            <v>47</v>
          </cell>
          <cell r="C51">
            <v>13007.400000000003</v>
          </cell>
          <cell r="D51">
            <v>756.00000000000023</v>
          </cell>
          <cell r="E51">
            <v>336.00000000000017</v>
          </cell>
          <cell r="F51">
            <v>1111.8264000000004</v>
          </cell>
          <cell r="H51">
            <v>47</v>
          </cell>
          <cell r="I51">
            <v>629787.29123252782</v>
          </cell>
          <cell r="J51">
            <v>38782.80000000001</v>
          </cell>
          <cell r="K51">
            <v>17236.800000000007</v>
          </cell>
          <cell r="L51">
            <v>29375</v>
          </cell>
          <cell r="M51">
            <v>29375</v>
          </cell>
          <cell r="N51">
            <v>29375</v>
          </cell>
          <cell r="O51">
            <v>0.58750000000000002</v>
          </cell>
        </row>
        <row r="52">
          <cell r="B52">
            <v>48</v>
          </cell>
          <cell r="C52">
            <v>13599.360000000006</v>
          </cell>
          <cell r="D52">
            <v>777.60000000000036</v>
          </cell>
          <cell r="E52">
            <v>345.60000000000014</v>
          </cell>
          <cell r="F52">
            <v>1143.0264000000006</v>
          </cell>
          <cell r="H52">
            <v>48</v>
          </cell>
          <cell r="I52">
            <v>656648.39644997043</v>
          </cell>
          <cell r="J52">
            <v>39890.880000000019</v>
          </cell>
          <cell r="K52">
            <v>17729.280000000006</v>
          </cell>
          <cell r="L52">
            <v>30000</v>
          </cell>
          <cell r="M52">
            <v>30000</v>
          </cell>
          <cell r="N52">
            <v>30000</v>
          </cell>
          <cell r="O52">
            <v>0.6</v>
          </cell>
        </row>
        <row r="53">
          <cell r="B53">
            <v>49</v>
          </cell>
          <cell r="C53">
            <v>14203.560000000009</v>
          </cell>
          <cell r="D53">
            <v>799.20000000000039</v>
          </cell>
          <cell r="E53">
            <v>355.20000000000022</v>
          </cell>
          <cell r="F53">
            <v>1174.2264000000007</v>
          </cell>
          <cell r="H53">
            <v>49</v>
          </cell>
          <cell r="I53">
            <v>683909.1868307034</v>
          </cell>
          <cell r="J53">
            <v>40998.960000000021</v>
          </cell>
          <cell r="K53">
            <v>18221.760000000009</v>
          </cell>
          <cell r="L53">
            <v>30625</v>
          </cell>
          <cell r="M53">
            <v>30625</v>
          </cell>
          <cell r="N53">
            <v>30625</v>
          </cell>
          <cell r="O53">
            <v>0.61250000000000004</v>
          </cell>
        </row>
        <row r="54">
          <cell r="B54">
            <v>50</v>
          </cell>
          <cell r="C54">
            <v>14917.500000000005</v>
          </cell>
          <cell r="D54">
            <v>826.20000000000027</v>
          </cell>
          <cell r="E54">
            <v>367.2000000000001</v>
          </cell>
          <cell r="F54">
            <v>1213.2264000000005</v>
          </cell>
          <cell r="H54">
            <v>50</v>
          </cell>
          <cell r="I54">
            <v>716242.40830715036</v>
          </cell>
          <cell r="J54">
            <v>42384.060000000012</v>
          </cell>
          <cell r="K54">
            <v>18837.360000000004</v>
          </cell>
          <cell r="L54">
            <v>31250</v>
          </cell>
          <cell r="M54">
            <v>31250</v>
          </cell>
          <cell r="N54">
            <v>31250</v>
          </cell>
          <cell r="O54">
            <v>0.625</v>
          </cell>
        </row>
        <row r="55">
          <cell r="B55">
            <v>51</v>
          </cell>
          <cell r="C55">
            <v>15646.740000000009</v>
          </cell>
          <cell r="D55">
            <v>853.20000000000027</v>
          </cell>
          <cell r="E55">
            <v>379.20000000000016</v>
          </cell>
          <cell r="F55">
            <v>1252.2264000000005</v>
          </cell>
          <cell r="H55">
            <v>51</v>
          </cell>
          <cell r="I55">
            <v>749077.43558025884</v>
          </cell>
          <cell r="J55">
            <v>43769.160000000011</v>
          </cell>
          <cell r="K55">
            <v>19452.960000000006</v>
          </cell>
          <cell r="L55">
            <v>31875</v>
          </cell>
          <cell r="M55">
            <v>31875</v>
          </cell>
          <cell r="N55">
            <v>31875</v>
          </cell>
          <cell r="O55">
            <v>0.63749999999999996</v>
          </cell>
        </row>
        <row r="56">
          <cell r="B56">
            <v>52</v>
          </cell>
          <cell r="C56">
            <v>16391.280000000002</v>
          </cell>
          <cell r="D56">
            <v>880.20000000000016</v>
          </cell>
          <cell r="E56">
            <v>391.2000000000001</v>
          </cell>
          <cell r="F56">
            <v>1291.2264000000002</v>
          </cell>
          <cell r="H56">
            <v>52</v>
          </cell>
          <cell r="I56">
            <v>782403.60833389161</v>
          </cell>
          <cell r="J56">
            <v>45154.26</v>
          </cell>
          <cell r="K56">
            <v>20068.560000000005</v>
          </cell>
          <cell r="L56">
            <v>32500</v>
          </cell>
          <cell r="M56">
            <v>32500</v>
          </cell>
          <cell r="N56">
            <v>32500</v>
          </cell>
          <cell r="O56">
            <v>0.65</v>
          </cell>
        </row>
        <row r="57">
          <cell r="B57">
            <v>53</v>
          </cell>
          <cell r="C57">
            <v>17151.120000000006</v>
          </cell>
          <cell r="D57">
            <v>907.20000000000027</v>
          </cell>
          <cell r="E57">
            <v>403.2000000000001</v>
          </cell>
          <cell r="F57">
            <v>1330.2264000000005</v>
          </cell>
          <cell r="H57">
            <v>53</v>
          </cell>
          <cell r="I57">
            <v>816210.17890046258</v>
          </cell>
          <cell r="J57">
            <v>46539.360000000008</v>
          </cell>
          <cell r="K57">
            <v>20684.160000000003</v>
          </cell>
          <cell r="L57">
            <v>33125</v>
          </cell>
          <cell r="M57">
            <v>33125</v>
          </cell>
          <cell r="N57">
            <v>33125</v>
          </cell>
          <cell r="O57">
            <v>0.66249999999999998</v>
          </cell>
        </row>
        <row r="58">
          <cell r="B58">
            <v>54</v>
          </cell>
          <cell r="C58">
            <v>17926.260000000002</v>
          </cell>
          <cell r="D58">
            <v>934.20000000000027</v>
          </cell>
          <cell r="E58">
            <v>415.20000000000016</v>
          </cell>
          <cell r="F58">
            <v>1369.2264000000005</v>
          </cell>
          <cell r="H58">
            <v>54</v>
          </cell>
          <cell r="I58">
            <v>850486.3182352474</v>
          </cell>
          <cell r="J58">
            <v>47924.460000000014</v>
          </cell>
          <cell r="K58">
            <v>21299.760000000006</v>
          </cell>
          <cell r="L58">
            <v>33750</v>
          </cell>
          <cell r="M58">
            <v>33750</v>
          </cell>
          <cell r="N58">
            <v>33750</v>
          </cell>
          <cell r="O58">
            <v>0.67500000000000004</v>
          </cell>
        </row>
        <row r="59">
          <cell r="B59">
            <v>55</v>
          </cell>
          <cell r="C59">
            <v>18716.7</v>
          </cell>
          <cell r="D59">
            <v>961.20000000000016</v>
          </cell>
          <cell r="E59">
            <v>427.2000000000001</v>
          </cell>
          <cell r="F59">
            <v>1408.2264000000002</v>
          </cell>
          <cell r="H59">
            <v>55</v>
          </cell>
          <cell r="I59">
            <v>885221.12189069903</v>
          </cell>
          <cell r="J59">
            <v>49309.560000000005</v>
          </cell>
          <cell r="K59">
            <v>21915.360000000004</v>
          </cell>
          <cell r="L59">
            <v>34375</v>
          </cell>
          <cell r="M59">
            <v>34375</v>
          </cell>
          <cell r="N59">
            <v>34375</v>
          </cell>
          <cell r="O59">
            <v>0.6875</v>
          </cell>
        </row>
        <row r="60">
          <cell r="B60">
            <v>56</v>
          </cell>
          <cell r="C60">
            <v>19522.440000000006</v>
          </cell>
          <cell r="D60">
            <v>988.20000000000027</v>
          </cell>
          <cell r="E60">
            <v>439.20000000000016</v>
          </cell>
          <cell r="F60">
            <v>1447.2264000000005</v>
          </cell>
          <cell r="H60">
            <v>56</v>
          </cell>
          <cell r="I60">
            <v>920403.6159907598</v>
          </cell>
          <cell r="J60">
            <v>50694.660000000011</v>
          </cell>
          <cell r="K60">
            <v>22530.960000000006</v>
          </cell>
          <cell r="L60">
            <v>35000</v>
          </cell>
          <cell r="M60">
            <v>35000</v>
          </cell>
          <cell r="N60">
            <v>35000</v>
          </cell>
          <cell r="O60">
            <v>0.7</v>
          </cell>
        </row>
        <row r="61">
          <cell r="B61">
            <v>57</v>
          </cell>
          <cell r="C61">
            <v>20343.480000000003</v>
          </cell>
          <cell r="D61">
            <v>1015.2000000000002</v>
          </cell>
          <cell r="E61">
            <v>451.2000000000001</v>
          </cell>
          <cell r="F61">
            <v>1486.2264000000002</v>
          </cell>
          <cell r="H61">
            <v>57</v>
          </cell>
          <cell r="I61">
            <v>956022.76320517482</v>
          </cell>
          <cell r="J61">
            <v>52079.76</v>
          </cell>
          <cell r="K61">
            <v>23146.560000000005</v>
          </cell>
          <cell r="L61">
            <v>35625</v>
          </cell>
          <cell r="M61">
            <v>35625</v>
          </cell>
          <cell r="N61">
            <v>35625</v>
          </cell>
          <cell r="O61">
            <v>0.71250000000000002</v>
          </cell>
        </row>
        <row r="62">
          <cell r="B62">
            <v>58</v>
          </cell>
          <cell r="C62">
            <v>21179.820000000003</v>
          </cell>
          <cell r="D62">
            <v>1042.2000000000003</v>
          </cell>
          <cell r="E62">
            <v>463.20000000000016</v>
          </cell>
          <cell r="F62">
            <v>1525.2264000000005</v>
          </cell>
          <cell r="H62">
            <v>58</v>
          </cell>
          <cell r="I62">
            <v>992067.46872380655</v>
          </cell>
          <cell r="J62">
            <v>53464.860000000008</v>
          </cell>
          <cell r="K62">
            <v>23762.160000000007</v>
          </cell>
          <cell r="L62">
            <v>36250</v>
          </cell>
          <cell r="M62">
            <v>36250</v>
          </cell>
          <cell r="N62">
            <v>36250</v>
          </cell>
          <cell r="O62">
            <v>0.72499999999999998</v>
          </cell>
        </row>
        <row r="63">
          <cell r="B63">
            <v>59</v>
          </cell>
          <cell r="C63">
            <v>22031.460000000006</v>
          </cell>
          <cell r="D63">
            <v>1069.2000000000003</v>
          </cell>
          <cell r="E63">
            <v>475.2000000000001</v>
          </cell>
          <cell r="F63">
            <v>1564.2264000000002</v>
          </cell>
          <cell r="H63">
            <v>59</v>
          </cell>
          <cell r="I63">
            <v>1028526.5862309474</v>
          </cell>
          <cell r="J63">
            <v>54849.960000000014</v>
          </cell>
          <cell r="K63">
            <v>24377.760000000006</v>
          </cell>
          <cell r="L63">
            <v>36875</v>
          </cell>
          <cell r="M63">
            <v>36875</v>
          </cell>
          <cell r="N63">
            <v>36875</v>
          </cell>
          <cell r="O63">
            <v>0.73750000000000004</v>
          </cell>
        </row>
        <row r="64">
          <cell r="B64">
            <v>60</v>
          </cell>
          <cell r="C64">
            <v>23011.200000000008</v>
          </cell>
          <cell r="D64">
            <v>1101.6000000000004</v>
          </cell>
          <cell r="E64">
            <v>489.60000000000019</v>
          </cell>
          <cell r="F64">
            <v>1611.0264000000004</v>
          </cell>
          <cell r="H64">
            <v>60</v>
          </cell>
          <cell r="I64">
            <v>1070637.145179532</v>
          </cell>
          <cell r="J64">
            <v>56512.080000000016</v>
          </cell>
          <cell r="K64">
            <v>25116.480000000007</v>
          </cell>
          <cell r="L64">
            <v>37500</v>
          </cell>
          <cell r="M64">
            <v>37500</v>
          </cell>
          <cell r="N64">
            <v>37500</v>
          </cell>
          <cell r="O64">
            <v>0.75</v>
          </cell>
        </row>
        <row r="65">
          <cell r="B65">
            <v>61</v>
          </cell>
          <cell r="C65">
            <v>24009.30000000001</v>
          </cell>
          <cell r="D65">
            <v>1134.0000000000005</v>
          </cell>
          <cell r="E65">
            <v>504.00000000000023</v>
          </cell>
          <cell r="F65">
            <v>1657.8264000000006</v>
          </cell>
          <cell r="H65">
            <v>61</v>
          </cell>
          <cell r="I65">
            <v>1113245.589210819</v>
          </cell>
          <cell r="J65">
            <v>58174.200000000019</v>
          </cell>
          <cell r="K65">
            <v>25855.200000000012</v>
          </cell>
          <cell r="L65">
            <v>38125</v>
          </cell>
          <cell r="M65">
            <v>38125</v>
          </cell>
          <cell r="N65">
            <v>38125</v>
          </cell>
          <cell r="O65">
            <v>0.76249999999999996</v>
          </cell>
        </row>
        <row r="66">
          <cell r="B66">
            <v>62</v>
          </cell>
          <cell r="C66">
            <v>25025.760000000009</v>
          </cell>
          <cell r="D66">
            <v>1166.4000000000003</v>
          </cell>
          <cell r="E66">
            <v>518.4000000000002</v>
          </cell>
          <cell r="F66">
            <v>1704.6264000000006</v>
          </cell>
          <cell r="H66">
            <v>62</v>
          </cell>
          <cell r="I66">
            <v>1156338.5581555346</v>
          </cell>
          <cell r="J66">
            <v>59836.320000000014</v>
          </cell>
          <cell r="K66">
            <v>26593.920000000009</v>
          </cell>
          <cell r="L66">
            <v>38750</v>
          </cell>
          <cell r="M66">
            <v>38750</v>
          </cell>
          <cell r="N66">
            <v>38750</v>
          </cell>
          <cell r="O66">
            <v>0.77500000000000002</v>
          </cell>
        </row>
        <row r="67">
          <cell r="B67">
            <v>63</v>
          </cell>
          <cell r="C67">
            <v>26060.580000000016</v>
          </cell>
          <cell r="D67">
            <v>1198.8000000000006</v>
          </cell>
          <cell r="E67">
            <v>532.8000000000003</v>
          </cell>
          <cell r="F67">
            <v>1751.4264000000007</v>
          </cell>
          <cell r="H67">
            <v>63</v>
          </cell>
          <cell r="I67">
            <v>1199902.6492511141</v>
          </cell>
          <cell r="J67">
            <v>61498.440000000031</v>
          </cell>
          <cell r="K67">
            <v>27332.640000000014</v>
          </cell>
          <cell r="L67">
            <v>39375</v>
          </cell>
          <cell r="M67">
            <v>39375</v>
          </cell>
          <cell r="N67">
            <v>39375</v>
          </cell>
          <cell r="O67">
            <v>0.78749999999999998</v>
          </cell>
        </row>
        <row r="68">
          <cell r="B68">
            <v>64</v>
          </cell>
          <cell r="C68">
            <v>27113.760000000017</v>
          </cell>
          <cell r="D68">
            <v>1231.2000000000005</v>
          </cell>
          <cell r="E68">
            <v>547.20000000000039</v>
          </cell>
          <cell r="F68">
            <v>1798.2264000000009</v>
          </cell>
          <cell r="H68">
            <v>64</v>
          </cell>
          <cell r="I68">
            <v>1243924.4243108754</v>
          </cell>
          <cell r="J68">
            <v>63160.560000000019</v>
          </cell>
          <cell r="K68">
            <v>28071.360000000019</v>
          </cell>
          <cell r="L68">
            <v>40000</v>
          </cell>
          <cell r="M68">
            <v>40000</v>
          </cell>
          <cell r="N68">
            <v>40000</v>
          </cell>
          <cell r="O68">
            <v>0.8</v>
          </cell>
        </row>
        <row r="69">
          <cell r="B69">
            <v>65</v>
          </cell>
          <cell r="C69">
            <v>28185.30000000001</v>
          </cell>
          <cell r="D69">
            <v>1263.6000000000004</v>
          </cell>
          <cell r="E69">
            <v>561.60000000000025</v>
          </cell>
          <cell r="F69">
            <v>1845.0264000000006</v>
          </cell>
          <cell r="H69">
            <v>65</v>
          </cell>
          <cell r="I69">
            <v>1288390.416893197</v>
          </cell>
          <cell r="J69">
            <v>64822.680000000015</v>
          </cell>
          <cell r="K69">
            <v>28810.080000000013</v>
          </cell>
          <cell r="L69">
            <v>40625</v>
          </cell>
          <cell r="M69">
            <v>40625</v>
          </cell>
          <cell r="N69">
            <v>40625</v>
          </cell>
          <cell r="O69">
            <v>0.8125</v>
          </cell>
        </row>
        <row r="70">
          <cell r="B70">
            <v>66</v>
          </cell>
          <cell r="C70">
            <v>29275.200000000019</v>
          </cell>
          <cell r="D70">
            <v>1296.0000000000009</v>
          </cell>
          <cell r="E70">
            <v>576.00000000000045</v>
          </cell>
          <cell r="F70">
            <v>1891.8264000000013</v>
          </cell>
          <cell r="H70">
            <v>66</v>
          </cell>
          <cell r="I70">
            <v>1333287.1394706951</v>
          </cell>
          <cell r="J70">
            <v>66484.800000000047</v>
          </cell>
          <cell r="K70">
            <v>29548.800000000021</v>
          </cell>
          <cell r="L70">
            <v>41250</v>
          </cell>
          <cell r="M70">
            <v>41250</v>
          </cell>
          <cell r="N70">
            <v>41250</v>
          </cell>
          <cell r="O70">
            <v>0.82499999999999996</v>
          </cell>
        </row>
        <row r="71">
          <cell r="B71">
            <v>67</v>
          </cell>
          <cell r="C71">
            <v>30383.460000000021</v>
          </cell>
          <cell r="D71">
            <v>1328.400000000001</v>
          </cell>
          <cell r="E71">
            <v>590.40000000000043</v>
          </cell>
          <cell r="F71">
            <v>1938.6264000000015</v>
          </cell>
          <cell r="H71">
            <v>67</v>
          </cell>
          <cell r="I71">
            <v>1378601.0905993942</v>
          </cell>
          <cell r="J71">
            <v>68146.920000000042</v>
          </cell>
          <cell r="K71">
            <v>30287.520000000022</v>
          </cell>
          <cell r="L71">
            <v>41875</v>
          </cell>
          <cell r="M71">
            <v>41875</v>
          </cell>
          <cell r="N71">
            <v>41875</v>
          </cell>
          <cell r="O71">
            <v>0.83750000000000002</v>
          </cell>
        </row>
        <row r="72">
          <cell r="B72">
            <v>68</v>
          </cell>
          <cell r="C72">
            <v>31510.08000000002</v>
          </cell>
          <cell r="D72">
            <v>1360.8000000000011</v>
          </cell>
          <cell r="E72">
            <v>604.80000000000041</v>
          </cell>
          <cell r="F72">
            <v>1985.4264000000014</v>
          </cell>
          <cell r="H72">
            <v>68</v>
          </cell>
          <cell r="I72">
            <v>1424318.7620879104</v>
          </cell>
          <cell r="J72">
            <v>69809.040000000052</v>
          </cell>
          <cell r="K72">
            <v>31026.24000000002</v>
          </cell>
          <cell r="L72">
            <v>42500</v>
          </cell>
          <cell r="M72">
            <v>42500</v>
          </cell>
          <cell r="N72">
            <v>42500</v>
          </cell>
          <cell r="O72">
            <v>0.85</v>
          </cell>
        </row>
        <row r="73">
          <cell r="B73">
            <v>69</v>
          </cell>
          <cell r="C73">
            <v>32655.060000000023</v>
          </cell>
          <cell r="D73">
            <v>1393.200000000001</v>
          </cell>
          <cell r="E73">
            <v>619.2000000000005</v>
          </cell>
          <cell r="F73">
            <v>2032.2264000000014</v>
          </cell>
          <cell r="H73">
            <v>69</v>
          </cell>
          <cell r="I73">
            <v>1470426.6461666226</v>
          </cell>
          <cell r="J73">
            <v>71471.160000000047</v>
          </cell>
          <cell r="K73">
            <v>31764.960000000025</v>
          </cell>
          <cell r="L73">
            <v>43125</v>
          </cell>
          <cell r="M73">
            <v>43125</v>
          </cell>
          <cell r="N73">
            <v>43125</v>
          </cell>
          <cell r="O73">
            <v>0.86250000000000004</v>
          </cell>
        </row>
        <row r="74">
          <cell r="B74">
            <v>70</v>
          </cell>
          <cell r="C74">
            <v>33946.500000000022</v>
          </cell>
          <cell r="D74">
            <v>1431.0000000000011</v>
          </cell>
          <cell r="E74">
            <v>636.00000000000057</v>
          </cell>
          <cell r="F74">
            <v>2086.8264000000017</v>
          </cell>
          <cell r="H74">
            <v>70</v>
          </cell>
          <cell r="I74">
            <v>1522657.1185760058</v>
          </cell>
          <cell r="J74">
            <v>73410.300000000061</v>
          </cell>
          <cell r="K74">
            <v>32626.800000000028</v>
          </cell>
          <cell r="L74">
            <v>43750</v>
          </cell>
          <cell r="M74">
            <v>43750</v>
          </cell>
          <cell r="N74">
            <v>43750</v>
          </cell>
          <cell r="O74">
            <v>0.875</v>
          </cell>
        </row>
        <row r="75">
          <cell r="B75">
            <v>71</v>
          </cell>
          <cell r="C75">
            <v>35259.360000000022</v>
          </cell>
          <cell r="D75">
            <v>1468.8000000000009</v>
          </cell>
          <cell r="E75">
            <v>652.80000000000041</v>
          </cell>
          <cell r="F75">
            <v>2141.4264000000012</v>
          </cell>
          <cell r="H75">
            <v>71</v>
          </cell>
          <cell r="I75">
            <v>1575342.4666299568</v>
          </cell>
          <cell r="J75">
            <v>75349.440000000046</v>
          </cell>
          <cell r="K75">
            <v>33488.640000000021</v>
          </cell>
          <cell r="L75">
            <v>44375</v>
          </cell>
          <cell r="M75">
            <v>44375</v>
          </cell>
          <cell r="N75">
            <v>44375</v>
          </cell>
          <cell r="O75">
            <v>0.88749999999999996</v>
          </cell>
        </row>
        <row r="76">
          <cell r="B76">
            <v>72</v>
          </cell>
          <cell r="C76">
            <v>36593.640000000021</v>
          </cell>
          <cell r="D76">
            <v>1506.600000000001</v>
          </cell>
          <cell r="E76">
            <v>669.60000000000036</v>
          </cell>
          <cell r="F76">
            <v>2196.0264000000016</v>
          </cell>
          <cell r="H76">
            <v>72</v>
          </cell>
          <cell r="I76">
            <v>1628467.0515304436</v>
          </cell>
          <cell r="J76">
            <v>77288.580000000045</v>
          </cell>
          <cell r="K76">
            <v>34350.480000000018</v>
          </cell>
          <cell r="L76">
            <v>45000</v>
          </cell>
          <cell r="M76">
            <v>45000</v>
          </cell>
          <cell r="N76">
            <v>45000</v>
          </cell>
          <cell r="O76">
            <v>0.9</v>
          </cell>
        </row>
        <row r="77">
          <cell r="B77">
            <v>73</v>
          </cell>
          <cell r="C77">
            <v>37949.340000000018</v>
          </cell>
          <cell r="D77">
            <v>1544.4000000000008</v>
          </cell>
          <cell r="E77">
            <v>686.40000000000043</v>
          </cell>
          <cell r="F77">
            <v>2250.626400000001</v>
          </cell>
        </row>
        <row r="78">
          <cell r="B78">
            <v>74</v>
          </cell>
          <cell r="C78">
            <v>39326.460000000021</v>
          </cell>
          <cell r="D78">
            <v>1582.200000000001</v>
          </cell>
          <cell r="E78">
            <v>703.20000000000039</v>
          </cell>
          <cell r="F78">
            <v>2305.2264000000014</v>
          </cell>
        </row>
        <row r="79">
          <cell r="B79">
            <v>75</v>
          </cell>
          <cell r="C79">
            <v>40725.000000000029</v>
          </cell>
          <cell r="D79">
            <v>1620.0000000000011</v>
          </cell>
          <cell r="E79">
            <v>720.00000000000057</v>
          </cell>
          <cell r="F79">
            <v>2359.8264000000017</v>
          </cell>
        </row>
        <row r="80">
          <cell r="B80">
            <v>76</v>
          </cell>
          <cell r="C80">
            <v>42144.960000000021</v>
          </cell>
          <cell r="D80">
            <v>1657.8000000000009</v>
          </cell>
          <cell r="E80">
            <v>736.80000000000041</v>
          </cell>
          <cell r="F80">
            <v>2414.4264000000012</v>
          </cell>
        </row>
        <row r="81">
          <cell r="B81">
            <v>77</v>
          </cell>
          <cell r="C81">
            <v>43586.340000000018</v>
          </cell>
          <cell r="D81">
            <v>1695.6000000000008</v>
          </cell>
          <cell r="E81">
            <v>753.60000000000036</v>
          </cell>
          <cell r="F81">
            <v>2469.0264000000011</v>
          </cell>
        </row>
        <row r="82">
          <cell r="B82">
            <v>78</v>
          </cell>
          <cell r="C82">
            <v>45049.140000000014</v>
          </cell>
          <cell r="D82">
            <v>1733.4000000000005</v>
          </cell>
          <cell r="E82">
            <v>770.40000000000032</v>
          </cell>
          <cell r="F82">
            <v>2523.626400000001</v>
          </cell>
        </row>
        <row r="83">
          <cell r="B83">
            <v>79</v>
          </cell>
          <cell r="C83">
            <v>46533.360000000022</v>
          </cell>
          <cell r="D83">
            <v>1771.2000000000007</v>
          </cell>
          <cell r="E83">
            <v>787.20000000000039</v>
          </cell>
          <cell r="F83">
            <v>2578.2264000000009</v>
          </cell>
        </row>
        <row r="84">
          <cell r="B84">
            <v>80</v>
          </cell>
          <cell r="C84">
            <v>48182.400000000001</v>
          </cell>
          <cell r="D84">
            <v>1814.4000000000003</v>
          </cell>
          <cell r="E84">
            <v>806.4000000000002</v>
          </cell>
          <cell r="F84">
            <v>2640.6264000000006</v>
          </cell>
        </row>
        <row r="85">
          <cell r="B85">
            <v>81</v>
          </cell>
          <cell r="C85">
            <v>49855.92000000002</v>
          </cell>
          <cell r="D85">
            <v>1857.6000000000006</v>
          </cell>
          <cell r="E85">
            <v>825.60000000000036</v>
          </cell>
          <cell r="F85">
            <v>2703.0264000000006</v>
          </cell>
        </row>
        <row r="86">
          <cell r="B86">
            <v>82</v>
          </cell>
          <cell r="C86">
            <v>51553.920000000013</v>
          </cell>
          <cell r="D86">
            <v>1900.8000000000004</v>
          </cell>
          <cell r="E86">
            <v>844.80000000000018</v>
          </cell>
          <cell r="F86">
            <v>2765.4264000000003</v>
          </cell>
        </row>
        <row r="87">
          <cell r="B87">
            <v>83</v>
          </cell>
          <cell r="C87">
            <v>53276.400000000016</v>
          </cell>
          <cell r="D87">
            <v>1944.0000000000005</v>
          </cell>
          <cell r="E87">
            <v>864.00000000000023</v>
          </cell>
          <cell r="F87">
            <v>2827.8264000000008</v>
          </cell>
        </row>
        <row r="88">
          <cell r="B88">
            <v>84</v>
          </cell>
          <cell r="C88">
            <v>55023.360000000022</v>
          </cell>
          <cell r="D88">
            <v>1987.2000000000005</v>
          </cell>
          <cell r="E88">
            <v>883.20000000000027</v>
          </cell>
          <cell r="F88">
            <v>2890.2264000000005</v>
          </cell>
        </row>
        <row r="89">
          <cell r="B89">
            <v>85</v>
          </cell>
          <cell r="C89">
            <v>56794.799999999996</v>
          </cell>
          <cell r="D89">
            <v>2030.4000000000003</v>
          </cell>
          <cell r="E89">
            <v>902.4</v>
          </cell>
          <cell r="F89">
            <v>2952.6264000000006</v>
          </cell>
        </row>
        <row r="90">
          <cell r="B90">
            <v>86</v>
          </cell>
          <cell r="C90">
            <v>58590.720000000001</v>
          </cell>
          <cell r="D90">
            <v>2073.6000000000004</v>
          </cell>
          <cell r="E90">
            <v>921.60000000000014</v>
          </cell>
          <cell r="F90">
            <v>3015.0264000000006</v>
          </cell>
        </row>
        <row r="91">
          <cell r="B91">
            <v>87</v>
          </cell>
          <cell r="C91">
            <v>60411.119999999981</v>
          </cell>
          <cell r="D91">
            <v>2116.7999999999997</v>
          </cell>
          <cell r="E91">
            <v>940.79999999999984</v>
          </cell>
          <cell r="F91">
            <v>3077.4263999999994</v>
          </cell>
        </row>
        <row r="92">
          <cell r="B92">
            <v>88</v>
          </cell>
          <cell r="C92">
            <v>62255.999999999993</v>
          </cell>
          <cell r="D92">
            <v>2159.9999999999995</v>
          </cell>
          <cell r="E92">
            <v>959.99999999999977</v>
          </cell>
          <cell r="F92">
            <v>3139.826399999999</v>
          </cell>
        </row>
        <row r="93">
          <cell r="B93">
            <v>89</v>
          </cell>
          <cell r="C93">
            <v>64125.359999999986</v>
          </cell>
          <cell r="D93">
            <v>2203.1999999999998</v>
          </cell>
          <cell r="E93">
            <v>979.19999999999982</v>
          </cell>
          <cell r="F93">
            <v>3202.2263999999996</v>
          </cell>
        </row>
        <row r="94">
          <cell r="B94">
            <v>90</v>
          </cell>
          <cell r="C94">
            <v>66019.199999999983</v>
          </cell>
          <cell r="D94">
            <v>2246.3999999999992</v>
          </cell>
          <cell r="E94">
            <v>998.39999999999964</v>
          </cell>
          <cell r="F94">
            <v>3264.6263999999987</v>
          </cell>
        </row>
        <row r="95">
          <cell r="B95">
            <v>91</v>
          </cell>
          <cell r="C95">
            <v>67937.519999999975</v>
          </cell>
          <cell r="D95">
            <v>2289.599999999999</v>
          </cell>
          <cell r="E95">
            <v>1017.5999999999996</v>
          </cell>
          <cell r="F95">
            <v>3327.0263999999984</v>
          </cell>
        </row>
        <row r="96">
          <cell r="B96">
            <v>92</v>
          </cell>
          <cell r="C96">
            <v>69880.319999999978</v>
          </cell>
          <cell r="D96">
            <v>2332.7999999999988</v>
          </cell>
          <cell r="E96">
            <v>1036.7999999999997</v>
          </cell>
          <cell r="F96">
            <v>3389.4263999999985</v>
          </cell>
        </row>
        <row r="97">
          <cell r="B97">
            <v>93</v>
          </cell>
          <cell r="C97">
            <v>71847.599999999962</v>
          </cell>
          <cell r="D97">
            <v>2375.9999999999991</v>
          </cell>
          <cell r="E97">
            <v>1055.9999999999995</v>
          </cell>
          <cell r="F97">
            <v>3451.8263999999986</v>
          </cell>
        </row>
        <row r="98">
          <cell r="B98">
            <v>94</v>
          </cell>
          <cell r="C98">
            <v>73839.359999999957</v>
          </cell>
          <cell r="D98">
            <v>2419.1999999999989</v>
          </cell>
          <cell r="E98">
            <v>1075.1999999999996</v>
          </cell>
          <cell r="F98">
            <v>3514.2263999999986</v>
          </cell>
        </row>
        <row r="99">
          <cell r="B99">
            <v>95</v>
          </cell>
          <cell r="C99">
            <v>75855.599999999962</v>
          </cell>
          <cell r="D99">
            <v>2462.3999999999987</v>
          </cell>
          <cell r="E99">
            <v>1094.3999999999994</v>
          </cell>
          <cell r="F99">
            <v>3576.6263999999983</v>
          </cell>
        </row>
        <row r="100">
          <cell r="B100">
            <v>96</v>
          </cell>
          <cell r="C100">
            <v>77896.319999999949</v>
          </cell>
          <cell r="D100">
            <v>2505.5999999999985</v>
          </cell>
          <cell r="E100">
            <v>1113.5999999999992</v>
          </cell>
          <cell r="F100">
            <v>3639.0263999999979</v>
          </cell>
        </row>
        <row r="101">
          <cell r="B101">
            <v>97</v>
          </cell>
          <cell r="C101">
            <v>79961.519999999946</v>
          </cell>
          <cell r="D101">
            <v>2548.7999999999984</v>
          </cell>
          <cell r="E101">
            <v>1132.7999999999993</v>
          </cell>
          <cell r="F101">
            <v>3701.4263999999976</v>
          </cell>
        </row>
        <row r="102">
          <cell r="B102">
            <v>98</v>
          </cell>
          <cell r="C102">
            <v>82051.199999999939</v>
          </cell>
          <cell r="D102">
            <v>2591.9999999999977</v>
          </cell>
          <cell r="E102">
            <v>1151.9999999999991</v>
          </cell>
          <cell r="F102">
            <v>3763.8263999999967</v>
          </cell>
        </row>
        <row r="103">
          <cell r="B103">
            <v>99</v>
          </cell>
          <cell r="C103">
            <v>84165.359999999928</v>
          </cell>
          <cell r="D103">
            <v>2635.199999999998</v>
          </cell>
          <cell r="E103">
            <v>1171.1999999999991</v>
          </cell>
          <cell r="F103">
            <v>3826.2263999999968</v>
          </cell>
        </row>
      </sheetData>
      <sheetData sheetId="6">
        <row r="3">
          <cell r="B3" t="str">
            <v>等级</v>
          </cell>
        </row>
        <row r="4">
          <cell r="B4">
            <v>1</v>
          </cell>
          <cell r="C4">
            <v>25425.628766174996</v>
          </cell>
          <cell r="D4">
            <v>6094.4400000000005</v>
          </cell>
          <cell r="E4">
            <v>2708.64</v>
          </cell>
          <cell r="F4">
            <v>625</v>
          </cell>
          <cell r="G4">
            <v>625</v>
          </cell>
          <cell r="H4">
            <v>625</v>
          </cell>
          <cell r="I4">
            <v>625</v>
          </cell>
          <cell r="J4">
            <v>625</v>
          </cell>
          <cell r="K4">
            <v>250</v>
          </cell>
          <cell r="L4">
            <v>250</v>
          </cell>
          <cell r="M4">
            <v>125.00000000000003</v>
          </cell>
          <cell r="N4">
            <v>250.00000000000006</v>
          </cell>
          <cell r="O4">
            <v>250</v>
          </cell>
        </row>
        <row r="5">
          <cell r="B5">
            <v>2</v>
          </cell>
          <cell r="C5">
            <v>29618.655904799994</v>
          </cell>
          <cell r="D5">
            <v>6648.48</v>
          </cell>
          <cell r="E5">
            <v>2954.88</v>
          </cell>
          <cell r="F5">
            <v>1250</v>
          </cell>
          <cell r="G5">
            <v>1250</v>
          </cell>
          <cell r="H5">
            <v>1250</v>
          </cell>
          <cell r="I5">
            <v>1250</v>
          </cell>
          <cell r="J5">
            <v>1250</v>
          </cell>
          <cell r="K5">
            <v>500</v>
          </cell>
          <cell r="L5">
            <v>500</v>
          </cell>
          <cell r="M5">
            <v>250.00000000000006</v>
          </cell>
          <cell r="N5">
            <v>500.00000000000011</v>
          </cell>
          <cell r="O5">
            <v>500</v>
          </cell>
        </row>
        <row r="6">
          <cell r="B6">
            <v>3</v>
          </cell>
          <cell r="C6">
            <v>34125.023295675004</v>
          </cell>
          <cell r="D6">
            <v>7202.5199999999995</v>
          </cell>
          <cell r="E6">
            <v>3201.12</v>
          </cell>
          <cell r="F6">
            <v>1875</v>
          </cell>
          <cell r="G6">
            <v>1875</v>
          </cell>
          <cell r="H6">
            <v>1875</v>
          </cell>
          <cell r="I6">
            <v>1875</v>
          </cell>
          <cell r="J6">
            <v>1875</v>
          </cell>
          <cell r="K6">
            <v>750</v>
          </cell>
          <cell r="L6">
            <v>750</v>
          </cell>
          <cell r="M6">
            <v>375</v>
          </cell>
          <cell r="N6">
            <v>750</v>
          </cell>
          <cell r="O6">
            <v>750</v>
          </cell>
        </row>
        <row r="7">
          <cell r="B7">
            <v>4</v>
          </cell>
          <cell r="C7">
            <v>38944.673644799994</v>
          </cell>
          <cell r="D7">
            <v>7756.5599999999986</v>
          </cell>
          <cell r="E7">
            <v>3447.36</v>
          </cell>
          <cell r="F7">
            <v>2500</v>
          </cell>
          <cell r="G7">
            <v>2500</v>
          </cell>
          <cell r="H7">
            <v>2500</v>
          </cell>
          <cell r="I7">
            <v>2500</v>
          </cell>
          <cell r="J7">
            <v>2500</v>
          </cell>
          <cell r="K7">
            <v>1000</v>
          </cell>
          <cell r="L7">
            <v>1000</v>
          </cell>
          <cell r="M7">
            <v>500.00000000000011</v>
          </cell>
          <cell r="N7">
            <v>1000.0000000000002</v>
          </cell>
          <cell r="O7">
            <v>1000</v>
          </cell>
        </row>
        <row r="8">
          <cell r="B8">
            <v>5</v>
          </cell>
          <cell r="C8">
            <v>44077.550484375002</v>
          </cell>
          <cell r="D8">
            <v>8310.6</v>
          </cell>
          <cell r="E8">
            <v>3693.6</v>
          </cell>
          <cell r="F8">
            <v>3125</v>
          </cell>
          <cell r="G8">
            <v>3125</v>
          </cell>
          <cell r="H8">
            <v>3125</v>
          </cell>
          <cell r="I8">
            <v>3125</v>
          </cell>
          <cell r="J8">
            <v>3125</v>
          </cell>
          <cell r="K8">
            <v>1250</v>
          </cell>
          <cell r="L8">
            <v>1250</v>
          </cell>
          <cell r="M8">
            <v>625</v>
          </cell>
          <cell r="N8">
            <v>1250</v>
          </cell>
          <cell r="O8">
            <v>1250</v>
          </cell>
        </row>
        <row r="9">
          <cell r="B9">
            <v>6</v>
          </cell>
          <cell r="C9">
            <v>49512.78307926</v>
          </cell>
          <cell r="D9">
            <v>8864.64</v>
          </cell>
          <cell r="E9">
            <v>3939.8399999999997</v>
          </cell>
          <cell r="F9">
            <v>3750</v>
          </cell>
          <cell r="G9">
            <v>3750</v>
          </cell>
          <cell r="H9">
            <v>3750</v>
          </cell>
          <cell r="I9">
            <v>3750</v>
          </cell>
          <cell r="J9">
            <v>3750</v>
          </cell>
          <cell r="K9">
            <v>1500</v>
          </cell>
          <cell r="L9">
            <v>1500</v>
          </cell>
          <cell r="M9">
            <v>750</v>
          </cell>
          <cell r="N9">
            <v>1500</v>
          </cell>
          <cell r="O9">
            <v>1500</v>
          </cell>
        </row>
        <row r="10">
          <cell r="B10">
            <v>7</v>
          </cell>
          <cell r="C10">
            <v>55265.575387068035</v>
          </cell>
          <cell r="D10">
            <v>9418.6799999999985</v>
          </cell>
          <cell r="E10">
            <v>4186.08</v>
          </cell>
          <cell r="F10">
            <v>4375</v>
          </cell>
          <cell r="G10">
            <v>4375</v>
          </cell>
          <cell r="H10">
            <v>4375</v>
          </cell>
          <cell r="I10">
            <v>4375</v>
          </cell>
          <cell r="J10">
            <v>4375</v>
          </cell>
          <cell r="K10">
            <v>1750</v>
          </cell>
          <cell r="L10">
            <v>1750</v>
          </cell>
          <cell r="M10">
            <v>874.99999999999977</v>
          </cell>
          <cell r="N10">
            <v>1749.9999999999995</v>
          </cell>
          <cell r="O10">
            <v>1750</v>
          </cell>
        </row>
        <row r="11">
          <cell r="B11">
            <v>8</v>
          </cell>
          <cell r="C11">
            <v>61329.28024367999</v>
          </cell>
          <cell r="D11">
            <v>9972.7199999999975</v>
          </cell>
          <cell r="E11">
            <v>4432.32</v>
          </cell>
          <cell r="F11">
            <v>5000</v>
          </cell>
          <cell r="G11">
            <v>5000</v>
          </cell>
          <cell r="H11">
            <v>5000</v>
          </cell>
          <cell r="I11">
            <v>5000</v>
          </cell>
          <cell r="J11">
            <v>5000</v>
          </cell>
          <cell r="K11">
            <v>2000</v>
          </cell>
          <cell r="L11">
            <v>2000</v>
          </cell>
          <cell r="M11">
            <v>1000.0000000000002</v>
          </cell>
          <cell r="N11">
            <v>2000.0000000000005</v>
          </cell>
          <cell r="O11">
            <v>2000</v>
          </cell>
        </row>
        <row r="12">
          <cell r="B12">
            <v>9</v>
          </cell>
          <cell r="C12">
            <v>67694.683268459674</v>
          </cell>
          <cell r="D12">
            <v>10526.76</v>
          </cell>
          <cell r="E12">
            <v>4678.5599999999995</v>
          </cell>
          <cell r="F12">
            <v>5625</v>
          </cell>
          <cell r="G12">
            <v>5625</v>
          </cell>
          <cell r="H12">
            <v>5625</v>
          </cell>
          <cell r="I12">
            <v>5625</v>
          </cell>
          <cell r="J12">
            <v>5625</v>
          </cell>
          <cell r="K12">
            <v>2250.0000000000005</v>
          </cell>
          <cell r="L12">
            <v>2250.0000000000005</v>
          </cell>
          <cell r="M12">
            <v>1125</v>
          </cell>
          <cell r="N12">
            <v>2250</v>
          </cell>
          <cell r="O12">
            <v>2250.0000000000005</v>
          </cell>
        </row>
        <row r="13">
          <cell r="B13">
            <v>10</v>
          </cell>
          <cell r="C13">
            <v>74366.304487092377</v>
          </cell>
          <cell r="D13">
            <v>11080.800000000001</v>
          </cell>
          <cell r="E13">
            <v>4924.8</v>
          </cell>
          <cell r="F13">
            <v>6250</v>
          </cell>
          <cell r="G13">
            <v>6250</v>
          </cell>
          <cell r="H13">
            <v>6250</v>
          </cell>
          <cell r="I13">
            <v>6250</v>
          </cell>
          <cell r="J13">
            <v>6250</v>
          </cell>
          <cell r="K13">
            <v>2500</v>
          </cell>
          <cell r="L13">
            <v>2500</v>
          </cell>
          <cell r="M13">
            <v>1250</v>
          </cell>
          <cell r="N13">
            <v>2500</v>
          </cell>
          <cell r="O13">
            <v>2500</v>
          </cell>
        </row>
        <row r="14">
          <cell r="B14">
            <v>11</v>
          </cell>
          <cell r="C14">
            <v>81342.982152175478</v>
          </cell>
          <cell r="D14">
            <v>11634.839999999997</v>
          </cell>
          <cell r="E14">
            <v>5171.0399999999981</v>
          </cell>
          <cell r="F14">
            <v>6875</v>
          </cell>
          <cell r="G14">
            <v>6875</v>
          </cell>
          <cell r="H14">
            <v>6875</v>
          </cell>
          <cell r="I14">
            <v>6875.0000000000009</v>
          </cell>
          <cell r="J14">
            <v>6875</v>
          </cell>
          <cell r="K14">
            <v>2750</v>
          </cell>
          <cell r="L14">
            <v>2750</v>
          </cell>
          <cell r="M14">
            <v>1375</v>
          </cell>
          <cell r="N14">
            <v>2750</v>
          </cell>
          <cell r="O14">
            <v>2750</v>
          </cell>
        </row>
        <row r="15">
          <cell r="B15">
            <v>12</v>
          </cell>
          <cell r="C15">
            <v>88623.487211102605</v>
          </cell>
          <cell r="D15">
            <v>12188.880000000001</v>
          </cell>
          <cell r="E15">
            <v>5417.28</v>
          </cell>
          <cell r="F15">
            <v>7500</v>
          </cell>
          <cell r="G15">
            <v>7500</v>
          </cell>
          <cell r="H15">
            <v>7500</v>
          </cell>
          <cell r="I15">
            <v>7500</v>
          </cell>
          <cell r="J15">
            <v>7500</v>
          </cell>
          <cell r="K15">
            <v>3000</v>
          </cell>
          <cell r="L15">
            <v>3000</v>
          </cell>
          <cell r="M15">
            <v>1500</v>
          </cell>
          <cell r="N15">
            <v>3000</v>
          </cell>
          <cell r="O15">
            <v>3000</v>
          </cell>
        </row>
        <row r="16">
          <cell r="B16">
            <v>13</v>
          </cell>
          <cell r="C16">
            <v>96206.524707572564</v>
          </cell>
          <cell r="D16">
            <v>12742.92</v>
          </cell>
          <cell r="E16">
            <v>5663.5199999999995</v>
          </cell>
          <cell r="F16">
            <v>8125</v>
          </cell>
          <cell r="G16">
            <v>8125</v>
          </cell>
          <cell r="H16">
            <v>8125</v>
          </cell>
          <cell r="I16">
            <v>8125</v>
          </cell>
          <cell r="J16">
            <v>8125</v>
          </cell>
          <cell r="K16">
            <v>3250</v>
          </cell>
          <cell r="L16">
            <v>3250</v>
          </cell>
          <cell r="M16">
            <v>1625</v>
          </cell>
          <cell r="N16">
            <v>3250</v>
          </cell>
          <cell r="O16">
            <v>3250</v>
          </cell>
        </row>
        <row r="17">
          <cell r="B17">
            <v>14</v>
          </cell>
          <cell r="C17">
            <v>104090.73518309872</v>
          </cell>
          <cell r="D17">
            <v>13296.960000000001</v>
          </cell>
          <cell r="E17">
            <v>5909.76</v>
          </cell>
          <cell r="F17">
            <v>8750</v>
          </cell>
          <cell r="G17">
            <v>8750</v>
          </cell>
          <cell r="H17">
            <v>8750</v>
          </cell>
          <cell r="I17">
            <v>8750</v>
          </cell>
          <cell r="J17">
            <v>8750</v>
          </cell>
          <cell r="K17">
            <v>3500</v>
          </cell>
          <cell r="L17">
            <v>3500</v>
          </cell>
          <cell r="M17">
            <v>1749.9999999999995</v>
          </cell>
          <cell r="N17">
            <v>3499.9999999999991</v>
          </cell>
          <cell r="O17">
            <v>3500</v>
          </cell>
        </row>
        <row r="18">
          <cell r="B18">
            <v>15</v>
          </cell>
          <cell r="C18">
            <v>112274.69607851775</v>
          </cell>
          <cell r="D18">
            <v>13851</v>
          </cell>
          <cell r="E18">
            <v>6156</v>
          </cell>
          <cell r="F18">
            <v>9375</v>
          </cell>
          <cell r="G18">
            <v>9375</v>
          </cell>
          <cell r="H18">
            <v>9375</v>
          </cell>
          <cell r="I18">
            <v>9375</v>
          </cell>
          <cell r="J18">
            <v>9375</v>
          </cell>
          <cell r="K18">
            <v>3750</v>
          </cell>
          <cell r="L18">
            <v>3750</v>
          </cell>
          <cell r="M18">
            <v>1875.0000000000002</v>
          </cell>
          <cell r="N18">
            <v>3750.0000000000005</v>
          </cell>
          <cell r="O18">
            <v>3750</v>
          </cell>
        </row>
        <row r="19">
          <cell r="B19">
            <v>16</v>
          </cell>
          <cell r="C19">
            <v>120756.92313549915</v>
          </cell>
          <cell r="D19">
            <v>14405.039999999999</v>
          </cell>
          <cell r="E19">
            <v>6402.24</v>
          </cell>
          <cell r="F19">
            <v>10000</v>
          </cell>
          <cell r="G19">
            <v>10000</v>
          </cell>
          <cell r="H19">
            <v>10000</v>
          </cell>
          <cell r="I19">
            <v>10000</v>
          </cell>
          <cell r="J19">
            <v>10000</v>
          </cell>
          <cell r="K19">
            <v>4000</v>
          </cell>
          <cell r="L19">
            <v>4000</v>
          </cell>
          <cell r="M19">
            <v>2000.0000000000005</v>
          </cell>
          <cell r="N19">
            <v>4000.0000000000009</v>
          </cell>
          <cell r="O19">
            <v>4000</v>
          </cell>
        </row>
        <row r="20">
          <cell r="B20">
            <v>17</v>
          </cell>
          <cell r="C20">
            <v>129535.87179805394</v>
          </cell>
          <cell r="D20">
            <v>14959.08</v>
          </cell>
          <cell r="E20">
            <v>6648.4800000000005</v>
          </cell>
          <cell r="F20">
            <v>10625</v>
          </cell>
          <cell r="G20">
            <v>10625</v>
          </cell>
          <cell r="H20">
            <v>10625</v>
          </cell>
          <cell r="I20">
            <v>10625</v>
          </cell>
          <cell r="J20">
            <v>10625</v>
          </cell>
          <cell r="K20">
            <v>4250</v>
          </cell>
          <cell r="L20">
            <v>4250</v>
          </cell>
          <cell r="M20">
            <v>2125</v>
          </cell>
          <cell r="N20">
            <v>4250</v>
          </cell>
          <cell r="O20">
            <v>4250</v>
          </cell>
        </row>
        <row r="21">
          <cell r="B21">
            <v>18</v>
          </cell>
          <cell r="C21">
            <v>138609.93861404416</v>
          </cell>
          <cell r="D21">
            <v>15513.120000000004</v>
          </cell>
          <cell r="E21">
            <v>6894.720000000003</v>
          </cell>
          <cell r="F21">
            <v>11250</v>
          </cell>
          <cell r="G21">
            <v>11250</v>
          </cell>
          <cell r="H21">
            <v>11250</v>
          </cell>
          <cell r="I21">
            <v>11250</v>
          </cell>
          <cell r="J21">
            <v>11250</v>
          </cell>
          <cell r="K21">
            <v>4500.0000000000009</v>
          </cell>
          <cell r="L21">
            <v>4500.0000000000009</v>
          </cell>
          <cell r="M21">
            <v>2250</v>
          </cell>
          <cell r="N21">
            <v>4500</v>
          </cell>
          <cell r="O21">
            <v>4500.0000000000009</v>
          </cell>
        </row>
        <row r="22">
          <cell r="B22">
            <v>19</v>
          </cell>
          <cell r="C22">
            <v>147977.46263669149</v>
          </cell>
          <cell r="D22">
            <v>16067.160000000003</v>
          </cell>
          <cell r="E22">
            <v>7140.9600000000019</v>
          </cell>
          <cell r="F22">
            <v>11875</v>
          </cell>
          <cell r="G22">
            <v>11875</v>
          </cell>
          <cell r="H22">
            <v>11875</v>
          </cell>
          <cell r="I22">
            <v>11875</v>
          </cell>
          <cell r="J22">
            <v>11875</v>
          </cell>
          <cell r="K22">
            <v>4750</v>
          </cell>
          <cell r="L22">
            <v>4750</v>
          </cell>
          <cell r="M22">
            <v>2375</v>
          </cell>
          <cell r="N22">
            <v>4750</v>
          </cell>
          <cell r="O22">
            <v>4750</v>
          </cell>
        </row>
        <row r="23">
          <cell r="B23">
            <v>20</v>
          </cell>
          <cell r="C23">
            <v>157636.72682608696</v>
          </cell>
          <cell r="D23">
            <v>16621.2</v>
          </cell>
          <cell r="E23">
            <v>7387.2000000000007</v>
          </cell>
          <cell r="F23">
            <v>12500</v>
          </cell>
          <cell r="G23">
            <v>12500</v>
          </cell>
          <cell r="H23">
            <v>12500</v>
          </cell>
          <cell r="I23">
            <v>12500</v>
          </cell>
          <cell r="J23">
            <v>12500</v>
          </cell>
          <cell r="K23">
            <v>5000</v>
          </cell>
          <cell r="L23">
            <v>5000</v>
          </cell>
          <cell r="M23">
            <v>2500</v>
          </cell>
          <cell r="N23">
            <v>5000</v>
          </cell>
          <cell r="O23">
            <v>5000</v>
          </cell>
        </row>
        <row r="24">
          <cell r="B24">
            <v>21</v>
          </cell>
          <cell r="C24">
            <v>167585.95945069948</v>
          </cell>
          <cell r="D24">
            <v>17175.240000000002</v>
          </cell>
          <cell r="E24">
            <v>7633.4400000000014</v>
          </cell>
          <cell r="F24">
            <v>13125</v>
          </cell>
          <cell r="G24">
            <v>13125</v>
          </cell>
          <cell r="H24">
            <v>13125</v>
          </cell>
          <cell r="I24">
            <v>13125</v>
          </cell>
          <cell r="J24">
            <v>13125</v>
          </cell>
          <cell r="K24">
            <v>5250</v>
          </cell>
          <cell r="L24">
            <v>5250</v>
          </cell>
          <cell r="M24">
            <v>2625</v>
          </cell>
          <cell r="N24">
            <v>5250</v>
          </cell>
          <cell r="O24">
            <v>5250</v>
          </cell>
        </row>
        <row r="25">
          <cell r="B25">
            <v>22</v>
          </cell>
          <cell r="C25">
            <v>177823.33548888523</v>
          </cell>
          <cell r="D25">
            <v>17729.280000000002</v>
          </cell>
          <cell r="E25">
            <v>7879.68</v>
          </cell>
          <cell r="F25">
            <v>13750</v>
          </cell>
          <cell r="G25">
            <v>13750</v>
          </cell>
          <cell r="H25">
            <v>13750</v>
          </cell>
          <cell r="I25">
            <v>13750.000000000002</v>
          </cell>
          <cell r="J25">
            <v>13750</v>
          </cell>
          <cell r="K25">
            <v>5500</v>
          </cell>
          <cell r="L25">
            <v>5500</v>
          </cell>
          <cell r="M25">
            <v>2750</v>
          </cell>
          <cell r="N25">
            <v>5500</v>
          </cell>
          <cell r="O25">
            <v>5500</v>
          </cell>
        </row>
        <row r="26">
          <cell r="B26">
            <v>23</v>
          </cell>
          <cell r="C26">
            <v>188311.53354048342</v>
          </cell>
          <cell r="D26">
            <v>18283.320000000007</v>
          </cell>
          <cell r="E26">
            <v>8125.9200000000028</v>
          </cell>
          <cell r="F26">
            <v>14375</v>
          </cell>
          <cell r="G26">
            <v>14375</v>
          </cell>
          <cell r="H26">
            <v>14375</v>
          </cell>
          <cell r="I26">
            <v>14374.999999999998</v>
          </cell>
          <cell r="J26">
            <v>14375</v>
          </cell>
          <cell r="K26">
            <v>5750</v>
          </cell>
          <cell r="L26">
            <v>5750</v>
          </cell>
          <cell r="M26">
            <v>2875</v>
          </cell>
          <cell r="N26">
            <v>5750</v>
          </cell>
          <cell r="O26">
            <v>5750</v>
          </cell>
        </row>
        <row r="27">
          <cell r="B27">
            <v>24</v>
          </cell>
          <cell r="C27">
            <v>199076.94354989222</v>
          </cell>
          <cell r="D27">
            <v>18837.360000000004</v>
          </cell>
          <cell r="E27">
            <v>8372.1600000000017</v>
          </cell>
          <cell r="F27">
            <v>15000</v>
          </cell>
          <cell r="G27">
            <v>15000</v>
          </cell>
          <cell r="H27">
            <v>15000</v>
          </cell>
          <cell r="I27">
            <v>15000</v>
          </cell>
          <cell r="J27">
            <v>15000</v>
          </cell>
          <cell r="K27">
            <v>6000</v>
          </cell>
          <cell r="L27">
            <v>6000</v>
          </cell>
          <cell r="M27">
            <v>3000</v>
          </cell>
          <cell r="N27">
            <v>6000</v>
          </cell>
          <cell r="O27">
            <v>6000</v>
          </cell>
        </row>
        <row r="28">
          <cell r="B28">
            <v>25</v>
          </cell>
          <cell r="C28">
            <v>210116.94081743428</v>
          </cell>
          <cell r="D28">
            <v>19391.400000000009</v>
          </cell>
          <cell r="E28">
            <v>8618.4000000000033</v>
          </cell>
          <cell r="F28">
            <v>15625</v>
          </cell>
          <cell r="G28">
            <v>15625</v>
          </cell>
          <cell r="H28">
            <v>15625</v>
          </cell>
          <cell r="I28">
            <v>15625</v>
          </cell>
          <cell r="J28">
            <v>15625</v>
          </cell>
          <cell r="K28">
            <v>6250</v>
          </cell>
          <cell r="L28">
            <v>6250</v>
          </cell>
          <cell r="M28">
            <v>3125</v>
          </cell>
          <cell r="N28">
            <v>6250</v>
          </cell>
          <cell r="O28">
            <v>6250</v>
          </cell>
        </row>
        <row r="29">
          <cell r="B29">
            <v>26</v>
          </cell>
          <cell r="C29">
            <v>221389.90491364009</v>
          </cell>
          <cell r="D29">
            <v>19945.440000000006</v>
          </cell>
          <cell r="E29">
            <v>8864.6400000000031</v>
          </cell>
          <cell r="F29">
            <v>16250</v>
          </cell>
          <cell r="G29">
            <v>16250</v>
          </cell>
          <cell r="H29">
            <v>16250</v>
          </cell>
          <cell r="I29">
            <v>16250</v>
          </cell>
          <cell r="J29">
            <v>16250</v>
          </cell>
          <cell r="K29">
            <v>6500</v>
          </cell>
          <cell r="L29">
            <v>6500</v>
          </cell>
          <cell r="M29">
            <v>3250</v>
          </cell>
          <cell r="N29">
            <v>6500</v>
          </cell>
          <cell r="O29">
            <v>6500</v>
          </cell>
        </row>
        <row r="30">
          <cell r="B30">
            <v>27</v>
          </cell>
          <cell r="C30">
            <v>232924.97228763651</v>
          </cell>
          <cell r="D30">
            <v>20499.480000000003</v>
          </cell>
          <cell r="E30">
            <v>9110.8800000000028</v>
          </cell>
          <cell r="F30">
            <v>16875</v>
          </cell>
          <cell r="G30">
            <v>16875</v>
          </cell>
          <cell r="H30">
            <v>16875</v>
          </cell>
          <cell r="I30">
            <v>16875</v>
          </cell>
          <cell r="J30">
            <v>16875</v>
          </cell>
          <cell r="K30">
            <v>6750</v>
          </cell>
          <cell r="L30">
            <v>6750</v>
          </cell>
          <cell r="M30">
            <v>3375</v>
          </cell>
          <cell r="N30">
            <v>6750</v>
          </cell>
          <cell r="O30">
            <v>6750</v>
          </cell>
        </row>
        <row r="31">
          <cell r="B31">
            <v>28</v>
          </cell>
          <cell r="C31">
            <v>244718.74472388739</v>
          </cell>
          <cell r="D31">
            <v>21053.520000000008</v>
          </cell>
          <cell r="E31">
            <v>9357.1200000000026</v>
          </cell>
          <cell r="F31">
            <v>17500</v>
          </cell>
          <cell r="G31">
            <v>17500</v>
          </cell>
          <cell r="H31">
            <v>17500</v>
          </cell>
          <cell r="I31">
            <v>17500</v>
          </cell>
          <cell r="J31">
            <v>17500</v>
          </cell>
          <cell r="K31">
            <v>7000</v>
          </cell>
          <cell r="L31">
            <v>7000</v>
          </cell>
          <cell r="M31">
            <v>3499.9999999999991</v>
          </cell>
          <cell r="N31">
            <v>6999.9999999999982</v>
          </cell>
          <cell r="O31">
            <v>7000</v>
          </cell>
        </row>
        <row r="32">
          <cell r="B32">
            <v>29</v>
          </cell>
          <cell r="C32">
            <v>256767.74642320591</v>
          </cell>
          <cell r="D32">
            <v>21607.560000000005</v>
          </cell>
          <cell r="E32">
            <v>9603.3600000000024</v>
          </cell>
          <cell r="F32">
            <v>18125</v>
          </cell>
          <cell r="G32">
            <v>18125</v>
          </cell>
          <cell r="H32">
            <v>18125</v>
          </cell>
          <cell r="I32">
            <v>18125</v>
          </cell>
          <cell r="J32">
            <v>18125</v>
          </cell>
          <cell r="K32">
            <v>7250</v>
          </cell>
          <cell r="L32">
            <v>7250</v>
          </cell>
          <cell r="M32">
            <v>3624.9999999999995</v>
          </cell>
          <cell r="N32">
            <v>7249.9999999999991</v>
          </cell>
          <cell r="O32">
            <v>7250</v>
          </cell>
        </row>
        <row r="33">
          <cell r="B33">
            <v>30</v>
          </cell>
          <cell r="C33">
            <v>272431.78170420078</v>
          </cell>
          <cell r="D33">
            <v>22438.62000000001</v>
          </cell>
          <cell r="E33">
            <v>9972.720000000003</v>
          </cell>
          <cell r="F33">
            <v>18750</v>
          </cell>
          <cell r="G33">
            <v>18750</v>
          </cell>
          <cell r="H33">
            <v>18750</v>
          </cell>
          <cell r="I33">
            <v>18750</v>
          </cell>
          <cell r="J33">
            <v>18750</v>
          </cell>
          <cell r="K33">
            <v>7500</v>
          </cell>
          <cell r="L33">
            <v>7500</v>
          </cell>
          <cell r="M33">
            <v>3750.0000000000005</v>
          </cell>
          <cell r="N33">
            <v>7500.0000000000009</v>
          </cell>
          <cell r="O33">
            <v>7500</v>
          </cell>
        </row>
        <row r="34">
          <cell r="B34">
            <v>31</v>
          </cell>
          <cell r="C34">
            <v>288485.87196386803</v>
          </cell>
          <cell r="D34">
            <v>23269.680000000004</v>
          </cell>
          <cell r="E34">
            <v>10342.08</v>
          </cell>
          <cell r="F34">
            <v>19375</v>
          </cell>
          <cell r="G34">
            <v>19375</v>
          </cell>
          <cell r="H34">
            <v>19375</v>
          </cell>
          <cell r="I34">
            <v>19375</v>
          </cell>
          <cell r="J34">
            <v>19375</v>
          </cell>
          <cell r="K34">
            <v>7750</v>
          </cell>
          <cell r="L34">
            <v>7750</v>
          </cell>
          <cell r="M34">
            <v>3875.0000000000005</v>
          </cell>
          <cell r="N34">
            <v>7750.0000000000009</v>
          </cell>
          <cell r="O34">
            <v>7750</v>
          </cell>
        </row>
        <row r="35">
          <cell r="B35">
            <v>32</v>
          </cell>
          <cell r="C35">
            <v>304922.24811464932</v>
          </cell>
          <cell r="D35">
            <v>24100.740000000013</v>
          </cell>
          <cell r="E35">
            <v>10711.440000000006</v>
          </cell>
          <cell r="F35">
            <v>20000</v>
          </cell>
          <cell r="G35">
            <v>20000</v>
          </cell>
          <cell r="H35">
            <v>20000</v>
          </cell>
          <cell r="I35">
            <v>20000</v>
          </cell>
          <cell r="J35">
            <v>20000</v>
          </cell>
          <cell r="K35">
            <v>8000</v>
          </cell>
          <cell r="L35">
            <v>8000</v>
          </cell>
          <cell r="M35">
            <v>4000.0000000000009</v>
          </cell>
          <cell r="N35">
            <v>8000.0000000000018</v>
          </cell>
          <cell r="O35">
            <v>8000</v>
          </cell>
        </row>
        <row r="36">
          <cell r="B36">
            <v>33</v>
          </cell>
          <cell r="C36">
            <v>321737.88910271024</v>
          </cell>
          <cell r="D36">
            <v>24931.800000000007</v>
          </cell>
          <cell r="E36">
            <v>11080.800000000003</v>
          </cell>
          <cell r="F36">
            <v>20625</v>
          </cell>
          <cell r="G36">
            <v>20625</v>
          </cell>
          <cell r="H36">
            <v>20625</v>
          </cell>
          <cell r="I36">
            <v>20625</v>
          </cell>
          <cell r="J36">
            <v>20625</v>
          </cell>
          <cell r="K36">
            <v>8250</v>
          </cell>
          <cell r="L36">
            <v>8250</v>
          </cell>
          <cell r="M36">
            <v>4125</v>
          </cell>
          <cell r="N36">
            <v>8250</v>
          </cell>
          <cell r="O36">
            <v>8250</v>
          </cell>
        </row>
        <row r="37">
          <cell r="B37">
            <v>34</v>
          </cell>
          <cell r="C37">
            <v>338927.42981737189</v>
          </cell>
          <cell r="D37">
            <v>25762.86</v>
          </cell>
          <cell r="E37">
            <v>11450.16</v>
          </cell>
          <cell r="F37">
            <v>21250</v>
          </cell>
          <cell r="G37">
            <v>21250</v>
          </cell>
          <cell r="H37">
            <v>21250</v>
          </cell>
          <cell r="I37">
            <v>21250</v>
          </cell>
          <cell r="J37">
            <v>21250</v>
          </cell>
          <cell r="K37">
            <v>8500</v>
          </cell>
          <cell r="L37">
            <v>8500</v>
          </cell>
          <cell r="M37">
            <v>4250</v>
          </cell>
          <cell r="N37">
            <v>8500</v>
          </cell>
          <cell r="O37">
            <v>8500</v>
          </cell>
        </row>
        <row r="38">
          <cell r="B38">
            <v>35</v>
          </cell>
          <cell r="C38">
            <v>356485.39997194981</v>
          </cell>
          <cell r="D38">
            <v>26593.920000000009</v>
          </cell>
          <cell r="E38">
            <v>11819.520000000002</v>
          </cell>
          <cell r="F38">
            <v>21875</v>
          </cell>
          <cell r="G38">
            <v>21875</v>
          </cell>
          <cell r="H38">
            <v>21875</v>
          </cell>
          <cell r="I38">
            <v>21875</v>
          </cell>
          <cell r="J38">
            <v>21875</v>
          </cell>
          <cell r="K38">
            <v>8750.0000000000018</v>
          </cell>
          <cell r="L38">
            <v>8750.0000000000018</v>
          </cell>
          <cell r="M38">
            <v>4375</v>
          </cell>
          <cell r="N38">
            <v>8750</v>
          </cell>
          <cell r="O38">
            <v>8750.0000000000018</v>
          </cell>
        </row>
        <row r="39">
          <cell r="B39">
            <v>36</v>
          </cell>
          <cell r="C39">
            <v>374406.22768834064</v>
          </cell>
          <cell r="D39">
            <v>27424.98</v>
          </cell>
          <cell r="E39">
            <v>12188.880000000003</v>
          </cell>
          <cell r="F39">
            <v>22500</v>
          </cell>
          <cell r="G39">
            <v>22500</v>
          </cell>
          <cell r="H39">
            <v>22500</v>
          </cell>
          <cell r="I39">
            <v>22500</v>
          </cell>
          <cell r="J39">
            <v>22500</v>
          </cell>
          <cell r="K39">
            <v>9000.0000000000018</v>
          </cell>
          <cell r="L39">
            <v>9000.0000000000018</v>
          </cell>
          <cell r="M39">
            <v>4500</v>
          </cell>
          <cell r="N39">
            <v>9000</v>
          </cell>
          <cell r="O39">
            <v>9000.0000000000018</v>
          </cell>
        </row>
        <row r="40">
          <cell r="B40">
            <v>37</v>
          </cell>
          <cell r="C40">
            <v>392684.24308161181</v>
          </cell>
          <cell r="D40">
            <v>28256.040000000008</v>
          </cell>
          <cell r="E40">
            <v>12558.240000000003</v>
          </cell>
          <cell r="F40">
            <v>23125</v>
          </cell>
          <cell r="G40">
            <v>23125</v>
          </cell>
          <cell r="H40">
            <v>23125</v>
          </cell>
          <cell r="I40">
            <v>23125</v>
          </cell>
          <cell r="J40">
            <v>23125</v>
          </cell>
          <cell r="K40">
            <v>9250.0000000000018</v>
          </cell>
          <cell r="L40">
            <v>9250.0000000000018</v>
          </cell>
          <cell r="M40">
            <v>4625</v>
          </cell>
          <cell r="N40">
            <v>9250</v>
          </cell>
          <cell r="O40">
            <v>9250.0000000000018</v>
          </cell>
        </row>
        <row r="41">
          <cell r="B41">
            <v>38</v>
          </cell>
          <cell r="C41">
            <v>411313.68184458802</v>
          </cell>
          <cell r="D41">
            <v>29087.100000000006</v>
          </cell>
          <cell r="E41">
            <v>12927.600000000002</v>
          </cell>
          <cell r="F41">
            <v>23750</v>
          </cell>
          <cell r="G41">
            <v>23750</v>
          </cell>
          <cell r="H41">
            <v>23750</v>
          </cell>
          <cell r="I41">
            <v>23750</v>
          </cell>
          <cell r="J41">
            <v>23750</v>
          </cell>
          <cell r="K41">
            <v>9500</v>
          </cell>
          <cell r="L41">
            <v>9500</v>
          </cell>
          <cell r="M41">
            <v>4750</v>
          </cell>
          <cell r="N41">
            <v>9500</v>
          </cell>
          <cell r="O41">
            <v>9500</v>
          </cell>
        </row>
        <row r="42">
          <cell r="B42">
            <v>39</v>
          </cell>
          <cell r="C42">
            <v>430288.68883244053</v>
          </cell>
          <cell r="D42">
            <v>29918.16</v>
          </cell>
          <cell r="E42">
            <v>13296.960000000001</v>
          </cell>
          <cell r="F42">
            <v>24375</v>
          </cell>
          <cell r="G42">
            <v>24375</v>
          </cell>
          <cell r="H42">
            <v>24375</v>
          </cell>
          <cell r="I42">
            <v>24375</v>
          </cell>
          <cell r="J42">
            <v>24375</v>
          </cell>
          <cell r="K42">
            <v>9750</v>
          </cell>
          <cell r="L42">
            <v>9750</v>
          </cell>
          <cell r="M42">
            <v>4875</v>
          </cell>
          <cell r="N42">
            <v>9750</v>
          </cell>
          <cell r="O42">
            <v>9750</v>
          </cell>
        </row>
        <row r="43">
          <cell r="B43">
            <v>40</v>
          </cell>
          <cell r="C43">
            <v>453653.80202247505</v>
          </cell>
          <cell r="D43">
            <v>31026.240000000009</v>
          </cell>
          <cell r="E43">
            <v>13789.440000000006</v>
          </cell>
          <cell r="F43">
            <v>25000</v>
          </cell>
          <cell r="G43">
            <v>25000</v>
          </cell>
          <cell r="H43">
            <v>25000</v>
          </cell>
          <cell r="I43">
            <v>25000</v>
          </cell>
          <cell r="J43">
            <v>25000</v>
          </cell>
          <cell r="K43">
            <v>10000</v>
          </cell>
          <cell r="L43">
            <v>10000</v>
          </cell>
          <cell r="M43">
            <v>5000</v>
          </cell>
          <cell r="N43">
            <v>10000</v>
          </cell>
          <cell r="O43">
            <v>10000</v>
          </cell>
        </row>
        <row r="44">
          <cell r="B44">
            <v>41</v>
          </cell>
          <cell r="C44">
            <v>477484.03763013281</v>
          </cell>
          <cell r="D44">
            <v>32134.320000000007</v>
          </cell>
          <cell r="E44">
            <v>14281.920000000004</v>
          </cell>
          <cell r="F44">
            <v>25625</v>
          </cell>
          <cell r="G44">
            <v>25625</v>
          </cell>
          <cell r="H44">
            <v>25625</v>
          </cell>
          <cell r="I44">
            <v>25624.999999999996</v>
          </cell>
          <cell r="J44">
            <v>25625</v>
          </cell>
          <cell r="K44">
            <v>10250</v>
          </cell>
          <cell r="L44">
            <v>10250</v>
          </cell>
          <cell r="M44">
            <v>5125</v>
          </cell>
          <cell r="N44">
            <v>10250</v>
          </cell>
          <cell r="O44">
            <v>10250</v>
          </cell>
        </row>
        <row r="45">
          <cell r="B45">
            <v>42</v>
          </cell>
          <cell r="C45">
            <v>501771.5696497485</v>
          </cell>
          <cell r="D45">
            <v>33242.400000000016</v>
          </cell>
          <cell r="E45">
            <v>14774.400000000005</v>
          </cell>
          <cell r="F45">
            <v>26250</v>
          </cell>
          <cell r="G45">
            <v>26250</v>
          </cell>
          <cell r="H45">
            <v>26250</v>
          </cell>
          <cell r="I45">
            <v>26250</v>
          </cell>
          <cell r="J45">
            <v>26250</v>
          </cell>
          <cell r="K45">
            <v>10500</v>
          </cell>
          <cell r="L45">
            <v>10500</v>
          </cell>
          <cell r="M45">
            <v>5250</v>
          </cell>
          <cell r="N45">
            <v>10500</v>
          </cell>
          <cell r="O45">
            <v>10500</v>
          </cell>
        </row>
        <row r="46">
          <cell r="B46">
            <v>43</v>
          </cell>
          <cell r="C46">
            <v>526508.46147357661</v>
          </cell>
          <cell r="D46">
            <v>34350.480000000003</v>
          </cell>
          <cell r="E46">
            <v>15266.880000000006</v>
          </cell>
          <cell r="F46">
            <v>26875</v>
          </cell>
          <cell r="G46">
            <v>26875</v>
          </cell>
          <cell r="H46">
            <v>26875</v>
          </cell>
          <cell r="I46">
            <v>26875</v>
          </cell>
          <cell r="J46">
            <v>26875</v>
          </cell>
          <cell r="K46">
            <v>10750</v>
          </cell>
          <cell r="L46">
            <v>10750</v>
          </cell>
          <cell r="M46">
            <v>5375</v>
          </cell>
          <cell r="N46">
            <v>10750</v>
          </cell>
          <cell r="O46">
            <v>10750</v>
          </cell>
        </row>
        <row r="47">
          <cell r="B47">
            <v>44</v>
          </cell>
          <cell r="C47">
            <v>551686.67067124194</v>
          </cell>
          <cell r="D47">
            <v>35458.560000000005</v>
          </cell>
          <cell r="E47">
            <v>15759.360000000004</v>
          </cell>
          <cell r="F47">
            <v>27500</v>
          </cell>
          <cell r="G47">
            <v>27500</v>
          </cell>
          <cell r="H47">
            <v>27500</v>
          </cell>
          <cell r="I47">
            <v>27500.000000000004</v>
          </cell>
          <cell r="J47">
            <v>27500</v>
          </cell>
          <cell r="K47">
            <v>11000</v>
          </cell>
          <cell r="L47">
            <v>11000</v>
          </cell>
          <cell r="M47">
            <v>5500</v>
          </cell>
          <cell r="N47">
            <v>11000</v>
          </cell>
          <cell r="O47">
            <v>11000</v>
          </cell>
        </row>
        <row r="48">
          <cell r="B48">
            <v>45</v>
          </cell>
          <cell r="C48">
            <v>577298.05376919033</v>
          </cell>
          <cell r="D48">
            <v>36566.640000000007</v>
          </cell>
          <cell r="E48">
            <v>16251.840000000002</v>
          </cell>
          <cell r="F48">
            <v>28125</v>
          </cell>
          <cell r="G48">
            <v>28125</v>
          </cell>
          <cell r="H48">
            <v>28125</v>
          </cell>
          <cell r="I48">
            <v>28125</v>
          </cell>
          <cell r="J48">
            <v>28125</v>
          </cell>
          <cell r="K48">
            <v>11250</v>
          </cell>
          <cell r="L48">
            <v>11250</v>
          </cell>
          <cell r="M48">
            <v>5625</v>
          </cell>
          <cell r="N48">
            <v>11250</v>
          </cell>
          <cell r="O48">
            <v>11250</v>
          </cell>
        </row>
        <row r="49">
          <cell r="B49">
            <v>46</v>
          </cell>
          <cell r="C49">
            <v>603334.37103013904</v>
          </cell>
          <cell r="D49">
            <v>37674.720000000016</v>
          </cell>
          <cell r="E49">
            <v>16744.320000000007</v>
          </cell>
          <cell r="F49">
            <v>28750</v>
          </cell>
          <cell r="G49">
            <v>28750</v>
          </cell>
          <cell r="H49">
            <v>28750</v>
          </cell>
          <cell r="I49">
            <v>28749.999999999996</v>
          </cell>
          <cell r="J49">
            <v>28750</v>
          </cell>
          <cell r="K49">
            <v>11500</v>
          </cell>
          <cell r="L49">
            <v>11500</v>
          </cell>
          <cell r="M49">
            <v>5750</v>
          </cell>
          <cell r="N49">
            <v>11500</v>
          </cell>
          <cell r="O49">
            <v>11500</v>
          </cell>
        </row>
        <row r="50">
          <cell r="B50">
            <v>47</v>
          </cell>
          <cell r="C50">
            <v>629787.29123252782</v>
          </cell>
          <cell r="D50">
            <v>38782.80000000001</v>
          </cell>
          <cell r="E50">
            <v>17236.800000000007</v>
          </cell>
          <cell r="F50">
            <v>29375</v>
          </cell>
          <cell r="G50">
            <v>29375</v>
          </cell>
          <cell r="H50">
            <v>29375</v>
          </cell>
          <cell r="I50">
            <v>29375</v>
          </cell>
          <cell r="J50">
            <v>29375</v>
          </cell>
          <cell r="K50">
            <v>11750</v>
          </cell>
          <cell r="L50">
            <v>11750</v>
          </cell>
          <cell r="M50">
            <v>5875</v>
          </cell>
          <cell r="N50">
            <v>11750</v>
          </cell>
          <cell r="O50">
            <v>11750</v>
          </cell>
        </row>
        <row r="51">
          <cell r="B51">
            <v>48</v>
          </cell>
          <cell r="C51">
            <v>656648.39644997043</v>
          </cell>
          <cell r="D51">
            <v>39890.880000000019</v>
          </cell>
          <cell r="E51">
            <v>17729.280000000006</v>
          </cell>
          <cell r="F51">
            <v>30000</v>
          </cell>
          <cell r="G51">
            <v>30000</v>
          </cell>
          <cell r="H51">
            <v>30000</v>
          </cell>
          <cell r="I51">
            <v>30000</v>
          </cell>
          <cell r="J51">
            <v>30000</v>
          </cell>
          <cell r="K51">
            <v>12000</v>
          </cell>
          <cell r="L51">
            <v>12000</v>
          </cell>
          <cell r="M51">
            <v>6000</v>
          </cell>
          <cell r="N51">
            <v>12000</v>
          </cell>
          <cell r="O51">
            <v>12000</v>
          </cell>
        </row>
        <row r="52">
          <cell r="B52">
            <v>49</v>
          </cell>
          <cell r="C52">
            <v>683909.1868307034</v>
          </cell>
          <cell r="D52">
            <v>40998.960000000021</v>
          </cell>
          <cell r="E52">
            <v>18221.760000000009</v>
          </cell>
          <cell r="F52">
            <v>30625</v>
          </cell>
          <cell r="G52">
            <v>30625</v>
          </cell>
          <cell r="H52">
            <v>30625</v>
          </cell>
          <cell r="I52">
            <v>30625.000000000004</v>
          </cell>
          <cell r="J52">
            <v>30625</v>
          </cell>
          <cell r="K52">
            <v>12250</v>
          </cell>
          <cell r="L52">
            <v>12250</v>
          </cell>
          <cell r="M52">
            <v>6125</v>
          </cell>
          <cell r="N52">
            <v>12250</v>
          </cell>
          <cell r="O52">
            <v>12250</v>
          </cell>
        </row>
        <row r="53">
          <cell r="B53">
            <v>50</v>
          </cell>
          <cell r="C53">
            <v>716242.40830715036</v>
          </cell>
          <cell r="D53">
            <v>42384.060000000012</v>
          </cell>
          <cell r="E53">
            <v>18837.360000000004</v>
          </cell>
          <cell r="F53">
            <v>31250</v>
          </cell>
          <cell r="G53">
            <v>31250</v>
          </cell>
          <cell r="H53">
            <v>31250</v>
          </cell>
          <cell r="I53">
            <v>31250</v>
          </cell>
          <cell r="J53">
            <v>31250</v>
          </cell>
          <cell r="K53">
            <v>12500</v>
          </cell>
          <cell r="L53">
            <v>12500</v>
          </cell>
          <cell r="M53">
            <v>6250</v>
          </cell>
          <cell r="N53">
            <v>12500</v>
          </cell>
          <cell r="O53">
            <v>12500</v>
          </cell>
        </row>
        <row r="54">
          <cell r="B54">
            <v>51</v>
          </cell>
          <cell r="C54">
            <v>749077.43558025884</v>
          </cell>
          <cell r="D54">
            <v>43769.160000000011</v>
          </cell>
          <cell r="E54">
            <v>19452.960000000006</v>
          </cell>
          <cell r="F54">
            <v>31875</v>
          </cell>
          <cell r="G54">
            <v>31875</v>
          </cell>
          <cell r="H54">
            <v>31875</v>
          </cell>
          <cell r="I54">
            <v>31874.999999999996</v>
          </cell>
          <cell r="J54">
            <v>31875</v>
          </cell>
          <cell r="K54">
            <v>12750</v>
          </cell>
          <cell r="L54">
            <v>12750</v>
          </cell>
          <cell r="M54">
            <v>6375</v>
          </cell>
          <cell r="N54">
            <v>12750</v>
          </cell>
          <cell r="O54">
            <v>12750</v>
          </cell>
        </row>
        <row r="55">
          <cell r="B55">
            <v>52</v>
          </cell>
          <cell r="C55">
            <v>782403.60833389161</v>
          </cell>
          <cell r="D55">
            <v>45154.26</v>
          </cell>
          <cell r="E55">
            <v>20068.560000000005</v>
          </cell>
          <cell r="F55">
            <v>32500</v>
          </cell>
          <cell r="G55">
            <v>32500</v>
          </cell>
          <cell r="H55">
            <v>32500</v>
          </cell>
          <cell r="I55">
            <v>32500</v>
          </cell>
          <cell r="J55">
            <v>32500</v>
          </cell>
          <cell r="K55">
            <v>13000</v>
          </cell>
          <cell r="L55">
            <v>13000</v>
          </cell>
          <cell r="M55">
            <v>6500</v>
          </cell>
          <cell r="N55">
            <v>13000</v>
          </cell>
          <cell r="O55">
            <v>13000</v>
          </cell>
        </row>
        <row r="56">
          <cell r="B56">
            <v>53</v>
          </cell>
          <cell r="C56">
            <v>816210.17890046258</v>
          </cell>
          <cell r="D56">
            <v>46539.360000000008</v>
          </cell>
          <cell r="E56">
            <v>20684.160000000003</v>
          </cell>
          <cell r="F56">
            <v>33125</v>
          </cell>
          <cell r="G56">
            <v>33125</v>
          </cell>
          <cell r="H56">
            <v>33125</v>
          </cell>
          <cell r="I56">
            <v>33125</v>
          </cell>
          <cell r="J56">
            <v>33125</v>
          </cell>
          <cell r="K56">
            <v>13250</v>
          </cell>
          <cell r="L56">
            <v>13250</v>
          </cell>
          <cell r="M56">
            <v>6625</v>
          </cell>
          <cell r="N56">
            <v>13250</v>
          </cell>
          <cell r="O56">
            <v>13250</v>
          </cell>
        </row>
        <row r="57">
          <cell r="B57">
            <v>54</v>
          </cell>
          <cell r="C57">
            <v>850486.3182352474</v>
          </cell>
          <cell r="D57">
            <v>47924.460000000014</v>
          </cell>
          <cell r="E57">
            <v>21299.760000000006</v>
          </cell>
          <cell r="F57">
            <v>33750</v>
          </cell>
          <cell r="G57">
            <v>33750</v>
          </cell>
          <cell r="H57">
            <v>33750</v>
          </cell>
          <cell r="I57">
            <v>33750</v>
          </cell>
          <cell r="J57">
            <v>33750</v>
          </cell>
          <cell r="K57">
            <v>13500</v>
          </cell>
          <cell r="L57">
            <v>13500</v>
          </cell>
          <cell r="M57">
            <v>6750</v>
          </cell>
          <cell r="N57">
            <v>13500</v>
          </cell>
          <cell r="O57">
            <v>13500</v>
          </cell>
        </row>
        <row r="58">
          <cell r="B58">
            <v>55</v>
          </cell>
          <cell r="C58">
            <v>885221.12189069903</v>
          </cell>
          <cell r="D58">
            <v>49309.560000000005</v>
          </cell>
          <cell r="E58">
            <v>21915.360000000004</v>
          </cell>
          <cell r="F58">
            <v>34375</v>
          </cell>
          <cell r="G58">
            <v>34375</v>
          </cell>
          <cell r="H58">
            <v>34375</v>
          </cell>
          <cell r="I58">
            <v>34375</v>
          </cell>
          <cell r="J58">
            <v>34375</v>
          </cell>
          <cell r="K58">
            <v>13750</v>
          </cell>
          <cell r="L58">
            <v>13750</v>
          </cell>
          <cell r="M58">
            <v>6875</v>
          </cell>
          <cell r="N58">
            <v>13750</v>
          </cell>
          <cell r="O58">
            <v>13750</v>
          </cell>
        </row>
        <row r="59">
          <cell r="B59">
            <v>56</v>
          </cell>
          <cell r="C59">
            <v>920403.6159907598</v>
          </cell>
          <cell r="D59">
            <v>50694.660000000011</v>
          </cell>
          <cell r="E59">
            <v>22530.960000000006</v>
          </cell>
          <cell r="F59">
            <v>35000</v>
          </cell>
          <cell r="G59">
            <v>35000</v>
          </cell>
          <cell r="H59">
            <v>35000</v>
          </cell>
          <cell r="I59">
            <v>35000</v>
          </cell>
          <cell r="J59">
            <v>35000</v>
          </cell>
          <cell r="K59">
            <v>14000</v>
          </cell>
          <cell r="L59">
            <v>14000</v>
          </cell>
          <cell r="M59">
            <v>6999.9999999999982</v>
          </cell>
          <cell r="N59">
            <v>13999.999999999996</v>
          </cell>
          <cell r="O59">
            <v>14000</v>
          </cell>
        </row>
        <row r="60">
          <cell r="B60">
            <v>57</v>
          </cell>
          <cell r="C60">
            <v>956022.76320517482</v>
          </cell>
          <cell r="D60">
            <v>52079.76</v>
          </cell>
          <cell r="E60">
            <v>23146.560000000005</v>
          </cell>
          <cell r="F60">
            <v>35625</v>
          </cell>
          <cell r="G60">
            <v>35625</v>
          </cell>
          <cell r="H60">
            <v>35625</v>
          </cell>
          <cell r="I60">
            <v>35625</v>
          </cell>
          <cell r="J60">
            <v>35625</v>
          </cell>
          <cell r="K60">
            <v>14250</v>
          </cell>
          <cell r="L60">
            <v>14250</v>
          </cell>
          <cell r="M60">
            <v>7125</v>
          </cell>
          <cell r="N60">
            <v>14250</v>
          </cell>
          <cell r="O60">
            <v>14250</v>
          </cell>
        </row>
        <row r="61">
          <cell r="B61">
            <v>58</v>
          </cell>
          <cell r="C61">
            <v>992067.46872380655</v>
          </cell>
          <cell r="D61">
            <v>53464.860000000008</v>
          </cell>
          <cell r="E61">
            <v>23762.160000000007</v>
          </cell>
          <cell r="F61">
            <v>36250</v>
          </cell>
          <cell r="G61">
            <v>36250</v>
          </cell>
          <cell r="H61">
            <v>36250</v>
          </cell>
          <cell r="I61">
            <v>36250</v>
          </cell>
          <cell r="J61">
            <v>36250</v>
          </cell>
          <cell r="K61">
            <v>14500</v>
          </cell>
          <cell r="L61">
            <v>14500</v>
          </cell>
          <cell r="M61">
            <v>7249.9999999999991</v>
          </cell>
          <cell r="N61">
            <v>14499.999999999998</v>
          </cell>
          <cell r="O61">
            <v>14500</v>
          </cell>
        </row>
        <row r="62">
          <cell r="B62">
            <v>59</v>
          </cell>
          <cell r="C62">
            <v>1028526.5862309474</v>
          </cell>
          <cell r="D62">
            <v>54849.960000000014</v>
          </cell>
          <cell r="E62">
            <v>24377.760000000006</v>
          </cell>
          <cell r="F62">
            <v>36875</v>
          </cell>
          <cell r="G62">
            <v>36875</v>
          </cell>
          <cell r="H62">
            <v>36875</v>
          </cell>
          <cell r="I62">
            <v>36875</v>
          </cell>
          <cell r="J62">
            <v>36875</v>
          </cell>
          <cell r="K62">
            <v>14750</v>
          </cell>
          <cell r="L62">
            <v>14750</v>
          </cell>
          <cell r="M62">
            <v>7375</v>
          </cell>
          <cell r="N62">
            <v>14750</v>
          </cell>
          <cell r="O62">
            <v>14750</v>
          </cell>
        </row>
        <row r="63">
          <cell r="B63">
            <v>60</v>
          </cell>
          <cell r="C63">
            <v>1070637.145179532</v>
          </cell>
          <cell r="D63">
            <v>56512.080000000016</v>
          </cell>
          <cell r="E63">
            <v>25116.480000000007</v>
          </cell>
          <cell r="F63">
            <v>37500</v>
          </cell>
          <cell r="G63">
            <v>37500</v>
          </cell>
          <cell r="H63">
            <v>37500</v>
          </cell>
          <cell r="I63">
            <v>37500</v>
          </cell>
          <cell r="J63">
            <v>37500</v>
          </cell>
          <cell r="K63">
            <v>15000</v>
          </cell>
          <cell r="L63">
            <v>15000</v>
          </cell>
          <cell r="M63">
            <v>7500.0000000000009</v>
          </cell>
          <cell r="N63">
            <v>15000.000000000002</v>
          </cell>
          <cell r="O63">
            <v>15000</v>
          </cell>
        </row>
        <row r="64">
          <cell r="B64">
            <v>61</v>
          </cell>
          <cell r="C64">
            <v>1113245.589210819</v>
          </cell>
          <cell r="D64">
            <v>58174.200000000019</v>
          </cell>
          <cell r="E64">
            <v>25855.200000000012</v>
          </cell>
          <cell r="F64">
            <v>38125</v>
          </cell>
          <cell r="G64">
            <v>38125</v>
          </cell>
          <cell r="H64">
            <v>38125</v>
          </cell>
          <cell r="I64">
            <v>38125</v>
          </cell>
          <cell r="J64">
            <v>38125</v>
          </cell>
          <cell r="K64">
            <v>15250</v>
          </cell>
          <cell r="L64">
            <v>15250</v>
          </cell>
          <cell r="M64">
            <v>7625</v>
          </cell>
          <cell r="N64">
            <v>15250</v>
          </cell>
          <cell r="O64">
            <v>15250</v>
          </cell>
        </row>
        <row r="65">
          <cell r="B65">
            <v>62</v>
          </cell>
          <cell r="C65">
            <v>1156338.5581555346</v>
          </cell>
          <cell r="D65">
            <v>59836.320000000014</v>
          </cell>
          <cell r="E65">
            <v>26593.920000000009</v>
          </cell>
          <cell r="F65">
            <v>38750</v>
          </cell>
          <cell r="G65">
            <v>38750</v>
          </cell>
          <cell r="H65">
            <v>38750</v>
          </cell>
          <cell r="I65">
            <v>38750</v>
          </cell>
          <cell r="J65">
            <v>38750</v>
          </cell>
          <cell r="K65">
            <v>15500</v>
          </cell>
          <cell r="L65">
            <v>15500</v>
          </cell>
          <cell r="M65">
            <v>7750.0000000000009</v>
          </cell>
          <cell r="N65">
            <v>15500.000000000002</v>
          </cell>
          <cell r="O65">
            <v>15500</v>
          </cell>
        </row>
        <row r="66">
          <cell r="B66">
            <v>63</v>
          </cell>
          <cell r="C66">
            <v>1199902.6492511141</v>
          </cell>
          <cell r="D66">
            <v>61498.440000000031</v>
          </cell>
          <cell r="E66">
            <v>27332.640000000014</v>
          </cell>
          <cell r="F66">
            <v>39375</v>
          </cell>
          <cell r="G66">
            <v>39375</v>
          </cell>
          <cell r="H66">
            <v>39375</v>
          </cell>
          <cell r="I66">
            <v>39375</v>
          </cell>
          <cell r="J66">
            <v>39375</v>
          </cell>
          <cell r="K66">
            <v>15750</v>
          </cell>
          <cell r="L66">
            <v>15750</v>
          </cell>
          <cell r="M66">
            <v>7875</v>
          </cell>
          <cell r="N66">
            <v>15750</v>
          </cell>
          <cell r="O66">
            <v>15750</v>
          </cell>
        </row>
        <row r="67">
          <cell r="B67">
            <v>64</v>
          </cell>
          <cell r="C67">
            <v>1243924.4243108754</v>
          </cell>
          <cell r="D67">
            <v>63160.560000000019</v>
          </cell>
          <cell r="E67">
            <v>28071.360000000019</v>
          </cell>
          <cell r="F67">
            <v>40000</v>
          </cell>
          <cell r="G67">
            <v>40000</v>
          </cell>
          <cell r="H67">
            <v>40000</v>
          </cell>
          <cell r="I67">
            <v>40000</v>
          </cell>
          <cell r="J67">
            <v>40000</v>
          </cell>
          <cell r="K67">
            <v>16000</v>
          </cell>
          <cell r="L67">
            <v>16000</v>
          </cell>
          <cell r="M67">
            <v>8000.0000000000018</v>
          </cell>
          <cell r="N67">
            <v>16000.000000000004</v>
          </cell>
          <cell r="O67">
            <v>16000</v>
          </cell>
        </row>
        <row r="68">
          <cell r="B68">
            <v>65</v>
          </cell>
          <cell r="C68">
            <v>1288390.416893197</v>
          </cell>
          <cell r="D68">
            <v>64822.680000000015</v>
          </cell>
          <cell r="E68">
            <v>28810.080000000013</v>
          </cell>
          <cell r="F68">
            <v>40625</v>
          </cell>
          <cell r="G68">
            <v>40625</v>
          </cell>
          <cell r="H68">
            <v>40625</v>
          </cell>
          <cell r="I68">
            <v>40625</v>
          </cell>
          <cell r="J68">
            <v>40625</v>
          </cell>
          <cell r="K68">
            <v>16250</v>
          </cell>
          <cell r="L68">
            <v>16250</v>
          </cell>
          <cell r="M68">
            <v>8125</v>
          </cell>
          <cell r="N68">
            <v>16250</v>
          </cell>
          <cell r="O68">
            <v>16250</v>
          </cell>
        </row>
        <row r="69">
          <cell r="B69">
            <v>66</v>
          </cell>
          <cell r="C69">
            <v>1333287.1394706951</v>
          </cell>
          <cell r="D69">
            <v>66484.800000000047</v>
          </cell>
          <cell r="E69">
            <v>29548.800000000021</v>
          </cell>
          <cell r="F69">
            <v>41250</v>
          </cell>
          <cell r="G69">
            <v>41250</v>
          </cell>
          <cell r="H69">
            <v>41250</v>
          </cell>
          <cell r="I69">
            <v>41250</v>
          </cell>
          <cell r="J69">
            <v>41250</v>
          </cell>
          <cell r="K69">
            <v>16500</v>
          </cell>
          <cell r="L69">
            <v>16500</v>
          </cell>
          <cell r="M69">
            <v>8250</v>
          </cell>
          <cell r="N69">
            <v>16500</v>
          </cell>
          <cell r="O69">
            <v>16500</v>
          </cell>
        </row>
        <row r="70">
          <cell r="B70">
            <v>67</v>
          </cell>
          <cell r="C70">
            <v>1378601.0905993942</v>
          </cell>
          <cell r="D70">
            <v>68146.920000000042</v>
          </cell>
          <cell r="E70">
            <v>30287.520000000022</v>
          </cell>
          <cell r="F70">
            <v>41875</v>
          </cell>
          <cell r="G70">
            <v>41875</v>
          </cell>
          <cell r="H70">
            <v>41875</v>
          </cell>
          <cell r="I70">
            <v>41875</v>
          </cell>
          <cell r="J70">
            <v>41875</v>
          </cell>
          <cell r="K70">
            <v>16750</v>
          </cell>
          <cell r="L70">
            <v>16750</v>
          </cell>
          <cell r="M70">
            <v>8375</v>
          </cell>
          <cell r="N70">
            <v>16750</v>
          </cell>
          <cell r="O70">
            <v>16750</v>
          </cell>
        </row>
        <row r="71">
          <cell r="B71">
            <v>68</v>
          </cell>
          <cell r="C71">
            <v>1424318.7620879104</v>
          </cell>
          <cell r="D71">
            <v>69809.040000000052</v>
          </cell>
          <cell r="E71">
            <v>31026.24000000002</v>
          </cell>
          <cell r="F71">
            <v>42500</v>
          </cell>
          <cell r="G71">
            <v>42500</v>
          </cell>
          <cell r="H71">
            <v>42500</v>
          </cell>
          <cell r="I71">
            <v>42500</v>
          </cell>
          <cell r="J71">
            <v>42500</v>
          </cell>
          <cell r="K71">
            <v>17000</v>
          </cell>
          <cell r="L71">
            <v>17000</v>
          </cell>
          <cell r="M71">
            <v>8500</v>
          </cell>
          <cell r="N71">
            <v>17000</v>
          </cell>
          <cell r="O71">
            <v>17000</v>
          </cell>
        </row>
        <row r="72">
          <cell r="B72">
            <v>69</v>
          </cell>
          <cell r="C72">
            <v>1470426.6461666226</v>
          </cell>
          <cell r="D72">
            <v>71471.160000000047</v>
          </cell>
          <cell r="E72">
            <v>31764.960000000025</v>
          </cell>
          <cell r="F72">
            <v>43125</v>
          </cell>
          <cell r="G72">
            <v>43125</v>
          </cell>
          <cell r="H72">
            <v>43125</v>
          </cell>
          <cell r="I72">
            <v>43125</v>
          </cell>
          <cell r="J72">
            <v>43125</v>
          </cell>
          <cell r="K72">
            <v>17250</v>
          </cell>
          <cell r="L72">
            <v>17250</v>
          </cell>
          <cell r="M72">
            <v>8625</v>
          </cell>
          <cell r="N72">
            <v>17250</v>
          </cell>
          <cell r="O72">
            <v>17250</v>
          </cell>
        </row>
        <row r="73">
          <cell r="B73">
            <v>70</v>
          </cell>
          <cell r="C73">
            <v>1522657.1185760058</v>
          </cell>
          <cell r="D73">
            <v>73410.300000000061</v>
          </cell>
          <cell r="E73">
            <v>32626.800000000028</v>
          </cell>
          <cell r="F73">
            <v>43750</v>
          </cell>
          <cell r="G73">
            <v>43750</v>
          </cell>
          <cell r="H73">
            <v>43750</v>
          </cell>
          <cell r="I73">
            <v>43750</v>
          </cell>
          <cell r="J73">
            <v>43750</v>
          </cell>
          <cell r="K73">
            <v>17500.000000000004</v>
          </cell>
          <cell r="L73">
            <v>17500.000000000004</v>
          </cell>
          <cell r="M73">
            <v>8750</v>
          </cell>
          <cell r="N73">
            <v>17500</v>
          </cell>
          <cell r="O73">
            <v>17500.000000000004</v>
          </cell>
        </row>
        <row r="74">
          <cell r="B74">
            <v>71</v>
          </cell>
          <cell r="C74">
            <v>1575342.4666299568</v>
          </cell>
          <cell r="D74">
            <v>75349.440000000046</v>
          </cell>
          <cell r="E74">
            <v>33488.640000000021</v>
          </cell>
          <cell r="F74">
            <v>44375</v>
          </cell>
          <cell r="G74">
            <v>44375</v>
          </cell>
          <cell r="H74">
            <v>44375</v>
          </cell>
          <cell r="I74">
            <v>44375</v>
          </cell>
          <cell r="J74">
            <v>44375</v>
          </cell>
          <cell r="K74">
            <v>17750</v>
          </cell>
          <cell r="L74">
            <v>17750</v>
          </cell>
          <cell r="M74">
            <v>8875</v>
          </cell>
          <cell r="N74">
            <v>17750</v>
          </cell>
          <cell r="O74">
            <v>17750</v>
          </cell>
        </row>
        <row r="75">
          <cell r="B75">
            <v>72</v>
          </cell>
          <cell r="C75">
            <v>1628467.0515304436</v>
          </cell>
          <cell r="D75">
            <v>77288.580000000045</v>
          </cell>
          <cell r="E75">
            <v>34350.480000000018</v>
          </cell>
          <cell r="F75">
            <v>45000</v>
          </cell>
          <cell r="G75">
            <v>45000</v>
          </cell>
          <cell r="H75">
            <v>45000</v>
          </cell>
          <cell r="I75">
            <v>45000</v>
          </cell>
          <cell r="J75">
            <v>45000</v>
          </cell>
          <cell r="K75">
            <v>18000.000000000004</v>
          </cell>
          <cell r="L75">
            <v>18000.000000000004</v>
          </cell>
          <cell r="M75">
            <v>9000</v>
          </cell>
          <cell r="N75">
            <v>18000</v>
          </cell>
          <cell r="O75">
            <v>18000.000000000004</v>
          </cell>
        </row>
        <row r="76">
          <cell r="B76">
            <v>73</v>
          </cell>
          <cell r="C76">
            <v>1682015.2581518283</v>
          </cell>
          <cell r="D76">
            <v>79227.72000000003</v>
          </cell>
          <cell r="E76">
            <v>35212.320000000022</v>
          </cell>
          <cell r="F76">
            <v>45625</v>
          </cell>
          <cell r="G76">
            <v>45625</v>
          </cell>
          <cell r="H76">
            <v>45625</v>
          </cell>
          <cell r="I76">
            <v>45625</v>
          </cell>
          <cell r="J76">
            <v>45625</v>
          </cell>
          <cell r="K76">
            <v>18250</v>
          </cell>
          <cell r="L76">
            <v>18250</v>
          </cell>
          <cell r="M76">
            <v>9125</v>
          </cell>
          <cell r="N76">
            <v>18250</v>
          </cell>
          <cell r="O76">
            <v>18250</v>
          </cell>
        </row>
        <row r="77">
          <cell r="B77">
            <v>74</v>
          </cell>
          <cell r="C77">
            <v>1735971.5034049053</v>
          </cell>
          <cell r="D77">
            <v>81166.860000000044</v>
          </cell>
          <cell r="E77">
            <v>36074.160000000018</v>
          </cell>
          <cell r="F77">
            <v>46250</v>
          </cell>
          <cell r="G77">
            <v>46250</v>
          </cell>
          <cell r="H77">
            <v>46250</v>
          </cell>
          <cell r="I77">
            <v>46250</v>
          </cell>
          <cell r="J77">
            <v>46250</v>
          </cell>
          <cell r="K77">
            <v>18500.000000000004</v>
          </cell>
          <cell r="L77">
            <v>18500.000000000004</v>
          </cell>
          <cell r="M77">
            <v>9250</v>
          </cell>
          <cell r="N77">
            <v>18500</v>
          </cell>
          <cell r="O77">
            <v>18500.000000000004</v>
          </cell>
        </row>
        <row r="78">
          <cell r="B78">
            <v>75</v>
          </cell>
          <cell r="C78">
            <v>1790320.2446009414</v>
          </cell>
          <cell r="D78">
            <v>83106.000000000058</v>
          </cell>
          <cell r="E78">
            <v>36936.000000000029</v>
          </cell>
          <cell r="F78">
            <v>46875</v>
          </cell>
          <cell r="G78">
            <v>46875</v>
          </cell>
          <cell r="H78">
            <v>46875</v>
          </cell>
          <cell r="I78">
            <v>46875</v>
          </cell>
          <cell r="J78">
            <v>46875</v>
          </cell>
          <cell r="K78">
            <v>18750</v>
          </cell>
          <cell r="L78">
            <v>18750</v>
          </cell>
          <cell r="M78">
            <v>9375</v>
          </cell>
          <cell r="N78">
            <v>18750</v>
          </cell>
          <cell r="O78">
            <v>18750</v>
          </cell>
        </row>
        <row r="79">
          <cell r="B79">
            <v>76</v>
          </cell>
          <cell r="C79">
            <v>1845045.987815713</v>
          </cell>
          <cell r="D79">
            <v>85045.140000000043</v>
          </cell>
          <cell r="E79">
            <v>37797.840000000018</v>
          </cell>
          <cell r="F79">
            <v>47500</v>
          </cell>
          <cell r="G79">
            <v>47500</v>
          </cell>
          <cell r="H79">
            <v>47500</v>
          </cell>
          <cell r="I79">
            <v>47500</v>
          </cell>
          <cell r="J79">
            <v>47500</v>
          </cell>
          <cell r="K79">
            <v>19000</v>
          </cell>
          <cell r="L79">
            <v>19000</v>
          </cell>
          <cell r="M79">
            <v>9500</v>
          </cell>
          <cell r="N79">
            <v>19000</v>
          </cell>
          <cell r="O79">
            <v>19000</v>
          </cell>
        </row>
        <row r="80">
          <cell r="B80">
            <v>77</v>
          </cell>
          <cell r="C80">
            <v>1900133.2962535466</v>
          </cell>
          <cell r="D80">
            <v>86984.280000000042</v>
          </cell>
          <cell r="E80">
            <v>38659.680000000015</v>
          </cell>
          <cell r="F80">
            <v>48125</v>
          </cell>
          <cell r="G80">
            <v>48125</v>
          </cell>
          <cell r="H80">
            <v>48125</v>
          </cell>
          <cell r="I80">
            <v>48125</v>
          </cell>
          <cell r="J80">
            <v>48125</v>
          </cell>
          <cell r="K80">
            <v>19250</v>
          </cell>
          <cell r="L80">
            <v>19250</v>
          </cell>
          <cell r="M80">
            <v>9625</v>
          </cell>
          <cell r="N80">
            <v>19250</v>
          </cell>
          <cell r="O80">
            <v>19250</v>
          </cell>
        </row>
        <row r="81">
          <cell r="B81">
            <v>78</v>
          </cell>
          <cell r="C81">
            <v>1955566.7986113571</v>
          </cell>
          <cell r="D81">
            <v>88923.420000000027</v>
          </cell>
          <cell r="E81">
            <v>39521.520000000011</v>
          </cell>
          <cell r="F81">
            <v>48750</v>
          </cell>
          <cell r="G81">
            <v>48750</v>
          </cell>
          <cell r="H81">
            <v>48750</v>
          </cell>
          <cell r="I81">
            <v>48750</v>
          </cell>
          <cell r="J81">
            <v>48750</v>
          </cell>
          <cell r="K81">
            <v>19500</v>
          </cell>
          <cell r="L81">
            <v>19500</v>
          </cell>
          <cell r="M81">
            <v>9750</v>
          </cell>
          <cell r="N81">
            <v>19500</v>
          </cell>
          <cell r="O81">
            <v>19500</v>
          </cell>
        </row>
        <row r="82">
          <cell r="B82">
            <v>79</v>
          </cell>
          <cell r="C82">
            <v>2011331.1974426862</v>
          </cell>
          <cell r="D82">
            <v>90862.560000000027</v>
          </cell>
          <cell r="E82">
            <v>40383.360000000015</v>
          </cell>
          <cell r="F82">
            <v>49375</v>
          </cell>
          <cell r="G82">
            <v>49375</v>
          </cell>
          <cell r="H82">
            <v>49375</v>
          </cell>
          <cell r="I82">
            <v>49375</v>
          </cell>
          <cell r="J82">
            <v>49375</v>
          </cell>
          <cell r="K82">
            <v>19750</v>
          </cell>
          <cell r="L82">
            <v>19750</v>
          </cell>
          <cell r="M82">
            <v>9875</v>
          </cell>
          <cell r="N82">
            <v>19750</v>
          </cell>
          <cell r="O82">
            <v>19750</v>
          </cell>
        </row>
        <row r="83">
          <cell r="B83">
            <v>80</v>
          </cell>
          <cell r="C83">
            <v>2073582.6544695653</v>
          </cell>
          <cell r="D83">
            <v>93078.720000000016</v>
          </cell>
          <cell r="E83">
            <v>41368.320000000007</v>
          </cell>
          <cell r="F83">
            <v>50000</v>
          </cell>
          <cell r="G83">
            <v>50000</v>
          </cell>
          <cell r="H83">
            <v>50000</v>
          </cell>
          <cell r="I83">
            <v>50000</v>
          </cell>
          <cell r="J83">
            <v>50000</v>
          </cell>
          <cell r="K83">
            <v>20000</v>
          </cell>
          <cell r="L83">
            <v>20000</v>
          </cell>
          <cell r="M83">
            <v>10000</v>
          </cell>
          <cell r="N83">
            <v>20000</v>
          </cell>
          <cell r="O83">
            <v>20000</v>
          </cell>
        </row>
        <row r="84">
          <cell r="B84">
            <v>81</v>
          </cell>
          <cell r="C84">
            <v>2136211.7499630288</v>
          </cell>
          <cell r="D84">
            <v>95294.880000000019</v>
          </cell>
          <cell r="E84">
            <v>42353.280000000013</v>
          </cell>
          <cell r="F84">
            <v>50625</v>
          </cell>
          <cell r="G84">
            <v>50625</v>
          </cell>
          <cell r="H84">
            <v>50625</v>
          </cell>
          <cell r="I84">
            <v>50625</v>
          </cell>
          <cell r="J84">
            <v>50625</v>
          </cell>
          <cell r="K84">
            <v>20250</v>
          </cell>
          <cell r="L84">
            <v>20250</v>
          </cell>
          <cell r="M84">
            <v>10125</v>
          </cell>
          <cell r="N84">
            <v>20250</v>
          </cell>
          <cell r="O84">
            <v>20250</v>
          </cell>
        </row>
        <row r="85">
          <cell r="B85">
            <v>82</v>
          </cell>
          <cell r="C85">
            <v>2199201.2744877017</v>
          </cell>
          <cell r="D85">
            <v>97511.040000000023</v>
          </cell>
          <cell r="E85">
            <v>43338.240000000005</v>
          </cell>
          <cell r="F85">
            <v>51250</v>
          </cell>
          <cell r="G85">
            <v>51250</v>
          </cell>
          <cell r="H85">
            <v>51250</v>
          </cell>
          <cell r="I85">
            <v>51249.999999999993</v>
          </cell>
          <cell r="J85">
            <v>51250</v>
          </cell>
          <cell r="K85">
            <v>20500</v>
          </cell>
          <cell r="L85">
            <v>20500</v>
          </cell>
          <cell r="M85">
            <v>10250</v>
          </cell>
          <cell r="N85">
            <v>20500</v>
          </cell>
          <cell r="O85">
            <v>20500</v>
          </cell>
        </row>
        <row r="86">
          <cell r="B86">
            <v>83</v>
          </cell>
          <cell r="C86">
            <v>2262534.1300538229</v>
          </cell>
          <cell r="D86">
            <v>99727.200000000012</v>
          </cell>
          <cell r="E86">
            <v>44323.200000000012</v>
          </cell>
          <cell r="F86">
            <v>51875</v>
          </cell>
          <cell r="G86">
            <v>51875</v>
          </cell>
          <cell r="H86">
            <v>51875</v>
          </cell>
          <cell r="I86">
            <v>51875.000000000007</v>
          </cell>
          <cell r="J86">
            <v>51875</v>
          </cell>
          <cell r="K86">
            <v>20750</v>
          </cell>
          <cell r="L86">
            <v>20750</v>
          </cell>
          <cell r="M86">
            <v>10375</v>
          </cell>
          <cell r="N86">
            <v>20750</v>
          </cell>
          <cell r="O86">
            <v>20750</v>
          </cell>
        </row>
        <row r="87">
          <cell r="B87">
            <v>84</v>
          </cell>
          <cell r="C87">
            <v>2326193.3396761417</v>
          </cell>
          <cell r="D87">
            <v>101943.36000000002</v>
          </cell>
          <cell r="E87">
            <v>45308.160000000011</v>
          </cell>
          <cell r="F87">
            <v>52500</v>
          </cell>
          <cell r="G87">
            <v>52500</v>
          </cell>
          <cell r="H87">
            <v>52500</v>
          </cell>
          <cell r="I87">
            <v>52500</v>
          </cell>
          <cell r="J87">
            <v>52500</v>
          </cell>
          <cell r="K87">
            <v>21000</v>
          </cell>
          <cell r="L87">
            <v>21000</v>
          </cell>
          <cell r="M87">
            <v>10500</v>
          </cell>
          <cell r="N87">
            <v>21000</v>
          </cell>
          <cell r="O87">
            <v>21000</v>
          </cell>
        </row>
        <row r="88">
          <cell r="B88">
            <v>85</v>
          </cell>
          <cell r="C88">
            <v>2390162.056932814</v>
          </cell>
          <cell r="D88">
            <v>104159.52</v>
          </cell>
          <cell r="E88">
            <v>46293.119999999995</v>
          </cell>
          <cell r="F88">
            <v>53125</v>
          </cell>
          <cell r="G88">
            <v>53125</v>
          </cell>
          <cell r="H88">
            <v>53125</v>
          </cell>
          <cell r="I88">
            <v>53125</v>
          </cell>
          <cell r="J88">
            <v>53125</v>
          </cell>
          <cell r="K88">
            <v>21250</v>
          </cell>
          <cell r="L88">
            <v>21250</v>
          </cell>
          <cell r="M88">
            <v>10625</v>
          </cell>
          <cell r="N88">
            <v>21250</v>
          </cell>
          <cell r="O88">
            <v>21250</v>
          </cell>
        </row>
        <row r="89">
          <cell r="B89">
            <v>86</v>
          </cell>
          <cell r="C89">
            <v>2454423.5755243152</v>
          </cell>
          <cell r="D89">
            <v>106375.68000000001</v>
          </cell>
          <cell r="E89">
            <v>47278.080000000002</v>
          </cell>
          <cell r="F89">
            <v>53750</v>
          </cell>
          <cell r="G89">
            <v>53750</v>
          </cell>
          <cell r="H89">
            <v>53750</v>
          </cell>
          <cell r="I89">
            <v>53750</v>
          </cell>
          <cell r="J89">
            <v>53750</v>
          </cell>
          <cell r="K89">
            <v>21500</v>
          </cell>
          <cell r="L89">
            <v>21500</v>
          </cell>
          <cell r="M89">
            <v>10750</v>
          </cell>
          <cell r="N89">
            <v>21500</v>
          </cell>
          <cell r="O89">
            <v>21500</v>
          </cell>
        </row>
        <row r="90">
          <cell r="B90">
            <v>87</v>
          </cell>
          <cell r="C90">
            <v>2518961.3388323309</v>
          </cell>
          <cell r="D90">
            <v>108591.83999999998</v>
          </cell>
          <cell r="E90">
            <v>48263.039999999986</v>
          </cell>
          <cell r="F90">
            <v>54375</v>
          </cell>
          <cell r="G90">
            <v>54375</v>
          </cell>
          <cell r="H90">
            <v>54375</v>
          </cell>
          <cell r="I90">
            <v>54374.999999999993</v>
          </cell>
          <cell r="J90">
            <v>54375</v>
          </cell>
          <cell r="K90">
            <v>21750</v>
          </cell>
          <cell r="L90">
            <v>21750</v>
          </cell>
          <cell r="M90">
            <v>10875</v>
          </cell>
          <cell r="N90">
            <v>21750</v>
          </cell>
          <cell r="O90">
            <v>21750</v>
          </cell>
        </row>
        <row r="91">
          <cell r="B91">
            <v>88</v>
          </cell>
          <cell r="C91">
            <v>2583758.9494786672</v>
          </cell>
          <cell r="D91">
            <v>110807.99999999997</v>
          </cell>
          <cell r="E91">
            <v>49247.999999999985</v>
          </cell>
          <cell r="F91">
            <v>55000</v>
          </cell>
          <cell r="G91">
            <v>55000</v>
          </cell>
          <cell r="H91">
            <v>55000</v>
          </cell>
          <cell r="I91">
            <v>55000.000000000007</v>
          </cell>
          <cell r="J91">
            <v>55000</v>
          </cell>
          <cell r="K91">
            <v>22000</v>
          </cell>
          <cell r="L91">
            <v>22000</v>
          </cell>
          <cell r="M91">
            <v>11000</v>
          </cell>
          <cell r="N91">
            <v>22000</v>
          </cell>
          <cell r="O91">
            <v>22000</v>
          </cell>
        </row>
        <row r="92">
          <cell r="B92">
            <v>89</v>
          </cell>
          <cell r="C92">
            <v>2648800.1788841435</v>
          </cell>
          <cell r="D92">
            <v>113024.15999999999</v>
          </cell>
          <cell r="E92">
            <v>50232.959999999985</v>
          </cell>
          <cell r="F92">
            <v>55625</v>
          </cell>
          <cell r="G92">
            <v>55625</v>
          </cell>
          <cell r="H92">
            <v>55625</v>
          </cell>
          <cell r="I92">
            <v>55625</v>
          </cell>
          <cell r="J92">
            <v>55625</v>
          </cell>
          <cell r="K92">
            <v>22250</v>
          </cell>
          <cell r="L92">
            <v>22250</v>
          </cell>
          <cell r="M92">
            <v>11125</v>
          </cell>
          <cell r="N92">
            <v>22250</v>
          </cell>
          <cell r="O92">
            <v>22250</v>
          </cell>
        </row>
        <row r="93">
          <cell r="B93">
            <v>90</v>
          </cell>
          <cell r="C93">
            <v>2714068.9768274995</v>
          </cell>
          <cell r="D93">
            <v>115240.31999999995</v>
          </cell>
          <cell r="E93">
            <v>51217.919999999976</v>
          </cell>
          <cell r="F93">
            <v>56250</v>
          </cell>
          <cell r="G93">
            <v>56250</v>
          </cell>
          <cell r="H93">
            <v>56250</v>
          </cell>
          <cell r="I93">
            <v>56250</v>
          </cell>
          <cell r="J93">
            <v>56250</v>
          </cell>
          <cell r="K93">
            <v>22500</v>
          </cell>
          <cell r="L93">
            <v>22500</v>
          </cell>
          <cell r="M93">
            <v>11250</v>
          </cell>
          <cell r="N93">
            <v>22500</v>
          </cell>
          <cell r="O93">
            <v>22500</v>
          </cell>
        </row>
        <row r="94">
          <cell r="B94">
            <v>91</v>
          </cell>
          <cell r="C94">
            <v>2779549.4810042954</v>
          </cell>
          <cell r="D94">
            <v>117456.47999999994</v>
          </cell>
          <cell r="E94">
            <v>52202.879999999976</v>
          </cell>
          <cell r="F94">
            <v>56875</v>
          </cell>
          <cell r="G94">
            <v>56875</v>
          </cell>
          <cell r="H94">
            <v>56875</v>
          </cell>
          <cell r="I94">
            <v>56875</v>
          </cell>
          <cell r="J94">
            <v>56875</v>
          </cell>
          <cell r="K94">
            <v>22750</v>
          </cell>
          <cell r="L94">
            <v>22750</v>
          </cell>
          <cell r="M94">
            <v>11375</v>
          </cell>
          <cell r="N94">
            <v>22750</v>
          </cell>
          <cell r="O94">
            <v>22750</v>
          </cell>
        </row>
        <row r="95">
          <cell r="B95">
            <v>92</v>
          </cell>
          <cell r="C95">
            <v>2845226.0265858159</v>
          </cell>
          <cell r="D95">
            <v>119672.63999999993</v>
          </cell>
          <cell r="E95">
            <v>53187.839999999982</v>
          </cell>
          <cell r="F95">
            <v>57500</v>
          </cell>
          <cell r="G95">
            <v>57500</v>
          </cell>
          <cell r="H95">
            <v>57500</v>
          </cell>
          <cell r="I95">
            <v>57499.999999999993</v>
          </cell>
          <cell r="J95">
            <v>57500</v>
          </cell>
          <cell r="K95">
            <v>23000</v>
          </cell>
          <cell r="L95">
            <v>23000</v>
          </cell>
          <cell r="M95">
            <v>11500</v>
          </cell>
          <cell r="N95">
            <v>23000</v>
          </cell>
          <cell r="O95">
            <v>23000</v>
          </cell>
        </row>
        <row r="96">
          <cell r="B96">
            <v>93</v>
          </cell>
          <cell r="C96">
            <v>2911083.1557779629</v>
          </cell>
          <cell r="D96">
            <v>121888.79999999994</v>
          </cell>
          <cell r="E96">
            <v>54172.799999999974</v>
          </cell>
          <cell r="F96">
            <v>58125</v>
          </cell>
          <cell r="G96">
            <v>58125</v>
          </cell>
          <cell r="H96">
            <v>58125</v>
          </cell>
          <cell r="I96">
            <v>58125.000000000007</v>
          </cell>
          <cell r="J96">
            <v>58125</v>
          </cell>
          <cell r="K96">
            <v>23250</v>
          </cell>
          <cell r="L96">
            <v>23250</v>
          </cell>
          <cell r="M96">
            <v>11625</v>
          </cell>
          <cell r="N96">
            <v>23250</v>
          </cell>
          <cell r="O96">
            <v>23250</v>
          </cell>
        </row>
        <row r="97">
          <cell r="B97">
            <v>94</v>
          </cell>
          <cell r="C97">
            <v>2977105.627380169</v>
          </cell>
          <cell r="D97">
            <v>124104.95999999993</v>
          </cell>
          <cell r="E97">
            <v>55157.759999999973</v>
          </cell>
          <cell r="F97">
            <v>58750</v>
          </cell>
          <cell r="G97">
            <v>58750</v>
          </cell>
          <cell r="H97">
            <v>58750</v>
          </cell>
          <cell r="I97">
            <v>58750</v>
          </cell>
          <cell r="J97">
            <v>58750</v>
          </cell>
          <cell r="K97">
            <v>23500</v>
          </cell>
          <cell r="L97">
            <v>23500</v>
          </cell>
          <cell r="M97">
            <v>11750</v>
          </cell>
          <cell r="N97">
            <v>23500</v>
          </cell>
          <cell r="O97">
            <v>23500</v>
          </cell>
        </row>
        <row r="98">
          <cell r="B98">
            <v>95</v>
          </cell>
          <cell r="C98">
            <v>3043278.4263442908</v>
          </cell>
          <cell r="D98">
            <v>126321.11999999992</v>
          </cell>
          <cell r="E98">
            <v>56142.719999999965</v>
          </cell>
          <cell r="F98">
            <v>59375</v>
          </cell>
          <cell r="G98">
            <v>59375</v>
          </cell>
          <cell r="H98">
            <v>59375</v>
          </cell>
          <cell r="I98">
            <v>59375</v>
          </cell>
          <cell r="J98">
            <v>59375</v>
          </cell>
          <cell r="K98">
            <v>23750</v>
          </cell>
          <cell r="L98">
            <v>23750</v>
          </cell>
          <cell r="M98">
            <v>11875</v>
          </cell>
          <cell r="N98">
            <v>23750</v>
          </cell>
          <cell r="O98">
            <v>23750</v>
          </cell>
        </row>
        <row r="99">
          <cell r="B99">
            <v>96</v>
          </cell>
          <cell r="C99">
            <v>3109586.773333509</v>
          </cell>
          <cell r="D99">
            <v>128537.27999999991</v>
          </cell>
          <cell r="E99">
            <v>57127.679999999957</v>
          </cell>
          <cell r="F99">
            <v>60000</v>
          </cell>
          <cell r="G99">
            <v>60000</v>
          </cell>
          <cell r="H99">
            <v>60000</v>
          </cell>
          <cell r="I99">
            <v>60000</v>
          </cell>
          <cell r="J99">
            <v>60000</v>
          </cell>
          <cell r="K99">
            <v>24000</v>
          </cell>
          <cell r="L99">
            <v>24000</v>
          </cell>
          <cell r="M99">
            <v>12000</v>
          </cell>
          <cell r="N99">
            <v>24000</v>
          </cell>
          <cell r="O99">
            <v>24000</v>
          </cell>
        </row>
        <row r="100">
          <cell r="B100">
            <v>97</v>
          </cell>
          <cell r="C100">
            <v>3176016.1342812413</v>
          </cell>
          <cell r="D100">
            <v>130753.43999999992</v>
          </cell>
          <cell r="E100">
            <v>58112.639999999963</v>
          </cell>
          <cell r="F100">
            <v>60625</v>
          </cell>
          <cell r="G100">
            <v>60625</v>
          </cell>
          <cell r="H100">
            <v>60625</v>
          </cell>
          <cell r="I100">
            <v>60624.999999999993</v>
          </cell>
          <cell r="J100">
            <v>60625</v>
          </cell>
          <cell r="K100">
            <v>24250</v>
          </cell>
          <cell r="L100">
            <v>24250</v>
          </cell>
          <cell r="M100">
            <v>12125</v>
          </cell>
          <cell r="N100">
            <v>24250</v>
          </cell>
          <cell r="O100">
            <v>24250</v>
          </cell>
        </row>
        <row r="101">
          <cell r="B101">
            <v>98</v>
          </cell>
          <cell r="C101">
            <v>3242552.229950028</v>
          </cell>
          <cell r="D101">
            <v>132969.59999999989</v>
          </cell>
          <cell r="E101">
            <v>59097.599999999948</v>
          </cell>
          <cell r="F101">
            <v>61250</v>
          </cell>
          <cell r="G101">
            <v>61250</v>
          </cell>
          <cell r="H101">
            <v>61250</v>
          </cell>
          <cell r="I101">
            <v>61250.000000000007</v>
          </cell>
          <cell r="J101">
            <v>61250</v>
          </cell>
          <cell r="K101">
            <v>24500</v>
          </cell>
          <cell r="L101">
            <v>24500</v>
          </cell>
          <cell r="M101">
            <v>12250</v>
          </cell>
          <cell r="N101">
            <v>24500</v>
          </cell>
          <cell r="O101">
            <v>24500</v>
          </cell>
        </row>
        <row r="102">
          <cell r="B102">
            <v>99</v>
          </cell>
          <cell r="C102">
            <v>3309181.0454904428</v>
          </cell>
          <cell r="D102">
            <v>135185.75999999989</v>
          </cell>
          <cell r="E102">
            <v>60082.559999999954</v>
          </cell>
          <cell r="F102">
            <v>61875</v>
          </cell>
          <cell r="G102">
            <v>61875</v>
          </cell>
          <cell r="H102">
            <v>61875</v>
          </cell>
          <cell r="I102">
            <v>61875</v>
          </cell>
          <cell r="J102">
            <v>61875</v>
          </cell>
          <cell r="K102">
            <v>24750</v>
          </cell>
          <cell r="L102">
            <v>24750</v>
          </cell>
          <cell r="M102">
            <v>12375</v>
          </cell>
          <cell r="N102">
            <v>24750</v>
          </cell>
          <cell r="O102">
            <v>24750</v>
          </cell>
        </row>
        <row r="103">
          <cell r="B103">
            <v>100</v>
          </cell>
          <cell r="C103">
            <v>3375888.8399999975</v>
          </cell>
          <cell r="D103">
            <v>137401.9199999999</v>
          </cell>
          <cell r="E103">
            <v>61067.519999999953</v>
          </cell>
          <cell r="F103">
            <v>62500</v>
          </cell>
          <cell r="G103">
            <v>62500</v>
          </cell>
          <cell r="H103">
            <v>62500</v>
          </cell>
          <cell r="I103">
            <v>62500</v>
          </cell>
          <cell r="J103">
            <v>62500</v>
          </cell>
          <cell r="K103">
            <v>25000</v>
          </cell>
          <cell r="L103">
            <v>25000</v>
          </cell>
          <cell r="M103">
            <v>12500</v>
          </cell>
          <cell r="N103">
            <v>25000</v>
          </cell>
          <cell r="O103">
            <v>25000</v>
          </cell>
        </row>
      </sheetData>
      <sheetData sheetId="7">
        <row r="2">
          <cell r="C2" t="str">
            <v>生命</v>
          </cell>
        </row>
        <row r="4">
          <cell r="B4" t="str">
            <v>100级数值投放比</v>
          </cell>
          <cell r="C4">
            <v>72</v>
          </cell>
          <cell r="D4">
            <v>1.6</v>
          </cell>
          <cell r="E4">
            <v>1</v>
          </cell>
          <cell r="F4">
            <v>0.8</v>
          </cell>
          <cell r="G4">
            <v>0.8</v>
          </cell>
          <cell r="H4">
            <v>0.8</v>
          </cell>
          <cell r="I4">
            <v>0.4</v>
          </cell>
          <cell r="J4">
            <v>0.8</v>
          </cell>
          <cell r="K4">
            <v>0.8</v>
          </cell>
        </row>
        <row r="5">
          <cell r="B5" t="str">
            <v>100级数值属性投放比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</row>
        <row r="6">
          <cell r="B6" t="str">
            <v>100级投放值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</row>
        <row r="10">
          <cell r="I10" t="str">
            <v xml:space="preserve"> </v>
          </cell>
        </row>
        <row r="11">
          <cell r="C11">
            <v>2</v>
          </cell>
        </row>
        <row r="12">
          <cell r="C12">
            <v>0.32477482097307919</v>
          </cell>
          <cell r="D12">
            <v>1.3264418285649903E-2</v>
          </cell>
          <cell r="E12">
            <v>1.3264418285649903E-2</v>
          </cell>
          <cell r="F12">
            <v>2</v>
          </cell>
          <cell r="G12">
            <v>2</v>
          </cell>
          <cell r="H12">
            <v>0.16610938359592531</v>
          </cell>
          <cell r="I12">
            <v>0.18064765064314731</v>
          </cell>
          <cell r="J12">
            <v>0.16610938359592531</v>
          </cell>
          <cell r="K12">
            <v>9.9665630157555168E-2</v>
          </cell>
          <cell r="L12">
            <v>9.9665630157555168E-2</v>
          </cell>
          <cell r="M12">
            <v>4.9010270855015817E-2</v>
          </cell>
          <cell r="N12">
            <v>5.5369794531975068E-2</v>
          </cell>
          <cell r="O12">
            <v>0.12458203769694393</v>
          </cell>
        </row>
        <row r="13">
          <cell r="C13">
            <v>24.484663705489183</v>
          </cell>
          <cell r="D13">
            <v>1</v>
          </cell>
          <cell r="E13">
            <v>1</v>
          </cell>
          <cell r="F13">
            <v>150.77932231402096</v>
          </cell>
          <cell r="G13">
            <v>150.77932231402096</v>
          </cell>
          <cell r="H13">
            <v>12.522930144296684</v>
          </cell>
          <cell r="I13">
            <v>13.618965170796882</v>
          </cell>
          <cell r="J13">
            <v>12.522930144296684</v>
          </cell>
          <cell r="K13">
            <v>7.5137580865780089</v>
          </cell>
          <cell r="L13">
            <v>7.5137580865780089</v>
          </cell>
          <cell r="M13">
            <v>3.6948677129729486</v>
          </cell>
          <cell r="N13">
            <v>4.1743100480988922</v>
          </cell>
          <cell r="O13">
            <v>9.3921976082225083</v>
          </cell>
        </row>
        <row r="14">
          <cell r="C14">
            <v>4.0841892379179845E-2</v>
          </cell>
          <cell r="D14">
            <v>1</v>
          </cell>
          <cell r="E14">
            <v>1</v>
          </cell>
          <cell r="F14">
            <v>6.6322091428249515E-3</v>
          </cell>
          <cell r="G14">
            <v>6.6322091428249515E-3</v>
          </cell>
          <cell r="H14">
            <v>7.9853515788829169E-2</v>
          </cell>
          <cell r="I14">
            <v>7.3427017945849354E-2</v>
          </cell>
          <cell r="J14">
            <v>7.9853515788829169E-2</v>
          </cell>
          <cell r="K14">
            <v>0.13308919298138197</v>
          </cell>
          <cell r="L14">
            <v>0.13308919298138197</v>
          </cell>
          <cell r="M14">
            <v>0.27064568414423268</v>
          </cell>
          <cell r="N14">
            <v>0.23956054736648763</v>
          </cell>
          <cell r="O14">
            <v>0.1064713543851056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</row>
        <row r="18">
          <cell r="B18" t="str">
            <v>系统名称</v>
          </cell>
          <cell r="C18" t="str">
            <v>生命权重</v>
          </cell>
          <cell r="D18" t="str">
            <v>攻击权重</v>
          </cell>
          <cell r="E18" t="str">
            <v>防御权重</v>
          </cell>
          <cell r="F18" t="str">
            <v>闪避权重</v>
          </cell>
          <cell r="G18" t="str">
            <v>命中权重</v>
          </cell>
          <cell r="H18" t="str">
            <v>暴击率权重</v>
          </cell>
          <cell r="I18" t="str">
            <v>暴击倍数权重</v>
          </cell>
          <cell r="J18" t="str">
            <v>韧性权重</v>
          </cell>
          <cell r="K18" t="str">
            <v>减伤百分比权重</v>
          </cell>
          <cell r="L18" t="str">
            <v>加伤百分比权重</v>
          </cell>
          <cell r="M18" t="str">
            <v>生命百分比</v>
          </cell>
          <cell r="N18" t="str">
            <v>攻击百分比</v>
          </cell>
          <cell r="O18" t="str">
            <v>防御百分比</v>
          </cell>
        </row>
        <row r="19">
          <cell r="B19" t="str">
            <v>龙魂</v>
          </cell>
          <cell r="C19">
            <v>1.2</v>
          </cell>
          <cell r="D19">
            <v>0.8</v>
          </cell>
          <cell r="E19">
            <v>1</v>
          </cell>
          <cell r="F19">
            <v>1</v>
          </cell>
          <cell r="G19">
            <v>1</v>
          </cell>
          <cell r="H19">
            <v>1.5</v>
          </cell>
          <cell r="I19">
            <v>1.6666666666666667</v>
          </cell>
          <cell r="J19">
            <v>1.5</v>
          </cell>
          <cell r="K19">
            <v>0.5</v>
          </cell>
          <cell r="L19">
            <v>0.5</v>
          </cell>
          <cell r="M19">
            <v>1</v>
          </cell>
          <cell r="N19">
            <v>0</v>
          </cell>
          <cell r="O19">
            <v>0</v>
          </cell>
        </row>
        <row r="20">
          <cell r="B20" t="str">
            <v>装备</v>
          </cell>
          <cell r="C20">
            <v>1</v>
          </cell>
          <cell r="D20">
            <v>1.2</v>
          </cell>
          <cell r="E20">
            <v>1.2</v>
          </cell>
          <cell r="F20">
            <v>1</v>
          </cell>
          <cell r="G20">
            <v>1</v>
          </cell>
          <cell r="H20">
            <v>1</v>
          </cell>
          <cell r="I20">
            <v>0</v>
          </cell>
          <cell r="J20">
            <v>1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</row>
        <row r="21">
          <cell r="B21" t="str">
            <v>命格</v>
          </cell>
          <cell r="C21">
            <v>1</v>
          </cell>
          <cell r="D21">
            <v>1</v>
          </cell>
          <cell r="E21">
            <v>1</v>
          </cell>
          <cell r="F21">
            <v>1.2</v>
          </cell>
          <cell r="G21">
            <v>1.2</v>
          </cell>
          <cell r="H21">
            <v>3</v>
          </cell>
          <cell r="I21">
            <v>3.3333333333333335</v>
          </cell>
          <cell r="J21">
            <v>3</v>
          </cell>
          <cell r="K21">
            <v>1.2</v>
          </cell>
          <cell r="L21">
            <v>1.2</v>
          </cell>
          <cell r="M21">
            <v>1</v>
          </cell>
          <cell r="N21">
            <v>1.3333333333333335</v>
          </cell>
          <cell r="O21">
            <v>3</v>
          </cell>
        </row>
        <row r="22">
          <cell r="B22" t="str">
            <v>称号</v>
          </cell>
          <cell r="C22">
            <v>1</v>
          </cell>
          <cell r="D22">
            <v>1</v>
          </cell>
          <cell r="E22">
            <v>1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</row>
        <row r="23">
          <cell r="B23" t="str">
            <v>时装</v>
          </cell>
          <cell r="C23">
            <v>1</v>
          </cell>
          <cell r="D23">
            <v>1</v>
          </cell>
          <cell r="E23">
            <v>1.2</v>
          </cell>
          <cell r="F23">
            <v>0</v>
          </cell>
          <cell r="G23">
            <v>1</v>
          </cell>
          <cell r="H23">
            <v>0</v>
          </cell>
          <cell r="J23">
            <v>0</v>
          </cell>
          <cell r="K23">
            <v>0</v>
          </cell>
          <cell r="L23">
            <v>0</v>
          </cell>
          <cell r="O23">
            <v>0</v>
          </cell>
        </row>
        <row r="24">
          <cell r="B24" t="str">
            <v>祥云</v>
          </cell>
          <cell r="C24">
            <v>1.2</v>
          </cell>
          <cell r="D24">
            <v>0.8</v>
          </cell>
          <cell r="E24">
            <v>0.8</v>
          </cell>
          <cell r="F24">
            <v>0.7</v>
          </cell>
          <cell r="G24">
            <v>0.7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1</v>
          </cell>
        </row>
        <row r="25">
          <cell r="B25" t="str">
            <v>翅膀</v>
          </cell>
          <cell r="C25">
            <v>0.8</v>
          </cell>
          <cell r="D25">
            <v>1.2</v>
          </cell>
          <cell r="E25">
            <v>0.8</v>
          </cell>
          <cell r="F25">
            <v>0.5</v>
          </cell>
          <cell r="G25">
            <v>0</v>
          </cell>
          <cell r="H25">
            <v>0.6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N25">
            <v>1</v>
          </cell>
        </row>
        <row r="26">
          <cell r="B26" t="str">
            <v>躶体</v>
          </cell>
          <cell r="C26">
            <v>1</v>
          </cell>
          <cell r="D26">
            <v>1</v>
          </cell>
          <cell r="E26">
            <v>1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</row>
        <row r="27">
          <cell r="B27" t="str">
            <v>马仔</v>
          </cell>
          <cell r="C27">
            <v>1</v>
          </cell>
          <cell r="D27">
            <v>1.2</v>
          </cell>
          <cell r="E27">
            <v>1.2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</row>
        <row r="29">
          <cell r="B29" t="str">
            <v>积和运算</v>
          </cell>
          <cell r="C29" t="str">
            <v>总属性真实权重</v>
          </cell>
        </row>
        <row r="30">
          <cell r="C30">
            <v>52.900000000000006</v>
          </cell>
          <cell r="D30">
            <v>56.099999999999994</v>
          </cell>
          <cell r="E30">
            <v>57.699999999999996</v>
          </cell>
          <cell r="F30">
            <v>32</v>
          </cell>
          <cell r="G30">
            <v>32</v>
          </cell>
          <cell r="H30">
            <v>54</v>
          </cell>
          <cell r="I30">
            <v>46.666666666666671</v>
          </cell>
          <cell r="J30">
            <v>54</v>
          </cell>
          <cell r="K30">
            <v>16</v>
          </cell>
          <cell r="L30">
            <v>16</v>
          </cell>
          <cell r="M30">
            <v>18</v>
          </cell>
          <cell r="N30">
            <v>13.333333333333336</v>
          </cell>
          <cell r="O30">
            <v>30</v>
          </cell>
        </row>
        <row r="31">
          <cell r="B31" t="str">
            <v>系统名称</v>
          </cell>
          <cell r="C31" t="str">
            <v>生命权重</v>
          </cell>
          <cell r="D31" t="str">
            <v>攻击权重</v>
          </cell>
          <cell r="E31" t="str">
            <v>防御权重</v>
          </cell>
          <cell r="F31" t="str">
            <v>闪避权重</v>
          </cell>
          <cell r="G31" t="str">
            <v>命中权重</v>
          </cell>
          <cell r="H31" t="str">
            <v>暴击率权重</v>
          </cell>
          <cell r="I31" t="str">
            <v>暴击倍数权重</v>
          </cell>
          <cell r="J31" t="str">
            <v>韧性权重</v>
          </cell>
          <cell r="K31" t="str">
            <v>减伤权重</v>
          </cell>
          <cell r="L31" t="str">
            <v>伤害加深权重</v>
          </cell>
          <cell r="M31" t="str">
            <v>生命百分比</v>
          </cell>
          <cell r="N31" t="str">
            <v>攻击百分比</v>
          </cell>
          <cell r="O31" t="str">
            <v>防御百分比</v>
          </cell>
        </row>
        <row r="32">
          <cell r="B32" t="str">
            <v>龙魂</v>
          </cell>
          <cell r="C32">
            <v>0.18147448015122872</v>
          </cell>
          <cell r="D32">
            <v>0.11408199643493763</v>
          </cell>
          <cell r="E32">
            <v>0.13864818024263434</v>
          </cell>
          <cell r="F32">
            <v>0.25</v>
          </cell>
          <cell r="G32">
            <v>0.25</v>
          </cell>
          <cell r="H32">
            <v>0.22222222222222221</v>
          </cell>
          <cell r="I32">
            <v>0.2857142857142857</v>
          </cell>
          <cell r="J32">
            <v>0.22222222222222221</v>
          </cell>
          <cell r="K32">
            <v>0.25</v>
          </cell>
          <cell r="L32">
            <v>0.25</v>
          </cell>
          <cell r="M32">
            <v>0.44444444444444442</v>
          </cell>
          <cell r="N32">
            <v>0</v>
          </cell>
          <cell r="O32">
            <v>0</v>
          </cell>
        </row>
        <row r="33">
          <cell r="B33" t="str">
            <v>装备</v>
          </cell>
          <cell r="C33">
            <v>0.22684310018903589</v>
          </cell>
          <cell r="D33">
            <v>0.25668449197860965</v>
          </cell>
          <cell r="E33">
            <v>0.24956672443674177</v>
          </cell>
          <cell r="F33">
            <v>0.375</v>
          </cell>
          <cell r="G33">
            <v>0.375</v>
          </cell>
          <cell r="H33">
            <v>0.22222222222222221</v>
          </cell>
          <cell r="I33">
            <v>0</v>
          </cell>
          <cell r="J33">
            <v>0.22222222222222221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</row>
        <row r="34">
          <cell r="B34" t="str">
            <v>命格</v>
          </cell>
          <cell r="C34">
            <v>0.18903591682419657</v>
          </cell>
          <cell r="D34">
            <v>0.17825311942959005</v>
          </cell>
          <cell r="E34">
            <v>0.1733102253032929</v>
          </cell>
          <cell r="F34">
            <v>0.375</v>
          </cell>
          <cell r="G34">
            <v>0.375</v>
          </cell>
          <cell r="H34">
            <v>0.55555555555555558</v>
          </cell>
          <cell r="I34">
            <v>0.7142857142857143</v>
          </cell>
          <cell r="J34">
            <v>0.55555555555555558</v>
          </cell>
          <cell r="K34">
            <v>0.75</v>
          </cell>
          <cell r="L34">
            <v>0.75</v>
          </cell>
          <cell r="M34">
            <v>0.55555555555555558</v>
          </cell>
          <cell r="N34">
            <v>1</v>
          </cell>
          <cell r="O34">
            <v>1</v>
          </cell>
        </row>
        <row r="35">
          <cell r="B35" t="str">
            <v>称号</v>
          </cell>
          <cell r="C35">
            <v>5.6710775047258974E-3</v>
          </cell>
          <cell r="D35">
            <v>5.3475935828877011E-3</v>
          </cell>
          <cell r="E35">
            <v>5.1993067590987872E-3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</row>
        <row r="36">
          <cell r="B36" t="str">
            <v>时装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</row>
        <row r="37">
          <cell r="B37" t="str">
            <v>祥云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</row>
        <row r="38">
          <cell r="B38" t="str">
            <v>翅膀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</row>
        <row r="39">
          <cell r="B39" t="str">
            <v>躶体</v>
          </cell>
          <cell r="C39">
            <v>1.8903591682419656E-2</v>
          </cell>
          <cell r="D39">
            <v>1.7825311942959002E-2</v>
          </cell>
          <cell r="E39">
            <v>1.7331022530329292E-2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</row>
        <row r="40">
          <cell r="B40" t="str">
            <v>马仔</v>
          </cell>
          <cell r="C40">
            <v>0.37807183364839314</v>
          </cell>
          <cell r="D40">
            <v>0.42780748663101609</v>
          </cell>
          <cell r="E40">
            <v>0.41594454072790299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</row>
        <row r="42">
          <cell r="B42" t="str">
            <v>系统总属性总占比</v>
          </cell>
        </row>
        <row r="43">
          <cell r="B43">
            <v>1</v>
          </cell>
          <cell r="C43">
            <v>2</v>
          </cell>
          <cell r="D43">
            <v>3</v>
          </cell>
          <cell r="E43">
            <v>4</v>
          </cell>
          <cell r="F43">
            <v>5</v>
          </cell>
          <cell r="G43">
            <v>6</v>
          </cell>
          <cell r="H43">
            <v>7</v>
          </cell>
          <cell r="I43">
            <v>8</v>
          </cell>
          <cell r="J43">
            <v>9</v>
          </cell>
          <cell r="K43">
            <v>10</v>
          </cell>
          <cell r="L43">
            <v>11</v>
          </cell>
          <cell r="M43">
            <v>12</v>
          </cell>
          <cell r="N43">
            <v>13</v>
          </cell>
          <cell r="O43">
            <v>14</v>
          </cell>
        </row>
        <row r="44">
          <cell r="B44" t="str">
            <v>系统名称</v>
          </cell>
          <cell r="C44" t="str">
            <v>生命权重</v>
          </cell>
          <cell r="D44" t="str">
            <v>攻击权重</v>
          </cell>
          <cell r="E44" t="str">
            <v>防御权重</v>
          </cell>
          <cell r="F44" t="str">
            <v>闪避权重</v>
          </cell>
          <cell r="G44" t="str">
            <v>命中权重</v>
          </cell>
          <cell r="H44" t="str">
            <v>暴击率权重</v>
          </cell>
          <cell r="I44" t="str">
            <v>暴击倍数权重</v>
          </cell>
          <cell r="J44" t="str">
            <v>韧性权重</v>
          </cell>
          <cell r="K44" t="str">
            <v>减伤权重</v>
          </cell>
          <cell r="L44" t="str">
            <v>伤害加深权重</v>
          </cell>
          <cell r="M44" t="str">
            <v>生命百分比</v>
          </cell>
          <cell r="N44" t="str">
            <v>攻击百分比</v>
          </cell>
          <cell r="O44" t="str">
            <v>防御百分比</v>
          </cell>
        </row>
        <row r="45">
          <cell r="B45" t="str">
            <v>龙魂</v>
          </cell>
          <cell r="C45">
            <v>0.18147448015122875</v>
          </cell>
          <cell r="D45">
            <v>0.11408199643493763</v>
          </cell>
          <cell r="E45">
            <v>0.13864818024263434</v>
          </cell>
          <cell r="F45">
            <v>0.25</v>
          </cell>
          <cell r="G45">
            <v>0.25</v>
          </cell>
          <cell r="H45">
            <v>0.22222222222222221</v>
          </cell>
          <cell r="I45">
            <v>0.2857142857142857</v>
          </cell>
          <cell r="J45">
            <v>0.22222222222222221</v>
          </cell>
          <cell r="K45">
            <v>0.25</v>
          </cell>
          <cell r="L45">
            <v>0.25</v>
          </cell>
          <cell r="M45">
            <v>0.44444444444444442</v>
          </cell>
          <cell r="N45">
            <v>0</v>
          </cell>
          <cell r="O45">
            <v>0</v>
          </cell>
        </row>
        <row r="46">
          <cell r="B46" t="str">
            <v>装备</v>
          </cell>
          <cell r="C46">
            <v>0.22684310018903592</v>
          </cell>
          <cell r="D46">
            <v>0.25668449197860965</v>
          </cell>
          <cell r="E46">
            <v>0.24956672443674177</v>
          </cell>
          <cell r="F46">
            <v>0.375</v>
          </cell>
          <cell r="G46">
            <v>0.375</v>
          </cell>
          <cell r="H46">
            <v>0.22222222222222221</v>
          </cell>
          <cell r="I46">
            <v>0</v>
          </cell>
          <cell r="J46">
            <v>0.22222222222222221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</row>
        <row r="47">
          <cell r="B47" t="str">
            <v>命格</v>
          </cell>
          <cell r="C47">
            <v>0.1890359168241966</v>
          </cell>
          <cell r="D47">
            <v>0.17825311942959005</v>
          </cell>
          <cell r="E47">
            <v>0.1733102253032929</v>
          </cell>
          <cell r="F47">
            <v>0.375</v>
          </cell>
          <cell r="G47">
            <v>0.375</v>
          </cell>
          <cell r="H47">
            <v>0.55555555555555558</v>
          </cell>
          <cell r="I47">
            <v>0.5</v>
          </cell>
          <cell r="J47">
            <v>0.55555555555555558</v>
          </cell>
          <cell r="K47">
            <v>0.5</v>
          </cell>
          <cell r="L47">
            <v>0.5</v>
          </cell>
          <cell r="M47">
            <v>0.55555555555555558</v>
          </cell>
          <cell r="N47">
            <v>0.4</v>
          </cell>
          <cell r="O47">
            <v>0.6</v>
          </cell>
        </row>
        <row r="48">
          <cell r="B48" t="str">
            <v>称号</v>
          </cell>
          <cell r="C48">
            <v>5.6710775047258983E-3</v>
          </cell>
          <cell r="D48">
            <v>5.3475935828877011E-3</v>
          </cell>
          <cell r="E48">
            <v>5.1993067590987872E-3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</row>
        <row r="49">
          <cell r="B49" t="str">
            <v>时装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</row>
        <row r="50">
          <cell r="B50" t="str">
            <v>祥云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</row>
        <row r="51">
          <cell r="B51" t="str">
            <v>翅膀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</row>
        <row r="52">
          <cell r="B52" t="str">
            <v>躶体</v>
          </cell>
          <cell r="C52">
            <v>1.890359168241966E-2</v>
          </cell>
          <cell r="D52">
            <v>1.7825311942959002E-2</v>
          </cell>
          <cell r="E52">
            <v>1.7331022530329292E-2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</row>
        <row r="53">
          <cell r="B53" t="str">
            <v>马仔</v>
          </cell>
          <cell r="C53">
            <v>0.3780718336483932</v>
          </cell>
          <cell r="D53">
            <v>0.42780748663101609</v>
          </cell>
          <cell r="E53">
            <v>0.41594454072790299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</row>
        <row r="56">
          <cell r="B56">
            <v>1</v>
          </cell>
          <cell r="C56">
            <v>2</v>
          </cell>
          <cell r="D56">
            <v>3</v>
          </cell>
          <cell r="E56">
            <v>4</v>
          </cell>
          <cell r="F56">
            <v>5</v>
          </cell>
          <cell r="G56">
            <v>6</v>
          </cell>
          <cell r="H56">
            <v>7</v>
          </cell>
          <cell r="I56">
            <v>8</v>
          </cell>
          <cell r="J56">
            <v>9</v>
          </cell>
          <cell r="K56">
            <v>10</v>
          </cell>
          <cell r="L56">
            <v>11</v>
          </cell>
          <cell r="M56">
            <v>12</v>
          </cell>
          <cell r="N56">
            <v>13</v>
          </cell>
          <cell r="O56">
            <v>14</v>
          </cell>
        </row>
        <row r="57">
          <cell r="B57" t="str">
            <v>系统名称</v>
          </cell>
          <cell r="C57" t="str">
            <v>生命权重</v>
          </cell>
          <cell r="D57" t="str">
            <v>攻击权重</v>
          </cell>
          <cell r="E57" t="str">
            <v>防御权重</v>
          </cell>
          <cell r="F57" t="str">
            <v>闪避权重</v>
          </cell>
          <cell r="G57" t="str">
            <v>命中权重</v>
          </cell>
          <cell r="H57" t="str">
            <v>暴击率权重</v>
          </cell>
          <cell r="I57" t="str">
            <v>暴击倍数权重</v>
          </cell>
          <cell r="J57" t="str">
            <v>韧性权重</v>
          </cell>
          <cell r="K57" t="str">
            <v>减伤权重</v>
          </cell>
          <cell r="L57" t="str">
            <v>伤害加深权重</v>
          </cell>
          <cell r="M57" t="str">
            <v>生命百分比</v>
          </cell>
          <cell r="N57" t="str">
            <v>攻击百分比</v>
          </cell>
          <cell r="O57" t="str">
            <v>防御百分比</v>
          </cell>
        </row>
        <row r="58">
          <cell r="B58" t="str">
            <v>龙魂</v>
          </cell>
          <cell r="C58">
            <v>0.1658</v>
          </cell>
          <cell r="D58">
            <v>0.1031</v>
          </cell>
          <cell r="E58">
            <v>0.12559999999999999</v>
          </cell>
          <cell r="F58">
            <v>0.20250000000000001</v>
          </cell>
          <cell r="G58">
            <v>0.25</v>
          </cell>
          <cell r="H58">
            <v>0.2034</v>
          </cell>
          <cell r="I58">
            <v>0.2</v>
          </cell>
          <cell r="J58">
            <v>0.2034</v>
          </cell>
          <cell r="K58">
            <v>0.16669999999999999</v>
          </cell>
          <cell r="L58">
            <v>0.16669999999999999</v>
          </cell>
          <cell r="M58">
            <v>0</v>
          </cell>
          <cell r="N58">
            <v>0</v>
          </cell>
          <cell r="O58">
            <v>0</v>
          </cell>
        </row>
        <row r="59">
          <cell r="B59" t="str">
            <v>装备</v>
          </cell>
          <cell r="C59">
            <v>0.20730000000000001</v>
          </cell>
          <cell r="D59">
            <v>0.2319</v>
          </cell>
          <cell r="E59">
            <v>0.2261</v>
          </cell>
          <cell r="F59">
            <v>0.30380000000000001</v>
          </cell>
          <cell r="G59">
            <v>0.375</v>
          </cell>
          <cell r="H59">
            <v>0.2034</v>
          </cell>
          <cell r="I59">
            <v>0</v>
          </cell>
          <cell r="J59">
            <v>0.2034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</row>
        <row r="60">
          <cell r="B60" t="str">
            <v>命格</v>
          </cell>
          <cell r="C60">
            <v>0.17269999999999999</v>
          </cell>
          <cell r="D60">
            <v>0.161</v>
          </cell>
          <cell r="E60">
            <v>0.157</v>
          </cell>
          <cell r="F60">
            <v>0.30380000000000001</v>
          </cell>
          <cell r="G60">
            <v>0.375</v>
          </cell>
          <cell r="H60">
            <v>0.50849999999999995</v>
          </cell>
          <cell r="I60">
            <v>0.5</v>
          </cell>
          <cell r="J60">
            <v>0.50849999999999995</v>
          </cell>
          <cell r="K60">
            <v>0.5</v>
          </cell>
          <cell r="L60">
            <v>0.5</v>
          </cell>
          <cell r="M60">
            <v>0</v>
          </cell>
          <cell r="N60">
            <v>0.4</v>
          </cell>
          <cell r="O60">
            <v>0.6</v>
          </cell>
        </row>
        <row r="61">
          <cell r="B61" t="str">
            <v>称号</v>
          </cell>
          <cell r="C61">
            <v>5.1999999999999998E-3</v>
          </cell>
          <cell r="D61">
            <v>4.7999999999999996E-3</v>
          </cell>
          <cell r="E61">
            <v>4.7000000000000002E-3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</row>
        <row r="62">
          <cell r="B62" t="str">
            <v>时装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</row>
        <row r="63">
          <cell r="B63" t="str">
            <v>祥云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</row>
        <row r="64">
          <cell r="B64" t="str">
            <v>翅膀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</row>
        <row r="65">
          <cell r="B65" t="str">
            <v>躶体</v>
          </cell>
          <cell r="C65">
            <v>1.7299999999999999E-2</v>
          </cell>
          <cell r="D65">
            <v>1.61E-2</v>
          </cell>
          <cell r="E65">
            <v>1.5699999999999999E-2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</row>
        <row r="66">
          <cell r="B66" t="str">
            <v>马仔</v>
          </cell>
          <cell r="C66">
            <v>0.43180000000000002</v>
          </cell>
          <cell r="D66">
            <v>0.48309999999999997</v>
          </cell>
          <cell r="E66">
            <v>0.47099999999999997</v>
          </cell>
          <cell r="F66">
            <v>0.18990000000000001</v>
          </cell>
          <cell r="G66">
            <v>0</v>
          </cell>
          <cell r="H66">
            <v>8.4699999999999998E-2</v>
          </cell>
          <cell r="I66">
            <v>0.3</v>
          </cell>
          <cell r="J66">
            <v>8.4699999999999998E-2</v>
          </cell>
          <cell r="K66">
            <v>0.33329999999999999</v>
          </cell>
          <cell r="L66">
            <v>0.33329999999999999</v>
          </cell>
          <cell r="M66">
            <v>1</v>
          </cell>
          <cell r="N66">
            <v>0.6</v>
          </cell>
          <cell r="O66">
            <v>0.4</v>
          </cell>
        </row>
      </sheetData>
      <sheetData sheetId="8" refreshError="1"/>
      <sheetData sheetId="9">
        <row r="4">
          <cell r="D4" t="str">
            <v>45级紫装</v>
          </cell>
          <cell r="E4" t="str">
            <v>45级橙装</v>
          </cell>
        </row>
        <row r="5">
          <cell r="D5" t="str">
            <v>60级紫装</v>
          </cell>
          <cell r="E5" t="str">
            <v>60级橙装</v>
          </cell>
          <cell r="F5" t="str">
            <v>60级红装</v>
          </cell>
        </row>
        <row r="6">
          <cell r="D6" t="str">
            <v>70级紫装</v>
          </cell>
          <cell r="E6" t="str">
            <v>70级橙装</v>
          </cell>
          <cell r="F6" t="str">
            <v>70级红装</v>
          </cell>
        </row>
        <row r="7">
          <cell r="E7" t="str">
            <v>80级橙装</v>
          </cell>
          <cell r="F7" t="str">
            <v>80级红装</v>
          </cell>
        </row>
        <row r="8">
          <cell r="F8" t="str">
            <v>装备总套数</v>
          </cell>
        </row>
        <row r="10">
          <cell r="B10">
            <v>15</v>
          </cell>
          <cell r="D10" t="str">
            <v>一、</v>
          </cell>
          <cell r="E10" t="str">
            <v>升星</v>
          </cell>
          <cell r="F10">
            <v>5</v>
          </cell>
        </row>
        <row r="11">
          <cell r="B11">
            <v>12</v>
          </cell>
          <cell r="E11" t="str">
            <v>强化</v>
          </cell>
          <cell r="F11">
            <v>12</v>
          </cell>
        </row>
        <row r="12">
          <cell r="B12">
            <v>10</v>
          </cell>
          <cell r="E12" t="str">
            <v>装备</v>
          </cell>
          <cell r="F12">
            <v>1</v>
          </cell>
        </row>
        <row r="13">
          <cell r="B13">
            <v>100</v>
          </cell>
        </row>
        <row r="14">
          <cell r="B14">
            <v>6</v>
          </cell>
        </row>
        <row r="15">
          <cell r="B15" t="str">
            <v>装备</v>
          </cell>
        </row>
        <row r="16">
          <cell r="B16">
            <v>0.1</v>
          </cell>
        </row>
        <row r="18">
          <cell r="C18" t="str">
            <v>装备等级</v>
          </cell>
          <cell r="D18" t="str">
            <v>权重</v>
          </cell>
          <cell r="E18" t="str">
            <v>属性权重</v>
          </cell>
          <cell r="F18" t="str">
            <v>百分比</v>
          </cell>
        </row>
        <row r="19">
          <cell r="C19">
            <v>1</v>
          </cell>
          <cell r="D19">
            <v>0</v>
          </cell>
          <cell r="E19">
            <v>0</v>
          </cell>
          <cell r="F19">
            <v>0</v>
          </cell>
        </row>
        <row r="20">
          <cell r="C20">
            <v>5</v>
          </cell>
          <cell r="D20">
            <v>5</v>
          </cell>
          <cell r="E20">
            <v>0.60000000000000009</v>
          </cell>
          <cell r="F20">
            <v>0.05</v>
          </cell>
        </row>
        <row r="21">
          <cell r="C21">
            <v>15</v>
          </cell>
          <cell r="D21">
            <v>10</v>
          </cell>
          <cell r="E21">
            <v>1.2000000000000002</v>
          </cell>
          <cell r="F21">
            <v>0.1</v>
          </cell>
        </row>
        <row r="22">
          <cell r="C22">
            <v>30</v>
          </cell>
          <cell r="D22">
            <v>20</v>
          </cell>
          <cell r="E22">
            <v>2</v>
          </cell>
          <cell r="F22">
            <v>0.2</v>
          </cell>
        </row>
        <row r="23">
          <cell r="C23">
            <v>45</v>
          </cell>
          <cell r="D23">
            <v>40</v>
          </cell>
          <cell r="E23">
            <v>4</v>
          </cell>
          <cell r="F23">
            <v>0.4</v>
          </cell>
        </row>
        <row r="24">
          <cell r="C24">
            <v>60</v>
          </cell>
          <cell r="D24">
            <v>60</v>
          </cell>
          <cell r="E24">
            <v>6</v>
          </cell>
          <cell r="F24">
            <v>0.6</v>
          </cell>
        </row>
        <row r="25">
          <cell r="C25">
            <v>70</v>
          </cell>
          <cell r="D25">
            <v>80</v>
          </cell>
          <cell r="E25">
            <v>9</v>
          </cell>
          <cell r="F25">
            <v>0.8</v>
          </cell>
        </row>
        <row r="26">
          <cell r="C26">
            <v>80</v>
          </cell>
          <cell r="D26">
            <v>100</v>
          </cell>
          <cell r="E26">
            <v>12</v>
          </cell>
          <cell r="F26">
            <v>1</v>
          </cell>
        </row>
        <row r="27">
          <cell r="C27">
            <v>90</v>
          </cell>
          <cell r="D27">
            <v>100</v>
          </cell>
          <cell r="E27">
            <v>12</v>
          </cell>
          <cell r="F27">
            <v>1</v>
          </cell>
        </row>
        <row r="28">
          <cell r="C28">
            <v>100</v>
          </cell>
          <cell r="D28">
            <v>100</v>
          </cell>
          <cell r="E28">
            <v>12</v>
          </cell>
          <cell r="F28">
            <v>1</v>
          </cell>
        </row>
        <row r="34">
          <cell r="K34">
            <v>0.12</v>
          </cell>
          <cell r="L34">
            <v>0.18000000000000002</v>
          </cell>
          <cell r="M34">
            <v>0.26</v>
          </cell>
          <cell r="N34">
            <v>0.34</v>
          </cell>
          <cell r="O34">
            <v>0.4</v>
          </cell>
        </row>
        <row r="49">
          <cell r="D49" t="str">
            <v>装备总属性推导</v>
          </cell>
        </row>
        <row r="50">
          <cell r="C50" t="str">
            <v>装备属性（含附加属性）</v>
          </cell>
          <cell r="D50" t="str">
            <v>搜索值</v>
          </cell>
          <cell r="E50" t="str">
            <v>装备等级</v>
          </cell>
          <cell r="F50" t="str">
            <v>品质</v>
          </cell>
        </row>
        <row r="51">
          <cell r="D51" t="str">
            <v>50</v>
          </cell>
          <cell r="E51">
            <v>5</v>
          </cell>
          <cell r="F51">
            <v>0</v>
          </cell>
          <cell r="G51">
            <v>0.01</v>
          </cell>
          <cell r="H51">
            <v>391.98159819840561</v>
          </cell>
          <cell r="I51">
            <v>19.90988663101605</v>
          </cell>
          <cell r="J51">
            <v>8.6034634315424618</v>
          </cell>
          <cell r="K51">
            <v>15.625</v>
          </cell>
          <cell r="L51">
            <v>15.625</v>
          </cell>
          <cell r="M51">
            <v>9.2592592592592595</v>
          </cell>
          <cell r="N51">
            <v>0</v>
          </cell>
          <cell r="O51">
            <v>9.2592592592592595</v>
          </cell>
        </row>
        <row r="52">
          <cell r="D52" t="str">
            <v>51</v>
          </cell>
          <cell r="E52">
            <v>5</v>
          </cell>
          <cell r="F52">
            <v>1</v>
          </cell>
          <cell r="G52">
            <v>1.4999999999999999E-2</v>
          </cell>
          <cell r="H52">
            <v>587.97239729760838</v>
          </cell>
          <cell r="I52">
            <v>29.864829946524072</v>
          </cell>
          <cell r="J52">
            <v>12.905195147313693</v>
          </cell>
          <cell r="K52">
            <v>23.4375</v>
          </cell>
          <cell r="L52">
            <v>23.4375</v>
          </cell>
          <cell r="M52">
            <v>13.888888888888888</v>
          </cell>
          <cell r="N52">
            <v>0</v>
          </cell>
          <cell r="O52">
            <v>13.888888888888888</v>
          </cell>
        </row>
        <row r="53">
          <cell r="D53" t="str">
            <v>151</v>
          </cell>
          <cell r="E53">
            <v>15</v>
          </cell>
          <cell r="F53">
            <v>1</v>
          </cell>
          <cell r="G53">
            <v>0.03</v>
          </cell>
          <cell r="H53">
            <v>1175.9447945952168</v>
          </cell>
          <cell r="I53">
            <v>59.729659893048144</v>
          </cell>
          <cell r="J53">
            <v>25.810390294627386</v>
          </cell>
          <cell r="K53">
            <v>46.875</v>
          </cell>
          <cell r="L53">
            <v>46.875</v>
          </cell>
          <cell r="M53">
            <v>27.777777777777775</v>
          </cell>
          <cell r="N53">
            <v>0</v>
          </cell>
          <cell r="O53">
            <v>27.777777777777775</v>
          </cell>
        </row>
        <row r="54">
          <cell r="D54" t="str">
            <v>152</v>
          </cell>
          <cell r="E54">
            <v>15</v>
          </cell>
          <cell r="F54">
            <v>2</v>
          </cell>
          <cell r="G54">
            <v>4.3333333333333335E-2</v>
          </cell>
          <cell r="H54">
            <v>1698.5869255264242</v>
          </cell>
          <cell r="I54">
            <v>86.276175401069551</v>
          </cell>
          <cell r="J54">
            <v>37.281674870017333</v>
          </cell>
          <cell r="K54">
            <v>67.708333333333329</v>
          </cell>
          <cell r="L54">
            <v>67.708333333333329</v>
          </cell>
          <cell r="M54">
            <v>40.123456790123463</v>
          </cell>
          <cell r="N54">
            <v>0</v>
          </cell>
          <cell r="O54">
            <v>40.123456790123463</v>
          </cell>
        </row>
        <row r="55">
          <cell r="D55" t="str">
            <v>153</v>
          </cell>
          <cell r="E55">
            <v>15</v>
          </cell>
          <cell r="F55">
            <v>3</v>
          </cell>
          <cell r="G55">
            <v>5.6666666666666664E-2</v>
          </cell>
          <cell r="H55">
            <v>2221.2290564576315</v>
          </cell>
          <cell r="I55">
            <v>112.82269090909095</v>
          </cell>
          <cell r="J55">
            <v>48.752959445407278</v>
          </cell>
          <cell r="K55">
            <v>88.541666666666671</v>
          </cell>
          <cell r="L55">
            <v>88.541666666666671</v>
          </cell>
          <cell r="M55">
            <v>52.469135802469133</v>
          </cell>
          <cell r="N55">
            <v>0</v>
          </cell>
          <cell r="O55">
            <v>52.469135802469133</v>
          </cell>
        </row>
        <row r="56">
          <cell r="D56" t="str">
            <v>154</v>
          </cell>
          <cell r="E56">
            <v>15</v>
          </cell>
          <cell r="F56">
            <v>4</v>
          </cell>
          <cell r="G56">
            <v>6.6666666666666666E-2</v>
          </cell>
          <cell r="H56">
            <v>2613.2106546560367</v>
          </cell>
          <cell r="I56">
            <v>132.73257754010697</v>
          </cell>
          <cell r="J56">
            <v>57.35642287694975</v>
          </cell>
          <cell r="K56">
            <v>104.16666666666667</v>
          </cell>
          <cell r="L56">
            <v>104.16666666666667</v>
          </cell>
          <cell r="M56">
            <v>61.728395061728399</v>
          </cell>
          <cell r="N56">
            <v>0</v>
          </cell>
          <cell r="O56">
            <v>61.728395061728399</v>
          </cell>
        </row>
        <row r="57">
          <cell r="D57" t="str">
            <v>301</v>
          </cell>
          <cell r="E57">
            <v>30</v>
          </cell>
          <cell r="F57">
            <v>1</v>
          </cell>
          <cell r="G57">
            <v>0.06</v>
          </cell>
          <cell r="H57">
            <v>2351.8895891904335</v>
          </cell>
          <cell r="I57">
            <v>119.45931978609629</v>
          </cell>
          <cell r="J57">
            <v>51.620780589254771</v>
          </cell>
          <cell r="K57">
            <v>93.75</v>
          </cell>
          <cell r="L57">
            <v>93.75</v>
          </cell>
          <cell r="M57">
            <v>55.55555555555555</v>
          </cell>
          <cell r="N57">
            <v>0</v>
          </cell>
          <cell r="O57">
            <v>55.55555555555555</v>
          </cell>
        </row>
        <row r="58">
          <cell r="D58" t="str">
            <v>302</v>
          </cell>
          <cell r="E58">
            <v>30</v>
          </cell>
          <cell r="F58">
            <v>2</v>
          </cell>
          <cell r="G58">
            <v>8.666666666666667E-2</v>
          </cell>
          <cell r="H58">
            <v>3397.1738510528485</v>
          </cell>
          <cell r="I58">
            <v>172.5523508021391</v>
          </cell>
          <cell r="J58">
            <v>74.563349740034667</v>
          </cell>
          <cell r="K58">
            <v>135.41666666666666</v>
          </cell>
          <cell r="L58">
            <v>135.41666666666666</v>
          </cell>
          <cell r="M58">
            <v>80.246913580246925</v>
          </cell>
          <cell r="N58">
            <v>0</v>
          </cell>
          <cell r="O58">
            <v>80.246913580246925</v>
          </cell>
        </row>
        <row r="59">
          <cell r="D59" t="str">
            <v>303</v>
          </cell>
          <cell r="E59">
            <v>30</v>
          </cell>
          <cell r="F59">
            <v>3</v>
          </cell>
          <cell r="G59">
            <v>0.11333333333333333</v>
          </cell>
          <cell r="H59">
            <v>4442.458112915263</v>
          </cell>
          <cell r="I59">
            <v>225.6453818181819</v>
          </cell>
          <cell r="J59">
            <v>97.505918890814556</v>
          </cell>
          <cell r="K59">
            <v>177.08333333333334</v>
          </cell>
          <cell r="L59">
            <v>177.08333333333334</v>
          </cell>
          <cell r="M59">
            <v>104.93827160493827</v>
          </cell>
          <cell r="N59">
            <v>0</v>
          </cell>
          <cell r="O59">
            <v>104.93827160493827</v>
          </cell>
        </row>
        <row r="60">
          <cell r="D60" t="str">
            <v>304</v>
          </cell>
          <cell r="E60">
            <v>30</v>
          </cell>
          <cell r="F60">
            <v>4</v>
          </cell>
          <cell r="G60">
            <v>0.13333333333333333</v>
          </cell>
          <cell r="H60">
            <v>5226.4213093120734</v>
          </cell>
          <cell r="I60">
            <v>265.46515508021395</v>
          </cell>
          <cell r="J60">
            <v>114.7128457538995</v>
          </cell>
          <cell r="K60">
            <v>208.33333333333334</v>
          </cell>
          <cell r="L60">
            <v>208.33333333333334</v>
          </cell>
          <cell r="M60">
            <v>123.4567901234568</v>
          </cell>
          <cell r="N60">
            <v>0</v>
          </cell>
          <cell r="O60">
            <v>123.4567901234568</v>
          </cell>
        </row>
        <row r="61">
          <cell r="D61" t="str">
            <v>451</v>
          </cell>
          <cell r="E61">
            <v>45</v>
          </cell>
          <cell r="F61">
            <v>1</v>
          </cell>
          <cell r="G61">
            <v>0.12</v>
          </cell>
          <cell r="H61">
            <v>4703.7791783808671</v>
          </cell>
          <cell r="I61">
            <v>238.91863957219257</v>
          </cell>
          <cell r="J61">
            <v>103.24156117850954</v>
          </cell>
          <cell r="K61">
            <v>187.5</v>
          </cell>
          <cell r="L61">
            <v>187.5</v>
          </cell>
          <cell r="M61">
            <v>111.1111111111111</v>
          </cell>
          <cell r="N61">
            <v>0</v>
          </cell>
          <cell r="O61">
            <v>111.1111111111111</v>
          </cell>
        </row>
        <row r="62">
          <cell r="D62" t="str">
            <v>452</v>
          </cell>
          <cell r="E62">
            <v>45</v>
          </cell>
          <cell r="F62">
            <v>2</v>
          </cell>
          <cell r="G62">
            <v>0.17333333333333334</v>
          </cell>
          <cell r="H62">
            <v>6794.347702105697</v>
          </cell>
          <cell r="I62">
            <v>345.1047016042782</v>
          </cell>
          <cell r="J62">
            <v>149.12669948006933</v>
          </cell>
          <cell r="K62">
            <v>270.83333333333331</v>
          </cell>
          <cell r="L62">
            <v>270.83333333333331</v>
          </cell>
          <cell r="M62">
            <v>160.49382716049385</v>
          </cell>
          <cell r="N62">
            <v>0</v>
          </cell>
          <cell r="O62">
            <v>160.49382716049385</v>
          </cell>
        </row>
        <row r="63">
          <cell r="D63" t="str">
            <v>453</v>
          </cell>
          <cell r="E63">
            <v>45</v>
          </cell>
          <cell r="F63">
            <v>3</v>
          </cell>
          <cell r="G63">
            <v>0.22666666666666666</v>
          </cell>
          <cell r="H63">
            <v>8884.9162258305259</v>
          </cell>
          <cell r="I63">
            <v>451.29076363636381</v>
          </cell>
          <cell r="J63">
            <v>195.01183778162911</v>
          </cell>
          <cell r="K63">
            <v>354.16666666666669</v>
          </cell>
          <cell r="L63">
            <v>354.16666666666669</v>
          </cell>
          <cell r="M63">
            <v>209.87654320987653</v>
          </cell>
          <cell r="N63">
            <v>0</v>
          </cell>
          <cell r="O63">
            <v>209.87654320987653</v>
          </cell>
        </row>
        <row r="64">
          <cell r="D64" t="str">
            <v>454</v>
          </cell>
          <cell r="E64">
            <v>45</v>
          </cell>
          <cell r="F64">
            <v>4</v>
          </cell>
          <cell r="G64">
            <v>0.26666666666666666</v>
          </cell>
          <cell r="H64">
            <v>10452.842618624147</v>
          </cell>
          <cell r="I64">
            <v>530.93031016042789</v>
          </cell>
          <cell r="J64">
            <v>229.425691507799</v>
          </cell>
          <cell r="K64">
            <v>416.66666666666669</v>
          </cell>
          <cell r="L64">
            <v>416.66666666666669</v>
          </cell>
          <cell r="M64">
            <v>246.9135802469136</v>
          </cell>
          <cell r="N64">
            <v>0</v>
          </cell>
          <cell r="O64">
            <v>246.9135802469136</v>
          </cell>
        </row>
        <row r="65">
          <cell r="D65" t="str">
            <v>601</v>
          </cell>
          <cell r="E65">
            <v>60</v>
          </cell>
          <cell r="F65">
            <v>1</v>
          </cell>
          <cell r="G65">
            <v>0.18</v>
          </cell>
          <cell r="H65">
            <v>7055.6687675713001</v>
          </cell>
          <cell r="I65">
            <v>358.37795935828882</v>
          </cell>
          <cell r="J65">
            <v>154.86234176776432</v>
          </cell>
          <cell r="K65">
            <v>281.25</v>
          </cell>
          <cell r="L65">
            <v>281.25</v>
          </cell>
          <cell r="M65">
            <v>166.66666666666666</v>
          </cell>
          <cell r="N65">
            <v>0</v>
          </cell>
          <cell r="O65">
            <v>166.66666666666666</v>
          </cell>
        </row>
        <row r="66">
          <cell r="D66" t="str">
            <v>602</v>
          </cell>
          <cell r="E66">
            <v>60</v>
          </cell>
          <cell r="F66">
            <v>2</v>
          </cell>
          <cell r="G66">
            <v>0.26</v>
          </cell>
          <cell r="H66">
            <v>10191.521553158544</v>
          </cell>
          <cell r="I66">
            <v>517.65705240641728</v>
          </cell>
          <cell r="J66">
            <v>223.69004922010402</v>
          </cell>
          <cell r="K66">
            <v>406.25</v>
          </cell>
          <cell r="L66">
            <v>406.25</v>
          </cell>
          <cell r="M66">
            <v>240.74074074074076</v>
          </cell>
          <cell r="N66">
            <v>0</v>
          </cell>
          <cell r="O66">
            <v>240.74074074074076</v>
          </cell>
        </row>
        <row r="67">
          <cell r="D67" t="str">
            <v>603</v>
          </cell>
          <cell r="E67">
            <v>60</v>
          </cell>
          <cell r="F67">
            <v>3</v>
          </cell>
          <cell r="G67">
            <v>0.33999999999999997</v>
          </cell>
          <cell r="H67">
            <v>13327.374338745787</v>
          </cell>
          <cell r="I67">
            <v>676.93614545454557</v>
          </cell>
          <cell r="J67">
            <v>292.51775667244368</v>
          </cell>
          <cell r="K67">
            <v>531.24999999999989</v>
          </cell>
          <cell r="L67">
            <v>531.24999999999989</v>
          </cell>
          <cell r="M67">
            <v>314.81481481481478</v>
          </cell>
          <cell r="N67">
            <v>0</v>
          </cell>
          <cell r="O67">
            <v>314.81481481481478</v>
          </cell>
        </row>
        <row r="68">
          <cell r="D68" t="str">
            <v>604</v>
          </cell>
          <cell r="E68">
            <v>60</v>
          </cell>
          <cell r="F68">
            <v>4</v>
          </cell>
          <cell r="G68">
            <v>0.39999999999999997</v>
          </cell>
          <cell r="H68">
            <v>15679.263927936221</v>
          </cell>
          <cell r="I68">
            <v>796.3954652406419</v>
          </cell>
          <cell r="J68">
            <v>344.13853726169845</v>
          </cell>
          <cell r="K68">
            <v>624.99999999999989</v>
          </cell>
          <cell r="L68">
            <v>624.99999999999989</v>
          </cell>
          <cell r="M68">
            <v>370.37037037037038</v>
          </cell>
          <cell r="N68">
            <v>0</v>
          </cell>
          <cell r="O68">
            <v>370.37037037037038</v>
          </cell>
        </row>
        <row r="69">
          <cell r="D69" t="str">
            <v>701</v>
          </cell>
          <cell r="E69">
            <v>70</v>
          </cell>
          <cell r="F69">
            <v>1</v>
          </cell>
          <cell r="G69">
            <v>0.24</v>
          </cell>
          <cell r="H69">
            <v>9407.5583567617341</v>
          </cell>
          <cell r="I69">
            <v>477.83727914438515</v>
          </cell>
          <cell r="J69">
            <v>206.48312235701908</v>
          </cell>
          <cell r="K69">
            <v>375</v>
          </cell>
          <cell r="L69">
            <v>375</v>
          </cell>
          <cell r="M69">
            <v>222.2222222222222</v>
          </cell>
          <cell r="N69">
            <v>0</v>
          </cell>
          <cell r="O69">
            <v>222.2222222222222</v>
          </cell>
        </row>
        <row r="70">
          <cell r="D70" t="str">
            <v>702</v>
          </cell>
          <cell r="E70">
            <v>70</v>
          </cell>
          <cell r="F70">
            <v>2</v>
          </cell>
          <cell r="G70">
            <v>0.34666666666666668</v>
          </cell>
          <cell r="H70">
            <v>13588.695404211394</v>
          </cell>
          <cell r="I70">
            <v>690.20940320855641</v>
          </cell>
          <cell r="J70">
            <v>298.25339896013867</v>
          </cell>
          <cell r="K70">
            <v>541.66666666666663</v>
          </cell>
          <cell r="L70">
            <v>541.66666666666663</v>
          </cell>
          <cell r="M70">
            <v>320.9876543209877</v>
          </cell>
          <cell r="N70">
            <v>0</v>
          </cell>
          <cell r="O70">
            <v>320.9876543209877</v>
          </cell>
        </row>
        <row r="71">
          <cell r="D71" t="str">
            <v>703</v>
          </cell>
          <cell r="E71">
            <v>70</v>
          </cell>
          <cell r="F71">
            <v>3</v>
          </cell>
          <cell r="G71">
            <v>0.45333333333333331</v>
          </cell>
          <cell r="H71">
            <v>17769.832451661052</v>
          </cell>
          <cell r="I71">
            <v>902.58152727272761</v>
          </cell>
          <cell r="J71">
            <v>390.02367556325822</v>
          </cell>
          <cell r="K71">
            <v>708.33333333333337</v>
          </cell>
          <cell r="L71">
            <v>708.33333333333337</v>
          </cell>
          <cell r="M71">
            <v>419.75308641975306</v>
          </cell>
          <cell r="N71">
            <v>0</v>
          </cell>
          <cell r="O71">
            <v>419.75308641975306</v>
          </cell>
        </row>
        <row r="72">
          <cell r="D72" t="str">
            <v>704</v>
          </cell>
          <cell r="E72">
            <v>70</v>
          </cell>
          <cell r="F72">
            <v>4</v>
          </cell>
          <cell r="G72">
            <v>0.53333333333333333</v>
          </cell>
          <cell r="H72">
            <v>20905.685237248294</v>
          </cell>
          <cell r="I72">
            <v>1061.8606203208558</v>
          </cell>
          <cell r="J72">
            <v>458.851383015598</v>
          </cell>
          <cell r="K72">
            <v>833.33333333333337</v>
          </cell>
          <cell r="L72">
            <v>833.33333333333337</v>
          </cell>
          <cell r="M72">
            <v>493.82716049382719</v>
          </cell>
          <cell r="N72">
            <v>0</v>
          </cell>
          <cell r="O72">
            <v>493.82716049382719</v>
          </cell>
        </row>
        <row r="73">
          <cell r="D73" t="str">
            <v>801</v>
          </cell>
          <cell r="E73">
            <v>80</v>
          </cell>
          <cell r="F73">
            <v>1</v>
          </cell>
          <cell r="G73">
            <v>0.3</v>
          </cell>
          <cell r="H73">
            <v>11759.447945952166</v>
          </cell>
          <cell r="I73">
            <v>597.29659893048142</v>
          </cell>
          <cell r="J73">
            <v>258.10390294627388</v>
          </cell>
          <cell r="K73">
            <v>468.75</v>
          </cell>
          <cell r="L73">
            <v>468.75</v>
          </cell>
          <cell r="M73">
            <v>277.77777777777777</v>
          </cell>
          <cell r="N73">
            <v>0</v>
          </cell>
          <cell r="O73">
            <v>277.77777777777777</v>
          </cell>
        </row>
        <row r="74">
          <cell r="D74" t="str">
            <v>802</v>
          </cell>
          <cell r="E74">
            <v>80</v>
          </cell>
          <cell r="F74">
            <v>2</v>
          </cell>
          <cell r="G74">
            <v>0.43333333333333335</v>
          </cell>
          <cell r="H74">
            <v>16985.869255264242</v>
          </cell>
          <cell r="I74">
            <v>862.76175401069543</v>
          </cell>
          <cell r="J74">
            <v>372.81674870017338</v>
          </cell>
          <cell r="K74">
            <v>677.08333333333337</v>
          </cell>
          <cell r="L74">
            <v>677.08333333333337</v>
          </cell>
          <cell r="M74">
            <v>401.23456790123458</v>
          </cell>
          <cell r="N74">
            <v>0</v>
          </cell>
          <cell r="O74">
            <v>401.23456790123458</v>
          </cell>
        </row>
        <row r="75">
          <cell r="D75" t="str">
            <v>803</v>
          </cell>
          <cell r="E75">
            <v>80</v>
          </cell>
          <cell r="F75">
            <v>3</v>
          </cell>
          <cell r="G75">
            <v>0.56666666666666665</v>
          </cell>
          <cell r="H75">
            <v>22212.290564576313</v>
          </cell>
          <cell r="I75">
            <v>1128.2269090909094</v>
          </cell>
          <cell r="J75">
            <v>487.52959445407282</v>
          </cell>
          <cell r="K75">
            <v>885.41666666666663</v>
          </cell>
          <cell r="L75">
            <v>885.41666666666663</v>
          </cell>
          <cell r="M75">
            <v>524.69135802469134</v>
          </cell>
          <cell r="N75">
            <v>0</v>
          </cell>
          <cell r="O75">
            <v>524.69135802469134</v>
          </cell>
        </row>
        <row r="76">
          <cell r="D76" t="str">
            <v>804</v>
          </cell>
          <cell r="E76">
            <v>80</v>
          </cell>
          <cell r="F76">
            <v>4</v>
          </cell>
          <cell r="G76">
            <v>0.66666666666666663</v>
          </cell>
          <cell r="H76">
            <v>26132.106546560371</v>
          </cell>
          <cell r="I76">
            <v>1327.3257754010699</v>
          </cell>
          <cell r="J76">
            <v>573.56422876949739</v>
          </cell>
          <cell r="K76">
            <v>1041.6666666666667</v>
          </cell>
          <cell r="L76">
            <v>1041.6666666666667</v>
          </cell>
          <cell r="M76">
            <v>617.28395061728395</v>
          </cell>
          <cell r="N76">
            <v>0</v>
          </cell>
          <cell r="O76">
            <v>617.28395061728395</v>
          </cell>
        </row>
        <row r="79">
          <cell r="C79" t="str">
            <v>装备强化每级属性</v>
          </cell>
          <cell r="D79" t="str">
            <v>搜索值</v>
          </cell>
          <cell r="E79" t="str">
            <v>装备等级</v>
          </cell>
          <cell r="F79" t="str">
            <v>品质</v>
          </cell>
          <cell r="G79" t="str">
            <v>属性</v>
          </cell>
        </row>
        <row r="80">
          <cell r="D80" t="str">
            <v>50</v>
          </cell>
          <cell r="E80">
            <v>5</v>
          </cell>
          <cell r="F80">
            <v>0</v>
          </cell>
          <cell r="G80">
            <v>0.12</v>
          </cell>
          <cell r="H80">
            <v>58.79723972976084</v>
          </cell>
          <cell r="I80">
            <v>2.9864829946524072</v>
          </cell>
          <cell r="J80">
            <v>1.2905195147313693</v>
          </cell>
          <cell r="K80">
            <v>2.34375</v>
          </cell>
          <cell r="L80">
            <v>2.34375</v>
          </cell>
          <cell r="M80">
            <v>1.3888888888888888</v>
          </cell>
          <cell r="N80">
            <v>0</v>
          </cell>
          <cell r="O80">
            <v>1.3888888888888888</v>
          </cell>
        </row>
        <row r="81">
          <cell r="D81" t="str">
            <v>51</v>
          </cell>
          <cell r="E81">
            <v>5</v>
          </cell>
          <cell r="F81">
            <v>1</v>
          </cell>
          <cell r="G81">
            <v>0.18000000000000002</v>
          </cell>
          <cell r="H81">
            <v>88.195859594641263</v>
          </cell>
          <cell r="I81">
            <v>4.4797244919786117</v>
          </cell>
          <cell r="J81">
            <v>1.9357792720970539</v>
          </cell>
          <cell r="K81">
            <v>3.5156250000000009</v>
          </cell>
          <cell r="L81">
            <v>3.5156250000000009</v>
          </cell>
          <cell r="M81">
            <v>2.0833333333333335</v>
          </cell>
          <cell r="N81">
            <v>0</v>
          </cell>
          <cell r="O81">
            <v>2.0833333333333335</v>
          </cell>
        </row>
        <row r="82">
          <cell r="D82" t="str">
            <v>151</v>
          </cell>
          <cell r="E82">
            <v>15</v>
          </cell>
          <cell r="F82">
            <v>1</v>
          </cell>
          <cell r="G82">
            <v>0.36000000000000004</v>
          </cell>
          <cell r="H82">
            <v>176.39171918928253</v>
          </cell>
          <cell r="I82">
            <v>8.9594489839572233</v>
          </cell>
          <cell r="J82">
            <v>3.8715585441941078</v>
          </cell>
          <cell r="K82">
            <v>7.0312500000000018</v>
          </cell>
          <cell r="L82">
            <v>7.0312500000000018</v>
          </cell>
          <cell r="M82">
            <v>4.166666666666667</v>
          </cell>
          <cell r="N82">
            <v>0</v>
          </cell>
          <cell r="O82">
            <v>4.166666666666667</v>
          </cell>
        </row>
        <row r="83">
          <cell r="D83" t="str">
            <v>152</v>
          </cell>
          <cell r="E83">
            <v>15</v>
          </cell>
          <cell r="F83">
            <v>2</v>
          </cell>
          <cell r="G83">
            <v>0.52</v>
          </cell>
          <cell r="H83">
            <v>254.78803882896358</v>
          </cell>
          <cell r="I83">
            <v>12.941426310160432</v>
          </cell>
          <cell r="J83">
            <v>5.5922512305026002</v>
          </cell>
          <cell r="K83">
            <v>10.15625</v>
          </cell>
          <cell r="L83">
            <v>10.15625</v>
          </cell>
          <cell r="M83">
            <v>6.018518518518519</v>
          </cell>
          <cell r="N83">
            <v>0</v>
          </cell>
          <cell r="O83">
            <v>6.018518518518519</v>
          </cell>
        </row>
        <row r="84">
          <cell r="D84" t="str">
            <v>153</v>
          </cell>
          <cell r="E84">
            <v>15</v>
          </cell>
          <cell r="F84">
            <v>3</v>
          </cell>
          <cell r="G84">
            <v>0.68</v>
          </cell>
          <cell r="H84">
            <v>333.18435846864475</v>
          </cell>
          <cell r="I84">
            <v>16.923403636363641</v>
          </cell>
          <cell r="J84">
            <v>7.3129439168110935</v>
          </cell>
          <cell r="K84">
            <v>13.281250000000004</v>
          </cell>
          <cell r="L84">
            <v>13.281250000000004</v>
          </cell>
          <cell r="M84">
            <v>7.8703703703703711</v>
          </cell>
          <cell r="N84">
            <v>0</v>
          </cell>
          <cell r="O84">
            <v>7.8703703703703711</v>
          </cell>
        </row>
        <row r="85">
          <cell r="D85" t="str">
            <v>154</v>
          </cell>
          <cell r="E85">
            <v>15</v>
          </cell>
          <cell r="F85">
            <v>4</v>
          </cell>
          <cell r="G85">
            <v>0.8</v>
          </cell>
          <cell r="H85">
            <v>391.98159819840561</v>
          </cell>
          <cell r="I85">
            <v>19.90988663101605</v>
          </cell>
          <cell r="J85">
            <v>8.6034634315424618</v>
          </cell>
          <cell r="K85">
            <v>15.625</v>
          </cell>
          <cell r="L85">
            <v>15.625</v>
          </cell>
          <cell r="M85">
            <v>9.2592592592592595</v>
          </cell>
          <cell r="N85">
            <v>0</v>
          </cell>
          <cell r="O85">
            <v>9.2592592592592595</v>
          </cell>
        </row>
        <row r="86">
          <cell r="D86" t="str">
            <v>301</v>
          </cell>
          <cell r="E86">
            <v>30</v>
          </cell>
          <cell r="F86">
            <v>1</v>
          </cell>
          <cell r="G86">
            <v>0.72000000000000008</v>
          </cell>
          <cell r="H86">
            <v>352.78343837856505</v>
          </cell>
          <cell r="I86">
            <v>17.918897967914447</v>
          </cell>
          <cell r="J86">
            <v>7.7431170883882157</v>
          </cell>
          <cell r="K86">
            <v>14.062500000000004</v>
          </cell>
          <cell r="L86">
            <v>14.062500000000004</v>
          </cell>
          <cell r="M86">
            <v>8.3333333333333339</v>
          </cell>
          <cell r="N86">
            <v>0</v>
          </cell>
          <cell r="O86">
            <v>8.3333333333333339</v>
          </cell>
        </row>
        <row r="87">
          <cell r="D87" t="str">
            <v>302</v>
          </cell>
          <cell r="E87">
            <v>30</v>
          </cell>
          <cell r="F87">
            <v>2</v>
          </cell>
          <cell r="G87">
            <v>1.04</v>
          </cell>
          <cell r="H87">
            <v>509.57607765792716</v>
          </cell>
          <cell r="I87">
            <v>25.882852620320865</v>
          </cell>
          <cell r="J87">
            <v>11.1845024610052</v>
          </cell>
          <cell r="K87">
            <v>20.3125</v>
          </cell>
          <cell r="L87">
            <v>20.3125</v>
          </cell>
          <cell r="M87">
            <v>12.037037037037038</v>
          </cell>
          <cell r="N87">
            <v>0</v>
          </cell>
          <cell r="O87">
            <v>12.037037037037038</v>
          </cell>
        </row>
        <row r="88">
          <cell r="D88" t="str">
            <v>303</v>
          </cell>
          <cell r="E88">
            <v>30</v>
          </cell>
          <cell r="F88">
            <v>3</v>
          </cell>
          <cell r="G88">
            <v>1.36</v>
          </cell>
          <cell r="H88">
            <v>666.36871693728949</v>
          </cell>
          <cell r="I88">
            <v>33.846807272727283</v>
          </cell>
          <cell r="J88">
            <v>14.625887833622187</v>
          </cell>
          <cell r="K88">
            <v>26.562500000000007</v>
          </cell>
          <cell r="L88">
            <v>26.562500000000007</v>
          </cell>
          <cell r="M88">
            <v>15.740740740740742</v>
          </cell>
          <cell r="N88">
            <v>0</v>
          </cell>
          <cell r="O88">
            <v>15.740740740740742</v>
          </cell>
        </row>
        <row r="89">
          <cell r="D89" t="str">
            <v>304</v>
          </cell>
          <cell r="E89">
            <v>30</v>
          </cell>
          <cell r="F89">
            <v>4</v>
          </cell>
          <cell r="G89">
            <v>1.6</v>
          </cell>
          <cell r="H89">
            <v>783.96319639681121</v>
          </cell>
          <cell r="I89">
            <v>39.819773262032101</v>
          </cell>
          <cell r="J89">
            <v>17.206926863084924</v>
          </cell>
          <cell r="K89">
            <v>31.25</v>
          </cell>
          <cell r="L89">
            <v>31.25</v>
          </cell>
          <cell r="M89">
            <v>18.518518518518519</v>
          </cell>
          <cell r="N89">
            <v>0</v>
          </cell>
          <cell r="O89">
            <v>18.518518518518519</v>
          </cell>
        </row>
        <row r="90">
          <cell r="D90" t="str">
            <v>451</v>
          </cell>
          <cell r="E90">
            <v>45</v>
          </cell>
          <cell r="F90">
            <v>1</v>
          </cell>
          <cell r="G90">
            <v>1.4400000000000002</v>
          </cell>
          <cell r="H90">
            <v>705.5668767571301</v>
          </cell>
          <cell r="I90">
            <v>35.837795935828893</v>
          </cell>
          <cell r="J90">
            <v>15.486234176776431</v>
          </cell>
          <cell r="K90">
            <v>28.125000000000007</v>
          </cell>
          <cell r="L90">
            <v>28.125000000000007</v>
          </cell>
          <cell r="M90">
            <v>16.666666666666668</v>
          </cell>
          <cell r="N90">
            <v>0</v>
          </cell>
          <cell r="O90">
            <v>16.666666666666668</v>
          </cell>
        </row>
        <row r="91">
          <cell r="D91" t="str">
            <v>452</v>
          </cell>
          <cell r="E91">
            <v>45</v>
          </cell>
          <cell r="F91">
            <v>2</v>
          </cell>
          <cell r="G91">
            <v>2.08</v>
          </cell>
          <cell r="H91">
            <v>1019.1521553158543</v>
          </cell>
          <cell r="I91">
            <v>51.765705240641729</v>
          </cell>
          <cell r="J91">
            <v>22.369004922010401</v>
          </cell>
          <cell r="K91">
            <v>40.625</v>
          </cell>
          <cell r="L91">
            <v>40.625</v>
          </cell>
          <cell r="M91">
            <v>24.074074074074076</v>
          </cell>
          <cell r="N91">
            <v>0</v>
          </cell>
          <cell r="O91">
            <v>24.074074074074076</v>
          </cell>
        </row>
        <row r="92">
          <cell r="D92" t="str">
            <v>453</v>
          </cell>
          <cell r="E92">
            <v>45</v>
          </cell>
          <cell r="F92">
            <v>3</v>
          </cell>
          <cell r="G92">
            <v>2.72</v>
          </cell>
          <cell r="H92">
            <v>1332.737433874579</v>
          </cell>
          <cell r="I92">
            <v>67.693614545454565</v>
          </cell>
          <cell r="J92">
            <v>29.251775667244374</v>
          </cell>
          <cell r="K92">
            <v>53.125000000000014</v>
          </cell>
          <cell r="L92">
            <v>53.125000000000014</v>
          </cell>
          <cell r="M92">
            <v>31.481481481481485</v>
          </cell>
          <cell r="N92">
            <v>0</v>
          </cell>
          <cell r="O92">
            <v>31.481481481481485</v>
          </cell>
        </row>
        <row r="93">
          <cell r="D93" t="str">
            <v>454</v>
          </cell>
          <cell r="E93">
            <v>45</v>
          </cell>
          <cell r="F93">
            <v>4</v>
          </cell>
          <cell r="G93">
            <v>3.2</v>
          </cell>
          <cell r="H93">
            <v>1567.9263927936224</v>
          </cell>
          <cell r="I93">
            <v>79.639546524064201</v>
          </cell>
          <cell r="J93">
            <v>34.413853726169847</v>
          </cell>
          <cell r="K93">
            <v>62.5</v>
          </cell>
          <cell r="L93">
            <v>62.5</v>
          </cell>
          <cell r="M93">
            <v>37.037037037037038</v>
          </cell>
          <cell r="N93">
            <v>0</v>
          </cell>
          <cell r="O93">
            <v>37.037037037037038</v>
          </cell>
        </row>
        <row r="94">
          <cell r="D94" t="str">
            <v>601</v>
          </cell>
          <cell r="E94">
            <v>60</v>
          </cell>
          <cell r="F94">
            <v>1</v>
          </cell>
          <cell r="G94">
            <v>2.16</v>
          </cell>
          <cell r="H94">
            <v>1058.3503151356949</v>
          </cell>
          <cell r="I94">
            <v>53.75669390374334</v>
          </cell>
          <cell r="J94">
            <v>23.229351265164645</v>
          </cell>
          <cell r="K94">
            <v>42.1875</v>
          </cell>
          <cell r="L94">
            <v>42.1875</v>
          </cell>
          <cell r="M94">
            <v>25.000000000000004</v>
          </cell>
          <cell r="N94">
            <v>0</v>
          </cell>
          <cell r="O94">
            <v>25.000000000000004</v>
          </cell>
        </row>
        <row r="95">
          <cell r="D95" t="str">
            <v>602</v>
          </cell>
          <cell r="E95">
            <v>60</v>
          </cell>
          <cell r="F95">
            <v>2</v>
          </cell>
          <cell r="G95">
            <v>3.12</v>
          </cell>
          <cell r="H95">
            <v>1528.7282329737818</v>
          </cell>
          <cell r="I95">
            <v>77.648557860962597</v>
          </cell>
          <cell r="J95">
            <v>33.553507383015599</v>
          </cell>
          <cell r="K95">
            <v>60.9375</v>
          </cell>
          <cell r="L95">
            <v>60.9375</v>
          </cell>
          <cell r="M95">
            <v>36.111111111111114</v>
          </cell>
          <cell r="N95">
            <v>0</v>
          </cell>
          <cell r="O95">
            <v>36.111111111111114</v>
          </cell>
        </row>
        <row r="96">
          <cell r="D96" t="str">
            <v>603</v>
          </cell>
          <cell r="E96">
            <v>60</v>
          </cell>
          <cell r="F96">
            <v>3</v>
          </cell>
          <cell r="G96">
            <v>4.08</v>
          </cell>
          <cell r="H96">
            <v>1999.1061508118685</v>
          </cell>
          <cell r="I96">
            <v>101.54042181818185</v>
          </cell>
          <cell r="J96">
            <v>43.877663500866561</v>
          </cell>
          <cell r="K96">
            <v>79.6875</v>
          </cell>
          <cell r="L96">
            <v>79.6875</v>
          </cell>
          <cell r="M96">
            <v>47.222222222222221</v>
          </cell>
          <cell r="N96">
            <v>0</v>
          </cell>
          <cell r="O96">
            <v>47.222222222222221</v>
          </cell>
        </row>
        <row r="97">
          <cell r="D97" t="str">
            <v>604</v>
          </cell>
          <cell r="E97">
            <v>60</v>
          </cell>
          <cell r="F97">
            <v>4</v>
          </cell>
          <cell r="G97">
            <v>4.8</v>
          </cell>
          <cell r="H97">
            <v>2351.8895891904331</v>
          </cell>
          <cell r="I97">
            <v>119.45931978609629</v>
          </cell>
          <cell r="J97">
            <v>51.620780589254778</v>
          </cell>
          <cell r="K97">
            <v>93.75</v>
          </cell>
          <cell r="L97">
            <v>93.75</v>
          </cell>
          <cell r="M97">
            <v>55.555555555555557</v>
          </cell>
          <cell r="N97">
            <v>0</v>
          </cell>
          <cell r="O97">
            <v>55.555555555555557</v>
          </cell>
        </row>
        <row r="98">
          <cell r="D98" t="str">
            <v>701</v>
          </cell>
          <cell r="E98">
            <v>70</v>
          </cell>
          <cell r="F98">
            <v>1</v>
          </cell>
          <cell r="G98">
            <v>2.8800000000000003</v>
          </cell>
          <cell r="H98">
            <v>1411.1337535142602</v>
          </cell>
          <cell r="I98">
            <v>71.675591871657787</v>
          </cell>
          <cell r="J98">
            <v>30.972468353552863</v>
          </cell>
          <cell r="K98">
            <v>56.250000000000014</v>
          </cell>
          <cell r="L98">
            <v>56.250000000000014</v>
          </cell>
          <cell r="M98">
            <v>33.333333333333336</v>
          </cell>
          <cell r="N98">
            <v>0</v>
          </cell>
          <cell r="O98">
            <v>33.333333333333336</v>
          </cell>
        </row>
        <row r="99">
          <cell r="D99" t="str">
            <v>702</v>
          </cell>
          <cell r="E99">
            <v>70</v>
          </cell>
          <cell r="F99">
            <v>2</v>
          </cell>
          <cell r="G99">
            <v>4.16</v>
          </cell>
          <cell r="H99">
            <v>2038.3043106317086</v>
          </cell>
          <cell r="I99">
            <v>103.53141048128346</v>
          </cell>
          <cell r="J99">
            <v>44.738009844020802</v>
          </cell>
          <cell r="K99">
            <v>81.25</v>
          </cell>
          <cell r="L99">
            <v>81.25</v>
          </cell>
          <cell r="M99">
            <v>48.148148148148152</v>
          </cell>
          <cell r="N99">
            <v>0</v>
          </cell>
          <cell r="O99">
            <v>48.148148148148152</v>
          </cell>
        </row>
        <row r="100">
          <cell r="D100" t="str">
            <v>703</v>
          </cell>
          <cell r="E100">
            <v>70</v>
          </cell>
          <cell r="F100">
            <v>3</v>
          </cell>
          <cell r="G100">
            <v>5.44</v>
          </cell>
          <cell r="H100">
            <v>2665.474867749158</v>
          </cell>
          <cell r="I100">
            <v>135.38722909090913</v>
          </cell>
          <cell r="J100">
            <v>58.503551334488748</v>
          </cell>
          <cell r="K100">
            <v>106.25000000000003</v>
          </cell>
          <cell r="L100">
            <v>106.25000000000003</v>
          </cell>
          <cell r="M100">
            <v>62.962962962962969</v>
          </cell>
          <cell r="N100">
            <v>0</v>
          </cell>
          <cell r="O100">
            <v>62.962962962962969</v>
          </cell>
        </row>
        <row r="101">
          <cell r="D101" t="str">
            <v>704</v>
          </cell>
          <cell r="E101">
            <v>70</v>
          </cell>
          <cell r="F101">
            <v>4</v>
          </cell>
          <cell r="G101">
            <v>6.4</v>
          </cell>
          <cell r="H101">
            <v>3135.8527855872449</v>
          </cell>
          <cell r="I101">
            <v>159.2790930481284</v>
          </cell>
          <cell r="J101">
            <v>68.827707452339695</v>
          </cell>
          <cell r="K101">
            <v>125</v>
          </cell>
          <cell r="L101">
            <v>125</v>
          </cell>
          <cell r="M101">
            <v>74.074074074074076</v>
          </cell>
          <cell r="N101">
            <v>0</v>
          </cell>
          <cell r="O101">
            <v>74.074074074074076</v>
          </cell>
        </row>
        <row r="102">
          <cell r="D102" t="str">
            <v>801</v>
          </cell>
          <cell r="E102">
            <v>80</v>
          </cell>
          <cell r="F102">
            <v>1</v>
          </cell>
          <cell r="G102">
            <v>3.6</v>
          </cell>
          <cell r="H102">
            <v>1763.9171918928248</v>
          </cell>
          <cell r="I102">
            <v>89.594489839572219</v>
          </cell>
          <cell r="J102">
            <v>38.715585441941087</v>
          </cell>
          <cell r="K102">
            <v>70.3125</v>
          </cell>
          <cell r="L102">
            <v>70.3125</v>
          </cell>
          <cell r="M102">
            <v>41.666666666666671</v>
          </cell>
          <cell r="N102">
            <v>0</v>
          </cell>
          <cell r="O102">
            <v>41.666666666666671</v>
          </cell>
        </row>
        <row r="103">
          <cell r="D103" t="str">
            <v>802</v>
          </cell>
          <cell r="E103">
            <v>80</v>
          </cell>
          <cell r="F103">
            <v>2</v>
          </cell>
          <cell r="G103">
            <v>5.2</v>
          </cell>
          <cell r="H103">
            <v>2547.8803882896364</v>
          </cell>
          <cell r="I103">
            <v>129.41426310160432</v>
          </cell>
          <cell r="J103">
            <v>55.922512305026011</v>
          </cell>
          <cell r="K103">
            <v>101.5625</v>
          </cell>
          <cell r="L103">
            <v>101.5625</v>
          </cell>
          <cell r="M103">
            <v>60.185185185185183</v>
          </cell>
          <cell r="N103">
            <v>0</v>
          </cell>
          <cell r="O103">
            <v>60.185185185185183</v>
          </cell>
        </row>
      </sheetData>
      <sheetData sheetId="10" refreshError="1"/>
      <sheetData sheetId="11">
        <row r="1">
          <cell r="B1">
            <v>19</v>
          </cell>
        </row>
        <row r="7">
          <cell r="N7">
            <v>8.8888888888888882E-4</v>
          </cell>
          <cell r="O7">
            <v>1.7777777777777776E-3</v>
          </cell>
        </row>
        <row r="9">
          <cell r="B9" t="str">
            <v>马仔</v>
          </cell>
        </row>
        <row r="21">
          <cell r="N21">
            <v>6.6666666666666662E-3</v>
          </cell>
          <cell r="O21">
            <v>6.6666666666666662E-3</v>
          </cell>
        </row>
        <row r="23">
          <cell r="B23" t="str">
            <v>马仔品阶</v>
          </cell>
          <cell r="C23" t="str">
            <v>品阶权重</v>
          </cell>
        </row>
        <row r="24">
          <cell r="B24">
            <v>1</v>
          </cell>
          <cell r="C24">
            <v>1</v>
          </cell>
          <cell r="I24">
            <v>1.111111111111111E-2</v>
          </cell>
          <cell r="J24">
            <v>0.66666666666666663</v>
          </cell>
        </row>
        <row r="25">
          <cell r="B25">
            <v>2</v>
          </cell>
          <cell r="C25">
            <v>2</v>
          </cell>
          <cell r="I25">
            <v>2.222222222222222E-2</v>
          </cell>
          <cell r="J25">
            <v>0.66666666666666663</v>
          </cell>
        </row>
        <row r="26">
          <cell r="B26">
            <v>3</v>
          </cell>
          <cell r="C26">
            <v>4</v>
          </cell>
          <cell r="I26">
            <v>4.4444444444444439E-2</v>
          </cell>
          <cell r="J26">
            <v>0.66666666666666663</v>
          </cell>
        </row>
        <row r="27">
          <cell r="B27">
            <v>4</v>
          </cell>
          <cell r="C27">
            <v>6</v>
          </cell>
          <cell r="I27">
            <v>6.6666666666666666E-2</v>
          </cell>
          <cell r="J27">
            <v>0.66666666666666663</v>
          </cell>
        </row>
        <row r="31">
          <cell r="N31">
            <v>5.5555555555555559E-2</v>
          </cell>
          <cell r="O31">
            <v>0.11111111111111112</v>
          </cell>
        </row>
        <row r="50">
          <cell r="N50">
            <v>0</v>
          </cell>
        </row>
      </sheetData>
      <sheetData sheetId="12">
        <row r="1">
          <cell r="B1">
            <v>0.3</v>
          </cell>
        </row>
        <row r="4">
          <cell r="D4">
            <v>0</v>
          </cell>
          <cell r="E4">
            <v>0</v>
          </cell>
          <cell r="F4">
            <v>0</v>
          </cell>
        </row>
        <row r="5">
          <cell r="D5">
            <v>1</v>
          </cell>
          <cell r="E5">
            <v>0.19380669946781492</v>
          </cell>
          <cell r="F5">
            <v>5.8142009840344476E-2</v>
          </cell>
        </row>
        <row r="6">
          <cell r="D6">
            <v>2</v>
          </cell>
          <cell r="E6">
            <v>0.2325680393613779</v>
          </cell>
          <cell r="F6">
            <v>6.9770411808413368E-2</v>
          </cell>
        </row>
        <row r="7">
          <cell r="D7">
            <v>3</v>
          </cell>
          <cell r="E7">
            <v>0.27908164723365347</v>
          </cell>
          <cell r="F7">
            <v>8.3724494170096045E-2</v>
          </cell>
        </row>
        <row r="8">
          <cell r="D8">
            <v>4</v>
          </cell>
          <cell r="E8">
            <v>0.33489797668038418</v>
          </cell>
          <cell r="F8">
            <v>0.10046939300411525</v>
          </cell>
        </row>
        <row r="9">
          <cell r="D9">
            <v>5</v>
          </cell>
          <cell r="E9">
            <v>0.40187757201646102</v>
          </cell>
          <cell r="F9">
            <v>0.12056327160493829</v>
          </cell>
        </row>
        <row r="10">
          <cell r="D10">
            <v>6</v>
          </cell>
          <cell r="E10">
            <v>0.48225308641975323</v>
          </cell>
          <cell r="F10">
            <v>0.14467592592592596</v>
          </cell>
        </row>
        <row r="11">
          <cell r="D11">
            <v>7</v>
          </cell>
          <cell r="E11">
            <v>0.57870370370370383</v>
          </cell>
          <cell r="F11">
            <v>0.17361111111111113</v>
          </cell>
        </row>
        <row r="12">
          <cell r="D12">
            <v>8</v>
          </cell>
          <cell r="E12">
            <v>0.69444444444444453</v>
          </cell>
          <cell r="F12">
            <v>0.20833333333333334</v>
          </cell>
        </row>
        <row r="13">
          <cell r="D13">
            <v>9</v>
          </cell>
          <cell r="E13">
            <v>0.83333333333333337</v>
          </cell>
          <cell r="F13">
            <v>0.25</v>
          </cell>
        </row>
        <row r="14">
          <cell r="D14">
            <v>10</v>
          </cell>
          <cell r="E14">
            <v>1</v>
          </cell>
          <cell r="F14">
            <v>0.3</v>
          </cell>
        </row>
      </sheetData>
      <sheetData sheetId="13" refreshError="1"/>
      <sheetData sheetId="14">
        <row r="2">
          <cell r="B2">
            <v>8</v>
          </cell>
        </row>
        <row r="37">
          <cell r="E37">
            <v>1</v>
          </cell>
          <cell r="F37">
            <v>52264.213093120743</v>
          </cell>
          <cell r="G37">
            <v>1474.8064171122999</v>
          </cell>
          <cell r="H37">
            <v>796.61698440207999</v>
          </cell>
          <cell r="I37">
            <v>2083.333333333333</v>
          </cell>
          <cell r="J37">
            <v>2083.333333333333</v>
          </cell>
          <cell r="K37">
            <v>1851.8518518518517</v>
          </cell>
          <cell r="L37">
            <v>1190.4761904761904</v>
          </cell>
          <cell r="M37">
            <v>1851.8518518518517</v>
          </cell>
          <cell r="N37">
            <v>0</v>
          </cell>
          <cell r="O37">
            <v>0</v>
          </cell>
        </row>
        <row r="38">
          <cell r="E38">
            <v>2</v>
          </cell>
          <cell r="F38">
            <v>52264.213093120743</v>
          </cell>
          <cell r="G38">
            <v>1474.8064171122999</v>
          </cell>
          <cell r="H38">
            <v>796.61698440207999</v>
          </cell>
          <cell r="I38">
            <v>2083.333333333333</v>
          </cell>
          <cell r="J38">
            <v>2083.333333333333</v>
          </cell>
          <cell r="K38">
            <v>1851.8518518518517</v>
          </cell>
          <cell r="L38">
            <v>1190.4761904761904</v>
          </cell>
          <cell r="M38">
            <v>1851.8518518518517</v>
          </cell>
          <cell r="N38">
            <v>0</v>
          </cell>
          <cell r="O38">
            <v>0</v>
          </cell>
        </row>
        <row r="39">
          <cell r="E39">
            <v>3</v>
          </cell>
          <cell r="F39">
            <v>52264.213093120743</v>
          </cell>
          <cell r="G39">
            <v>1474.8064171122999</v>
          </cell>
          <cell r="H39">
            <v>796.61698440207999</v>
          </cell>
          <cell r="I39">
            <v>2083.333333333333</v>
          </cell>
          <cell r="J39">
            <v>2083.333333333333</v>
          </cell>
          <cell r="K39">
            <v>1851.8518518518517</v>
          </cell>
          <cell r="L39">
            <v>1190.4761904761904</v>
          </cell>
          <cell r="M39">
            <v>1851.8518518518517</v>
          </cell>
          <cell r="N39">
            <v>0</v>
          </cell>
          <cell r="O39">
            <v>0</v>
          </cell>
        </row>
        <row r="40">
          <cell r="E40">
            <v>4</v>
          </cell>
          <cell r="F40">
            <v>52264.213093120743</v>
          </cell>
          <cell r="G40">
            <v>1474.8064171122999</v>
          </cell>
          <cell r="H40">
            <v>796.61698440207999</v>
          </cell>
          <cell r="I40">
            <v>2083.333333333333</v>
          </cell>
          <cell r="J40">
            <v>2083.333333333333</v>
          </cell>
          <cell r="K40">
            <v>1851.8518518518517</v>
          </cell>
          <cell r="L40">
            <v>1190.4761904761904</v>
          </cell>
          <cell r="M40">
            <v>1851.8518518518517</v>
          </cell>
          <cell r="N40">
            <v>0</v>
          </cell>
          <cell r="O40">
            <v>0</v>
          </cell>
        </row>
        <row r="41">
          <cell r="E41">
            <v>5</v>
          </cell>
          <cell r="F41">
            <v>52264.213093120743</v>
          </cell>
          <cell r="G41">
            <v>1474.8064171122999</v>
          </cell>
          <cell r="H41">
            <v>796.61698440207999</v>
          </cell>
          <cell r="I41">
            <v>2083.333333333333</v>
          </cell>
          <cell r="J41">
            <v>2083.333333333333</v>
          </cell>
          <cell r="K41">
            <v>1851.8518518518517</v>
          </cell>
          <cell r="L41">
            <v>1190.4761904761904</v>
          </cell>
          <cell r="M41">
            <v>1851.8518518518517</v>
          </cell>
          <cell r="N41">
            <v>0</v>
          </cell>
          <cell r="O41">
            <v>0</v>
          </cell>
        </row>
        <row r="42">
          <cell r="E42">
            <v>6</v>
          </cell>
          <cell r="F42">
            <v>52264.213093120743</v>
          </cell>
          <cell r="G42">
            <v>1474.8064171122999</v>
          </cell>
          <cell r="H42">
            <v>796.61698440207999</v>
          </cell>
          <cell r="I42">
            <v>2083.333333333333</v>
          </cell>
          <cell r="J42">
            <v>2083.333333333333</v>
          </cell>
          <cell r="K42">
            <v>1851.8518518518517</v>
          </cell>
          <cell r="L42">
            <v>1190.4761904761904</v>
          </cell>
          <cell r="M42">
            <v>1851.8518518518517</v>
          </cell>
          <cell r="N42">
            <v>0</v>
          </cell>
          <cell r="O42">
            <v>0</v>
          </cell>
        </row>
        <row r="43">
          <cell r="E43" t="str">
            <v>ALL</v>
          </cell>
          <cell r="F43">
            <v>313585.27855872444</v>
          </cell>
          <cell r="G43">
            <v>8848.8385026737997</v>
          </cell>
          <cell r="H43">
            <v>4779.7019064124797</v>
          </cell>
          <cell r="I43">
            <v>12499.999999999996</v>
          </cell>
          <cell r="J43">
            <v>12499.999999999996</v>
          </cell>
          <cell r="K43">
            <v>11111.111111111111</v>
          </cell>
          <cell r="L43">
            <v>7142.8571428571431</v>
          </cell>
          <cell r="M43">
            <v>11111.111111111111</v>
          </cell>
          <cell r="N43">
            <v>0</v>
          </cell>
          <cell r="O43">
            <v>0</v>
          </cell>
        </row>
        <row r="65">
          <cell r="F65">
            <v>2726.8285092062993</v>
          </cell>
          <cell r="G65">
            <v>0</v>
          </cell>
          <cell r="H65">
            <v>136.56291161178513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</row>
        <row r="66">
          <cell r="F66">
            <v>4090.2427638094487</v>
          </cell>
          <cell r="G66">
            <v>252.82395721925138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</row>
        <row r="67">
          <cell r="F67">
            <v>8180.4855276188973</v>
          </cell>
          <cell r="G67">
            <v>0</v>
          </cell>
          <cell r="H67">
            <v>273.12582322357025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</row>
        <row r="68">
          <cell r="F68">
            <v>9543.8997822220481</v>
          </cell>
          <cell r="G68">
            <v>505.64791443850277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</row>
        <row r="69">
          <cell r="F69">
            <v>16360.971055237795</v>
          </cell>
          <cell r="G69">
            <v>0</v>
          </cell>
          <cell r="H69">
            <v>546.2516464471405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</row>
        <row r="70">
          <cell r="F70">
            <v>21814.628073650394</v>
          </cell>
          <cell r="G70">
            <v>1011.2958288770055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</row>
      </sheetData>
      <sheetData sheetId="15">
        <row r="1">
          <cell r="B1">
            <v>8</v>
          </cell>
        </row>
        <row r="4">
          <cell r="B4" t="str">
            <v>命格</v>
          </cell>
        </row>
        <row r="6">
          <cell r="D6">
            <v>1</v>
          </cell>
          <cell r="E6">
            <v>0.125</v>
          </cell>
          <cell r="F6">
            <v>0.125</v>
          </cell>
        </row>
        <row r="7">
          <cell r="D7">
            <v>7</v>
          </cell>
          <cell r="E7">
            <v>0.875</v>
          </cell>
          <cell r="F7">
            <v>0.875</v>
          </cell>
        </row>
        <row r="8">
          <cell r="D8">
            <v>1</v>
          </cell>
          <cell r="F8">
            <v>0.125</v>
          </cell>
          <cell r="G8">
            <v>1</v>
          </cell>
        </row>
        <row r="12">
          <cell r="C12" t="str">
            <v>品质ID</v>
          </cell>
          <cell r="D12" t="str">
            <v>品质颜色</v>
          </cell>
          <cell r="E12" t="str">
            <v>占比系数</v>
          </cell>
          <cell r="F12" t="str">
            <v>百分比</v>
          </cell>
          <cell r="G12" t="str">
            <v>命格属性</v>
          </cell>
          <cell r="H12" t="str">
            <v>每级别命格属性</v>
          </cell>
        </row>
        <row r="13">
          <cell r="C13">
            <v>1</v>
          </cell>
          <cell r="D13" t="str">
            <v>绿</v>
          </cell>
          <cell r="E13">
            <v>1</v>
          </cell>
          <cell r="F13">
            <v>9.5259868922420346E-2</v>
          </cell>
          <cell r="G13">
            <v>1.1907483615302543E-2</v>
          </cell>
          <cell r="H13">
            <v>1.1907483615302543E-2</v>
          </cell>
        </row>
        <row r="14">
          <cell r="C14">
            <v>2</v>
          </cell>
          <cell r="D14" t="str">
            <v>蓝</v>
          </cell>
          <cell r="E14">
            <v>1.8</v>
          </cell>
          <cell r="F14">
            <v>0.17146776406035663</v>
          </cell>
          <cell r="G14">
            <v>2.1433470507544579E-2</v>
          </cell>
          <cell r="H14">
            <v>2.1433470507544579E-2</v>
          </cell>
        </row>
        <row r="15">
          <cell r="C15">
            <v>3</v>
          </cell>
          <cell r="D15" t="str">
            <v>紫</v>
          </cell>
          <cell r="E15">
            <v>3.24</v>
          </cell>
          <cell r="F15">
            <v>0.30864197530864196</v>
          </cell>
          <cell r="G15">
            <v>3.8580246913580245E-2</v>
          </cell>
          <cell r="H15">
            <v>3.8580246913580245E-2</v>
          </cell>
        </row>
        <row r="16">
          <cell r="C16">
            <v>4</v>
          </cell>
          <cell r="D16" t="str">
            <v>橙</v>
          </cell>
          <cell r="E16">
            <v>5.8320000000000007</v>
          </cell>
          <cell r="F16">
            <v>0.55555555555555547</v>
          </cell>
          <cell r="G16">
            <v>6.9444444444444434E-2</v>
          </cell>
          <cell r="H16">
            <v>6.9444444444444434E-2</v>
          </cell>
        </row>
        <row r="17">
          <cell r="C17">
            <v>5</v>
          </cell>
          <cell r="D17" t="str">
            <v>红</v>
          </cell>
          <cell r="E17">
            <v>10.497600000000002</v>
          </cell>
          <cell r="F17">
            <v>1</v>
          </cell>
          <cell r="G17">
            <v>0.125</v>
          </cell>
          <cell r="H17">
            <v>0.125</v>
          </cell>
        </row>
      </sheetData>
      <sheetData sheetId="16" refreshError="1"/>
      <sheetData sheetId="1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_普通掉落表"/>
      <sheetName val="D_特殊掉落表"/>
      <sheetName val="说明"/>
      <sheetName val="D_奖励表"/>
      <sheetName val="特殊掉落辅助表"/>
      <sheetName val="引用表合并"/>
      <sheetName val="命格引用"/>
      <sheetName val="道具引用"/>
      <sheetName val="装备引用"/>
      <sheetName val="马仔宝物引用"/>
      <sheetName val="马仔引用"/>
      <sheetName val="称号引用"/>
    </sheetNames>
    <sheetDataSet>
      <sheetData sheetId="0"/>
      <sheetData sheetId="1"/>
      <sheetData sheetId="2"/>
      <sheetData sheetId="3"/>
      <sheetData sheetId="4"/>
      <sheetData sheetId="5">
        <row r="2">
          <cell r="A2">
            <v>91001</v>
          </cell>
          <cell r="B2" t="str">
            <v>马仔经验药水</v>
          </cell>
        </row>
        <row r="3">
          <cell r="A3">
            <v>81002</v>
          </cell>
          <cell r="B3" t="str">
            <v>金币卡</v>
          </cell>
        </row>
        <row r="4">
          <cell r="A4">
            <v>81003</v>
          </cell>
          <cell r="B4" t="str">
            <v>VIP礼包</v>
          </cell>
        </row>
        <row r="5">
          <cell r="A5">
            <v>81010</v>
          </cell>
          <cell r="B5" t="str">
            <v>VIP体验卡</v>
          </cell>
        </row>
        <row r="6">
          <cell r="A6">
            <v>82001</v>
          </cell>
          <cell r="B6" t="str">
            <v>翅膀碎片</v>
          </cell>
        </row>
        <row r="7">
          <cell r="A7">
            <v>83001</v>
          </cell>
          <cell r="B7" t="str">
            <v>巨额金币卡</v>
          </cell>
        </row>
        <row r="8">
          <cell r="A8">
            <v>83002</v>
          </cell>
          <cell r="B8" t="str">
            <v>扫荡券</v>
          </cell>
        </row>
        <row r="9">
          <cell r="A9">
            <v>83003</v>
          </cell>
          <cell r="B9" t="str">
            <v>洪兴新星</v>
          </cell>
        </row>
        <row r="10">
          <cell r="A10">
            <v>83004</v>
          </cell>
          <cell r="B10" t="str">
            <v>洪兴打仔</v>
          </cell>
        </row>
        <row r="11">
          <cell r="A11">
            <v>83005</v>
          </cell>
          <cell r="B11" t="str">
            <v>扛把子</v>
          </cell>
        </row>
        <row r="12">
          <cell r="A12">
            <v>83006</v>
          </cell>
          <cell r="B12" t="str">
            <v>二路元帅</v>
          </cell>
        </row>
        <row r="13">
          <cell r="A13">
            <v>83007</v>
          </cell>
          <cell r="B13" t="str">
            <v>战无不胜</v>
          </cell>
        </row>
        <row r="14">
          <cell r="A14">
            <v>83008</v>
          </cell>
          <cell r="B14" t="str">
            <v>猛龙过江</v>
          </cell>
        </row>
        <row r="15">
          <cell r="A15">
            <v>83009</v>
          </cell>
          <cell r="B15" t="str">
            <v>神之手</v>
          </cell>
        </row>
        <row r="16">
          <cell r="A16">
            <v>83010</v>
          </cell>
          <cell r="B16" t="str">
            <v>富甲一方</v>
          </cell>
        </row>
        <row r="17">
          <cell r="A17">
            <v>83011</v>
          </cell>
          <cell r="B17" t="str">
            <v>壕气冲天</v>
          </cell>
        </row>
        <row r="18">
          <cell r="A18">
            <v>83012</v>
          </cell>
          <cell r="B18" t="str">
            <v>富可敌国</v>
          </cell>
        </row>
        <row r="19">
          <cell r="A19">
            <v>83013</v>
          </cell>
          <cell r="B19" t="str">
            <v>壕气冲天</v>
          </cell>
        </row>
        <row r="20">
          <cell r="A20">
            <v>83014</v>
          </cell>
          <cell r="B20" t="str">
            <v>富可敌国</v>
          </cell>
        </row>
        <row r="21">
          <cell r="A21">
            <v>83015</v>
          </cell>
          <cell r="B21" t="str">
            <v>战斗狂人</v>
          </cell>
        </row>
        <row r="22">
          <cell r="A22">
            <v>83016</v>
          </cell>
          <cell r="B22" t="str">
            <v>不哭死神</v>
          </cell>
        </row>
        <row r="23">
          <cell r="A23">
            <v>83017</v>
          </cell>
          <cell r="B23" t="str">
            <v>干架王</v>
          </cell>
        </row>
        <row r="24">
          <cell r="A24">
            <v>83018</v>
          </cell>
          <cell r="B24" t="str">
            <v>破坏王</v>
          </cell>
        </row>
        <row r="25">
          <cell r="A25">
            <v>83019</v>
          </cell>
          <cell r="B25" t="str">
            <v>战无尽</v>
          </cell>
        </row>
        <row r="26">
          <cell r="A26">
            <v>83020</v>
          </cell>
          <cell r="B26" t="str">
            <v>绝世战神</v>
          </cell>
        </row>
        <row r="27">
          <cell r="A27">
            <v>83021</v>
          </cell>
          <cell r="B27" t="str">
            <v>至尊王者</v>
          </cell>
        </row>
        <row r="28">
          <cell r="A28">
            <v>83022</v>
          </cell>
          <cell r="B28" t="str">
            <v>横砍一条街</v>
          </cell>
        </row>
        <row r="29">
          <cell r="A29">
            <v>83023</v>
          </cell>
          <cell r="B29" t="str">
            <v>洪兴小财主</v>
          </cell>
        </row>
        <row r="30">
          <cell r="A30">
            <v>83103</v>
          </cell>
          <cell r="B30" t="str">
            <v>洪兴新星(3天)</v>
          </cell>
        </row>
        <row r="31">
          <cell r="A31">
            <v>83104</v>
          </cell>
          <cell r="B31" t="str">
            <v>洪兴打仔(3天)</v>
          </cell>
        </row>
        <row r="32">
          <cell r="A32">
            <v>83105</v>
          </cell>
          <cell r="B32" t="str">
            <v>扛把子(3天)</v>
          </cell>
        </row>
        <row r="33">
          <cell r="A33">
            <v>83106</v>
          </cell>
          <cell r="B33" t="str">
            <v>二路元帅(3天)</v>
          </cell>
        </row>
        <row r="34">
          <cell r="A34">
            <v>83107</v>
          </cell>
          <cell r="B34" t="str">
            <v>战无不胜(3天)</v>
          </cell>
        </row>
        <row r="35">
          <cell r="A35">
            <v>83108</v>
          </cell>
          <cell r="B35" t="str">
            <v>猛龙过江(3天)</v>
          </cell>
        </row>
        <row r="36">
          <cell r="A36">
            <v>83109</v>
          </cell>
          <cell r="B36" t="str">
            <v>神之手(3天)</v>
          </cell>
        </row>
        <row r="37">
          <cell r="A37">
            <v>83110</v>
          </cell>
          <cell r="B37" t="str">
            <v>富甲一方(3天)</v>
          </cell>
        </row>
        <row r="38">
          <cell r="A38">
            <v>83111</v>
          </cell>
          <cell r="B38" t="str">
            <v>壕气冲天(3天)</v>
          </cell>
        </row>
        <row r="39">
          <cell r="A39">
            <v>83112</v>
          </cell>
          <cell r="B39" t="str">
            <v>富可敌国(3天)</v>
          </cell>
        </row>
        <row r="40">
          <cell r="A40">
            <v>83113</v>
          </cell>
          <cell r="B40" t="str">
            <v>壕气冲天(3天)</v>
          </cell>
        </row>
        <row r="41">
          <cell r="A41">
            <v>83114</v>
          </cell>
          <cell r="B41" t="str">
            <v>富可敌国(3天)</v>
          </cell>
        </row>
        <row r="42">
          <cell r="A42">
            <v>83115</v>
          </cell>
          <cell r="B42" t="str">
            <v>战斗狂人(3天)</v>
          </cell>
        </row>
        <row r="43">
          <cell r="A43">
            <v>83116</v>
          </cell>
          <cell r="B43" t="str">
            <v>不哭死神(3天)</v>
          </cell>
        </row>
        <row r="44">
          <cell r="A44">
            <v>83117</v>
          </cell>
          <cell r="B44" t="str">
            <v>干架王(3天)</v>
          </cell>
        </row>
        <row r="45">
          <cell r="A45">
            <v>83118</v>
          </cell>
          <cell r="B45" t="str">
            <v>破坏王(3天)</v>
          </cell>
        </row>
        <row r="46">
          <cell r="A46">
            <v>83119</v>
          </cell>
          <cell r="B46" t="str">
            <v>战无尽(3天)</v>
          </cell>
        </row>
        <row r="47">
          <cell r="A47">
            <v>83120</v>
          </cell>
          <cell r="B47" t="str">
            <v>绝世战神(3天)</v>
          </cell>
        </row>
        <row r="48">
          <cell r="A48">
            <v>83121</v>
          </cell>
          <cell r="B48" t="str">
            <v>至尊王者(3天)</v>
          </cell>
        </row>
        <row r="49">
          <cell r="A49">
            <v>83122</v>
          </cell>
          <cell r="B49" t="str">
            <v>横砍一条街(3天)</v>
          </cell>
        </row>
        <row r="50">
          <cell r="A50">
            <v>78101</v>
          </cell>
          <cell r="B50" t="str">
            <v>马仔碎片(制服太妹)</v>
          </cell>
        </row>
        <row r="51">
          <cell r="A51">
            <v>78102</v>
          </cell>
          <cell r="B51" t="str">
            <v>马仔碎片(蟹仔)</v>
          </cell>
        </row>
        <row r="52">
          <cell r="A52">
            <v>78103</v>
          </cell>
          <cell r="B52" t="str">
            <v>马仔碎片(比利)</v>
          </cell>
        </row>
        <row r="53">
          <cell r="A53">
            <v>78104</v>
          </cell>
          <cell r="B53" t="str">
            <v>马仔碎片(黎九)</v>
          </cell>
        </row>
        <row r="54">
          <cell r="A54">
            <v>78105</v>
          </cell>
          <cell r="B54" t="str">
            <v>马仔碎片(黑古)</v>
          </cell>
        </row>
        <row r="55">
          <cell r="A55">
            <v>78106</v>
          </cell>
          <cell r="B55" t="str">
            <v>马仔碎片(靓坤)</v>
          </cell>
        </row>
        <row r="56">
          <cell r="A56">
            <v>78107</v>
          </cell>
          <cell r="B56" t="str">
            <v>马仔碎片(雷复轰)</v>
          </cell>
        </row>
        <row r="57">
          <cell r="A57">
            <v>78108</v>
          </cell>
          <cell r="B57" t="str">
            <v>马仔碎片(肥仔)</v>
          </cell>
        </row>
        <row r="58">
          <cell r="A58">
            <v>78109</v>
          </cell>
          <cell r="B58" t="str">
            <v>马仔碎片(司徒浩南)</v>
          </cell>
        </row>
        <row r="59">
          <cell r="A59">
            <v>78110</v>
          </cell>
          <cell r="B59" t="str">
            <v>马仔碎片(乌鸦)</v>
          </cell>
        </row>
        <row r="60">
          <cell r="A60">
            <v>78111</v>
          </cell>
          <cell r="B60" t="str">
            <v>马仔碎片(赌王)</v>
          </cell>
        </row>
        <row r="61">
          <cell r="A61">
            <v>78112</v>
          </cell>
          <cell r="B61" t="str">
            <v>马仔碎片(山下忠秀)</v>
          </cell>
        </row>
        <row r="62">
          <cell r="A62">
            <v>78113</v>
          </cell>
          <cell r="B62" t="str">
            <v>马仔碎片(宫本一)</v>
          </cell>
        </row>
        <row r="63">
          <cell r="A63">
            <v>78114</v>
          </cell>
          <cell r="B63" t="str">
            <v>马仔碎片(陈浩南)</v>
          </cell>
        </row>
        <row r="64">
          <cell r="A64">
            <v>78115</v>
          </cell>
          <cell r="B64" t="str">
            <v>马仔碎片(山鸡)</v>
          </cell>
        </row>
        <row r="65">
          <cell r="A65">
            <v>78116</v>
          </cell>
          <cell r="B65" t="str">
            <v>马仔碎片(大天二)</v>
          </cell>
        </row>
        <row r="66">
          <cell r="A66">
            <v>78117</v>
          </cell>
          <cell r="B66" t="str">
            <v>马仔碎片(巴闭)</v>
          </cell>
        </row>
        <row r="67">
          <cell r="A67">
            <v>78118</v>
          </cell>
          <cell r="B67" t="str">
            <v>马仔碎片(耀阳)</v>
          </cell>
        </row>
        <row r="68">
          <cell r="A68">
            <v>78119</v>
          </cell>
          <cell r="B68" t="str">
            <v>马仔碎片(笑面虎)</v>
          </cell>
        </row>
        <row r="69">
          <cell r="A69">
            <v>70001</v>
          </cell>
          <cell r="B69" t="str">
            <v>低级强化石</v>
          </cell>
        </row>
        <row r="70">
          <cell r="A70">
            <v>70002</v>
          </cell>
          <cell r="B70" t="str">
            <v>中级强化石</v>
          </cell>
        </row>
        <row r="71">
          <cell r="A71">
            <v>70003</v>
          </cell>
          <cell r="B71" t="str">
            <v>高级强化石</v>
          </cell>
        </row>
        <row r="72">
          <cell r="A72">
            <v>70101</v>
          </cell>
          <cell r="B72" t="str">
            <v>初级升星石</v>
          </cell>
        </row>
        <row r="73">
          <cell r="A73">
            <v>70201</v>
          </cell>
          <cell r="B73" t="str">
            <v>中级升星石</v>
          </cell>
        </row>
        <row r="74">
          <cell r="A74">
            <v>70301</v>
          </cell>
          <cell r="B74" t="str">
            <v>高级升星石</v>
          </cell>
        </row>
        <row r="75">
          <cell r="A75">
            <v>70401</v>
          </cell>
          <cell r="B75" t="str">
            <v>4阶升星石(不用）</v>
          </cell>
        </row>
        <row r="76">
          <cell r="A76">
            <v>70501</v>
          </cell>
          <cell r="B76" t="str">
            <v>5阶升星石（不用）</v>
          </cell>
        </row>
        <row r="77">
          <cell r="A77">
            <v>82100</v>
          </cell>
          <cell r="B77" t="str">
            <v>金币卡(1万)</v>
          </cell>
        </row>
        <row r="78">
          <cell r="A78">
            <v>82200</v>
          </cell>
          <cell r="B78" t="str">
            <v>金币卡(2万)</v>
          </cell>
        </row>
        <row r="79">
          <cell r="A79">
            <v>82300</v>
          </cell>
          <cell r="B79" t="str">
            <v>金币卡(5万)</v>
          </cell>
        </row>
        <row r="80">
          <cell r="A80">
            <v>91100</v>
          </cell>
          <cell r="B80" t="str">
            <v>马仔经验药水</v>
          </cell>
        </row>
        <row r="81">
          <cell r="A81">
            <v>91200</v>
          </cell>
          <cell r="B81" t="str">
            <v>马仔经验合剂</v>
          </cell>
        </row>
        <row r="82">
          <cell r="A82">
            <v>91300</v>
          </cell>
          <cell r="B82" t="str">
            <v>马仔经验甘露</v>
          </cell>
        </row>
        <row r="83">
          <cell r="A83">
            <v>87100</v>
          </cell>
          <cell r="B83" t="str">
            <v>钻石兑换卡(100)</v>
          </cell>
        </row>
        <row r="84">
          <cell r="A84">
            <v>87200</v>
          </cell>
          <cell r="B84" t="str">
            <v>钻石兑换卡(500)</v>
          </cell>
        </row>
        <row r="85">
          <cell r="A85">
            <v>87400</v>
          </cell>
          <cell r="B85" t="str">
            <v>钻石兑换卡(1000)</v>
          </cell>
        </row>
        <row r="86">
          <cell r="A86">
            <v>89100</v>
          </cell>
          <cell r="B86" t="str">
            <v>初级体力药水</v>
          </cell>
        </row>
        <row r="87">
          <cell r="A87">
            <v>89200</v>
          </cell>
          <cell r="B87" t="str">
            <v>中级体力药水</v>
          </cell>
        </row>
        <row r="88">
          <cell r="A88">
            <v>89300</v>
          </cell>
          <cell r="B88" t="str">
            <v>高级体力药水</v>
          </cell>
        </row>
        <row r="89">
          <cell r="A89">
            <v>83100</v>
          </cell>
          <cell r="B89" t="str">
            <v>成长礼包</v>
          </cell>
        </row>
        <row r="90">
          <cell r="A90">
            <v>70010</v>
          </cell>
          <cell r="B90" t="str">
            <v>部位材料(武器)</v>
          </cell>
        </row>
        <row r="91">
          <cell r="A91">
            <v>71010</v>
          </cell>
          <cell r="B91" t="str">
            <v>部位材料(衣服)</v>
          </cell>
        </row>
        <row r="92">
          <cell r="A92">
            <v>72010</v>
          </cell>
          <cell r="B92" t="str">
            <v>部位材料(裤子)</v>
          </cell>
        </row>
        <row r="93">
          <cell r="A93">
            <v>73010</v>
          </cell>
          <cell r="B93" t="str">
            <v>部位材料(项链)</v>
          </cell>
        </row>
        <row r="94">
          <cell r="A94">
            <v>74010</v>
          </cell>
          <cell r="B94" t="str">
            <v>部位材料(腰带)</v>
          </cell>
        </row>
        <row r="95">
          <cell r="A95">
            <v>75010</v>
          </cell>
          <cell r="B95" t="str">
            <v>部位材料(鞋子)</v>
          </cell>
        </row>
        <row r="96">
          <cell r="A96">
            <v>80110</v>
          </cell>
          <cell r="B96" t="str">
            <v>龙魂币(500)</v>
          </cell>
        </row>
        <row r="97">
          <cell r="A97">
            <v>80210</v>
          </cell>
          <cell r="B97" t="str">
            <v>龙魂币(1000)</v>
          </cell>
        </row>
        <row r="98">
          <cell r="A98">
            <v>80310</v>
          </cell>
          <cell r="B98" t="str">
            <v>龙魂币(2000)</v>
          </cell>
        </row>
        <row r="99">
          <cell r="A99">
            <v>80410</v>
          </cell>
          <cell r="B99" t="str">
            <v>命运石(5000)</v>
          </cell>
        </row>
        <row r="100">
          <cell r="A100">
            <v>80510</v>
          </cell>
          <cell r="B100" t="str">
            <v>命运石(1万)</v>
          </cell>
        </row>
        <row r="101">
          <cell r="A101">
            <v>80610</v>
          </cell>
          <cell r="B101" t="str">
            <v>命运石(2万)</v>
          </cell>
        </row>
        <row r="102">
          <cell r="A102">
            <v>87300</v>
          </cell>
          <cell r="B102" t="str">
            <v>钻石</v>
          </cell>
        </row>
        <row r="103">
          <cell r="A103">
            <v>83300</v>
          </cell>
          <cell r="B103" t="str">
            <v>金币</v>
          </cell>
        </row>
        <row r="104">
          <cell r="A104">
            <v>83301</v>
          </cell>
          <cell r="B104" t="str">
            <v>龙魂币</v>
          </cell>
        </row>
        <row r="105">
          <cell r="A105">
            <v>83302</v>
          </cell>
          <cell r="B105" t="str">
            <v>命运石</v>
          </cell>
        </row>
        <row r="106">
          <cell r="A106">
            <v>83303</v>
          </cell>
          <cell r="B106" t="str">
            <v>擂台币</v>
          </cell>
        </row>
        <row r="107">
          <cell r="A107">
            <v>89101</v>
          </cell>
          <cell r="B107" t="str">
            <v>双倍经验卡（1天）</v>
          </cell>
        </row>
        <row r="108">
          <cell r="A108">
            <v>89102</v>
          </cell>
          <cell r="B108" t="str">
            <v>双倍经验卡（2天）</v>
          </cell>
        </row>
        <row r="109">
          <cell r="A109">
            <v>89106</v>
          </cell>
          <cell r="B109" t="str">
            <v>vip经验卡</v>
          </cell>
        </row>
        <row r="110">
          <cell r="A110">
            <v>89107</v>
          </cell>
          <cell r="B110" t="str">
            <v>技能升级石</v>
          </cell>
        </row>
        <row r="111">
          <cell r="A111">
            <v>89108</v>
          </cell>
          <cell r="B111" t="str">
            <v>蓝色装备碎片（无用）</v>
          </cell>
        </row>
        <row r="112">
          <cell r="A112">
            <v>89109</v>
          </cell>
          <cell r="B112" t="str">
            <v>紫色装备碎片（无用）</v>
          </cell>
        </row>
        <row r="113">
          <cell r="A113">
            <v>89110</v>
          </cell>
          <cell r="B113" t="str">
            <v>橙色装备碎片（无用）</v>
          </cell>
        </row>
        <row r="114">
          <cell r="A114">
            <v>89111</v>
          </cell>
          <cell r="B114" t="str">
            <v>技能冷却石</v>
          </cell>
        </row>
        <row r="115">
          <cell r="A115">
            <v>83304</v>
          </cell>
          <cell r="B115" t="str">
            <v>寻宝券</v>
          </cell>
        </row>
        <row r="116">
          <cell r="A116">
            <v>85200</v>
          </cell>
          <cell r="B116" t="str">
            <v>高级装备升级石</v>
          </cell>
        </row>
        <row r="117">
          <cell r="A117">
            <v>85300</v>
          </cell>
          <cell r="B117" t="str">
            <v>稀有装备升级石</v>
          </cell>
        </row>
        <row r="118">
          <cell r="A118">
            <v>85400</v>
          </cell>
          <cell r="B118" t="str">
            <v>史诗装备升级石</v>
          </cell>
        </row>
        <row r="119">
          <cell r="A119">
            <v>85500</v>
          </cell>
          <cell r="B119" t="str">
            <v>传说装备升级石</v>
          </cell>
        </row>
        <row r="120">
          <cell r="A120">
            <v>86001</v>
          </cell>
          <cell r="B120" t="str">
            <v>马仔追债礼包</v>
          </cell>
        </row>
        <row r="121">
          <cell r="A121">
            <v>86002</v>
          </cell>
          <cell r="B121" t="str">
            <v>马仔追债礼包</v>
          </cell>
        </row>
        <row r="122">
          <cell r="A122">
            <v>86003</v>
          </cell>
          <cell r="B122" t="str">
            <v>马仔追债礼包</v>
          </cell>
        </row>
        <row r="123">
          <cell r="A123">
            <v>86004</v>
          </cell>
          <cell r="B123" t="str">
            <v>马仔追债礼包</v>
          </cell>
        </row>
        <row r="124">
          <cell r="A124">
            <v>86005</v>
          </cell>
          <cell r="B124" t="str">
            <v>马仔追债礼包</v>
          </cell>
        </row>
        <row r="125">
          <cell r="A125">
            <v>86110</v>
          </cell>
          <cell r="B125" t="str">
            <v>马仔装备礼包</v>
          </cell>
        </row>
        <row r="126">
          <cell r="A126">
            <v>86120</v>
          </cell>
          <cell r="B126" t="str">
            <v>马仔装备礼包</v>
          </cell>
        </row>
        <row r="127">
          <cell r="A127">
            <v>86130</v>
          </cell>
          <cell r="B127" t="str">
            <v>马仔装备礼包</v>
          </cell>
        </row>
        <row r="128">
          <cell r="A128">
            <v>86140</v>
          </cell>
          <cell r="B128" t="str">
            <v>马仔装备礼包</v>
          </cell>
        </row>
        <row r="129">
          <cell r="A129">
            <v>86150</v>
          </cell>
          <cell r="B129" t="str">
            <v>马仔装备礼包</v>
          </cell>
        </row>
        <row r="130">
          <cell r="A130">
            <v>83305</v>
          </cell>
          <cell r="B130" t="str">
            <v>金豆</v>
          </cell>
        </row>
        <row r="131">
          <cell r="A131">
            <v>83306</v>
          </cell>
          <cell r="B131" t="str">
            <v>单次扫荡特权</v>
          </cell>
        </row>
        <row r="132">
          <cell r="A132">
            <v>83307</v>
          </cell>
          <cell r="B132" t="str">
            <v>多次扫荡特权</v>
          </cell>
        </row>
        <row r="133">
          <cell r="A133">
            <v>83308</v>
          </cell>
          <cell r="B133" t="str">
            <v>扫荡特权</v>
          </cell>
        </row>
        <row r="134">
          <cell r="A134">
            <v>86010</v>
          </cell>
          <cell r="B134" t="str">
            <v>部位材料包</v>
          </cell>
        </row>
        <row r="135">
          <cell r="A135">
            <v>86021</v>
          </cell>
          <cell r="B135" t="str">
            <v>紫色装备礼包</v>
          </cell>
        </row>
        <row r="136">
          <cell r="A136">
            <v>86022</v>
          </cell>
          <cell r="B136" t="str">
            <v>橙色装备礼包</v>
          </cell>
        </row>
        <row r="137">
          <cell r="A137">
            <v>78214</v>
          </cell>
          <cell r="B137" t="str">
            <v>限时碎片(陈浩南)</v>
          </cell>
        </row>
        <row r="138">
          <cell r="A138">
            <v>78215</v>
          </cell>
          <cell r="B138" t="str">
            <v>限时碎片(山鸡)</v>
          </cell>
        </row>
        <row r="139">
          <cell r="A139">
            <v>78216</v>
          </cell>
          <cell r="B139" t="str">
            <v>限时碎片(大天二)</v>
          </cell>
        </row>
        <row r="140">
          <cell r="A140">
            <v>83309</v>
          </cell>
          <cell r="B140" t="str">
            <v>堂口贡献</v>
          </cell>
        </row>
        <row r="141">
          <cell r="A141">
            <v>0</v>
          </cell>
          <cell r="B141">
            <v>0</v>
          </cell>
        </row>
        <row r="142">
          <cell r="A142">
            <v>10001</v>
          </cell>
          <cell r="B142" t="str">
            <v>新手之剑</v>
          </cell>
        </row>
        <row r="143">
          <cell r="A143">
            <v>20001</v>
          </cell>
          <cell r="B143" t="str">
            <v>新手之拳</v>
          </cell>
        </row>
        <row r="144">
          <cell r="A144">
            <v>30001</v>
          </cell>
          <cell r="B144" t="str">
            <v>新手之枪</v>
          </cell>
        </row>
        <row r="145">
          <cell r="A145">
            <v>10002</v>
          </cell>
          <cell r="B145" t="str">
            <v>染血之剑</v>
          </cell>
        </row>
        <row r="146">
          <cell r="A146">
            <v>20002</v>
          </cell>
          <cell r="B146" t="str">
            <v>染血之拳</v>
          </cell>
        </row>
        <row r="147">
          <cell r="A147">
            <v>30002</v>
          </cell>
          <cell r="B147" t="str">
            <v>染血之枪</v>
          </cell>
        </row>
        <row r="148">
          <cell r="A148">
            <v>51002</v>
          </cell>
          <cell r="B148" t="str">
            <v>染血战衣</v>
          </cell>
        </row>
        <row r="149">
          <cell r="A149">
            <v>52002</v>
          </cell>
          <cell r="B149" t="str">
            <v>染血长裤</v>
          </cell>
        </row>
        <row r="150">
          <cell r="A150">
            <v>55002</v>
          </cell>
          <cell r="B150" t="str">
            <v>染血长靴</v>
          </cell>
        </row>
        <row r="151">
          <cell r="A151">
            <v>54002</v>
          </cell>
          <cell r="B151" t="str">
            <v>染血腰带</v>
          </cell>
        </row>
        <row r="152">
          <cell r="A152">
            <v>53002</v>
          </cell>
          <cell r="B152" t="str">
            <v>染血项链</v>
          </cell>
        </row>
        <row r="153">
          <cell r="A153">
            <v>10103</v>
          </cell>
          <cell r="B153" t="str">
            <v>狂气之剑</v>
          </cell>
        </row>
        <row r="154">
          <cell r="A154">
            <v>20103</v>
          </cell>
          <cell r="B154" t="str">
            <v>狂气之拳</v>
          </cell>
        </row>
        <row r="155">
          <cell r="A155">
            <v>30103</v>
          </cell>
          <cell r="B155" t="str">
            <v>狂气之枪</v>
          </cell>
        </row>
        <row r="156">
          <cell r="A156">
            <v>51103</v>
          </cell>
          <cell r="B156" t="str">
            <v>狂气战衣</v>
          </cell>
        </row>
        <row r="157">
          <cell r="A157">
            <v>52103</v>
          </cell>
          <cell r="B157" t="str">
            <v>狂气长裤</v>
          </cell>
        </row>
        <row r="158">
          <cell r="A158">
            <v>55103</v>
          </cell>
          <cell r="B158" t="str">
            <v>狂气长靴</v>
          </cell>
        </row>
        <row r="159">
          <cell r="A159">
            <v>54103</v>
          </cell>
          <cell r="B159" t="str">
            <v>狂气腰带</v>
          </cell>
        </row>
        <row r="160">
          <cell r="A160">
            <v>53103</v>
          </cell>
          <cell r="B160" t="str">
            <v>狂气项链</v>
          </cell>
        </row>
        <row r="161">
          <cell r="A161">
            <v>10104</v>
          </cell>
          <cell r="B161" t="str">
            <v>野性之剑</v>
          </cell>
        </row>
        <row r="162">
          <cell r="A162">
            <v>20104</v>
          </cell>
          <cell r="B162" t="str">
            <v>野性之拳</v>
          </cell>
        </row>
        <row r="163">
          <cell r="A163">
            <v>30104</v>
          </cell>
          <cell r="B163" t="str">
            <v>野性之枪</v>
          </cell>
        </row>
        <row r="164">
          <cell r="A164">
            <v>51104</v>
          </cell>
          <cell r="B164" t="str">
            <v>野性战衣</v>
          </cell>
        </row>
        <row r="165">
          <cell r="A165">
            <v>52104</v>
          </cell>
          <cell r="B165" t="str">
            <v>野性长裤</v>
          </cell>
        </row>
        <row r="166">
          <cell r="A166">
            <v>55104</v>
          </cell>
          <cell r="B166" t="str">
            <v>野性长靴</v>
          </cell>
        </row>
        <row r="167">
          <cell r="A167">
            <v>54104</v>
          </cell>
          <cell r="B167" t="str">
            <v>野性腰带</v>
          </cell>
        </row>
        <row r="168">
          <cell r="A168">
            <v>53104</v>
          </cell>
          <cell r="B168" t="str">
            <v>野性项链</v>
          </cell>
        </row>
        <row r="169">
          <cell r="A169">
            <v>10205</v>
          </cell>
          <cell r="B169" t="str">
            <v>紫云之剑</v>
          </cell>
        </row>
        <row r="170">
          <cell r="A170">
            <v>20205</v>
          </cell>
          <cell r="B170" t="str">
            <v>紫云之拳</v>
          </cell>
        </row>
        <row r="171">
          <cell r="A171">
            <v>30205</v>
          </cell>
          <cell r="B171" t="str">
            <v>紫云之枪</v>
          </cell>
        </row>
        <row r="172">
          <cell r="A172">
            <v>51205</v>
          </cell>
          <cell r="B172" t="str">
            <v>紫云战衣</v>
          </cell>
        </row>
        <row r="173">
          <cell r="A173">
            <v>52205</v>
          </cell>
          <cell r="B173" t="str">
            <v>紫云长裤</v>
          </cell>
        </row>
        <row r="174">
          <cell r="A174">
            <v>55205</v>
          </cell>
          <cell r="B174" t="str">
            <v>紫云长靴</v>
          </cell>
        </row>
        <row r="175">
          <cell r="A175">
            <v>54205</v>
          </cell>
          <cell r="B175" t="str">
            <v>紫云腰带</v>
          </cell>
        </row>
        <row r="176">
          <cell r="A176">
            <v>53205</v>
          </cell>
          <cell r="B176" t="str">
            <v>紫云项链</v>
          </cell>
        </row>
        <row r="177">
          <cell r="A177">
            <v>10306</v>
          </cell>
          <cell r="B177" t="str">
            <v>鎏金之剑</v>
          </cell>
        </row>
        <row r="178">
          <cell r="A178">
            <v>20306</v>
          </cell>
          <cell r="B178" t="str">
            <v>鎏金之拳</v>
          </cell>
        </row>
        <row r="179">
          <cell r="A179">
            <v>30306</v>
          </cell>
          <cell r="B179" t="str">
            <v>鎏金之枪</v>
          </cell>
        </row>
        <row r="180">
          <cell r="A180">
            <v>51306</v>
          </cell>
          <cell r="B180" t="str">
            <v>鎏金战衣</v>
          </cell>
        </row>
        <row r="181">
          <cell r="A181">
            <v>52306</v>
          </cell>
          <cell r="B181" t="str">
            <v>鎏金长裤</v>
          </cell>
        </row>
        <row r="182">
          <cell r="A182">
            <v>55306</v>
          </cell>
          <cell r="B182" t="str">
            <v>鎏金长靴</v>
          </cell>
        </row>
        <row r="183">
          <cell r="A183">
            <v>54306</v>
          </cell>
          <cell r="B183" t="str">
            <v>鎏金腰带</v>
          </cell>
        </row>
        <row r="184">
          <cell r="A184">
            <v>53306</v>
          </cell>
          <cell r="B184" t="str">
            <v>鎏金项链</v>
          </cell>
        </row>
        <row r="185">
          <cell r="A185">
            <v>10407</v>
          </cell>
          <cell r="B185" t="str">
            <v>虹光之剑</v>
          </cell>
        </row>
        <row r="186">
          <cell r="A186">
            <v>20407</v>
          </cell>
          <cell r="B186" t="str">
            <v>虹光之拳</v>
          </cell>
        </row>
        <row r="187">
          <cell r="A187">
            <v>30407</v>
          </cell>
          <cell r="B187" t="str">
            <v>虹光之枪</v>
          </cell>
        </row>
        <row r="188">
          <cell r="A188">
            <v>51407</v>
          </cell>
          <cell r="B188" t="str">
            <v>虹光战衣</v>
          </cell>
        </row>
        <row r="189">
          <cell r="A189">
            <v>52407</v>
          </cell>
          <cell r="B189" t="str">
            <v>虹光长裤</v>
          </cell>
        </row>
        <row r="190">
          <cell r="A190">
            <v>55407</v>
          </cell>
          <cell r="B190" t="str">
            <v>虹光长靴</v>
          </cell>
        </row>
        <row r="191">
          <cell r="A191">
            <v>54407</v>
          </cell>
          <cell r="B191" t="str">
            <v>虹光腰带</v>
          </cell>
        </row>
        <row r="192">
          <cell r="A192">
            <v>53407</v>
          </cell>
          <cell r="B192" t="str">
            <v>虹光项链</v>
          </cell>
        </row>
        <row r="193">
          <cell r="A193">
            <v>10108</v>
          </cell>
          <cell r="B193" t="str">
            <v>碧蓝之剑</v>
          </cell>
        </row>
        <row r="194">
          <cell r="A194">
            <v>20108</v>
          </cell>
          <cell r="B194" t="str">
            <v>碧蓝之拳</v>
          </cell>
        </row>
        <row r="195">
          <cell r="A195">
            <v>30108</v>
          </cell>
          <cell r="B195" t="str">
            <v>碧蓝之枪</v>
          </cell>
        </row>
        <row r="196">
          <cell r="A196">
            <v>51108</v>
          </cell>
          <cell r="B196" t="str">
            <v>碧蓝战衣</v>
          </cell>
        </row>
        <row r="197">
          <cell r="A197">
            <v>52108</v>
          </cell>
          <cell r="B197" t="str">
            <v>碧蓝长裤</v>
          </cell>
        </row>
        <row r="198">
          <cell r="A198">
            <v>55108</v>
          </cell>
          <cell r="B198" t="str">
            <v>碧蓝长靴</v>
          </cell>
        </row>
        <row r="199">
          <cell r="A199">
            <v>54108</v>
          </cell>
          <cell r="B199" t="str">
            <v>碧蓝腰带</v>
          </cell>
        </row>
        <row r="200">
          <cell r="A200">
            <v>53108</v>
          </cell>
          <cell r="B200" t="str">
            <v>碧蓝项链</v>
          </cell>
        </row>
        <row r="201">
          <cell r="A201">
            <v>10209</v>
          </cell>
          <cell r="B201" t="str">
            <v>斩魄之刃</v>
          </cell>
        </row>
        <row r="202">
          <cell r="A202">
            <v>20209</v>
          </cell>
          <cell r="B202" t="str">
            <v>流光之拳</v>
          </cell>
        </row>
        <row r="203">
          <cell r="A203">
            <v>30209</v>
          </cell>
          <cell r="B203" t="str">
            <v>玫瑰骑士</v>
          </cell>
        </row>
        <row r="204">
          <cell r="A204">
            <v>51209</v>
          </cell>
          <cell r="B204" t="str">
            <v>黑鸦战衣</v>
          </cell>
        </row>
        <row r="205">
          <cell r="A205">
            <v>52209</v>
          </cell>
          <cell r="B205" t="str">
            <v>黑鸦长裤</v>
          </cell>
        </row>
        <row r="206">
          <cell r="A206">
            <v>55209</v>
          </cell>
          <cell r="B206" t="str">
            <v>黑鸦长靴</v>
          </cell>
        </row>
        <row r="207">
          <cell r="A207">
            <v>54209</v>
          </cell>
          <cell r="B207" t="str">
            <v>黑鸦腰带</v>
          </cell>
        </row>
        <row r="208">
          <cell r="A208">
            <v>53209</v>
          </cell>
          <cell r="B208" t="str">
            <v>黑鸦项链</v>
          </cell>
        </row>
        <row r="209">
          <cell r="A209">
            <v>10310</v>
          </cell>
          <cell r="B209" t="str">
            <v>爵士之刃</v>
          </cell>
        </row>
        <row r="210">
          <cell r="A210">
            <v>20310</v>
          </cell>
          <cell r="B210" t="str">
            <v>爵士之拳</v>
          </cell>
        </row>
        <row r="211">
          <cell r="A211">
            <v>30310</v>
          </cell>
          <cell r="B211" t="str">
            <v>爵士之枪</v>
          </cell>
        </row>
        <row r="212">
          <cell r="A212">
            <v>51310</v>
          </cell>
          <cell r="B212" t="str">
            <v>爵士战衣</v>
          </cell>
        </row>
        <row r="213">
          <cell r="A213">
            <v>52310</v>
          </cell>
          <cell r="B213" t="str">
            <v>爵士长裤</v>
          </cell>
        </row>
        <row r="214">
          <cell r="A214">
            <v>55310</v>
          </cell>
          <cell r="B214" t="str">
            <v>爵士长靴</v>
          </cell>
        </row>
        <row r="215">
          <cell r="A215">
            <v>54310</v>
          </cell>
          <cell r="B215" t="str">
            <v>爵士腰带</v>
          </cell>
        </row>
        <row r="216">
          <cell r="A216">
            <v>53310</v>
          </cell>
          <cell r="B216" t="str">
            <v>爵士项链</v>
          </cell>
        </row>
        <row r="217">
          <cell r="A217">
            <v>10411</v>
          </cell>
          <cell r="B217" t="str">
            <v>暴血之刃</v>
          </cell>
        </row>
        <row r="218">
          <cell r="A218">
            <v>20411</v>
          </cell>
          <cell r="B218" t="str">
            <v>暴血之拳</v>
          </cell>
        </row>
        <row r="219">
          <cell r="A219">
            <v>30411</v>
          </cell>
          <cell r="B219" t="str">
            <v>暴血之枪</v>
          </cell>
        </row>
        <row r="220">
          <cell r="A220">
            <v>51411</v>
          </cell>
          <cell r="B220" t="str">
            <v>暴血战衣</v>
          </cell>
        </row>
        <row r="221">
          <cell r="A221">
            <v>52411</v>
          </cell>
          <cell r="B221" t="str">
            <v>暴血长裤</v>
          </cell>
        </row>
        <row r="222">
          <cell r="A222">
            <v>55411</v>
          </cell>
          <cell r="B222" t="str">
            <v>暴血长靴</v>
          </cell>
        </row>
        <row r="223">
          <cell r="A223">
            <v>54411</v>
          </cell>
          <cell r="B223" t="str">
            <v>暴血腰带</v>
          </cell>
        </row>
        <row r="224">
          <cell r="A224">
            <v>53411</v>
          </cell>
          <cell r="B224" t="str">
            <v>暴血项链</v>
          </cell>
        </row>
        <row r="225">
          <cell r="A225">
            <v>10112</v>
          </cell>
          <cell r="B225" t="str">
            <v>勇气之刃</v>
          </cell>
        </row>
        <row r="226">
          <cell r="A226">
            <v>20112</v>
          </cell>
          <cell r="B226" t="str">
            <v>勇气之拳</v>
          </cell>
        </row>
        <row r="227">
          <cell r="A227">
            <v>30112</v>
          </cell>
          <cell r="B227" t="str">
            <v>勇气之枪</v>
          </cell>
        </row>
        <row r="228">
          <cell r="A228">
            <v>51112</v>
          </cell>
          <cell r="B228" t="str">
            <v>勇气战衣</v>
          </cell>
        </row>
        <row r="229">
          <cell r="A229">
            <v>52112</v>
          </cell>
          <cell r="B229" t="str">
            <v>勇气长裤</v>
          </cell>
        </row>
        <row r="230">
          <cell r="A230">
            <v>55112</v>
          </cell>
          <cell r="B230" t="str">
            <v>勇气长靴</v>
          </cell>
        </row>
        <row r="231">
          <cell r="A231">
            <v>54112</v>
          </cell>
          <cell r="B231" t="str">
            <v>勇气腰带</v>
          </cell>
        </row>
        <row r="232">
          <cell r="A232">
            <v>53112</v>
          </cell>
          <cell r="B232" t="str">
            <v>勇气项链</v>
          </cell>
        </row>
        <row r="233">
          <cell r="A233">
            <v>10213</v>
          </cell>
          <cell r="B233" t="str">
            <v>暗羽霸刀</v>
          </cell>
        </row>
        <row r="234">
          <cell r="A234">
            <v>20213</v>
          </cell>
          <cell r="B234" t="str">
            <v>暗羽之拳</v>
          </cell>
        </row>
        <row r="235">
          <cell r="A235">
            <v>30213</v>
          </cell>
          <cell r="B235" t="str">
            <v>暗羽之枪</v>
          </cell>
        </row>
        <row r="236">
          <cell r="A236">
            <v>51213</v>
          </cell>
          <cell r="B236" t="str">
            <v>暗羽战衣</v>
          </cell>
        </row>
        <row r="237">
          <cell r="A237">
            <v>52213</v>
          </cell>
          <cell r="B237" t="str">
            <v>暗羽长裤</v>
          </cell>
        </row>
        <row r="238">
          <cell r="A238">
            <v>55213</v>
          </cell>
          <cell r="B238" t="str">
            <v>暗羽长靴</v>
          </cell>
        </row>
        <row r="239">
          <cell r="A239">
            <v>54213</v>
          </cell>
          <cell r="B239" t="str">
            <v>暗羽腰带</v>
          </cell>
        </row>
        <row r="240">
          <cell r="A240">
            <v>53213</v>
          </cell>
          <cell r="B240" t="str">
            <v>暗羽项链</v>
          </cell>
        </row>
        <row r="241">
          <cell r="A241">
            <v>10314</v>
          </cell>
          <cell r="B241" t="str">
            <v>玄武霸刀</v>
          </cell>
        </row>
        <row r="242">
          <cell r="A242">
            <v>20314</v>
          </cell>
          <cell r="B242" t="str">
            <v>玄武之拳</v>
          </cell>
        </row>
        <row r="243">
          <cell r="A243">
            <v>30314</v>
          </cell>
          <cell r="B243" t="str">
            <v>玄武之枪</v>
          </cell>
        </row>
        <row r="244">
          <cell r="A244">
            <v>51314</v>
          </cell>
          <cell r="B244" t="str">
            <v>玄武战衣</v>
          </cell>
        </row>
        <row r="245">
          <cell r="A245">
            <v>52314</v>
          </cell>
          <cell r="B245" t="str">
            <v>玄武长裤</v>
          </cell>
        </row>
        <row r="246">
          <cell r="A246">
            <v>55314</v>
          </cell>
          <cell r="B246" t="str">
            <v>玄武长靴</v>
          </cell>
        </row>
        <row r="247">
          <cell r="A247">
            <v>54314</v>
          </cell>
          <cell r="B247" t="str">
            <v>玄武腰带</v>
          </cell>
        </row>
        <row r="248">
          <cell r="A248">
            <v>53314</v>
          </cell>
          <cell r="B248" t="str">
            <v>玄武项链</v>
          </cell>
        </row>
        <row r="249">
          <cell r="A249">
            <v>10415</v>
          </cell>
          <cell r="B249" t="str">
            <v>暗魔之刃</v>
          </cell>
        </row>
        <row r="250">
          <cell r="A250">
            <v>20415</v>
          </cell>
          <cell r="B250" t="str">
            <v>暗魔之拳</v>
          </cell>
        </row>
        <row r="251">
          <cell r="A251">
            <v>30415</v>
          </cell>
          <cell r="B251" t="str">
            <v>暗魔之枪</v>
          </cell>
        </row>
        <row r="252">
          <cell r="A252">
            <v>51415</v>
          </cell>
          <cell r="B252" t="str">
            <v>暗魔战衣</v>
          </cell>
        </row>
        <row r="253">
          <cell r="A253">
            <v>52415</v>
          </cell>
          <cell r="B253" t="str">
            <v>暗魔长裤</v>
          </cell>
        </row>
        <row r="254">
          <cell r="A254">
            <v>55415</v>
          </cell>
          <cell r="B254" t="str">
            <v>暗魔长靴</v>
          </cell>
        </row>
        <row r="255">
          <cell r="A255">
            <v>54415</v>
          </cell>
          <cell r="B255" t="str">
            <v>暗魔腰带</v>
          </cell>
        </row>
        <row r="256">
          <cell r="A256">
            <v>53415</v>
          </cell>
          <cell r="B256" t="str">
            <v>暗魔项链</v>
          </cell>
        </row>
        <row r="257">
          <cell r="A257">
            <v>10116</v>
          </cell>
          <cell r="B257" t="str">
            <v>战爵之刃</v>
          </cell>
        </row>
        <row r="258">
          <cell r="A258">
            <v>20116</v>
          </cell>
          <cell r="B258" t="str">
            <v>战爵之拳</v>
          </cell>
        </row>
        <row r="259">
          <cell r="A259">
            <v>30116</v>
          </cell>
          <cell r="B259" t="str">
            <v>战爵之枪</v>
          </cell>
        </row>
        <row r="260">
          <cell r="A260">
            <v>51116</v>
          </cell>
          <cell r="B260" t="str">
            <v>战爵之衣</v>
          </cell>
        </row>
        <row r="261">
          <cell r="A261">
            <v>52116</v>
          </cell>
          <cell r="B261" t="str">
            <v>战爵长裤</v>
          </cell>
        </row>
        <row r="262">
          <cell r="A262">
            <v>55116</v>
          </cell>
          <cell r="B262" t="str">
            <v>战爵长靴</v>
          </cell>
        </row>
        <row r="263">
          <cell r="A263">
            <v>54116</v>
          </cell>
          <cell r="B263" t="str">
            <v>战爵腰带</v>
          </cell>
        </row>
        <row r="264">
          <cell r="A264">
            <v>53116</v>
          </cell>
          <cell r="B264" t="str">
            <v>战爵项链</v>
          </cell>
        </row>
        <row r="265">
          <cell r="A265">
            <v>10217</v>
          </cell>
          <cell r="B265" t="str">
            <v>嗜血之剑</v>
          </cell>
        </row>
        <row r="266">
          <cell r="A266">
            <v>20217</v>
          </cell>
          <cell r="B266" t="str">
            <v>嗜血拳</v>
          </cell>
        </row>
        <row r="267">
          <cell r="A267">
            <v>30217</v>
          </cell>
          <cell r="B267" t="str">
            <v>嗜血枪</v>
          </cell>
        </row>
        <row r="268">
          <cell r="A268">
            <v>51217</v>
          </cell>
          <cell r="B268" t="str">
            <v>嗜血战衣</v>
          </cell>
        </row>
        <row r="269">
          <cell r="A269">
            <v>52217</v>
          </cell>
          <cell r="B269" t="str">
            <v>嗜血长裤</v>
          </cell>
        </row>
        <row r="270">
          <cell r="A270">
            <v>55217</v>
          </cell>
          <cell r="B270" t="str">
            <v>嗜血长靴</v>
          </cell>
        </row>
        <row r="271">
          <cell r="A271">
            <v>54217</v>
          </cell>
          <cell r="B271" t="str">
            <v>嗜血腰带</v>
          </cell>
        </row>
        <row r="272">
          <cell r="A272">
            <v>53217</v>
          </cell>
          <cell r="B272" t="str">
            <v>嗜血项链</v>
          </cell>
        </row>
        <row r="273">
          <cell r="A273">
            <v>10318</v>
          </cell>
          <cell r="B273" t="str">
            <v>霸道之刃</v>
          </cell>
        </row>
        <row r="274">
          <cell r="A274">
            <v>20318</v>
          </cell>
          <cell r="B274" t="str">
            <v>霸道之拳</v>
          </cell>
        </row>
        <row r="275">
          <cell r="A275">
            <v>30318</v>
          </cell>
          <cell r="B275" t="str">
            <v>霸道之枪</v>
          </cell>
        </row>
        <row r="276">
          <cell r="A276">
            <v>51318</v>
          </cell>
          <cell r="B276" t="str">
            <v>霸道战衣</v>
          </cell>
        </row>
        <row r="277">
          <cell r="A277">
            <v>52318</v>
          </cell>
          <cell r="B277" t="str">
            <v>霸道长裤</v>
          </cell>
        </row>
        <row r="278">
          <cell r="A278">
            <v>55318</v>
          </cell>
          <cell r="B278" t="str">
            <v>霸道长靴</v>
          </cell>
        </row>
        <row r="279">
          <cell r="A279">
            <v>54318</v>
          </cell>
          <cell r="B279" t="str">
            <v>霸道腰带</v>
          </cell>
        </row>
        <row r="280">
          <cell r="A280">
            <v>53318</v>
          </cell>
          <cell r="B280" t="str">
            <v>霸道项链</v>
          </cell>
        </row>
        <row r="281">
          <cell r="A281">
            <v>10419</v>
          </cell>
          <cell r="B281" t="str">
            <v>白虎霸刀</v>
          </cell>
        </row>
        <row r="282">
          <cell r="A282">
            <v>20419</v>
          </cell>
          <cell r="B282" t="str">
            <v>白虎之拳</v>
          </cell>
        </row>
        <row r="283">
          <cell r="A283">
            <v>30419</v>
          </cell>
          <cell r="B283" t="str">
            <v>白虎之枪</v>
          </cell>
        </row>
        <row r="284">
          <cell r="A284">
            <v>51419</v>
          </cell>
          <cell r="B284" t="str">
            <v>白虎战衣</v>
          </cell>
        </row>
        <row r="285">
          <cell r="A285">
            <v>52419</v>
          </cell>
          <cell r="B285" t="str">
            <v>白虎长裤</v>
          </cell>
        </row>
        <row r="286">
          <cell r="A286">
            <v>55419</v>
          </cell>
          <cell r="B286" t="str">
            <v>白虎长靴</v>
          </cell>
        </row>
        <row r="287">
          <cell r="A287">
            <v>54419</v>
          </cell>
          <cell r="B287" t="str">
            <v>白虎腰带</v>
          </cell>
        </row>
        <row r="288">
          <cell r="A288">
            <v>53419</v>
          </cell>
          <cell r="B288" t="str">
            <v>白虎项链</v>
          </cell>
        </row>
        <row r="289">
          <cell r="A289">
            <v>10120</v>
          </cell>
          <cell r="B289" t="str">
            <v>堕落之刃</v>
          </cell>
        </row>
        <row r="290">
          <cell r="A290">
            <v>20120</v>
          </cell>
          <cell r="B290" t="str">
            <v>堕落之拳</v>
          </cell>
        </row>
        <row r="291">
          <cell r="A291">
            <v>30120</v>
          </cell>
          <cell r="B291" t="str">
            <v>堕落之枪</v>
          </cell>
        </row>
        <row r="292">
          <cell r="A292">
            <v>51120</v>
          </cell>
          <cell r="B292" t="str">
            <v>堕落战衣</v>
          </cell>
        </row>
        <row r="293">
          <cell r="A293">
            <v>52120</v>
          </cell>
          <cell r="B293" t="str">
            <v>堕落长裤</v>
          </cell>
        </row>
        <row r="294">
          <cell r="A294">
            <v>55120</v>
          </cell>
          <cell r="B294" t="str">
            <v>堕落长靴</v>
          </cell>
        </row>
        <row r="295">
          <cell r="A295">
            <v>54120</v>
          </cell>
          <cell r="B295" t="str">
            <v>堕落腰带</v>
          </cell>
        </row>
        <row r="296">
          <cell r="A296">
            <v>53120</v>
          </cell>
          <cell r="B296" t="str">
            <v>堕落项链</v>
          </cell>
        </row>
        <row r="297">
          <cell r="A297">
            <v>10221</v>
          </cell>
          <cell r="B297" t="str">
            <v>幻痛霸刀</v>
          </cell>
        </row>
        <row r="298">
          <cell r="A298">
            <v>20221</v>
          </cell>
          <cell r="B298" t="str">
            <v>幻痛之拳</v>
          </cell>
        </row>
        <row r="299">
          <cell r="A299">
            <v>30221</v>
          </cell>
          <cell r="B299" t="str">
            <v>幻痛之枪</v>
          </cell>
        </row>
        <row r="300">
          <cell r="A300">
            <v>51221</v>
          </cell>
          <cell r="B300" t="str">
            <v>幻痛战衣</v>
          </cell>
        </row>
        <row r="301">
          <cell r="A301">
            <v>52221</v>
          </cell>
          <cell r="B301" t="str">
            <v>幻痛长裤</v>
          </cell>
        </row>
        <row r="302">
          <cell r="A302">
            <v>55221</v>
          </cell>
          <cell r="B302" t="str">
            <v>幻痛长靴</v>
          </cell>
        </row>
        <row r="303">
          <cell r="A303">
            <v>54221</v>
          </cell>
          <cell r="B303" t="str">
            <v>幻痛腰带</v>
          </cell>
        </row>
        <row r="304">
          <cell r="A304">
            <v>53221</v>
          </cell>
          <cell r="B304" t="str">
            <v>幻痛项链</v>
          </cell>
        </row>
        <row r="305">
          <cell r="A305">
            <v>10322</v>
          </cell>
          <cell r="B305" t="str">
            <v>焚天之剑</v>
          </cell>
        </row>
        <row r="306">
          <cell r="A306">
            <v>20322</v>
          </cell>
          <cell r="B306" t="str">
            <v>焚天之拳</v>
          </cell>
        </row>
        <row r="307">
          <cell r="A307">
            <v>30322</v>
          </cell>
          <cell r="B307" t="str">
            <v>焚天之枪</v>
          </cell>
        </row>
        <row r="308">
          <cell r="A308">
            <v>51322</v>
          </cell>
          <cell r="B308" t="str">
            <v>焚天战衣</v>
          </cell>
        </row>
        <row r="309">
          <cell r="A309">
            <v>52322</v>
          </cell>
          <cell r="B309" t="str">
            <v>焚天长裤</v>
          </cell>
        </row>
        <row r="310">
          <cell r="A310">
            <v>55322</v>
          </cell>
          <cell r="B310" t="str">
            <v>焚天长靴</v>
          </cell>
        </row>
        <row r="311">
          <cell r="A311">
            <v>54322</v>
          </cell>
          <cell r="B311" t="str">
            <v>焚天腰带</v>
          </cell>
        </row>
        <row r="312">
          <cell r="A312">
            <v>53322</v>
          </cell>
          <cell r="B312" t="str">
            <v>焚天项链</v>
          </cell>
        </row>
        <row r="313">
          <cell r="A313">
            <v>10423</v>
          </cell>
          <cell r="B313" t="str">
            <v>朱雀霸刀</v>
          </cell>
        </row>
        <row r="314">
          <cell r="A314">
            <v>20423</v>
          </cell>
          <cell r="B314" t="str">
            <v>朱雀之拳</v>
          </cell>
        </row>
        <row r="315">
          <cell r="A315">
            <v>30423</v>
          </cell>
          <cell r="B315" t="str">
            <v>朱雀之枪</v>
          </cell>
        </row>
        <row r="316">
          <cell r="A316">
            <v>51423</v>
          </cell>
          <cell r="B316" t="str">
            <v>朱雀战衣</v>
          </cell>
        </row>
        <row r="317">
          <cell r="A317">
            <v>52423</v>
          </cell>
          <cell r="B317" t="str">
            <v>朱雀长裤</v>
          </cell>
        </row>
        <row r="318">
          <cell r="A318">
            <v>55423</v>
          </cell>
          <cell r="B318" t="str">
            <v>朱雀长靴</v>
          </cell>
        </row>
        <row r="319">
          <cell r="A319">
            <v>54423</v>
          </cell>
          <cell r="B319" t="str">
            <v>朱雀腰带</v>
          </cell>
        </row>
        <row r="320">
          <cell r="A320">
            <v>53423</v>
          </cell>
          <cell r="B320" t="str">
            <v>朱雀项链</v>
          </cell>
        </row>
        <row r="321">
          <cell r="A321">
            <v>10124</v>
          </cell>
          <cell r="B321" t="str">
            <v>高洁之刃</v>
          </cell>
        </row>
        <row r="322">
          <cell r="A322">
            <v>20124</v>
          </cell>
          <cell r="B322" t="str">
            <v>高洁之拳</v>
          </cell>
        </row>
        <row r="323">
          <cell r="A323">
            <v>30124</v>
          </cell>
          <cell r="B323" t="str">
            <v>高洁之枪</v>
          </cell>
        </row>
        <row r="324">
          <cell r="A324">
            <v>51124</v>
          </cell>
          <cell r="B324" t="str">
            <v>高洁战衣</v>
          </cell>
        </row>
        <row r="325">
          <cell r="A325">
            <v>52124</v>
          </cell>
          <cell r="B325" t="str">
            <v>高洁长裤</v>
          </cell>
        </row>
        <row r="326">
          <cell r="A326">
            <v>55124</v>
          </cell>
          <cell r="B326" t="str">
            <v>高洁长靴</v>
          </cell>
        </row>
        <row r="327">
          <cell r="A327">
            <v>54124</v>
          </cell>
          <cell r="B327" t="str">
            <v>高洁腰带</v>
          </cell>
        </row>
        <row r="328">
          <cell r="A328">
            <v>53124</v>
          </cell>
          <cell r="B328" t="str">
            <v>高洁项链</v>
          </cell>
        </row>
        <row r="329">
          <cell r="A329">
            <v>10225</v>
          </cell>
          <cell r="B329" t="str">
            <v>星宿之刃</v>
          </cell>
        </row>
        <row r="330">
          <cell r="A330">
            <v>20225</v>
          </cell>
          <cell r="B330" t="str">
            <v>星宿之拳</v>
          </cell>
        </row>
        <row r="331">
          <cell r="A331">
            <v>30225</v>
          </cell>
          <cell r="B331" t="str">
            <v>星宿之枪</v>
          </cell>
        </row>
        <row r="332">
          <cell r="A332">
            <v>51225</v>
          </cell>
          <cell r="B332" t="str">
            <v>星宿战衣</v>
          </cell>
        </row>
        <row r="333">
          <cell r="A333">
            <v>52225</v>
          </cell>
          <cell r="B333" t="str">
            <v>星宿长裤</v>
          </cell>
        </row>
        <row r="334">
          <cell r="A334">
            <v>55225</v>
          </cell>
          <cell r="B334" t="str">
            <v>星宿长靴</v>
          </cell>
        </row>
        <row r="335">
          <cell r="A335">
            <v>54225</v>
          </cell>
          <cell r="B335" t="str">
            <v>星宿腰带</v>
          </cell>
        </row>
        <row r="336">
          <cell r="A336">
            <v>53225</v>
          </cell>
          <cell r="B336" t="str">
            <v>星宿项链</v>
          </cell>
        </row>
        <row r="337">
          <cell r="A337">
            <v>10326</v>
          </cell>
          <cell r="B337" t="str">
            <v>炼狱之剑</v>
          </cell>
        </row>
        <row r="338">
          <cell r="A338">
            <v>20326</v>
          </cell>
          <cell r="B338" t="str">
            <v>炼狱之拳</v>
          </cell>
        </row>
        <row r="339">
          <cell r="A339">
            <v>30326</v>
          </cell>
          <cell r="B339" t="str">
            <v>炼狱之枪</v>
          </cell>
        </row>
        <row r="340">
          <cell r="A340">
            <v>51326</v>
          </cell>
          <cell r="B340" t="str">
            <v>炼狱战衣</v>
          </cell>
        </row>
        <row r="341">
          <cell r="A341">
            <v>52326</v>
          </cell>
          <cell r="B341" t="str">
            <v>炼狱长裤</v>
          </cell>
        </row>
        <row r="342">
          <cell r="A342">
            <v>55326</v>
          </cell>
          <cell r="B342" t="str">
            <v>炼狱长靴</v>
          </cell>
        </row>
        <row r="343">
          <cell r="A343">
            <v>54326</v>
          </cell>
          <cell r="B343" t="str">
            <v>炼狱腰带</v>
          </cell>
        </row>
        <row r="344">
          <cell r="A344">
            <v>53326</v>
          </cell>
          <cell r="B344" t="str">
            <v>炼狱项链</v>
          </cell>
        </row>
        <row r="345">
          <cell r="A345">
            <v>10427</v>
          </cell>
          <cell r="B345" t="str">
            <v>青龙霸刀</v>
          </cell>
        </row>
        <row r="346">
          <cell r="A346">
            <v>20427</v>
          </cell>
          <cell r="B346" t="str">
            <v>青龙之拳</v>
          </cell>
        </row>
        <row r="347">
          <cell r="A347">
            <v>30427</v>
          </cell>
          <cell r="B347" t="str">
            <v>青龙之枪</v>
          </cell>
        </row>
        <row r="348">
          <cell r="A348">
            <v>51427</v>
          </cell>
          <cell r="B348" t="str">
            <v>青龙战衣</v>
          </cell>
        </row>
        <row r="349">
          <cell r="A349">
            <v>52427</v>
          </cell>
          <cell r="B349" t="str">
            <v>青龙长裤</v>
          </cell>
        </row>
        <row r="350">
          <cell r="A350">
            <v>55427</v>
          </cell>
          <cell r="B350" t="str">
            <v>青龙长靴</v>
          </cell>
        </row>
        <row r="351">
          <cell r="A351">
            <v>54427</v>
          </cell>
          <cell r="B351" t="str">
            <v>青龙腰带</v>
          </cell>
        </row>
        <row r="352">
          <cell r="A352">
            <v>53427</v>
          </cell>
          <cell r="B352" t="str">
            <v>青龙项链</v>
          </cell>
        </row>
        <row r="353">
          <cell r="A353">
            <v>92131</v>
          </cell>
          <cell r="B353" t="str">
            <v>幸运戒指</v>
          </cell>
        </row>
        <row r="354">
          <cell r="A354">
            <v>92011</v>
          </cell>
          <cell r="B354" t="str">
            <v>亚诺</v>
          </cell>
        </row>
        <row r="355">
          <cell r="A355">
            <v>92228</v>
          </cell>
          <cell r="B355" t="str">
            <v>银色手环</v>
          </cell>
        </row>
        <row r="356">
          <cell r="A356">
            <v>92232</v>
          </cell>
          <cell r="B356" t="str">
            <v>鎏金手环</v>
          </cell>
        </row>
        <row r="357">
          <cell r="A357">
            <v>92121</v>
          </cell>
          <cell r="B357" t="str">
            <v>镀金耳钉</v>
          </cell>
        </row>
        <row r="358">
          <cell r="A358">
            <v>92243</v>
          </cell>
          <cell r="B358" t="str">
            <v>诅咒项链</v>
          </cell>
        </row>
        <row r="359">
          <cell r="A359">
            <v>92244</v>
          </cell>
          <cell r="B359" t="str">
            <v>金饰项链</v>
          </cell>
        </row>
        <row r="360">
          <cell r="A360">
            <v>92263</v>
          </cell>
          <cell r="B360" t="str">
            <v>银针手表</v>
          </cell>
        </row>
        <row r="361">
          <cell r="A361">
            <v>92277</v>
          </cell>
          <cell r="B361" t="str">
            <v>冬利</v>
          </cell>
        </row>
        <row r="362">
          <cell r="A362">
            <v>92233</v>
          </cell>
          <cell r="B362" t="str">
            <v>白金手环</v>
          </cell>
        </row>
        <row r="363">
          <cell r="A363">
            <v>92122</v>
          </cell>
          <cell r="B363" t="str">
            <v>银饰耳钉</v>
          </cell>
        </row>
        <row r="364">
          <cell r="A364">
            <v>92141</v>
          </cell>
          <cell r="B364" t="str">
            <v>白银戒指</v>
          </cell>
        </row>
        <row r="365">
          <cell r="A365">
            <v>92245</v>
          </cell>
          <cell r="B365" t="str">
            <v>水晶项链</v>
          </cell>
        </row>
        <row r="366">
          <cell r="A366">
            <v>92251</v>
          </cell>
          <cell r="B366" t="str">
            <v>红石项链</v>
          </cell>
        </row>
        <row r="367">
          <cell r="A367">
            <v>92264</v>
          </cell>
          <cell r="B367" t="str">
            <v>越野手表</v>
          </cell>
        </row>
        <row r="368">
          <cell r="A368">
            <v>92271</v>
          </cell>
          <cell r="B368" t="str">
            <v>精准手表</v>
          </cell>
        </row>
        <row r="369">
          <cell r="A369">
            <v>92278</v>
          </cell>
          <cell r="B369" t="str">
            <v>宝驼</v>
          </cell>
        </row>
        <row r="370">
          <cell r="A370">
            <v>92283</v>
          </cell>
          <cell r="B370" t="str">
            <v>小迭钞票</v>
          </cell>
        </row>
        <row r="371">
          <cell r="A371">
            <v>92287</v>
          </cell>
          <cell r="B371" t="str">
            <v>金块</v>
          </cell>
        </row>
        <row r="372">
          <cell r="A372">
            <v>92142</v>
          </cell>
          <cell r="B372" t="str">
            <v>黄金戒指</v>
          </cell>
        </row>
        <row r="373">
          <cell r="A373">
            <v>92235</v>
          </cell>
          <cell r="B373" t="str">
            <v>宝石手环</v>
          </cell>
        </row>
        <row r="374">
          <cell r="A374">
            <v>92012</v>
          </cell>
          <cell r="B374" t="str">
            <v>摩拉</v>
          </cell>
        </row>
        <row r="375">
          <cell r="A375">
            <v>92252</v>
          </cell>
          <cell r="B375" t="str">
            <v>青玉项链</v>
          </cell>
        </row>
        <row r="376">
          <cell r="A376">
            <v>92124</v>
          </cell>
          <cell r="B376" t="str">
            <v>水晶耳钉</v>
          </cell>
        </row>
        <row r="377">
          <cell r="A377">
            <v>92272</v>
          </cell>
          <cell r="B377" t="str">
            <v>金针手表</v>
          </cell>
        </row>
        <row r="378">
          <cell r="A378">
            <v>92273</v>
          </cell>
          <cell r="B378" t="str">
            <v>智能手表</v>
          </cell>
        </row>
        <row r="379">
          <cell r="A379">
            <v>92279</v>
          </cell>
          <cell r="B379" t="str">
            <v>宾倪</v>
          </cell>
        </row>
        <row r="380">
          <cell r="A380">
            <v>92284</v>
          </cell>
          <cell r="B380" t="str">
            <v>大迭钞票</v>
          </cell>
        </row>
        <row r="381">
          <cell r="A381">
            <v>92288</v>
          </cell>
          <cell r="B381" t="str">
            <v>大金块</v>
          </cell>
        </row>
        <row r="382">
          <cell r="A382">
            <v>92125</v>
          </cell>
          <cell r="B382" t="str">
            <v>红石耳钉</v>
          </cell>
        </row>
        <row r="383">
          <cell r="A383">
            <v>92134</v>
          </cell>
          <cell r="B383" t="str">
            <v>毒蝎耳钉</v>
          </cell>
        </row>
        <row r="384">
          <cell r="A384">
            <v>92223</v>
          </cell>
          <cell r="B384" t="str">
            <v>赤金戒指</v>
          </cell>
        </row>
        <row r="385">
          <cell r="A385">
            <v>92227</v>
          </cell>
          <cell r="B385" t="str">
            <v>王者手环</v>
          </cell>
        </row>
        <row r="386">
          <cell r="A386">
            <v>92236</v>
          </cell>
          <cell r="B386" t="str">
            <v>符文手环</v>
          </cell>
        </row>
        <row r="387">
          <cell r="A387">
            <v>92013</v>
          </cell>
          <cell r="B387" t="str">
            <v>月立</v>
          </cell>
        </row>
        <row r="388">
          <cell r="A388">
            <v>92253</v>
          </cell>
          <cell r="B388" t="str">
            <v>猫妖项链</v>
          </cell>
        </row>
        <row r="389">
          <cell r="A389">
            <v>92254</v>
          </cell>
          <cell r="B389" t="str">
            <v>苍蓝项链</v>
          </cell>
        </row>
        <row r="390">
          <cell r="A390">
            <v>92274</v>
          </cell>
          <cell r="B390" t="str">
            <v>汉密手表</v>
          </cell>
        </row>
        <row r="391">
          <cell r="A391">
            <v>92280</v>
          </cell>
          <cell r="B391" t="str">
            <v>法拉捷</v>
          </cell>
        </row>
        <row r="392">
          <cell r="A392">
            <v>92285</v>
          </cell>
          <cell r="B392" t="str">
            <v>大堆钞票</v>
          </cell>
        </row>
        <row r="393">
          <cell r="A393">
            <v>92289</v>
          </cell>
          <cell r="B393" t="str">
            <v>小堆金块</v>
          </cell>
        </row>
        <row r="394">
          <cell r="A394">
            <v>92014</v>
          </cell>
          <cell r="B394" t="str">
            <v>菠萝</v>
          </cell>
        </row>
        <row r="395">
          <cell r="A395">
            <v>92296</v>
          </cell>
          <cell r="B395" t="str">
            <v>星光红石</v>
          </cell>
        </row>
        <row r="396">
          <cell r="A396">
            <v>92240</v>
          </cell>
          <cell r="B396" t="str">
            <v>苍蓝戒指</v>
          </cell>
        </row>
        <row r="397">
          <cell r="A397">
            <v>92292</v>
          </cell>
          <cell r="B397" t="str">
            <v>金饰宝盒</v>
          </cell>
        </row>
        <row r="398">
          <cell r="A398">
            <v>92256</v>
          </cell>
          <cell r="B398" t="str">
            <v>圣徒项链</v>
          </cell>
        </row>
        <row r="399">
          <cell r="A399">
            <v>92261</v>
          </cell>
          <cell r="B399" t="str">
            <v>贵族项链</v>
          </cell>
        </row>
        <row r="400">
          <cell r="A400">
            <v>92275</v>
          </cell>
          <cell r="B400" t="str">
            <v>千国手表</v>
          </cell>
        </row>
        <row r="401">
          <cell r="A401">
            <v>92281</v>
          </cell>
          <cell r="B401" t="str">
            <v>红博机利</v>
          </cell>
        </row>
        <row r="402">
          <cell r="A402">
            <v>92286</v>
          </cell>
          <cell r="B402" t="str">
            <v>巨额钞票</v>
          </cell>
        </row>
        <row r="403">
          <cell r="A403">
            <v>92290</v>
          </cell>
          <cell r="B403" t="str">
            <v>大堆金块</v>
          </cell>
        </row>
        <row r="404">
          <cell r="A404">
            <v>92026</v>
          </cell>
          <cell r="B404" t="str">
            <v>深蓝</v>
          </cell>
        </row>
        <row r="405">
          <cell r="A405">
            <v>92255</v>
          </cell>
          <cell r="B405" t="str">
            <v>黑耀项链</v>
          </cell>
        </row>
        <row r="406">
          <cell r="A406">
            <v>92297</v>
          </cell>
          <cell r="B406" t="str">
            <v>翠绿之心</v>
          </cell>
        </row>
        <row r="407">
          <cell r="A407">
            <v>92293</v>
          </cell>
          <cell r="B407" t="str">
            <v>珍珠宝盒</v>
          </cell>
        </row>
        <row r="408">
          <cell r="A408">
            <v>92294</v>
          </cell>
          <cell r="B408" t="str">
            <v>古董宝盒</v>
          </cell>
        </row>
        <row r="409">
          <cell r="A409">
            <v>92295</v>
          </cell>
          <cell r="B409" t="str">
            <v>水晶宝盒</v>
          </cell>
        </row>
        <row r="410">
          <cell r="A410">
            <v>92262</v>
          </cell>
          <cell r="B410" t="str">
            <v>皇家项链</v>
          </cell>
        </row>
        <row r="411">
          <cell r="A411">
            <v>92298</v>
          </cell>
          <cell r="B411" t="str">
            <v>海洋之泪</v>
          </cell>
        </row>
        <row r="412">
          <cell r="A412">
            <v>92276</v>
          </cell>
          <cell r="B412" t="str">
            <v>壕利手表</v>
          </cell>
        </row>
        <row r="413">
          <cell r="A413">
            <v>92282</v>
          </cell>
          <cell r="B413" t="str">
            <v>劳莱斯特</v>
          </cell>
        </row>
        <row r="414">
          <cell r="A414">
            <v>92299</v>
          </cell>
          <cell r="B414" t="str">
            <v>房产证</v>
          </cell>
        </row>
        <row r="415">
          <cell r="A415">
            <v>92291</v>
          </cell>
          <cell r="B415" t="str">
            <v>巨量金块</v>
          </cell>
        </row>
        <row r="416">
          <cell r="A416">
            <v>93233</v>
          </cell>
          <cell r="B416" t="str">
            <v>白金手环碎片</v>
          </cell>
        </row>
        <row r="417">
          <cell r="A417">
            <v>93122</v>
          </cell>
          <cell r="B417" t="str">
            <v>银饰耳钉碎片</v>
          </cell>
        </row>
        <row r="418">
          <cell r="A418">
            <v>93141</v>
          </cell>
          <cell r="B418" t="str">
            <v>白银戒指碎片</v>
          </cell>
        </row>
        <row r="419">
          <cell r="A419">
            <v>93245</v>
          </cell>
          <cell r="B419" t="str">
            <v>水晶项链碎片</v>
          </cell>
        </row>
        <row r="420">
          <cell r="A420">
            <v>93251</v>
          </cell>
          <cell r="B420" t="str">
            <v>红石项链碎片</v>
          </cell>
        </row>
        <row r="421">
          <cell r="A421">
            <v>93264</v>
          </cell>
          <cell r="B421" t="str">
            <v>越野手表碎片</v>
          </cell>
        </row>
        <row r="422">
          <cell r="A422">
            <v>93271</v>
          </cell>
          <cell r="B422" t="str">
            <v>精准手表碎片</v>
          </cell>
        </row>
        <row r="423">
          <cell r="A423">
            <v>93278</v>
          </cell>
          <cell r="B423" t="str">
            <v>宝驼碎片</v>
          </cell>
        </row>
        <row r="424">
          <cell r="A424">
            <v>93283</v>
          </cell>
          <cell r="B424" t="str">
            <v>小迭钞票碎片</v>
          </cell>
        </row>
        <row r="425">
          <cell r="A425">
            <v>93287</v>
          </cell>
          <cell r="B425" t="str">
            <v>金块碎片</v>
          </cell>
        </row>
        <row r="426">
          <cell r="A426">
            <v>93142</v>
          </cell>
          <cell r="B426" t="str">
            <v>黄金戒指碎片</v>
          </cell>
        </row>
        <row r="427">
          <cell r="A427">
            <v>93235</v>
          </cell>
          <cell r="B427" t="str">
            <v>宝石手环碎片</v>
          </cell>
        </row>
        <row r="428">
          <cell r="A428">
            <v>93012</v>
          </cell>
          <cell r="B428" t="str">
            <v>摩拉碎片</v>
          </cell>
        </row>
        <row r="429">
          <cell r="A429">
            <v>93252</v>
          </cell>
          <cell r="B429" t="str">
            <v>青玉项链碎片</v>
          </cell>
        </row>
        <row r="430">
          <cell r="A430">
            <v>93124</v>
          </cell>
          <cell r="B430" t="str">
            <v>水晶耳钉碎片</v>
          </cell>
        </row>
        <row r="431">
          <cell r="A431">
            <v>93272</v>
          </cell>
          <cell r="B431" t="str">
            <v>金针手表碎片</v>
          </cell>
        </row>
        <row r="432">
          <cell r="A432">
            <v>93273</v>
          </cell>
          <cell r="B432" t="str">
            <v>智能手表碎片</v>
          </cell>
        </row>
        <row r="433">
          <cell r="A433">
            <v>93279</v>
          </cell>
          <cell r="B433" t="str">
            <v>宾倪碎片</v>
          </cell>
        </row>
        <row r="434">
          <cell r="A434">
            <v>93284</v>
          </cell>
          <cell r="B434" t="str">
            <v>大迭钞票碎片</v>
          </cell>
        </row>
        <row r="435">
          <cell r="A435">
            <v>93288</v>
          </cell>
          <cell r="B435" t="str">
            <v>大金块碎片</v>
          </cell>
        </row>
        <row r="436">
          <cell r="A436">
            <v>93125</v>
          </cell>
          <cell r="B436" t="str">
            <v>红石耳钉碎片</v>
          </cell>
        </row>
        <row r="437">
          <cell r="A437">
            <v>93134</v>
          </cell>
          <cell r="B437" t="str">
            <v>毒蝎耳钉碎片</v>
          </cell>
        </row>
        <row r="438">
          <cell r="A438">
            <v>93223</v>
          </cell>
          <cell r="B438" t="str">
            <v>赤金戒指碎片</v>
          </cell>
        </row>
        <row r="439">
          <cell r="A439">
            <v>93227</v>
          </cell>
          <cell r="B439" t="str">
            <v>王者手环碎片</v>
          </cell>
        </row>
        <row r="440">
          <cell r="A440">
            <v>93236</v>
          </cell>
          <cell r="B440" t="str">
            <v>符文手环碎片</v>
          </cell>
        </row>
        <row r="441">
          <cell r="A441">
            <v>93013</v>
          </cell>
          <cell r="B441" t="str">
            <v>月立碎片</v>
          </cell>
        </row>
        <row r="442">
          <cell r="A442">
            <v>93253</v>
          </cell>
          <cell r="B442" t="str">
            <v>猫妖项链碎片</v>
          </cell>
        </row>
        <row r="443">
          <cell r="A443">
            <v>93254</v>
          </cell>
          <cell r="B443" t="str">
            <v>苍蓝项链碎片</v>
          </cell>
        </row>
        <row r="444">
          <cell r="A444">
            <v>93274</v>
          </cell>
          <cell r="B444" t="str">
            <v>汉密手表碎片</v>
          </cell>
        </row>
        <row r="445">
          <cell r="A445">
            <v>93280</v>
          </cell>
          <cell r="B445" t="str">
            <v>法拉捷碎片</v>
          </cell>
        </row>
        <row r="446">
          <cell r="A446">
            <v>93285</v>
          </cell>
          <cell r="B446" t="str">
            <v>大堆钞票碎片</v>
          </cell>
        </row>
        <row r="447">
          <cell r="A447">
            <v>93289</v>
          </cell>
          <cell r="B447" t="str">
            <v>小堆金块碎片</v>
          </cell>
        </row>
        <row r="448">
          <cell r="A448">
            <v>93014</v>
          </cell>
          <cell r="B448" t="str">
            <v>菠萝碎片</v>
          </cell>
        </row>
        <row r="449">
          <cell r="A449">
            <v>93296</v>
          </cell>
          <cell r="B449" t="str">
            <v>星光红石碎片</v>
          </cell>
        </row>
        <row r="450">
          <cell r="A450">
            <v>93240</v>
          </cell>
          <cell r="B450" t="str">
            <v>苍蓝戒指碎片</v>
          </cell>
        </row>
        <row r="451">
          <cell r="A451">
            <v>93292</v>
          </cell>
          <cell r="B451" t="str">
            <v>金饰宝盒碎片</v>
          </cell>
        </row>
        <row r="452">
          <cell r="A452">
            <v>93256</v>
          </cell>
          <cell r="B452" t="str">
            <v>圣徒项链碎片</v>
          </cell>
        </row>
        <row r="453">
          <cell r="A453">
            <v>93261</v>
          </cell>
          <cell r="B453" t="str">
            <v>贵族项链碎片</v>
          </cell>
        </row>
        <row r="454">
          <cell r="A454">
            <v>93275</v>
          </cell>
          <cell r="B454" t="str">
            <v>千国手表碎片</v>
          </cell>
        </row>
        <row r="455">
          <cell r="A455">
            <v>93281</v>
          </cell>
          <cell r="B455" t="str">
            <v>红博机利碎片</v>
          </cell>
        </row>
        <row r="456">
          <cell r="A456">
            <v>93286</v>
          </cell>
          <cell r="B456" t="str">
            <v>巨额钞票碎片</v>
          </cell>
        </row>
        <row r="457">
          <cell r="A457">
            <v>93290</v>
          </cell>
          <cell r="B457" t="str">
            <v>大堆金块碎片</v>
          </cell>
        </row>
        <row r="458">
          <cell r="A458">
            <v>93026</v>
          </cell>
          <cell r="B458" t="str">
            <v>深蓝碎片</v>
          </cell>
        </row>
        <row r="459">
          <cell r="A459">
            <v>93255</v>
          </cell>
          <cell r="B459" t="str">
            <v>黑耀项链碎片</v>
          </cell>
        </row>
        <row r="460">
          <cell r="A460">
            <v>93297</v>
          </cell>
          <cell r="B460" t="str">
            <v>翠绿之心碎片</v>
          </cell>
        </row>
        <row r="461">
          <cell r="A461">
            <v>93293</v>
          </cell>
          <cell r="B461" t="str">
            <v>珍珠宝盒碎片</v>
          </cell>
        </row>
        <row r="462">
          <cell r="A462">
            <v>93294</v>
          </cell>
          <cell r="B462" t="str">
            <v>古董宝盒碎片</v>
          </cell>
        </row>
        <row r="463">
          <cell r="A463">
            <v>93295</v>
          </cell>
          <cell r="B463" t="str">
            <v>水晶宝盒碎片</v>
          </cell>
        </row>
        <row r="464">
          <cell r="A464">
            <v>93262</v>
          </cell>
          <cell r="B464" t="str">
            <v>皇家项链碎片</v>
          </cell>
        </row>
        <row r="465">
          <cell r="A465">
            <v>93298</v>
          </cell>
          <cell r="B465" t="str">
            <v>海洋之泪碎片</v>
          </cell>
        </row>
        <row r="466">
          <cell r="A466">
            <v>93276</v>
          </cell>
          <cell r="B466" t="str">
            <v>壕利手表碎片</v>
          </cell>
        </row>
        <row r="467">
          <cell r="A467">
            <v>93282</v>
          </cell>
          <cell r="B467" t="str">
            <v>劳莱斯特碎片</v>
          </cell>
        </row>
        <row r="468">
          <cell r="A468">
            <v>93299</v>
          </cell>
          <cell r="B468" t="str">
            <v>房产证碎片</v>
          </cell>
        </row>
        <row r="469">
          <cell r="A469">
            <v>93291</v>
          </cell>
          <cell r="B469" t="str">
            <v>巨量金块碎片</v>
          </cell>
        </row>
        <row r="470">
          <cell r="A470">
            <v>101101</v>
          </cell>
          <cell r="B470" t="str">
            <v>制服太妹</v>
          </cell>
        </row>
        <row r="471">
          <cell r="A471">
            <v>101102</v>
          </cell>
          <cell r="B471" t="str">
            <v>蟹仔</v>
          </cell>
        </row>
        <row r="472">
          <cell r="A472">
            <v>101103</v>
          </cell>
          <cell r="B472" t="str">
            <v>比利</v>
          </cell>
        </row>
        <row r="473">
          <cell r="A473">
            <v>101104</v>
          </cell>
          <cell r="B473" t="str">
            <v>黎九</v>
          </cell>
        </row>
        <row r="474">
          <cell r="A474">
            <v>101105</v>
          </cell>
          <cell r="B474" t="str">
            <v>黑古</v>
          </cell>
        </row>
        <row r="475">
          <cell r="A475">
            <v>101106</v>
          </cell>
          <cell r="B475" t="str">
            <v>靓坤</v>
          </cell>
        </row>
        <row r="476">
          <cell r="A476">
            <v>101107</v>
          </cell>
          <cell r="B476" t="str">
            <v>雷复轰</v>
          </cell>
        </row>
        <row r="477">
          <cell r="A477">
            <v>101108</v>
          </cell>
          <cell r="B477" t="str">
            <v>肥仔</v>
          </cell>
        </row>
        <row r="478">
          <cell r="A478">
            <v>101109</v>
          </cell>
          <cell r="B478" t="str">
            <v>司徒浩南</v>
          </cell>
        </row>
        <row r="479">
          <cell r="A479">
            <v>101110</v>
          </cell>
          <cell r="B479" t="str">
            <v>乌鸦</v>
          </cell>
        </row>
        <row r="480">
          <cell r="A480">
            <v>101111</v>
          </cell>
          <cell r="B480" t="str">
            <v>赌王</v>
          </cell>
        </row>
        <row r="481">
          <cell r="A481">
            <v>101112</v>
          </cell>
          <cell r="B481" t="str">
            <v>山下忠秀</v>
          </cell>
        </row>
        <row r="482">
          <cell r="A482">
            <v>101113</v>
          </cell>
          <cell r="B482" t="str">
            <v>宫本一</v>
          </cell>
        </row>
        <row r="483">
          <cell r="A483">
            <v>101114</v>
          </cell>
          <cell r="B483" t="str">
            <v>陈浩南</v>
          </cell>
        </row>
        <row r="484">
          <cell r="A484">
            <v>101115</v>
          </cell>
          <cell r="B484" t="str">
            <v>山鸡</v>
          </cell>
        </row>
        <row r="485">
          <cell r="A485">
            <v>101116</v>
          </cell>
          <cell r="B485" t="str">
            <v>大天二</v>
          </cell>
        </row>
        <row r="486">
          <cell r="A486">
            <v>101117</v>
          </cell>
          <cell r="B486" t="str">
            <v>巴闭</v>
          </cell>
        </row>
        <row r="487">
          <cell r="A487">
            <v>101118</v>
          </cell>
          <cell r="B487" t="str">
            <v>耀阳</v>
          </cell>
        </row>
        <row r="488">
          <cell r="A488">
            <v>101119</v>
          </cell>
          <cell r="B488" t="str">
            <v>笑面虎</v>
          </cell>
        </row>
        <row r="489">
          <cell r="A489">
            <v>59001</v>
          </cell>
          <cell r="B489" t="str">
            <v>洪兴新星</v>
          </cell>
        </row>
        <row r="490">
          <cell r="A490">
            <v>59002</v>
          </cell>
          <cell r="B490" t="str">
            <v>洪兴打仔</v>
          </cell>
        </row>
        <row r="491">
          <cell r="A491">
            <v>59003</v>
          </cell>
          <cell r="B491" t="str">
            <v>扛把子</v>
          </cell>
        </row>
        <row r="492">
          <cell r="A492">
            <v>59004</v>
          </cell>
          <cell r="B492" t="str">
            <v>二路元帅</v>
          </cell>
        </row>
        <row r="493">
          <cell r="A493">
            <v>59005</v>
          </cell>
          <cell r="B493" t="str">
            <v>战无不胜</v>
          </cell>
        </row>
        <row r="494">
          <cell r="A494">
            <v>59006</v>
          </cell>
          <cell r="B494" t="str">
            <v>猛龙过江</v>
          </cell>
        </row>
        <row r="495">
          <cell r="A495">
            <v>59007</v>
          </cell>
          <cell r="B495" t="str">
            <v>神之手</v>
          </cell>
        </row>
        <row r="496">
          <cell r="A496">
            <v>59008</v>
          </cell>
          <cell r="B496" t="str">
            <v>富甲一方</v>
          </cell>
        </row>
        <row r="497">
          <cell r="A497">
            <v>59009</v>
          </cell>
          <cell r="B497" t="str">
            <v>壕气冲天</v>
          </cell>
        </row>
        <row r="498">
          <cell r="A498">
            <v>59010</v>
          </cell>
          <cell r="B498" t="str">
            <v>富可敌国</v>
          </cell>
        </row>
        <row r="499">
          <cell r="A499">
            <v>59030</v>
          </cell>
          <cell r="B499" t="str">
            <v>洪兴小财主</v>
          </cell>
        </row>
        <row r="500">
          <cell r="A500">
            <v>8001</v>
          </cell>
          <cell r="B500" t="str">
            <v>灰色物质</v>
          </cell>
        </row>
        <row r="501">
          <cell r="A501">
            <v>8110</v>
          </cell>
          <cell r="B501" t="str">
            <v>兽腾</v>
          </cell>
        </row>
        <row r="502">
          <cell r="A502">
            <v>8210</v>
          </cell>
          <cell r="B502" t="str">
            <v>战狂</v>
          </cell>
        </row>
        <row r="503">
          <cell r="A503">
            <v>8310</v>
          </cell>
          <cell r="B503" t="str">
            <v>贪狼</v>
          </cell>
        </row>
        <row r="504">
          <cell r="A504">
            <v>8120</v>
          </cell>
          <cell r="B504" t="str">
            <v>辉煌</v>
          </cell>
        </row>
        <row r="505">
          <cell r="A505">
            <v>8220</v>
          </cell>
          <cell r="B505" t="str">
            <v>破军</v>
          </cell>
        </row>
        <row r="506">
          <cell r="A506">
            <v>8320</v>
          </cell>
          <cell r="B506" t="str">
            <v>真刚</v>
          </cell>
        </row>
        <row r="507">
          <cell r="A507">
            <v>8420</v>
          </cell>
          <cell r="B507" t="str">
            <v>飞仙</v>
          </cell>
        </row>
        <row r="508">
          <cell r="A508">
            <v>8520</v>
          </cell>
          <cell r="B508" t="str">
            <v>虚空</v>
          </cell>
        </row>
        <row r="509">
          <cell r="A509">
            <v>8620</v>
          </cell>
          <cell r="B509" t="str">
            <v>无惧</v>
          </cell>
        </row>
        <row r="510">
          <cell r="A510">
            <v>8720</v>
          </cell>
          <cell r="B510" t="str">
            <v>天杀</v>
          </cell>
        </row>
        <row r="511">
          <cell r="A511">
            <v>8820</v>
          </cell>
          <cell r="B511" t="str">
            <v>诛魔</v>
          </cell>
        </row>
        <row r="512">
          <cell r="A512">
            <v>8130</v>
          </cell>
          <cell r="B512" t="str">
            <v>霸主</v>
          </cell>
        </row>
        <row r="513">
          <cell r="A513">
            <v>8230</v>
          </cell>
          <cell r="B513" t="str">
            <v>虎啸</v>
          </cell>
        </row>
        <row r="514">
          <cell r="A514">
            <v>8330</v>
          </cell>
          <cell r="B514" t="str">
            <v>豪魄</v>
          </cell>
        </row>
        <row r="515">
          <cell r="A515">
            <v>8430</v>
          </cell>
          <cell r="B515" t="str">
            <v>捉影</v>
          </cell>
        </row>
        <row r="516">
          <cell r="A516">
            <v>8530</v>
          </cell>
          <cell r="B516" t="str">
            <v>游刃</v>
          </cell>
        </row>
        <row r="517">
          <cell r="A517">
            <v>8630</v>
          </cell>
          <cell r="B517" t="str">
            <v>傲骨</v>
          </cell>
        </row>
        <row r="518">
          <cell r="A518">
            <v>8730</v>
          </cell>
          <cell r="B518" t="str">
            <v>心眼</v>
          </cell>
        </row>
        <row r="519">
          <cell r="A519">
            <v>8830</v>
          </cell>
          <cell r="B519" t="str">
            <v>噬生</v>
          </cell>
        </row>
        <row r="520">
          <cell r="A520">
            <v>8930</v>
          </cell>
          <cell r="B520" t="str">
            <v>痛击</v>
          </cell>
        </row>
        <row r="521">
          <cell r="A521">
            <v>9030</v>
          </cell>
          <cell r="B521" t="str">
            <v>不坏</v>
          </cell>
        </row>
        <row r="522">
          <cell r="A522">
            <v>9130</v>
          </cell>
          <cell r="B522" t="str">
            <v>寂灭</v>
          </cell>
        </row>
        <row r="523">
          <cell r="A523">
            <v>9230</v>
          </cell>
          <cell r="B523" t="str">
            <v>盘蛇</v>
          </cell>
        </row>
        <row r="524">
          <cell r="A524">
            <v>8140</v>
          </cell>
          <cell r="B524" t="str">
            <v>天命</v>
          </cell>
        </row>
        <row r="525">
          <cell r="A525">
            <v>8240</v>
          </cell>
          <cell r="B525" t="str">
            <v>龙吟</v>
          </cell>
        </row>
        <row r="526">
          <cell r="A526">
            <v>8340</v>
          </cell>
          <cell r="B526" t="str">
            <v>守御</v>
          </cell>
        </row>
        <row r="527">
          <cell r="A527">
            <v>8440</v>
          </cell>
          <cell r="B527" t="str">
            <v>千眼</v>
          </cell>
        </row>
        <row r="528">
          <cell r="A528">
            <v>8540</v>
          </cell>
          <cell r="B528" t="str">
            <v>逍遥</v>
          </cell>
        </row>
        <row r="529">
          <cell r="A529">
            <v>8640</v>
          </cell>
          <cell r="B529" t="str">
            <v>流离</v>
          </cell>
        </row>
        <row r="530">
          <cell r="A530">
            <v>8740</v>
          </cell>
          <cell r="B530" t="str">
            <v>夺魄</v>
          </cell>
        </row>
        <row r="531">
          <cell r="A531">
            <v>8840</v>
          </cell>
          <cell r="B531" t="str">
            <v>审判</v>
          </cell>
        </row>
        <row r="532">
          <cell r="A532">
            <v>8940</v>
          </cell>
          <cell r="B532" t="str">
            <v>破天</v>
          </cell>
        </row>
        <row r="533">
          <cell r="A533">
            <v>9040</v>
          </cell>
          <cell r="B533" t="str">
            <v>天狱</v>
          </cell>
        </row>
        <row r="534">
          <cell r="A534">
            <v>9140</v>
          </cell>
          <cell r="B534" t="str">
            <v>幽灵</v>
          </cell>
        </row>
        <row r="535">
          <cell r="A535">
            <v>9240</v>
          </cell>
          <cell r="B535" t="str">
            <v>困魔</v>
          </cell>
        </row>
        <row r="536">
          <cell r="A536">
            <v>9340</v>
          </cell>
          <cell r="B536" t="str">
            <v>无尽</v>
          </cell>
        </row>
        <row r="537">
          <cell r="A537">
            <v>9440</v>
          </cell>
          <cell r="B537" t="str">
            <v>无尽</v>
          </cell>
        </row>
        <row r="538">
          <cell r="A538">
            <v>9540</v>
          </cell>
          <cell r="B538" t="str">
            <v>八卦</v>
          </cell>
        </row>
        <row r="539">
          <cell r="A539">
            <v>9640</v>
          </cell>
          <cell r="B539" t="str">
            <v>剎那</v>
          </cell>
        </row>
        <row r="540">
          <cell r="A540">
            <v>9740</v>
          </cell>
          <cell r="B540" t="str">
            <v>咆哮</v>
          </cell>
        </row>
        <row r="541">
          <cell r="A541">
            <v>9840</v>
          </cell>
          <cell r="B541" t="str">
            <v>断罪</v>
          </cell>
        </row>
        <row r="542">
          <cell r="A542">
            <v>8150</v>
          </cell>
          <cell r="B542" t="str">
            <v>一元复始</v>
          </cell>
        </row>
        <row r="543">
          <cell r="A543">
            <v>8250</v>
          </cell>
          <cell r="B543" t="str">
            <v>大破坏神</v>
          </cell>
        </row>
        <row r="544">
          <cell r="A544">
            <v>8350</v>
          </cell>
          <cell r="B544" t="str">
            <v>天地无用</v>
          </cell>
        </row>
        <row r="545">
          <cell r="A545">
            <v>8450</v>
          </cell>
          <cell r="B545" t="str">
            <v>百步穿杨</v>
          </cell>
        </row>
        <row r="546">
          <cell r="A546">
            <v>8550</v>
          </cell>
          <cell r="B546" t="str">
            <v>破碎虚空</v>
          </cell>
        </row>
        <row r="547">
          <cell r="A547">
            <v>8650</v>
          </cell>
          <cell r="B547" t="str">
            <v>冰魄寒光</v>
          </cell>
        </row>
        <row r="548">
          <cell r="A548">
            <v>8750</v>
          </cell>
          <cell r="B548" t="str">
            <v>震破苍穹</v>
          </cell>
        </row>
        <row r="549">
          <cell r="A549">
            <v>8850</v>
          </cell>
          <cell r="B549" t="str">
            <v>雷霆万钧</v>
          </cell>
        </row>
        <row r="550">
          <cell r="A550">
            <v>8950</v>
          </cell>
          <cell r="B550" t="str">
            <v>快刀乱麻</v>
          </cell>
        </row>
        <row r="551">
          <cell r="A551">
            <v>9050</v>
          </cell>
          <cell r="B551" t="str">
            <v>明镜止水</v>
          </cell>
        </row>
        <row r="552">
          <cell r="A552">
            <v>9150</v>
          </cell>
          <cell r="B552" t="str">
            <v>背水一战</v>
          </cell>
        </row>
        <row r="553">
          <cell r="A553">
            <v>9250</v>
          </cell>
          <cell r="B553" t="str">
            <v>金钟护体</v>
          </cell>
        </row>
        <row r="554">
          <cell r="A554">
            <v>9350</v>
          </cell>
          <cell r="B554" t="str">
            <v>轩辕剑体</v>
          </cell>
        </row>
        <row r="555">
          <cell r="A555">
            <v>9450</v>
          </cell>
          <cell r="B555" t="str">
            <v>气势如虹</v>
          </cell>
        </row>
        <row r="556">
          <cell r="A556">
            <v>9550</v>
          </cell>
          <cell r="B556" t="str">
            <v>包罗万象</v>
          </cell>
        </row>
        <row r="557">
          <cell r="A557">
            <v>9650</v>
          </cell>
          <cell r="B557" t="str">
            <v>心无杂念</v>
          </cell>
        </row>
        <row r="558">
          <cell r="A558">
            <v>9750</v>
          </cell>
          <cell r="B558" t="str">
            <v>披荆斩棘</v>
          </cell>
        </row>
        <row r="559">
          <cell r="A559">
            <v>9850</v>
          </cell>
          <cell r="B559" t="str">
            <v>斗转星移</v>
          </cell>
        </row>
        <row r="560">
          <cell r="A560">
            <v>8430</v>
          </cell>
          <cell r="B560" t="str">
            <v>捉影</v>
          </cell>
        </row>
        <row r="561">
          <cell r="A561">
            <v>8530</v>
          </cell>
          <cell r="B561" t="str">
            <v>游刃</v>
          </cell>
        </row>
        <row r="562">
          <cell r="A562">
            <v>8630</v>
          </cell>
          <cell r="B562" t="str">
            <v>傲骨</v>
          </cell>
        </row>
        <row r="563">
          <cell r="A563">
            <v>8730</v>
          </cell>
          <cell r="B563" t="str">
            <v>心眼</v>
          </cell>
        </row>
        <row r="564">
          <cell r="A564">
            <v>8830</v>
          </cell>
          <cell r="B564" t="str">
            <v>噬生</v>
          </cell>
        </row>
        <row r="565">
          <cell r="A565">
            <v>8930</v>
          </cell>
          <cell r="B565" t="str">
            <v>痛击</v>
          </cell>
        </row>
        <row r="566">
          <cell r="A566">
            <v>9030</v>
          </cell>
          <cell r="B566" t="str">
            <v>不坏</v>
          </cell>
        </row>
        <row r="567">
          <cell r="A567">
            <v>9130</v>
          </cell>
          <cell r="B567" t="str">
            <v>寂灭</v>
          </cell>
        </row>
        <row r="568">
          <cell r="A568">
            <v>9230</v>
          </cell>
          <cell r="B568" t="str">
            <v>盘蛇</v>
          </cell>
        </row>
        <row r="569">
          <cell r="A569">
            <v>8140</v>
          </cell>
          <cell r="B569" t="str">
            <v>天命</v>
          </cell>
        </row>
        <row r="570">
          <cell r="A570">
            <v>8240</v>
          </cell>
          <cell r="B570" t="str">
            <v>龙吟</v>
          </cell>
        </row>
        <row r="571">
          <cell r="A571">
            <v>8340</v>
          </cell>
          <cell r="B571" t="str">
            <v>守御</v>
          </cell>
        </row>
        <row r="572">
          <cell r="A572">
            <v>8440</v>
          </cell>
          <cell r="B572" t="str">
            <v>千眼</v>
          </cell>
        </row>
        <row r="573">
          <cell r="A573">
            <v>8540</v>
          </cell>
          <cell r="B573" t="str">
            <v>逍遥</v>
          </cell>
        </row>
        <row r="574">
          <cell r="A574">
            <v>8640</v>
          </cell>
          <cell r="B574" t="str">
            <v>流离</v>
          </cell>
        </row>
        <row r="575">
          <cell r="A575">
            <v>8740</v>
          </cell>
          <cell r="B575" t="str">
            <v>夺魄</v>
          </cell>
        </row>
        <row r="576">
          <cell r="A576">
            <v>8840</v>
          </cell>
          <cell r="B576" t="str">
            <v>审判</v>
          </cell>
        </row>
        <row r="577">
          <cell r="A577">
            <v>8940</v>
          </cell>
          <cell r="B577" t="str">
            <v>破天</v>
          </cell>
        </row>
        <row r="578">
          <cell r="A578">
            <v>9040</v>
          </cell>
          <cell r="B578" t="str">
            <v>天狱</v>
          </cell>
        </row>
        <row r="579">
          <cell r="A579">
            <v>9140</v>
          </cell>
          <cell r="B579" t="str">
            <v>幽灵</v>
          </cell>
        </row>
        <row r="580">
          <cell r="A580">
            <v>9240</v>
          </cell>
          <cell r="B580" t="str">
            <v>困魔</v>
          </cell>
        </row>
        <row r="581">
          <cell r="A581">
            <v>9340</v>
          </cell>
          <cell r="B581" t="str">
            <v>元初</v>
          </cell>
        </row>
        <row r="582">
          <cell r="A582">
            <v>9440</v>
          </cell>
          <cell r="B582" t="str">
            <v>无尽</v>
          </cell>
        </row>
        <row r="583">
          <cell r="A583">
            <v>9540</v>
          </cell>
          <cell r="B583" t="str">
            <v>八卦</v>
          </cell>
        </row>
        <row r="584">
          <cell r="A584">
            <v>9640</v>
          </cell>
          <cell r="B584" t="str">
            <v>剎那</v>
          </cell>
        </row>
        <row r="585">
          <cell r="A585">
            <v>9740</v>
          </cell>
          <cell r="B585" t="str">
            <v>咆哮</v>
          </cell>
        </row>
        <row r="586">
          <cell r="A586">
            <v>9840</v>
          </cell>
          <cell r="B586" t="str">
            <v>断罪</v>
          </cell>
        </row>
        <row r="587">
          <cell r="A587">
            <v>8150</v>
          </cell>
          <cell r="B587" t="str">
            <v>一元复始</v>
          </cell>
        </row>
        <row r="588">
          <cell r="A588">
            <v>8250</v>
          </cell>
          <cell r="B588" t="str">
            <v>大破坏神</v>
          </cell>
        </row>
        <row r="589">
          <cell r="A589">
            <v>8350</v>
          </cell>
          <cell r="B589" t="str">
            <v>天地无用</v>
          </cell>
        </row>
        <row r="590">
          <cell r="A590">
            <v>8450</v>
          </cell>
          <cell r="B590" t="str">
            <v>百步穿杨</v>
          </cell>
        </row>
        <row r="591">
          <cell r="A591">
            <v>8550</v>
          </cell>
          <cell r="B591" t="str">
            <v>破碎虚空</v>
          </cell>
        </row>
        <row r="592">
          <cell r="A592">
            <v>8650</v>
          </cell>
          <cell r="B592" t="str">
            <v>冰魄寒光</v>
          </cell>
        </row>
        <row r="593">
          <cell r="A593">
            <v>8750</v>
          </cell>
          <cell r="B593" t="str">
            <v>震破苍穹</v>
          </cell>
        </row>
        <row r="594">
          <cell r="A594">
            <v>8850</v>
          </cell>
          <cell r="B594" t="str">
            <v>雷霆万钧</v>
          </cell>
        </row>
        <row r="595">
          <cell r="A595">
            <v>8950</v>
          </cell>
          <cell r="B595" t="str">
            <v>快刀乱麻</v>
          </cell>
        </row>
        <row r="596">
          <cell r="A596">
            <v>9050</v>
          </cell>
          <cell r="B596" t="str">
            <v>明镜止水</v>
          </cell>
        </row>
        <row r="597">
          <cell r="A597">
            <v>9150</v>
          </cell>
          <cell r="B597" t="str">
            <v>背水一战</v>
          </cell>
        </row>
        <row r="598">
          <cell r="A598">
            <v>9250</v>
          </cell>
          <cell r="B598" t="str">
            <v>金钟护体</v>
          </cell>
        </row>
        <row r="599">
          <cell r="A599">
            <v>9350</v>
          </cell>
          <cell r="B599" t="str">
            <v>轩辕剑体</v>
          </cell>
        </row>
        <row r="600">
          <cell r="A600">
            <v>9450</v>
          </cell>
          <cell r="B600" t="str">
            <v>气势如虹</v>
          </cell>
        </row>
        <row r="601">
          <cell r="A601">
            <v>9550</v>
          </cell>
          <cell r="B601" t="str">
            <v>包罗万象</v>
          </cell>
        </row>
        <row r="602">
          <cell r="A602">
            <v>9650</v>
          </cell>
          <cell r="B602" t="str">
            <v>心无杂念</v>
          </cell>
        </row>
        <row r="603">
          <cell r="A603">
            <v>9750</v>
          </cell>
          <cell r="B603" t="str">
            <v>披荆斩棘</v>
          </cell>
        </row>
        <row r="604">
          <cell r="A604">
            <v>9850</v>
          </cell>
          <cell r="B604" t="str">
            <v>斗转星移</v>
          </cell>
        </row>
      </sheetData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、经济设定"/>
      <sheetName val="1、经济推算"/>
      <sheetName val="升级时间"/>
      <sheetName val="金币生产率曲线"/>
      <sheetName val="技能消耗"/>
      <sheetName val="装备消耗"/>
      <sheetName val="竞技场"/>
      <sheetName val="体力消耗运算"/>
      <sheetName val="副本规划"/>
      <sheetName val="金币投放"/>
      <sheetName val="钻石投放"/>
      <sheetName val="经验投放节奏规划"/>
      <sheetName val="装备&amp;装备材料的投放"/>
      <sheetName val="龙魂的投放"/>
      <sheetName val="命币的投放"/>
      <sheetName val="马仔的投放"/>
      <sheetName val="马仔宝物投放"/>
      <sheetName val="技能材料的投放"/>
      <sheetName val="材料产出汇总"/>
      <sheetName val="价格评估并表"/>
      <sheetName val="道具价格评估"/>
      <sheetName val="马仔装备价格评估"/>
      <sheetName val="装备价格评估"/>
      <sheetName val="命格价格评估"/>
      <sheetName val="马仔价格评估"/>
      <sheetName val="龙魂价格评估"/>
    </sheetNames>
    <definedNames>
      <definedName name="游戏物价查询" refersTo="='价格评估并表'!$A$2:$G$1024"/>
    </definedNames>
    <sheetDataSet>
      <sheetData sheetId="0">
        <row r="18">
          <cell r="C18">
            <v>50</v>
          </cell>
          <cell r="E18">
            <v>0.1</v>
          </cell>
        </row>
        <row r="19">
          <cell r="C19">
            <v>500</v>
          </cell>
          <cell r="E19">
            <v>2E-3</v>
          </cell>
        </row>
        <row r="20">
          <cell r="C20">
            <v>0.1</v>
          </cell>
        </row>
      </sheetData>
      <sheetData sheetId="1">
        <row r="3">
          <cell r="F3">
            <v>198.13663151891618</v>
          </cell>
          <cell r="I3">
            <v>1.8345984399899647E-2</v>
          </cell>
        </row>
        <row r="4">
          <cell r="F4">
            <v>218.10069305368208</v>
          </cell>
          <cell r="I4">
            <v>2.0194508616081675E-2</v>
          </cell>
        </row>
        <row r="5">
          <cell r="F5">
            <v>240.07631474220921</v>
          </cell>
          <cell r="I5">
            <v>2.2229288402056412E-2</v>
          </cell>
        </row>
        <row r="6">
          <cell r="F6">
            <v>264.26617950275812</v>
          </cell>
          <cell r="I6">
            <v>2.4469090694699824E-2</v>
          </cell>
        </row>
        <row r="7">
          <cell r="F7">
            <v>290.89339239472082</v>
          </cell>
          <cell r="I7">
            <v>2.6934573369881559E-2</v>
          </cell>
        </row>
        <row r="8">
          <cell r="F8">
            <v>320.20353833444614</v>
          </cell>
          <cell r="I8">
            <v>2.9648475771707979E-2</v>
          </cell>
        </row>
        <row r="9">
          <cell r="F9">
            <v>352.46694714458505</v>
          </cell>
          <cell r="I9">
            <v>3.2635828439313432E-2</v>
          </cell>
        </row>
        <row r="10">
          <cell r="F10">
            <v>387.9811868276887</v>
          </cell>
          <cell r="I10">
            <v>3.5924183965526733E-2</v>
          </cell>
        </row>
        <row r="11">
          <cell r="F11">
            <v>427.07380805971962</v>
          </cell>
          <cell r="I11">
            <v>3.9543871116640705E-2</v>
          </cell>
        </row>
        <row r="12">
          <cell r="F12">
            <v>470.1053652161612</v>
          </cell>
          <cell r="I12">
            <v>4.3528274557051966E-2</v>
          </cell>
        </row>
        <row r="13">
          <cell r="F13">
            <v>517.47274179388921</v>
          </cell>
          <cell r="I13">
            <v>4.7914142758693441E-2</v>
          </cell>
        </row>
        <row r="14">
          <cell r="F14">
            <v>569.61281089943952</v>
          </cell>
          <cell r="I14">
            <v>5.2741926935133292E-2</v>
          </cell>
        </row>
        <row r="15">
          <cell r="F15">
            <v>627.00646456464619</v>
          </cell>
          <cell r="I15">
            <v>5.8056154126356126E-2</v>
          </cell>
        </row>
        <row r="16">
          <cell r="F16">
            <v>690.18304905235391</v>
          </cell>
          <cell r="I16">
            <v>6.3905837875217947E-2</v>
          </cell>
        </row>
        <row r="17">
          <cell r="F17">
            <v>759.7252470593794</v>
          </cell>
          <cell r="I17">
            <v>7.0344930283275861E-2</v>
          </cell>
        </row>
        <row r="18">
          <cell r="F18">
            <v>836.27445184567694</v>
          </cell>
          <cell r="I18">
            <v>7.7432819615340459E-2</v>
          </cell>
        </row>
        <row r="19">
          <cell r="F19">
            <v>920.5366828557253</v>
          </cell>
          <cell r="I19">
            <v>8.5234878042196774E-2</v>
          </cell>
        </row>
        <row r="20">
          <cell r="F20">
            <v>1013.2890973923903</v>
          </cell>
          <cell r="I20">
            <v>9.3823064573369475E-2</v>
          </cell>
        </row>
        <row r="21">
          <cell r="F21">
            <v>1115.3871584009514</v>
          </cell>
          <cell r="I21">
            <v>0.10327658874082885</v>
          </cell>
        </row>
        <row r="22">
          <cell r="F22">
            <v>1227.7725244723349</v>
          </cell>
          <cell r="I22">
            <v>0.11368264115484583</v>
          </cell>
        </row>
        <row r="23">
          <cell r="F23">
            <v>1351.4817348356919</v>
          </cell>
          <cell r="I23">
            <v>0.12513719766997147</v>
          </cell>
        </row>
        <row r="24">
          <cell r="F24">
            <v>1487.6557694426954</v>
          </cell>
          <cell r="I24">
            <v>0.13774590457802735</v>
          </cell>
        </row>
        <row r="25">
          <cell r="F25">
            <v>1637.550572316984</v>
          </cell>
          <cell r="I25">
            <v>0.15162505299231335</v>
          </cell>
        </row>
        <row r="26">
          <cell r="F26">
            <v>1802.5486352264479</v>
          </cell>
          <cell r="I26">
            <v>0.16690265140985627</v>
          </cell>
        </row>
        <row r="27">
          <cell r="F27">
            <v>1984.1717485154882</v>
          </cell>
          <cell r="I27">
            <v>0.1837196063440267</v>
          </cell>
        </row>
        <row r="28">
          <cell r="F28">
            <v>2184.0950366992051</v>
          </cell>
          <cell r="I28">
            <v>0.20223102191659306</v>
          </cell>
        </row>
        <row r="29">
          <cell r="F29">
            <v>2404.1624082709127</v>
          </cell>
          <cell r="I29">
            <v>0.22260763039545486</v>
          </cell>
        </row>
        <row r="30">
          <cell r="F30">
            <v>2646.4035622177998</v>
          </cell>
          <cell r="I30">
            <v>0.24503736687201849</v>
          </cell>
        </row>
        <row r="31">
          <cell r="F31">
            <v>2913.0527080971974</v>
          </cell>
          <cell r="I31">
            <v>0.26972710260159238</v>
          </cell>
        </row>
        <row r="32">
          <cell r="F32">
            <v>3206.5691723301957</v>
          </cell>
          <cell r="I32">
            <v>0.29690455299353663</v>
          </cell>
        </row>
        <row r="33">
          <cell r="F33">
            <v>3529.6600807661334</v>
          </cell>
          <cell r="I33">
            <v>0.32682037784871604</v>
          </cell>
        </row>
        <row r="34">
          <cell r="F34">
            <v>3885.3053267210421</v>
          </cell>
          <cell r="I34">
            <v>0.35975049321491137</v>
          </cell>
        </row>
        <row r="35">
          <cell r="F35">
            <v>4276.7850547722746</v>
          </cell>
          <cell r="I35">
            <v>0.39599861618261806</v>
          </cell>
        </row>
        <row r="36">
          <cell r="F36">
            <v>4707.7099137945679</v>
          </cell>
          <cell r="I36">
            <v>0.43589906609208962</v>
          </cell>
        </row>
        <row r="37">
          <cell r="F37">
            <v>5182.054358263681</v>
          </cell>
          <cell r="I37">
            <v>0.47981984798737787</v>
          </cell>
        </row>
        <row r="38">
          <cell r="F38">
            <v>5704.1933049682493</v>
          </cell>
          <cell r="I38">
            <v>0.5281660467563194</v>
          </cell>
        </row>
        <row r="39">
          <cell r="F39">
            <v>6278.9424832175719</v>
          </cell>
          <cell r="I39">
            <v>0.58138356326088625</v>
          </cell>
        </row>
        <row r="40">
          <cell r="F40">
            <v>6911.602850698604</v>
          </cell>
          <cell r="I40">
            <v>0.6399632269165374</v>
          </cell>
        </row>
        <row r="41">
          <cell r="F41">
            <v>7608.0094846331131</v>
          </cell>
          <cell r="I41">
            <v>0.70444532265121429</v>
          </cell>
        </row>
        <row r="42">
          <cell r="F42">
            <v>8374.5853991620552</v>
          </cell>
          <cell r="I42">
            <v>0.77542457399648657</v>
          </cell>
        </row>
        <row r="43">
          <cell r="F43">
            <v>9218.400785319267</v>
          </cell>
          <cell r="I43">
            <v>0.85355562827030251</v>
          </cell>
        </row>
        <row r="44">
          <cell r="F44">
            <v>10147.238219969398</v>
          </cell>
          <cell r="I44">
            <v>0.9395590944416109</v>
          </cell>
        </row>
        <row r="45">
          <cell r="F45">
            <v>11169.664445137445</v>
          </cell>
          <cell r="I45">
            <v>1.0342281893645782</v>
          </cell>
        </row>
        <row r="46">
          <cell r="F46">
            <v>12295.109379756323</v>
          </cell>
          <cell r="I46">
            <v>1.1384360536811409</v>
          </cell>
        </row>
        <row r="47">
          <cell r="F47">
            <v>13533.953092564159</v>
          </cell>
          <cell r="I47">
            <v>1.2531438048670518</v>
          </cell>
        </row>
        <row r="48">
          <cell r="F48">
            <v>14897.62153830934</v>
          </cell>
          <cell r="I48">
            <v>1.3794094016953091</v>
          </cell>
        </row>
        <row r="49">
          <cell r="F49">
            <v>16398.691940245932</v>
          </cell>
          <cell r="I49">
            <v>1.5183974018746234</v>
          </cell>
        </row>
        <row r="50">
          <cell r="F50">
            <v>18051.008790870721</v>
          </cell>
          <cell r="I50">
            <v>1.6713897028584002</v>
          </cell>
        </row>
        <row r="51">
          <cell r="F51">
            <v>19869.811540785922</v>
          </cell>
          <cell r="I51">
            <v>1.8397973648875856</v>
          </cell>
        </row>
        <row r="52">
          <cell r="F52">
            <v>21871.875153372275</v>
          </cell>
          <cell r="I52">
            <v>2.0251736253122479</v>
          </cell>
        </row>
        <row r="53">
          <cell r="F53">
            <v>24075.664821619233</v>
          </cell>
          <cell r="I53">
            <v>2.2292282242240029</v>
          </cell>
        </row>
        <row r="54">
          <cell r="F54">
            <v>26501.506274078351</v>
          </cell>
          <cell r="I54">
            <v>2.4538431735257733</v>
          </cell>
        </row>
        <row r="55">
          <cell r="F55">
            <v>29171.773240685048</v>
          </cell>
          <cell r="I55">
            <v>2.7010901148782449</v>
          </cell>
        </row>
        <row r="56">
          <cell r="F56">
            <v>32111.093807461075</v>
          </cell>
          <cell r="I56">
            <v>2.9732494266167659</v>
          </cell>
        </row>
        <row r="57">
          <cell r="F57">
            <v>35346.577563323714</v>
          </cell>
          <cell r="I57">
            <v>3.272831255863307</v>
          </cell>
        </row>
        <row r="58">
          <cell r="F58">
            <v>38908.065633994789</v>
          </cell>
          <cell r="I58">
            <v>3.6025986698143324</v>
          </cell>
        </row>
        <row r="59">
          <cell r="F59">
            <v>42828.405909092406</v>
          </cell>
          <cell r="I59">
            <v>3.9655931397307782</v>
          </cell>
        </row>
        <row r="60">
          <cell r="F60">
            <v>47143.756000846748</v>
          </cell>
          <cell r="I60">
            <v>4.3651625926709956</v>
          </cell>
        </row>
        <row r="61">
          <cell r="F61">
            <v>51893.916728652563</v>
          </cell>
          <cell r="I61">
            <v>4.8049922896900519</v>
          </cell>
        </row>
        <row r="62">
          <cell r="F62">
            <v>57122.699205213081</v>
          </cell>
          <cell r="I62">
            <v>5.2891388152975081</v>
          </cell>
        </row>
        <row r="63">
          <cell r="F63">
            <v>62878.328909939963</v>
          </cell>
          <cell r="I63">
            <v>5.8220674916611079</v>
          </cell>
        </row>
        <row r="64">
          <cell r="F64">
            <v>69213.890476411048</v>
          </cell>
          <cell r="I64">
            <v>6.4086935626306527</v>
          </cell>
        </row>
        <row r="65">
          <cell r="F65">
            <v>76187.817296196008</v>
          </cell>
          <cell r="I65">
            <v>7.0544275274255561</v>
          </cell>
        </row>
        <row r="66">
          <cell r="F66">
            <v>83864.430454705012</v>
          </cell>
          <cell r="I66">
            <v>7.7652250421023155</v>
          </cell>
        </row>
        <row r="67">
          <cell r="F67">
            <v>92314.531969709235</v>
          </cell>
          <cell r="I67">
            <v>8.5476418490471513</v>
          </cell>
        </row>
        <row r="68">
          <cell r="F68">
            <v>101616.05780401938</v>
          </cell>
          <cell r="I68">
            <v>9.4088942411129057</v>
          </cell>
        </row>
        <row r="69">
          <cell r="F69">
            <v>111854.79667511044</v>
          </cell>
          <cell r="I69">
            <v>10.356925618065782</v>
          </cell>
        </row>
        <row r="70">
          <cell r="F70">
            <v>123125.18129133142</v>
          </cell>
          <cell r="I70">
            <v>11.400479749197352</v>
          </cell>
        </row>
        <row r="71">
          <cell r="F71">
            <v>135531.15931233493</v>
          </cell>
          <cell r="I71">
            <v>12.549181417808791</v>
          </cell>
        </row>
        <row r="72">
          <cell r="F72">
            <v>149187.15206666451</v>
          </cell>
          <cell r="I72">
            <v>13.813625191357827</v>
          </cell>
        </row>
        <row r="73">
          <cell r="F73">
            <v>164219.10986882905</v>
          </cell>
          <cell r="I73">
            <v>15.20547313600269</v>
          </cell>
        </row>
        <row r="74">
          <cell r="F74">
            <v>180765.67366913668</v>
          </cell>
          <cell r="I74">
            <v>16.737562376771915</v>
          </cell>
        </row>
        <row r="75">
          <cell r="F75">
            <v>198979.45375027994</v>
          </cell>
          <cell r="I75">
            <v>18.424023495396291</v>
          </cell>
        </row>
        <row r="76">
          <cell r="F76">
            <v>219028.43726419137</v>
          </cell>
          <cell r="I76">
            <v>20.280410857795498</v>
          </cell>
        </row>
        <row r="77">
          <cell r="F77">
            <v>241097.53759099526</v>
          </cell>
          <cell r="I77">
            <v>22.323846073240301</v>
          </cell>
        </row>
        <row r="78">
          <cell r="F78">
            <v>265390.29980991711</v>
          </cell>
          <cell r="I78">
            <v>24.573175908325663</v>
          </cell>
        </row>
        <row r="79">
          <cell r="F79">
            <v>292130.77801184583</v>
          </cell>
          <cell r="I79">
            <v>27.049146112207946</v>
          </cell>
        </row>
        <row r="80">
          <cell r="F80">
            <v>321565.60176815226</v>
          </cell>
          <cell r="I80">
            <v>29.774592756310394</v>
          </cell>
        </row>
        <row r="81">
          <cell r="F81">
            <v>353966.25081497186</v>
          </cell>
          <cell r="I81">
            <v>32.77465285323813</v>
          </cell>
        </row>
        <row r="82">
          <cell r="F82">
            <v>389631.55893254606</v>
          </cell>
          <cell r="I82">
            <v>36.076996197457966</v>
          </cell>
        </row>
        <row r="83">
          <cell r="F83">
            <v>428890.47011310433</v>
          </cell>
        </row>
        <row r="84">
          <cell r="F84">
            <v>472105.0724376383</v>
          </cell>
        </row>
        <row r="85">
          <cell r="F85">
            <v>519673.93764326442</v>
          </cell>
        </row>
        <row r="86">
          <cell r="F86">
            <v>572035.7971822652</v>
          </cell>
        </row>
        <row r="87">
          <cell r="F87">
            <v>629673.58867739979</v>
          </cell>
        </row>
        <row r="88">
          <cell r="F88">
            <v>693118.91009426443</v>
          </cell>
        </row>
        <row r="89">
          <cell r="F89">
            <v>762956.92271188938</v>
          </cell>
        </row>
        <row r="90">
          <cell r="F90">
            <v>839831.74811206595</v>
          </cell>
        </row>
        <row r="91">
          <cell r="F91">
            <v>924452.40896426479</v>
          </cell>
        </row>
        <row r="92">
          <cell r="F92">
            <v>1017599.3683984831</v>
          </cell>
        </row>
        <row r="93">
          <cell r="F93">
            <v>1120131.7282791787</v>
          </cell>
        </row>
        <row r="94">
          <cell r="F94">
            <v>1232995.1527705467</v>
          </cell>
        </row>
        <row r="95">
          <cell r="F95">
            <v>1357230.5902728201</v>
          </cell>
        </row>
        <row r="96">
          <cell r="F96">
            <v>1493983.874172705</v>
          </cell>
        </row>
        <row r="97">
          <cell r="F97">
            <v>1644516.2909564453</v>
          </cell>
        </row>
        <row r="98">
          <cell r="F98">
            <v>1810216.2131560668</v>
          </cell>
        </row>
        <row r="99">
          <cell r="F99">
            <v>1992611.9044203938</v>
          </cell>
        </row>
        <row r="100">
          <cell r="F100">
            <v>2193385.6148130526</v>
          </cell>
        </row>
        <row r="101">
          <cell r="F101">
            <v>2414389.096339474</v>
          </cell>
        </row>
        <row r="102">
          <cell r="F102">
            <v>2657660.6818039082</v>
          </cell>
        </row>
      </sheetData>
      <sheetData sheetId="2">
        <row r="19">
          <cell r="K19">
            <v>4.4917667017320362E-2</v>
          </cell>
        </row>
      </sheetData>
      <sheetData sheetId="3">
        <row r="2">
          <cell r="M2">
            <v>50</v>
          </cell>
        </row>
      </sheetData>
      <sheetData sheetId="4" refreshError="1"/>
      <sheetData sheetId="5" refreshError="1"/>
      <sheetData sheetId="6" refreshError="1"/>
      <sheetData sheetId="7">
        <row r="4">
          <cell r="E4">
            <v>200</v>
          </cell>
        </row>
        <row r="5">
          <cell r="E5">
            <v>203</v>
          </cell>
        </row>
        <row r="6">
          <cell r="E6">
            <v>206</v>
          </cell>
        </row>
        <row r="7">
          <cell r="E7">
            <v>214</v>
          </cell>
        </row>
        <row r="8">
          <cell r="E8">
            <v>226</v>
          </cell>
        </row>
        <row r="9">
          <cell r="E9">
            <v>245</v>
          </cell>
        </row>
        <row r="10">
          <cell r="E10">
            <v>273</v>
          </cell>
        </row>
        <row r="11">
          <cell r="E11">
            <v>311</v>
          </cell>
        </row>
        <row r="12">
          <cell r="E12">
            <v>361</v>
          </cell>
        </row>
        <row r="13">
          <cell r="E13">
            <v>426</v>
          </cell>
        </row>
        <row r="14">
          <cell r="E14">
            <v>507</v>
          </cell>
        </row>
        <row r="15">
          <cell r="E15">
            <v>606</v>
          </cell>
        </row>
        <row r="16">
          <cell r="E16">
            <v>727</v>
          </cell>
        </row>
        <row r="17">
          <cell r="E17">
            <v>871</v>
          </cell>
        </row>
        <row r="18">
          <cell r="E18">
            <v>1041</v>
          </cell>
        </row>
        <row r="19">
          <cell r="E19">
            <v>1240</v>
          </cell>
        </row>
        <row r="20">
          <cell r="E20">
            <v>1471</v>
          </cell>
        </row>
        <row r="21">
          <cell r="E21">
            <v>1736</v>
          </cell>
        </row>
        <row r="22">
          <cell r="E22">
            <v>2039</v>
          </cell>
        </row>
        <row r="23">
          <cell r="E23">
            <v>2384</v>
          </cell>
        </row>
        <row r="24">
          <cell r="E24">
            <v>2772</v>
          </cell>
        </row>
        <row r="25">
          <cell r="E25">
            <v>3208</v>
          </cell>
        </row>
        <row r="26">
          <cell r="E26">
            <v>3696</v>
          </cell>
        </row>
        <row r="27">
          <cell r="E27">
            <v>4238</v>
          </cell>
        </row>
        <row r="28">
          <cell r="E28">
            <v>4839</v>
          </cell>
        </row>
        <row r="29">
          <cell r="E29">
            <v>5503</v>
          </cell>
        </row>
        <row r="30">
          <cell r="E30">
            <v>6233</v>
          </cell>
        </row>
        <row r="31">
          <cell r="E31">
            <v>7034</v>
          </cell>
        </row>
        <row r="32">
          <cell r="E32">
            <v>7910</v>
          </cell>
        </row>
        <row r="33">
          <cell r="E33">
            <v>8865</v>
          </cell>
        </row>
        <row r="34">
          <cell r="E34">
            <v>9903</v>
          </cell>
        </row>
        <row r="35">
          <cell r="E35">
            <v>11031</v>
          </cell>
        </row>
        <row r="36">
          <cell r="E36">
            <v>12251</v>
          </cell>
        </row>
        <row r="37">
          <cell r="E37">
            <v>13568</v>
          </cell>
        </row>
        <row r="38">
          <cell r="E38">
            <v>14989</v>
          </cell>
        </row>
        <row r="39">
          <cell r="E39">
            <v>16517</v>
          </cell>
        </row>
        <row r="40">
          <cell r="E40">
            <v>18159</v>
          </cell>
        </row>
        <row r="41">
          <cell r="E41">
            <v>19918</v>
          </cell>
        </row>
        <row r="42">
          <cell r="E42">
            <v>21801</v>
          </cell>
        </row>
        <row r="43">
          <cell r="E43">
            <v>23813</v>
          </cell>
        </row>
        <row r="44">
          <cell r="E44">
            <v>25960</v>
          </cell>
        </row>
        <row r="45">
          <cell r="E45">
            <v>28247</v>
          </cell>
        </row>
        <row r="46">
          <cell r="E46">
            <v>30681</v>
          </cell>
        </row>
        <row r="47">
          <cell r="E47">
            <v>33267</v>
          </cell>
        </row>
        <row r="48">
          <cell r="E48">
            <v>36011</v>
          </cell>
        </row>
        <row r="49">
          <cell r="E49">
            <v>38919</v>
          </cell>
        </row>
        <row r="50">
          <cell r="E50">
            <v>41999</v>
          </cell>
        </row>
        <row r="51">
          <cell r="E51">
            <v>45255</v>
          </cell>
        </row>
        <row r="52">
          <cell r="E52">
            <v>48696</v>
          </cell>
        </row>
        <row r="53">
          <cell r="E53">
            <v>52327</v>
          </cell>
        </row>
        <row r="54">
          <cell r="E54">
            <v>56155</v>
          </cell>
        </row>
        <row r="55">
          <cell r="E55">
            <v>60187</v>
          </cell>
        </row>
        <row r="56">
          <cell r="E56">
            <v>64430</v>
          </cell>
        </row>
        <row r="57">
          <cell r="E57">
            <v>68892</v>
          </cell>
        </row>
        <row r="58">
          <cell r="E58">
            <v>73579</v>
          </cell>
        </row>
        <row r="59">
          <cell r="E59">
            <v>78499</v>
          </cell>
        </row>
        <row r="60">
          <cell r="E60">
            <v>83659</v>
          </cell>
        </row>
        <row r="61">
          <cell r="E61">
            <v>89066</v>
          </cell>
        </row>
        <row r="62">
          <cell r="E62">
            <v>94730</v>
          </cell>
        </row>
        <row r="63">
          <cell r="E63">
            <v>100656</v>
          </cell>
        </row>
        <row r="64">
          <cell r="E64">
            <v>106854</v>
          </cell>
        </row>
        <row r="65">
          <cell r="E65">
            <v>113332</v>
          </cell>
        </row>
        <row r="66">
          <cell r="E66">
            <v>120096</v>
          </cell>
        </row>
        <row r="67">
          <cell r="E67">
            <v>127157</v>
          </cell>
        </row>
        <row r="68">
          <cell r="E68">
            <v>134521</v>
          </cell>
        </row>
        <row r="69">
          <cell r="E69">
            <v>142198</v>
          </cell>
        </row>
        <row r="70">
          <cell r="E70">
            <v>150197</v>
          </cell>
        </row>
        <row r="71">
          <cell r="E71">
            <v>158525</v>
          </cell>
        </row>
        <row r="72">
          <cell r="E72">
            <v>167192</v>
          </cell>
        </row>
        <row r="73">
          <cell r="E73">
            <v>176207</v>
          </cell>
        </row>
        <row r="74">
          <cell r="E74">
            <v>185578</v>
          </cell>
        </row>
        <row r="75">
          <cell r="E75">
            <v>195316</v>
          </cell>
        </row>
        <row r="76">
          <cell r="E76">
            <v>205429</v>
          </cell>
        </row>
        <row r="77">
          <cell r="E77">
            <v>215927</v>
          </cell>
        </row>
        <row r="78">
          <cell r="E78">
            <v>226819</v>
          </cell>
        </row>
        <row r="79">
          <cell r="E79">
            <v>238115</v>
          </cell>
        </row>
        <row r="80">
          <cell r="E80">
            <v>249825</v>
          </cell>
        </row>
        <row r="81">
          <cell r="E81">
            <v>261958</v>
          </cell>
        </row>
        <row r="82">
          <cell r="E82">
            <v>274525</v>
          </cell>
        </row>
        <row r="83">
          <cell r="E83">
            <v>287536</v>
          </cell>
        </row>
        <row r="84">
          <cell r="E84">
            <v>301001</v>
          </cell>
        </row>
        <row r="85">
          <cell r="E85">
            <v>314930</v>
          </cell>
        </row>
        <row r="86">
          <cell r="E86">
            <v>329334</v>
          </cell>
        </row>
        <row r="87">
          <cell r="E87">
            <v>344223</v>
          </cell>
        </row>
        <row r="88">
          <cell r="E88">
            <v>359608</v>
          </cell>
        </row>
        <row r="89">
          <cell r="E89">
            <v>375500</v>
          </cell>
        </row>
        <row r="90">
          <cell r="E90">
            <v>391909</v>
          </cell>
        </row>
        <row r="91">
          <cell r="E91">
            <v>408848</v>
          </cell>
        </row>
        <row r="92">
          <cell r="E92">
            <v>426327</v>
          </cell>
        </row>
        <row r="93">
          <cell r="E93">
            <v>444356</v>
          </cell>
        </row>
        <row r="94">
          <cell r="E94">
            <v>462949</v>
          </cell>
        </row>
        <row r="95">
          <cell r="E95">
            <v>482115</v>
          </cell>
        </row>
        <row r="96">
          <cell r="E96">
            <v>501867</v>
          </cell>
        </row>
        <row r="97">
          <cell r="E97">
            <v>522217</v>
          </cell>
        </row>
        <row r="98">
          <cell r="E98">
            <v>543176</v>
          </cell>
        </row>
        <row r="99">
          <cell r="E99">
            <v>564756</v>
          </cell>
        </row>
        <row r="100">
          <cell r="E100">
            <v>586970</v>
          </cell>
        </row>
        <row r="101">
          <cell r="E101">
            <v>609829</v>
          </cell>
        </row>
        <row r="102">
          <cell r="E102">
            <v>633345</v>
          </cell>
        </row>
        <row r="103">
          <cell r="E103">
            <v>657533</v>
          </cell>
        </row>
      </sheetData>
      <sheetData sheetId="8">
        <row r="6">
          <cell r="E6">
            <v>1</v>
          </cell>
        </row>
        <row r="7">
          <cell r="E7">
            <v>2</v>
          </cell>
        </row>
        <row r="8">
          <cell r="E8">
            <v>3</v>
          </cell>
        </row>
        <row r="9">
          <cell r="E9">
            <v>4</v>
          </cell>
        </row>
        <row r="10">
          <cell r="E10">
            <v>5</v>
          </cell>
        </row>
        <row r="11">
          <cell r="E11">
            <v>6</v>
          </cell>
        </row>
        <row r="12">
          <cell r="E12">
            <v>7</v>
          </cell>
        </row>
        <row r="13">
          <cell r="E13">
            <v>8</v>
          </cell>
        </row>
        <row r="14">
          <cell r="E14">
            <v>9</v>
          </cell>
        </row>
        <row r="15">
          <cell r="E15">
            <v>10</v>
          </cell>
        </row>
        <row r="16">
          <cell r="E16">
            <v>11</v>
          </cell>
        </row>
        <row r="17">
          <cell r="E17">
            <v>12</v>
          </cell>
        </row>
        <row r="18">
          <cell r="E18">
            <v>13</v>
          </cell>
        </row>
        <row r="19">
          <cell r="E19">
            <v>14</v>
          </cell>
        </row>
        <row r="20">
          <cell r="E20">
            <v>15</v>
          </cell>
        </row>
        <row r="21">
          <cell r="E21">
            <v>16</v>
          </cell>
        </row>
        <row r="22">
          <cell r="E22">
            <v>17</v>
          </cell>
        </row>
        <row r="23">
          <cell r="E23">
            <v>18</v>
          </cell>
        </row>
        <row r="24">
          <cell r="E24">
            <v>19</v>
          </cell>
        </row>
        <row r="25">
          <cell r="E25">
            <v>20</v>
          </cell>
        </row>
        <row r="26">
          <cell r="E26">
            <v>21</v>
          </cell>
        </row>
        <row r="27">
          <cell r="E27">
            <v>22</v>
          </cell>
        </row>
        <row r="28">
          <cell r="E28">
            <v>23</v>
          </cell>
        </row>
        <row r="29">
          <cell r="E29">
            <v>24</v>
          </cell>
        </row>
        <row r="30">
          <cell r="E30">
            <v>25</v>
          </cell>
        </row>
        <row r="31">
          <cell r="E31">
            <v>26</v>
          </cell>
        </row>
        <row r="32">
          <cell r="E32">
            <v>27</v>
          </cell>
        </row>
        <row r="33">
          <cell r="E33">
            <v>28</v>
          </cell>
        </row>
        <row r="34">
          <cell r="E34">
            <v>29</v>
          </cell>
        </row>
        <row r="35">
          <cell r="E35">
            <v>30</v>
          </cell>
        </row>
        <row r="36">
          <cell r="E36">
            <v>31</v>
          </cell>
        </row>
        <row r="37">
          <cell r="E37">
            <v>32</v>
          </cell>
        </row>
        <row r="38">
          <cell r="E38">
            <v>33</v>
          </cell>
        </row>
        <row r="39">
          <cell r="E39">
            <v>34</v>
          </cell>
        </row>
        <row r="40">
          <cell r="E40">
            <v>35</v>
          </cell>
        </row>
        <row r="41">
          <cell r="E41">
            <v>36</v>
          </cell>
        </row>
        <row r="42">
          <cell r="E42">
            <v>37</v>
          </cell>
        </row>
        <row r="43">
          <cell r="E43">
            <v>38</v>
          </cell>
        </row>
        <row r="44">
          <cell r="E44">
            <v>39</v>
          </cell>
        </row>
        <row r="45">
          <cell r="E45">
            <v>40</v>
          </cell>
        </row>
        <row r="46">
          <cell r="E46">
            <v>41</v>
          </cell>
        </row>
        <row r="47">
          <cell r="E47">
            <v>42</v>
          </cell>
        </row>
        <row r="48">
          <cell r="E48">
            <v>43</v>
          </cell>
        </row>
        <row r="49">
          <cell r="E49">
            <v>44</v>
          </cell>
        </row>
        <row r="50">
          <cell r="E50">
            <v>45</v>
          </cell>
        </row>
        <row r="51">
          <cell r="E51">
            <v>46</v>
          </cell>
        </row>
        <row r="52">
          <cell r="E52">
            <v>47</v>
          </cell>
        </row>
        <row r="53">
          <cell r="E53">
            <v>48</v>
          </cell>
        </row>
        <row r="54">
          <cell r="E54">
            <v>49</v>
          </cell>
        </row>
        <row r="55">
          <cell r="E55">
            <v>50</v>
          </cell>
        </row>
        <row r="56">
          <cell r="E56">
            <v>51</v>
          </cell>
        </row>
        <row r="57">
          <cell r="E57">
            <v>52</v>
          </cell>
        </row>
        <row r="58">
          <cell r="E58">
            <v>53</v>
          </cell>
        </row>
        <row r="59">
          <cell r="E59">
            <v>54</v>
          </cell>
        </row>
        <row r="60">
          <cell r="E60">
            <v>55</v>
          </cell>
        </row>
        <row r="61">
          <cell r="E61">
            <v>56</v>
          </cell>
        </row>
        <row r="62">
          <cell r="E62">
            <v>57</v>
          </cell>
        </row>
        <row r="63">
          <cell r="E63">
            <v>58</v>
          </cell>
        </row>
        <row r="64">
          <cell r="E64">
            <v>59</v>
          </cell>
        </row>
        <row r="65">
          <cell r="E65">
            <v>60</v>
          </cell>
        </row>
        <row r="66">
          <cell r="E66">
            <v>61</v>
          </cell>
        </row>
        <row r="67">
          <cell r="E67">
            <v>62</v>
          </cell>
        </row>
        <row r="68">
          <cell r="E68">
            <v>63</v>
          </cell>
        </row>
        <row r="69">
          <cell r="E69">
            <v>64</v>
          </cell>
        </row>
        <row r="70">
          <cell r="E70">
            <v>65</v>
          </cell>
        </row>
        <row r="71">
          <cell r="E71">
            <v>66</v>
          </cell>
        </row>
        <row r="72">
          <cell r="E72">
            <v>67</v>
          </cell>
        </row>
        <row r="73">
          <cell r="E73">
            <v>68</v>
          </cell>
        </row>
        <row r="74">
          <cell r="E74">
            <v>69</v>
          </cell>
        </row>
        <row r="75">
          <cell r="E75">
            <v>70</v>
          </cell>
        </row>
        <row r="76">
          <cell r="E76">
            <v>71</v>
          </cell>
        </row>
        <row r="77">
          <cell r="E77">
            <v>72</v>
          </cell>
        </row>
        <row r="78">
          <cell r="E78">
            <v>73</v>
          </cell>
        </row>
        <row r="79">
          <cell r="E79">
            <v>74</v>
          </cell>
        </row>
        <row r="80">
          <cell r="E80">
            <v>75</v>
          </cell>
        </row>
        <row r="81">
          <cell r="E81">
            <v>76</v>
          </cell>
        </row>
        <row r="82">
          <cell r="E82">
            <v>77</v>
          </cell>
        </row>
        <row r="83">
          <cell r="E83">
            <v>78</v>
          </cell>
        </row>
        <row r="84">
          <cell r="E84">
            <v>79</v>
          </cell>
        </row>
        <row r="85">
          <cell r="E85">
            <v>80</v>
          </cell>
        </row>
      </sheetData>
      <sheetData sheetId="9">
        <row r="2">
          <cell r="N2">
            <v>38918.357526881722</v>
          </cell>
        </row>
      </sheetData>
      <sheetData sheetId="10" refreshError="1"/>
      <sheetData sheetId="11" refreshError="1"/>
      <sheetData sheetId="12">
        <row r="10">
          <cell r="E10">
            <v>1</v>
          </cell>
        </row>
        <row r="11">
          <cell r="E11">
            <v>2</v>
          </cell>
        </row>
        <row r="12">
          <cell r="E12">
            <v>3</v>
          </cell>
        </row>
        <row r="13">
          <cell r="E13">
            <v>4</v>
          </cell>
        </row>
        <row r="14">
          <cell r="E14">
            <v>5</v>
          </cell>
        </row>
        <row r="15">
          <cell r="E15">
            <v>6</v>
          </cell>
        </row>
        <row r="16">
          <cell r="E16">
            <v>7</v>
          </cell>
        </row>
        <row r="17">
          <cell r="E17">
            <v>8</v>
          </cell>
        </row>
        <row r="18">
          <cell r="E18">
            <v>9</v>
          </cell>
        </row>
        <row r="19">
          <cell r="E19">
            <v>10</v>
          </cell>
        </row>
        <row r="20">
          <cell r="E20">
            <v>11</v>
          </cell>
        </row>
        <row r="21">
          <cell r="E21">
            <v>12</v>
          </cell>
        </row>
        <row r="22">
          <cell r="E22">
            <v>13</v>
          </cell>
        </row>
        <row r="23">
          <cell r="E23">
            <v>14</v>
          </cell>
        </row>
        <row r="24">
          <cell r="E24">
            <v>15</v>
          </cell>
        </row>
        <row r="25">
          <cell r="E25">
            <v>16</v>
          </cell>
        </row>
        <row r="26">
          <cell r="E26">
            <v>17</v>
          </cell>
        </row>
        <row r="27">
          <cell r="E27">
            <v>18</v>
          </cell>
        </row>
        <row r="28">
          <cell r="E28">
            <v>19</v>
          </cell>
        </row>
        <row r="29">
          <cell r="E29">
            <v>20</v>
          </cell>
        </row>
        <row r="30">
          <cell r="E30">
            <v>21</v>
          </cell>
        </row>
        <row r="31">
          <cell r="E31">
            <v>22</v>
          </cell>
        </row>
        <row r="32">
          <cell r="E32">
            <v>23</v>
          </cell>
        </row>
        <row r="33">
          <cell r="E33">
            <v>24</v>
          </cell>
        </row>
        <row r="34">
          <cell r="E34">
            <v>25</v>
          </cell>
        </row>
        <row r="35">
          <cell r="E35">
            <v>26</v>
          </cell>
        </row>
        <row r="36">
          <cell r="E36">
            <v>27</v>
          </cell>
        </row>
        <row r="37">
          <cell r="E37">
            <v>28</v>
          </cell>
        </row>
        <row r="38">
          <cell r="E38">
            <v>29</v>
          </cell>
        </row>
        <row r="39">
          <cell r="E39">
            <v>30</v>
          </cell>
        </row>
        <row r="40">
          <cell r="E40">
            <v>31</v>
          </cell>
        </row>
        <row r="41">
          <cell r="E41">
            <v>32</v>
          </cell>
        </row>
        <row r="42">
          <cell r="E42">
            <v>33</v>
          </cell>
        </row>
        <row r="43">
          <cell r="E43">
            <v>34</v>
          </cell>
        </row>
        <row r="44">
          <cell r="E44">
            <v>35</v>
          </cell>
        </row>
        <row r="45">
          <cell r="E45">
            <v>36</v>
          </cell>
        </row>
        <row r="46">
          <cell r="E46">
            <v>37</v>
          </cell>
        </row>
        <row r="47">
          <cell r="E47">
            <v>38</v>
          </cell>
        </row>
        <row r="48">
          <cell r="E48">
            <v>39</v>
          </cell>
        </row>
        <row r="49">
          <cell r="E49">
            <v>40</v>
          </cell>
        </row>
        <row r="50">
          <cell r="E50">
            <v>41</v>
          </cell>
        </row>
        <row r="51">
          <cell r="E51">
            <v>42</v>
          </cell>
        </row>
        <row r="52">
          <cell r="E52">
            <v>43</v>
          </cell>
        </row>
        <row r="53">
          <cell r="E53">
            <v>44</v>
          </cell>
        </row>
        <row r="54">
          <cell r="E54">
            <v>45</v>
          </cell>
        </row>
        <row r="55">
          <cell r="E55">
            <v>46</v>
          </cell>
        </row>
        <row r="56">
          <cell r="E56">
            <v>47</v>
          </cell>
        </row>
        <row r="57">
          <cell r="E57">
            <v>48</v>
          </cell>
        </row>
        <row r="58">
          <cell r="E58">
            <v>49</v>
          </cell>
        </row>
        <row r="59">
          <cell r="E59">
            <v>50</v>
          </cell>
        </row>
        <row r="60">
          <cell r="E60">
            <v>51</v>
          </cell>
        </row>
        <row r="61">
          <cell r="E61">
            <v>52</v>
          </cell>
        </row>
        <row r="62">
          <cell r="E62">
            <v>53</v>
          </cell>
        </row>
        <row r="63">
          <cell r="E63">
            <v>54</v>
          </cell>
        </row>
        <row r="64">
          <cell r="E64">
            <v>55</v>
          </cell>
        </row>
        <row r="65">
          <cell r="E65">
            <v>56</v>
          </cell>
        </row>
        <row r="66">
          <cell r="E66">
            <v>57</v>
          </cell>
        </row>
        <row r="67">
          <cell r="E67">
            <v>58</v>
          </cell>
        </row>
        <row r="68">
          <cell r="E68">
            <v>59</v>
          </cell>
        </row>
        <row r="69">
          <cell r="E69">
            <v>60</v>
          </cell>
        </row>
        <row r="70">
          <cell r="E70">
            <v>61</v>
          </cell>
        </row>
        <row r="71">
          <cell r="E71">
            <v>62</v>
          </cell>
        </row>
        <row r="72">
          <cell r="E72">
            <v>63</v>
          </cell>
        </row>
        <row r="73">
          <cell r="E73">
            <v>64</v>
          </cell>
        </row>
        <row r="74">
          <cell r="E74">
            <v>65</v>
          </cell>
        </row>
        <row r="75">
          <cell r="E75">
            <v>66</v>
          </cell>
        </row>
        <row r="76">
          <cell r="E76">
            <v>67</v>
          </cell>
        </row>
        <row r="77">
          <cell r="E77">
            <v>68</v>
          </cell>
        </row>
        <row r="78">
          <cell r="E78">
            <v>69</v>
          </cell>
        </row>
        <row r="79">
          <cell r="E79">
            <v>70</v>
          </cell>
        </row>
        <row r="80">
          <cell r="E80">
            <v>71</v>
          </cell>
        </row>
        <row r="81">
          <cell r="E81">
            <v>72</v>
          </cell>
        </row>
        <row r="82">
          <cell r="E82">
            <v>73</v>
          </cell>
        </row>
        <row r="83">
          <cell r="E83">
            <v>74</v>
          </cell>
        </row>
        <row r="84">
          <cell r="E84">
            <v>75</v>
          </cell>
        </row>
        <row r="85">
          <cell r="E85">
            <v>76</v>
          </cell>
        </row>
        <row r="86">
          <cell r="E86">
            <v>77</v>
          </cell>
        </row>
        <row r="87">
          <cell r="E87">
            <v>78</v>
          </cell>
        </row>
        <row r="88">
          <cell r="E88">
            <v>79</v>
          </cell>
        </row>
        <row r="89">
          <cell r="E89">
            <v>80</v>
          </cell>
        </row>
        <row r="90">
          <cell r="E90">
            <v>81</v>
          </cell>
        </row>
        <row r="91">
          <cell r="E91">
            <v>82</v>
          </cell>
        </row>
        <row r="92">
          <cell r="E92">
            <v>83</v>
          </cell>
        </row>
        <row r="93">
          <cell r="E93">
            <v>84</v>
          </cell>
        </row>
      </sheetData>
      <sheetData sheetId="13">
        <row r="4">
          <cell r="C4">
            <v>5</v>
          </cell>
        </row>
        <row r="6">
          <cell r="C6">
            <v>166715.03080579554</v>
          </cell>
        </row>
        <row r="7">
          <cell r="C7">
            <v>2</v>
          </cell>
        </row>
      </sheetData>
      <sheetData sheetId="14">
        <row r="3">
          <cell r="B3">
            <v>1000</v>
          </cell>
        </row>
        <row r="7">
          <cell r="B7">
            <v>24720220.268193729</v>
          </cell>
        </row>
      </sheetData>
      <sheetData sheetId="15">
        <row r="13">
          <cell r="D13">
            <v>10000</v>
          </cell>
        </row>
      </sheetData>
      <sheetData sheetId="16" refreshError="1"/>
      <sheetData sheetId="17" refreshError="1"/>
      <sheetData sheetId="18" refreshError="1"/>
      <sheetData sheetId="19">
        <row r="1">
          <cell r="A1" t="str">
            <v>ID</v>
          </cell>
        </row>
        <row r="2">
          <cell r="A2">
            <v>91001</v>
          </cell>
          <cell r="B2" t="str">
            <v>马仔经验药水</v>
          </cell>
          <cell r="C2">
            <v>0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</row>
        <row r="3">
          <cell r="A3">
            <v>81002</v>
          </cell>
          <cell r="B3" t="str">
            <v>金币卡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</row>
        <row r="4">
          <cell r="A4">
            <v>81003</v>
          </cell>
          <cell r="B4" t="str">
            <v>VIP礼包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</row>
        <row r="5">
          <cell r="A5">
            <v>81010</v>
          </cell>
          <cell r="B5" t="str">
            <v>VIP体验卡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</row>
        <row r="6">
          <cell r="A6">
            <v>82001</v>
          </cell>
          <cell r="B6" t="str">
            <v>翅膀碎片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</row>
        <row r="7">
          <cell r="A7">
            <v>83001</v>
          </cell>
          <cell r="B7" t="str">
            <v>巨额金币卡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</row>
        <row r="8">
          <cell r="A8">
            <v>83002</v>
          </cell>
          <cell r="B8" t="str">
            <v>扫荡券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</row>
        <row r="9">
          <cell r="A9">
            <v>83003</v>
          </cell>
          <cell r="B9" t="str">
            <v>洪兴新星</v>
          </cell>
          <cell r="C9">
            <v>13.93327048890302</v>
          </cell>
          <cell r="D9">
            <v>1</v>
          </cell>
          <cell r="E9">
            <v>30</v>
          </cell>
          <cell r="F9">
            <v>20899.905733354528</v>
          </cell>
          <cell r="G9">
            <v>41.799811466709059</v>
          </cell>
        </row>
        <row r="10">
          <cell r="A10">
            <v>83004</v>
          </cell>
          <cell r="B10" t="str">
            <v>洪兴打仔</v>
          </cell>
          <cell r="C10">
            <v>26.187869908473477</v>
          </cell>
          <cell r="D10">
            <v>1</v>
          </cell>
          <cell r="E10">
            <v>30</v>
          </cell>
          <cell r="F10">
            <v>39281.804862710211</v>
          </cell>
          <cell r="G10">
            <v>78.56360972542042</v>
          </cell>
        </row>
        <row r="11">
          <cell r="A11">
            <v>83005</v>
          </cell>
          <cell r="B11" t="str">
            <v>扛把子</v>
          </cell>
          <cell r="C11">
            <v>43.686095692652259</v>
          </cell>
          <cell r="D11">
            <v>1</v>
          </cell>
          <cell r="E11">
            <v>30</v>
          </cell>
          <cell r="F11">
            <v>65529.14353897838</v>
          </cell>
          <cell r="G11">
            <v>131.05828707795678</v>
          </cell>
        </row>
        <row r="12">
          <cell r="A12">
            <v>83006</v>
          </cell>
          <cell r="B12" t="str">
            <v>二路元帅</v>
          </cell>
          <cell r="C12">
            <v>66.907164591131149</v>
          </cell>
          <cell r="D12">
            <v>1</v>
          </cell>
          <cell r="E12">
            <v>30</v>
          </cell>
          <cell r="F12">
            <v>100360.74688669672</v>
          </cell>
          <cell r="G12">
            <v>200.72149377339346</v>
          </cell>
        </row>
        <row r="13">
          <cell r="A13">
            <v>83007</v>
          </cell>
          <cell r="B13" t="str">
            <v>战无不胜</v>
          </cell>
          <cell r="C13">
            <v>250.10935222501362</v>
          </cell>
          <cell r="D13">
            <v>1</v>
          </cell>
          <cell r="E13">
            <v>40</v>
          </cell>
          <cell r="F13">
            <v>500218.70445002726</v>
          </cell>
          <cell r="G13">
            <v>1000.4374089000545</v>
          </cell>
        </row>
        <row r="14">
          <cell r="A14">
            <v>83008</v>
          </cell>
          <cell r="B14" t="str">
            <v>猛龙过江</v>
          </cell>
          <cell r="C14">
            <v>96.207745458923128</v>
          </cell>
          <cell r="D14">
            <v>1</v>
          </cell>
          <cell r="E14">
            <v>30</v>
          </cell>
          <cell r="F14">
            <v>144311.61818838469</v>
          </cell>
          <cell r="G14">
            <v>288.6232363767694</v>
          </cell>
        </row>
        <row r="15">
          <cell r="A15">
            <v>83009</v>
          </cell>
          <cell r="B15" t="str">
            <v>神之手</v>
          </cell>
          <cell r="C15">
            <v>158.14351706710306</v>
          </cell>
          <cell r="D15">
            <v>1</v>
          </cell>
          <cell r="E15">
            <v>35</v>
          </cell>
          <cell r="F15">
            <v>276751.15486743033</v>
          </cell>
          <cell r="G15">
            <v>553.50230973486066</v>
          </cell>
        </row>
        <row r="16">
          <cell r="A16">
            <v>83010</v>
          </cell>
          <cell r="B16" t="str">
            <v>富甲一方</v>
          </cell>
          <cell r="C16">
            <v>80.173121215769271</v>
          </cell>
          <cell r="D16">
            <v>1</v>
          </cell>
          <cell r="E16">
            <v>25</v>
          </cell>
          <cell r="F16">
            <v>100216.40151971158</v>
          </cell>
          <cell r="G16">
            <v>200.43280303942316</v>
          </cell>
        </row>
        <row r="17">
          <cell r="A17">
            <v>83011</v>
          </cell>
          <cell r="B17" t="str">
            <v>壕气冲天</v>
          </cell>
          <cell r="C17">
            <v>131.78626422258586</v>
          </cell>
          <cell r="D17">
            <v>1</v>
          </cell>
          <cell r="E17">
            <v>30</v>
          </cell>
          <cell r="F17">
            <v>197679.39633387877</v>
          </cell>
          <cell r="G17">
            <v>395.35879266775754</v>
          </cell>
        </row>
        <row r="18">
          <cell r="A18">
            <v>83012</v>
          </cell>
          <cell r="B18" t="str">
            <v>富可敌国</v>
          </cell>
          <cell r="C18">
            <v>208.42446018751136</v>
          </cell>
          <cell r="D18">
            <v>1</v>
          </cell>
          <cell r="E18">
            <v>35</v>
          </cell>
          <cell r="F18">
            <v>364742.80532814487</v>
          </cell>
          <cell r="G18">
            <v>729.48561065628974</v>
          </cell>
        </row>
        <row r="19">
          <cell r="A19">
            <v>83013</v>
          </cell>
          <cell r="B19" t="str">
            <v>壕气冲天</v>
          </cell>
          <cell r="C19">
            <v>46.463308743841075</v>
          </cell>
          <cell r="D19">
            <v>1</v>
          </cell>
          <cell r="E19">
            <v>15</v>
          </cell>
          <cell r="F19">
            <v>34847.481557880812</v>
          </cell>
          <cell r="G19">
            <v>69.694963115761624</v>
          </cell>
        </row>
        <row r="20">
          <cell r="A20">
            <v>83014</v>
          </cell>
          <cell r="B20" t="str">
            <v>富可敌国</v>
          </cell>
          <cell r="C20">
            <v>0</v>
          </cell>
          <cell r="D20">
            <v>1</v>
          </cell>
          <cell r="E20">
            <v>0</v>
          </cell>
          <cell r="F20">
            <v>0</v>
          </cell>
          <cell r="G20">
            <v>0</v>
          </cell>
        </row>
        <row r="21">
          <cell r="A21">
            <v>83015</v>
          </cell>
          <cell r="B21" t="str">
            <v>战斗狂人</v>
          </cell>
          <cell r="C21">
            <v>0</v>
          </cell>
          <cell r="D21">
            <v>1</v>
          </cell>
          <cell r="E21">
            <v>0</v>
          </cell>
          <cell r="F21">
            <v>0</v>
          </cell>
          <cell r="G21">
            <v>0</v>
          </cell>
        </row>
        <row r="22">
          <cell r="A22">
            <v>83016</v>
          </cell>
          <cell r="B22" t="str">
            <v>不哭死神</v>
          </cell>
          <cell r="C22">
            <v>0</v>
          </cell>
          <cell r="D22">
            <v>1</v>
          </cell>
          <cell r="E22">
            <v>0</v>
          </cell>
          <cell r="F22">
            <v>0</v>
          </cell>
          <cell r="G22">
            <v>0</v>
          </cell>
        </row>
        <row r="23">
          <cell r="A23">
            <v>83017</v>
          </cell>
          <cell r="B23" t="str">
            <v>干架王</v>
          </cell>
          <cell r="C23">
            <v>0</v>
          </cell>
          <cell r="D23">
            <v>1</v>
          </cell>
          <cell r="E23">
            <v>0</v>
          </cell>
          <cell r="F23">
            <v>0</v>
          </cell>
          <cell r="G23">
            <v>0</v>
          </cell>
        </row>
        <row r="24">
          <cell r="A24">
            <v>83018</v>
          </cell>
          <cell r="B24" t="str">
            <v>破坏王</v>
          </cell>
          <cell r="C24">
            <v>0</v>
          </cell>
          <cell r="D24">
            <v>1</v>
          </cell>
          <cell r="E24">
            <v>0</v>
          </cell>
          <cell r="F24">
            <v>0</v>
          </cell>
          <cell r="G24">
            <v>0</v>
          </cell>
        </row>
        <row r="25">
          <cell r="A25">
            <v>83019</v>
          </cell>
          <cell r="B25" t="str">
            <v>战无尽</v>
          </cell>
          <cell r="C25">
            <v>0</v>
          </cell>
          <cell r="D25">
            <v>1</v>
          </cell>
          <cell r="E25">
            <v>0</v>
          </cell>
          <cell r="F25">
            <v>0</v>
          </cell>
          <cell r="G25">
            <v>0</v>
          </cell>
        </row>
        <row r="26">
          <cell r="A26">
            <v>83020</v>
          </cell>
          <cell r="B26" t="str">
            <v>绝世战神</v>
          </cell>
          <cell r="C26">
            <v>0</v>
          </cell>
          <cell r="D26">
            <v>1</v>
          </cell>
          <cell r="E26">
            <v>0</v>
          </cell>
          <cell r="F26">
            <v>0</v>
          </cell>
          <cell r="G26">
            <v>0</v>
          </cell>
        </row>
        <row r="27">
          <cell r="A27">
            <v>83021</v>
          </cell>
          <cell r="B27" t="str">
            <v>至尊王者</v>
          </cell>
          <cell r="C27">
            <v>0</v>
          </cell>
          <cell r="D27">
            <v>1</v>
          </cell>
          <cell r="E27">
            <v>0</v>
          </cell>
          <cell r="F27">
            <v>0</v>
          </cell>
          <cell r="G27">
            <v>0</v>
          </cell>
        </row>
        <row r="28">
          <cell r="A28">
            <v>83022</v>
          </cell>
          <cell r="B28" t="str">
            <v>横砍一条街</v>
          </cell>
          <cell r="C28">
            <v>0</v>
          </cell>
          <cell r="D28">
            <v>1</v>
          </cell>
          <cell r="E28">
            <v>0</v>
          </cell>
          <cell r="F28">
            <v>0</v>
          </cell>
          <cell r="G28">
            <v>0</v>
          </cell>
        </row>
        <row r="29">
          <cell r="A29">
            <v>83103</v>
          </cell>
          <cell r="B29" t="str">
            <v>洪兴新星(3天)</v>
          </cell>
          <cell r="C29">
            <v>13.93327048890302</v>
          </cell>
          <cell r="D29">
            <v>1</v>
          </cell>
          <cell r="E29">
            <v>15</v>
          </cell>
          <cell r="F29">
            <v>10449.952866677264</v>
          </cell>
          <cell r="G29">
            <v>20.89990573335453</v>
          </cell>
        </row>
        <row r="30">
          <cell r="A30">
            <v>83104</v>
          </cell>
          <cell r="B30" t="str">
            <v>洪兴打仔(3天)</v>
          </cell>
          <cell r="C30">
            <v>26.187869908473477</v>
          </cell>
          <cell r="D30">
            <v>1</v>
          </cell>
          <cell r="E30">
            <v>15</v>
          </cell>
          <cell r="F30">
            <v>19640.902431355105</v>
          </cell>
          <cell r="G30">
            <v>39.28180486271021</v>
          </cell>
        </row>
        <row r="31">
          <cell r="A31">
            <v>83105</v>
          </cell>
          <cell r="B31" t="str">
            <v>扛把子(3天)</v>
          </cell>
          <cell r="C31">
            <v>43.686095692652259</v>
          </cell>
          <cell r="D31">
            <v>1</v>
          </cell>
          <cell r="E31">
            <v>15</v>
          </cell>
          <cell r="F31">
            <v>32764.57176948919</v>
          </cell>
          <cell r="G31">
            <v>65.529143538978389</v>
          </cell>
        </row>
        <row r="32">
          <cell r="A32">
            <v>83106</v>
          </cell>
          <cell r="B32" t="str">
            <v>二路元帅(3天)</v>
          </cell>
          <cell r="C32">
            <v>66.907164591131149</v>
          </cell>
          <cell r="D32">
            <v>1</v>
          </cell>
          <cell r="E32">
            <v>15</v>
          </cell>
          <cell r="F32">
            <v>50180.373443348362</v>
          </cell>
          <cell r="G32">
            <v>100.36074688669673</v>
          </cell>
        </row>
        <row r="33">
          <cell r="A33">
            <v>83107</v>
          </cell>
          <cell r="B33" t="str">
            <v>战无不胜(3天)</v>
          </cell>
          <cell r="C33">
            <v>250.10935222501362</v>
          </cell>
          <cell r="D33">
            <v>1</v>
          </cell>
          <cell r="E33">
            <v>20</v>
          </cell>
          <cell r="F33">
            <v>250109.35222501363</v>
          </cell>
          <cell r="G33">
            <v>500.21870445002725</v>
          </cell>
        </row>
        <row r="34">
          <cell r="A34">
            <v>83108</v>
          </cell>
          <cell r="B34" t="str">
            <v>猛龙过江(3天)</v>
          </cell>
          <cell r="C34">
            <v>96.207745458923128</v>
          </cell>
          <cell r="D34">
            <v>1</v>
          </cell>
          <cell r="E34">
            <v>15</v>
          </cell>
          <cell r="F34">
            <v>72155.809094192344</v>
          </cell>
          <cell r="G34">
            <v>144.3116181883847</v>
          </cell>
        </row>
        <row r="35">
          <cell r="A35">
            <v>83109</v>
          </cell>
          <cell r="B35" t="str">
            <v>神之手(3天)</v>
          </cell>
          <cell r="C35">
            <v>158.14351706710306</v>
          </cell>
          <cell r="D35">
            <v>1</v>
          </cell>
          <cell r="E35">
            <v>17.5</v>
          </cell>
          <cell r="F35">
            <v>138375.57743371517</v>
          </cell>
          <cell r="G35">
            <v>276.75115486743033</v>
          </cell>
        </row>
        <row r="36">
          <cell r="A36">
            <v>83110</v>
          </cell>
          <cell r="B36" t="str">
            <v>富甲一方(3天)</v>
          </cell>
          <cell r="C36">
            <v>80.173121215769271</v>
          </cell>
          <cell r="D36">
            <v>1</v>
          </cell>
          <cell r="E36">
            <v>12.5</v>
          </cell>
          <cell r="F36">
            <v>50108.20075985579</v>
          </cell>
          <cell r="G36">
            <v>100.21640151971158</v>
          </cell>
        </row>
        <row r="37">
          <cell r="A37">
            <v>83111</v>
          </cell>
          <cell r="B37" t="str">
            <v>壕气冲天(3天)</v>
          </cell>
          <cell r="C37">
            <v>131.78626422258586</v>
          </cell>
          <cell r="D37">
            <v>1</v>
          </cell>
          <cell r="E37">
            <v>15</v>
          </cell>
          <cell r="F37">
            <v>98839.698166939386</v>
          </cell>
          <cell r="G37">
            <v>197.67939633387877</v>
          </cell>
        </row>
        <row r="38">
          <cell r="A38">
            <v>83112</v>
          </cell>
          <cell r="B38" t="str">
            <v>富可敌国(3天)</v>
          </cell>
          <cell r="C38">
            <v>208.42446018751136</v>
          </cell>
          <cell r="D38">
            <v>1</v>
          </cell>
          <cell r="E38">
            <v>17.5</v>
          </cell>
          <cell r="F38">
            <v>182371.40266407243</v>
          </cell>
          <cell r="G38">
            <v>364.74280532814487</v>
          </cell>
        </row>
        <row r="39">
          <cell r="A39">
            <v>83113</v>
          </cell>
          <cell r="B39" t="str">
            <v>壕气冲天(3天)</v>
          </cell>
          <cell r="C39">
            <v>46.463308743841075</v>
          </cell>
          <cell r="D39">
            <v>1</v>
          </cell>
          <cell r="E39">
            <v>15</v>
          </cell>
          <cell r="F39">
            <v>34847.481557880812</v>
          </cell>
          <cell r="G39">
            <v>69.694963115761624</v>
          </cell>
        </row>
        <row r="40">
          <cell r="A40">
            <v>83114</v>
          </cell>
          <cell r="B40" t="str">
            <v>富可敌国(3天)</v>
          </cell>
          <cell r="C40">
            <v>0</v>
          </cell>
          <cell r="D40">
            <v>1</v>
          </cell>
          <cell r="E40">
            <v>0</v>
          </cell>
          <cell r="F40">
            <v>0</v>
          </cell>
          <cell r="G40">
            <v>0</v>
          </cell>
        </row>
        <row r="41">
          <cell r="A41">
            <v>83115</v>
          </cell>
          <cell r="B41" t="str">
            <v>战斗狂人(3天)</v>
          </cell>
          <cell r="C41">
            <v>0</v>
          </cell>
          <cell r="D41">
            <v>1</v>
          </cell>
          <cell r="E41">
            <v>0</v>
          </cell>
          <cell r="F41">
            <v>0</v>
          </cell>
          <cell r="G41">
            <v>0</v>
          </cell>
        </row>
        <row r="42">
          <cell r="A42">
            <v>83116</v>
          </cell>
          <cell r="B42" t="str">
            <v>不哭死神(3天)</v>
          </cell>
          <cell r="C42">
            <v>0</v>
          </cell>
          <cell r="D42">
            <v>1</v>
          </cell>
          <cell r="E42">
            <v>0</v>
          </cell>
          <cell r="F42">
            <v>0</v>
          </cell>
          <cell r="G42">
            <v>0</v>
          </cell>
        </row>
        <row r="43">
          <cell r="A43">
            <v>83117</v>
          </cell>
          <cell r="B43" t="str">
            <v>干架王(3天)</v>
          </cell>
          <cell r="C43">
            <v>0</v>
          </cell>
          <cell r="D43">
            <v>1</v>
          </cell>
          <cell r="E43">
            <v>0</v>
          </cell>
          <cell r="F43">
            <v>0</v>
          </cell>
          <cell r="G43">
            <v>0</v>
          </cell>
        </row>
        <row r="44">
          <cell r="A44">
            <v>83118</v>
          </cell>
          <cell r="B44" t="str">
            <v>破坏王(3天)</v>
          </cell>
          <cell r="C44">
            <v>0</v>
          </cell>
          <cell r="D44">
            <v>1</v>
          </cell>
          <cell r="E44">
            <v>0</v>
          </cell>
          <cell r="F44">
            <v>0</v>
          </cell>
          <cell r="G44">
            <v>0</v>
          </cell>
        </row>
        <row r="45">
          <cell r="A45">
            <v>83119</v>
          </cell>
          <cell r="B45" t="str">
            <v>战无尽(3天)</v>
          </cell>
          <cell r="C45">
            <v>0</v>
          </cell>
          <cell r="D45">
            <v>1</v>
          </cell>
          <cell r="E45">
            <v>0</v>
          </cell>
          <cell r="F45">
            <v>0</v>
          </cell>
          <cell r="G45">
            <v>0</v>
          </cell>
        </row>
        <row r="46">
          <cell r="A46">
            <v>83120</v>
          </cell>
          <cell r="B46" t="str">
            <v>绝世战神(3天)</v>
          </cell>
          <cell r="C46">
            <v>0</v>
          </cell>
          <cell r="D46">
            <v>1</v>
          </cell>
          <cell r="E46">
            <v>0</v>
          </cell>
          <cell r="F46">
            <v>0</v>
          </cell>
          <cell r="G46">
            <v>0</v>
          </cell>
        </row>
        <row r="47">
          <cell r="A47">
            <v>83121</v>
          </cell>
          <cell r="B47" t="str">
            <v>至尊王者(3天)</v>
          </cell>
          <cell r="C47">
            <v>0</v>
          </cell>
          <cell r="D47">
            <v>1</v>
          </cell>
          <cell r="E47">
            <v>0</v>
          </cell>
          <cell r="F47">
            <v>0</v>
          </cell>
          <cell r="G47">
            <v>0</v>
          </cell>
        </row>
        <row r="48">
          <cell r="A48">
            <v>83122</v>
          </cell>
          <cell r="B48" t="str">
            <v>横砍一条街(3天)</v>
          </cell>
          <cell r="C48">
            <v>0</v>
          </cell>
          <cell r="D48">
            <v>1</v>
          </cell>
          <cell r="E48">
            <v>0</v>
          </cell>
          <cell r="F48">
            <v>0</v>
          </cell>
          <cell r="G48">
            <v>0</v>
          </cell>
        </row>
        <row r="49">
          <cell r="A49">
            <v>78101</v>
          </cell>
          <cell r="B49" t="str">
            <v>马仔碎片(制服太妹)</v>
          </cell>
          <cell r="C49">
            <v>2.5553552307428928</v>
          </cell>
          <cell r="D49">
            <v>980</v>
          </cell>
          <cell r="E49">
            <v>97.5</v>
          </cell>
          <cell r="F49">
            <v>12500</v>
          </cell>
          <cell r="G49">
            <v>25</v>
          </cell>
        </row>
        <row r="50">
          <cell r="A50">
            <v>78102</v>
          </cell>
          <cell r="B50" t="str">
            <v>马仔碎片(蟹仔)</v>
          </cell>
          <cell r="C50">
            <v>2.5553552307428928</v>
          </cell>
          <cell r="D50">
            <v>980</v>
          </cell>
          <cell r="E50">
            <v>97.5</v>
          </cell>
          <cell r="F50">
            <v>12500</v>
          </cell>
          <cell r="G50">
            <v>25</v>
          </cell>
        </row>
        <row r="51">
          <cell r="A51">
            <v>78103</v>
          </cell>
          <cell r="B51" t="str">
            <v>马仔碎片(比利)</v>
          </cell>
          <cell r="C51">
            <v>2.5553552307428928</v>
          </cell>
          <cell r="D51">
            <v>980</v>
          </cell>
          <cell r="E51">
            <v>97.5</v>
          </cell>
          <cell r="F51">
            <v>12500</v>
          </cell>
          <cell r="G51">
            <v>25</v>
          </cell>
        </row>
        <row r="52">
          <cell r="A52">
            <v>78104</v>
          </cell>
          <cell r="B52" t="str">
            <v>马仔碎片(黎九)</v>
          </cell>
          <cell r="C52">
            <v>2.5553552307428928</v>
          </cell>
          <cell r="D52">
            <v>980</v>
          </cell>
          <cell r="E52">
            <v>97.5</v>
          </cell>
          <cell r="F52">
            <v>12500</v>
          </cell>
          <cell r="G52">
            <v>25</v>
          </cell>
        </row>
        <row r="53">
          <cell r="A53">
            <v>78105</v>
          </cell>
          <cell r="B53" t="str">
            <v>马仔碎片(黑古)</v>
          </cell>
          <cell r="C53">
            <v>2.5553552307428928</v>
          </cell>
          <cell r="D53">
            <v>980</v>
          </cell>
          <cell r="E53">
            <v>97.5</v>
          </cell>
          <cell r="F53">
            <v>12500</v>
          </cell>
          <cell r="G53">
            <v>25</v>
          </cell>
        </row>
        <row r="54">
          <cell r="A54">
            <v>78106</v>
          </cell>
          <cell r="B54" t="str">
            <v>马仔碎片(靓坤)</v>
          </cell>
          <cell r="C54">
            <v>5.1107104614857857</v>
          </cell>
          <cell r="D54">
            <v>980</v>
          </cell>
          <cell r="E54">
            <v>97.5</v>
          </cell>
          <cell r="F54">
            <v>25000</v>
          </cell>
          <cell r="G54">
            <v>50</v>
          </cell>
        </row>
        <row r="55">
          <cell r="A55">
            <v>78107</v>
          </cell>
          <cell r="B55" t="str">
            <v>马仔碎片(雷复轰)</v>
          </cell>
          <cell r="C55">
            <v>5.1107104614857857</v>
          </cell>
          <cell r="D55">
            <v>980</v>
          </cell>
          <cell r="E55">
            <v>97.5</v>
          </cell>
          <cell r="F55">
            <v>25000</v>
          </cell>
          <cell r="G55">
            <v>50</v>
          </cell>
        </row>
        <row r="56">
          <cell r="A56">
            <v>78108</v>
          </cell>
          <cell r="B56" t="str">
            <v>马仔碎片(肥仔)</v>
          </cell>
          <cell r="C56">
            <v>5.1107104614857857</v>
          </cell>
          <cell r="D56">
            <v>980</v>
          </cell>
          <cell r="E56">
            <v>97.5</v>
          </cell>
          <cell r="F56">
            <v>25000</v>
          </cell>
          <cell r="G56">
            <v>50</v>
          </cell>
        </row>
        <row r="57">
          <cell r="A57">
            <v>78109</v>
          </cell>
          <cell r="B57" t="str">
            <v>马仔碎片(司徒浩南)</v>
          </cell>
          <cell r="C57">
            <v>10.221420922971571</v>
          </cell>
          <cell r="D57">
            <v>980</v>
          </cell>
          <cell r="E57">
            <v>97.5</v>
          </cell>
          <cell r="F57">
            <v>50000</v>
          </cell>
          <cell r="G57">
            <v>100</v>
          </cell>
        </row>
        <row r="58">
          <cell r="A58">
            <v>78110</v>
          </cell>
          <cell r="B58" t="str">
            <v>马仔碎片(乌鸦)</v>
          </cell>
          <cell r="C58">
            <v>10.221420922971571</v>
          </cell>
          <cell r="D58">
            <v>980</v>
          </cell>
          <cell r="E58">
            <v>97.5</v>
          </cell>
          <cell r="F58">
            <v>50000</v>
          </cell>
          <cell r="G58">
            <v>100</v>
          </cell>
        </row>
        <row r="59">
          <cell r="A59">
            <v>78111</v>
          </cell>
          <cell r="B59" t="str">
            <v>马仔碎片(赌王)</v>
          </cell>
          <cell r="C59">
            <v>10.221420922971571</v>
          </cell>
          <cell r="D59">
            <v>980</v>
          </cell>
          <cell r="E59">
            <v>97.5</v>
          </cell>
          <cell r="F59">
            <v>50000</v>
          </cell>
          <cell r="G59">
            <v>100</v>
          </cell>
        </row>
        <row r="60">
          <cell r="A60">
            <v>78112</v>
          </cell>
          <cell r="B60" t="str">
            <v>马仔碎片(山下忠秀)</v>
          </cell>
          <cell r="C60">
            <v>10.221420922971571</v>
          </cell>
          <cell r="D60">
            <v>980</v>
          </cell>
          <cell r="E60">
            <v>97.5</v>
          </cell>
          <cell r="F60">
            <v>50000</v>
          </cell>
          <cell r="G60">
            <v>100</v>
          </cell>
        </row>
        <row r="61">
          <cell r="A61">
            <v>78113</v>
          </cell>
          <cell r="B61" t="str">
            <v>马仔碎片(宫本一)</v>
          </cell>
          <cell r="C61">
            <v>10.221420922971571</v>
          </cell>
          <cell r="D61">
            <v>980</v>
          </cell>
          <cell r="E61">
            <v>97.5</v>
          </cell>
          <cell r="F61">
            <v>50000</v>
          </cell>
          <cell r="G61">
            <v>100</v>
          </cell>
        </row>
        <row r="62">
          <cell r="A62">
            <v>78114</v>
          </cell>
          <cell r="B62" t="str">
            <v>马仔碎片(陈浩南)</v>
          </cell>
          <cell r="C62">
            <v>15.332131384457353</v>
          </cell>
          <cell r="D62">
            <v>980</v>
          </cell>
          <cell r="E62">
            <v>97.5</v>
          </cell>
          <cell r="F62">
            <v>75000</v>
          </cell>
          <cell r="G62">
            <v>150</v>
          </cell>
        </row>
        <row r="63">
          <cell r="A63">
            <v>78115</v>
          </cell>
          <cell r="B63" t="str">
            <v>马仔碎片(山鸡)</v>
          </cell>
          <cell r="C63">
            <v>15.332131384457353</v>
          </cell>
          <cell r="D63">
            <v>980</v>
          </cell>
          <cell r="E63">
            <v>97.5</v>
          </cell>
          <cell r="F63">
            <v>75000</v>
          </cell>
          <cell r="G63">
            <v>150</v>
          </cell>
        </row>
        <row r="64">
          <cell r="A64">
            <v>78116</v>
          </cell>
          <cell r="B64" t="str">
            <v>马仔碎片(大天二)</v>
          </cell>
          <cell r="C64">
            <v>15.332131384457353</v>
          </cell>
          <cell r="D64">
            <v>980</v>
          </cell>
          <cell r="E64">
            <v>97.5</v>
          </cell>
          <cell r="F64">
            <v>75000</v>
          </cell>
          <cell r="G64">
            <v>150</v>
          </cell>
        </row>
        <row r="65">
          <cell r="A65">
            <v>78117</v>
          </cell>
          <cell r="B65" t="str">
            <v>马仔碎片(巴闭)</v>
          </cell>
          <cell r="C65">
            <v>5.1107104614857857</v>
          </cell>
          <cell r="D65">
            <v>980</v>
          </cell>
          <cell r="E65">
            <v>97.5</v>
          </cell>
          <cell r="F65">
            <v>25000</v>
          </cell>
          <cell r="G65">
            <v>50</v>
          </cell>
        </row>
        <row r="66">
          <cell r="A66">
            <v>78118</v>
          </cell>
          <cell r="B66" t="str">
            <v>马仔碎片(耀阳)</v>
          </cell>
          <cell r="C66">
            <v>10.221420922971571</v>
          </cell>
          <cell r="D66">
            <v>980</v>
          </cell>
          <cell r="E66">
            <v>97.5</v>
          </cell>
          <cell r="F66">
            <v>50000</v>
          </cell>
          <cell r="G66">
            <v>100</v>
          </cell>
        </row>
        <row r="67">
          <cell r="A67">
            <v>78119</v>
          </cell>
          <cell r="B67" t="str">
            <v>马仔碎片(笑面虎)</v>
          </cell>
          <cell r="C67">
            <v>10.221420922971571</v>
          </cell>
          <cell r="D67">
            <v>980</v>
          </cell>
          <cell r="E67">
            <v>97.5</v>
          </cell>
          <cell r="F67">
            <v>50000</v>
          </cell>
          <cell r="G67">
            <v>100</v>
          </cell>
        </row>
        <row r="68">
          <cell r="A68">
            <v>70001</v>
          </cell>
          <cell r="B68" t="str">
            <v>低级强化石</v>
          </cell>
          <cell r="C68">
            <v>4</v>
          </cell>
          <cell r="D68">
            <v>0</v>
          </cell>
          <cell r="E68">
            <v>4</v>
          </cell>
          <cell r="F68">
            <v>800</v>
          </cell>
          <cell r="G68">
            <v>2</v>
          </cell>
        </row>
        <row r="69">
          <cell r="A69">
            <v>70002</v>
          </cell>
          <cell r="B69" t="str">
            <v>中级强化石</v>
          </cell>
          <cell r="C69">
            <v>20</v>
          </cell>
          <cell r="D69">
            <v>0</v>
          </cell>
          <cell r="E69">
            <v>4</v>
          </cell>
          <cell r="F69">
            <v>4000</v>
          </cell>
          <cell r="G69">
            <v>8</v>
          </cell>
        </row>
        <row r="70">
          <cell r="A70">
            <v>70003</v>
          </cell>
          <cell r="B70" t="str">
            <v>高级强化石</v>
          </cell>
          <cell r="C70">
            <v>100</v>
          </cell>
          <cell r="D70">
            <v>0</v>
          </cell>
          <cell r="E70">
            <v>4</v>
          </cell>
          <cell r="F70">
            <v>20000</v>
          </cell>
          <cell r="G70">
            <v>40</v>
          </cell>
        </row>
        <row r="71">
          <cell r="A71">
            <v>70101</v>
          </cell>
          <cell r="B71" t="str">
            <v>初级升星石</v>
          </cell>
          <cell r="C71">
            <v>4</v>
          </cell>
          <cell r="D71">
            <v>0</v>
          </cell>
          <cell r="E71">
            <v>5</v>
          </cell>
          <cell r="F71">
            <v>1000</v>
          </cell>
          <cell r="G71">
            <v>2</v>
          </cell>
        </row>
        <row r="72">
          <cell r="A72">
            <v>70201</v>
          </cell>
          <cell r="B72" t="str">
            <v>中级升星石</v>
          </cell>
          <cell r="C72">
            <v>20</v>
          </cell>
          <cell r="D72">
            <v>0</v>
          </cell>
          <cell r="E72">
            <v>5</v>
          </cell>
          <cell r="F72">
            <v>5000</v>
          </cell>
          <cell r="G72">
            <v>10</v>
          </cell>
        </row>
        <row r="73">
          <cell r="A73">
            <v>70301</v>
          </cell>
          <cell r="B73" t="str">
            <v>高级升星石</v>
          </cell>
          <cell r="C73">
            <v>100</v>
          </cell>
          <cell r="D73">
            <v>0</v>
          </cell>
          <cell r="E73">
            <v>5</v>
          </cell>
          <cell r="F73">
            <v>25000</v>
          </cell>
          <cell r="G73">
            <v>50</v>
          </cell>
        </row>
        <row r="74">
          <cell r="A74">
            <v>70401</v>
          </cell>
          <cell r="B74" t="str">
            <v>4阶升星石(不用）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</row>
        <row r="75">
          <cell r="A75">
            <v>70501</v>
          </cell>
          <cell r="B75" t="str">
            <v>5阶升星石（不用）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</row>
        <row r="76">
          <cell r="A76">
            <v>82100</v>
          </cell>
          <cell r="B76" t="str">
            <v>金币卡(1万)</v>
          </cell>
          <cell r="C76">
            <v>0</v>
          </cell>
          <cell r="D76">
            <v>0</v>
          </cell>
          <cell r="E76">
            <v>0</v>
          </cell>
          <cell r="F76">
            <v>10000</v>
          </cell>
          <cell r="G76">
            <v>20</v>
          </cell>
        </row>
        <row r="77">
          <cell r="A77">
            <v>82200</v>
          </cell>
          <cell r="B77" t="str">
            <v>金币卡(2万)</v>
          </cell>
          <cell r="C77">
            <v>0</v>
          </cell>
          <cell r="D77">
            <v>0</v>
          </cell>
          <cell r="E77">
            <v>0</v>
          </cell>
          <cell r="F77">
            <v>20000</v>
          </cell>
          <cell r="G77">
            <v>40</v>
          </cell>
        </row>
        <row r="78">
          <cell r="A78">
            <v>82300</v>
          </cell>
          <cell r="B78" t="str">
            <v>金币卡(5万)</v>
          </cell>
          <cell r="C78">
            <v>0</v>
          </cell>
          <cell r="D78">
            <v>0</v>
          </cell>
          <cell r="E78">
            <v>0</v>
          </cell>
          <cell r="F78">
            <v>50000</v>
          </cell>
          <cell r="G78">
            <v>100</v>
          </cell>
        </row>
        <row r="79">
          <cell r="A79">
            <v>91100</v>
          </cell>
          <cell r="B79" t="str">
            <v>马仔经验药水</v>
          </cell>
          <cell r="C79">
            <v>10</v>
          </cell>
          <cell r="D79">
            <v>0</v>
          </cell>
          <cell r="E79">
            <v>2</v>
          </cell>
          <cell r="F79">
            <v>1000</v>
          </cell>
          <cell r="G79">
            <v>2</v>
          </cell>
        </row>
        <row r="80">
          <cell r="A80">
            <v>91200</v>
          </cell>
          <cell r="B80" t="str">
            <v>马仔经验合剂</v>
          </cell>
          <cell r="C80">
            <v>30</v>
          </cell>
          <cell r="D80">
            <v>0</v>
          </cell>
          <cell r="E80">
            <v>2</v>
          </cell>
          <cell r="F80">
            <v>3000</v>
          </cell>
          <cell r="G80">
            <v>6</v>
          </cell>
        </row>
        <row r="81">
          <cell r="A81">
            <v>91300</v>
          </cell>
          <cell r="B81" t="str">
            <v>马仔经验甘露</v>
          </cell>
          <cell r="C81">
            <v>100</v>
          </cell>
          <cell r="D81">
            <v>0</v>
          </cell>
          <cell r="E81">
            <v>2</v>
          </cell>
          <cell r="F81">
            <v>10000</v>
          </cell>
          <cell r="G81">
            <v>20</v>
          </cell>
        </row>
        <row r="82">
          <cell r="A82">
            <v>87100</v>
          </cell>
          <cell r="B82" t="str">
            <v>钻石兑换卡(100)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100</v>
          </cell>
        </row>
        <row r="83">
          <cell r="A83">
            <v>87200</v>
          </cell>
          <cell r="B83" t="str">
            <v>钻石兑换卡(500)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500</v>
          </cell>
        </row>
        <row r="84">
          <cell r="A84">
            <v>87400</v>
          </cell>
          <cell r="B84" t="str">
            <v>钻石兑换卡(1000)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1000</v>
          </cell>
        </row>
        <row r="85">
          <cell r="A85">
            <v>89100</v>
          </cell>
          <cell r="B85" t="str">
            <v>初级体力药水</v>
          </cell>
          <cell r="C85">
            <v>20</v>
          </cell>
          <cell r="D85">
            <v>0</v>
          </cell>
          <cell r="E85">
            <v>0</v>
          </cell>
          <cell r="F85">
            <v>5000</v>
          </cell>
          <cell r="G85">
            <v>10</v>
          </cell>
        </row>
        <row r="86">
          <cell r="A86">
            <v>89200</v>
          </cell>
          <cell r="B86" t="str">
            <v>中级体力药水</v>
          </cell>
          <cell r="C86">
            <v>40</v>
          </cell>
          <cell r="D86">
            <v>0</v>
          </cell>
          <cell r="E86">
            <v>0</v>
          </cell>
          <cell r="F86">
            <v>10000</v>
          </cell>
          <cell r="G86">
            <v>20</v>
          </cell>
        </row>
        <row r="87">
          <cell r="A87">
            <v>89300</v>
          </cell>
          <cell r="B87" t="str">
            <v>高级体力药水</v>
          </cell>
          <cell r="C87">
            <v>80</v>
          </cell>
          <cell r="D87">
            <v>0</v>
          </cell>
          <cell r="E87">
            <v>0</v>
          </cell>
          <cell r="F87">
            <v>20000</v>
          </cell>
          <cell r="G87">
            <v>40</v>
          </cell>
        </row>
        <row r="88">
          <cell r="A88">
            <v>83100</v>
          </cell>
          <cell r="B88" t="str">
            <v>成长礼包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</row>
        <row r="89">
          <cell r="A89">
            <v>70010</v>
          </cell>
          <cell r="B89" t="str">
            <v>部位材料(武器)</v>
          </cell>
          <cell r="C89">
            <v>30</v>
          </cell>
          <cell r="D89">
            <v>2530</v>
          </cell>
          <cell r="E89">
            <v>1</v>
          </cell>
          <cell r="F89">
            <v>1500</v>
          </cell>
          <cell r="G89">
            <v>3</v>
          </cell>
        </row>
        <row r="90">
          <cell r="A90">
            <v>71010</v>
          </cell>
          <cell r="B90" t="str">
            <v>部位材料(衣服)</v>
          </cell>
          <cell r="C90">
            <v>30</v>
          </cell>
          <cell r="D90">
            <v>2035</v>
          </cell>
          <cell r="E90">
            <v>1</v>
          </cell>
          <cell r="F90">
            <v>1500</v>
          </cell>
          <cell r="G90">
            <v>3</v>
          </cell>
        </row>
        <row r="91">
          <cell r="A91">
            <v>72010</v>
          </cell>
          <cell r="B91" t="str">
            <v>部位材料(裤子)</v>
          </cell>
          <cell r="C91">
            <v>30</v>
          </cell>
          <cell r="D91">
            <v>935</v>
          </cell>
          <cell r="E91">
            <v>1</v>
          </cell>
          <cell r="F91">
            <v>1500</v>
          </cell>
          <cell r="G91">
            <v>3</v>
          </cell>
        </row>
        <row r="92">
          <cell r="A92">
            <v>73010</v>
          </cell>
          <cell r="B92" t="str">
            <v>部位材料(项链)</v>
          </cell>
          <cell r="C92">
            <v>30</v>
          </cell>
          <cell r="D92">
            <v>880</v>
          </cell>
          <cell r="E92">
            <v>1</v>
          </cell>
          <cell r="F92">
            <v>1500</v>
          </cell>
          <cell r="G92">
            <v>3</v>
          </cell>
        </row>
        <row r="93">
          <cell r="A93">
            <v>74010</v>
          </cell>
          <cell r="B93" t="str">
            <v>部位材料(腰带)</v>
          </cell>
          <cell r="C93">
            <v>30</v>
          </cell>
          <cell r="D93">
            <v>2200</v>
          </cell>
          <cell r="E93">
            <v>1</v>
          </cell>
          <cell r="F93">
            <v>1500</v>
          </cell>
          <cell r="G93">
            <v>3</v>
          </cell>
        </row>
        <row r="94">
          <cell r="A94">
            <v>75010</v>
          </cell>
          <cell r="B94" t="str">
            <v>部位材料(鞋子)</v>
          </cell>
          <cell r="C94">
            <v>30</v>
          </cell>
          <cell r="D94">
            <v>660</v>
          </cell>
          <cell r="E94">
            <v>1</v>
          </cell>
          <cell r="F94">
            <v>1500</v>
          </cell>
          <cell r="G94">
            <v>3</v>
          </cell>
        </row>
        <row r="95">
          <cell r="A95">
            <v>80110</v>
          </cell>
          <cell r="B95" t="str">
            <v>龙魂币(500)</v>
          </cell>
          <cell r="C95">
            <v>100</v>
          </cell>
          <cell r="D95">
            <v>646.40123212734977</v>
          </cell>
          <cell r="E95">
            <v>2</v>
          </cell>
          <cell r="F95">
            <v>10000</v>
          </cell>
          <cell r="G95">
            <v>20</v>
          </cell>
        </row>
        <row r="96">
          <cell r="A96">
            <v>80210</v>
          </cell>
          <cell r="B96" t="str">
            <v>龙魂币(1000)</v>
          </cell>
          <cell r="C96">
            <v>200</v>
          </cell>
          <cell r="D96">
            <v>323.20061606367489</v>
          </cell>
          <cell r="E96">
            <v>2</v>
          </cell>
          <cell r="F96">
            <v>20000</v>
          </cell>
          <cell r="G96">
            <v>40</v>
          </cell>
        </row>
        <row r="97">
          <cell r="A97">
            <v>80310</v>
          </cell>
          <cell r="B97" t="str">
            <v>龙魂币(2000)</v>
          </cell>
          <cell r="C97">
            <v>400</v>
          </cell>
          <cell r="D97">
            <v>161.60030803183744</v>
          </cell>
          <cell r="E97">
            <v>2</v>
          </cell>
          <cell r="F97">
            <v>40000</v>
          </cell>
          <cell r="G97">
            <v>80</v>
          </cell>
        </row>
        <row r="98">
          <cell r="A98">
            <v>80410</v>
          </cell>
          <cell r="B98" t="str">
            <v>命运石(5000)</v>
          </cell>
          <cell r="C98">
            <v>0</v>
          </cell>
          <cell r="D98">
            <v>4937.3240536387457</v>
          </cell>
          <cell r="E98">
            <v>1</v>
          </cell>
          <cell r="F98">
            <v>2500</v>
          </cell>
          <cell r="G98">
            <v>5</v>
          </cell>
        </row>
        <row r="99">
          <cell r="A99">
            <v>80510</v>
          </cell>
          <cell r="B99" t="str">
            <v>命运石(1万)</v>
          </cell>
          <cell r="C99">
            <v>0</v>
          </cell>
          <cell r="D99">
            <v>2468.6620268193728</v>
          </cell>
          <cell r="E99">
            <v>1</v>
          </cell>
          <cell r="F99">
            <v>5000</v>
          </cell>
          <cell r="G99">
            <v>10</v>
          </cell>
        </row>
        <row r="100">
          <cell r="A100">
            <v>80610</v>
          </cell>
          <cell r="B100" t="str">
            <v>命运石(2万)</v>
          </cell>
          <cell r="C100">
            <v>0</v>
          </cell>
          <cell r="D100">
            <v>1234.3310134096864</v>
          </cell>
          <cell r="E100">
            <v>1</v>
          </cell>
          <cell r="F100">
            <v>10000</v>
          </cell>
          <cell r="G100">
            <v>20</v>
          </cell>
        </row>
        <row r="101">
          <cell r="A101">
            <v>87300</v>
          </cell>
          <cell r="B101" t="str">
            <v>钻石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</row>
        <row r="102">
          <cell r="A102">
            <v>83300</v>
          </cell>
          <cell r="B102" t="str">
            <v>金币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</row>
        <row r="103">
          <cell r="A103">
            <v>83301</v>
          </cell>
          <cell r="B103" t="str">
            <v>龙魂币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</row>
        <row r="104">
          <cell r="A104">
            <v>83302</v>
          </cell>
          <cell r="B104" t="str">
            <v>命运石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</row>
        <row r="105">
          <cell r="A105">
            <v>83303</v>
          </cell>
          <cell r="B105" t="str">
            <v>擂台币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</row>
        <row r="106">
          <cell r="A106">
            <v>89101</v>
          </cell>
          <cell r="B106" t="str">
            <v>双倍经验卡（1天）</v>
          </cell>
          <cell r="C106">
            <v>0</v>
          </cell>
          <cell r="D106">
            <v>0</v>
          </cell>
          <cell r="E106">
            <v>6</v>
          </cell>
          <cell r="F106">
            <v>0</v>
          </cell>
          <cell r="G106">
            <v>0</v>
          </cell>
        </row>
        <row r="107">
          <cell r="A107">
            <v>89102</v>
          </cell>
          <cell r="B107" t="str">
            <v>双倍经验卡（2天）</v>
          </cell>
          <cell r="C107">
            <v>0</v>
          </cell>
          <cell r="D107">
            <v>0</v>
          </cell>
          <cell r="E107">
            <v>6</v>
          </cell>
          <cell r="F107">
            <v>0</v>
          </cell>
          <cell r="G107">
            <v>0</v>
          </cell>
        </row>
        <row r="108">
          <cell r="A108">
            <v>89106</v>
          </cell>
          <cell r="B108" t="str">
            <v>vip经验卡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</row>
        <row r="109">
          <cell r="A109">
            <v>89107</v>
          </cell>
          <cell r="B109" t="str">
            <v>技能升级石</v>
          </cell>
          <cell r="C109">
            <v>2.5</v>
          </cell>
          <cell r="D109">
            <v>7724</v>
          </cell>
          <cell r="E109">
            <v>1</v>
          </cell>
          <cell r="F109">
            <v>125</v>
          </cell>
          <cell r="G109">
            <v>0.25</v>
          </cell>
        </row>
        <row r="110">
          <cell r="A110">
            <v>89108</v>
          </cell>
          <cell r="B110" t="str">
            <v>蓝色装备碎片（无用）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</row>
        <row r="111">
          <cell r="A111">
            <v>89109</v>
          </cell>
          <cell r="B111" t="str">
            <v>紫色装备碎片（无用）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</row>
        <row r="112">
          <cell r="A112">
            <v>89110</v>
          </cell>
          <cell r="B112" t="str">
            <v>橙色装备碎片（无用）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</row>
        <row r="113">
          <cell r="A113">
            <v>89111</v>
          </cell>
          <cell r="B113" t="str">
            <v>技能冷却石</v>
          </cell>
          <cell r="C113">
            <v>0.7</v>
          </cell>
          <cell r="D113">
            <v>30600</v>
          </cell>
          <cell r="E113">
            <v>1</v>
          </cell>
          <cell r="F113">
            <v>34.999999999999993</v>
          </cell>
          <cell r="G113">
            <v>6.9999999999999993E-2</v>
          </cell>
        </row>
        <row r="114">
          <cell r="A114">
            <v>83304</v>
          </cell>
          <cell r="B114" t="str">
            <v>寻宝券</v>
          </cell>
          <cell r="C114">
            <v>0</v>
          </cell>
          <cell r="D114">
            <v>0</v>
          </cell>
          <cell r="E114">
            <v>0</v>
          </cell>
          <cell r="F114">
            <v>15500</v>
          </cell>
          <cell r="G114">
            <v>31</v>
          </cell>
        </row>
        <row r="115">
          <cell r="A115">
            <v>85200</v>
          </cell>
          <cell r="B115" t="str">
            <v>高级装备升级石</v>
          </cell>
          <cell r="C115">
            <v>0</v>
          </cell>
          <cell r="D115">
            <v>2019.7074124618819</v>
          </cell>
          <cell r="E115">
            <v>0</v>
          </cell>
          <cell r="F115">
            <v>5000</v>
          </cell>
          <cell r="G115">
            <v>10</v>
          </cell>
        </row>
        <row r="116">
          <cell r="A116">
            <v>85300</v>
          </cell>
          <cell r="B116" t="str">
            <v>稀有装备升级石</v>
          </cell>
          <cell r="C116">
            <v>0</v>
          </cell>
          <cell r="D116">
            <v>2019.7074124618819</v>
          </cell>
          <cell r="E116">
            <v>0</v>
          </cell>
          <cell r="F116">
            <v>15000</v>
          </cell>
          <cell r="G116">
            <v>30</v>
          </cell>
        </row>
        <row r="117">
          <cell r="A117">
            <v>85400</v>
          </cell>
          <cell r="B117" t="str">
            <v>史诗装备升级石</v>
          </cell>
          <cell r="C117">
            <v>0</v>
          </cell>
          <cell r="D117">
            <v>2019.7074124618819</v>
          </cell>
          <cell r="E117">
            <v>0</v>
          </cell>
          <cell r="F117">
            <v>40000</v>
          </cell>
          <cell r="G117">
            <v>80</v>
          </cell>
        </row>
        <row r="118">
          <cell r="A118">
            <v>85500</v>
          </cell>
          <cell r="B118" t="str">
            <v>传说装备升级石</v>
          </cell>
          <cell r="C118">
            <v>0</v>
          </cell>
          <cell r="D118">
            <v>2019.7074124618819</v>
          </cell>
          <cell r="E118">
            <v>0</v>
          </cell>
          <cell r="F118">
            <v>50000</v>
          </cell>
          <cell r="G118">
            <v>100</v>
          </cell>
        </row>
        <row r="119">
          <cell r="A119">
            <v>86001</v>
          </cell>
          <cell r="B119" t="str">
            <v>马仔追债礼包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</row>
        <row r="120">
          <cell r="A120">
            <v>86002</v>
          </cell>
          <cell r="B120" t="str">
            <v>马仔追债礼包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</row>
        <row r="121">
          <cell r="A121">
            <v>86003</v>
          </cell>
          <cell r="B121" t="str">
            <v>马仔追债礼包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</row>
        <row r="122">
          <cell r="A122">
            <v>86004</v>
          </cell>
          <cell r="B122" t="str">
            <v>马仔追债礼包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</row>
        <row r="123">
          <cell r="A123">
            <v>86005</v>
          </cell>
          <cell r="B123" t="str">
            <v>马仔追债礼包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</row>
        <row r="124">
          <cell r="A124">
            <v>86110</v>
          </cell>
          <cell r="B124" t="str">
            <v>马仔装备礼包</v>
          </cell>
          <cell r="C124">
            <v>0</v>
          </cell>
          <cell r="D124">
            <v>0</v>
          </cell>
          <cell r="E124">
            <v>3</v>
          </cell>
          <cell r="F124">
            <v>3750</v>
          </cell>
          <cell r="G124">
            <v>7.5</v>
          </cell>
        </row>
        <row r="125">
          <cell r="A125">
            <v>86120</v>
          </cell>
          <cell r="B125" t="str">
            <v>马仔装备礼包</v>
          </cell>
          <cell r="C125">
            <v>0</v>
          </cell>
          <cell r="D125">
            <v>0</v>
          </cell>
          <cell r="E125">
            <v>6</v>
          </cell>
          <cell r="F125">
            <v>7500</v>
          </cell>
          <cell r="G125">
            <v>15</v>
          </cell>
        </row>
        <row r="126">
          <cell r="A126">
            <v>86130</v>
          </cell>
          <cell r="B126" t="str">
            <v>马仔装备礼包</v>
          </cell>
          <cell r="C126">
            <v>0</v>
          </cell>
          <cell r="D126">
            <v>0</v>
          </cell>
          <cell r="E126">
            <v>9</v>
          </cell>
          <cell r="F126">
            <v>22500</v>
          </cell>
          <cell r="G126">
            <v>45</v>
          </cell>
        </row>
        <row r="127">
          <cell r="A127">
            <v>86140</v>
          </cell>
          <cell r="B127" t="str">
            <v>马仔装备礼包</v>
          </cell>
          <cell r="C127">
            <v>0</v>
          </cell>
          <cell r="D127">
            <v>0</v>
          </cell>
          <cell r="E127">
            <v>12</v>
          </cell>
          <cell r="F127">
            <v>60000</v>
          </cell>
          <cell r="G127">
            <v>120</v>
          </cell>
        </row>
        <row r="128">
          <cell r="A128">
            <v>86150</v>
          </cell>
          <cell r="B128" t="str">
            <v>马仔装备礼包</v>
          </cell>
          <cell r="C128">
            <v>0</v>
          </cell>
          <cell r="D128">
            <v>0</v>
          </cell>
          <cell r="E128">
            <v>15</v>
          </cell>
          <cell r="F128">
            <v>150000</v>
          </cell>
          <cell r="G128">
            <v>300</v>
          </cell>
        </row>
        <row r="129">
          <cell r="A129">
            <v>83305</v>
          </cell>
          <cell r="B129" t="str">
            <v>金豆</v>
          </cell>
          <cell r="C129">
            <v>0</v>
          </cell>
          <cell r="D129">
            <v>0</v>
          </cell>
          <cell r="E129">
            <v>0</v>
          </cell>
          <cell r="F129">
            <v>10000</v>
          </cell>
          <cell r="G129">
            <v>20</v>
          </cell>
        </row>
        <row r="130">
          <cell r="A130">
            <v>83306</v>
          </cell>
          <cell r="B130" t="str">
            <v>单次扫荡特权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</row>
        <row r="131">
          <cell r="A131">
            <v>83307</v>
          </cell>
          <cell r="B131" t="str">
            <v>多次扫荡特权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</row>
        <row r="132">
          <cell r="A132">
            <v>83308</v>
          </cell>
          <cell r="B132" t="str">
            <v>扫荡特权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</row>
        <row r="133">
          <cell r="A133">
            <v>86010</v>
          </cell>
          <cell r="B133" t="str">
            <v>部位材料包</v>
          </cell>
          <cell r="C133">
            <v>0</v>
          </cell>
          <cell r="D133">
            <v>0</v>
          </cell>
          <cell r="E133">
            <v>0</v>
          </cell>
          <cell r="F133">
            <v>10000</v>
          </cell>
          <cell r="G133">
            <v>20</v>
          </cell>
        </row>
        <row r="134">
          <cell r="A134">
            <v>86021</v>
          </cell>
          <cell r="B134" t="str">
            <v>紫色装备礼包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</row>
        <row r="135">
          <cell r="A135">
            <v>10001</v>
          </cell>
          <cell r="B135" t="str">
            <v>新手之剑</v>
          </cell>
          <cell r="C135">
            <v>0</v>
          </cell>
          <cell r="D135">
            <v>1</v>
          </cell>
          <cell r="E135">
            <v>10</v>
          </cell>
          <cell r="F135">
            <v>0</v>
          </cell>
          <cell r="G135">
            <v>0</v>
          </cell>
        </row>
        <row r="136">
          <cell r="A136">
            <v>20001</v>
          </cell>
          <cell r="B136" t="str">
            <v>新手之拳</v>
          </cell>
          <cell r="C136">
            <v>0</v>
          </cell>
          <cell r="D136">
            <v>1</v>
          </cell>
          <cell r="E136">
            <v>10</v>
          </cell>
          <cell r="F136">
            <v>0</v>
          </cell>
          <cell r="G136">
            <v>0</v>
          </cell>
        </row>
        <row r="137">
          <cell r="A137">
            <v>30001</v>
          </cell>
          <cell r="B137" t="str">
            <v>新手之枪</v>
          </cell>
          <cell r="C137">
            <v>0</v>
          </cell>
          <cell r="D137">
            <v>1</v>
          </cell>
          <cell r="E137">
            <v>10</v>
          </cell>
          <cell r="F137">
            <v>0</v>
          </cell>
          <cell r="G137">
            <v>0</v>
          </cell>
        </row>
        <row r="138">
          <cell r="A138">
            <v>10002</v>
          </cell>
          <cell r="B138" t="str">
            <v>染血之剑</v>
          </cell>
          <cell r="C138">
            <v>9.9594489839572216</v>
          </cell>
          <cell r="D138">
            <v>1</v>
          </cell>
          <cell r="E138">
            <v>10</v>
          </cell>
          <cell r="F138">
            <v>497.97244919786107</v>
          </cell>
          <cell r="G138">
            <v>50</v>
          </cell>
        </row>
        <row r="139">
          <cell r="A139">
            <v>20002</v>
          </cell>
          <cell r="B139" t="str">
            <v>染血之拳</v>
          </cell>
          <cell r="C139">
            <v>9.9594489839572216</v>
          </cell>
          <cell r="D139">
            <v>1</v>
          </cell>
          <cell r="E139">
            <v>10</v>
          </cell>
          <cell r="F139">
            <v>497.97244919786107</v>
          </cell>
          <cell r="G139">
            <v>50</v>
          </cell>
        </row>
        <row r="140">
          <cell r="A140">
            <v>30002</v>
          </cell>
          <cell r="B140" t="str">
            <v>染血之枪</v>
          </cell>
          <cell r="C140">
            <v>9.9594489839572216</v>
          </cell>
          <cell r="D140">
            <v>1</v>
          </cell>
          <cell r="E140">
            <v>10</v>
          </cell>
          <cell r="F140">
            <v>497.97244919786107</v>
          </cell>
          <cell r="G140">
            <v>50</v>
          </cell>
        </row>
        <row r="141">
          <cell r="A141">
            <v>51002</v>
          </cell>
          <cell r="B141" t="str">
            <v>染血战衣</v>
          </cell>
          <cell r="C141">
            <v>8.7417818494123249</v>
          </cell>
          <cell r="D141">
            <v>1</v>
          </cell>
          <cell r="E141">
            <v>10</v>
          </cell>
          <cell r="F141">
            <v>437.08909247061627</v>
          </cell>
          <cell r="G141">
            <v>43.88687498421686</v>
          </cell>
        </row>
        <row r="142">
          <cell r="A142">
            <v>52002</v>
          </cell>
          <cell r="B142" t="str">
            <v>染血长裤</v>
          </cell>
          <cell r="C142">
            <v>3.1273312235701907</v>
          </cell>
          <cell r="D142">
            <v>1</v>
          </cell>
          <cell r="E142">
            <v>10</v>
          </cell>
          <cell r="F142">
            <v>156.36656117850953</v>
          </cell>
          <cell r="G142">
            <v>15.700322520893105</v>
          </cell>
        </row>
        <row r="143">
          <cell r="A143">
            <v>55002</v>
          </cell>
          <cell r="B143" t="str">
            <v>染血长靴</v>
          </cell>
          <cell r="C143">
            <v>4.0065116713523459</v>
          </cell>
          <cell r="D143">
            <v>1</v>
          </cell>
          <cell r="E143">
            <v>10</v>
          </cell>
          <cell r="F143">
            <v>200.32558356761729</v>
          </cell>
          <cell r="G143">
            <v>20.114123169896615</v>
          </cell>
        </row>
        <row r="144">
          <cell r="A144">
            <v>54002</v>
          </cell>
          <cell r="B144" t="str">
            <v>染血腰带</v>
          </cell>
          <cell r="C144">
            <v>2.8815116713523463</v>
          </cell>
          <cell r="D144">
            <v>1</v>
          </cell>
          <cell r="E144">
            <v>10</v>
          </cell>
          <cell r="F144">
            <v>144.07558356761731</v>
          </cell>
          <cell r="G144">
            <v>14.466220350111305</v>
          </cell>
        </row>
        <row r="145">
          <cell r="A145">
            <v>53002</v>
          </cell>
          <cell r="B145" t="str">
            <v>染血项链</v>
          </cell>
          <cell r="C145">
            <v>6.1739829946524072</v>
          </cell>
          <cell r="D145">
            <v>1</v>
          </cell>
          <cell r="E145">
            <v>10</v>
          </cell>
          <cell r="F145">
            <v>308.69914973262036</v>
          </cell>
          <cell r="G145">
            <v>30.995605302047935</v>
          </cell>
        </row>
        <row r="146">
          <cell r="A146">
            <v>10103</v>
          </cell>
          <cell r="B146" t="str">
            <v>狂气之剑</v>
          </cell>
          <cell r="C146">
            <v>16.362734305483833</v>
          </cell>
          <cell r="D146">
            <v>1</v>
          </cell>
          <cell r="E146">
            <v>10</v>
          </cell>
          <cell r="F146">
            <v>818.13671527419172</v>
          </cell>
          <cell r="G146">
            <v>60</v>
          </cell>
        </row>
        <row r="147">
          <cell r="A147">
            <v>20103</v>
          </cell>
          <cell r="B147" t="str">
            <v>狂气之拳</v>
          </cell>
          <cell r="C147">
            <v>16.362734305483833</v>
          </cell>
          <cell r="D147">
            <v>1</v>
          </cell>
          <cell r="E147">
            <v>10</v>
          </cell>
          <cell r="F147">
            <v>818.13671527419172</v>
          </cell>
          <cell r="G147">
            <v>60</v>
          </cell>
        </row>
        <row r="148">
          <cell r="A148">
            <v>30103</v>
          </cell>
          <cell r="B148" t="str">
            <v>狂气之枪</v>
          </cell>
          <cell r="C148">
            <v>16.362734305483833</v>
          </cell>
          <cell r="D148">
            <v>1</v>
          </cell>
          <cell r="E148">
            <v>10</v>
          </cell>
          <cell r="F148">
            <v>818.13671527419172</v>
          </cell>
          <cell r="G148">
            <v>60</v>
          </cell>
        </row>
        <row r="149">
          <cell r="A149">
            <v>51103</v>
          </cell>
          <cell r="B149" t="str">
            <v>狂气战衣</v>
          </cell>
          <cell r="C149">
            <v>14.115831546375986</v>
          </cell>
          <cell r="D149">
            <v>1</v>
          </cell>
          <cell r="E149">
            <v>10</v>
          </cell>
          <cell r="F149">
            <v>705.79157731879934</v>
          </cell>
          <cell r="G149">
            <v>51.760902363287229</v>
          </cell>
        </row>
        <row r="150">
          <cell r="A150">
            <v>52103</v>
          </cell>
          <cell r="B150" t="str">
            <v>狂气长裤</v>
          </cell>
          <cell r="C150">
            <v>5.2008627457474663</v>
          </cell>
          <cell r="D150">
            <v>1</v>
          </cell>
          <cell r="E150">
            <v>10</v>
          </cell>
          <cell r="F150">
            <v>260.04313728737333</v>
          </cell>
          <cell r="G150">
            <v>19.070881364874722</v>
          </cell>
        </row>
        <row r="151">
          <cell r="A151">
            <v>55103</v>
          </cell>
          <cell r="B151" t="str">
            <v>狂气长靴</v>
          </cell>
          <cell r="C151">
            <v>6.6255814659475636</v>
          </cell>
          <cell r="D151">
            <v>1</v>
          </cell>
          <cell r="E151">
            <v>10</v>
          </cell>
          <cell r="F151">
            <v>331.2790732973782</v>
          </cell>
          <cell r="G151">
            <v>24.295137996809206</v>
          </cell>
        </row>
        <row r="152">
          <cell r="A152">
            <v>54103</v>
          </cell>
          <cell r="B152" t="str">
            <v>狂气腰带</v>
          </cell>
          <cell r="C152">
            <v>5.3300753356980337</v>
          </cell>
          <cell r="D152">
            <v>1</v>
          </cell>
          <cell r="E152">
            <v>10</v>
          </cell>
          <cell r="F152">
            <v>266.5037667849017</v>
          </cell>
          <cell r="G152">
            <v>19.544686980262355</v>
          </cell>
        </row>
        <row r="153">
          <cell r="A153">
            <v>53103</v>
          </cell>
          <cell r="B153" t="str">
            <v>狂气项链</v>
          </cell>
          <cell r="C153">
            <v>9.9343524513369008</v>
          </cell>
          <cell r="D153">
            <v>1</v>
          </cell>
          <cell r="E153">
            <v>10</v>
          </cell>
          <cell r="F153">
            <v>496.71762256684502</v>
          </cell>
          <cell r="G153">
            <v>36.427967108189804</v>
          </cell>
        </row>
        <row r="154">
          <cell r="A154">
            <v>10104</v>
          </cell>
          <cell r="B154" t="str">
            <v>野性之剑</v>
          </cell>
          <cell r="C154">
            <v>43.633958147956896</v>
          </cell>
          <cell r="D154">
            <v>1</v>
          </cell>
          <cell r="E154">
            <v>10</v>
          </cell>
          <cell r="F154">
            <v>2181.697907397845</v>
          </cell>
          <cell r="G154">
            <v>180</v>
          </cell>
        </row>
        <row r="155">
          <cell r="A155">
            <v>20104</v>
          </cell>
          <cell r="B155" t="str">
            <v>野性之拳</v>
          </cell>
          <cell r="C155">
            <v>43.633958147956896</v>
          </cell>
          <cell r="D155">
            <v>1</v>
          </cell>
          <cell r="E155">
            <v>10</v>
          </cell>
          <cell r="F155">
            <v>2181.697907397845</v>
          </cell>
          <cell r="G155">
            <v>180</v>
          </cell>
        </row>
        <row r="156">
          <cell r="A156">
            <v>30104</v>
          </cell>
          <cell r="B156" t="str">
            <v>野性之枪</v>
          </cell>
          <cell r="C156">
            <v>43.633958147956896</v>
          </cell>
          <cell r="D156">
            <v>1</v>
          </cell>
          <cell r="E156">
            <v>10</v>
          </cell>
          <cell r="F156">
            <v>2181.697907397845</v>
          </cell>
          <cell r="G156">
            <v>180</v>
          </cell>
        </row>
        <row r="157">
          <cell r="A157">
            <v>51104</v>
          </cell>
          <cell r="B157" t="str">
            <v>野性战衣</v>
          </cell>
          <cell r="C157">
            <v>37.64221745700263</v>
          </cell>
          <cell r="D157">
            <v>1</v>
          </cell>
          <cell r="E157">
            <v>10</v>
          </cell>
          <cell r="F157">
            <v>1882.1108728501315</v>
          </cell>
          <cell r="G157">
            <v>155.28270708986162</v>
          </cell>
        </row>
        <row r="158">
          <cell r="A158">
            <v>52104</v>
          </cell>
          <cell r="B158" t="str">
            <v>野性长裤</v>
          </cell>
          <cell r="C158">
            <v>13.868967321993246</v>
          </cell>
          <cell r="D158">
            <v>1</v>
          </cell>
          <cell r="E158">
            <v>10</v>
          </cell>
          <cell r="F158">
            <v>693.44836609966228</v>
          </cell>
          <cell r="G158">
            <v>57.212644094624167</v>
          </cell>
        </row>
        <row r="159">
          <cell r="A159">
            <v>55104</v>
          </cell>
          <cell r="B159" t="str">
            <v>野性长靴</v>
          </cell>
          <cell r="C159">
            <v>17.668217242526836</v>
          </cell>
          <cell r="D159">
            <v>1</v>
          </cell>
          <cell r="E159">
            <v>10</v>
          </cell>
          <cell r="F159">
            <v>883.41086212634184</v>
          </cell>
          <cell r="G159">
            <v>72.885413990427608</v>
          </cell>
        </row>
        <row r="160">
          <cell r="A160">
            <v>54104</v>
          </cell>
          <cell r="B160" t="str">
            <v>野性腰带</v>
          </cell>
          <cell r="C160">
            <v>14.213534228528086</v>
          </cell>
          <cell r="D160">
            <v>1</v>
          </cell>
          <cell r="E160">
            <v>10</v>
          </cell>
          <cell r="F160">
            <v>710.67671142640427</v>
          </cell>
          <cell r="G160">
            <v>58.634060940787023</v>
          </cell>
        </row>
        <row r="161">
          <cell r="A161">
            <v>53104</v>
          </cell>
          <cell r="B161" t="str">
            <v>野性项链</v>
          </cell>
          <cell r="C161">
            <v>26.491606536898399</v>
          </cell>
          <cell r="D161">
            <v>1</v>
          </cell>
          <cell r="E161">
            <v>10</v>
          </cell>
          <cell r="F161">
            <v>1324.5803268449199</v>
          </cell>
          <cell r="G161">
            <v>109.28390132456937</v>
          </cell>
        </row>
        <row r="162">
          <cell r="A162">
            <v>10205</v>
          </cell>
          <cell r="B162" t="str">
            <v>紫云之剑</v>
          </cell>
          <cell r="C162">
            <v>62.755825551614031</v>
          </cell>
          <cell r="D162">
            <v>1</v>
          </cell>
          <cell r="E162">
            <v>10</v>
          </cell>
          <cell r="F162">
            <v>3137.7912775807017</v>
          </cell>
          <cell r="G162">
            <v>360</v>
          </cell>
        </row>
        <row r="163">
          <cell r="A163">
            <v>20205</v>
          </cell>
          <cell r="B163" t="str">
            <v>紫云之拳</v>
          </cell>
          <cell r="C163">
            <v>62.755825551614031</v>
          </cell>
          <cell r="D163">
            <v>1</v>
          </cell>
          <cell r="E163">
            <v>10</v>
          </cell>
          <cell r="F163">
            <v>3137.7912775807017</v>
          </cell>
          <cell r="G163">
            <v>360</v>
          </cell>
        </row>
        <row r="164">
          <cell r="A164">
            <v>30205</v>
          </cell>
          <cell r="B164" t="str">
            <v>紫云之枪</v>
          </cell>
          <cell r="C164">
            <v>62.755825551614031</v>
          </cell>
          <cell r="D164">
            <v>1</v>
          </cell>
          <cell r="E164">
            <v>10</v>
          </cell>
          <cell r="F164">
            <v>3137.7912775807017</v>
          </cell>
          <cell r="G164">
            <v>360</v>
          </cell>
        </row>
        <row r="165">
          <cell r="A165">
            <v>51205</v>
          </cell>
          <cell r="B165" t="str">
            <v>紫云战衣</v>
          </cell>
          <cell r="C165">
            <v>53.185303566187045</v>
          </cell>
          <cell r="D165">
            <v>1</v>
          </cell>
          <cell r="E165">
            <v>10</v>
          </cell>
          <cell r="F165">
            <v>2659.2651783093525</v>
          </cell>
          <cell r="G165">
            <v>305.09851660034292</v>
          </cell>
        </row>
        <row r="166">
          <cell r="A166">
            <v>52205</v>
          </cell>
          <cell r="B166" t="str">
            <v>紫云长裤</v>
          </cell>
          <cell r="C166">
            <v>20.189978264845493</v>
          </cell>
          <cell r="D166">
            <v>1</v>
          </cell>
          <cell r="E166">
            <v>10</v>
          </cell>
          <cell r="F166">
            <v>1009.4989132422746</v>
          </cell>
          <cell r="G166">
            <v>115.8201985466103</v>
          </cell>
        </row>
        <row r="167">
          <cell r="A167">
            <v>55205</v>
          </cell>
          <cell r="B167" t="str">
            <v>紫云长靴</v>
          </cell>
          <cell r="C167">
            <v>25.577908967149277</v>
          </cell>
          <cell r="D167">
            <v>1</v>
          </cell>
          <cell r="E167">
            <v>10</v>
          </cell>
          <cell r="F167">
            <v>1278.8954483574639</v>
          </cell>
          <cell r="G167">
            <v>146.72816662415678</v>
          </cell>
        </row>
        <row r="168">
          <cell r="A168">
            <v>54205</v>
          </cell>
          <cell r="B168" t="str">
            <v>紫云腰带</v>
          </cell>
          <cell r="C168">
            <v>22.747713593375114</v>
          </cell>
          <cell r="D168">
            <v>1</v>
          </cell>
          <cell r="E168">
            <v>10</v>
          </cell>
          <cell r="F168">
            <v>1137.3856796687558</v>
          </cell>
          <cell r="G168">
            <v>130.49269644106246</v>
          </cell>
        </row>
        <row r="169">
          <cell r="A169">
            <v>53205</v>
          </cell>
          <cell r="B169" t="str">
            <v>紫云项链</v>
          </cell>
          <cell r="C169">
            <v>37.292215851693413</v>
          </cell>
          <cell r="D169">
            <v>1</v>
          </cell>
          <cell r="E169">
            <v>10</v>
          </cell>
          <cell r="F169">
            <v>1864.6107925846707</v>
          </cell>
          <cell r="G169">
            <v>213.92751332014535</v>
          </cell>
        </row>
        <row r="170">
          <cell r="A170">
            <v>10306</v>
          </cell>
          <cell r="B170" t="str">
            <v>鎏金之剑</v>
          </cell>
          <cell r="C170">
            <v>81.710921949533486</v>
          </cell>
          <cell r="D170">
            <v>1</v>
          </cell>
          <cell r="E170">
            <v>10</v>
          </cell>
          <cell r="F170">
            <v>4085.5460974766743</v>
          </cell>
          <cell r="G170">
            <v>900</v>
          </cell>
        </row>
        <row r="171">
          <cell r="A171">
            <v>20306</v>
          </cell>
          <cell r="B171" t="str">
            <v>鎏金之拳</v>
          </cell>
          <cell r="C171">
            <v>81.710921949533486</v>
          </cell>
          <cell r="D171">
            <v>1</v>
          </cell>
          <cell r="E171">
            <v>10</v>
          </cell>
          <cell r="F171">
            <v>4085.5460974766743</v>
          </cell>
          <cell r="G171">
            <v>900</v>
          </cell>
        </row>
        <row r="172">
          <cell r="A172">
            <v>30306</v>
          </cell>
          <cell r="B172" t="str">
            <v>鎏金之枪</v>
          </cell>
          <cell r="C172">
            <v>81.710921949533486</v>
          </cell>
          <cell r="D172">
            <v>1</v>
          </cell>
          <cell r="E172">
            <v>10</v>
          </cell>
          <cell r="F172">
            <v>4085.5460974766743</v>
          </cell>
          <cell r="G172">
            <v>900</v>
          </cell>
        </row>
        <row r="173">
          <cell r="A173">
            <v>51306</v>
          </cell>
          <cell r="B173" t="str">
            <v>鎏金战衣</v>
          </cell>
          <cell r="C173">
            <v>67.998058403894461</v>
          </cell>
          <cell r="D173">
            <v>1</v>
          </cell>
          <cell r="E173">
            <v>10</v>
          </cell>
          <cell r="F173">
            <v>3399.9029201947233</v>
          </cell>
          <cell r="G173">
            <v>748.96049516247581</v>
          </cell>
        </row>
        <row r="174">
          <cell r="A174">
            <v>52306</v>
          </cell>
          <cell r="B174" t="str">
            <v>鎏金长裤</v>
          </cell>
          <cell r="C174">
            <v>26.607620263950544</v>
          </cell>
          <cell r="D174">
            <v>1</v>
          </cell>
          <cell r="E174">
            <v>10</v>
          </cell>
          <cell r="F174">
            <v>1330.3810131975272</v>
          </cell>
          <cell r="G174">
            <v>293.06802158401308</v>
          </cell>
        </row>
        <row r="175">
          <cell r="A175">
            <v>55306</v>
          </cell>
          <cell r="B175" t="str">
            <v>鎏金长靴</v>
          </cell>
          <cell r="C175">
            <v>33.522770370506393</v>
          </cell>
          <cell r="D175">
            <v>1</v>
          </cell>
          <cell r="E175">
            <v>10</v>
          </cell>
          <cell r="F175">
            <v>1676.1385185253196</v>
          </cell>
          <cell r="G175">
            <v>369.23452353272592</v>
          </cell>
        </row>
        <row r="176">
          <cell r="A176">
            <v>54306</v>
          </cell>
          <cell r="B176" t="str">
            <v>鎏金腰带</v>
          </cell>
          <cell r="C176">
            <v>32.646233291180152</v>
          </cell>
          <cell r="D176">
            <v>1</v>
          </cell>
          <cell r="E176">
            <v>10</v>
          </cell>
          <cell r="F176">
            <v>1632.3116645590076</v>
          </cell>
          <cell r="G176">
            <v>359.5799589705876</v>
          </cell>
        </row>
        <row r="177">
          <cell r="A177">
            <v>53306</v>
          </cell>
          <cell r="B177" t="str">
            <v>鎏金项链</v>
          </cell>
          <cell r="C177">
            <v>47.493786375757594</v>
          </cell>
          <cell r="D177">
            <v>1</v>
          </cell>
          <cell r="E177">
            <v>10</v>
          </cell>
          <cell r="F177">
            <v>2374.6893187878795</v>
          </cell>
          <cell r="G177">
            <v>523.11743299851332</v>
          </cell>
        </row>
        <row r="178">
          <cell r="A178">
            <v>10407</v>
          </cell>
          <cell r="B178" t="str">
            <v>虹光之剑</v>
          </cell>
          <cell r="C178">
            <v>95.713568896871692</v>
          </cell>
          <cell r="D178">
            <v>1</v>
          </cell>
          <cell r="E178">
            <v>10</v>
          </cell>
          <cell r="F178">
            <v>4785.6784448435847</v>
          </cell>
          <cell r="G178">
            <v>1500</v>
          </cell>
        </row>
        <row r="179">
          <cell r="A179">
            <v>20407</v>
          </cell>
          <cell r="B179" t="str">
            <v>虹光之拳</v>
          </cell>
          <cell r="C179">
            <v>95.713568896871692</v>
          </cell>
          <cell r="D179">
            <v>1</v>
          </cell>
          <cell r="E179">
            <v>10</v>
          </cell>
          <cell r="F179">
            <v>4785.6784448435847</v>
          </cell>
          <cell r="G179">
            <v>1500</v>
          </cell>
        </row>
        <row r="180">
          <cell r="A180">
            <v>30407</v>
          </cell>
          <cell r="B180" t="str">
            <v>虹光之枪</v>
          </cell>
          <cell r="C180">
            <v>95.713568896871692</v>
          </cell>
          <cell r="D180">
            <v>1</v>
          </cell>
          <cell r="E180">
            <v>10</v>
          </cell>
          <cell r="F180">
            <v>4785.6784448435847</v>
          </cell>
          <cell r="G180">
            <v>1500</v>
          </cell>
        </row>
        <row r="181">
          <cell r="A181">
            <v>51407</v>
          </cell>
          <cell r="B181" t="str">
            <v>虹光战衣</v>
          </cell>
          <cell r="C181">
            <v>78.171887590595134</v>
          </cell>
          <cell r="D181">
            <v>1</v>
          </cell>
          <cell r="E181">
            <v>10</v>
          </cell>
          <cell r="F181">
            <v>3908.5943795297567</v>
          </cell>
          <cell r="G181">
            <v>1225.0909953241244</v>
          </cell>
        </row>
        <row r="182">
          <cell r="A182">
            <v>52407</v>
          </cell>
          <cell r="B182" t="str">
            <v>虹光长裤</v>
          </cell>
          <cell r="C182">
            <v>31.544660304103239</v>
          </cell>
          <cell r="D182">
            <v>1</v>
          </cell>
          <cell r="E182">
            <v>10</v>
          </cell>
          <cell r="F182">
            <v>1577.233015205162</v>
          </cell>
          <cell r="G182">
            <v>494.36031903833202</v>
          </cell>
        </row>
        <row r="183">
          <cell r="A183">
            <v>55407</v>
          </cell>
          <cell r="B183" t="str">
            <v>虹光长靴</v>
          </cell>
          <cell r="C183">
            <v>39.526477573903037</v>
          </cell>
          <cell r="D183">
            <v>1</v>
          </cell>
          <cell r="E183">
            <v>10</v>
          </cell>
          <cell r="F183">
            <v>1976.323878695152</v>
          </cell>
          <cell r="G183">
            <v>619.44943694177084</v>
          </cell>
        </row>
        <row r="184">
          <cell r="A184">
            <v>54407</v>
          </cell>
          <cell r="B184" t="str">
            <v>虹光腰带</v>
          </cell>
          <cell r="C184">
            <v>41.818184116136379</v>
          </cell>
          <cell r="D184">
            <v>1</v>
          </cell>
          <cell r="E184">
            <v>10</v>
          </cell>
          <cell r="F184">
            <v>2090.909205806819</v>
          </cell>
          <cell r="G184">
            <v>655.36450993475341</v>
          </cell>
        </row>
        <row r="185">
          <cell r="A185">
            <v>53407</v>
          </cell>
          <cell r="B185" t="str">
            <v>虹光项链</v>
          </cell>
          <cell r="C185">
            <v>54.377445818181826</v>
          </cell>
          <cell r="D185">
            <v>1</v>
          </cell>
          <cell r="E185">
            <v>10</v>
          </cell>
          <cell r="F185">
            <v>2718.8722909090911</v>
          </cell>
          <cell r="G185">
            <v>852.19023454404532</v>
          </cell>
        </row>
        <row r="186">
          <cell r="A186">
            <v>10108</v>
          </cell>
          <cell r="B186" t="str">
            <v>碧蓝之剑</v>
          </cell>
          <cell r="C186">
            <v>109.08489536989224</v>
          </cell>
          <cell r="D186">
            <v>1</v>
          </cell>
          <cell r="E186">
            <v>10</v>
          </cell>
          <cell r="F186">
            <v>5454.2447684946119</v>
          </cell>
          <cell r="G186">
            <v>360</v>
          </cell>
        </row>
        <row r="187">
          <cell r="A187">
            <v>20108</v>
          </cell>
          <cell r="B187" t="str">
            <v>碧蓝之拳</v>
          </cell>
          <cell r="C187">
            <v>109.08489536989224</v>
          </cell>
          <cell r="D187">
            <v>1</v>
          </cell>
          <cell r="E187">
            <v>10</v>
          </cell>
          <cell r="F187">
            <v>5454.2447684946119</v>
          </cell>
          <cell r="G187">
            <v>360</v>
          </cell>
        </row>
        <row r="188">
          <cell r="A188">
            <v>30108</v>
          </cell>
          <cell r="B188" t="str">
            <v>碧蓝之枪</v>
          </cell>
          <cell r="C188">
            <v>109.08489536989224</v>
          </cell>
          <cell r="D188">
            <v>1</v>
          </cell>
          <cell r="E188">
            <v>10</v>
          </cell>
          <cell r="F188">
            <v>5454.2447684946119</v>
          </cell>
          <cell r="G188">
            <v>360</v>
          </cell>
        </row>
        <row r="189">
          <cell r="A189">
            <v>51108</v>
          </cell>
          <cell r="B189" t="str">
            <v>碧蓝战衣</v>
          </cell>
          <cell r="C189">
            <v>94.105543642506575</v>
          </cell>
          <cell r="D189">
            <v>1</v>
          </cell>
          <cell r="E189">
            <v>10</v>
          </cell>
          <cell r="F189">
            <v>4705.2771821253291</v>
          </cell>
          <cell r="G189">
            <v>310.56541417972329</v>
          </cell>
        </row>
        <row r="190">
          <cell r="A190">
            <v>52108</v>
          </cell>
          <cell r="B190" t="str">
            <v>碧蓝长裤</v>
          </cell>
          <cell r="C190">
            <v>34.672418304983111</v>
          </cell>
          <cell r="D190">
            <v>1</v>
          </cell>
          <cell r="E190">
            <v>10</v>
          </cell>
          <cell r="F190">
            <v>1733.6209152491556</v>
          </cell>
          <cell r="G190">
            <v>114.42528818924831</v>
          </cell>
        </row>
        <row r="191">
          <cell r="A191">
            <v>55108</v>
          </cell>
          <cell r="B191" t="str">
            <v>碧蓝长靴</v>
          </cell>
          <cell r="C191">
            <v>44.170543106317091</v>
          </cell>
          <cell r="D191">
            <v>1</v>
          </cell>
          <cell r="E191">
            <v>10</v>
          </cell>
          <cell r="F191">
            <v>2208.5271553158545</v>
          </cell>
          <cell r="G191">
            <v>145.77082798085522</v>
          </cell>
        </row>
        <row r="192">
          <cell r="A192">
            <v>54108</v>
          </cell>
          <cell r="B192" t="str">
            <v>碧蓝腰带</v>
          </cell>
          <cell r="C192">
            <v>35.533835571320218</v>
          </cell>
          <cell r="D192">
            <v>1</v>
          </cell>
          <cell r="E192">
            <v>10</v>
          </cell>
          <cell r="F192">
            <v>1776.691778566011</v>
          </cell>
          <cell r="G192">
            <v>117.26812188157407</v>
          </cell>
        </row>
        <row r="193">
          <cell r="A193">
            <v>53108</v>
          </cell>
          <cell r="B193" t="str">
            <v>碧蓝项链</v>
          </cell>
          <cell r="C193">
            <v>66.229016342245998</v>
          </cell>
          <cell r="D193">
            <v>1</v>
          </cell>
          <cell r="E193">
            <v>10</v>
          </cell>
          <cell r="F193">
            <v>3311.4508171122998</v>
          </cell>
          <cell r="G193">
            <v>218.56780264913877</v>
          </cell>
        </row>
        <row r="194">
          <cell r="A194">
            <v>10209</v>
          </cell>
          <cell r="B194" t="str">
            <v>斩魄之刃</v>
          </cell>
          <cell r="C194">
            <v>156.88956387903508</v>
          </cell>
          <cell r="D194">
            <v>1</v>
          </cell>
          <cell r="E194">
            <v>10</v>
          </cell>
          <cell r="F194">
            <v>7844.4781939517543</v>
          </cell>
          <cell r="G194">
            <v>719.99999999999989</v>
          </cell>
        </row>
        <row r="195">
          <cell r="A195">
            <v>20209</v>
          </cell>
          <cell r="B195" t="str">
            <v>流光之拳</v>
          </cell>
          <cell r="C195">
            <v>156.88956387903508</v>
          </cell>
          <cell r="D195">
            <v>1</v>
          </cell>
          <cell r="E195">
            <v>10</v>
          </cell>
          <cell r="F195">
            <v>7844.4781939517543</v>
          </cell>
          <cell r="G195">
            <v>719.99999999999989</v>
          </cell>
        </row>
        <row r="196">
          <cell r="A196">
            <v>30209</v>
          </cell>
          <cell r="B196" t="str">
            <v>玫瑰骑士</v>
          </cell>
          <cell r="C196">
            <v>156.88956387903508</v>
          </cell>
          <cell r="D196">
            <v>1</v>
          </cell>
          <cell r="E196">
            <v>10</v>
          </cell>
          <cell r="F196">
            <v>7844.4781939517543</v>
          </cell>
          <cell r="G196">
            <v>719.99999999999989</v>
          </cell>
        </row>
        <row r="197">
          <cell r="A197">
            <v>51209</v>
          </cell>
          <cell r="B197" t="str">
            <v>黑鸦战衣</v>
          </cell>
          <cell r="C197">
            <v>132.96325891546761</v>
          </cell>
          <cell r="D197">
            <v>1</v>
          </cell>
          <cell r="E197">
            <v>10</v>
          </cell>
          <cell r="F197">
            <v>6648.1629457733807</v>
          </cell>
          <cell r="G197">
            <v>610.19703320068561</v>
          </cell>
        </row>
        <row r="198">
          <cell r="A198">
            <v>52209</v>
          </cell>
          <cell r="B198" t="str">
            <v>黑鸦长裤</v>
          </cell>
          <cell r="C198">
            <v>50.47494566211374</v>
          </cell>
          <cell r="D198">
            <v>1</v>
          </cell>
          <cell r="E198">
            <v>10</v>
          </cell>
          <cell r="F198">
            <v>2523.7472831056871</v>
          </cell>
          <cell r="G198">
            <v>231.6403970932206</v>
          </cell>
        </row>
        <row r="199">
          <cell r="A199">
            <v>55209</v>
          </cell>
          <cell r="B199" t="str">
            <v>黑鸦长靴</v>
          </cell>
          <cell r="C199">
            <v>63.944772417873196</v>
          </cell>
          <cell r="D199">
            <v>1</v>
          </cell>
          <cell r="E199">
            <v>10</v>
          </cell>
          <cell r="F199">
            <v>3197.2386208936596</v>
          </cell>
          <cell r="G199">
            <v>293.45633324831351</v>
          </cell>
        </row>
        <row r="200">
          <cell r="A200">
            <v>54209</v>
          </cell>
          <cell r="B200" t="str">
            <v>黑鸦腰带</v>
          </cell>
          <cell r="C200">
            <v>56.869283983437782</v>
          </cell>
          <cell r="D200">
            <v>1</v>
          </cell>
          <cell r="E200">
            <v>10</v>
          </cell>
          <cell r="F200">
            <v>2843.464199171889</v>
          </cell>
          <cell r="G200">
            <v>260.98539288212487</v>
          </cell>
        </row>
        <row r="201">
          <cell r="A201">
            <v>53209</v>
          </cell>
          <cell r="B201" t="str">
            <v>黑鸦项链</v>
          </cell>
          <cell r="C201">
            <v>93.230539629233533</v>
          </cell>
          <cell r="D201">
            <v>1</v>
          </cell>
          <cell r="E201">
            <v>10</v>
          </cell>
          <cell r="F201">
            <v>4661.5269814616768</v>
          </cell>
          <cell r="G201">
            <v>427.85502664029059</v>
          </cell>
        </row>
        <row r="202">
          <cell r="A202">
            <v>10310</v>
          </cell>
          <cell r="B202" t="str">
            <v>爵士之刃</v>
          </cell>
          <cell r="C202">
            <v>204.27730487383371</v>
          </cell>
          <cell r="D202">
            <v>1</v>
          </cell>
          <cell r="E202">
            <v>10</v>
          </cell>
          <cell r="F202">
            <v>10213.865243691685</v>
          </cell>
          <cell r="G202">
            <v>1799.9999999999998</v>
          </cell>
        </row>
        <row r="203">
          <cell r="A203">
            <v>20310</v>
          </cell>
          <cell r="B203" t="str">
            <v>爵士之拳</v>
          </cell>
          <cell r="C203">
            <v>204.27730487383371</v>
          </cell>
          <cell r="D203">
            <v>1</v>
          </cell>
          <cell r="E203">
            <v>10</v>
          </cell>
          <cell r="F203">
            <v>10213.865243691685</v>
          </cell>
          <cell r="G203">
            <v>1799.9999999999998</v>
          </cell>
        </row>
        <row r="204">
          <cell r="A204">
            <v>30310</v>
          </cell>
          <cell r="B204" t="str">
            <v>爵士之枪</v>
          </cell>
          <cell r="C204">
            <v>204.27730487383371</v>
          </cell>
          <cell r="D204">
            <v>1</v>
          </cell>
          <cell r="E204">
            <v>10</v>
          </cell>
          <cell r="F204">
            <v>10213.865243691685</v>
          </cell>
          <cell r="G204">
            <v>1799.9999999999998</v>
          </cell>
        </row>
        <row r="205">
          <cell r="A205">
            <v>51310</v>
          </cell>
          <cell r="B205" t="str">
            <v>爵士战衣</v>
          </cell>
          <cell r="C205">
            <v>169.99514600973615</v>
          </cell>
          <cell r="D205">
            <v>1</v>
          </cell>
          <cell r="E205">
            <v>10</v>
          </cell>
          <cell r="F205">
            <v>8499.7573004868082</v>
          </cell>
          <cell r="G205">
            <v>1497.9209903249514</v>
          </cell>
        </row>
        <row r="206">
          <cell r="A206">
            <v>52310</v>
          </cell>
          <cell r="B206" t="str">
            <v>爵士长裤</v>
          </cell>
          <cell r="C206">
            <v>66.519050659876356</v>
          </cell>
          <cell r="D206">
            <v>1</v>
          </cell>
          <cell r="E206">
            <v>10</v>
          </cell>
          <cell r="F206">
            <v>3325.9525329938178</v>
          </cell>
          <cell r="G206">
            <v>586.13604316802616</v>
          </cell>
        </row>
        <row r="207">
          <cell r="A207">
            <v>55310</v>
          </cell>
          <cell r="B207" t="str">
            <v>爵士长靴</v>
          </cell>
          <cell r="C207">
            <v>83.806925926266004</v>
          </cell>
          <cell r="D207">
            <v>1</v>
          </cell>
          <cell r="E207">
            <v>10</v>
          </cell>
          <cell r="F207">
            <v>4190.3462963133006</v>
          </cell>
          <cell r="G207">
            <v>738.46904706545206</v>
          </cell>
        </row>
        <row r="208">
          <cell r="A208">
            <v>54310</v>
          </cell>
          <cell r="B208" t="str">
            <v>爵士腰带</v>
          </cell>
          <cell r="C208">
            <v>81.615583227950395</v>
          </cell>
          <cell r="D208">
            <v>1</v>
          </cell>
          <cell r="E208">
            <v>10</v>
          </cell>
          <cell r="F208">
            <v>4080.7791613975196</v>
          </cell>
          <cell r="G208">
            <v>719.15991794117531</v>
          </cell>
        </row>
        <row r="209">
          <cell r="A209">
            <v>53310</v>
          </cell>
          <cell r="B209" t="str">
            <v>爵士项链</v>
          </cell>
          <cell r="C209">
            <v>118.734465939394</v>
          </cell>
          <cell r="D209">
            <v>1</v>
          </cell>
          <cell r="E209">
            <v>10</v>
          </cell>
          <cell r="F209">
            <v>5936.7232969696997</v>
          </cell>
          <cell r="G209">
            <v>1046.2348659970266</v>
          </cell>
        </row>
        <row r="210">
          <cell r="A210">
            <v>10411</v>
          </cell>
          <cell r="B210" t="str">
            <v>暴血之刃</v>
          </cell>
          <cell r="C210">
            <v>239.28392224217919</v>
          </cell>
          <cell r="D210">
            <v>1</v>
          </cell>
          <cell r="E210">
            <v>10</v>
          </cell>
          <cell r="F210">
            <v>11964.196112108959</v>
          </cell>
          <cell r="G210">
            <v>3000</v>
          </cell>
        </row>
        <row r="211">
          <cell r="A211">
            <v>20411</v>
          </cell>
          <cell r="B211" t="str">
            <v>暴血之拳</v>
          </cell>
          <cell r="C211">
            <v>239.28392224217919</v>
          </cell>
          <cell r="D211">
            <v>1</v>
          </cell>
          <cell r="E211">
            <v>10</v>
          </cell>
          <cell r="F211">
            <v>11964.196112108959</v>
          </cell>
          <cell r="G211">
            <v>3000</v>
          </cell>
        </row>
        <row r="212">
          <cell r="A212">
            <v>30411</v>
          </cell>
          <cell r="B212" t="str">
            <v>暴血之枪</v>
          </cell>
          <cell r="C212">
            <v>239.28392224217919</v>
          </cell>
          <cell r="D212">
            <v>1</v>
          </cell>
          <cell r="E212">
            <v>10</v>
          </cell>
          <cell r="F212">
            <v>11964.196112108959</v>
          </cell>
          <cell r="G212">
            <v>3000</v>
          </cell>
        </row>
        <row r="213">
          <cell r="A213">
            <v>51411</v>
          </cell>
          <cell r="B213" t="str">
            <v>暴血战衣</v>
          </cell>
          <cell r="C213">
            <v>195.42971897648789</v>
          </cell>
          <cell r="D213">
            <v>1</v>
          </cell>
          <cell r="E213">
            <v>10</v>
          </cell>
          <cell r="F213">
            <v>9771.4859488243947</v>
          </cell>
          <cell r="G213">
            <v>2450.1819906482501</v>
          </cell>
        </row>
        <row r="214">
          <cell r="A214">
            <v>52411</v>
          </cell>
          <cell r="B214" t="str">
            <v>暴血长裤</v>
          </cell>
          <cell r="C214">
            <v>78.861650760258101</v>
          </cell>
          <cell r="D214">
            <v>1</v>
          </cell>
          <cell r="E214">
            <v>10</v>
          </cell>
          <cell r="F214">
            <v>3943.0825380129049</v>
          </cell>
          <cell r="G214">
            <v>988.72063807666405</v>
          </cell>
        </row>
        <row r="215">
          <cell r="A215">
            <v>55411</v>
          </cell>
          <cell r="B215" t="str">
            <v>暴血长靴</v>
          </cell>
          <cell r="C215">
            <v>98.816193934757592</v>
          </cell>
          <cell r="D215">
            <v>1</v>
          </cell>
          <cell r="E215">
            <v>10</v>
          </cell>
          <cell r="F215">
            <v>4940.8096967378797</v>
          </cell>
          <cell r="G215">
            <v>1238.8988738835419</v>
          </cell>
        </row>
        <row r="216">
          <cell r="A216">
            <v>54411</v>
          </cell>
          <cell r="B216" t="str">
            <v>暴血腰带</v>
          </cell>
          <cell r="C216">
            <v>104.54546029034094</v>
          </cell>
          <cell r="D216">
            <v>1</v>
          </cell>
          <cell r="E216">
            <v>10</v>
          </cell>
          <cell r="F216">
            <v>5227.2730145170472</v>
          </cell>
          <cell r="G216">
            <v>1310.7290198695068</v>
          </cell>
        </row>
        <row r="217">
          <cell r="A217">
            <v>53411</v>
          </cell>
          <cell r="B217" t="str">
            <v>暴血项链</v>
          </cell>
          <cell r="C217">
            <v>135.94361454545458</v>
          </cell>
          <cell r="D217">
            <v>1</v>
          </cell>
          <cell r="E217">
            <v>10</v>
          </cell>
          <cell r="F217">
            <v>6797.1807272727292</v>
          </cell>
          <cell r="G217">
            <v>1704.3804690880913</v>
          </cell>
        </row>
        <row r="218">
          <cell r="A218">
            <v>10112</v>
          </cell>
          <cell r="B218" t="str">
            <v>勇气之刃</v>
          </cell>
          <cell r="C218">
            <v>218.16979073978447</v>
          </cell>
          <cell r="D218">
            <v>1</v>
          </cell>
          <cell r="E218">
            <v>10</v>
          </cell>
          <cell r="F218">
            <v>10908.489536989224</v>
          </cell>
          <cell r="G218">
            <v>539.99999999999989</v>
          </cell>
        </row>
        <row r="219">
          <cell r="A219">
            <v>20112</v>
          </cell>
          <cell r="B219" t="str">
            <v>勇气之拳</v>
          </cell>
          <cell r="C219">
            <v>218.16979073978447</v>
          </cell>
          <cell r="D219">
            <v>1</v>
          </cell>
          <cell r="E219">
            <v>10</v>
          </cell>
          <cell r="F219">
            <v>10908.489536989224</v>
          </cell>
          <cell r="G219">
            <v>539.99999999999989</v>
          </cell>
        </row>
        <row r="220">
          <cell r="A220">
            <v>30112</v>
          </cell>
          <cell r="B220" t="str">
            <v>勇气之枪</v>
          </cell>
          <cell r="C220">
            <v>218.16979073978447</v>
          </cell>
          <cell r="D220">
            <v>1</v>
          </cell>
          <cell r="E220">
            <v>10</v>
          </cell>
          <cell r="F220">
            <v>10908.489536989224</v>
          </cell>
          <cell r="G220">
            <v>539.99999999999989</v>
          </cell>
        </row>
        <row r="221">
          <cell r="A221">
            <v>51112</v>
          </cell>
          <cell r="B221" t="str">
            <v>勇气战衣</v>
          </cell>
          <cell r="C221">
            <v>188.21108728501315</v>
          </cell>
          <cell r="D221">
            <v>1</v>
          </cell>
          <cell r="E221">
            <v>10</v>
          </cell>
          <cell r="F221">
            <v>9410.5543642506582</v>
          </cell>
          <cell r="G221">
            <v>465.84812126958496</v>
          </cell>
        </row>
        <row r="222">
          <cell r="A222">
            <v>52112</v>
          </cell>
          <cell r="B222" t="str">
            <v>勇气长裤</v>
          </cell>
          <cell r="C222">
            <v>69.344836609966222</v>
          </cell>
          <cell r="D222">
            <v>1</v>
          </cell>
          <cell r="E222">
            <v>10</v>
          </cell>
          <cell r="F222">
            <v>3467.2418304983112</v>
          </cell>
          <cell r="G222">
            <v>171.63793228387246</v>
          </cell>
        </row>
        <row r="223">
          <cell r="A223">
            <v>55112</v>
          </cell>
          <cell r="B223" t="str">
            <v>勇气长靴</v>
          </cell>
          <cell r="C223">
            <v>88.341086212634181</v>
          </cell>
          <cell r="D223">
            <v>1</v>
          </cell>
          <cell r="E223">
            <v>10</v>
          </cell>
          <cell r="F223">
            <v>4417.0543106317091</v>
          </cell>
          <cell r="G223">
            <v>218.65624197128281</v>
          </cell>
        </row>
        <row r="224">
          <cell r="A224">
            <v>54112</v>
          </cell>
          <cell r="B224" t="str">
            <v>勇气腰带</v>
          </cell>
          <cell r="C224">
            <v>71.067671142640435</v>
          </cell>
          <cell r="D224">
            <v>1</v>
          </cell>
          <cell r="E224">
            <v>10</v>
          </cell>
          <cell r="F224">
            <v>3553.3835571320219</v>
          </cell>
          <cell r="G224">
            <v>175.90218282236108</v>
          </cell>
        </row>
        <row r="225">
          <cell r="A225">
            <v>53112</v>
          </cell>
          <cell r="B225" t="str">
            <v>勇气项链</v>
          </cell>
          <cell r="C225">
            <v>132.458032684492</v>
          </cell>
          <cell r="D225">
            <v>1</v>
          </cell>
          <cell r="E225">
            <v>10</v>
          </cell>
          <cell r="F225">
            <v>6622.9016342245995</v>
          </cell>
          <cell r="G225">
            <v>327.85170397370814</v>
          </cell>
        </row>
        <row r="226">
          <cell r="A226">
            <v>10213</v>
          </cell>
          <cell r="B226" t="str">
            <v>暗羽霸刀</v>
          </cell>
          <cell r="C226">
            <v>313.77912775807016</v>
          </cell>
          <cell r="D226">
            <v>1</v>
          </cell>
          <cell r="E226">
            <v>10</v>
          </cell>
          <cell r="F226">
            <v>15688.956387903509</v>
          </cell>
          <cell r="G226">
            <v>1080.0000000000002</v>
          </cell>
        </row>
        <row r="227">
          <cell r="A227">
            <v>20213</v>
          </cell>
          <cell r="B227" t="str">
            <v>暗羽之拳</v>
          </cell>
          <cell r="C227">
            <v>313.77912775807016</v>
          </cell>
          <cell r="D227">
            <v>1</v>
          </cell>
          <cell r="E227">
            <v>10</v>
          </cell>
          <cell r="F227">
            <v>15688.956387903509</v>
          </cell>
          <cell r="G227">
            <v>1080.0000000000002</v>
          </cell>
        </row>
        <row r="228">
          <cell r="A228">
            <v>30213</v>
          </cell>
          <cell r="B228" t="str">
            <v>暗羽之枪</v>
          </cell>
          <cell r="C228">
            <v>313.77912775807016</v>
          </cell>
          <cell r="D228">
            <v>1</v>
          </cell>
          <cell r="E228">
            <v>10</v>
          </cell>
          <cell r="F228">
            <v>15688.956387903509</v>
          </cell>
          <cell r="G228">
            <v>1080.0000000000002</v>
          </cell>
        </row>
        <row r="229">
          <cell r="A229">
            <v>51213</v>
          </cell>
          <cell r="B229" t="str">
            <v>暗羽战衣</v>
          </cell>
          <cell r="C229">
            <v>265.92651783093521</v>
          </cell>
          <cell r="D229">
            <v>1</v>
          </cell>
          <cell r="E229">
            <v>10</v>
          </cell>
          <cell r="F229">
            <v>13296.325891546761</v>
          </cell>
          <cell r="G229">
            <v>915.29554980102876</v>
          </cell>
        </row>
        <row r="230">
          <cell r="A230">
            <v>52213</v>
          </cell>
          <cell r="B230" t="str">
            <v>暗羽长裤</v>
          </cell>
          <cell r="C230">
            <v>100.94989132422748</v>
          </cell>
          <cell r="D230">
            <v>1</v>
          </cell>
          <cell r="E230">
            <v>10</v>
          </cell>
          <cell r="F230">
            <v>5047.4945662113741</v>
          </cell>
          <cell r="G230">
            <v>347.46059563983096</v>
          </cell>
        </row>
        <row r="231">
          <cell r="A231">
            <v>55213</v>
          </cell>
          <cell r="B231" t="str">
            <v>暗羽长靴</v>
          </cell>
          <cell r="C231">
            <v>127.88954483574639</v>
          </cell>
          <cell r="D231">
            <v>1</v>
          </cell>
          <cell r="E231">
            <v>10</v>
          </cell>
          <cell r="F231">
            <v>6394.4772417873191</v>
          </cell>
          <cell r="G231">
            <v>440.18449987247038</v>
          </cell>
        </row>
        <row r="232">
          <cell r="A232">
            <v>54213</v>
          </cell>
          <cell r="B232" t="str">
            <v>暗羽腰带</v>
          </cell>
          <cell r="C232">
            <v>113.73856796687556</v>
          </cell>
          <cell r="D232">
            <v>1</v>
          </cell>
          <cell r="E232">
            <v>10</v>
          </cell>
          <cell r="F232">
            <v>5686.9283983437781</v>
          </cell>
          <cell r="G232">
            <v>391.47808932318742</v>
          </cell>
        </row>
        <row r="233">
          <cell r="A233">
            <v>53213</v>
          </cell>
          <cell r="B233" t="str">
            <v>暗羽项链</v>
          </cell>
          <cell r="C233">
            <v>186.46107925846707</v>
          </cell>
          <cell r="D233">
            <v>1</v>
          </cell>
          <cell r="E233">
            <v>10</v>
          </cell>
          <cell r="F233">
            <v>9323.0539629233535</v>
          </cell>
          <cell r="G233">
            <v>641.78253996043611</v>
          </cell>
        </row>
        <row r="234">
          <cell r="A234">
            <v>10314</v>
          </cell>
          <cell r="B234" t="str">
            <v>玄武霸刀</v>
          </cell>
          <cell r="C234">
            <v>408.55460974766743</v>
          </cell>
          <cell r="D234">
            <v>1</v>
          </cell>
          <cell r="E234">
            <v>10</v>
          </cell>
          <cell r="F234">
            <v>20427.730487383371</v>
          </cell>
          <cell r="G234">
            <v>2700</v>
          </cell>
        </row>
        <row r="235">
          <cell r="A235">
            <v>20314</v>
          </cell>
          <cell r="B235" t="str">
            <v>玄武之拳</v>
          </cell>
          <cell r="C235">
            <v>408.55460974766743</v>
          </cell>
          <cell r="D235">
            <v>1</v>
          </cell>
          <cell r="E235">
            <v>10</v>
          </cell>
          <cell r="F235">
            <v>20427.730487383371</v>
          </cell>
          <cell r="G235">
            <v>2700</v>
          </cell>
        </row>
        <row r="236">
          <cell r="A236">
            <v>30314</v>
          </cell>
          <cell r="B236" t="str">
            <v>玄武之枪</v>
          </cell>
          <cell r="C236">
            <v>408.55460974766743</v>
          </cell>
          <cell r="D236">
            <v>1</v>
          </cell>
          <cell r="E236">
            <v>10</v>
          </cell>
          <cell r="F236">
            <v>20427.730487383371</v>
          </cell>
          <cell r="G236">
            <v>2700</v>
          </cell>
        </row>
        <row r="237">
          <cell r="A237">
            <v>51314</v>
          </cell>
          <cell r="B237" t="str">
            <v>玄武战衣</v>
          </cell>
          <cell r="C237">
            <v>339.99029201947229</v>
          </cell>
          <cell r="D237">
            <v>1</v>
          </cell>
          <cell r="E237">
            <v>10</v>
          </cell>
          <cell r="F237">
            <v>16999.514600973616</v>
          </cell>
          <cell r="G237">
            <v>2246.8814854874277</v>
          </cell>
        </row>
        <row r="238">
          <cell r="A238">
            <v>52314</v>
          </cell>
          <cell r="B238" t="str">
            <v>玄武长裤</v>
          </cell>
          <cell r="C238">
            <v>133.03810131975271</v>
          </cell>
          <cell r="D238">
            <v>1</v>
          </cell>
          <cell r="E238">
            <v>10</v>
          </cell>
          <cell r="F238">
            <v>6651.9050659876357</v>
          </cell>
          <cell r="G238">
            <v>879.20406475203936</v>
          </cell>
        </row>
        <row r="239">
          <cell r="A239">
            <v>55314</v>
          </cell>
          <cell r="B239" t="str">
            <v>玄武长靴</v>
          </cell>
          <cell r="C239">
            <v>167.61385185253201</v>
          </cell>
          <cell r="D239">
            <v>1</v>
          </cell>
          <cell r="E239">
            <v>10</v>
          </cell>
          <cell r="F239">
            <v>8380.6925926266013</v>
          </cell>
          <cell r="G239">
            <v>1107.7035705981784</v>
          </cell>
        </row>
        <row r="240">
          <cell r="A240">
            <v>54314</v>
          </cell>
          <cell r="B240" t="str">
            <v>玄武腰带</v>
          </cell>
          <cell r="C240">
            <v>163.23116645590079</v>
          </cell>
          <cell r="D240">
            <v>1</v>
          </cell>
          <cell r="E240">
            <v>10</v>
          </cell>
          <cell r="F240">
            <v>8161.5583227950392</v>
          </cell>
          <cell r="G240">
            <v>1078.7398769117631</v>
          </cell>
        </row>
        <row r="241">
          <cell r="A241">
            <v>53314</v>
          </cell>
          <cell r="B241" t="str">
            <v>玄武项链</v>
          </cell>
          <cell r="C241">
            <v>237.468931878788</v>
          </cell>
          <cell r="D241">
            <v>1</v>
          </cell>
          <cell r="E241">
            <v>10</v>
          </cell>
          <cell r="F241">
            <v>11873.446593939399</v>
          </cell>
          <cell r="G241">
            <v>1569.3522989955404</v>
          </cell>
        </row>
        <row r="242">
          <cell r="A242">
            <v>10415</v>
          </cell>
          <cell r="B242" t="str">
            <v>暗魔之刃</v>
          </cell>
          <cell r="C242">
            <v>478.56784448435837</v>
          </cell>
          <cell r="D242">
            <v>1</v>
          </cell>
          <cell r="E242">
            <v>10</v>
          </cell>
          <cell r="F242">
            <v>23928.392224217918</v>
          </cell>
          <cell r="G242">
            <v>4500</v>
          </cell>
        </row>
        <row r="243">
          <cell r="A243">
            <v>20415</v>
          </cell>
          <cell r="B243" t="str">
            <v>暗魔之拳</v>
          </cell>
          <cell r="C243">
            <v>478.56784448435837</v>
          </cell>
          <cell r="D243">
            <v>1</v>
          </cell>
          <cell r="E243">
            <v>10</v>
          </cell>
          <cell r="F243">
            <v>23928.392224217918</v>
          </cell>
          <cell r="G243">
            <v>4500</v>
          </cell>
        </row>
        <row r="244">
          <cell r="A244">
            <v>30415</v>
          </cell>
          <cell r="B244" t="str">
            <v>暗魔之枪</v>
          </cell>
          <cell r="C244">
            <v>478.56784448435837</v>
          </cell>
          <cell r="D244">
            <v>1</v>
          </cell>
          <cell r="E244">
            <v>10</v>
          </cell>
          <cell r="F244">
            <v>23928.392224217918</v>
          </cell>
          <cell r="G244">
            <v>4500</v>
          </cell>
        </row>
        <row r="245">
          <cell r="A245">
            <v>51415</v>
          </cell>
          <cell r="B245" t="str">
            <v>暗魔战衣</v>
          </cell>
          <cell r="C245">
            <v>390.85943795297578</v>
          </cell>
          <cell r="D245">
            <v>1</v>
          </cell>
          <cell r="E245">
            <v>10</v>
          </cell>
          <cell r="F245">
            <v>19542.971897648789</v>
          </cell>
          <cell r="G245">
            <v>3675.272985972375</v>
          </cell>
        </row>
        <row r="246">
          <cell r="A246">
            <v>52415</v>
          </cell>
          <cell r="B246" t="str">
            <v>暗魔长裤</v>
          </cell>
          <cell r="C246">
            <v>157.7233015205162</v>
          </cell>
          <cell r="D246">
            <v>1</v>
          </cell>
          <cell r="E246">
            <v>10</v>
          </cell>
          <cell r="F246">
            <v>7886.1650760258099</v>
          </cell>
          <cell r="G246">
            <v>1483.0809571149962</v>
          </cell>
        </row>
        <row r="247">
          <cell r="A247">
            <v>55415</v>
          </cell>
          <cell r="B247" t="str">
            <v>暗魔长靴</v>
          </cell>
          <cell r="C247">
            <v>197.63238786951518</v>
          </cell>
          <cell r="D247">
            <v>1</v>
          </cell>
          <cell r="E247">
            <v>10</v>
          </cell>
          <cell r="F247">
            <v>9881.6193934757594</v>
          </cell>
          <cell r="G247">
            <v>1858.3483108253126</v>
          </cell>
        </row>
        <row r="248">
          <cell r="A248">
            <v>54415</v>
          </cell>
          <cell r="B248" t="str">
            <v>暗魔腰带</v>
          </cell>
          <cell r="C248">
            <v>209.09092058068188</v>
          </cell>
          <cell r="D248">
            <v>1</v>
          </cell>
          <cell r="E248">
            <v>10</v>
          </cell>
          <cell r="F248">
            <v>10454.546029034094</v>
          </cell>
          <cell r="G248">
            <v>1966.0935298042602</v>
          </cell>
        </row>
        <row r="249">
          <cell r="A249">
            <v>53415</v>
          </cell>
          <cell r="B249" t="str">
            <v>暗魔项链</v>
          </cell>
          <cell r="C249">
            <v>271.88722909090916</v>
          </cell>
          <cell r="D249">
            <v>1</v>
          </cell>
          <cell r="E249">
            <v>10</v>
          </cell>
          <cell r="F249">
            <v>13594.361454545458</v>
          </cell>
          <cell r="G249">
            <v>2556.5707036321369</v>
          </cell>
        </row>
        <row r="250">
          <cell r="A250">
            <v>10116</v>
          </cell>
          <cell r="B250" t="str">
            <v>战爵之刃</v>
          </cell>
          <cell r="C250">
            <v>327.2546861096767</v>
          </cell>
          <cell r="D250">
            <v>1</v>
          </cell>
          <cell r="E250">
            <v>10</v>
          </cell>
          <cell r="F250">
            <v>16362.734305483835</v>
          </cell>
          <cell r="G250">
            <v>719.99999999999989</v>
          </cell>
        </row>
        <row r="251">
          <cell r="A251">
            <v>20116</v>
          </cell>
          <cell r="B251" t="str">
            <v>战爵之拳</v>
          </cell>
          <cell r="C251">
            <v>327.2546861096767</v>
          </cell>
          <cell r="D251">
            <v>1</v>
          </cell>
          <cell r="E251">
            <v>10</v>
          </cell>
          <cell r="F251">
            <v>16362.734305483835</v>
          </cell>
          <cell r="G251">
            <v>719.99999999999989</v>
          </cell>
        </row>
        <row r="252">
          <cell r="A252">
            <v>30116</v>
          </cell>
          <cell r="B252" t="str">
            <v>战爵之枪</v>
          </cell>
          <cell r="C252">
            <v>327.2546861096767</v>
          </cell>
          <cell r="D252">
            <v>1</v>
          </cell>
          <cell r="E252">
            <v>10</v>
          </cell>
          <cell r="F252">
            <v>16362.734305483835</v>
          </cell>
          <cell r="G252">
            <v>719.99999999999989</v>
          </cell>
        </row>
        <row r="253">
          <cell r="A253">
            <v>51116</v>
          </cell>
          <cell r="B253" t="str">
            <v>战爵之衣</v>
          </cell>
          <cell r="C253">
            <v>282.31663092751972</v>
          </cell>
          <cell r="D253">
            <v>1</v>
          </cell>
          <cell r="E253">
            <v>10</v>
          </cell>
          <cell r="F253">
            <v>14115.831546375986</v>
          </cell>
          <cell r="G253">
            <v>621.13082835944658</v>
          </cell>
        </row>
        <row r="254">
          <cell r="A254">
            <v>52116</v>
          </cell>
          <cell r="B254" t="str">
            <v>战爵长裤</v>
          </cell>
          <cell r="C254">
            <v>104.01725491494935</v>
          </cell>
          <cell r="D254">
            <v>1</v>
          </cell>
          <cell r="E254">
            <v>10</v>
          </cell>
          <cell r="F254">
            <v>5200.8627457474677</v>
          </cell>
          <cell r="G254">
            <v>228.8505763784967</v>
          </cell>
        </row>
        <row r="255">
          <cell r="A255">
            <v>55116</v>
          </cell>
          <cell r="B255" t="str">
            <v>战爵长靴</v>
          </cell>
          <cell r="C255">
            <v>132.51162931895126</v>
          </cell>
          <cell r="D255">
            <v>1</v>
          </cell>
          <cell r="E255">
            <v>10</v>
          </cell>
          <cell r="F255">
            <v>6625.5814659475636</v>
          </cell>
          <cell r="G255">
            <v>291.54165596171043</v>
          </cell>
        </row>
        <row r="256">
          <cell r="A256">
            <v>54116</v>
          </cell>
          <cell r="B256" t="str">
            <v>战爵腰带</v>
          </cell>
          <cell r="C256">
            <v>106.60150671396066</v>
          </cell>
          <cell r="D256">
            <v>1</v>
          </cell>
          <cell r="E256">
            <v>10</v>
          </cell>
          <cell r="F256">
            <v>5330.0753356980331</v>
          </cell>
          <cell r="G256">
            <v>234.53624376314815</v>
          </cell>
        </row>
        <row r="257">
          <cell r="A257">
            <v>53116</v>
          </cell>
          <cell r="B257" t="str">
            <v>战爵项链</v>
          </cell>
          <cell r="C257">
            <v>198.68704902673798</v>
          </cell>
          <cell r="D257">
            <v>1</v>
          </cell>
          <cell r="E257">
            <v>10</v>
          </cell>
          <cell r="F257">
            <v>9934.3524513368993</v>
          </cell>
          <cell r="G257">
            <v>437.13560529827754</v>
          </cell>
        </row>
        <row r="258">
          <cell r="A258">
            <v>10217</v>
          </cell>
          <cell r="B258" t="str">
            <v>嗜血之剑</v>
          </cell>
          <cell r="C258">
            <v>470.66869163710521</v>
          </cell>
          <cell r="D258">
            <v>1</v>
          </cell>
          <cell r="E258">
            <v>10</v>
          </cell>
          <cell r="F258">
            <v>23533.434581855261</v>
          </cell>
          <cell r="G258">
            <v>1440</v>
          </cell>
        </row>
        <row r="259">
          <cell r="A259">
            <v>20217</v>
          </cell>
          <cell r="B259" t="str">
            <v>嗜血拳</v>
          </cell>
          <cell r="C259">
            <v>470.66869163710521</v>
          </cell>
          <cell r="D259">
            <v>1</v>
          </cell>
          <cell r="E259">
            <v>10</v>
          </cell>
          <cell r="F259">
            <v>23533.434581855261</v>
          </cell>
          <cell r="G259">
            <v>1440</v>
          </cell>
        </row>
        <row r="260">
          <cell r="A260">
            <v>30217</v>
          </cell>
          <cell r="B260" t="str">
            <v>嗜血枪</v>
          </cell>
          <cell r="C260">
            <v>470.66869163710521</v>
          </cell>
          <cell r="D260">
            <v>1</v>
          </cell>
          <cell r="E260">
            <v>10</v>
          </cell>
          <cell r="F260">
            <v>23533.434581855261</v>
          </cell>
          <cell r="G260">
            <v>1440</v>
          </cell>
        </row>
        <row r="261">
          <cell r="A261">
            <v>51217</v>
          </cell>
          <cell r="B261" t="str">
            <v>嗜血战衣</v>
          </cell>
          <cell r="C261">
            <v>398.88977674640279</v>
          </cell>
          <cell r="D261">
            <v>1</v>
          </cell>
          <cell r="E261">
            <v>10</v>
          </cell>
          <cell r="F261">
            <v>19944.488837320139</v>
          </cell>
          <cell r="G261">
            <v>1220.3940664013714</v>
          </cell>
        </row>
        <row r="262">
          <cell r="A262">
            <v>52217</v>
          </cell>
          <cell r="B262" t="str">
            <v>嗜血长裤</v>
          </cell>
          <cell r="C262">
            <v>151.42483698634121</v>
          </cell>
          <cell r="D262">
            <v>1</v>
          </cell>
          <cell r="E262">
            <v>10</v>
          </cell>
          <cell r="F262">
            <v>7571.2418493170599</v>
          </cell>
          <cell r="G262">
            <v>463.2807941864412</v>
          </cell>
        </row>
        <row r="263">
          <cell r="A263">
            <v>55217</v>
          </cell>
          <cell r="B263" t="str">
            <v>嗜血长靴</v>
          </cell>
          <cell r="C263">
            <v>191.83431725361959</v>
          </cell>
          <cell r="D263">
            <v>1</v>
          </cell>
          <cell r="E263">
            <v>10</v>
          </cell>
          <cell r="F263">
            <v>9591.7158626809796</v>
          </cell>
          <cell r="G263">
            <v>586.91266649662725</v>
          </cell>
        </row>
        <row r="264">
          <cell r="A264">
            <v>54217</v>
          </cell>
          <cell r="B264" t="str">
            <v>嗜血腰带</v>
          </cell>
          <cell r="C264">
            <v>170.60785195031335</v>
          </cell>
          <cell r="D264">
            <v>1</v>
          </cell>
          <cell r="E264">
            <v>10</v>
          </cell>
          <cell r="F264">
            <v>8530.3925975156671</v>
          </cell>
          <cell r="G264">
            <v>521.97078576424985</v>
          </cell>
        </row>
        <row r="265">
          <cell r="A265">
            <v>53217</v>
          </cell>
          <cell r="B265" t="str">
            <v>嗜血项链</v>
          </cell>
          <cell r="C265">
            <v>279.6916188877006</v>
          </cell>
          <cell r="D265">
            <v>1</v>
          </cell>
          <cell r="E265">
            <v>10</v>
          </cell>
          <cell r="F265">
            <v>13984.58094438503</v>
          </cell>
          <cell r="G265">
            <v>855.71005328058141</v>
          </cell>
        </row>
        <row r="266">
          <cell r="A266">
            <v>10318</v>
          </cell>
          <cell r="B266" t="str">
            <v>霸道之刃</v>
          </cell>
          <cell r="C266">
            <v>612.83191462150103</v>
          </cell>
          <cell r="D266">
            <v>1</v>
          </cell>
          <cell r="E266">
            <v>10</v>
          </cell>
          <cell r="F266">
            <v>30641.595731075053</v>
          </cell>
          <cell r="G266">
            <v>3599.9999999999995</v>
          </cell>
        </row>
        <row r="267">
          <cell r="A267">
            <v>20318</v>
          </cell>
          <cell r="B267" t="str">
            <v>霸道之拳</v>
          </cell>
          <cell r="C267">
            <v>612.83191462150103</v>
          </cell>
          <cell r="D267">
            <v>1</v>
          </cell>
          <cell r="E267">
            <v>10</v>
          </cell>
          <cell r="F267">
            <v>30641.595731075053</v>
          </cell>
          <cell r="G267">
            <v>3599.9999999999995</v>
          </cell>
        </row>
        <row r="268">
          <cell r="A268">
            <v>30318</v>
          </cell>
          <cell r="B268" t="str">
            <v>霸道之枪</v>
          </cell>
          <cell r="C268">
            <v>612.83191462150103</v>
          </cell>
          <cell r="D268">
            <v>1</v>
          </cell>
          <cell r="E268">
            <v>10</v>
          </cell>
          <cell r="F268">
            <v>30641.595731075053</v>
          </cell>
          <cell r="G268">
            <v>3599.9999999999995</v>
          </cell>
        </row>
        <row r="269">
          <cell r="A269">
            <v>51318</v>
          </cell>
          <cell r="B269" t="str">
            <v>霸道战衣</v>
          </cell>
          <cell r="C269">
            <v>509.98543802920847</v>
          </cell>
          <cell r="D269">
            <v>1</v>
          </cell>
          <cell r="E269">
            <v>10</v>
          </cell>
          <cell r="F269">
            <v>25499.271901460423</v>
          </cell>
          <cell r="G269">
            <v>2995.8419806499032</v>
          </cell>
        </row>
        <row r="270">
          <cell r="A270">
            <v>52318</v>
          </cell>
          <cell r="B270" t="str">
            <v>霸道长裤</v>
          </cell>
          <cell r="C270">
            <v>199.55715197962905</v>
          </cell>
          <cell r="D270">
            <v>1</v>
          </cell>
          <cell r="E270">
            <v>10</v>
          </cell>
          <cell r="F270">
            <v>9977.8575989814526</v>
          </cell>
          <cell r="G270">
            <v>1172.2720863360523</v>
          </cell>
        </row>
        <row r="271">
          <cell r="A271">
            <v>55318</v>
          </cell>
          <cell r="B271" t="str">
            <v>霸道长靴</v>
          </cell>
          <cell r="C271">
            <v>251.42077777879794</v>
          </cell>
          <cell r="D271">
            <v>1</v>
          </cell>
          <cell r="E271">
            <v>10</v>
          </cell>
          <cell r="F271">
            <v>12571.038888939896</v>
          </cell>
          <cell r="G271">
            <v>1476.9380941309037</v>
          </cell>
        </row>
        <row r="272">
          <cell r="A272">
            <v>54318</v>
          </cell>
          <cell r="B272" t="str">
            <v>霸道腰带</v>
          </cell>
          <cell r="C272">
            <v>244.8467496838511</v>
          </cell>
          <cell r="D272">
            <v>1</v>
          </cell>
          <cell r="E272">
            <v>10</v>
          </cell>
          <cell r="F272">
            <v>12242.337484192554</v>
          </cell>
          <cell r="G272">
            <v>1438.3198358823502</v>
          </cell>
        </row>
        <row r="273">
          <cell r="A273">
            <v>53318</v>
          </cell>
          <cell r="B273" t="str">
            <v>霸道项链</v>
          </cell>
          <cell r="C273">
            <v>356.20339781818188</v>
          </cell>
          <cell r="D273">
            <v>1</v>
          </cell>
          <cell r="E273">
            <v>10</v>
          </cell>
          <cell r="F273">
            <v>17810.169890909096</v>
          </cell>
          <cell r="G273">
            <v>2092.4697319940528</v>
          </cell>
        </row>
        <row r="274">
          <cell r="A274">
            <v>10419</v>
          </cell>
          <cell r="B274" t="str">
            <v>白虎霸刀</v>
          </cell>
          <cell r="C274">
            <v>717.85176672653756</v>
          </cell>
          <cell r="D274">
            <v>1</v>
          </cell>
          <cell r="E274">
            <v>10</v>
          </cell>
          <cell r="F274">
            <v>35892.58833632688</v>
          </cell>
          <cell r="G274">
            <v>6000</v>
          </cell>
        </row>
        <row r="275">
          <cell r="A275">
            <v>20419</v>
          </cell>
          <cell r="B275" t="str">
            <v>白虎之拳</v>
          </cell>
          <cell r="C275">
            <v>717.85176672653756</v>
          </cell>
          <cell r="D275">
            <v>1</v>
          </cell>
          <cell r="E275">
            <v>10</v>
          </cell>
          <cell r="F275">
            <v>35892.58833632688</v>
          </cell>
          <cell r="G275">
            <v>6000</v>
          </cell>
        </row>
        <row r="276">
          <cell r="A276">
            <v>30419</v>
          </cell>
          <cell r="B276" t="str">
            <v>白虎之枪</v>
          </cell>
          <cell r="C276">
            <v>717.85176672653756</v>
          </cell>
          <cell r="D276">
            <v>1</v>
          </cell>
          <cell r="E276">
            <v>10</v>
          </cell>
          <cell r="F276">
            <v>35892.58833632688</v>
          </cell>
          <cell r="G276">
            <v>6000</v>
          </cell>
        </row>
        <row r="277">
          <cell r="A277">
            <v>51419</v>
          </cell>
          <cell r="B277" t="str">
            <v>白虎战衣</v>
          </cell>
          <cell r="C277">
            <v>586.28915692946362</v>
          </cell>
          <cell r="D277">
            <v>1</v>
          </cell>
          <cell r="E277">
            <v>10</v>
          </cell>
          <cell r="F277">
            <v>29314.457846473182</v>
          </cell>
          <cell r="G277">
            <v>4900.3639812964993</v>
          </cell>
        </row>
        <row r="278">
          <cell r="A278">
            <v>52419</v>
          </cell>
          <cell r="B278" t="str">
            <v>白虎长裤</v>
          </cell>
          <cell r="C278">
            <v>236.58495228077425</v>
          </cell>
          <cell r="D278">
            <v>1</v>
          </cell>
          <cell r="E278">
            <v>10</v>
          </cell>
          <cell r="F278">
            <v>11829.247614038712</v>
          </cell>
          <cell r="G278">
            <v>1977.4412761533276</v>
          </cell>
        </row>
        <row r="279">
          <cell r="A279">
            <v>55419</v>
          </cell>
          <cell r="B279" t="str">
            <v>白虎长靴</v>
          </cell>
          <cell r="C279">
            <v>296.44858180427275</v>
          </cell>
          <cell r="D279">
            <v>1</v>
          </cell>
          <cell r="E279">
            <v>10</v>
          </cell>
          <cell r="F279">
            <v>14822.429090213638</v>
          </cell>
          <cell r="G279">
            <v>2477.7977477670834</v>
          </cell>
        </row>
        <row r="280">
          <cell r="A280">
            <v>54419</v>
          </cell>
          <cell r="B280" t="str">
            <v>白虎腰带</v>
          </cell>
          <cell r="C280">
            <v>313.63638087102282</v>
          </cell>
          <cell r="D280">
            <v>1</v>
          </cell>
          <cell r="E280">
            <v>10</v>
          </cell>
          <cell r="F280">
            <v>15681.819043551141</v>
          </cell>
          <cell r="G280">
            <v>2621.4580397390137</v>
          </cell>
        </row>
        <row r="281">
          <cell r="A281">
            <v>53419</v>
          </cell>
          <cell r="B281" t="str">
            <v>白虎项链</v>
          </cell>
          <cell r="C281">
            <v>407.83084363636368</v>
          </cell>
          <cell r="D281">
            <v>1</v>
          </cell>
          <cell r="E281">
            <v>10</v>
          </cell>
          <cell r="F281">
            <v>20391.542181818186</v>
          </cell>
          <cell r="G281">
            <v>3408.7609381761822</v>
          </cell>
        </row>
        <row r="282">
          <cell r="A282">
            <v>10120</v>
          </cell>
          <cell r="B282" t="str">
            <v>堕落之刃</v>
          </cell>
          <cell r="C282">
            <v>436.33958147956895</v>
          </cell>
          <cell r="D282">
            <v>1</v>
          </cell>
          <cell r="E282">
            <v>10</v>
          </cell>
          <cell r="F282">
            <v>21816.979073978448</v>
          </cell>
          <cell r="G282">
            <v>840</v>
          </cell>
        </row>
        <row r="283">
          <cell r="A283">
            <v>20120</v>
          </cell>
          <cell r="B283" t="str">
            <v>堕落之拳</v>
          </cell>
          <cell r="C283">
            <v>436.33958147956895</v>
          </cell>
          <cell r="D283">
            <v>1</v>
          </cell>
          <cell r="E283">
            <v>10</v>
          </cell>
          <cell r="F283">
            <v>21816.979073978448</v>
          </cell>
          <cell r="G283">
            <v>840</v>
          </cell>
        </row>
        <row r="284">
          <cell r="A284">
            <v>30120</v>
          </cell>
          <cell r="B284" t="str">
            <v>堕落之枪</v>
          </cell>
          <cell r="C284">
            <v>436.33958147956895</v>
          </cell>
          <cell r="D284">
            <v>1</v>
          </cell>
          <cell r="E284">
            <v>10</v>
          </cell>
          <cell r="F284">
            <v>21816.979073978448</v>
          </cell>
          <cell r="G284">
            <v>840</v>
          </cell>
        </row>
        <row r="285">
          <cell r="A285">
            <v>51120</v>
          </cell>
          <cell r="B285" t="str">
            <v>堕落战衣</v>
          </cell>
          <cell r="C285">
            <v>376.4221745700263</v>
          </cell>
          <cell r="D285">
            <v>1</v>
          </cell>
          <cell r="E285">
            <v>10</v>
          </cell>
          <cell r="F285">
            <v>18821.108728501316</v>
          </cell>
          <cell r="G285">
            <v>724.65263308602107</v>
          </cell>
        </row>
        <row r="286">
          <cell r="A286">
            <v>52120</v>
          </cell>
          <cell r="B286" t="str">
            <v>堕落长裤</v>
          </cell>
          <cell r="C286">
            <v>138.68967321993244</v>
          </cell>
          <cell r="D286">
            <v>1</v>
          </cell>
          <cell r="E286">
            <v>10</v>
          </cell>
          <cell r="F286">
            <v>6934.4836609966223</v>
          </cell>
          <cell r="G286">
            <v>266.99233910824609</v>
          </cell>
        </row>
        <row r="287">
          <cell r="A287">
            <v>55120</v>
          </cell>
          <cell r="B287" t="str">
            <v>堕落长靴</v>
          </cell>
          <cell r="C287">
            <v>176.68217242526836</v>
          </cell>
          <cell r="D287">
            <v>1</v>
          </cell>
          <cell r="E287">
            <v>10</v>
          </cell>
          <cell r="F287">
            <v>8834.1086212634182</v>
          </cell>
          <cell r="G287">
            <v>340.13193195532887</v>
          </cell>
        </row>
        <row r="288">
          <cell r="A288">
            <v>54120</v>
          </cell>
          <cell r="B288" t="str">
            <v>堕落腰带</v>
          </cell>
          <cell r="C288">
            <v>142.13534228528087</v>
          </cell>
          <cell r="D288">
            <v>1</v>
          </cell>
          <cell r="E288">
            <v>10</v>
          </cell>
          <cell r="F288">
            <v>7106.7671142640438</v>
          </cell>
          <cell r="G288">
            <v>273.62561772367286</v>
          </cell>
        </row>
        <row r="289">
          <cell r="A289">
            <v>53120</v>
          </cell>
          <cell r="B289" t="str">
            <v>堕落项链</v>
          </cell>
          <cell r="C289">
            <v>264.91606536898399</v>
          </cell>
          <cell r="D289">
            <v>1</v>
          </cell>
          <cell r="E289">
            <v>10</v>
          </cell>
          <cell r="F289">
            <v>13245.803268449199</v>
          </cell>
          <cell r="G289">
            <v>509.99153951465712</v>
          </cell>
        </row>
        <row r="290">
          <cell r="A290">
            <v>10221</v>
          </cell>
          <cell r="B290" t="str">
            <v>幻痛霸刀</v>
          </cell>
          <cell r="C290">
            <v>627.55825551614032</v>
          </cell>
          <cell r="D290">
            <v>1</v>
          </cell>
          <cell r="E290">
            <v>10</v>
          </cell>
          <cell r="F290">
            <v>31377.912775807017</v>
          </cell>
          <cell r="G290">
            <v>1680</v>
          </cell>
        </row>
        <row r="291">
          <cell r="A291">
            <v>20221</v>
          </cell>
          <cell r="B291" t="str">
            <v>幻痛之拳</v>
          </cell>
          <cell r="C291">
            <v>627.55825551614032</v>
          </cell>
          <cell r="D291">
            <v>1</v>
          </cell>
          <cell r="E291">
            <v>10</v>
          </cell>
          <cell r="F291">
            <v>31377.912775807017</v>
          </cell>
          <cell r="G291">
            <v>1680</v>
          </cell>
        </row>
        <row r="292">
          <cell r="A292">
            <v>30221</v>
          </cell>
          <cell r="B292" t="str">
            <v>幻痛之枪</v>
          </cell>
          <cell r="C292">
            <v>627.55825551614032</v>
          </cell>
          <cell r="D292">
            <v>1</v>
          </cell>
          <cell r="E292">
            <v>10</v>
          </cell>
          <cell r="F292">
            <v>31377.912775807017</v>
          </cell>
          <cell r="G292">
            <v>1680</v>
          </cell>
        </row>
        <row r="293">
          <cell r="A293">
            <v>51221</v>
          </cell>
          <cell r="B293" t="str">
            <v>幻痛战衣</v>
          </cell>
          <cell r="C293">
            <v>531.85303566187042</v>
          </cell>
          <cell r="D293">
            <v>1</v>
          </cell>
          <cell r="E293">
            <v>10</v>
          </cell>
          <cell r="F293">
            <v>26592.651783093523</v>
          </cell>
          <cell r="G293">
            <v>1423.7930774682668</v>
          </cell>
        </row>
        <row r="294">
          <cell r="A294">
            <v>52221</v>
          </cell>
          <cell r="B294" t="str">
            <v>幻痛长裤</v>
          </cell>
          <cell r="C294">
            <v>201.89978264845496</v>
          </cell>
          <cell r="D294">
            <v>1</v>
          </cell>
          <cell r="E294">
            <v>10</v>
          </cell>
          <cell r="F294">
            <v>10094.989132422748</v>
          </cell>
          <cell r="G294">
            <v>540.49425988418147</v>
          </cell>
        </row>
        <row r="295">
          <cell r="A295">
            <v>55221</v>
          </cell>
          <cell r="B295" t="str">
            <v>幻痛长靴</v>
          </cell>
          <cell r="C295">
            <v>255.77908967149278</v>
          </cell>
          <cell r="D295">
            <v>1</v>
          </cell>
          <cell r="E295">
            <v>10</v>
          </cell>
          <cell r="F295">
            <v>12788.954483574638</v>
          </cell>
          <cell r="G295">
            <v>684.73144424606494</v>
          </cell>
        </row>
        <row r="296">
          <cell r="A296">
            <v>54221</v>
          </cell>
          <cell r="B296" t="str">
            <v>幻痛腰带</v>
          </cell>
          <cell r="C296">
            <v>227.47713593375113</v>
          </cell>
          <cell r="D296">
            <v>1</v>
          </cell>
          <cell r="E296">
            <v>10</v>
          </cell>
          <cell r="F296">
            <v>11373.856796687556</v>
          </cell>
          <cell r="G296">
            <v>608.96591672495799</v>
          </cell>
        </row>
        <row r="297">
          <cell r="A297">
            <v>53221</v>
          </cell>
          <cell r="B297" t="str">
            <v>幻痛项链</v>
          </cell>
          <cell r="C297">
            <v>372.92215851693413</v>
          </cell>
          <cell r="D297">
            <v>1</v>
          </cell>
          <cell r="E297">
            <v>10</v>
          </cell>
          <cell r="F297">
            <v>18646.107925846707</v>
          </cell>
          <cell r="G297">
            <v>998.32839549401137</v>
          </cell>
        </row>
        <row r="298">
          <cell r="A298">
            <v>10322</v>
          </cell>
          <cell r="B298" t="str">
            <v>焚天之剑</v>
          </cell>
          <cell r="C298">
            <v>817.10921949533486</v>
          </cell>
          <cell r="D298">
            <v>1</v>
          </cell>
          <cell r="E298">
            <v>10</v>
          </cell>
          <cell r="F298">
            <v>40855.460974766742</v>
          </cell>
          <cell r="G298">
            <v>4200</v>
          </cell>
        </row>
        <row r="299">
          <cell r="A299">
            <v>20322</v>
          </cell>
          <cell r="B299" t="str">
            <v>焚天之拳</v>
          </cell>
          <cell r="C299">
            <v>817.10921949533486</v>
          </cell>
          <cell r="D299">
            <v>1</v>
          </cell>
          <cell r="E299">
            <v>10</v>
          </cell>
          <cell r="F299">
            <v>40855.460974766742</v>
          </cell>
          <cell r="G299">
            <v>4200</v>
          </cell>
        </row>
        <row r="300">
          <cell r="A300">
            <v>30322</v>
          </cell>
          <cell r="B300" t="str">
            <v>焚天之枪</v>
          </cell>
          <cell r="C300">
            <v>817.10921949533486</v>
          </cell>
          <cell r="D300">
            <v>1</v>
          </cell>
          <cell r="E300">
            <v>10</v>
          </cell>
          <cell r="F300">
            <v>40855.460974766742</v>
          </cell>
          <cell r="G300">
            <v>4200</v>
          </cell>
        </row>
        <row r="301">
          <cell r="A301">
            <v>51322</v>
          </cell>
          <cell r="B301" t="str">
            <v>焚天战衣</v>
          </cell>
          <cell r="C301">
            <v>679.98058403894458</v>
          </cell>
          <cell r="D301">
            <v>1</v>
          </cell>
          <cell r="E301">
            <v>10</v>
          </cell>
          <cell r="F301">
            <v>33999.029201947233</v>
          </cell>
          <cell r="G301">
            <v>3495.1489774248871</v>
          </cell>
        </row>
        <row r="302">
          <cell r="A302">
            <v>52322</v>
          </cell>
          <cell r="B302" t="str">
            <v>焚天长裤</v>
          </cell>
          <cell r="C302">
            <v>266.07620263950542</v>
          </cell>
          <cell r="D302">
            <v>1</v>
          </cell>
          <cell r="E302">
            <v>10</v>
          </cell>
          <cell r="F302">
            <v>13303.810131975271</v>
          </cell>
          <cell r="G302">
            <v>1367.650767392061</v>
          </cell>
        </row>
        <row r="303">
          <cell r="A303">
            <v>55322</v>
          </cell>
          <cell r="B303" t="str">
            <v>焚天长靴</v>
          </cell>
          <cell r="C303">
            <v>335.22770370506402</v>
          </cell>
          <cell r="D303">
            <v>1</v>
          </cell>
          <cell r="E303">
            <v>10</v>
          </cell>
          <cell r="F303">
            <v>16761.385185253203</v>
          </cell>
          <cell r="G303">
            <v>1723.0944431527219</v>
          </cell>
        </row>
        <row r="304">
          <cell r="A304">
            <v>54322</v>
          </cell>
          <cell r="B304" t="str">
            <v>焚天腰带</v>
          </cell>
          <cell r="C304">
            <v>326.46233291180158</v>
          </cell>
          <cell r="D304">
            <v>1</v>
          </cell>
          <cell r="E304">
            <v>10</v>
          </cell>
          <cell r="F304">
            <v>16323.116645590078</v>
          </cell>
          <cell r="G304">
            <v>1678.0398085294091</v>
          </cell>
        </row>
        <row r="305">
          <cell r="A305">
            <v>53322</v>
          </cell>
          <cell r="B305" t="str">
            <v>焚天项链</v>
          </cell>
          <cell r="C305">
            <v>474.937863757576</v>
          </cell>
          <cell r="D305">
            <v>1</v>
          </cell>
          <cell r="E305">
            <v>10</v>
          </cell>
          <cell r="F305">
            <v>23746.893187878799</v>
          </cell>
          <cell r="G305">
            <v>2441.214687326396</v>
          </cell>
        </row>
        <row r="306">
          <cell r="A306">
            <v>10423</v>
          </cell>
          <cell r="B306" t="str">
            <v>朱雀霸刀</v>
          </cell>
          <cell r="C306">
            <v>957.13568896871675</v>
          </cell>
          <cell r="D306">
            <v>1</v>
          </cell>
          <cell r="E306">
            <v>10</v>
          </cell>
          <cell r="F306">
            <v>47856.784448435836</v>
          </cell>
          <cell r="G306">
            <v>7000</v>
          </cell>
        </row>
        <row r="307">
          <cell r="A307">
            <v>20423</v>
          </cell>
          <cell r="B307" t="str">
            <v>朱雀之拳</v>
          </cell>
          <cell r="C307">
            <v>957.13568896871675</v>
          </cell>
          <cell r="D307">
            <v>1</v>
          </cell>
          <cell r="E307">
            <v>10</v>
          </cell>
          <cell r="F307">
            <v>47856.784448435836</v>
          </cell>
          <cell r="G307">
            <v>7000</v>
          </cell>
        </row>
        <row r="308">
          <cell r="A308">
            <v>30423</v>
          </cell>
          <cell r="B308" t="str">
            <v>朱雀之枪</v>
          </cell>
          <cell r="C308">
            <v>957.13568896871675</v>
          </cell>
          <cell r="D308">
            <v>1</v>
          </cell>
          <cell r="E308">
            <v>10</v>
          </cell>
          <cell r="F308">
            <v>47856.784448435836</v>
          </cell>
          <cell r="G308">
            <v>7000</v>
          </cell>
        </row>
        <row r="309">
          <cell r="A309">
            <v>51423</v>
          </cell>
          <cell r="B309" t="str">
            <v>朱雀战衣</v>
          </cell>
          <cell r="C309">
            <v>781.71887590595156</v>
          </cell>
          <cell r="D309">
            <v>1</v>
          </cell>
          <cell r="E309">
            <v>10</v>
          </cell>
          <cell r="F309">
            <v>39085.943795297579</v>
          </cell>
          <cell r="G309">
            <v>5717.0913115125841</v>
          </cell>
        </row>
        <row r="310">
          <cell r="A310">
            <v>52423</v>
          </cell>
          <cell r="B310" t="str">
            <v>朱雀长裤</v>
          </cell>
          <cell r="C310">
            <v>315.4466030410324</v>
          </cell>
          <cell r="D310">
            <v>1</v>
          </cell>
          <cell r="E310">
            <v>10</v>
          </cell>
          <cell r="F310">
            <v>15772.33015205162</v>
          </cell>
          <cell r="G310">
            <v>2307.0148221788832</v>
          </cell>
        </row>
        <row r="311">
          <cell r="A311">
            <v>55423</v>
          </cell>
          <cell r="B311" t="str">
            <v>朱雀长靴</v>
          </cell>
          <cell r="C311">
            <v>395.26477573903037</v>
          </cell>
          <cell r="D311">
            <v>1</v>
          </cell>
          <cell r="E311">
            <v>10</v>
          </cell>
          <cell r="F311">
            <v>19763.238786951519</v>
          </cell>
          <cell r="G311">
            <v>2890.764039061597</v>
          </cell>
        </row>
        <row r="312">
          <cell r="A312">
            <v>54423</v>
          </cell>
          <cell r="B312" t="str">
            <v>朱雀腰带</v>
          </cell>
          <cell r="C312">
            <v>418.18184116136376</v>
          </cell>
          <cell r="D312">
            <v>1</v>
          </cell>
          <cell r="E312">
            <v>10</v>
          </cell>
          <cell r="F312">
            <v>20909.092058068189</v>
          </cell>
          <cell r="G312">
            <v>3058.3677130288493</v>
          </cell>
        </row>
        <row r="313">
          <cell r="A313">
            <v>53423</v>
          </cell>
          <cell r="B313" t="str">
            <v>朱雀项链</v>
          </cell>
          <cell r="C313">
            <v>543.77445818181832</v>
          </cell>
          <cell r="D313">
            <v>1</v>
          </cell>
          <cell r="E313">
            <v>10</v>
          </cell>
          <cell r="F313">
            <v>27188.722909090917</v>
          </cell>
          <cell r="G313">
            <v>3976.8877612055462</v>
          </cell>
        </row>
        <row r="314">
          <cell r="A314">
            <v>10124</v>
          </cell>
          <cell r="B314" t="str">
            <v>高洁之刃</v>
          </cell>
          <cell r="C314">
            <v>545.42447684946114</v>
          </cell>
          <cell r="D314">
            <v>1</v>
          </cell>
          <cell r="E314">
            <v>10</v>
          </cell>
          <cell r="F314">
            <v>27271.223842473057</v>
          </cell>
          <cell r="G314">
            <v>959.99999999999989</v>
          </cell>
        </row>
        <row r="315">
          <cell r="A315">
            <v>20124</v>
          </cell>
          <cell r="B315" t="str">
            <v>高洁之拳</v>
          </cell>
          <cell r="C315">
            <v>545.42447684946114</v>
          </cell>
          <cell r="D315">
            <v>1</v>
          </cell>
          <cell r="E315">
            <v>10</v>
          </cell>
          <cell r="F315">
            <v>27271.223842473057</v>
          </cell>
          <cell r="G315">
            <v>959.99999999999989</v>
          </cell>
        </row>
        <row r="316">
          <cell r="A316">
            <v>30124</v>
          </cell>
          <cell r="B316" t="str">
            <v>高洁之枪</v>
          </cell>
          <cell r="C316">
            <v>545.42447684946114</v>
          </cell>
          <cell r="D316">
            <v>1</v>
          </cell>
          <cell r="E316">
            <v>10</v>
          </cell>
          <cell r="F316">
            <v>27271.223842473057</v>
          </cell>
          <cell r="G316">
            <v>959.99999999999989</v>
          </cell>
        </row>
        <row r="317">
          <cell r="A317">
            <v>51124</v>
          </cell>
          <cell r="B317" t="str">
            <v>高洁战衣</v>
          </cell>
          <cell r="C317">
            <v>470.52771821253282</v>
          </cell>
          <cell r="D317">
            <v>1</v>
          </cell>
          <cell r="E317">
            <v>10</v>
          </cell>
          <cell r="F317">
            <v>23526.385910626639</v>
          </cell>
          <cell r="G317">
            <v>828.17443781259544</v>
          </cell>
        </row>
        <row r="318">
          <cell r="A318">
            <v>52124</v>
          </cell>
          <cell r="B318" t="str">
            <v>高洁长裤</v>
          </cell>
          <cell r="C318">
            <v>173.36209152491557</v>
          </cell>
          <cell r="D318">
            <v>1</v>
          </cell>
          <cell r="E318">
            <v>10</v>
          </cell>
          <cell r="F318">
            <v>8668.1045762457779</v>
          </cell>
          <cell r="G318">
            <v>305.13410183799556</v>
          </cell>
        </row>
        <row r="319">
          <cell r="A319">
            <v>55124</v>
          </cell>
          <cell r="B319" t="str">
            <v>高洁长靴</v>
          </cell>
          <cell r="C319">
            <v>220.85271553158546</v>
          </cell>
          <cell r="D319">
            <v>1</v>
          </cell>
          <cell r="E319">
            <v>10</v>
          </cell>
          <cell r="F319">
            <v>11042.635776579273</v>
          </cell>
          <cell r="G319">
            <v>388.7222079489473</v>
          </cell>
        </row>
        <row r="320">
          <cell r="A320">
            <v>54124</v>
          </cell>
          <cell r="B320" t="str">
            <v>高洁腰带</v>
          </cell>
          <cell r="C320">
            <v>177.6691778566011</v>
          </cell>
          <cell r="D320">
            <v>1</v>
          </cell>
          <cell r="E320">
            <v>10</v>
          </cell>
          <cell r="F320">
            <v>8883.4588928300545</v>
          </cell>
          <cell r="G320">
            <v>312.71499168419757</v>
          </cell>
        </row>
        <row r="321">
          <cell r="A321">
            <v>53124</v>
          </cell>
          <cell r="B321" t="str">
            <v>高洁项链</v>
          </cell>
          <cell r="C321">
            <v>331.14508171122998</v>
          </cell>
          <cell r="D321">
            <v>1</v>
          </cell>
          <cell r="E321">
            <v>10</v>
          </cell>
          <cell r="F321">
            <v>16557.254085561501</v>
          </cell>
          <cell r="G321">
            <v>582.84747373103676</v>
          </cell>
        </row>
        <row r="322">
          <cell r="A322">
            <v>10225</v>
          </cell>
          <cell r="B322" t="str">
            <v>星宿之刃</v>
          </cell>
          <cell r="C322">
            <v>784.44781939517532</v>
          </cell>
          <cell r="D322">
            <v>1</v>
          </cell>
          <cell r="E322">
            <v>10</v>
          </cell>
          <cell r="F322">
            <v>39222.390969758766</v>
          </cell>
          <cell r="G322">
            <v>1920</v>
          </cell>
        </row>
        <row r="323">
          <cell r="A323">
            <v>20225</v>
          </cell>
          <cell r="B323" t="str">
            <v>星宿之拳</v>
          </cell>
          <cell r="C323">
            <v>784.44781939517532</v>
          </cell>
          <cell r="D323">
            <v>1</v>
          </cell>
          <cell r="E323">
            <v>10</v>
          </cell>
          <cell r="F323">
            <v>39222.390969758766</v>
          </cell>
          <cell r="G323">
            <v>1920</v>
          </cell>
        </row>
        <row r="324">
          <cell r="A324">
            <v>30225</v>
          </cell>
          <cell r="B324" t="str">
            <v>星宿之枪</v>
          </cell>
          <cell r="C324">
            <v>784.44781939517532</v>
          </cell>
          <cell r="D324">
            <v>1</v>
          </cell>
          <cell r="E324">
            <v>10</v>
          </cell>
          <cell r="F324">
            <v>39222.390969758766</v>
          </cell>
          <cell r="G324">
            <v>1920</v>
          </cell>
        </row>
        <row r="325">
          <cell r="A325">
            <v>51225</v>
          </cell>
          <cell r="B325" t="str">
            <v>星宿战衣</v>
          </cell>
          <cell r="C325">
            <v>664.816294577338</v>
          </cell>
          <cell r="D325">
            <v>1</v>
          </cell>
          <cell r="E325">
            <v>10</v>
          </cell>
          <cell r="F325">
            <v>33240.814728866899</v>
          </cell>
          <cell r="G325">
            <v>1627.1920885351622</v>
          </cell>
        </row>
        <row r="326">
          <cell r="A326">
            <v>52225</v>
          </cell>
          <cell r="B326" t="str">
            <v>星宿长裤</v>
          </cell>
          <cell r="C326">
            <v>252.37472831056871</v>
          </cell>
          <cell r="D326">
            <v>1</v>
          </cell>
          <cell r="E326">
            <v>10</v>
          </cell>
          <cell r="F326">
            <v>12618.736415528436</v>
          </cell>
          <cell r="G326">
            <v>617.70772558192186</v>
          </cell>
        </row>
        <row r="327">
          <cell r="A327">
            <v>55225</v>
          </cell>
          <cell r="B327" t="str">
            <v>星宿长靴</v>
          </cell>
          <cell r="C327">
            <v>319.72386208936598</v>
          </cell>
          <cell r="D327">
            <v>1</v>
          </cell>
          <cell r="E327">
            <v>10</v>
          </cell>
          <cell r="F327">
            <v>15986.193104468299</v>
          </cell>
          <cell r="G327">
            <v>782.55022199550297</v>
          </cell>
        </row>
        <row r="328">
          <cell r="A328">
            <v>54225</v>
          </cell>
          <cell r="B328" t="str">
            <v>星宿腰带</v>
          </cell>
          <cell r="C328">
            <v>284.34641991718894</v>
          </cell>
          <cell r="D328">
            <v>1</v>
          </cell>
          <cell r="E328">
            <v>10</v>
          </cell>
          <cell r="F328">
            <v>14217.320995859447</v>
          </cell>
          <cell r="G328">
            <v>695.96104768566659</v>
          </cell>
        </row>
        <row r="329">
          <cell r="A329">
            <v>53225</v>
          </cell>
          <cell r="B329" t="str">
            <v>星宿项链</v>
          </cell>
          <cell r="C329">
            <v>466.15269814616761</v>
          </cell>
          <cell r="D329">
            <v>1</v>
          </cell>
          <cell r="E329">
            <v>10</v>
          </cell>
          <cell r="F329">
            <v>23307.63490730838</v>
          </cell>
          <cell r="G329">
            <v>1140.9467377074418</v>
          </cell>
        </row>
        <row r="330">
          <cell r="A330">
            <v>10326</v>
          </cell>
          <cell r="B330" t="str">
            <v>炼狱之剑</v>
          </cell>
          <cell r="C330">
            <v>1021.3865243691686</v>
          </cell>
          <cell r="D330">
            <v>1</v>
          </cell>
          <cell r="E330">
            <v>10</v>
          </cell>
          <cell r="F330">
            <v>51069.326218458431</v>
          </cell>
          <cell r="G330">
            <v>4800.0000000000009</v>
          </cell>
        </row>
        <row r="331">
          <cell r="A331">
            <v>20326</v>
          </cell>
          <cell r="B331" t="str">
            <v>炼狱之拳</v>
          </cell>
          <cell r="C331">
            <v>1021.3865243691686</v>
          </cell>
          <cell r="D331">
            <v>1</v>
          </cell>
          <cell r="E331">
            <v>10</v>
          </cell>
          <cell r="F331">
            <v>51069.326218458431</v>
          </cell>
          <cell r="G331">
            <v>4800.0000000000009</v>
          </cell>
        </row>
        <row r="332">
          <cell r="A332">
            <v>30326</v>
          </cell>
          <cell r="B332" t="str">
            <v>炼狱之枪</v>
          </cell>
          <cell r="C332">
            <v>1021.3865243691686</v>
          </cell>
          <cell r="D332">
            <v>1</v>
          </cell>
          <cell r="E332">
            <v>10</v>
          </cell>
          <cell r="F332">
            <v>51069.326218458431</v>
          </cell>
          <cell r="G332">
            <v>4800.0000000000009</v>
          </cell>
        </row>
        <row r="333">
          <cell r="A333">
            <v>51326</v>
          </cell>
          <cell r="B333" t="str">
            <v>炼狱战衣</v>
          </cell>
          <cell r="C333">
            <v>849.97573004868082</v>
          </cell>
          <cell r="D333">
            <v>1</v>
          </cell>
          <cell r="E333">
            <v>10</v>
          </cell>
          <cell r="F333">
            <v>42498.786502434043</v>
          </cell>
          <cell r="G333">
            <v>3994.4559741998719</v>
          </cell>
        </row>
        <row r="334">
          <cell r="A334">
            <v>52326</v>
          </cell>
          <cell r="B334" t="str">
            <v>炼狱长裤</v>
          </cell>
          <cell r="C334">
            <v>332.5952532993818</v>
          </cell>
          <cell r="D334">
            <v>1</v>
          </cell>
          <cell r="E334">
            <v>10</v>
          </cell>
          <cell r="F334">
            <v>16629.76266496909</v>
          </cell>
          <cell r="G334">
            <v>1563.0294484480696</v>
          </cell>
        </row>
        <row r="335">
          <cell r="A335">
            <v>55326</v>
          </cell>
          <cell r="B335" t="str">
            <v>炼狱长靴</v>
          </cell>
          <cell r="C335">
            <v>419.03462963132995</v>
          </cell>
          <cell r="D335">
            <v>1</v>
          </cell>
          <cell r="E335">
            <v>10</v>
          </cell>
          <cell r="F335">
            <v>20951.731481566498</v>
          </cell>
          <cell r="G335">
            <v>1969.2507921745382</v>
          </cell>
        </row>
        <row r="336">
          <cell r="A336">
            <v>54326</v>
          </cell>
          <cell r="B336" t="str">
            <v>炼狱腰带</v>
          </cell>
          <cell r="C336">
            <v>408.07791613975189</v>
          </cell>
          <cell r="D336">
            <v>1</v>
          </cell>
          <cell r="E336">
            <v>10</v>
          </cell>
          <cell r="F336">
            <v>20403.895806987595</v>
          </cell>
          <cell r="G336">
            <v>1917.759781176467</v>
          </cell>
        </row>
        <row r="337">
          <cell r="A337">
            <v>53326</v>
          </cell>
          <cell r="B337" t="str">
            <v>炼狱项链</v>
          </cell>
          <cell r="C337">
            <v>593.67232969696988</v>
          </cell>
          <cell r="D337">
            <v>1</v>
          </cell>
          <cell r="E337">
            <v>10</v>
          </cell>
          <cell r="F337">
            <v>29683.616484848495</v>
          </cell>
          <cell r="G337">
            <v>2789.9596426587373</v>
          </cell>
        </row>
        <row r="338">
          <cell r="A338">
            <v>10427</v>
          </cell>
          <cell r="B338" t="str">
            <v>青龙霸刀</v>
          </cell>
          <cell r="C338">
            <v>1196.4196112108959</v>
          </cell>
          <cell r="D338">
            <v>1</v>
          </cell>
          <cell r="E338">
            <v>10</v>
          </cell>
          <cell r="F338">
            <v>59820.980560544798</v>
          </cell>
          <cell r="G338">
            <v>8000</v>
          </cell>
        </row>
        <row r="339">
          <cell r="A339">
            <v>20427</v>
          </cell>
          <cell r="B339" t="str">
            <v>青龙之拳</v>
          </cell>
          <cell r="C339">
            <v>1196.4196112108959</v>
          </cell>
          <cell r="D339">
            <v>1</v>
          </cell>
          <cell r="E339">
            <v>10</v>
          </cell>
          <cell r="F339">
            <v>59820.980560544798</v>
          </cell>
          <cell r="G339">
            <v>8000</v>
          </cell>
        </row>
        <row r="340">
          <cell r="A340">
            <v>30427</v>
          </cell>
          <cell r="B340" t="str">
            <v>青龙之枪</v>
          </cell>
          <cell r="C340">
            <v>1196.4196112108959</v>
          </cell>
          <cell r="D340">
            <v>1</v>
          </cell>
          <cell r="E340">
            <v>10</v>
          </cell>
          <cell r="F340">
            <v>59820.980560544798</v>
          </cell>
          <cell r="G340">
            <v>8000</v>
          </cell>
        </row>
        <row r="341">
          <cell r="A341">
            <v>51427</v>
          </cell>
          <cell r="B341" t="str">
            <v>青龙战衣</v>
          </cell>
          <cell r="C341">
            <v>977.14859488243928</v>
          </cell>
          <cell r="D341">
            <v>1</v>
          </cell>
          <cell r="E341">
            <v>10</v>
          </cell>
          <cell r="F341">
            <v>48857.429744121968</v>
          </cell>
          <cell r="G341">
            <v>6533.8186417286661</v>
          </cell>
        </row>
        <row r="342">
          <cell r="A342">
            <v>52427</v>
          </cell>
          <cell r="B342" t="str">
            <v>青龙长裤</v>
          </cell>
          <cell r="C342">
            <v>394.30825380129045</v>
          </cell>
          <cell r="D342">
            <v>1</v>
          </cell>
          <cell r="E342">
            <v>10</v>
          </cell>
          <cell r="F342">
            <v>19715.412690064521</v>
          </cell>
          <cell r="G342">
            <v>2636.5883682044378</v>
          </cell>
        </row>
        <row r="343">
          <cell r="A343">
            <v>55427</v>
          </cell>
          <cell r="B343" t="str">
            <v>青龙长靴</v>
          </cell>
          <cell r="C343">
            <v>494.08096967378793</v>
          </cell>
          <cell r="D343">
            <v>1</v>
          </cell>
          <cell r="E343">
            <v>10</v>
          </cell>
          <cell r="F343">
            <v>24704.048483689396</v>
          </cell>
          <cell r="G343">
            <v>3303.7303303561112</v>
          </cell>
        </row>
        <row r="344">
          <cell r="A344">
            <v>54427</v>
          </cell>
          <cell r="B344" t="str">
            <v>青龙腰带</v>
          </cell>
          <cell r="C344">
            <v>522.72730145170476</v>
          </cell>
          <cell r="D344">
            <v>1</v>
          </cell>
          <cell r="E344">
            <v>10</v>
          </cell>
          <cell r="F344">
            <v>26136.365072585239</v>
          </cell>
          <cell r="G344">
            <v>3495.2773863186853</v>
          </cell>
        </row>
        <row r="345">
          <cell r="A345">
            <v>53427</v>
          </cell>
          <cell r="B345" t="str">
            <v>青龙项链</v>
          </cell>
          <cell r="C345">
            <v>679.7180727272729</v>
          </cell>
          <cell r="D345">
            <v>1</v>
          </cell>
          <cell r="E345">
            <v>10</v>
          </cell>
          <cell r="F345">
            <v>33985.903636363648</v>
          </cell>
          <cell r="G345">
            <v>4545.0145842349111</v>
          </cell>
        </row>
        <row r="346">
          <cell r="A346">
            <v>92131</v>
          </cell>
          <cell r="B346" t="str">
            <v>幸运戒指</v>
          </cell>
          <cell r="C346">
            <v>16.48</v>
          </cell>
          <cell r="D346">
            <v>250</v>
          </cell>
          <cell r="E346">
            <v>2</v>
          </cell>
          <cell r="F346">
            <v>1648</v>
          </cell>
          <cell r="G346">
            <v>4</v>
          </cell>
        </row>
        <row r="347">
          <cell r="A347">
            <v>92011</v>
          </cell>
          <cell r="B347" t="str">
            <v>亚诺</v>
          </cell>
          <cell r="C347">
            <v>20</v>
          </cell>
          <cell r="D347">
            <v>126</v>
          </cell>
          <cell r="E347">
            <v>2</v>
          </cell>
          <cell r="F347">
            <v>2000</v>
          </cell>
          <cell r="G347">
            <v>4</v>
          </cell>
        </row>
        <row r="348">
          <cell r="A348">
            <v>92228</v>
          </cell>
          <cell r="B348" t="str">
            <v>银色手环</v>
          </cell>
          <cell r="C348">
            <v>8</v>
          </cell>
          <cell r="D348">
            <v>253</v>
          </cell>
          <cell r="E348">
            <v>2</v>
          </cell>
          <cell r="F348">
            <v>800</v>
          </cell>
          <cell r="G348">
            <v>2</v>
          </cell>
        </row>
        <row r="349">
          <cell r="A349">
            <v>92232</v>
          </cell>
          <cell r="B349" t="str">
            <v>鎏金手环</v>
          </cell>
          <cell r="C349">
            <v>16.48</v>
          </cell>
          <cell r="D349">
            <v>718</v>
          </cell>
          <cell r="E349">
            <v>2</v>
          </cell>
          <cell r="F349">
            <v>1648</v>
          </cell>
          <cell r="G349">
            <v>4</v>
          </cell>
        </row>
        <row r="350">
          <cell r="A350">
            <v>92121</v>
          </cell>
          <cell r="B350" t="str">
            <v>镀金耳钉</v>
          </cell>
          <cell r="C350">
            <v>20</v>
          </cell>
          <cell r="D350">
            <v>259</v>
          </cell>
          <cell r="E350">
            <v>2</v>
          </cell>
          <cell r="F350">
            <v>2000</v>
          </cell>
          <cell r="G350">
            <v>4</v>
          </cell>
        </row>
        <row r="351">
          <cell r="A351">
            <v>92243</v>
          </cell>
          <cell r="B351" t="str">
            <v>诅咒项链</v>
          </cell>
          <cell r="C351">
            <v>8</v>
          </cell>
          <cell r="D351">
            <v>333</v>
          </cell>
          <cell r="E351">
            <v>2</v>
          </cell>
          <cell r="F351">
            <v>800</v>
          </cell>
          <cell r="G351">
            <v>2</v>
          </cell>
        </row>
        <row r="352">
          <cell r="A352">
            <v>92244</v>
          </cell>
          <cell r="B352" t="str">
            <v>金饰项链</v>
          </cell>
          <cell r="C352">
            <v>16.48</v>
          </cell>
          <cell r="D352">
            <v>653</v>
          </cell>
          <cell r="E352">
            <v>2</v>
          </cell>
          <cell r="F352">
            <v>1648</v>
          </cell>
          <cell r="G352">
            <v>4</v>
          </cell>
        </row>
        <row r="353">
          <cell r="A353">
            <v>92263</v>
          </cell>
          <cell r="B353" t="str">
            <v>银针手表</v>
          </cell>
          <cell r="C353">
            <v>20</v>
          </cell>
          <cell r="D353">
            <v>117</v>
          </cell>
          <cell r="E353">
            <v>2</v>
          </cell>
          <cell r="F353">
            <v>2000</v>
          </cell>
          <cell r="G353">
            <v>4</v>
          </cell>
        </row>
        <row r="354">
          <cell r="A354">
            <v>92277</v>
          </cell>
          <cell r="B354" t="str">
            <v>冬利</v>
          </cell>
          <cell r="C354">
            <v>8</v>
          </cell>
          <cell r="D354">
            <v>122</v>
          </cell>
          <cell r="E354">
            <v>2</v>
          </cell>
          <cell r="F354">
            <v>800</v>
          </cell>
          <cell r="G354">
            <v>2</v>
          </cell>
        </row>
        <row r="355">
          <cell r="A355">
            <v>92233</v>
          </cell>
          <cell r="B355" t="str">
            <v>白金手环</v>
          </cell>
          <cell r="C355">
            <v>50</v>
          </cell>
          <cell r="D355">
            <v>382</v>
          </cell>
          <cell r="E355">
            <v>3</v>
          </cell>
          <cell r="F355">
            <v>7500</v>
          </cell>
          <cell r="G355">
            <v>15</v>
          </cell>
        </row>
        <row r="356">
          <cell r="A356">
            <v>92122</v>
          </cell>
          <cell r="B356" t="str">
            <v>银饰耳钉</v>
          </cell>
          <cell r="C356">
            <v>50</v>
          </cell>
          <cell r="D356">
            <v>362</v>
          </cell>
          <cell r="E356">
            <v>3</v>
          </cell>
          <cell r="F356">
            <v>7500</v>
          </cell>
          <cell r="G356">
            <v>15</v>
          </cell>
        </row>
        <row r="357">
          <cell r="A357">
            <v>92141</v>
          </cell>
          <cell r="B357" t="str">
            <v>白银戒指</v>
          </cell>
          <cell r="C357">
            <v>50</v>
          </cell>
          <cell r="D357">
            <v>381</v>
          </cell>
          <cell r="E357">
            <v>3</v>
          </cell>
          <cell r="F357">
            <v>7500</v>
          </cell>
          <cell r="G357">
            <v>15</v>
          </cell>
        </row>
        <row r="358">
          <cell r="A358">
            <v>92245</v>
          </cell>
          <cell r="B358" t="str">
            <v>水晶项链</v>
          </cell>
          <cell r="C358">
            <v>50</v>
          </cell>
          <cell r="D358">
            <v>276</v>
          </cell>
          <cell r="E358">
            <v>3</v>
          </cell>
          <cell r="F358">
            <v>7500</v>
          </cell>
          <cell r="G358">
            <v>15</v>
          </cell>
        </row>
        <row r="359">
          <cell r="A359">
            <v>92251</v>
          </cell>
          <cell r="B359" t="str">
            <v>红石项链</v>
          </cell>
          <cell r="C359">
            <v>50</v>
          </cell>
          <cell r="D359">
            <v>469</v>
          </cell>
          <cell r="E359">
            <v>3</v>
          </cell>
          <cell r="F359">
            <v>7500</v>
          </cell>
          <cell r="G359">
            <v>15</v>
          </cell>
        </row>
        <row r="360">
          <cell r="A360">
            <v>92264</v>
          </cell>
          <cell r="B360" t="str">
            <v>越野手表</v>
          </cell>
          <cell r="C360">
            <v>50</v>
          </cell>
          <cell r="D360">
            <v>204</v>
          </cell>
          <cell r="E360">
            <v>3</v>
          </cell>
          <cell r="F360">
            <v>7500</v>
          </cell>
          <cell r="G360">
            <v>15</v>
          </cell>
        </row>
        <row r="361">
          <cell r="A361">
            <v>92271</v>
          </cell>
          <cell r="B361" t="str">
            <v>精准手表</v>
          </cell>
          <cell r="C361">
            <v>50</v>
          </cell>
          <cell r="D361">
            <v>108</v>
          </cell>
          <cell r="E361">
            <v>3</v>
          </cell>
          <cell r="F361">
            <v>7500</v>
          </cell>
          <cell r="G361">
            <v>15</v>
          </cell>
        </row>
        <row r="362">
          <cell r="A362">
            <v>92278</v>
          </cell>
          <cell r="B362" t="str">
            <v>宝驼</v>
          </cell>
          <cell r="C362">
            <v>50</v>
          </cell>
          <cell r="D362">
            <v>224</v>
          </cell>
          <cell r="E362">
            <v>3</v>
          </cell>
          <cell r="F362">
            <v>7500</v>
          </cell>
          <cell r="G362">
            <v>15</v>
          </cell>
        </row>
        <row r="363">
          <cell r="A363">
            <v>92283</v>
          </cell>
          <cell r="B363" t="str">
            <v>小迭钞票</v>
          </cell>
          <cell r="C363">
            <v>50</v>
          </cell>
          <cell r="D363">
            <v>713</v>
          </cell>
          <cell r="E363">
            <v>3</v>
          </cell>
          <cell r="F363">
            <v>7500</v>
          </cell>
          <cell r="G363">
            <v>15</v>
          </cell>
        </row>
        <row r="364">
          <cell r="A364">
            <v>92287</v>
          </cell>
          <cell r="B364" t="str">
            <v>金块</v>
          </cell>
          <cell r="C364">
            <v>50</v>
          </cell>
          <cell r="D364">
            <v>655</v>
          </cell>
          <cell r="E364">
            <v>3</v>
          </cell>
          <cell r="F364">
            <v>7500</v>
          </cell>
          <cell r="G364">
            <v>15</v>
          </cell>
        </row>
        <row r="365">
          <cell r="A365">
            <v>92142</v>
          </cell>
          <cell r="B365" t="str">
            <v>黄金戒指</v>
          </cell>
          <cell r="C365">
            <v>119.73766952966369</v>
          </cell>
          <cell r="D365">
            <v>221</v>
          </cell>
          <cell r="E365">
            <v>4</v>
          </cell>
          <cell r="F365">
            <v>23947.533905932738</v>
          </cell>
          <cell r="G365">
            <v>48</v>
          </cell>
        </row>
        <row r="366">
          <cell r="A366">
            <v>92235</v>
          </cell>
          <cell r="B366" t="str">
            <v>宝石手环</v>
          </cell>
          <cell r="C366">
            <v>118.67766952966369</v>
          </cell>
          <cell r="D366">
            <v>227</v>
          </cell>
          <cell r="E366">
            <v>4</v>
          </cell>
          <cell r="F366">
            <v>23735.533905932738</v>
          </cell>
          <cell r="G366">
            <v>48</v>
          </cell>
        </row>
        <row r="367">
          <cell r="A367">
            <v>92012</v>
          </cell>
          <cell r="B367" t="str">
            <v>摩拉</v>
          </cell>
          <cell r="C367">
            <v>120.17766952966369</v>
          </cell>
          <cell r="D367">
            <v>105</v>
          </cell>
          <cell r="E367">
            <v>4</v>
          </cell>
          <cell r="F367">
            <v>24035.533905932738</v>
          </cell>
          <cell r="G367">
            <v>49</v>
          </cell>
        </row>
        <row r="368">
          <cell r="A368">
            <v>92252</v>
          </cell>
          <cell r="B368" t="str">
            <v>青玉项链</v>
          </cell>
          <cell r="C368">
            <v>118.67766952966369</v>
          </cell>
          <cell r="D368">
            <v>308</v>
          </cell>
          <cell r="E368">
            <v>4</v>
          </cell>
          <cell r="F368">
            <v>23735.533905932738</v>
          </cell>
          <cell r="G368">
            <v>48</v>
          </cell>
        </row>
        <row r="369">
          <cell r="A369">
            <v>92124</v>
          </cell>
          <cell r="B369" t="str">
            <v>水晶耳钉</v>
          </cell>
          <cell r="C369">
            <v>120.17766952966369</v>
          </cell>
          <cell r="D369">
            <v>234</v>
          </cell>
          <cell r="E369">
            <v>4</v>
          </cell>
          <cell r="F369">
            <v>24035.533905932738</v>
          </cell>
          <cell r="G369">
            <v>49</v>
          </cell>
        </row>
        <row r="370">
          <cell r="A370">
            <v>92272</v>
          </cell>
          <cell r="B370" t="str">
            <v>金针手表</v>
          </cell>
          <cell r="C370">
            <v>120.17766952966369</v>
          </cell>
          <cell r="D370">
            <v>93</v>
          </cell>
          <cell r="E370">
            <v>4</v>
          </cell>
          <cell r="F370">
            <v>24035.533905932738</v>
          </cell>
          <cell r="G370">
            <v>49</v>
          </cell>
        </row>
        <row r="371">
          <cell r="A371">
            <v>92273</v>
          </cell>
          <cell r="B371" t="str">
            <v>智能手表</v>
          </cell>
          <cell r="C371">
            <v>135.35533905932738</v>
          </cell>
          <cell r="D371">
            <v>86</v>
          </cell>
          <cell r="E371">
            <v>4</v>
          </cell>
          <cell r="F371">
            <v>27071.067811865476</v>
          </cell>
          <cell r="G371">
            <v>55</v>
          </cell>
        </row>
        <row r="372">
          <cell r="A372">
            <v>92279</v>
          </cell>
          <cell r="B372" t="str">
            <v>宾倪</v>
          </cell>
          <cell r="C372">
            <v>118.67766952966369</v>
          </cell>
          <cell r="D372">
            <v>99</v>
          </cell>
          <cell r="E372">
            <v>4</v>
          </cell>
          <cell r="F372">
            <v>23735.533905932738</v>
          </cell>
          <cell r="G372">
            <v>48</v>
          </cell>
        </row>
        <row r="373">
          <cell r="A373">
            <v>92284</v>
          </cell>
          <cell r="B373" t="str">
            <v>大迭钞票</v>
          </cell>
          <cell r="C373">
            <v>119.73766952966369</v>
          </cell>
          <cell r="D373">
            <v>687</v>
          </cell>
          <cell r="E373">
            <v>4</v>
          </cell>
          <cell r="F373">
            <v>23947.533905932738</v>
          </cell>
          <cell r="G373">
            <v>48</v>
          </cell>
        </row>
        <row r="374">
          <cell r="A374">
            <v>92288</v>
          </cell>
          <cell r="B374" t="str">
            <v>大金块</v>
          </cell>
          <cell r="C374">
            <v>119.73766952966369</v>
          </cell>
          <cell r="D374">
            <v>629</v>
          </cell>
          <cell r="E374">
            <v>4</v>
          </cell>
          <cell r="F374">
            <v>23947.533905932738</v>
          </cell>
          <cell r="G374">
            <v>48</v>
          </cell>
        </row>
        <row r="375">
          <cell r="A375">
            <v>92125</v>
          </cell>
          <cell r="B375" t="str">
            <v>红石耳钉</v>
          </cell>
          <cell r="C375">
            <v>348.73922253581054</v>
          </cell>
          <cell r="D375">
            <v>104</v>
          </cell>
          <cell r="E375">
            <v>4</v>
          </cell>
          <cell r="F375">
            <v>69747.84450716211</v>
          </cell>
          <cell r="G375">
            <v>140</v>
          </cell>
        </row>
        <row r="376">
          <cell r="A376">
            <v>92134</v>
          </cell>
          <cell r="B376" t="str">
            <v>毒蝎耳钉</v>
          </cell>
          <cell r="C376">
            <v>348.73922253581054</v>
          </cell>
          <cell r="D376">
            <v>108</v>
          </cell>
          <cell r="E376">
            <v>4</v>
          </cell>
          <cell r="F376">
            <v>69747.84450716211</v>
          </cell>
          <cell r="G376">
            <v>140</v>
          </cell>
        </row>
        <row r="377">
          <cell r="A377">
            <v>92223</v>
          </cell>
          <cell r="B377" t="str">
            <v>赤金戒指</v>
          </cell>
          <cell r="C377">
            <v>348.58365904394952</v>
          </cell>
          <cell r="D377">
            <v>130</v>
          </cell>
          <cell r="E377">
            <v>4</v>
          </cell>
          <cell r="F377">
            <v>69716.731808789904</v>
          </cell>
          <cell r="G377">
            <v>140</v>
          </cell>
        </row>
        <row r="378">
          <cell r="A378">
            <v>92227</v>
          </cell>
          <cell r="B378" t="str">
            <v>王者手环</v>
          </cell>
          <cell r="C378">
            <v>348.20889244992065</v>
          </cell>
          <cell r="D378">
            <v>141</v>
          </cell>
          <cell r="E378">
            <v>4</v>
          </cell>
          <cell r="F378">
            <v>69641.778489984135</v>
          </cell>
          <cell r="G378">
            <v>140</v>
          </cell>
        </row>
        <row r="379">
          <cell r="A379">
            <v>92236</v>
          </cell>
          <cell r="B379" t="str">
            <v>符文手环</v>
          </cell>
          <cell r="C379">
            <v>384.29255149387018</v>
          </cell>
          <cell r="D379">
            <v>67</v>
          </cell>
          <cell r="E379">
            <v>4</v>
          </cell>
          <cell r="F379">
            <v>76858.510298774039</v>
          </cell>
          <cell r="G379">
            <v>154</v>
          </cell>
        </row>
        <row r="380">
          <cell r="A380">
            <v>92013</v>
          </cell>
          <cell r="B380" t="str">
            <v>月立</v>
          </cell>
          <cell r="C380">
            <v>384.82288157976006</v>
          </cell>
          <cell r="D380">
            <v>85</v>
          </cell>
          <cell r="E380">
            <v>4</v>
          </cell>
          <cell r="F380">
            <v>76964.576315952014</v>
          </cell>
          <cell r="G380">
            <v>154</v>
          </cell>
        </row>
        <row r="381">
          <cell r="A381">
            <v>92253</v>
          </cell>
          <cell r="B381" t="str">
            <v>猫妖项链</v>
          </cell>
          <cell r="C381">
            <v>348.20889244992065</v>
          </cell>
          <cell r="D381">
            <v>148</v>
          </cell>
          <cell r="E381">
            <v>4</v>
          </cell>
          <cell r="F381">
            <v>69641.778489984135</v>
          </cell>
          <cell r="G381">
            <v>140</v>
          </cell>
        </row>
        <row r="382">
          <cell r="A382">
            <v>92254</v>
          </cell>
          <cell r="B382" t="str">
            <v>苍蓝项链</v>
          </cell>
          <cell r="C382">
            <v>348.20889244992065</v>
          </cell>
          <cell r="D382">
            <v>140</v>
          </cell>
          <cell r="E382">
            <v>4</v>
          </cell>
          <cell r="F382">
            <v>69641.778489984135</v>
          </cell>
          <cell r="G382">
            <v>140</v>
          </cell>
        </row>
        <row r="383">
          <cell r="A383">
            <v>92274</v>
          </cell>
          <cell r="B383" t="str">
            <v>汉密手表</v>
          </cell>
          <cell r="C383">
            <v>390.34456159513792</v>
          </cell>
          <cell r="D383">
            <v>70</v>
          </cell>
          <cell r="E383">
            <v>4</v>
          </cell>
          <cell r="F383">
            <v>78068.912319027586</v>
          </cell>
          <cell r="G383">
            <v>157</v>
          </cell>
        </row>
        <row r="384">
          <cell r="A384">
            <v>92280</v>
          </cell>
          <cell r="B384" t="str">
            <v>法拉捷</v>
          </cell>
          <cell r="C384">
            <v>384.29255149387018</v>
          </cell>
          <cell r="D384">
            <v>75</v>
          </cell>
          <cell r="E384">
            <v>4</v>
          </cell>
          <cell r="F384">
            <v>76858.510298774039</v>
          </cell>
          <cell r="G384">
            <v>154</v>
          </cell>
        </row>
        <row r="385">
          <cell r="A385">
            <v>92285</v>
          </cell>
          <cell r="B385" t="str">
            <v>大堆钞票</v>
          </cell>
          <cell r="C385">
            <v>384.66731808789905</v>
          </cell>
          <cell r="D385">
            <v>286</v>
          </cell>
          <cell r="E385">
            <v>4</v>
          </cell>
          <cell r="F385">
            <v>76933.463617579808</v>
          </cell>
          <cell r="G385">
            <v>154</v>
          </cell>
        </row>
        <row r="386">
          <cell r="A386">
            <v>92289</v>
          </cell>
          <cell r="B386" t="str">
            <v>小堆金块</v>
          </cell>
          <cell r="C386">
            <v>384.66731808789905</v>
          </cell>
          <cell r="D386">
            <v>262</v>
          </cell>
          <cell r="E386">
            <v>4</v>
          </cell>
          <cell r="F386">
            <v>76933.463617579808</v>
          </cell>
          <cell r="G386">
            <v>154</v>
          </cell>
        </row>
        <row r="387">
          <cell r="A387">
            <v>92014</v>
          </cell>
          <cell r="B387" t="str">
            <v>菠萝</v>
          </cell>
          <cell r="C387">
            <v>1072.0558691207962</v>
          </cell>
          <cell r="D387">
            <v>64</v>
          </cell>
          <cell r="E387">
            <v>4</v>
          </cell>
          <cell r="F387">
            <v>214411.17382415922</v>
          </cell>
          <cell r="G387">
            <v>429</v>
          </cell>
        </row>
        <row r="388">
          <cell r="A388">
            <v>92296</v>
          </cell>
          <cell r="B388" t="str">
            <v>星光红石</v>
          </cell>
          <cell r="C388">
            <v>1046.5958691207961</v>
          </cell>
          <cell r="D388">
            <v>87</v>
          </cell>
          <cell r="E388">
            <v>4</v>
          </cell>
          <cell r="F388">
            <v>209319.17382415922</v>
          </cell>
          <cell r="G388">
            <v>419</v>
          </cell>
        </row>
        <row r="389">
          <cell r="A389">
            <v>92240</v>
          </cell>
          <cell r="B389" t="str">
            <v>苍蓝戒指</v>
          </cell>
          <cell r="C389">
            <v>1059.110869120796</v>
          </cell>
          <cell r="D389">
            <v>50</v>
          </cell>
          <cell r="E389">
            <v>4</v>
          </cell>
          <cell r="F389">
            <v>211822.1738241592</v>
          </cell>
          <cell r="G389">
            <v>424</v>
          </cell>
        </row>
        <row r="390">
          <cell r="A390">
            <v>92292</v>
          </cell>
          <cell r="B390" t="str">
            <v>金饰宝盒</v>
          </cell>
          <cell r="C390">
            <v>1046.3533691207961</v>
          </cell>
          <cell r="D390">
            <v>64</v>
          </cell>
          <cell r="E390">
            <v>4</v>
          </cell>
          <cell r="F390">
            <v>209270.67382415922</v>
          </cell>
          <cell r="G390">
            <v>419</v>
          </cell>
        </row>
        <row r="391">
          <cell r="A391">
            <v>92256</v>
          </cell>
          <cell r="B391" t="str">
            <v>圣徒项链</v>
          </cell>
          <cell r="C391">
            <v>1046.2208691207961</v>
          </cell>
          <cell r="D391">
            <v>66</v>
          </cell>
          <cell r="E391">
            <v>4</v>
          </cell>
          <cell r="F391">
            <v>209244.17382415922</v>
          </cell>
          <cell r="G391">
            <v>419</v>
          </cell>
        </row>
        <row r="392">
          <cell r="A392">
            <v>92261</v>
          </cell>
          <cell r="B392" t="str">
            <v>贵族项链</v>
          </cell>
          <cell r="C392">
            <v>1046.2208691207961</v>
          </cell>
          <cell r="D392">
            <v>60</v>
          </cell>
          <cell r="E392">
            <v>4</v>
          </cell>
          <cell r="F392">
            <v>209244.17382415922</v>
          </cell>
          <cell r="G392">
            <v>419</v>
          </cell>
        </row>
        <row r="393">
          <cell r="A393">
            <v>92275</v>
          </cell>
          <cell r="B393" t="str">
            <v>千国手表</v>
          </cell>
          <cell r="C393">
            <v>1061.1180778120042</v>
          </cell>
          <cell r="D393">
            <v>54</v>
          </cell>
          <cell r="E393">
            <v>4</v>
          </cell>
          <cell r="F393">
            <v>212223.61556240084</v>
          </cell>
          <cell r="G393">
            <v>425</v>
          </cell>
        </row>
        <row r="394">
          <cell r="A394">
            <v>92281</v>
          </cell>
          <cell r="B394" t="str">
            <v>红博机利</v>
          </cell>
          <cell r="C394">
            <v>1071.8683691207962</v>
          </cell>
          <cell r="D394">
            <v>58</v>
          </cell>
          <cell r="E394">
            <v>4</v>
          </cell>
          <cell r="F394">
            <v>214373.67382415922</v>
          </cell>
          <cell r="G394">
            <v>429</v>
          </cell>
        </row>
        <row r="395">
          <cell r="A395">
            <v>92286</v>
          </cell>
          <cell r="B395" t="str">
            <v>巨额钞票</v>
          </cell>
          <cell r="C395">
            <v>1072.0008691207961</v>
          </cell>
          <cell r="D395">
            <v>100</v>
          </cell>
          <cell r="E395">
            <v>4</v>
          </cell>
          <cell r="F395">
            <v>214400.17382415922</v>
          </cell>
          <cell r="G395">
            <v>429</v>
          </cell>
        </row>
        <row r="396">
          <cell r="A396">
            <v>92290</v>
          </cell>
          <cell r="B396" t="str">
            <v>大堆金块</v>
          </cell>
          <cell r="C396">
            <v>1072.0008691207961</v>
          </cell>
          <cell r="D396">
            <v>91</v>
          </cell>
          <cell r="E396">
            <v>4</v>
          </cell>
          <cell r="F396">
            <v>214400.17382415922</v>
          </cell>
          <cell r="G396">
            <v>429</v>
          </cell>
        </row>
        <row r="397">
          <cell r="A397">
            <v>92026</v>
          </cell>
          <cell r="B397" t="str">
            <v>深蓝</v>
          </cell>
          <cell r="C397">
            <v>2316.0770588593405</v>
          </cell>
          <cell r="D397">
            <v>25</v>
          </cell>
          <cell r="E397">
            <v>4</v>
          </cell>
          <cell r="F397">
            <v>463215.41177186812</v>
          </cell>
          <cell r="G397">
            <v>927</v>
          </cell>
        </row>
        <row r="398">
          <cell r="A398">
            <v>92255</v>
          </cell>
          <cell r="B398" t="str">
            <v>黑耀项链</v>
          </cell>
          <cell r="C398">
            <v>2279.5797423483964</v>
          </cell>
          <cell r="D398">
            <v>26</v>
          </cell>
          <cell r="E398">
            <v>4</v>
          </cell>
          <cell r="F398">
            <v>455915.94846967928</v>
          </cell>
          <cell r="G398">
            <v>912</v>
          </cell>
        </row>
        <row r="399">
          <cell r="A399">
            <v>92297</v>
          </cell>
          <cell r="B399" t="str">
            <v>翠绿之心</v>
          </cell>
          <cell r="C399">
            <v>2288.9595138008362</v>
          </cell>
          <cell r="D399">
            <v>11</v>
          </cell>
          <cell r="E399">
            <v>4</v>
          </cell>
          <cell r="F399">
            <v>457791.90276016726</v>
          </cell>
          <cell r="G399">
            <v>916</v>
          </cell>
        </row>
        <row r="400">
          <cell r="A400">
            <v>92293</v>
          </cell>
          <cell r="B400" t="str">
            <v>珍珠宝盒</v>
          </cell>
          <cell r="C400">
            <v>2290.3788246776458</v>
          </cell>
          <cell r="D400">
            <v>20</v>
          </cell>
          <cell r="E400">
            <v>4</v>
          </cell>
          <cell r="F400">
            <v>458075.76493552915</v>
          </cell>
          <cell r="G400">
            <v>917</v>
          </cell>
        </row>
        <row r="401">
          <cell r="A401">
            <v>92294</v>
          </cell>
          <cell r="B401" t="str">
            <v>古董宝盒</v>
          </cell>
          <cell r="C401">
            <v>2297.8089551673856</v>
          </cell>
          <cell r="D401">
            <v>25</v>
          </cell>
          <cell r="E401">
            <v>4</v>
          </cell>
          <cell r="F401">
            <v>459561.79103347711</v>
          </cell>
          <cell r="G401">
            <v>920</v>
          </cell>
        </row>
        <row r="402">
          <cell r="A402">
            <v>92295</v>
          </cell>
          <cell r="B402" t="str">
            <v>水晶宝盒</v>
          </cell>
          <cell r="C402">
            <v>2279.9385990398487</v>
          </cell>
          <cell r="D402">
            <v>19</v>
          </cell>
          <cell r="E402">
            <v>4</v>
          </cell>
          <cell r="F402">
            <v>455987.71980796976</v>
          </cell>
          <cell r="G402">
            <v>912</v>
          </cell>
        </row>
        <row r="403">
          <cell r="A403">
            <v>92262</v>
          </cell>
          <cell r="B403" t="str">
            <v>皇家项链</v>
          </cell>
          <cell r="C403">
            <v>2279.5797423483964</v>
          </cell>
          <cell r="D403">
            <v>14</v>
          </cell>
          <cell r="E403">
            <v>4</v>
          </cell>
          <cell r="F403">
            <v>455915.94846967928</v>
          </cell>
          <cell r="G403">
            <v>912</v>
          </cell>
        </row>
        <row r="404">
          <cell r="A404">
            <v>92298</v>
          </cell>
          <cell r="B404" t="str">
            <v>海洋之泪</v>
          </cell>
          <cell r="C404">
            <v>2288.9595138008362</v>
          </cell>
          <cell r="D404">
            <v>17</v>
          </cell>
          <cell r="E404">
            <v>4</v>
          </cell>
          <cell r="F404">
            <v>457791.90276016726</v>
          </cell>
          <cell r="G404">
            <v>916</v>
          </cell>
        </row>
        <row r="405">
          <cell r="A405">
            <v>92276</v>
          </cell>
          <cell r="B405" t="str">
            <v>壕利手表</v>
          </cell>
          <cell r="C405">
            <v>2308.3817633266553</v>
          </cell>
          <cell r="D405">
            <v>16</v>
          </cell>
          <cell r="E405">
            <v>4</v>
          </cell>
          <cell r="F405">
            <v>461676.3526653311</v>
          </cell>
          <cell r="G405">
            <v>924</v>
          </cell>
        </row>
        <row r="406">
          <cell r="A406">
            <v>92282</v>
          </cell>
          <cell r="B406" t="str">
            <v>劳莱斯特</v>
          </cell>
          <cell r="C406">
            <v>2315.9444763378679</v>
          </cell>
          <cell r="D406">
            <v>14</v>
          </cell>
          <cell r="E406">
            <v>4</v>
          </cell>
          <cell r="F406">
            <v>463188.89526757359</v>
          </cell>
          <cell r="G406">
            <v>927</v>
          </cell>
        </row>
        <row r="407">
          <cell r="A407">
            <v>92299</v>
          </cell>
          <cell r="B407" t="str">
            <v>房产证</v>
          </cell>
          <cell r="C407">
            <v>2316.0381679863749</v>
          </cell>
          <cell r="D407">
            <v>25</v>
          </cell>
          <cell r="E407">
            <v>4</v>
          </cell>
          <cell r="F407">
            <v>463207.63359727501</v>
          </cell>
          <cell r="G407">
            <v>927</v>
          </cell>
        </row>
        <row r="408">
          <cell r="A408">
            <v>92291</v>
          </cell>
          <cell r="B408" t="str">
            <v>巨量金块</v>
          </cell>
          <cell r="C408">
            <v>2316.0381679863749</v>
          </cell>
          <cell r="D408">
            <v>26</v>
          </cell>
          <cell r="E408">
            <v>4</v>
          </cell>
          <cell r="F408">
            <v>463207.63359727501</v>
          </cell>
          <cell r="G408">
            <v>927</v>
          </cell>
        </row>
        <row r="409">
          <cell r="A409">
            <v>93233</v>
          </cell>
          <cell r="B409" t="str">
            <v>白金手环碎片</v>
          </cell>
          <cell r="C409">
            <v>10</v>
          </cell>
          <cell r="D409">
            <v>1910</v>
          </cell>
          <cell r="E409">
            <v>2</v>
          </cell>
          <cell r="F409">
            <v>1000</v>
          </cell>
          <cell r="G409">
            <v>2</v>
          </cell>
        </row>
        <row r="410">
          <cell r="A410">
            <v>93122</v>
          </cell>
          <cell r="B410" t="str">
            <v>银饰耳钉碎片</v>
          </cell>
          <cell r="C410">
            <v>10</v>
          </cell>
          <cell r="D410">
            <v>1810</v>
          </cell>
          <cell r="E410">
            <v>2</v>
          </cell>
          <cell r="F410">
            <v>1000</v>
          </cell>
          <cell r="G410">
            <v>2</v>
          </cell>
        </row>
        <row r="411">
          <cell r="A411">
            <v>93141</v>
          </cell>
          <cell r="B411" t="str">
            <v>白银戒指碎片</v>
          </cell>
          <cell r="C411">
            <v>10</v>
          </cell>
          <cell r="D411">
            <v>1905</v>
          </cell>
          <cell r="E411">
            <v>2</v>
          </cell>
          <cell r="F411">
            <v>1000</v>
          </cell>
          <cell r="G411">
            <v>2</v>
          </cell>
        </row>
        <row r="412">
          <cell r="A412">
            <v>93245</v>
          </cell>
          <cell r="B412" t="str">
            <v>水晶项链碎片</v>
          </cell>
          <cell r="C412">
            <v>10</v>
          </cell>
          <cell r="D412">
            <v>1380</v>
          </cell>
          <cell r="E412">
            <v>2</v>
          </cell>
          <cell r="F412">
            <v>1000</v>
          </cell>
          <cell r="G412">
            <v>2</v>
          </cell>
        </row>
        <row r="413">
          <cell r="A413">
            <v>93251</v>
          </cell>
          <cell r="B413" t="str">
            <v>红石项链碎片</v>
          </cell>
          <cell r="C413">
            <v>10</v>
          </cell>
          <cell r="D413">
            <v>2345</v>
          </cell>
          <cell r="E413">
            <v>2</v>
          </cell>
          <cell r="F413">
            <v>1000</v>
          </cell>
          <cell r="G413">
            <v>2</v>
          </cell>
        </row>
        <row r="414">
          <cell r="A414">
            <v>93264</v>
          </cell>
          <cell r="B414" t="str">
            <v>越野手表碎片</v>
          </cell>
          <cell r="C414">
            <v>10</v>
          </cell>
          <cell r="D414">
            <v>1020</v>
          </cell>
          <cell r="E414">
            <v>2</v>
          </cell>
          <cell r="F414">
            <v>1000</v>
          </cell>
          <cell r="G414">
            <v>2</v>
          </cell>
        </row>
        <row r="415">
          <cell r="A415">
            <v>93271</v>
          </cell>
          <cell r="B415" t="str">
            <v>精准手表碎片</v>
          </cell>
          <cell r="C415">
            <v>10</v>
          </cell>
          <cell r="D415">
            <v>540</v>
          </cell>
          <cell r="E415">
            <v>2</v>
          </cell>
          <cell r="F415">
            <v>1000</v>
          </cell>
          <cell r="G415">
            <v>2</v>
          </cell>
        </row>
        <row r="416">
          <cell r="A416">
            <v>93278</v>
          </cell>
          <cell r="B416" t="str">
            <v>宝驼碎片</v>
          </cell>
          <cell r="C416">
            <v>10</v>
          </cell>
          <cell r="D416">
            <v>1120</v>
          </cell>
          <cell r="E416">
            <v>2</v>
          </cell>
          <cell r="F416">
            <v>1000</v>
          </cell>
          <cell r="G416">
            <v>2</v>
          </cell>
        </row>
        <row r="417">
          <cell r="A417">
            <v>93283</v>
          </cell>
          <cell r="B417" t="str">
            <v>小迭钞票碎片</v>
          </cell>
          <cell r="C417">
            <v>10</v>
          </cell>
          <cell r="D417">
            <v>3565</v>
          </cell>
          <cell r="E417">
            <v>2</v>
          </cell>
          <cell r="F417">
            <v>1000</v>
          </cell>
          <cell r="G417">
            <v>2</v>
          </cell>
        </row>
        <row r="418">
          <cell r="A418">
            <v>93287</v>
          </cell>
          <cell r="B418" t="str">
            <v>金块碎片</v>
          </cell>
          <cell r="C418">
            <v>10</v>
          </cell>
          <cell r="D418">
            <v>3275</v>
          </cell>
          <cell r="E418">
            <v>2</v>
          </cell>
          <cell r="F418">
            <v>1000</v>
          </cell>
          <cell r="G418">
            <v>2</v>
          </cell>
        </row>
        <row r="419">
          <cell r="A419">
            <v>93142</v>
          </cell>
          <cell r="B419" t="str">
            <v>黄金戒指碎片</v>
          </cell>
          <cell r="C419">
            <v>20</v>
          </cell>
          <cell r="D419">
            <v>1105</v>
          </cell>
          <cell r="E419">
            <v>2</v>
          </cell>
          <cell r="F419">
            <v>2000</v>
          </cell>
          <cell r="G419">
            <v>4</v>
          </cell>
        </row>
        <row r="420">
          <cell r="A420">
            <v>93235</v>
          </cell>
          <cell r="B420" t="str">
            <v>宝石手环碎片</v>
          </cell>
          <cell r="C420">
            <v>20</v>
          </cell>
          <cell r="D420">
            <v>1135</v>
          </cell>
          <cell r="E420">
            <v>2</v>
          </cell>
          <cell r="F420">
            <v>2000</v>
          </cell>
          <cell r="G420">
            <v>4</v>
          </cell>
        </row>
        <row r="421">
          <cell r="A421">
            <v>93012</v>
          </cell>
          <cell r="B421" t="str">
            <v>摩拉碎片</v>
          </cell>
          <cell r="C421">
            <v>20</v>
          </cell>
          <cell r="D421">
            <v>525</v>
          </cell>
          <cell r="E421">
            <v>2</v>
          </cell>
          <cell r="F421">
            <v>2000</v>
          </cell>
          <cell r="G421">
            <v>4</v>
          </cell>
        </row>
        <row r="422">
          <cell r="A422">
            <v>93252</v>
          </cell>
          <cell r="B422" t="str">
            <v>青玉项链碎片</v>
          </cell>
          <cell r="C422">
            <v>20</v>
          </cell>
          <cell r="D422">
            <v>1540</v>
          </cell>
          <cell r="E422">
            <v>2</v>
          </cell>
          <cell r="F422">
            <v>2000</v>
          </cell>
          <cell r="G422">
            <v>4</v>
          </cell>
        </row>
        <row r="423">
          <cell r="A423">
            <v>93124</v>
          </cell>
          <cell r="B423" t="str">
            <v>水晶耳钉碎片</v>
          </cell>
          <cell r="C423">
            <v>20</v>
          </cell>
          <cell r="D423">
            <v>1170</v>
          </cell>
          <cell r="E423">
            <v>2</v>
          </cell>
          <cell r="F423">
            <v>2000</v>
          </cell>
          <cell r="G423">
            <v>4</v>
          </cell>
        </row>
        <row r="424">
          <cell r="A424">
            <v>93272</v>
          </cell>
          <cell r="B424" t="str">
            <v>金针手表碎片</v>
          </cell>
          <cell r="C424">
            <v>20</v>
          </cell>
          <cell r="D424">
            <v>465</v>
          </cell>
          <cell r="E424">
            <v>2</v>
          </cell>
          <cell r="F424">
            <v>2000</v>
          </cell>
          <cell r="G424">
            <v>4</v>
          </cell>
        </row>
        <row r="425">
          <cell r="A425">
            <v>93273</v>
          </cell>
          <cell r="B425" t="str">
            <v>智能手表碎片</v>
          </cell>
          <cell r="C425">
            <v>20</v>
          </cell>
          <cell r="D425">
            <v>430</v>
          </cell>
          <cell r="E425">
            <v>2</v>
          </cell>
          <cell r="F425">
            <v>2000</v>
          </cell>
          <cell r="G425">
            <v>4</v>
          </cell>
        </row>
        <row r="426">
          <cell r="A426">
            <v>93279</v>
          </cell>
          <cell r="B426" t="str">
            <v>宾倪碎片</v>
          </cell>
          <cell r="C426">
            <v>20</v>
          </cell>
          <cell r="D426">
            <v>495</v>
          </cell>
          <cell r="E426">
            <v>2</v>
          </cell>
          <cell r="F426">
            <v>2000</v>
          </cell>
          <cell r="G426">
            <v>4</v>
          </cell>
        </row>
        <row r="427">
          <cell r="A427">
            <v>93284</v>
          </cell>
          <cell r="B427" t="str">
            <v>大迭钞票碎片</v>
          </cell>
          <cell r="C427">
            <v>20</v>
          </cell>
          <cell r="D427">
            <v>3435</v>
          </cell>
          <cell r="E427">
            <v>2</v>
          </cell>
          <cell r="F427">
            <v>2000</v>
          </cell>
          <cell r="G427">
            <v>4</v>
          </cell>
        </row>
        <row r="428">
          <cell r="A428">
            <v>93288</v>
          </cell>
          <cell r="B428" t="str">
            <v>大金块碎片</v>
          </cell>
          <cell r="C428">
            <v>20</v>
          </cell>
          <cell r="D428">
            <v>3145</v>
          </cell>
          <cell r="E428">
            <v>2</v>
          </cell>
          <cell r="F428">
            <v>2000</v>
          </cell>
          <cell r="G428">
            <v>4</v>
          </cell>
        </row>
        <row r="429">
          <cell r="A429">
            <v>93125</v>
          </cell>
          <cell r="B429" t="str">
            <v>红石耳钉碎片</v>
          </cell>
          <cell r="C429">
            <v>30</v>
          </cell>
          <cell r="D429">
            <v>1040</v>
          </cell>
          <cell r="E429">
            <v>2</v>
          </cell>
          <cell r="F429">
            <v>3000</v>
          </cell>
          <cell r="G429">
            <v>6</v>
          </cell>
        </row>
        <row r="430">
          <cell r="A430">
            <v>93134</v>
          </cell>
          <cell r="B430" t="str">
            <v>毒蝎耳钉碎片</v>
          </cell>
          <cell r="C430">
            <v>30</v>
          </cell>
          <cell r="D430">
            <v>1080</v>
          </cell>
          <cell r="E430">
            <v>2</v>
          </cell>
          <cell r="F430">
            <v>3000</v>
          </cell>
          <cell r="G430">
            <v>6</v>
          </cell>
        </row>
        <row r="431">
          <cell r="A431">
            <v>93223</v>
          </cell>
          <cell r="B431" t="str">
            <v>赤金戒指碎片</v>
          </cell>
          <cell r="C431">
            <v>30</v>
          </cell>
          <cell r="D431">
            <v>1300</v>
          </cell>
          <cell r="E431">
            <v>2</v>
          </cell>
          <cell r="F431">
            <v>3000</v>
          </cell>
          <cell r="G431">
            <v>6</v>
          </cell>
        </row>
        <row r="432">
          <cell r="A432">
            <v>93227</v>
          </cell>
          <cell r="B432" t="str">
            <v>王者手环碎片</v>
          </cell>
          <cell r="C432">
            <v>30</v>
          </cell>
          <cell r="D432">
            <v>1410</v>
          </cell>
          <cell r="E432">
            <v>2</v>
          </cell>
          <cell r="F432">
            <v>3000</v>
          </cell>
          <cell r="G432">
            <v>6</v>
          </cell>
        </row>
        <row r="433">
          <cell r="A433">
            <v>93236</v>
          </cell>
          <cell r="B433" t="str">
            <v>符文手环碎片</v>
          </cell>
          <cell r="C433">
            <v>30</v>
          </cell>
          <cell r="D433">
            <v>670</v>
          </cell>
          <cell r="E433">
            <v>2</v>
          </cell>
          <cell r="F433">
            <v>3000</v>
          </cell>
          <cell r="G433">
            <v>6</v>
          </cell>
        </row>
        <row r="434">
          <cell r="A434">
            <v>93013</v>
          </cell>
          <cell r="B434" t="str">
            <v>月立碎片</v>
          </cell>
          <cell r="C434">
            <v>30</v>
          </cell>
          <cell r="D434">
            <v>850</v>
          </cell>
          <cell r="E434">
            <v>2</v>
          </cell>
          <cell r="F434">
            <v>3000</v>
          </cell>
          <cell r="G434">
            <v>6</v>
          </cell>
        </row>
        <row r="435">
          <cell r="A435">
            <v>93253</v>
          </cell>
          <cell r="B435" t="str">
            <v>猫妖项链碎片</v>
          </cell>
          <cell r="C435">
            <v>30</v>
          </cell>
          <cell r="D435">
            <v>1480</v>
          </cell>
          <cell r="E435">
            <v>2</v>
          </cell>
          <cell r="F435">
            <v>3000</v>
          </cell>
          <cell r="G435">
            <v>6</v>
          </cell>
        </row>
        <row r="436">
          <cell r="A436">
            <v>93254</v>
          </cell>
          <cell r="B436" t="str">
            <v>苍蓝项链碎片</v>
          </cell>
          <cell r="C436">
            <v>30</v>
          </cell>
          <cell r="D436">
            <v>1400</v>
          </cell>
          <cell r="E436">
            <v>2</v>
          </cell>
          <cell r="F436">
            <v>3000</v>
          </cell>
          <cell r="G436">
            <v>6</v>
          </cell>
        </row>
        <row r="437">
          <cell r="A437">
            <v>93274</v>
          </cell>
          <cell r="B437" t="str">
            <v>汉密手表碎片</v>
          </cell>
          <cell r="C437">
            <v>30</v>
          </cell>
          <cell r="D437">
            <v>700</v>
          </cell>
          <cell r="E437">
            <v>2</v>
          </cell>
          <cell r="F437">
            <v>3000</v>
          </cell>
          <cell r="G437">
            <v>6</v>
          </cell>
        </row>
        <row r="438">
          <cell r="A438">
            <v>93280</v>
          </cell>
          <cell r="B438" t="str">
            <v>法拉捷碎片</v>
          </cell>
          <cell r="C438">
            <v>30</v>
          </cell>
          <cell r="D438">
            <v>750</v>
          </cell>
          <cell r="E438">
            <v>2</v>
          </cell>
          <cell r="F438">
            <v>3000</v>
          </cell>
          <cell r="G438">
            <v>6</v>
          </cell>
        </row>
        <row r="439">
          <cell r="A439">
            <v>93285</v>
          </cell>
          <cell r="B439" t="str">
            <v>大堆钞票碎片</v>
          </cell>
          <cell r="C439">
            <v>30</v>
          </cell>
          <cell r="D439">
            <v>2860</v>
          </cell>
          <cell r="E439">
            <v>2</v>
          </cell>
          <cell r="F439">
            <v>3000</v>
          </cell>
          <cell r="G439">
            <v>6</v>
          </cell>
        </row>
        <row r="440">
          <cell r="A440">
            <v>93289</v>
          </cell>
          <cell r="B440" t="str">
            <v>小堆金块碎片</v>
          </cell>
          <cell r="C440">
            <v>30</v>
          </cell>
          <cell r="D440">
            <v>2620</v>
          </cell>
          <cell r="E440">
            <v>2</v>
          </cell>
          <cell r="F440">
            <v>3000</v>
          </cell>
          <cell r="G440">
            <v>6</v>
          </cell>
        </row>
        <row r="441">
          <cell r="A441">
            <v>93014</v>
          </cell>
          <cell r="B441" t="str">
            <v>菠萝碎片</v>
          </cell>
          <cell r="C441">
            <v>40</v>
          </cell>
          <cell r="D441">
            <v>1280</v>
          </cell>
          <cell r="E441">
            <v>2</v>
          </cell>
          <cell r="F441">
            <v>4000</v>
          </cell>
          <cell r="G441">
            <v>8</v>
          </cell>
        </row>
        <row r="442">
          <cell r="A442">
            <v>93296</v>
          </cell>
          <cell r="B442" t="str">
            <v>星光红石碎片</v>
          </cell>
          <cell r="C442">
            <v>40</v>
          </cell>
          <cell r="D442">
            <v>1740</v>
          </cell>
          <cell r="E442">
            <v>2</v>
          </cell>
          <cell r="F442">
            <v>4000</v>
          </cell>
          <cell r="G442">
            <v>8</v>
          </cell>
        </row>
        <row r="443">
          <cell r="A443">
            <v>93240</v>
          </cell>
          <cell r="B443" t="str">
            <v>苍蓝戒指碎片</v>
          </cell>
          <cell r="C443">
            <v>40</v>
          </cell>
          <cell r="D443">
            <v>1000</v>
          </cell>
          <cell r="E443">
            <v>2</v>
          </cell>
          <cell r="F443">
            <v>4000</v>
          </cell>
          <cell r="G443">
            <v>8</v>
          </cell>
        </row>
        <row r="444">
          <cell r="A444">
            <v>93292</v>
          </cell>
          <cell r="B444" t="str">
            <v>金饰宝盒碎片</v>
          </cell>
          <cell r="C444">
            <v>40</v>
          </cell>
          <cell r="D444">
            <v>1280</v>
          </cell>
          <cell r="E444">
            <v>2</v>
          </cell>
          <cell r="F444">
            <v>4000</v>
          </cell>
          <cell r="G444">
            <v>8</v>
          </cell>
        </row>
        <row r="445">
          <cell r="A445">
            <v>93256</v>
          </cell>
          <cell r="B445" t="str">
            <v>圣徒项链碎片</v>
          </cell>
          <cell r="C445">
            <v>40</v>
          </cell>
          <cell r="D445">
            <v>1320</v>
          </cell>
          <cell r="E445">
            <v>2</v>
          </cell>
          <cell r="F445">
            <v>4000</v>
          </cell>
          <cell r="G445">
            <v>8</v>
          </cell>
        </row>
        <row r="446">
          <cell r="A446">
            <v>93261</v>
          </cell>
          <cell r="B446" t="str">
            <v>贵族项链碎片</v>
          </cell>
          <cell r="C446">
            <v>40</v>
          </cell>
          <cell r="D446">
            <v>1200</v>
          </cell>
          <cell r="E446">
            <v>2</v>
          </cell>
          <cell r="F446">
            <v>4000</v>
          </cell>
          <cell r="G446">
            <v>8</v>
          </cell>
        </row>
        <row r="447">
          <cell r="A447">
            <v>93275</v>
          </cell>
          <cell r="B447" t="str">
            <v>千国手表碎片</v>
          </cell>
          <cell r="C447">
            <v>40</v>
          </cell>
          <cell r="D447">
            <v>1080</v>
          </cell>
          <cell r="E447">
            <v>2</v>
          </cell>
          <cell r="F447">
            <v>4000</v>
          </cell>
          <cell r="G447">
            <v>8</v>
          </cell>
        </row>
        <row r="448">
          <cell r="A448">
            <v>93281</v>
          </cell>
          <cell r="B448" t="str">
            <v>红博机利碎片</v>
          </cell>
          <cell r="C448">
            <v>40</v>
          </cell>
          <cell r="D448">
            <v>1160</v>
          </cell>
          <cell r="E448">
            <v>2</v>
          </cell>
          <cell r="F448">
            <v>4000</v>
          </cell>
          <cell r="G448">
            <v>8</v>
          </cell>
        </row>
        <row r="449">
          <cell r="A449">
            <v>93286</v>
          </cell>
          <cell r="B449" t="str">
            <v>巨额钞票碎片</v>
          </cell>
          <cell r="C449">
            <v>40</v>
          </cell>
          <cell r="D449">
            <v>2000</v>
          </cell>
          <cell r="E449">
            <v>2</v>
          </cell>
          <cell r="F449">
            <v>4000</v>
          </cell>
          <cell r="G449">
            <v>8</v>
          </cell>
        </row>
        <row r="450">
          <cell r="A450">
            <v>93290</v>
          </cell>
          <cell r="B450" t="str">
            <v>大堆金块碎片</v>
          </cell>
          <cell r="C450">
            <v>40</v>
          </cell>
          <cell r="D450">
            <v>1820</v>
          </cell>
          <cell r="E450">
            <v>2</v>
          </cell>
          <cell r="F450">
            <v>4000</v>
          </cell>
          <cell r="G450">
            <v>8</v>
          </cell>
        </row>
        <row r="451">
          <cell r="A451">
            <v>93026</v>
          </cell>
          <cell r="B451" t="str">
            <v>深蓝碎片</v>
          </cell>
          <cell r="C451">
            <v>40</v>
          </cell>
          <cell r="D451">
            <v>500</v>
          </cell>
          <cell r="E451">
            <v>2.5</v>
          </cell>
          <cell r="F451">
            <v>5000</v>
          </cell>
          <cell r="G451">
            <v>10</v>
          </cell>
        </row>
        <row r="452">
          <cell r="A452">
            <v>93255</v>
          </cell>
          <cell r="B452" t="str">
            <v>黑耀项链碎片</v>
          </cell>
          <cell r="C452">
            <v>40</v>
          </cell>
          <cell r="D452">
            <v>520</v>
          </cell>
          <cell r="E452">
            <v>2.5</v>
          </cell>
          <cell r="F452">
            <v>5000</v>
          </cell>
          <cell r="G452">
            <v>10</v>
          </cell>
        </row>
        <row r="453">
          <cell r="A453">
            <v>93297</v>
          </cell>
          <cell r="B453" t="str">
            <v>翠绿之心碎片</v>
          </cell>
          <cell r="C453">
            <v>40</v>
          </cell>
          <cell r="D453">
            <v>220</v>
          </cell>
          <cell r="E453">
            <v>2.5</v>
          </cell>
          <cell r="F453">
            <v>5000</v>
          </cell>
          <cell r="G453">
            <v>10</v>
          </cell>
        </row>
        <row r="454">
          <cell r="A454">
            <v>93293</v>
          </cell>
          <cell r="B454" t="str">
            <v>珍珠宝盒碎片</v>
          </cell>
          <cell r="C454">
            <v>40</v>
          </cell>
          <cell r="D454">
            <v>400</v>
          </cell>
          <cell r="E454">
            <v>2.5</v>
          </cell>
          <cell r="F454">
            <v>5000</v>
          </cell>
          <cell r="G454">
            <v>10</v>
          </cell>
        </row>
        <row r="455">
          <cell r="A455">
            <v>93294</v>
          </cell>
          <cell r="B455" t="str">
            <v>古董宝盒碎片</v>
          </cell>
          <cell r="C455">
            <v>40</v>
          </cell>
          <cell r="D455">
            <v>500</v>
          </cell>
          <cell r="E455">
            <v>2.5</v>
          </cell>
          <cell r="F455">
            <v>5000</v>
          </cell>
          <cell r="G455">
            <v>10</v>
          </cell>
        </row>
        <row r="456">
          <cell r="A456">
            <v>93295</v>
          </cell>
          <cell r="B456" t="str">
            <v>水晶宝盒碎片</v>
          </cell>
          <cell r="C456">
            <v>40</v>
          </cell>
          <cell r="D456">
            <v>380</v>
          </cell>
          <cell r="E456">
            <v>2.5</v>
          </cell>
          <cell r="F456">
            <v>5000</v>
          </cell>
          <cell r="G456">
            <v>10</v>
          </cell>
        </row>
        <row r="457">
          <cell r="A457">
            <v>93262</v>
          </cell>
          <cell r="B457" t="str">
            <v>皇家项链碎片</v>
          </cell>
          <cell r="C457">
            <v>40</v>
          </cell>
          <cell r="D457">
            <v>280</v>
          </cell>
          <cell r="E457">
            <v>2.5</v>
          </cell>
          <cell r="F457">
            <v>5000</v>
          </cell>
          <cell r="G457">
            <v>10</v>
          </cell>
        </row>
        <row r="458">
          <cell r="A458">
            <v>93298</v>
          </cell>
          <cell r="B458" t="str">
            <v>海洋之泪碎片</v>
          </cell>
          <cell r="C458">
            <v>40</v>
          </cell>
          <cell r="D458">
            <v>340</v>
          </cell>
          <cell r="E458">
            <v>2.5</v>
          </cell>
          <cell r="F458">
            <v>5000</v>
          </cell>
          <cell r="G458">
            <v>10</v>
          </cell>
        </row>
        <row r="459">
          <cell r="A459">
            <v>93276</v>
          </cell>
          <cell r="B459" t="str">
            <v>壕利手表碎片</v>
          </cell>
          <cell r="C459">
            <v>40</v>
          </cell>
          <cell r="D459">
            <v>320</v>
          </cell>
          <cell r="E459">
            <v>2.5</v>
          </cell>
          <cell r="F459">
            <v>5000</v>
          </cell>
          <cell r="G459">
            <v>10</v>
          </cell>
        </row>
        <row r="460">
          <cell r="A460">
            <v>93282</v>
          </cell>
          <cell r="B460" t="str">
            <v>劳莱斯特碎片</v>
          </cell>
          <cell r="C460">
            <v>40</v>
          </cell>
          <cell r="D460">
            <v>280</v>
          </cell>
          <cell r="E460">
            <v>2.5</v>
          </cell>
          <cell r="F460">
            <v>5000</v>
          </cell>
          <cell r="G460">
            <v>10</v>
          </cell>
        </row>
        <row r="461">
          <cell r="A461">
            <v>93299</v>
          </cell>
          <cell r="B461" t="str">
            <v>房产证碎片</v>
          </cell>
          <cell r="C461">
            <v>40</v>
          </cell>
          <cell r="D461">
            <v>500</v>
          </cell>
          <cell r="E461">
            <v>2.5</v>
          </cell>
          <cell r="F461">
            <v>5000</v>
          </cell>
          <cell r="G461">
            <v>10</v>
          </cell>
        </row>
        <row r="462">
          <cell r="A462">
            <v>93291</v>
          </cell>
          <cell r="B462" t="str">
            <v>巨量金块碎片</v>
          </cell>
          <cell r="C462">
            <v>40</v>
          </cell>
          <cell r="D462">
            <v>520</v>
          </cell>
          <cell r="E462">
            <v>2.5</v>
          </cell>
          <cell r="F462">
            <v>5000</v>
          </cell>
          <cell r="G462">
            <v>10</v>
          </cell>
        </row>
        <row r="463">
          <cell r="A463">
            <v>8001</v>
          </cell>
          <cell r="B463" t="str">
            <v>灰色物质</v>
          </cell>
          <cell r="C463">
            <v>0</v>
          </cell>
          <cell r="D463">
            <v>1</v>
          </cell>
          <cell r="E463">
            <v>0</v>
          </cell>
          <cell r="F463">
            <v>0</v>
          </cell>
          <cell r="G463">
            <v>0</v>
          </cell>
        </row>
        <row r="464">
          <cell r="A464">
            <v>8110</v>
          </cell>
          <cell r="B464" t="str">
            <v>兽腾</v>
          </cell>
          <cell r="C464">
            <v>76.2</v>
          </cell>
          <cell r="D464">
            <v>1</v>
          </cell>
          <cell r="E464">
            <v>2</v>
          </cell>
          <cell r="F464">
            <v>2500</v>
          </cell>
          <cell r="G464">
            <v>5</v>
          </cell>
        </row>
        <row r="465">
          <cell r="A465">
            <v>8210</v>
          </cell>
          <cell r="B465" t="str">
            <v>战狂</v>
          </cell>
          <cell r="C465">
            <v>76</v>
          </cell>
          <cell r="D465">
            <v>1</v>
          </cell>
          <cell r="E465">
            <v>2</v>
          </cell>
          <cell r="F465">
            <v>2500</v>
          </cell>
          <cell r="G465">
            <v>5</v>
          </cell>
        </row>
        <row r="466">
          <cell r="A466">
            <v>8310</v>
          </cell>
          <cell r="B466" t="str">
            <v>贪狼</v>
          </cell>
          <cell r="C466">
            <v>76</v>
          </cell>
          <cell r="D466">
            <v>1</v>
          </cell>
          <cell r="E466">
            <v>2</v>
          </cell>
          <cell r="F466">
            <v>2500</v>
          </cell>
          <cell r="G466">
            <v>5</v>
          </cell>
        </row>
        <row r="467">
          <cell r="A467">
            <v>8120</v>
          </cell>
          <cell r="B467" t="str">
            <v>辉煌</v>
          </cell>
          <cell r="C467">
            <v>137.16</v>
          </cell>
          <cell r="D467">
            <v>1</v>
          </cell>
          <cell r="E467">
            <v>11</v>
          </cell>
          <cell r="F467">
            <v>12500</v>
          </cell>
          <cell r="G467">
            <v>25</v>
          </cell>
        </row>
        <row r="468">
          <cell r="A468">
            <v>8220</v>
          </cell>
          <cell r="B468" t="str">
            <v>破军</v>
          </cell>
          <cell r="C468">
            <v>137</v>
          </cell>
          <cell r="D468">
            <v>1</v>
          </cell>
          <cell r="E468">
            <v>11</v>
          </cell>
          <cell r="F468">
            <v>12500</v>
          </cell>
          <cell r="G468">
            <v>25</v>
          </cell>
        </row>
        <row r="469">
          <cell r="A469">
            <v>8320</v>
          </cell>
          <cell r="B469" t="str">
            <v>真刚</v>
          </cell>
          <cell r="C469">
            <v>137</v>
          </cell>
          <cell r="D469">
            <v>1</v>
          </cell>
          <cell r="E469">
            <v>11</v>
          </cell>
          <cell r="F469">
            <v>12500</v>
          </cell>
          <cell r="G469">
            <v>25</v>
          </cell>
        </row>
        <row r="470">
          <cell r="A470">
            <v>8420</v>
          </cell>
          <cell r="B470" t="str">
            <v>飞仙</v>
          </cell>
          <cell r="C470">
            <v>137.02000000000001</v>
          </cell>
          <cell r="D470">
            <v>1</v>
          </cell>
          <cell r="E470">
            <v>11</v>
          </cell>
          <cell r="F470">
            <v>12500</v>
          </cell>
          <cell r="G470">
            <v>25</v>
          </cell>
        </row>
        <row r="471">
          <cell r="A471">
            <v>8520</v>
          </cell>
          <cell r="B471" t="str">
            <v>虚空</v>
          </cell>
          <cell r="C471">
            <v>137.02000000000001</v>
          </cell>
          <cell r="D471">
            <v>1</v>
          </cell>
          <cell r="E471">
            <v>11</v>
          </cell>
          <cell r="F471">
            <v>12500</v>
          </cell>
          <cell r="G471">
            <v>25</v>
          </cell>
        </row>
        <row r="472">
          <cell r="A472">
            <v>8620</v>
          </cell>
          <cell r="B472" t="str">
            <v>无惧</v>
          </cell>
          <cell r="C472">
            <v>137.16</v>
          </cell>
          <cell r="D472">
            <v>1</v>
          </cell>
          <cell r="E472">
            <v>11</v>
          </cell>
          <cell r="F472">
            <v>12500</v>
          </cell>
          <cell r="G472">
            <v>25</v>
          </cell>
        </row>
        <row r="473">
          <cell r="A473">
            <v>8720</v>
          </cell>
          <cell r="B473" t="str">
            <v>天杀</v>
          </cell>
          <cell r="C473">
            <v>137.16</v>
          </cell>
          <cell r="D473">
            <v>1</v>
          </cell>
          <cell r="E473">
            <v>11</v>
          </cell>
          <cell r="F473">
            <v>12500</v>
          </cell>
          <cell r="G473">
            <v>25</v>
          </cell>
        </row>
        <row r="474">
          <cell r="A474">
            <v>8820</v>
          </cell>
          <cell r="B474" t="str">
            <v>诛魔</v>
          </cell>
          <cell r="C474">
            <v>129.68</v>
          </cell>
          <cell r="D474">
            <v>1</v>
          </cell>
          <cell r="E474">
            <v>11</v>
          </cell>
          <cell r="F474">
            <v>12500</v>
          </cell>
          <cell r="G474">
            <v>25</v>
          </cell>
        </row>
        <row r="475">
          <cell r="A475">
            <v>8130</v>
          </cell>
          <cell r="B475" t="str">
            <v>霸主</v>
          </cell>
          <cell r="C475">
            <v>246.92000000000002</v>
          </cell>
          <cell r="D475">
            <v>1</v>
          </cell>
          <cell r="E475">
            <v>80</v>
          </cell>
          <cell r="F475">
            <v>100000</v>
          </cell>
          <cell r="G475">
            <v>200</v>
          </cell>
        </row>
        <row r="476">
          <cell r="A476">
            <v>8230</v>
          </cell>
          <cell r="B476" t="str">
            <v>虎啸</v>
          </cell>
          <cell r="C476">
            <v>247</v>
          </cell>
          <cell r="D476">
            <v>1</v>
          </cell>
          <cell r="E476">
            <v>80</v>
          </cell>
          <cell r="F476">
            <v>100000</v>
          </cell>
          <cell r="G476">
            <v>200</v>
          </cell>
        </row>
        <row r="477">
          <cell r="A477">
            <v>8330</v>
          </cell>
          <cell r="B477" t="str">
            <v>豪魄</v>
          </cell>
          <cell r="C477">
            <v>247</v>
          </cell>
          <cell r="D477">
            <v>1</v>
          </cell>
          <cell r="E477">
            <v>80</v>
          </cell>
          <cell r="F477">
            <v>100000</v>
          </cell>
          <cell r="G477">
            <v>200</v>
          </cell>
        </row>
        <row r="478">
          <cell r="A478">
            <v>8430</v>
          </cell>
          <cell r="B478" t="str">
            <v>捉影</v>
          </cell>
          <cell r="C478">
            <v>246.84000000000003</v>
          </cell>
          <cell r="D478">
            <v>1</v>
          </cell>
          <cell r="E478">
            <v>80</v>
          </cell>
          <cell r="F478">
            <v>100000</v>
          </cell>
          <cell r="G478">
            <v>200</v>
          </cell>
        </row>
        <row r="479">
          <cell r="A479">
            <v>8530</v>
          </cell>
          <cell r="B479" t="str">
            <v>游刃</v>
          </cell>
          <cell r="C479">
            <v>246.84000000000003</v>
          </cell>
          <cell r="D479">
            <v>1</v>
          </cell>
          <cell r="E479">
            <v>80</v>
          </cell>
          <cell r="F479">
            <v>100000</v>
          </cell>
          <cell r="G479">
            <v>200</v>
          </cell>
        </row>
        <row r="480">
          <cell r="A480">
            <v>8630</v>
          </cell>
          <cell r="B480" t="str">
            <v>傲骨</v>
          </cell>
          <cell r="C480">
            <v>246.95999999999998</v>
          </cell>
          <cell r="D480">
            <v>1</v>
          </cell>
          <cell r="E480">
            <v>80</v>
          </cell>
          <cell r="F480">
            <v>100000</v>
          </cell>
          <cell r="G480">
            <v>200</v>
          </cell>
        </row>
        <row r="481">
          <cell r="A481">
            <v>8730</v>
          </cell>
          <cell r="B481" t="str">
            <v>心眼</v>
          </cell>
          <cell r="C481">
            <v>246.95999999999998</v>
          </cell>
          <cell r="D481">
            <v>1</v>
          </cell>
          <cell r="E481">
            <v>80</v>
          </cell>
          <cell r="F481">
            <v>100000</v>
          </cell>
          <cell r="G481">
            <v>200</v>
          </cell>
        </row>
        <row r="482">
          <cell r="A482">
            <v>8830</v>
          </cell>
          <cell r="B482" t="str">
            <v>噬生</v>
          </cell>
          <cell r="C482">
            <v>234.12</v>
          </cell>
          <cell r="D482">
            <v>1</v>
          </cell>
          <cell r="E482">
            <v>80</v>
          </cell>
          <cell r="F482">
            <v>100000</v>
          </cell>
          <cell r="G482">
            <v>200</v>
          </cell>
        </row>
        <row r="483">
          <cell r="A483">
            <v>8930</v>
          </cell>
          <cell r="B483" t="str">
            <v>痛击</v>
          </cell>
          <cell r="C483">
            <v>234.68</v>
          </cell>
          <cell r="D483">
            <v>1</v>
          </cell>
          <cell r="E483">
            <v>80</v>
          </cell>
          <cell r="F483">
            <v>100000</v>
          </cell>
          <cell r="G483">
            <v>200</v>
          </cell>
        </row>
        <row r="484">
          <cell r="A484">
            <v>9030</v>
          </cell>
          <cell r="B484" t="str">
            <v>不坏</v>
          </cell>
          <cell r="C484">
            <v>234.12</v>
          </cell>
          <cell r="D484">
            <v>1</v>
          </cell>
          <cell r="E484">
            <v>80</v>
          </cell>
          <cell r="F484">
            <v>100000</v>
          </cell>
          <cell r="G484">
            <v>200</v>
          </cell>
        </row>
        <row r="485">
          <cell r="A485">
            <v>9130</v>
          </cell>
          <cell r="B485" t="str">
            <v>寂灭</v>
          </cell>
          <cell r="C485">
            <v>234.44</v>
          </cell>
          <cell r="D485">
            <v>1</v>
          </cell>
          <cell r="E485">
            <v>80</v>
          </cell>
          <cell r="F485">
            <v>100000</v>
          </cell>
          <cell r="G485">
            <v>200</v>
          </cell>
        </row>
        <row r="486">
          <cell r="A486">
            <v>9230</v>
          </cell>
          <cell r="B486" t="str">
            <v>盘蛇</v>
          </cell>
          <cell r="C486">
            <v>234</v>
          </cell>
          <cell r="D486">
            <v>1</v>
          </cell>
          <cell r="E486">
            <v>80</v>
          </cell>
          <cell r="F486">
            <v>100000</v>
          </cell>
          <cell r="G486">
            <v>200</v>
          </cell>
        </row>
        <row r="487">
          <cell r="A487">
            <v>8140</v>
          </cell>
          <cell r="B487" t="str">
            <v>天命</v>
          </cell>
          <cell r="C487">
            <v>444.44</v>
          </cell>
          <cell r="D487">
            <v>1</v>
          </cell>
          <cell r="E487">
            <v>608</v>
          </cell>
          <cell r="F487">
            <v>625000</v>
          </cell>
          <cell r="G487">
            <v>1250</v>
          </cell>
        </row>
        <row r="488">
          <cell r="A488">
            <v>8240</v>
          </cell>
          <cell r="B488" t="str">
            <v>龙吟</v>
          </cell>
          <cell r="C488">
            <v>444</v>
          </cell>
          <cell r="D488">
            <v>1</v>
          </cell>
          <cell r="E488">
            <v>608</v>
          </cell>
          <cell r="F488">
            <v>625000</v>
          </cell>
          <cell r="G488">
            <v>1250</v>
          </cell>
        </row>
        <row r="489">
          <cell r="A489">
            <v>8340</v>
          </cell>
          <cell r="B489" t="str">
            <v>守御</v>
          </cell>
          <cell r="C489">
            <v>444</v>
          </cell>
          <cell r="D489">
            <v>1</v>
          </cell>
          <cell r="E489">
            <v>608</v>
          </cell>
          <cell r="F489">
            <v>625000</v>
          </cell>
          <cell r="G489">
            <v>1250</v>
          </cell>
        </row>
        <row r="490">
          <cell r="A490">
            <v>8440</v>
          </cell>
          <cell r="B490" t="str">
            <v>千眼</v>
          </cell>
          <cell r="C490">
            <v>444.38000000000005</v>
          </cell>
          <cell r="D490">
            <v>1</v>
          </cell>
          <cell r="E490">
            <v>608</v>
          </cell>
          <cell r="F490">
            <v>625000</v>
          </cell>
          <cell r="G490">
            <v>1250</v>
          </cell>
        </row>
        <row r="491">
          <cell r="A491">
            <v>8540</v>
          </cell>
          <cell r="B491" t="str">
            <v>逍遥</v>
          </cell>
          <cell r="C491">
            <v>444.38000000000005</v>
          </cell>
          <cell r="D491">
            <v>1</v>
          </cell>
          <cell r="E491">
            <v>608</v>
          </cell>
          <cell r="F491">
            <v>625000</v>
          </cell>
          <cell r="G491">
            <v>1250</v>
          </cell>
        </row>
        <row r="492">
          <cell r="A492">
            <v>8640</v>
          </cell>
          <cell r="B492" t="str">
            <v>流离</v>
          </cell>
          <cell r="C492">
            <v>444.41999999999996</v>
          </cell>
          <cell r="D492">
            <v>1</v>
          </cell>
          <cell r="E492">
            <v>608</v>
          </cell>
          <cell r="F492">
            <v>625000</v>
          </cell>
          <cell r="G492">
            <v>1250</v>
          </cell>
        </row>
        <row r="493">
          <cell r="A493">
            <v>8740</v>
          </cell>
          <cell r="B493" t="str">
            <v>夺魄</v>
          </cell>
          <cell r="C493">
            <v>444.41999999999996</v>
          </cell>
          <cell r="D493">
            <v>1</v>
          </cell>
          <cell r="E493">
            <v>608</v>
          </cell>
          <cell r="F493">
            <v>625000</v>
          </cell>
          <cell r="G493">
            <v>1250</v>
          </cell>
        </row>
        <row r="494">
          <cell r="A494">
            <v>8840</v>
          </cell>
          <cell r="B494" t="str">
            <v>审判</v>
          </cell>
          <cell r="C494">
            <v>422.03999999999996</v>
          </cell>
          <cell r="D494">
            <v>1</v>
          </cell>
          <cell r="E494">
            <v>608</v>
          </cell>
          <cell r="F494">
            <v>625000</v>
          </cell>
          <cell r="G494">
            <v>1250</v>
          </cell>
        </row>
        <row r="495">
          <cell r="A495">
            <v>8940</v>
          </cell>
          <cell r="B495" t="str">
            <v>破天</v>
          </cell>
          <cell r="C495">
            <v>462.32000000000005</v>
          </cell>
          <cell r="D495">
            <v>1</v>
          </cell>
          <cell r="E495">
            <v>608</v>
          </cell>
          <cell r="F495">
            <v>625000</v>
          </cell>
          <cell r="G495">
            <v>1250</v>
          </cell>
        </row>
        <row r="496">
          <cell r="A496">
            <v>9040</v>
          </cell>
          <cell r="B496" t="str">
            <v>天狱</v>
          </cell>
          <cell r="C496">
            <v>421.91999999999996</v>
          </cell>
          <cell r="D496">
            <v>1</v>
          </cell>
          <cell r="E496">
            <v>608</v>
          </cell>
          <cell r="F496">
            <v>625000</v>
          </cell>
          <cell r="G496">
            <v>1250</v>
          </cell>
        </row>
        <row r="497">
          <cell r="A497">
            <v>9140</v>
          </cell>
          <cell r="B497" t="str">
            <v>幽灵</v>
          </cell>
          <cell r="C497">
            <v>422.3</v>
          </cell>
          <cell r="D497">
            <v>1</v>
          </cell>
          <cell r="E497">
            <v>608</v>
          </cell>
          <cell r="F497">
            <v>625000</v>
          </cell>
          <cell r="G497">
            <v>1250</v>
          </cell>
        </row>
        <row r="498">
          <cell r="A498">
            <v>9240</v>
          </cell>
          <cell r="B498" t="str">
            <v>困魔</v>
          </cell>
          <cell r="C498">
            <v>422.1</v>
          </cell>
          <cell r="D498">
            <v>1</v>
          </cell>
          <cell r="E498">
            <v>608</v>
          </cell>
          <cell r="F498">
            <v>625000</v>
          </cell>
          <cell r="G498">
            <v>1250</v>
          </cell>
        </row>
        <row r="499">
          <cell r="A499">
            <v>9340</v>
          </cell>
          <cell r="B499" t="str">
            <v>无尽</v>
          </cell>
          <cell r="C499">
            <v>444.24</v>
          </cell>
          <cell r="D499">
            <v>1</v>
          </cell>
          <cell r="E499">
            <v>608</v>
          </cell>
          <cell r="F499">
            <v>625000</v>
          </cell>
          <cell r="G499">
            <v>1250</v>
          </cell>
        </row>
        <row r="500">
          <cell r="A500">
            <v>9440</v>
          </cell>
          <cell r="B500" t="str">
            <v>无尽</v>
          </cell>
          <cell r="C500">
            <v>222</v>
          </cell>
          <cell r="D500">
            <v>1</v>
          </cell>
          <cell r="E500">
            <v>608</v>
          </cell>
          <cell r="F500">
            <v>625000</v>
          </cell>
          <cell r="G500">
            <v>1250</v>
          </cell>
        </row>
        <row r="501">
          <cell r="A501">
            <v>9540</v>
          </cell>
          <cell r="B501" t="str">
            <v>八卦</v>
          </cell>
          <cell r="C501">
            <v>111.12</v>
          </cell>
          <cell r="D501">
            <v>1</v>
          </cell>
          <cell r="E501">
            <v>608</v>
          </cell>
          <cell r="F501">
            <v>625000</v>
          </cell>
          <cell r="G501">
            <v>1250</v>
          </cell>
        </row>
        <row r="502">
          <cell r="A502">
            <v>9640</v>
          </cell>
          <cell r="B502" t="str">
            <v>剎那</v>
          </cell>
          <cell r="C502">
            <v>532.44000000000005</v>
          </cell>
          <cell r="D502">
            <v>1</v>
          </cell>
          <cell r="E502">
            <v>608</v>
          </cell>
          <cell r="F502">
            <v>625000</v>
          </cell>
          <cell r="G502">
            <v>1250</v>
          </cell>
        </row>
        <row r="503">
          <cell r="A503">
            <v>9740</v>
          </cell>
          <cell r="B503" t="str">
            <v>咆哮</v>
          </cell>
          <cell r="C503">
            <v>532</v>
          </cell>
          <cell r="D503">
            <v>1</v>
          </cell>
          <cell r="E503">
            <v>608</v>
          </cell>
          <cell r="F503">
            <v>625000</v>
          </cell>
          <cell r="G503">
            <v>1250</v>
          </cell>
        </row>
        <row r="504">
          <cell r="A504">
            <v>9840</v>
          </cell>
          <cell r="B504" t="str">
            <v>断罪</v>
          </cell>
          <cell r="C504">
            <v>222.29999999999998</v>
          </cell>
          <cell r="D504">
            <v>1</v>
          </cell>
          <cell r="E504">
            <v>608</v>
          </cell>
          <cell r="F504">
            <v>625000</v>
          </cell>
          <cell r="G504">
            <v>1250</v>
          </cell>
        </row>
        <row r="505">
          <cell r="A505">
            <v>8150</v>
          </cell>
          <cell r="B505" t="str">
            <v>一元复始</v>
          </cell>
          <cell r="C505">
            <v>800</v>
          </cell>
          <cell r="D505">
            <v>1</v>
          </cell>
          <cell r="E505">
            <v>4867</v>
          </cell>
          <cell r="F505">
            <v>2500000</v>
          </cell>
          <cell r="G505">
            <v>5000</v>
          </cell>
        </row>
        <row r="506">
          <cell r="A506">
            <v>8250</v>
          </cell>
          <cell r="B506" t="str">
            <v>大破坏神</v>
          </cell>
          <cell r="C506">
            <v>800</v>
          </cell>
          <cell r="D506">
            <v>1</v>
          </cell>
          <cell r="E506">
            <v>4867</v>
          </cell>
          <cell r="F506">
            <v>2500000</v>
          </cell>
          <cell r="G506">
            <v>5000</v>
          </cell>
        </row>
        <row r="507">
          <cell r="A507">
            <v>8350</v>
          </cell>
          <cell r="B507" t="str">
            <v>天地无用</v>
          </cell>
          <cell r="C507">
            <v>800</v>
          </cell>
          <cell r="D507">
            <v>1</v>
          </cell>
          <cell r="E507">
            <v>4867</v>
          </cell>
          <cell r="F507">
            <v>2500000</v>
          </cell>
          <cell r="G507">
            <v>5000</v>
          </cell>
        </row>
        <row r="508">
          <cell r="A508">
            <v>8450</v>
          </cell>
          <cell r="B508" t="str">
            <v>百步穿杨</v>
          </cell>
          <cell r="C508">
            <v>800.0200000000001</v>
          </cell>
          <cell r="D508">
            <v>1</v>
          </cell>
          <cell r="E508">
            <v>4867</v>
          </cell>
          <cell r="F508">
            <v>2500000</v>
          </cell>
          <cell r="G508">
            <v>5000</v>
          </cell>
        </row>
        <row r="509">
          <cell r="A509">
            <v>8550</v>
          </cell>
          <cell r="B509" t="str">
            <v>破碎虚空</v>
          </cell>
          <cell r="C509">
            <v>800.0200000000001</v>
          </cell>
          <cell r="D509">
            <v>1</v>
          </cell>
          <cell r="E509">
            <v>4867</v>
          </cell>
          <cell r="F509">
            <v>2500000</v>
          </cell>
          <cell r="G509">
            <v>5000</v>
          </cell>
        </row>
        <row r="510">
          <cell r="A510">
            <v>8650</v>
          </cell>
          <cell r="B510" t="str">
            <v>冰魄寒光</v>
          </cell>
          <cell r="C510">
            <v>799.92</v>
          </cell>
          <cell r="D510">
            <v>1</v>
          </cell>
          <cell r="E510">
            <v>4867</v>
          </cell>
          <cell r="F510">
            <v>2500000</v>
          </cell>
          <cell r="G510">
            <v>5000</v>
          </cell>
        </row>
        <row r="511">
          <cell r="A511">
            <v>8750</v>
          </cell>
          <cell r="B511" t="str">
            <v>震破苍穹</v>
          </cell>
          <cell r="C511">
            <v>799.92</v>
          </cell>
          <cell r="D511">
            <v>1</v>
          </cell>
          <cell r="E511">
            <v>4867</v>
          </cell>
          <cell r="F511">
            <v>2500000</v>
          </cell>
          <cell r="G511">
            <v>5000</v>
          </cell>
        </row>
        <row r="512">
          <cell r="A512">
            <v>8850</v>
          </cell>
          <cell r="B512" t="str">
            <v>雷霆万钧</v>
          </cell>
          <cell r="C512">
            <v>760</v>
          </cell>
          <cell r="D512">
            <v>1</v>
          </cell>
          <cell r="E512">
            <v>4867</v>
          </cell>
          <cell r="F512">
            <v>2500000</v>
          </cell>
          <cell r="G512">
            <v>5000</v>
          </cell>
        </row>
        <row r="513">
          <cell r="A513">
            <v>8950</v>
          </cell>
          <cell r="B513" t="str">
            <v>快刀乱麻</v>
          </cell>
          <cell r="C513">
            <v>760</v>
          </cell>
          <cell r="D513">
            <v>1</v>
          </cell>
          <cell r="E513">
            <v>4867</v>
          </cell>
          <cell r="F513">
            <v>2500000</v>
          </cell>
          <cell r="G513">
            <v>5000</v>
          </cell>
        </row>
        <row r="514">
          <cell r="A514">
            <v>9050</v>
          </cell>
          <cell r="B514" t="str">
            <v>明镜止水</v>
          </cell>
          <cell r="C514">
            <v>760</v>
          </cell>
          <cell r="D514">
            <v>1</v>
          </cell>
          <cell r="E514">
            <v>4867</v>
          </cell>
          <cell r="F514">
            <v>2500000</v>
          </cell>
          <cell r="G514">
            <v>5000</v>
          </cell>
        </row>
        <row r="515">
          <cell r="A515">
            <v>9150</v>
          </cell>
          <cell r="B515" t="str">
            <v>背水一战</v>
          </cell>
          <cell r="C515">
            <v>760</v>
          </cell>
          <cell r="D515">
            <v>1</v>
          </cell>
          <cell r="E515">
            <v>4867</v>
          </cell>
          <cell r="F515">
            <v>2500000</v>
          </cell>
          <cell r="G515">
            <v>5000</v>
          </cell>
        </row>
        <row r="516">
          <cell r="A516">
            <v>9250</v>
          </cell>
          <cell r="B516" t="str">
            <v>金钟护体</v>
          </cell>
          <cell r="C516">
            <v>760</v>
          </cell>
          <cell r="D516">
            <v>1</v>
          </cell>
          <cell r="E516">
            <v>4867</v>
          </cell>
          <cell r="F516">
            <v>2500000</v>
          </cell>
          <cell r="G516">
            <v>5000</v>
          </cell>
        </row>
        <row r="517">
          <cell r="A517">
            <v>9350</v>
          </cell>
          <cell r="B517" t="str">
            <v>轩辕剑体</v>
          </cell>
          <cell r="C517">
            <v>800</v>
          </cell>
          <cell r="D517">
            <v>1</v>
          </cell>
          <cell r="E517">
            <v>4867</v>
          </cell>
          <cell r="F517">
            <v>2500000</v>
          </cell>
          <cell r="G517">
            <v>5000</v>
          </cell>
        </row>
        <row r="518">
          <cell r="A518">
            <v>9450</v>
          </cell>
          <cell r="B518" t="str">
            <v>气势如虹</v>
          </cell>
          <cell r="C518">
            <v>400</v>
          </cell>
          <cell r="D518">
            <v>1</v>
          </cell>
          <cell r="E518">
            <v>4867</v>
          </cell>
          <cell r="F518">
            <v>2500000</v>
          </cell>
          <cell r="G518">
            <v>5000</v>
          </cell>
        </row>
        <row r="519">
          <cell r="A519">
            <v>9550</v>
          </cell>
          <cell r="B519" t="str">
            <v>包罗万象</v>
          </cell>
          <cell r="C519">
            <v>200</v>
          </cell>
          <cell r="D519">
            <v>1</v>
          </cell>
          <cell r="E519">
            <v>4867</v>
          </cell>
          <cell r="F519">
            <v>2500000</v>
          </cell>
          <cell r="G519">
            <v>5000</v>
          </cell>
        </row>
        <row r="520">
          <cell r="A520">
            <v>9650</v>
          </cell>
          <cell r="B520" t="str">
            <v>心无杂念</v>
          </cell>
          <cell r="C520">
            <v>960</v>
          </cell>
          <cell r="D520">
            <v>1</v>
          </cell>
          <cell r="E520">
            <v>4867</v>
          </cell>
          <cell r="F520">
            <v>2500000</v>
          </cell>
          <cell r="G520">
            <v>5000</v>
          </cell>
        </row>
        <row r="521">
          <cell r="A521">
            <v>9750</v>
          </cell>
          <cell r="B521" t="str">
            <v>披荆斩棘</v>
          </cell>
          <cell r="C521">
            <v>960</v>
          </cell>
          <cell r="D521">
            <v>1</v>
          </cell>
          <cell r="E521">
            <v>4867</v>
          </cell>
          <cell r="F521">
            <v>2500000</v>
          </cell>
          <cell r="G521">
            <v>5000</v>
          </cell>
        </row>
        <row r="522">
          <cell r="A522">
            <v>9850</v>
          </cell>
          <cell r="B522" t="str">
            <v>斗转星移</v>
          </cell>
          <cell r="C522">
            <v>399.96</v>
          </cell>
          <cell r="D522">
            <v>1</v>
          </cell>
          <cell r="E522">
            <v>4867</v>
          </cell>
          <cell r="F522">
            <v>2500000</v>
          </cell>
          <cell r="G522">
            <v>5000</v>
          </cell>
        </row>
        <row r="523">
          <cell r="A523">
            <v>1001</v>
          </cell>
          <cell r="B523" t="str">
            <v>赑屃</v>
          </cell>
          <cell r="C523">
            <v>34.691225182728921</v>
          </cell>
          <cell r="D523">
            <v>1</v>
          </cell>
          <cell r="E523">
            <v>1</v>
          </cell>
          <cell r="F523">
            <v>1734.5612591364461</v>
          </cell>
          <cell r="G523">
            <v>3.4691225182728922</v>
          </cell>
        </row>
        <row r="524">
          <cell r="A524">
            <v>1002</v>
          </cell>
          <cell r="B524" t="str">
            <v>鸱吻</v>
          </cell>
          <cell r="C524">
            <v>38.211554801191532</v>
          </cell>
          <cell r="D524">
            <v>1</v>
          </cell>
          <cell r="E524">
            <v>1</v>
          </cell>
          <cell r="F524">
            <v>1910.5777400595766</v>
          </cell>
          <cell r="G524">
            <v>3.8211554801191534</v>
          </cell>
        </row>
        <row r="525">
          <cell r="A525">
            <v>1003</v>
          </cell>
          <cell r="B525" t="str">
            <v>蒲牢</v>
          </cell>
          <cell r="C525">
            <v>35.059146245116374</v>
          </cell>
          <cell r="D525">
            <v>1</v>
          </cell>
          <cell r="E525">
            <v>1</v>
          </cell>
          <cell r="F525">
            <v>1752.9573122558186</v>
          </cell>
          <cell r="G525">
            <v>3.5059146245116373</v>
          </cell>
        </row>
        <row r="526">
          <cell r="A526">
            <v>1004</v>
          </cell>
          <cell r="B526" t="str">
            <v>睚眦</v>
          </cell>
          <cell r="C526">
            <v>38.960800973763916</v>
          </cell>
          <cell r="D526">
            <v>1</v>
          </cell>
          <cell r="E526">
            <v>1</v>
          </cell>
          <cell r="F526">
            <v>1948.0400486881958</v>
          </cell>
          <cell r="G526">
            <v>3.8960800973763918</v>
          </cell>
        </row>
        <row r="527">
          <cell r="A527">
            <v>1005</v>
          </cell>
          <cell r="B527" t="str">
            <v>饕餮</v>
          </cell>
          <cell r="C527">
            <v>34.340791473479662</v>
          </cell>
          <cell r="D527">
            <v>1</v>
          </cell>
          <cell r="E527">
            <v>1</v>
          </cell>
          <cell r="F527">
            <v>1717.0395736739831</v>
          </cell>
          <cell r="G527">
            <v>3.4340791473479664</v>
          </cell>
        </row>
        <row r="528">
          <cell r="A528">
            <v>1006</v>
          </cell>
          <cell r="B528" t="str">
            <v>蚣蝮</v>
          </cell>
          <cell r="C528">
            <v>31.69243215673859</v>
          </cell>
          <cell r="D528">
            <v>1</v>
          </cell>
          <cell r="E528">
            <v>1</v>
          </cell>
          <cell r="F528">
            <v>1584.6216078369296</v>
          </cell>
          <cell r="G528">
            <v>3.169243215673859</v>
          </cell>
        </row>
        <row r="529">
          <cell r="A529">
            <v>2001</v>
          </cell>
          <cell r="B529" t="str">
            <v>狴犴</v>
          </cell>
          <cell r="C529">
            <v>55.128135067603871</v>
          </cell>
          <cell r="D529">
            <v>1</v>
          </cell>
          <cell r="E529">
            <v>2</v>
          </cell>
          <cell r="F529">
            <v>5512.8135067603871</v>
          </cell>
          <cell r="G529">
            <v>11.025627013520774</v>
          </cell>
        </row>
        <row r="530">
          <cell r="A530">
            <v>2002</v>
          </cell>
          <cell r="B530" t="str">
            <v>狻猊</v>
          </cell>
          <cell r="C530">
            <v>60.688939978363017</v>
          </cell>
          <cell r="D530">
            <v>1</v>
          </cell>
          <cell r="E530">
            <v>2</v>
          </cell>
          <cell r="F530">
            <v>6068.8939978363014</v>
          </cell>
          <cell r="G530">
            <v>12.137787995672603</v>
          </cell>
        </row>
        <row r="531">
          <cell r="A531">
            <v>2003</v>
          </cell>
          <cell r="B531" t="str">
            <v>椒图</v>
          </cell>
          <cell r="C531">
            <v>55.652139913364344</v>
          </cell>
          <cell r="D531">
            <v>1</v>
          </cell>
          <cell r="E531">
            <v>2</v>
          </cell>
          <cell r="F531">
            <v>5565.2139913364344</v>
          </cell>
          <cell r="G531">
            <v>11.130427982672868</v>
          </cell>
        </row>
        <row r="532">
          <cell r="A532">
            <v>1007</v>
          </cell>
          <cell r="B532" t="str">
            <v>貔貅</v>
          </cell>
          <cell r="C532">
            <v>24.963122659707253</v>
          </cell>
          <cell r="D532">
            <v>1</v>
          </cell>
          <cell r="E532">
            <v>1</v>
          </cell>
          <cell r="F532">
            <v>1248.1561329853625</v>
          </cell>
          <cell r="G532">
            <v>2.4963122659707251</v>
          </cell>
        </row>
        <row r="533">
          <cell r="A533">
            <v>1008</v>
          </cell>
          <cell r="B533" t="str">
            <v>赑屃</v>
          </cell>
          <cell r="C533">
            <v>62.234975290929377</v>
          </cell>
          <cell r="D533">
            <v>1</v>
          </cell>
          <cell r="E533">
            <v>1</v>
          </cell>
          <cell r="F533">
            <v>3111.7487645464689</v>
          </cell>
          <cell r="G533">
            <v>6.2234975290929384</v>
          </cell>
        </row>
        <row r="534">
          <cell r="A534">
            <v>1009</v>
          </cell>
          <cell r="B534" t="str">
            <v>鸱吻</v>
          </cell>
          <cell r="C534">
            <v>85.182414310067045</v>
          </cell>
          <cell r="D534">
            <v>1</v>
          </cell>
          <cell r="E534">
            <v>1</v>
          </cell>
          <cell r="F534">
            <v>4259.1207155033526</v>
          </cell>
          <cell r="G534">
            <v>8.5182414310067056</v>
          </cell>
        </row>
        <row r="535">
          <cell r="A535">
            <v>1010</v>
          </cell>
          <cell r="B535" t="str">
            <v>蒲牢</v>
          </cell>
          <cell r="C535">
            <v>94.405017744120229</v>
          </cell>
          <cell r="D535">
            <v>1</v>
          </cell>
          <cell r="E535">
            <v>1</v>
          </cell>
          <cell r="F535">
            <v>4720.2508872060116</v>
          </cell>
          <cell r="G535">
            <v>9.4405017744120237</v>
          </cell>
        </row>
        <row r="536">
          <cell r="A536">
            <v>1011</v>
          </cell>
          <cell r="B536" t="str">
            <v>睚眦</v>
          </cell>
          <cell r="C536">
            <v>83.726120163912327</v>
          </cell>
          <cell r="D536">
            <v>1</v>
          </cell>
          <cell r="E536">
            <v>1</v>
          </cell>
          <cell r="F536">
            <v>4186.3060081956164</v>
          </cell>
          <cell r="G536">
            <v>8.3726120163912334</v>
          </cell>
        </row>
        <row r="537">
          <cell r="A537">
            <v>2004</v>
          </cell>
          <cell r="B537" t="str">
            <v>饕餮</v>
          </cell>
          <cell r="C537">
            <v>133.95621605212159</v>
          </cell>
          <cell r="D537">
            <v>1</v>
          </cell>
          <cell r="E537">
            <v>2</v>
          </cell>
          <cell r="F537">
            <v>13395.62160521216</v>
          </cell>
          <cell r="G537">
            <v>26.791243210424319</v>
          </cell>
        </row>
        <row r="538">
          <cell r="A538">
            <v>2005</v>
          </cell>
          <cell r="B538" t="str">
            <v>蚣蝮</v>
          </cell>
          <cell r="C538">
            <v>148.35074216933182</v>
          </cell>
          <cell r="D538">
            <v>1</v>
          </cell>
          <cell r="E538">
            <v>2</v>
          </cell>
          <cell r="F538">
            <v>14835.074216933182</v>
          </cell>
          <cell r="G538">
            <v>29.670148433866366</v>
          </cell>
        </row>
        <row r="539">
          <cell r="A539">
            <v>1012</v>
          </cell>
          <cell r="B539" t="str">
            <v>狴犴</v>
          </cell>
          <cell r="C539">
            <v>91.22185624942901</v>
          </cell>
          <cell r="D539">
            <v>1</v>
          </cell>
          <cell r="E539">
            <v>1</v>
          </cell>
          <cell r="F539">
            <v>4561.0928124714501</v>
          </cell>
          <cell r="G539">
            <v>9.122185624942901</v>
          </cell>
        </row>
        <row r="540">
          <cell r="A540">
            <v>1013</v>
          </cell>
          <cell r="B540" t="str">
            <v>狻猊</v>
          </cell>
          <cell r="C540">
            <v>81.323976855027311</v>
          </cell>
          <cell r="D540">
            <v>1</v>
          </cell>
          <cell r="E540">
            <v>1</v>
          </cell>
          <cell r="F540">
            <v>4066.1988427513656</v>
          </cell>
          <cell r="G540">
            <v>8.1323976855027311</v>
          </cell>
        </row>
        <row r="541">
          <cell r="A541">
            <v>1014</v>
          </cell>
          <cell r="B541" t="str">
            <v>椒图</v>
          </cell>
          <cell r="C541">
            <v>103.39597181498883</v>
          </cell>
          <cell r="D541">
            <v>1</v>
          </cell>
          <cell r="E541">
            <v>1</v>
          </cell>
          <cell r="F541">
            <v>5169.7985907494412</v>
          </cell>
          <cell r="G541">
            <v>10.339597181498883</v>
          </cell>
        </row>
        <row r="542">
          <cell r="A542">
            <v>1015</v>
          </cell>
          <cell r="B542" t="str">
            <v>貔貅</v>
          </cell>
          <cell r="C542">
            <v>96.17369357588214</v>
          </cell>
          <cell r="D542">
            <v>1</v>
          </cell>
          <cell r="E542">
            <v>1</v>
          </cell>
          <cell r="F542">
            <v>4808.6846787941067</v>
          </cell>
          <cell r="G542">
            <v>9.6173693575882133</v>
          </cell>
        </row>
        <row r="543">
          <cell r="A543">
            <v>2006</v>
          </cell>
          <cell r="B543" t="str">
            <v>犼</v>
          </cell>
          <cell r="C543">
            <v>139.32549683526034</v>
          </cell>
          <cell r="D543">
            <v>1</v>
          </cell>
          <cell r="E543">
            <v>2</v>
          </cell>
          <cell r="F543">
            <v>13932.549683526035</v>
          </cell>
          <cell r="G543">
            <v>27.865099367052071</v>
          </cell>
        </row>
        <row r="544">
          <cell r="A544">
            <v>2007</v>
          </cell>
          <cell r="B544" t="str">
            <v>螭</v>
          </cell>
          <cell r="C544">
            <v>161.83717327563471</v>
          </cell>
          <cell r="D544">
            <v>1</v>
          </cell>
          <cell r="E544">
            <v>2</v>
          </cell>
          <cell r="F544">
            <v>16183.71732756347</v>
          </cell>
          <cell r="G544">
            <v>32.367434655126942</v>
          </cell>
        </row>
        <row r="545">
          <cell r="A545">
            <v>2008</v>
          </cell>
          <cell r="B545" t="str">
            <v>麒麟</v>
          </cell>
          <cell r="C545">
            <v>130.95552155331606</v>
          </cell>
          <cell r="D545">
            <v>1</v>
          </cell>
          <cell r="E545">
            <v>2</v>
          </cell>
          <cell r="F545">
            <v>13095.552155331607</v>
          </cell>
          <cell r="G545">
            <v>26.191104310663214</v>
          </cell>
        </row>
        <row r="546">
          <cell r="A546">
            <v>1016</v>
          </cell>
          <cell r="B546" t="str">
            <v>鱼龙</v>
          </cell>
          <cell r="C546">
            <v>75.498166746373357</v>
          </cell>
          <cell r="D546">
            <v>1</v>
          </cell>
          <cell r="E546">
            <v>1</v>
          </cell>
          <cell r="F546">
            <v>3774.9083373186677</v>
          </cell>
          <cell r="G546">
            <v>7.5498166746373352</v>
          </cell>
        </row>
        <row r="547">
          <cell r="A547">
            <v>1017</v>
          </cell>
          <cell r="B547" t="str">
            <v>赑屃</v>
          </cell>
          <cell r="C547">
            <v>179.81908141737193</v>
          </cell>
          <cell r="D547">
            <v>1</v>
          </cell>
          <cell r="E547">
            <v>1</v>
          </cell>
          <cell r="F547">
            <v>8990.9540708685963</v>
          </cell>
          <cell r="G547">
            <v>17.981908141737193</v>
          </cell>
        </row>
        <row r="548">
          <cell r="A548">
            <v>1018</v>
          </cell>
          <cell r="B548" t="str">
            <v>鸱吻</v>
          </cell>
          <cell r="C548">
            <v>159.43938898401274</v>
          </cell>
          <cell r="D548">
            <v>1</v>
          </cell>
          <cell r="E548">
            <v>1</v>
          </cell>
          <cell r="F548">
            <v>7971.9694492006365</v>
          </cell>
          <cell r="G548">
            <v>15.943938898401273</v>
          </cell>
        </row>
        <row r="549">
          <cell r="A549">
            <v>2009</v>
          </cell>
          <cell r="B549" t="str">
            <v>蒲牢</v>
          </cell>
          <cell r="C549">
            <v>278.15764156749708</v>
          </cell>
          <cell r="D549">
            <v>1</v>
          </cell>
          <cell r="E549">
            <v>2</v>
          </cell>
          <cell r="F549">
            <v>27815.764156749708</v>
          </cell>
          <cell r="G549">
            <v>55.631528313499416</v>
          </cell>
        </row>
        <row r="550">
          <cell r="A550">
            <v>1019</v>
          </cell>
          <cell r="B550" t="str">
            <v>睚眦</v>
          </cell>
          <cell r="C550">
            <v>172.5974322210028</v>
          </cell>
          <cell r="D550">
            <v>1</v>
          </cell>
          <cell r="E550">
            <v>1</v>
          </cell>
          <cell r="F550">
            <v>8629.8716110501409</v>
          </cell>
          <cell r="G550">
            <v>17.259743222100283</v>
          </cell>
        </row>
        <row r="551">
          <cell r="A551">
            <v>2010</v>
          </cell>
          <cell r="B551" t="str">
            <v>饕餮</v>
          </cell>
          <cell r="C551">
            <v>173.60717122432769</v>
          </cell>
          <cell r="D551">
            <v>1</v>
          </cell>
          <cell r="E551">
            <v>2</v>
          </cell>
          <cell r="F551">
            <v>17360.717122432769</v>
          </cell>
          <cell r="G551">
            <v>34.721434244865534</v>
          </cell>
        </row>
        <row r="552">
          <cell r="A552">
            <v>2011</v>
          </cell>
          <cell r="B552" t="str">
            <v>蚣蝮</v>
          </cell>
          <cell r="C552">
            <v>266.62439156528046</v>
          </cell>
          <cell r="D552">
            <v>1</v>
          </cell>
          <cell r="E552">
            <v>2</v>
          </cell>
          <cell r="F552">
            <v>26662.439156528046</v>
          </cell>
          <cell r="G552">
            <v>53.324878313056089</v>
          </cell>
        </row>
        <row r="553">
          <cell r="A553">
            <v>2012</v>
          </cell>
          <cell r="B553" t="str">
            <v>狴犴</v>
          </cell>
          <cell r="C553">
            <v>268.04929774785575</v>
          </cell>
          <cell r="D553">
            <v>1</v>
          </cell>
          <cell r="E553">
            <v>2</v>
          </cell>
          <cell r="F553">
            <v>26804.929774785574</v>
          </cell>
          <cell r="G553">
            <v>53.609859549571148</v>
          </cell>
        </row>
        <row r="554">
          <cell r="A554">
            <v>1020</v>
          </cell>
          <cell r="B554" t="str">
            <v>狻猊</v>
          </cell>
          <cell r="C554">
            <v>199.48679344739688</v>
          </cell>
          <cell r="D554">
            <v>1</v>
          </cell>
          <cell r="E554">
            <v>1</v>
          </cell>
          <cell r="F554">
            <v>9974.3396723698443</v>
          </cell>
          <cell r="G554">
            <v>19.948679344739688</v>
          </cell>
        </row>
        <row r="555">
          <cell r="A555">
            <v>1021</v>
          </cell>
          <cell r="B555" t="str">
            <v>椒图</v>
          </cell>
          <cell r="C555">
            <v>183.80523274138682</v>
          </cell>
          <cell r="D555">
            <v>1</v>
          </cell>
          <cell r="E555">
            <v>1</v>
          </cell>
          <cell r="F555">
            <v>9190.2616370693413</v>
          </cell>
          <cell r="G555">
            <v>18.380523274138682</v>
          </cell>
        </row>
        <row r="556">
          <cell r="A556">
            <v>2013</v>
          </cell>
          <cell r="B556" t="str">
            <v>貔貅</v>
          </cell>
          <cell r="C556">
            <v>245.54160291246757</v>
          </cell>
          <cell r="D556">
            <v>1</v>
          </cell>
          <cell r="E556">
            <v>2</v>
          </cell>
          <cell r="F556">
            <v>24554.160291246757</v>
          </cell>
          <cell r="G556">
            <v>49.108320582493512</v>
          </cell>
        </row>
        <row r="557">
          <cell r="A557">
            <v>2014</v>
          </cell>
          <cell r="B557" t="str">
            <v>犼</v>
          </cell>
          <cell r="C557">
            <v>212.33859397417507</v>
          </cell>
          <cell r="D557">
            <v>1</v>
          </cell>
          <cell r="E557">
            <v>2</v>
          </cell>
          <cell r="F557">
            <v>21233.859397417506</v>
          </cell>
          <cell r="G557">
            <v>42.467718794835015</v>
          </cell>
        </row>
        <row r="558">
          <cell r="A558">
            <v>2015</v>
          </cell>
          <cell r="B558" t="str">
            <v>螭</v>
          </cell>
          <cell r="C558">
            <v>316.08822905397403</v>
          </cell>
          <cell r="D558">
            <v>1</v>
          </cell>
          <cell r="E558">
            <v>2</v>
          </cell>
          <cell r="F558">
            <v>31608.822905397403</v>
          </cell>
          <cell r="G558">
            <v>63.217645810794806</v>
          </cell>
        </row>
        <row r="559">
          <cell r="A559">
            <v>1022</v>
          </cell>
          <cell r="B559" t="str">
            <v>麒麟</v>
          </cell>
          <cell r="C559">
            <v>171.20330392340904</v>
          </cell>
          <cell r="D559">
            <v>1</v>
          </cell>
          <cell r="E559">
            <v>1</v>
          </cell>
          <cell r="F559">
            <v>8560.165196170452</v>
          </cell>
          <cell r="G559">
            <v>17.120330392340904</v>
          </cell>
        </row>
        <row r="560">
          <cell r="A560">
            <v>1023</v>
          </cell>
          <cell r="B560" t="str">
            <v>鱼龙</v>
          </cell>
          <cell r="C560">
            <v>216.34483233027558</v>
          </cell>
          <cell r="D560">
            <v>1</v>
          </cell>
          <cell r="E560">
            <v>1</v>
          </cell>
          <cell r="F560">
            <v>10817.241616513778</v>
          </cell>
          <cell r="G560">
            <v>21.634483233027556</v>
          </cell>
        </row>
        <row r="561">
          <cell r="A561">
            <v>1024</v>
          </cell>
          <cell r="B561" t="str">
            <v>蟠螭</v>
          </cell>
          <cell r="C561">
            <v>200.93432407818236</v>
          </cell>
          <cell r="D561">
            <v>1</v>
          </cell>
          <cell r="E561">
            <v>1</v>
          </cell>
          <cell r="F561">
            <v>10046.716203909118</v>
          </cell>
          <cell r="G561">
            <v>20.093432407818238</v>
          </cell>
        </row>
        <row r="562">
          <cell r="A562">
            <v>1025</v>
          </cell>
          <cell r="B562" t="str">
            <v>赑屃</v>
          </cell>
          <cell r="C562">
            <v>274.7263317878373</v>
          </cell>
          <cell r="D562">
            <v>1</v>
          </cell>
          <cell r="E562">
            <v>1</v>
          </cell>
          <cell r="F562">
            <v>13736.316589391865</v>
          </cell>
          <cell r="G562">
            <v>27.472633178783731</v>
          </cell>
        </row>
        <row r="563">
          <cell r="A563">
            <v>1026</v>
          </cell>
          <cell r="B563" t="str">
            <v>鸱吻</v>
          </cell>
          <cell r="C563">
            <v>319.17886951583506</v>
          </cell>
          <cell r="D563">
            <v>1</v>
          </cell>
          <cell r="E563">
            <v>1</v>
          </cell>
          <cell r="F563">
            <v>15958.943475791753</v>
          </cell>
          <cell r="G563">
            <v>31.917886951583508</v>
          </cell>
        </row>
        <row r="564">
          <cell r="A564">
            <v>2016</v>
          </cell>
          <cell r="B564" t="str">
            <v>蒲牢</v>
          </cell>
          <cell r="C564">
            <v>294.11097242709633</v>
          </cell>
          <cell r="D564">
            <v>1</v>
          </cell>
          <cell r="E564">
            <v>2</v>
          </cell>
          <cell r="F564">
            <v>29411.097242709631</v>
          </cell>
          <cell r="G564">
            <v>58.822194485419267</v>
          </cell>
        </row>
        <row r="565">
          <cell r="A565">
            <v>2017</v>
          </cell>
          <cell r="B565" t="str">
            <v>睚眦</v>
          </cell>
          <cell r="C565">
            <v>451.32940485253266</v>
          </cell>
          <cell r="D565">
            <v>1</v>
          </cell>
          <cell r="E565">
            <v>2</v>
          </cell>
          <cell r="F565">
            <v>45132.940485253268</v>
          </cell>
          <cell r="G565">
            <v>90.265880970506544</v>
          </cell>
        </row>
        <row r="566">
          <cell r="A566">
            <v>2018</v>
          </cell>
          <cell r="B566" t="str">
            <v>饕餮</v>
          </cell>
          <cell r="C566">
            <v>435.63746897785626</v>
          </cell>
          <cell r="D566">
            <v>1</v>
          </cell>
          <cell r="E566">
            <v>2</v>
          </cell>
          <cell r="F566">
            <v>43563.746897785626</v>
          </cell>
          <cell r="G566">
            <v>87.127493795571255</v>
          </cell>
        </row>
        <row r="567">
          <cell r="A567">
            <v>2019</v>
          </cell>
          <cell r="B567" t="str">
            <v>蚣蝮</v>
          </cell>
          <cell r="C567">
            <v>505.74116648635851</v>
          </cell>
          <cell r="D567">
            <v>1</v>
          </cell>
          <cell r="E567">
            <v>2</v>
          </cell>
          <cell r="F567">
            <v>50574.116648635849</v>
          </cell>
          <cell r="G567">
            <v>101.1482332972717</v>
          </cell>
        </row>
        <row r="568">
          <cell r="A568">
            <v>1027</v>
          </cell>
          <cell r="B568" t="str">
            <v>狴犴</v>
          </cell>
          <cell r="C568">
            <v>313.25145907573045</v>
          </cell>
          <cell r="D568">
            <v>1</v>
          </cell>
          <cell r="E568">
            <v>1</v>
          </cell>
          <cell r="F568">
            <v>15662.572953786523</v>
          </cell>
          <cell r="G568">
            <v>31.325145907573045</v>
          </cell>
        </row>
        <row r="569">
          <cell r="A569">
            <v>1028</v>
          </cell>
          <cell r="B569" t="str">
            <v>狻猊</v>
          </cell>
          <cell r="C569">
            <v>314.51117602415076</v>
          </cell>
          <cell r="D569">
            <v>1</v>
          </cell>
          <cell r="E569">
            <v>1</v>
          </cell>
          <cell r="F569">
            <v>15725.558801207539</v>
          </cell>
          <cell r="G569">
            <v>31.451117602415078</v>
          </cell>
        </row>
        <row r="570">
          <cell r="A570">
            <v>2020</v>
          </cell>
          <cell r="B570" t="str">
            <v>椒图</v>
          </cell>
          <cell r="C570">
            <v>419.77523347227338</v>
          </cell>
          <cell r="D570">
            <v>1</v>
          </cell>
          <cell r="E570">
            <v>2</v>
          </cell>
          <cell r="F570">
            <v>41977.523347227339</v>
          </cell>
          <cell r="G570">
            <v>83.95504669445468</v>
          </cell>
        </row>
        <row r="571">
          <cell r="A571">
            <v>2021</v>
          </cell>
          <cell r="B571" t="str">
            <v>貔貅</v>
          </cell>
          <cell r="C571">
            <v>488.42497237465869</v>
          </cell>
          <cell r="D571">
            <v>1</v>
          </cell>
          <cell r="E571">
            <v>2</v>
          </cell>
          <cell r="F571">
            <v>48842.497237465868</v>
          </cell>
          <cell r="G571">
            <v>97.684994474931742</v>
          </cell>
        </row>
        <row r="572">
          <cell r="A572">
            <v>2022</v>
          </cell>
          <cell r="B572" t="str">
            <v>犼</v>
          </cell>
          <cell r="C572">
            <v>539.45724425211563</v>
          </cell>
          <cell r="D572">
            <v>1</v>
          </cell>
          <cell r="E572">
            <v>2</v>
          </cell>
          <cell r="F572">
            <v>53945.724425211563</v>
          </cell>
          <cell r="G572">
            <v>107.89144885042313</v>
          </cell>
        </row>
        <row r="573">
          <cell r="A573">
            <v>2023</v>
          </cell>
          <cell r="B573" t="str">
            <v>螭</v>
          </cell>
          <cell r="C573">
            <v>496.27412840174435</v>
          </cell>
          <cell r="D573">
            <v>1</v>
          </cell>
          <cell r="E573">
            <v>2</v>
          </cell>
          <cell r="F573">
            <v>49627.412840174438</v>
          </cell>
          <cell r="G573">
            <v>99.254825680348873</v>
          </cell>
        </row>
        <row r="574">
          <cell r="A574">
            <v>1029</v>
          </cell>
          <cell r="B574" t="str">
            <v>麒麟</v>
          </cell>
          <cell r="C574">
            <v>368.62911690561242</v>
          </cell>
          <cell r="D574">
            <v>1</v>
          </cell>
          <cell r="E574">
            <v>1</v>
          </cell>
          <cell r="F574">
            <v>18431.45584528062</v>
          </cell>
          <cell r="G574">
            <v>36.862911690561241</v>
          </cell>
        </row>
        <row r="575">
          <cell r="A575">
            <v>1030</v>
          </cell>
          <cell r="B575" t="str">
            <v>鱼龙</v>
          </cell>
          <cell r="C575">
            <v>226.02972880971296</v>
          </cell>
          <cell r="D575">
            <v>1</v>
          </cell>
          <cell r="E575">
            <v>1</v>
          </cell>
          <cell r="F575">
            <v>11301.486440485649</v>
          </cell>
          <cell r="G575">
            <v>22.602972880971297</v>
          </cell>
        </row>
        <row r="576">
          <cell r="A576">
            <v>1031</v>
          </cell>
          <cell r="B576" t="str">
            <v>蟠螭</v>
          </cell>
          <cell r="C576">
            <v>301.37709069804242</v>
          </cell>
          <cell r="D576">
            <v>1</v>
          </cell>
          <cell r="E576">
            <v>1</v>
          </cell>
          <cell r="F576">
            <v>15068.854534902121</v>
          </cell>
          <cell r="G576">
            <v>30.137709069804242</v>
          </cell>
        </row>
        <row r="577">
          <cell r="A577">
            <v>1032</v>
          </cell>
          <cell r="B577" t="str">
            <v>蛟龙</v>
          </cell>
          <cell r="C577">
            <v>382.11554801191522</v>
          </cell>
          <cell r="D577">
            <v>1</v>
          </cell>
          <cell r="E577">
            <v>1</v>
          </cell>
          <cell r="F577">
            <v>19105.777400595762</v>
          </cell>
          <cell r="G577">
            <v>38.211554801191525</v>
          </cell>
        </row>
        <row r="578">
          <cell r="A578">
            <v>1033</v>
          </cell>
          <cell r="B578" t="str">
            <v>角龙</v>
          </cell>
          <cell r="C578">
            <v>263.22333811573412</v>
          </cell>
          <cell r="D578">
            <v>1</v>
          </cell>
          <cell r="E578">
            <v>1</v>
          </cell>
          <cell r="F578">
            <v>13161.166905786706</v>
          </cell>
          <cell r="G578">
            <v>26.322333811573412</v>
          </cell>
        </row>
        <row r="579">
          <cell r="A579">
            <v>1034</v>
          </cell>
          <cell r="B579" t="str">
            <v>应龙</v>
          </cell>
          <cell r="C579">
            <v>480.86846787941079</v>
          </cell>
          <cell r="D579">
            <v>1</v>
          </cell>
          <cell r="E579">
            <v>1</v>
          </cell>
          <cell r="F579">
            <v>24043.423393970541</v>
          </cell>
          <cell r="G579">
            <v>48.086846787941084</v>
          </cell>
        </row>
        <row r="580">
          <cell r="A580">
            <v>1035</v>
          </cell>
          <cell r="B580" t="str">
            <v>赑屃</v>
          </cell>
          <cell r="C580">
            <v>531.02822481067631</v>
          </cell>
          <cell r="D580">
            <v>1</v>
          </cell>
          <cell r="E580">
            <v>1</v>
          </cell>
          <cell r="F580">
            <v>26551.411240533816</v>
          </cell>
          <cell r="G580">
            <v>53.102822481067633</v>
          </cell>
        </row>
        <row r="581">
          <cell r="A581">
            <v>1036</v>
          </cell>
          <cell r="B581" t="str">
            <v>鸱吻</v>
          </cell>
          <cell r="C581">
            <v>488.44538700720392</v>
          </cell>
          <cell r="D581">
            <v>1</v>
          </cell>
          <cell r="E581">
            <v>1</v>
          </cell>
          <cell r="F581">
            <v>24422.269350360195</v>
          </cell>
          <cell r="G581">
            <v>48.844538700720392</v>
          </cell>
        </row>
        <row r="582">
          <cell r="A582">
            <v>2024</v>
          </cell>
          <cell r="B582" t="str">
            <v>蒲牢</v>
          </cell>
          <cell r="C582">
            <v>555.71496891439506</v>
          </cell>
          <cell r="D582">
            <v>1</v>
          </cell>
          <cell r="E582">
            <v>2</v>
          </cell>
          <cell r="F582">
            <v>55571.496891439507</v>
          </cell>
          <cell r="G582">
            <v>111.14299378287902</v>
          </cell>
        </row>
        <row r="583">
          <cell r="A583">
            <v>2025</v>
          </cell>
          <cell r="B583" t="str">
            <v>睚眦</v>
          </cell>
          <cell r="C583">
            <v>757.3678369100719</v>
          </cell>
          <cell r="D583">
            <v>1</v>
          </cell>
          <cell r="E583">
            <v>2</v>
          </cell>
          <cell r="F583">
            <v>75736.783691007193</v>
          </cell>
          <cell r="G583">
            <v>151.47356738201438</v>
          </cell>
        </row>
        <row r="584">
          <cell r="A584">
            <v>2026</v>
          </cell>
          <cell r="B584" t="str">
            <v>饕餮</v>
          </cell>
          <cell r="C584">
            <v>729.74181881144295</v>
          </cell>
          <cell r="D584">
            <v>1</v>
          </cell>
          <cell r="E584">
            <v>2</v>
          </cell>
          <cell r="F584">
            <v>72974.181881144294</v>
          </cell>
          <cell r="G584">
            <v>145.94836376228858</v>
          </cell>
        </row>
        <row r="585">
          <cell r="A585">
            <v>2027</v>
          </cell>
          <cell r="B585" t="str">
            <v>蚣蝮</v>
          </cell>
          <cell r="C585">
            <v>845.71161729107712</v>
          </cell>
          <cell r="D585">
            <v>1</v>
          </cell>
          <cell r="E585">
            <v>2</v>
          </cell>
          <cell r="F585">
            <v>84571.161729107713</v>
          </cell>
          <cell r="G585">
            <v>169.14232345821543</v>
          </cell>
        </row>
        <row r="586">
          <cell r="A586">
            <v>2028</v>
          </cell>
          <cell r="B586" t="str">
            <v>狴犴</v>
          </cell>
          <cell r="C586">
            <v>685.93955321944816</v>
          </cell>
          <cell r="D586">
            <v>1</v>
          </cell>
          <cell r="E586">
            <v>2</v>
          </cell>
          <cell r="F586">
            <v>68593.955321944813</v>
          </cell>
          <cell r="G586">
            <v>137.18791064388964</v>
          </cell>
        </row>
        <row r="587">
          <cell r="A587">
            <v>1037</v>
          </cell>
          <cell r="B587" t="str">
            <v>狻猊</v>
          </cell>
          <cell r="C587">
            <v>576.91955288073484</v>
          </cell>
          <cell r="D587">
            <v>1</v>
          </cell>
          <cell r="E587">
            <v>1</v>
          </cell>
          <cell r="F587">
            <v>28845.977644036742</v>
          </cell>
          <cell r="G587">
            <v>57.691955288073487</v>
          </cell>
        </row>
        <row r="588">
          <cell r="A588">
            <v>1038</v>
          </cell>
          <cell r="B588" t="str">
            <v>椒图</v>
          </cell>
          <cell r="C588">
            <v>534.96617051584451</v>
          </cell>
          <cell r="D588">
            <v>1</v>
          </cell>
          <cell r="E588">
            <v>1</v>
          </cell>
          <cell r="F588">
            <v>26748.308525792225</v>
          </cell>
          <cell r="G588">
            <v>53.496617051584451</v>
          </cell>
        </row>
        <row r="589">
          <cell r="A589">
            <v>1039</v>
          </cell>
          <cell r="B589" t="str">
            <v>貔貅</v>
          </cell>
          <cell r="C589">
            <v>515.11187210219498</v>
          </cell>
          <cell r="D589">
            <v>1</v>
          </cell>
          <cell r="E589">
            <v>1</v>
          </cell>
          <cell r="F589">
            <v>25755.593605109749</v>
          </cell>
          <cell r="G589">
            <v>51.511187210219497</v>
          </cell>
        </row>
        <row r="590">
          <cell r="A590">
            <v>2029</v>
          </cell>
          <cell r="B590" t="str">
            <v>犼</v>
          </cell>
          <cell r="C590">
            <v>820.48182331924465</v>
          </cell>
          <cell r="D590">
            <v>1</v>
          </cell>
          <cell r="E590">
            <v>2</v>
          </cell>
          <cell r="F590">
            <v>82048.182331924472</v>
          </cell>
          <cell r="G590">
            <v>164.09636466384896</v>
          </cell>
        </row>
        <row r="591">
          <cell r="A591">
            <v>2030</v>
          </cell>
          <cell r="B591" t="str">
            <v>螭</v>
          </cell>
          <cell r="C591">
            <v>904.71475338115238</v>
          </cell>
          <cell r="D591">
            <v>1</v>
          </cell>
          <cell r="E591">
            <v>2</v>
          </cell>
          <cell r="F591">
            <v>90471.47533811524</v>
          </cell>
          <cell r="G591">
            <v>180.94295067623048</v>
          </cell>
        </row>
        <row r="592">
          <cell r="A592">
            <v>2031</v>
          </cell>
          <cell r="B592" t="str">
            <v>麒麟</v>
          </cell>
          <cell r="C592">
            <v>830.95282301835277</v>
          </cell>
          <cell r="D592">
            <v>1</v>
          </cell>
          <cell r="E592">
            <v>2</v>
          </cell>
          <cell r="F592">
            <v>83095.282301835279</v>
          </cell>
          <cell r="G592">
            <v>166.19056460367057</v>
          </cell>
        </row>
        <row r="593">
          <cell r="A593">
            <v>2032</v>
          </cell>
          <cell r="B593" t="str">
            <v>鱼龙</v>
          </cell>
          <cell r="C593">
            <v>737.74600327124961</v>
          </cell>
          <cell r="D593">
            <v>1</v>
          </cell>
          <cell r="E593">
            <v>2</v>
          </cell>
          <cell r="F593">
            <v>73774.600327124965</v>
          </cell>
          <cell r="G593">
            <v>147.54920065424994</v>
          </cell>
        </row>
        <row r="594">
          <cell r="A594">
            <v>1040</v>
          </cell>
          <cell r="B594" t="str">
            <v>蟠螭</v>
          </cell>
          <cell r="C594">
            <v>622.81088095079326</v>
          </cell>
          <cell r="D594">
            <v>1</v>
          </cell>
          <cell r="E594">
            <v>1</v>
          </cell>
          <cell r="F594">
            <v>31140.544047539664</v>
          </cell>
          <cell r="G594">
            <v>62.281088095079333</v>
          </cell>
        </row>
        <row r="595">
          <cell r="A595">
            <v>1041</v>
          </cell>
          <cell r="B595" t="str">
            <v>蛟龙</v>
          </cell>
          <cell r="C595">
            <v>502.29515116340406</v>
          </cell>
          <cell r="D595">
            <v>1</v>
          </cell>
          <cell r="E595">
            <v>1</v>
          </cell>
          <cell r="F595">
            <v>25114.757558170204</v>
          </cell>
          <cell r="G595">
            <v>50.229515116340409</v>
          </cell>
        </row>
        <row r="596">
          <cell r="A596">
            <v>1042</v>
          </cell>
          <cell r="B596" t="str">
            <v>赑屃</v>
          </cell>
          <cell r="C596">
            <v>476.56870532168386</v>
          </cell>
          <cell r="D596">
            <v>1</v>
          </cell>
          <cell r="E596">
            <v>1</v>
          </cell>
          <cell r="F596">
            <v>23828.435266084194</v>
          </cell>
          <cell r="G596">
            <v>47.656870532168391</v>
          </cell>
        </row>
        <row r="597">
          <cell r="A597">
            <v>1043</v>
          </cell>
          <cell r="B597" t="str">
            <v>鸱吻</v>
          </cell>
          <cell r="C597">
            <v>795.69943527187058</v>
          </cell>
          <cell r="D597">
            <v>1</v>
          </cell>
          <cell r="E597">
            <v>1</v>
          </cell>
          <cell r="F597">
            <v>39784.97176359353</v>
          </cell>
          <cell r="G597">
            <v>79.569943527187064</v>
          </cell>
        </row>
        <row r="598">
          <cell r="A598">
            <v>1044</v>
          </cell>
          <cell r="B598" t="str">
            <v>蒲牢</v>
          </cell>
          <cell r="C598">
            <v>737.78962071783872</v>
          </cell>
          <cell r="D598">
            <v>1</v>
          </cell>
          <cell r="E598">
            <v>1</v>
          </cell>
          <cell r="F598">
            <v>36889.481035891935</v>
          </cell>
          <cell r="G598">
            <v>73.778962071783866</v>
          </cell>
        </row>
        <row r="599">
          <cell r="A599">
            <v>2033</v>
          </cell>
          <cell r="B599" t="str">
            <v>睚眦</v>
          </cell>
          <cell r="C599">
            <v>830.98995695839324</v>
          </cell>
          <cell r="D599">
            <v>1</v>
          </cell>
          <cell r="E599">
            <v>2</v>
          </cell>
          <cell r="F599">
            <v>83098.99569583933</v>
          </cell>
          <cell r="G599">
            <v>166.19799139167867</v>
          </cell>
        </row>
        <row r="600">
          <cell r="A600">
            <v>2034</v>
          </cell>
          <cell r="B600" t="str">
            <v>饕餮</v>
          </cell>
          <cell r="C600">
            <v>1234.0084462267146</v>
          </cell>
          <cell r="D600">
            <v>1</v>
          </cell>
          <cell r="E600">
            <v>2</v>
          </cell>
          <cell r="F600">
            <v>123400.84462267146</v>
          </cell>
          <cell r="G600">
            <v>246.80168924534291</v>
          </cell>
        </row>
        <row r="601">
          <cell r="A601">
            <v>2035</v>
          </cell>
          <cell r="B601" t="str">
            <v>蚣蝮</v>
          </cell>
          <cell r="C601">
            <v>1089.0936724446408</v>
          </cell>
          <cell r="D601">
            <v>1</v>
          </cell>
          <cell r="E601">
            <v>2</v>
          </cell>
          <cell r="F601">
            <v>108909.36724446408</v>
          </cell>
          <cell r="G601">
            <v>217.81873448892816</v>
          </cell>
        </row>
        <row r="602">
          <cell r="A602">
            <v>1045</v>
          </cell>
          <cell r="B602" t="str">
            <v>狴犴</v>
          </cell>
          <cell r="C602">
            <v>840.65420562621364</v>
          </cell>
          <cell r="D602">
            <v>1</v>
          </cell>
          <cell r="E602">
            <v>1</v>
          </cell>
          <cell r="F602">
            <v>42032.710281310683</v>
          </cell>
          <cell r="G602">
            <v>84.06542056262137</v>
          </cell>
        </row>
        <row r="603">
          <cell r="A603">
            <v>2036</v>
          </cell>
          <cell r="B603" t="str">
            <v>狻猊</v>
          </cell>
          <cell r="C603">
            <v>1168.5103769469681</v>
          </cell>
          <cell r="D603">
            <v>1</v>
          </cell>
          <cell r="E603">
            <v>2</v>
          </cell>
          <cell r="F603">
            <v>116851.03769469682</v>
          </cell>
          <cell r="G603">
            <v>233.70207538939363</v>
          </cell>
        </row>
        <row r="604">
          <cell r="A604">
            <v>2037</v>
          </cell>
          <cell r="B604" t="str">
            <v>椒图</v>
          </cell>
          <cell r="C604">
            <v>1170.226648453496</v>
          </cell>
          <cell r="D604">
            <v>1</v>
          </cell>
          <cell r="E604">
            <v>2</v>
          </cell>
          <cell r="F604">
            <v>117022.6648453496</v>
          </cell>
          <cell r="G604">
            <v>234.04532969069922</v>
          </cell>
        </row>
        <row r="605">
          <cell r="A605">
            <v>2038</v>
          </cell>
          <cell r="B605" t="str">
            <v>貔貅</v>
          </cell>
          <cell r="C605">
            <v>1301.4406017582291</v>
          </cell>
          <cell r="D605">
            <v>1</v>
          </cell>
          <cell r="E605">
            <v>2</v>
          </cell>
          <cell r="F605">
            <v>130144.06017582292</v>
          </cell>
          <cell r="G605">
            <v>260.28812035164583</v>
          </cell>
        </row>
        <row r="606">
          <cell r="A606">
            <v>2039</v>
          </cell>
          <cell r="B606" t="str">
            <v>犼</v>
          </cell>
          <cell r="C606">
            <v>1205.6059444690939</v>
          </cell>
          <cell r="D606">
            <v>1</v>
          </cell>
          <cell r="E606">
            <v>2</v>
          </cell>
          <cell r="F606">
            <v>120560.59444690938</v>
          </cell>
          <cell r="G606">
            <v>241.12118889381875</v>
          </cell>
        </row>
        <row r="607">
          <cell r="A607">
            <v>2040</v>
          </cell>
          <cell r="B607" t="str">
            <v>螭</v>
          </cell>
          <cell r="C607">
            <v>804.72029955747189</v>
          </cell>
          <cell r="D607">
            <v>1</v>
          </cell>
          <cell r="E607">
            <v>2</v>
          </cell>
          <cell r="F607">
            <v>80472.029955747188</v>
          </cell>
          <cell r="G607">
            <v>160.94405991149438</v>
          </cell>
        </row>
        <row r="608">
          <cell r="A608">
            <v>2041</v>
          </cell>
          <cell r="B608" t="str">
            <v>麒麟</v>
          </cell>
          <cell r="C608">
            <v>1070.9650187305438</v>
          </cell>
          <cell r="D608">
            <v>1</v>
          </cell>
          <cell r="E608">
            <v>2</v>
          </cell>
          <cell r="F608">
            <v>107096.50187305438</v>
          </cell>
          <cell r="G608">
            <v>214.19300374610876</v>
          </cell>
        </row>
        <row r="609">
          <cell r="A609">
            <v>1046</v>
          </cell>
          <cell r="B609" t="str">
            <v>鱼龙</v>
          </cell>
          <cell r="C609">
            <v>788.85703841936129</v>
          </cell>
          <cell r="D609">
            <v>1</v>
          </cell>
          <cell r="E609">
            <v>1</v>
          </cell>
          <cell r="F609">
            <v>39442.851920968067</v>
          </cell>
          <cell r="G609">
            <v>78.885703841936134</v>
          </cell>
        </row>
        <row r="610">
          <cell r="A610">
            <v>1047</v>
          </cell>
          <cell r="B610" t="str">
            <v>蟠螭</v>
          </cell>
          <cell r="C610">
            <v>728.32796918693589</v>
          </cell>
          <cell r="D610">
            <v>1</v>
          </cell>
          <cell r="E610">
            <v>1</v>
          </cell>
          <cell r="F610">
            <v>36416.398459346798</v>
          </cell>
          <cell r="G610">
            <v>72.832796918693603</v>
          </cell>
        </row>
        <row r="611">
          <cell r="A611">
            <v>1048</v>
          </cell>
          <cell r="B611" t="str">
            <v>蛟龙</v>
          </cell>
          <cell r="C611">
            <v>844.95459355953597</v>
          </cell>
          <cell r="D611">
            <v>1</v>
          </cell>
          <cell r="E611">
            <v>1</v>
          </cell>
          <cell r="F611">
            <v>42247.7296779768</v>
          </cell>
          <cell r="G611">
            <v>84.495459355953599</v>
          </cell>
        </row>
        <row r="612">
          <cell r="A612">
            <v>1049</v>
          </cell>
          <cell r="B612" t="str">
            <v>角龙</v>
          </cell>
          <cell r="C612">
            <v>845.50407061037936</v>
          </cell>
          <cell r="D612">
            <v>1</v>
          </cell>
          <cell r="E612">
            <v>1</v>
          </cell>
          <cell r="F612">
            <v>42275.203530518971</v>
          </cell>
          <cell r="G612">
            <v>84.550407061037944</v>
          </cell>
        </row>
        <row r="613">
          <cell r="A613">
            <v>1050</v>
          </cell>
          <cell r="B613" t="str">
            <v>应龙</v>
          </cell>
          <cell r="C613">
            <v>939.55470040576813</v>
          </cell>
          <cell r="D613">
            <v>1</v>
          </cell>
          <cell r="E613">
            <v>1</v>
          </cell>
          <cell r="F613">
            <v>46977.735020288404</v>
          </cell>
          <cell r="G613">
            <v>93.955470040576813</v>
          </cell>
        </row>
        <row r="614">
          <cell r="A614">
            <v>101101</v>
          </cell>
          <cell r="B614" t="str">
            <v>亚芝</v>
          </cell>
          <cell r="C614">
            <v>25.55355230742893</v>
          </cell>
          <cell r="D614">
            <v>1</v>
          </cell>
          <cell r="E614">
            <v>97.5</v>
          </cell>
          <cell r="F614">
            <v>125000</v>
          </cell>
          <cell r="G614">
            <v>250</v>
          </cell>
        </row>
        <row r="615">
          <cell r="A615">
            <v>101102</v>
          </cell>
          <cell r="B615" t="str">
            <v>蟹仔</v>
          </cell>
          <cell r="C615">
            <v>25.55355230742893</v>
          </cell>
          <cell r="D615">
            <v>1</v>
          </cell>
          <cell r="E615">
            <v>97.5</v>
          </cell>
          <cell r="F615">
            <v>125000</v>
          </cell>
          <cell r="G615">
            <v>250</v>
          </cell>
        </row>
        <row r="616">
          <cell r="A616">
            <v>101103</v>
          </cell>
          <cell r="B616" t="str">
            <v>比利</v>
          </cell>
          <cell r="C616">
            <v>25.55355230742893</v>
          </cell>
          <cell r="D616">
            <v>1</v>
          </cell>
          <cell r="E616">
            <v>97.5</v>
          </cell>
          <cell r="F616">
            <v>125000</v>
          </cell>
          <cell r="G616">
            <v>250</v>
          </cell>
        </row>
        <row r="617">
          <cell r="A617">
            <v>101104</v>
          </cell>
          <cell r="B617" t="str">
            <v>黎九</v>
          </cell>
          <cell r="C617">
            <v>25.55355230742893</v>
          </cell>
          <cell r="D617">
            <v>1</v>
          </cell>
          <cell r="E617">
            <v>97.5</v>
          </cell>
          <cell r="F617">
            <v>125000</v>
          </cell>
          <cell r="G617">
            <v>250</v>
          </cell>
        </row>
        <row r="618">
          <cell r="A618">
            <v>101105</v>
          </cell>
          <cell r="B618" t="str">
            <v>黑古</v>
          </cell>
          <cell r="C618">
            <v>25.55355230742893</v>
          </cell>
          <cell r="D618">
            <v>1</v>
          </cell>
          <cell r="E618">
            <v>97.5</v>
          </cell>
          <cell r="F618">
            <v>125000</v>
          </cell>
          <cell r="G618">
            <v>250</v>
          </cell>
        </row>
        <row r="619">
          <cell r="A619">
            <v>101106</v>
          </cell>
          <cell r="B619" t="str">
            <v>靓坤</v>
          </cell>
          <cell r="C619">
            <v>51.10710461485786</v>
          </cell>
          <cell r="D619">
            <v>1</v>
          </cell>
          <cell r="E619">
            <v>97.5</v>
          </cell>
          <cell r="F619">
            <v>250000</v>
          </cell>
          <cell r="G619">
            <v>500</v>
          </cell>
        </row>
        <row r="620">
          <cell r="A620">
            <v>101107</v>
          </cell>
          <cell r="B620" t="str">
            <v>乌鸦</v>
          </cell>
          <cell r="C620">
            <v>51.10710461485786</v>
          </cell>
          <cell r="D620">
            <v>1</v>
          </cell>
          <cell r="E620">
            <v>97.5</v>
          </cell>
          <cell r="F620">
            <v>250000</v>
          </cell>
          <cell r="G620">
            <v>500</v>
          </cell>
        </row>
        <row r="621">
          <cell r="A621">
            <v>101108</v>
          </cell>
          <cell r="B621" t="str">
            <v>肥仔</v>
          </cell>
          <cell r="C621">
            <v>51.10710461485786</v>
          </cell>
          <cell r="D621">
            <v>1</v>
          </cell>
          <cell r="E621">
            <v>97.5</v>
          </cell>
          <cell r="F621">
            <v>250000</v>
          </cell>
          <cell r="G621">
            <v>500</v>
          </cell>
        </row>
        <row r="622">
          <cell r="A622">
            <v>101109</v>
          </cell>
          <cell r="B622" t="str">
            <v>司徒浩南</v>
          </cell>
          <cell r="C622">
            <v>102.21420922971572</v>
          </cell>
          <cell r="D622">
            <v>1</v>
          </cell>
          <cell r="E622">
            <v>97.5</v>
          </cell>
          <cell r="F622">
            <v>500000</v>
          </cell>
          <cell r="G622">
            <v>1000</v>
          </cell>
        </row>
        <row r="623">
          <cell r="A623">
            <v>101110</v>
          </cell>
          <cell r="B623" t="str">
            <v>赌王</v>
          </cell>
          <cell r="C623">
            <v>102.21420922971572</v>
          </cell>
          <cell r="D623">
            <v>1</v>
          </cell>
          <cell r="E623">
            <v>97.5</v>
          </cell>
          <cell r="F623">
            <v>500000</v>
          </cell>
          <cell r="G623">
            <v>1000</v>
          </cell>
        </row>
        <row r="624">
          <cell r="A624">
            <v>101111</v>
          </cell>
          <cell r="B624" t="str">
            <v>赌王</v>
          </cell>
          <cell r="C624">
            <v>102.21420922971572</v>
          </cell>
          <cell r="D624">
            <v>1</v>
          </cell>
          <cell r="E624">
            <v>97.5</v>
          </cell>
          <cell r="F624">
            <v>500000</v>
          </cell>
          <cell r="G624">
            <v>1000</v>
          </cell>
        </row>
        <row r="625">
          <cell r="A625">
            <v>101112</v>
          </cell>
          <cell r="B625" t="str">
            <v>山下忠秀</v>
          </cell>
          <cell r="C625">
            <v>102.21420922971572</v>
          </cell>
          <cell r="D625">
            <v>1</v>
          </cell>
          <cell r="E625">
            <v>97.5</v>
          </cell>
          <cell r="F625">
            <v>500000</v>
          </cell>
          <cell r="G625">
            <v>1000</v>
          </cell>
        </row>
        <row r="626">
          <cell r="A626">
            <v>101113</v>
          </cell>
          <cell r="B626" t="str">
            <v>宫本一</v>
          </cell>
          <cell r="C626">
            <v>102.21420922971572</v>
          </cell>
          <cell r="D626">
            <v>1</v>
          </cell>
          <cell r="E626">
            <v>97.5</v>
          </cell>
          <cell r="F626">
            <v>500000</v>
          </cell>
          <cell r="G626">
            <v>1000</v>
          </cell>
        </row>
        <row r="627">
          <cell r="A627">
            <v>101114</v>
          </cell>
          <cell r="B627" t="str">
            <v>陈浩南</v>
          </cell>
          <cell r="C627">
            <v>153.32131384457352</v>
          </cell>
          <cell r="D627">
            <v>1</v>
          </cell>
          <cell r="E627">
            <v>97.5</v>
          </cell>
          <cell r="F627">
            <v>750000</v>
          </cell>
          <cell r="G627">
            <v>1500</v>
          </cell>
        </row>
        <row r="628">
          <cell r="A628">
            <v>101115</v>
          </cell>
          <cell r="B628" t="str">
            <v>山鸡</v>
          </cell>
          <cell r="C628">
            <v>153.32131384457352</v>
          </cell>
          <cell r="D628">
            <v>1</v>
          </cell>
          <cell r="E628">
            <v>97.5</v>
          </cell>
          <cell r="F628">
            <v>750000</v>
          </cell>
          <cell r="G628">
            <v>1500</v>
          </cell>
        </row>
        <row r="629">
          <cell r="A629">
            <v>101116</v>
          </cell>
          <cell r="B629" t="str">
            <v>大天二</v>
          </cell>
          <cell r="C629">
            <v>153.32131384457352</v>
          </cell>
          <cell r="D629">
            <v>1</v>
          </cell>
          <cell r="E629">
            <v>97.5</v>
          </cell>
          <cell r="F629">
            <v>750000</v>
          </cell>
          <cell r="G629">
            <v>1500</v>
          </cell>
        </row>
        <row r="630">
          <cell r="A630">
            <v>101117</v>
          </cell>
          <cell r="B630" t="str">
            <v>巴闭</v>
          </cell>
          <cell r="C630">
            <v>51.10710461485786</v>
          </cell>
          <cell r="D630">
            <v>2</v>
          </cell>
          <cell r="E630">
            <v>97.5</v>
          </cell>
          <cell r="F630">
            <v>250000</v>
          </cell>
          <cell r="G630">
            <v>500</v>
          </cell>
        </row>
        <row r="631">
          <cell r="A631">
            <v>101118</v>
          </cell>
          <cell r="B631" t="str">
            <v>耀阳</v>
          </cell>
          <cell r="C631">
            <v>102.21420922971572</v>
          </cell>
          <cell r="D631">
            <v>3</v>
          </cell>
          <cell r="E631">
            <v>97.5</v>
          </cell>
          <cell r="F631">
            <v>500000</v>
          </cell>
          <cell r="G631">
            <v>1000</v>
          </cell>
        </row>
        <row r="632">
          <cell r="A632">
            <v>101119</v>
          </cell>
          <cell r="B632" t="str">
            <v>笑面虎</v>
          </cell>
          <cell r="C632">
            <v>102.21420922971572</v>
          </cell>
          <cell r="D632">
            <v>4</v>
          </cell>
          <cell r="E632">
            <v>97.5</v>
          </cell>
          <cell r="F632">
            <v>500000</v>
          </cell>
          <cell r="G632">
            <v>1000</v>
          </cell>
        </row>
      </sheetData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_技能表"/>
      <sheetName val="D_技能表CD"/>
      <sheetName val="金币生产率"/>
      <sheetName val="消耗&amp;价值&amp;分析"/>
      <sheetName val="伤害参考系"/>
      <sheetName val="技能配置辅助表"/>
      <sheetName val="技能CD配置辅助表"/>
      <sheetName val="升级时间"/>
    </sheetNames>
    <sheetDataSet>
      <sheetData sheetId="0">
        <row r="1">
          <cell r="A1" t="str">
            <v>ID</v>
          </cell>
          <cell r="B1" t="str">
            <v>技能名称</v>
          </cell>
          <cell r="C1" t="str">
            <v>辅助技能名称</v>
          </cell>
          <cell r="D1" t="str">
            <v>职业</v>
          </cell>
          <cell r="E1" t="str">
            <v>解锁等级</v>
          </cell>
          <cell r="F1" t="str">
            <v>技能说明</v>
          </cell>
          <cell r="G1" t="str">
            <v>辅助技能段数</v>
          </cell>
          <cell r="H1" t="str">
            <v>技能段数</v>
          </cell>
          <cell r="I1" t="str">
            <v>技能等级</v>
          </cell>
          <cell r="J1" t="str">
            <v>技能类型</v>
          </cell>
          <cell r="K1" t="str">
            <v>技能伤害系数</v>
          </cell>
          <cell r="L1" t="str">
            <v>真实伤害</v>
          </cell>
          <cell r="M1" t="str">
            <v>技能CD</v>
          </cell>
          <cell r="N1" t="str">
            <v>消耗金币</v>
          </cell>
          <cell r="O1" t="str">
            <v>顺序</v>
          </cell>
          <cell r="P1" t="str">
            <v>攻击框个数</v>
          </cell>
          <cell r="Q1" t="str">
            <v>次数</v>
          </cell>
          <cell r="R1" t="str">
            <v>开启等级</v>
          </cell>
          <cell r="S1" t="str">
            <v>总技能等级</v>
          </cell>
          <cell r="T1" t="str">
            <v>伤害系数</v>
          </cell>
          <cell r="U1" t="str">
            <v>初始金币</v>
          </cell>
          <cell r="V1" t="str">
            <v>总伤害系数</v>
          </cell>
          <cell r="W1" t="str">
            <v>战斗力</v>
          </cell>
          <cell r="X1" t="str">
            <v>总战斗力</v>
          </cell>
          <cell r="Y1" t="str">
            <v>需要物品等级</v>
          </cell>
          <cell r="Z1" t="str">
            <v>需求物品数量</v>
          </cell>
        </row>
        <row r="2">
          <cell r="A2">
            <v>9111000</v>
          </cell>
          <cell r="B2" t="str">
            <v>瞬狱·斩</v>
          </cell>
          <cell r="C2" t="str">
            <v>瞬狱·斩</v>
          </cell>
          <cell r="D2">
            <v>1</v>
          </cell>
          <cell r="E2">
            <v>2</v>
          </cell>
          <cell r="F2" t="str">
            <v>第0级，共造成214.3%点伤害</v>
          </cell>
          <cell r="G2">
            <v>0</v>
          </cell>
          <cell r="H2">
            <v>1</v>
          </cell>
          <cell r="I2">
            <v>0</v>
          </cell>
          <cell r="J2">
            <v>1</v>
          </cell>
          <cell r="K2">
            <v>19.480519480519479</v>
          </cell>
          <cell r="L2">
            <v>0</v>
          </cell>
          <cell r="M2">
            <v>10000</v>
          </cell>
          <cell r="N2">
            <v>0</v>
          </cell>
          <cell r="O2">
            <v>1</v>
          </cell>
          <cell r="P2">
            <v>1</v>
          </cell>
          <cell r="Q2">
            <v>10</v>
          </cell>
          <cell r="R2">
            <v>2</v>
          </cell>
          <cell r="S2">
            <v>50</v>
          </cell>
          <cell r="T2">
            <v>19.480519480519479</v>
          </cell>
          <cell r="U2">
            <v>56</v>
          </cell>
          <cell r="V2">
            <v>214.28571428571428</v>
          </cell>
          <cell r="W2">
            <v>0</v>
          </cell>
          <cell r="X2">
            <v>0</v>
          </cell>
          <cell r="Y2">
            <v>18</v>
          </cell>
          <cell r="Z2">
            <v>0</v>
          </cell>
        </row>
        <row r="3">
          <cell r="A3">
            <v>9111101</v>
          </cell>
          <cell r="B3" t="str">
            <v>瞬狱·斩</v>
          </cell>
          <cell r="C3" t="str">
            <v>瞬狱·斩</v>
          </cell>
          <cell r="D3">
            <v>1</v>
          </cell>
          <cell r="E3">
            <v>2</v>
          </cell>
          <cell r="F3" t="str">
            <v>第1级，共造成214.3%点伤害</v>
          </cell>
          <cell r="G3">
            <v>1</v>
          </cell>
          <cell r="H3">
            <v>1</v>
          </cell>
          <cell r="I3">
            <v>1</v>
          </cell>
          <cell r="J3">
            <v>1</v>
          </cell>
          <cell r="K3">
            <v>19.480519480519479</v>
          </cell>
          <cell r="L3">
            <v>0</v>
          </cell>
          <cell r="M3">
            <v>10000</v>
          </cell>
          <cell r="N3">
            <v>448</v>
          </cell>
          <cell r="O3">
            <v>1</v>
          </cell>
          <cell r="P3">
            <v>1</v>
          </cell>
          <cell r="Q3">
            <v>10</v>
          </cell>
          <cell r="R3">
            <v>2</v>
          </cell>
          <cell r="S3">
            <v>50</v>
          </cell>
          <cell r="T3">
            <v>19.480519480519479</v>
          </cell>
          <cell r="U3">
            <v>56</v>
          </cell>
          <cell r="V3">
            <v>214.28571428571428</v>
          </cell>
          <cell r="W3">
            <v>8</v>
          </cell>
          <cell r="X3">
            <v>8</v>
          </cell>
          <cell r="Y3">
            <v>18</v>
          </cell>
          <cell r="Z3">
            <v>0</v>
          </cell>
        </row>
        <row r="4">
          <cell r="A4">
            <v>9111102</v>
          </cell>
          <cell r="B4" t="str">
            <v>瞬狱·斩</v>
          </cell>
          <cell r="C4" t="str">
            <v>瞬狱·斩</v>
          </cell>
          <cell r="D4">
            <v>1</v>
          </cell>
          <cell r="E4">
            <v>2</v>
          </cell>
          <cell r="F4" t="str">
            <v>第2级，共造成218.6%点伤害</v>
          </cell>
          <cell r="G4">
            <v>1</v>
          </cell>
          <cell r="H4">
            <v>1</v>
          </cell>
          <cell r="I4">
            <v>2</v>
          </cell>
          <cell r="J4">
            <v>1</v>
          </cell>
          <cell r="K4">
            <v>19.870129870129869</v>
          </cell>
          <cell r="L4">
            <v>0</v>
          </cell>
          <cell r="M4">
            <v>9800</v>
          </cell>
          <cell r="N4">
            <v>504</v>
          </cell>
          <cell r="O4">
            <v>1</v>
          </cell>
          <cell r="P4">
            <v>1</v>
          </cell>
          <cell r="Q4">
            <v>10</v>
          </cell>
          <cell r="R4">
            <v>2</v>
          </cell>
          <cell r="S4">
            <v>50</v>
          </cell>
          <cell r="T4">
            <v>19.480519480519479</v>
          </cell>
          <cell r="U4">
            <v>56</v>
          </cell>
          <cell r="V4">
            <v>214.28571428571428</v>
          </cell>
          <cell r="W4">
            <v>9</v>
          </cell>
          <cell r="X4">
            <v>17</v>
          </cell>
          <cell r="Y4">
            <v>18</v>
          </cell>
          <cell r="Z4">
            <v>0</v>
          </cell>
        </row>
        <row r="5">
          <cell r="A5">
            <v>9111103</v>
          </cell>
          <cell r="B5" t="str">
            <v>瞬狱·斩</v>
          </cell>
          <cell r="C5" t="str">
            <v>瞬狱·斩</v>
          </cell>
          <cell r="D5">
            <v>1</v>
          </cell>
          <cell r="E5">
            <v>7</v>
          </cell>
          <cell r="F5" t="str">
            <v>第3级，共造成220.7%点伤害</v>
          </cell>
          <cell r="G5">
            <v>1</v>
          </cell>
          <cell r="H5">
            <v>1</v>
          </cell>
          <cell r="I5">
            <v>3</v>
          </cell>
          <cell r="J5">
            <v>1</v>
          </cell>
          <cell r="K5">
            <v>20.064935064935064</v>
          </cell>
          <cell r="L5">
            <v>0</v>
          </cell>
          <cell r="M5">
            <v>9700</v>
          </cell>
          <cell r="N5">
            <v>860</v>
          </cell>
          <cell r="O5">
            <v>1</v>
          </cell>
          <cell r="P5">
            <v>1</v>
          </cell>
          <cell r="Q5">
            <v>10</v>
          </cell>
          <cell r="R5">
            <v>2</v>
          </cell>
          <cell r="S5">
            <v>50</v>
          </cell>
          <cell r="T5">
            <v>19.480519480519479</v>
          </cell>
          <cell r="U5">
            <v>86</v>
          </cell>
          <cell r="V5">
            <v>214.28571428571428</v>
          </cell>
          <cell r="W5">
            <v>10</v>
          </cell>
          <cell r="X5">
            <v>27</v>
          </cell>
          <cell r="Y5">
            <v>18</v>
          </cell>
          <cell r="Z5">
            <v>0</v>
          </cell>
        </row>
        <row r="6">
          <cell r="A6">
            <v>9111104</v>
          </cell>
          <cell r="B6" t="str">
            <v>瞬狱·斩</v>
          </cell>
          <cell r="C6" t="str">
            <v>瞬狱·斩</v>
          </cell>
          <cell r="D6">
            <v>1</v>
          </cell>
          <cell r="E6">
            <v>8</v>
          </cell>
          <cell r="F6" t="str">
            <v>第4级，共造成222.9%点伤害</v>
          </cell>
          <cell r="G6">
            <v>1</v>
          </cell>
          <cell r="H6">
            <v>1</v>
          </cell>
          <cell r="I6">
            <v>4</v>
          </cell>
          <cell r="J6">
            <v>1</v>
          </cell>
          <cell r="K6">
            <v>20.259740259740258</v>
          </cell>
          <cell r="L6">
            <v>0</v>
          </cell>
          <cell r="M6">
            <v>9600</v>
          </cell>
          <cell r="N6">
            <v>920</v>
          </cell>
          <cell r="O6">
            <v>1</v>
          </cell>
          <cell r="P6">
            <v>1</v>
          </cell>
          <cell r="Q6">
            <v>10</v>
          </cell>
          <cell r="R6">
            <v>2</v>
          </cell>
          <cell r="S6">
            <v>50</v>
          </cell>
          <cell r="T6">
            <v>19.480519480519479</v>
          </cell>
          <cell r="U6">
            <v>92</v>
          </cell>
          <cell r="V6">
            <v>214.28571428571428</v>
          </cell>
          <cell r="W6">
            <v>10</v>
          </cell>
          <cell r="X6">
            <v>37</v>
          </cell>
          <cell r="Y6">
            <v>18</v>
          </cell>
          <cell r="Z6">
            <v>0</v>
          </cell>
        </row>
        <row r="7">
          <cell r="A7">
            <v>9111105</v>
          </cell>
          <cell r="B7" t="str">
            <v>瞬狱·斩</v>
          </cell>
          <cell r="C7" t="str">
            <v>瞬狱·斩</v>
          </cell>
          <cell r="D7">
            <v>1</v>
          </cell>
          <cell r="E7">
            <v>10</v>
          </cell>
          <cell r="F7" t="str">
            <v>第5级，共造成225%点伤害</v>
          </cell>
          <cell r="G7">
            <v>1</v>
          </cell>
          <cell r="H7">
            <v>1</v>
          </cell>
          <cell r="I7">
            <v>5</v>
          </cell>
          <cell r="J7">
            <v>1</v>
          </cell>
          <cell r="K7">
            <v>20.454545454545453</v>
          </cell>
          <cell r="L7">
            <v>0</v>
          </cell>
          <cell r="M7">
            <v>9500</v>
          </cell>
          <cell r="N7">
            <v>1144</v>
          </cell>
          <cell r="O7">
            <v>1</v>
          </cell>
          <cell r="P7">
            <v>1</v>
          </cell>
          <cell r="Q7">
            <v>10</v>
          </cell>
          <cell r="R7">
            <v>2</v>
          </cell>
          <cell r="S7">
            <v>50</v>
          </cell>
          <cell r="T7">
            <v>19.480519480519479</v>
          </cell>
          <cell r="U7">
            <v>104</v>
          </cell>
          <cell r="V7">
            <v>214.28571428571428</v>
          </cell>
          <cell r="W7">
            <v>11</v>
          </cell>
          <cell r="X7">
            <v>48</v>
          </cell>
          <cell r="Y7">
            <v>18</v>
          </cell>
          <cell r="Z7">
            <v>0</v>
          </cell>
        </row>
        <row r="8">
          <cell r="A8">
            <v>9111106</v>
          </cell>
          <cell r="B8" t="str">
            <v>瞬狱·斩</v>
          </cell>
          <cell r="C8" t="str">
            <v>瞬狱·斩</v>
          </cell>
          <cell r="D8">
            <v>1</v>
          </cell>
          <cell r="E8">
            <v>11</v>
          </cell>
          <cell r="F8" t="str">
            <v>第6级，共造成227.1%点伤害</v>
          </cell>
          <cell r="G8">
            <v>1</v>
          </cell>
          <cell r="H8">
            <v>1</v>
          </cell>
          <cell r="I8">
            <v>6</v>
          </cell>
          <cell r="J8">
            <v>1</v>
          </cell>
          <cell r="K8">
            <v>20.649350649350648</v>
          </cell>
          <cell r="L8">
            <v>0</v>
          </cell>
          <cell r="M8">
            <v>9400</v>
          </cell>
          <cell r="N8">
            <v>1320</v>
          </cell>
          <cell r="O8">
            <v>1</v>
          </cell>
          <cell r="P8">
            <v>1</v>
          </cell>
          <cell r="Q8">
            <v>10</v>
          </cell>
          <cell r="R8">
            <v>2</v>
          </cell>
          <cell r="S8">
            <v>50</v>
          </cell>
          <cell r="T8">
            <v>19.480519480519479</v>
          </cell>
          <cell r="U8">
            <v>110</v>
          </cell>
          <cell r="V8">
            <v>214.28571428571428</v>
          </cell>
          <cell r="W8">
            <v>12</v>
          </cell>
          <cell r="X8">
            <v>60</v>
          </cell>
          <cell r="Y8">
            <v>18</v>
          </cell>
          <cell r="Z8">
            <v>0</v>
          </cell>
        </row>
        <row r="9">
          <cell r="A9">
            <v>9111107</v>
          </cell>
          <cell r="B9" t="str">
            <v>瞬狱·斩</v>
          </cell>
          <cell r="C9" t="str">
            <v>瞬狱·斩</v>
          </cell>
          <cell r="D9">
            <v>1</v>
          </cell>
          <cell r="E9">
            <v>13</v>
          </cell>
          <cell r="F9" t="str">
            <v>第7级，共造成229.3%点伤害</v>
          </cell>
          <cell r="G9">
            <v>1</v>
          </cell>
          <cell r="H9">
            <v>1</v>
          </cell>
          <cell r="I9">
            <v>7</v>
          </cell>
          <cell r="J9">
            <v>1</v>
          </cell>
          <cell r="K9">
            <v>20.844155844155843</v>
          </cell>
          <cell r="L9">
            <v>0</v>
          </cell>
          <cell r="M9">
            <v>9300</v>
          </cell>
          <cell r="N9">
            <v>1464</v>
          </cell>
          <cell r="O9">
            <v>1</v>
          </cell>
          <cell r="P9">
            <v>1</v>
          </cell>
          <cell r="Q9">
            <v>10</v>
          </cell>
          <cell r="R9">
            <v>2</v>
          </cell>
          <cell r="S9">
            <v>50</v>
          </cell>
          <cell r="T9">
            <v>19.480519480519479</v>
          </cell>
          <cell r="U9">
            <v>122</v>
          </cell>
          <cell r="V9">
            <v>214.28571428571428</v>
          </cell>
          <cell r="W9">
            <v>12</v>
          </cell>
          <cell r="X9">
            <v>72</v>
          </cell>
          <cell r="Y9">
            <v>18</v>
          </cell>
          <cell r="Z9">
            <v>0</v>
          </cell>
        </row>
        <row r="10">
          <cell r="A10">
            <v>9111108</v>
          </cell>
          <cell r="B10" t="str">
            <v>瞬狱·斩</v>
          </cell>
          <cell r="C10" t="str">
            <v>瞬狱·斩</v>
          </cell>
          <cell r="D10">
            <v>1</v>
          </cell>
          <cell r="E10">
            <v>14</v>
          </cell>
          <cell r="F10" t="str">
            <v>第8级，共造成231.4%点伤害</v>
          </cell>
          <cell r="G10">
            <v>1</v>
          </cell>
          <cell r="H10">
            <v>1</v>
          </cell>
          <cell r="I10">
            <v>8</v>
          </cell>
          <cell r="J10">
            <v>1</v>
          </cell>
          <cell r="K10">
            <v>21.038961038961038</v>
          </cell>
          <cell r="L10">
            <v>0</v>
          </cell>
          <cell r="M10">
            <v>9200</v>
          </cell>
          <cell r="N10">
            <v>1664</v>
          </cell>
          <cell r="O10">
            <v>1</v>
          </cell>
          <cell r="P10">
            <v>1</v>
          </cell>
          <cell r="Q10">
            <v>10</v>
          </cell>
          <cell r="R10">
            <v>2</v>
          </cell>
          <cell r="S10">
            <v>50</v>
          </cell>
          <cell r="T10">
            <v>19.480519480519479</v>
          </cell>
          <cell r="U10">
            <v>128</v>
          </cell>
          <cell r="V10">
            <v>214.28571428571428</v>
          </cell>
          <cell r="W10">
            <v>13</v>
          </cell>
          <cell r="X10">
            <v>85</v>
          </cell>
          <cell r="Y10">
            <v>18</v>
          </cell>
          <cell r="Z10">
            <v>0</v>
          </cell>
        </row>
        <row r="11">
          <cell r="A11">
            <v>9111109</v>
          </cell>
          <cell r="B11" t="str">
            <v>瞬狱·斩</v>
          </cell>
          <cell r="C11" t="str">
            <v>瞬狱·斩</v>
          </cell>
          <cell r="D11">
            <v>1</v>
          </cell>
          <cell r="E11">
            <v>16</v>
          </cell>
          <cell r="F11" t="str">
            <v>第9级，共造成233.6%点伤害</v>
          </cell>
          <cell r="G11">
            <v>1</v>
          </cell>
          <cell r="H11">
            <v>1</v>
          </cell>
          <cell r="I11">
            <v>9</v>
          </cell>
          <cell r="J11">
            <v>1</v>
          </cell>
          <cell r="K11">
            <v>21.233766233766232</v>
          </cell>
          <cell r="L11">
            <v>0</v>
          </cell>
          <cell r="M11">
            <v>9100</v>
          </cell>
          <cell r="N11">
            <v>1960</v>
          </cell>
          <cell r="O11">
            <v>1</v>
          </cell>
          <cell r="P11">
            <v>1</v>
          </cell>
          <cell r="Q11">
            <v>10</v>
          </cell>
          <cell r="R11">
            <v>2</v>
          </cell>
          <cell r="S11">
            <v>50</v>
          </cell>
          <cell r="T11">
            <v>19.480519480519479</v>
          </cell>
          <cell r="U11">
            <v>140</v>
          </cell>
          <cell r="V11">
            <v>214.28571428571428</v>
          </cell>
          <cell r="W11">
            <v>14</v>
          </cell>
          <cell r="X11">
            <v>99</v>
          </cell>
          <cell r="Y11">
            <v>18</v>
          </cell>
          <cell r="Z11">
            <v>0</v>
          </cell>
        </row>
        <row r="12">
          <cell r="A12">
            <v>9111110</v>
          </cell>
          <cell r="B12" t="str">
            <v>瞬狱·斩</v>
          </cell>
          <cell r="C12" t="str">
            <v>瞬狱·斩</v>
          </cell>
          <cell r="D12">
            <v>1</v>
          </cell>
          <cell r="E12">
            <v>18</v>
          </cell>
          <cell r="F12" t="str">
            <v>第10级，共造成235.7%点伤害</v>
          </cell>
          <cell r="G12">
            <v>1</v>
          </cell>
          <cell r="H12">
            <v>1</v>
          </cell>
          <cell r="I12">
            <v>10</v>
          </cell>
          <cell r="J12">
            <v>1</v>
          </cell>
          <cell r="K12">
            <v>21.428571428571427</v>
          </cell>
          <cell r="L12">
            <v>0</v>
          </cell>
          <cell r="M12">
            <v>9000</v>
          </cell>
          <cell r="N12">
            <v>2280</v>
          </cell>
          <cell r="O12">
            <v>1</v>
          </cell>
          <cell r="P12">
            <v>1</v>
          </cell>
          <cell r="Q12">
            <v>10</v>
          </cell>
          <cell r="R12">
            <v>2</v>
          </cell>
          <cell r="S12">
            <v>50</v>
          </cell>
          <cell r="T12">
            <v>19.480519480519479</v>
          </cell>
          <cell r="U12">
            <v>152</v>
          </cell>
          <cell r="V12">
            <v>214.28571428571428</v>
          </cell>
          <cell r="W12">
            <v>15</v>
          </cell>
          <cell r="X12">
            <v>114</v>
          </cell>
          <cell r="Y12">
            <v>18</v>
          </cell>
          <cell r="Z12">
            <v>0</v>
          </cell>
        </row>
        <row r="13">
          <cell r="A13">
            <v>9111111</v>
          </cell>
          <cell r="B13" t="str">
            <v>瞬狱·斩</v>
          </cell>
          <cell r="C13" t="str">
            <v>瞬狱·斩</v>
          </cell>
          <cell r="D13">
            <v>1</v>
          </cell>
          <cell r="E13">
            <v>19</v>
          </cell>
          <cell r="F13" t="str">
            <v>第11级，共造成237.9%点伤害</v>
          </cell>
          <cell r="G13">
            <v>1</v>
          </cell>
          <cell r="H13">
            <v>1</v>
          </cell>
          <cell r="I13">
            <v>11</v>
          </cell>
          <cell r="J13">
            <v>1</v>
          </cell>
          <cell r="K13">
            <v>21.623376623376622</v>
          </cell>
          <cell r="L13">
            <v>0</v>
          </cell>
          <cell r="M13">
            <v>8900</v>
          </cell>
          <cell r="N13">
            <v>2528</v>
          </cell>
          <cell r="O13">
            <v>1</v>
          </cell>
          <cell r="P13">
            <v>1</v>
          </cell>
          <cell r="Q13">
            <v>10</v>
          </cell>
          <cell r="R13">
            <v>2</v>
          </cell>
          <cell r="S13">
            <v>50</v>
          </cell>
          <cell r="T13">
            <v>19.480519480519479</v>
          </cell>
          <cell r="U13">
            <v>158</v>
          </cell>
          <cell r="V13">
            <v>214.28571428571428</v>
          </cell>
          <cell r="W13">
            <v>16</v>
          </cell>
          <cell r="X13">
            <v>130</v>
          </cell>
          <cell r="Y13">
            <v>18</v>
          </cell>
          <cell r="Z13">
            <v>0</v>
          </cell>
        </row>
        <row r="14">
          <cell r="A14">
            <v>9111112</v>
          </cell>
          <cell r="B14" t="str">
            <v>瞬狱·斩</v>
          </cell>
          <cell r="C14" t="str">
            <v>瞬狱·斩</v>
          </cell>
          <cell r="D14">
            <v>1</v>
          </cell>
          <cell r="E14">
            <v>21</v>
          </cell>
          <cell r="F14" t="str">
            <v>第12级，共造成240%点伤害</v>
          </cell>
          <cell r="G14">
            <v>1</v>
          </cell>
          <cell r="H14">
            <v>1</v>
          </cell>
          <cell r="I14">
            <v>12</v>
          </cell>
          <cell r="J14">
            <v>1</v>
          </cell>
          <cell r="K14">
            <v>21.818181818181817</v>
          </cell>
          <cell r="L14">
            <v>0</v>
          </cell>
          <cell r="M14">
            <v>8800</v>
          </cell>
          <cell r="N14">
            <v>3780</v>
          </cell>
          <cell r="O14">
            <v>1</v>
          </cell>
          <cell r="P14">
            <v>1</v>
          </cell>
          <cell r="Q14">
            <v>10</v>
          </cell>
          <cell r="R14">
            <v>2</v>
          </cell>
          <cell r="S14">
            <v>50</v>
          </cell>
          <cell r="T14">
            <v>19.480519480519479</v>
          </cell>
          <cell r="U14">
            <v>210</v>
          </cell>
          <cell r="V14">
            <v>214.28571428571428</v>
          </cell>
          <cell r="W14">
            <v>18</v>
          </cell>
          <cell r="X14">
            <v>148</v>
          </cell>
          <cell r="Y14">
            <v>18</v>
          </cell>
          <cell r="Z14">
            <v>0</v>
          </cell>
        </row>
        <row r="15">
          <cell r="A15">
            <v>9111113</v>
          </cell>
          <cell r="B15" t="str">
            <v>瞬狱·斩</v>
          </cell>
          <cell r="C15" t="str">
            <v>瞬狱·斩</v>
          </cell>
          <cell r="D15">
            <v>1</v>
          </cell>
          <cell r="E15">
            <v>22</v>
          </cell>
          <cell r="F15" t="str">
            <v>第13级，共造成242.1%点伤害</v>
          </cell>
          <cell r="G15">
            <v>1</v>
          </cell>
          <cell r="H15">
            <v>1</v>
          </cell>
          <cell r="I15">
            <v>13</v>
          </cell>
          <cell r="J15">
            <v>1</v>
          </cell>
          <cell r="K15">
            <v>22.012987012987011</v>
          </cell>
          <cell r="L15">
            <v>0</v>
          </cell>
          <cell r="M15">
            <v>8700</v>
          </cell>
          <cell r="N15">
            <v>4541</v>
          </cell>
          <cell r="O15">
            <v>1</v>
          </cell>
          <cell r="P15">
            <v>1</v>
          </cell>
          <cell r="Q15">
            <v>10</v>
          </cell>
          <cell r="R15">
            <v>2</v>
          </cell>
          <cell r="S15">
            <v>50</v>
          </cell>
          <cell r="T15">
            <v>19.480519480519479</v>
          </cell>
          <cell r="U15">
            <v>239</v>
          </cell>
          <cell r="V15">
            <v>214.28571428571428</v>
          </cell>
          <cell r="W15">
            <v>19</v>
          </cell>
          <cell r="X15">
            <v>167</v>
          </cell>
          <cell r="Y15">
            <v>18</v>
          </cell>
          <cell r="Z15">
            <v>0</v>
          </cell>
        </row>
        <row r="16">
          <cell r="A16">
            <v>9111114</v>
          </cell>
          <cell r="B16" t="str">
            <v>瞬狱·斩</v>
          </cell>
          <cell r="C16" t="str">
            <v>瞬狱·斩</v>
          </cell>
          <cell r="D16">
            <v>1</v>
          </cell>
          <cell r="E16">
            <v>24</v>
          </cell>
          <cell r="F16" t="str">
            <v>第14级，共造成244.3%点伤害</v>
          </cell>
          <cell r="G16">
            <v>1</v>
          </cell>
          <cell r="H16">
            <v>1</v>
          </cell>
          <cell r="I16">
            <v>14</v>
          </cell>
          <cell r="J16">
            <v>1</v>
          </cell>
          <cell r="K16">
            <v>22.207792207792206</v>
          </cell>
          <cell r="L16">
            <v>0</v>
          </cell>
          <cell r="M16">
            <v>8600</v>
          </cell>
          <cell r="N16">
            <v>6040</v>
          </cell>
          <cell r="O16">
            <v>1</v>
          </cell>
          <cell r="P16">
            <v>1</v>
          </cell>
          <cell r="Q16">
            <v>10</v>
          </cell>
          <cell r="R16">
            <v>2</v>
          </cell>
          <cell r="S16">
            <v>50</v>
          </cell>
          <cell r="T16">
            <v>19.480519480519479</v>
          </cell>
          <cell r="U16">
            <v>302</v>
          </cell>
          <cell r="V16">
            <v>214.28571428571428</v>
          </cell>
          <cell r="W16">
            <v>20</v>
          </cell>
          <cell r="X16">
            <v>187</v>
          </cell>
          <cell r="Y16">
            <v>18</v>
          </cell>
          <cell r="Z16">
            <v>0</v>
          </cell>
        </row>
        <row r="17">
          <cell r="A17">
            <v>9111115</v>
          </cell>
          <cell r="B17" t="str">
            <v>瞬狱·斩</v>
          </cell>
          <cell r="C17" t="str">
            <v>瞬狱·斩</v>
          </cell>
          <cell r="D17">
            <v>1</v>
          </cell>
          <cell r="E17">
            <v>25</v>
          </cell>
          <cell r="F17" t="str">
            <v>第15级，共造成246.4%点伤害</v>
          </cell>
          <cell r="G17">
            <v>1</v>
          </cell>
          <cell r="H17">
            <v>1</v>
          </cell>
          <cell r="I17">
            <v>15</v>
          </cell>
          <cell r="J17">
            <v>1</v>
          </cell>
          <cell r="K17">
            <v>22.402597402597401</v>
          </cell>
          <cell r="L17">
            <v>0</v>
          </cell>
          <cell r="M17">
            <v>8500</v>
          </cell>
          <cell r="N17">
            <v>7035</v>
          </cell>
          <cell r="O17">
            <v>1</v>
          </cell>
          <cell r="P17">
            <v>1</v>
          </cell>
          <cell r="Q17">
            <v>10</v>
          </cell>
          <cell r="R17">
            <v>2</v>
          </cell>
          <cell r="S17">
            <v>50</v>
          </cell>
          <cell r="T17">
            <v>19.480519480519479</v>
          </cell>
          <cell r="U17">
            <v>335</v>
          </cell>
          <cell r="V17">
            <v>214.28571428571428</v>
          </cell>
          <cell r="W17">
            <v>21</v>
          </cell>
          <cell r="X17">
            <v>208</v>
          </cell>
          <cell r="Y17">
            <v>18</v>
          </cell>
          <cell r="Z17">
            <v>0</v>
          </cell>
        </row>
        <row r="18">
          <cell r="A18">
            <v>9111116</v>
          </cell>
          <cell r="B18" t="str">
            <v>瞬狱·斩</v>
          </cell>
          <cell r="C18" t="str">
            <v>瞬狱·斩</v>
          </cell>
          <cell r="D18">
            <v>1</v>
          </cell>
          <cell r="E18">
            <v>27</v>
          </cell>
          <cell r="F18" t="str">
            <v>第16级，共造成248.6%点伤害</v>
          </cell>
          <cell r="G18">
            <v>1</v>
          </cell>
          <cell r="H18">
            <v>1</v>
          </cell>
          <cell r="I18">
            <v>16</v>
          </cell>
          <cell r="J18">
            <v>1</v>
          </cell>
          <cell r="K18">
            <v>22.597402597402596</v>
          </cell>
          <cell r="L18">
            <v>0</v>
          </cell>
          <cell r="M18">
            <v>8400</v>
          </cell>
          <cell r="N18">
            <v>9338</v>
          </cell>
          <cell r="O18">
            <v>1</v>
          </cell>
          <cell r="P18">
            <v>1</v>
          </cell>
          <cell r="Q18">
            <v>10</v>
          </cell>
          <cell r="R18">
            <v>2</v>
          </cell>
          <cell r="S18">
            <v>50</v>
          </cell>
          <cell r="T18">
            <v>19.480519480519479</v>
          </cell>
          <cell r="U18">
            <v>406</v>
          </cell>
          <cell r="V18">
            <v>214.28571428571428</v>
          </cell>
          <cell r="W18">
            <v>23</v>
          </cell>
          <cell r="X18">
            <v>231</v>
          </cell>
          <cell r="Y18">
            <v>18</v>
          </cell>
          <cell r="Z18">
            <v>0</v>
          </cell>
        </row>
        <row r="19">
          <cell r="A19">
            <v>9111117</v>
          </cell>
          <cell r="B19" t="str">
            <v>瞬狱·斩</v>
          </cell>
          <cell r="C19" t="str">
            <v>瞬狱·斩</v>
          </cell>
          <cell r="D19">
            <v>1</v>
          </cell>
          <cell r="E19">
            <v>29</v>
          </cell>
          <cell r="F19" t="str">
            <v>第17级，共造成250.7%点伤害</v>
          </cell>
          <cell r="G19">
            <v>1</v>
          </cell>
          <cell r="H19">
            <v>1</v>
          </cell>
          <cell r="I19">
            <v>17</v>
          </cell>
          <cell r="J19">
            <v>1</v>
          </cell>
          <cell r="K19">
            <v>22.79220779220779</v>
          </cell>
          <cell r="L19">
            <v>0</v>
          </cell>
          <cell r="M19">
            <v>8300</v>
          </cell>
          <cell r="N19">
            <v>12050</v>
          </cell>
          <cell r="O19">
            <v>1</v>
          </cell>
          <cell r="P19">
            <v>1</v>
          </cell>
          <cell r="Q19">
            <v>10</v>
          </cell>
          <cell r="R19">
            <v>2</v>
          </cell>
          <cell r="S19">
            <v>50</v>
          </cell>
          <cell r="T19">
            <v>19.480519480519479</v>
          </cell>
          <cell r="U19">
            <v>482</v>
          </cell>
          <cell r="V19">
            <v>214.28571428571428</v>
          </cell>
          <cell r="W19">
            <v>25</v>
          </cell>
          <cell r="X19">
            <v>256</v>
          </cell>
          <cell r="Y19">
            <v>18</v>
          </cell>
          <cell r="Z19">
            <v>0</v>
          </cell>
        </row>
        <row r="20">
          <cell r="A20">
            <v>9111118</v>
          </cell>
          <cell r="B20" t="str">
            <v>瞬狱·斩</v>
          </cell>
          <cell r="C20" t="str">
            <v>瞬狱·斩</v>
          </cell>
          <cell r="D20">
            <v>1</v>
          </cell>
          <cell r="E20">
            <v>30</v>
          </cell>
          <cell r="F20" t="str">
            <v>第18级，共造成252.9%点伤害</v>
          </cell>
          <cell r="G20">
            <v>1</v>
          </cell>
          <cell r="H20">
            <v>1</v>
          </cell>
          <cell r="I20">
            <v>18</v>
          </cell>
          <cell r="J20">
            <v>1</v>
          </cell>
          <cell r="K20">
            <v>22.987012987012985</v>
          </cell>
          <cell r="L20">
            <v>0</v>
          </cell>
          <cell r="M20">
            <v>8200</v>
          </cell>
          <cell r="N20">
            <v>13572</v>
          </cell>
          <cell r="O20">
            <v>1</v>
          </cell>
          <cell r="P20">
            <v>1</v>
          </cell>
          <cell r="Q20">
            <v>10</v>
          </cell>
          <cell r="R20">
            <v>2</v>
          </cell>
          <cell r="S20">
            <v>50</v>
          </cell>
          <cell r="T20">
            <v>19.480519480519479</v>
          </cell>
          <cell r="U20">
            <v>522</v>
          </cell>
          <cell r="V20">
            <v>214.28571428571428</v>
          </cell>
          <cell r="W20">
            <v>26</v>
          </cell>
          <cell r="X20">
            <v>282</v>
          </cell>
          <cell r="Y20">
            <v>18</v>
          </cell>
          <cell r="Z20">
            <v>11</v>
          </cell>
        </row>
        <row r="21">
          <cell r="A21">
            <v>9111119</v>
          </cell>
          <cell r="B21" t="str">
            <v>瞬狱·斩</v>
          </cell>
          <cell r="C21" t="str">
            <v>瞬狱·斩</v>
          </cell>
          <cell r="D21">
            <v>1</v>
          </cell>
          <cell r="E21">
            <v>32</v>
          </cell>
          <cell r="F21" t="str">
            <v>第19级，共造成255%点伤害</v>
          </cell>
          <cell r="G21">
            <v>1</v>
          </cell>
          <cell r="H21">
            <v>1</v>
          </cell>
          <cell r="I21">
            <v>19</v>
          </cell>
          <cell r="J21">
            <v>1</v>
          </cell>
          <cell r="K21">
            <v>23.18181818181818</v>
          </cell>
          <cell r="L21">
            <v>0</v>
          </cell>
          <cell r="M21">
            <v>8100</v>
          </cell>
          <cell r="N21">
            <v>16968</v>
          </cell>
          <cell r="O21">
            <v>1</v>
          </cell>
          <cell r="P21">
            <v>1</v>
          </cell>
          <cell r="Q21">
            <v>10</v>
          </cell>
          <cell r="R21">
            <v>2</v>
          </cell>
          <cell r="S21">
            <v>50</v>
          </cell>
          <cell r="T21">
            <v>19.480519480519479</v>
          </cell>
          <cell r="U21">
            <v>606</v>
          </cell>
          <cell r="V21">
            <v>214.28571428571428</v>
          </cell>
          <cell r="W21">
            <v>28</v>
          </cell>
          <cell r="X21">
            <v>310</v>
          </cell>
          <cell r="Y21">
            <v>18</v>
          </cell>
          <cell r="Z21">
            <v>12</v>
          </cell>
        </row>
        <row r="22">
          <cell r="A22">
            <v>9111120</v>
          </cell>
          <cell r="B22" t="str">
            <v>瞬狱·斩</v>
          </cell>
          <cell r="C22" t="str">
            <v>瞬狱·斩</v>
          </cell>
          <cell r="D22">
            <v>1</v>
          </cell>
          <cell r="E22">
            <v>33</v>
          </cell>
          <cell r="F22" t="str">
            <v>第20级，共造成257.1%点伤害</v>
          </cell>
          <cell r="G22">
            <v>1</v>
          </cell>
          <cell r="H22">
            <v>1</v>
          </cell>
          <cell r="I22">
            <v>20</v>
          </cell>
          <cell r="J22">
            <v>1</v>
          </cell>
          <cell r="K22">
            <v>23.376623376623375</v>
          </cell>
          <cell r="L22">
            <v>0</v>
          </cell>
          <cell r="M22">
            <v>8000</v>
          </cell>
          <cell r="N22">
            <v>19530</v>
          </cell>
          <cell r="O22">
            <v>1</v>
          </cell>
          <cell r="P22">
            <v>1</v>
          </cell>
          <cell r="Q22">
            <v>10</v>
          </cell>
          <cell r="R22">
            <v>2</v>
          </cell>
          <cell r="S22">
            <v>50</v>
          </cell>
          <cell r="T22">
            <v>19.480519480519479</v>
          </cell>
          <cell r="U22">
            <v>651</v>
          </cell>
          <cell r="V22">
            <v>214.28571428571428</v>
          </cell>
          <cell r="W22">
            <v>30</v>
          </cell>
          <cell r="X22">
            <v>340</v>
          </cell>
          <cell r="Y22">
            <v>18</v>
          </cell>
          <cell r="Z22">
            <v>12</v>
          </cell>
        </row>
        <row r="23">
          <cell r="A23">
            <v>9111121</v>
          </cell>
          <cell r="B23" t="str">
            <v>瞬狱·斩</v>
          </cell>
          <cell r="C23" t="str">
            <v>瞬狱·斩</v>
          </cell>
          <cell r="D23">
            <v>1</v>
          </cell>
          <cell r="E23">
            <v>35</v>
          </cell>
          <cell r="F23" t="str">
            <v>第21级，共造成259.3%点伤害</v>
          </cell>
          <cell r="G23">
            <v>1</v>
          </cell>
          <cell r="H23">
            <v>1</v>
          </cell>
          <cell r="I23">
            <v>21</v>
          </cell>
          <cell r="J23">
            <v>1</v>
          </cell>
          <cell r="K23">
            <v>23.571428571428569</v>
          </cell>
          <cell r="L23">
            <v>0</v>
          </cell>
          <cell r="M23">
            <v>7900</v>
          </cell>
          <cell r="N23">
            <v>24519</v>
          </cell>
          <cell r="O23">
            <v>1</v>
          </cell>
          <cell r="P23">
            <v>1</v>
          </cell>
          <cell r="Q23">
            <v>10</v>
          </cell>
          <cell r="R23">
            <v>2</v>
          </cell>
          <cell r="S23">
            <v>50</v>
          </cell>
          <cell r="T23">
            <v>19.480519480519479</v>
          </cell>
          <cell r="U23">
            <v>743</v>
          </cell>
          <cell r="V23">
            <v>214.28571428571428</v>
          </cell>
          <cell r="W23">
            <v>33</v>
          </cell>
          <cell r="X23">
            <v>373</v>
          </cell>
          <cell r="Y23">
            <v>18</v>
          </cell>
          <cell r="Z23">
            <v>14</v>
          </cell>
        </row>
        <row r="24">
          <cell r="A24">
            <v>9111122</v>
          </cell>
          <cell r="B24" t="str">
            <v>瞬狱·斩</v>
          </cell>
          <cell r="C24" t="str">
            <v>瞬狱·斩</v>
          </cell>
          <cell r="D24">
            <v>1</v>
          </cell>
          <cell r="E24">
            <v>36</v>
          </cell>
          <cell r="F24" t="str">
            <v>第22级，共造成261.4%点伤害</v>
          </cell>
          <cell r="G24">
            <v>1</v>
          </cell>
          <cell r="H24">
            <v>1</v>
          </cell>
          <cell r="I24">
            <v>22</v>
          </cell>
          <cell r="J24">
            <v>1</v>
          </cell>
          <cell r="K24">
            <v>23.766233766233764</v>
          </cell>
          <cell r="L24">
            <v>0</v>
          </cell>
          <cell r="M24">
            <v>7800</v>
          </cell>
          <cell r="N24">
            <v>27685</v>
          </cell>
          <cell r="O24">
            <v>1</v>
          </cell>
          <cell r="P24">
            <v>1</v>
          </cell>
          <cell r="Q24">
            <v>10</v>
          </cell>
          <cell r="R24">
            <v>2</v>
          </cell>
          <cell r="S24">
            <v>50</v>
          </cell>
          <cell r="T24">
            <v>19.480519480519479</v>
          </cell>
          <cell r="U24">
            <v>791</v>
          </cell>
          <cell r="V24">
            <v>214.28571428571428</v>
          </cell>
          <cell r="W24">
            <v>35</v>
          </cell>
          <cell r="X24">
            <v>408</v>
          </cell>
          <cell r="Y24">
            <v>18</v>
          </cell>
          <cell r="Z24">
            <v>14</v>
          </cell>
        </row>
        <row r="25">
          <cell r="A25">
            <v>9111123</v>
          </cell>
          <cell r="B25" t="str">
            <v>瞬狱·斩</v>
          </cell>
          <cell r="C25" t="str">
            <v>瞬狱·斩</v>
          </cell>
          <cell r="D25">
            <v>1</v>
          </cell>
          <cell r="E25">
            <v>38</v>
          </cell>
          <cell r="F25" t="str">
            <v>第23级，共造成263.6%点伤害</v>
          </cell>
          <cell r="G25">
            <v>1</v>
          </cell>
          <cell r="H25">
            <v>1</v>
          </cell>
          <cell r="I25">
            <v>23</v>
          </cell>
          <cell r="J25">
            <v>1</v>
          </cell>
          <cell r="K25">
            <v>23.961038961038959</v>
          </cell>
          <cell r="L25">
            <v>0</v>
          </cell>
          <cell r="M25">
            <v>7700</v>
          </cell>
          <cell r="N25">
            <v>33004</v>
          </cell>
          <cell r="O25">
            <v>1</v>
          </cell>
          <cell r="P25">
            <v>1</v>
          </cell>
          <cell r="Q25">
            <v>10</v>
          </cell>
          <cell r="R25">
            <v>2</v>
          </cell>
          <cell r="S25">
            <v>50</v>
          </cell>
          <cell r="T25">
            <v>19.480519480519479</v>
          </cell>
          <cell r="U25">
            <v>892</v>
          </cell>
          <cell r="V25">
            <v>214.28571428571428</v>
          </cell>
          <cell r="W25">
            <v>37</v>
          </cell>
          <cell r="X25">
            <v>445</v>
          </cell>
          <cell r="Y25">
            <v>18</v>
          </cell>
          <cell r="Z25">
            <v>15</v>
          </cell>
        </row>
        <row r="26">
          <cell r="A26">
            <v>9111124</v>
          </cell>
          <cell r="B26" t="str">
            <v>瞬狱·斩</v>
          </cell>
          <cell r="C26" t="str">
            <v>瞬狱·斩</v>
          </cell>
          <cell r="D26">
            <v>1</v>
          </cell>
          <cell r="E26">
            <v>39</v>
          </cell>
          <cell r="F26" t="str">
            <v>第24级，共造成265.7%点伤害</v>
          </cell>
          <cell r="G26">
            <v>1</v>
          </cell>
          <cell r="H26">
            <v>1</v>
          </cell>
          <cell r="I26">
            <v>24</v>
          </cell>
          <cell r="J26">
            <v>1</v>
          </cell>
          <cell r="K26">
            <v>24.155844155844154</v>
          </cell>
          <cell r="L26">
            <v>0</v>
          </cell>
          <cell r="M26">
            <v>7600</v>
          </cell>
          <cell r="N26">
            <v>37760</v>
          </cell>
          <cell r="O26">
            <v>1</v>
          </cell>
          <cell r="P26">
            <v>1</v>
          </cell>
          <cell r="Q26">
            <v>10</v>
          </cell>
          <cell r="R26">
            <v>2</v>
          </cell>
          <cell r="S26">
            <v>50</v>
          </cell>
          <cell r="T26">
            <v>19.480519480519479</v>
          </cell>
          <cell r="U26">
            <v>944</v>
          </cell>
          <cell r="V26">
            <v>214.28571428571428</v>
          </cell>
          <cell r="W26">
            <v>40</v>
          </cell>
          <cell r="X26">
            <v>485</v>
          </cell>
          <cell r="Y26">
            <v>18</v>
          </cell>
          <cell r="Z26">
            <v>16</v>
          </cell>
        </row>
        <row r="27">
          <cell r="A27">
            <v>9111125</v>
          </cell>
          <cell r="B27" t="str">
            <v>瞬狱·斩</v>
          </cell>
          <cell r="C27" t="str">
            <v>瞬狱·斩</v>
          </cell>
          <cell r="D27">
            <v>1</v>
          </cell>
          <cell r="E27">
            <v>41</v>
          </cell>
          <cell r="F27" t="str">
            <v>第25级，共造成267.9%点伤害</v>
          </cell>
          <cell r="G27">
            <v>1</v>
          </cell>
          <cell r="H27">
            <v>1</v>
          </cell>
          <cell r="I27">
            <v>25</v>
          </cell>
          <cell r="J27">
            <v>1</v>
          </cell>
          <cell r="K27">
            <v>24.350649350649348</v>
          </cell>
          <cell r="L27">
            <v>0</v>
          </cell>
          <cell r="M27">
            <v>7500</v>
          </cell>
          <cell r="N27">
            <v>45279</v>
          </cell>
          <cell r="O27">
            <v>1</v>
          </cell>
          <cell r="P27">
            <v>1</v>
          </cell>
          <cell r="Q27">
            <v>10</v>
          </cell>
          <cell r="R27">
            <v>2</v>
          </cell>
          <cell r="S27">
            <v>50</v>
          </cell>
          <cell r="T27">
            <v>19.480519480519479</v>
          </cell>
          <cell r="U27">
            <v>1053</v>
          </cell>
          <cell r="V27">
            <v>214.28571428571428</v>
          </cell>
          <cell r="W27">
            <v>43</v>
          </cell>
          <cell r="X27">
            <v>528</v>
          </cell>
          <cell r="Y27">
            <v>18</v>
          </cell>
          <cell r="Z27">
            <v>18</v>
          </cell>
        </row>
        <row r="28">
          <cell r="A28">
            <v>9111126</v>
          </cell>
          <cell r="B28" t="str">
            <v>瞬狱·斩</v>
          </cell>
          <cell r="C28" t="str">
            <v>瞬狱·斩</v>
          </cell>
          <cell r="D28">
            <v>1</v>
          </cell>
          <cell r="E28">
            <v>43</v>
          </cell>
          <cell r="F28" t="str">
            <v>第26级，共造成270%点伤害</v>
          </cell>
          <cell r="G28">
            <v>1</v>
          </cell>
          <cell r="H28">
            <v>1</v>
          </cell>
          <cell r="I28">
            <v>26</v>
          </cell>
          <cell r="J28">
            <v>1</v>
          </cell>
          <cell r="K28">
            <v>24.545454545454543</v>
          </cell>
          <cell r="L28">
            <v>0</v>
          </cell>
          <cell r="M28">
            <v>7400</v>
          </cell>
          <cell r="N28">
            <v>53682</v>
          </cell>
          <cell r="O28">
            <v>1</v>
          </cell>
          <cell r="P28">
            <v>1</v>
          </cell>
          <cell r="Q28">
            <v>10</v>
          </cell>
          <cell r="R28">
            <v>2</v>
          </cell>
          <cell r="S28">
            <v>50</v>
          </cell>
          <cell r="T28">
            <v>19.480519480519479</v>
          </cell>
          <cell r="U28">
            <v>1167</v>
          </cell>
          <cell r="V28">
            <v>214.28571428571428</v>
          </cell>
          <cell r="W28">
            <v>46</v>
          </cell>
          <cell r="X28">
            <v>574</v>
          </cell>
          <cell r="Y28">
            <v>18</v>
          </cell>
          <cell r="Z28">
            <v>19</v>
          </cell>
        </row>
        <row r="29">
          <cell r="A29">
            <v>9111127</v>
          </cell>
          <cell r="B29" t="str">
            <v>瞬狱·斩</v>
          </cell>
          <cell r="C29" t="str">
            <v>瞬狱·斩</v>
          </cell>
          <cell r="D29">
            <v>1</v>
          </cell>
          <cell r="E29">
            <v>44</v>
          </cell>
          <cell r="F29" t="str">
            <v>第27级，共造成272.1%点伤害</v>
          </cell>
          <cell r="G29">
            <v>1</v>
          </cell>
          <cell r="H29">
            <v>1</v>
          </cell>
          <cell r="I29">
            <v>27</v>
          </cell>
          <cell r="J29">
            <v>1</v>
          </cell>
          <cell r="K29">
            <v>24.740259740259738</v>
          </cell>
          <cell r="L29">
            <v>0</v>
          </cell>
          <cell r="M29">
            <v>7300</v>
          </cell>
          <cell r="N29">
            <v>60074</v>
          </cell>
          <cell r="O29">
            <v>1</v>
          </cell>
          <cell r="P29">
            <v>1</v>
          </cell>
          <cell r="Q29">
            <v>10</v>
          </cell>
          <cell r="R29">
            <v>2</v>
          </cell>
          <cell r="S29">
            <v>50</v>
          </cell>
          <cell r="T29">
            <v>19.480519480519479</v>
          </cell>
          <cell r="U29">
            <v>1226</v>
          </cell>
          <cell r="V29">
            <v>214.28571428571428</v>
          </cell>
          <cell r="W29">
            <v>49</v>
          </cell>
          <cell r="X29">
            <v>623</v>
          </cell>
          <cell r="Y29">
            <v>18</v>
          </cell>
          <cell r="Z29">
            <v>20</v>
          </cell>
        </row>
        <row r="30">
          <cell r="A30">
            <v>9111128</v>
          </cell>
          <cell r="B30" t="str">
            <v>瞬狱·斩</v>
          </cell>
          <cell r="C30" t="str">
            <v>瞬狱·斩</v>
          </cell>
          <cell r="D30">
            <v>1</v>
          </cell>
          <cell r="E30">
            <v>46</v>
          </cell>
          <cell r="F30" t="str">
            <v>第28级，共造成274.3%点伤害</v>
          </cell>
          <cell r="G30">
            <v>1</v>
          </cell>
          <cell r="H30">
            <v>1</v>
          </cell>
          <cell r="I30">
            <v>28</v>
          </cell>
          <cell r="J30">
            <v>1</v>
          </cell>
          <cell r="K30">
            <v>24.935064935064933</v>
          </cell>
          <cell r="L30">
            <v>0</v>
          </cell>
          <cell r="M30">
            <v>7200</v>
          </cell>
          <cell r="N30">
            <v>70148</v>
          </cell>
          <cell r="O30">
            <v>1</v>
          </cell>
          <cell r="P30">
            <v>1</v>
          </cell>
          <cell r="Q30">
            <v>10</v>
          </cell>
          <cell r="R30">
            <v>2</v>
          </cell>
          <cell r="S30">
            <v>50</v>
          </cell>
          <cell r="T30">
            <v>19.480519480519479</v>
          </cell>
          <cell r="U30">
            <v>1349</v>
          </cell>
          <cell r="V30">
            <v>214.28571428571428</v>
          </cell>
          <cell r="W30">
            <v>52</v>
          </cell>
          <cell r="X30">
            <v>675</v>
          </cell>
          <cell r="Y30">
            <v>18</v>
          </cell>
          <cell r="Z30">
            <v>21</v>
          </cell>
        </row>
        <row r="31">
          <cell r="A31">
            <v>9111129</v>
          </cell>
          <cell r="B31" t="str">
            <v>瞬狱·斩</v>
          </cell>
          <cell r="C31" t="str">
            <v>瞬狱·斩</v>
          </cell>
          <cell r="D31">
            <v>1</v>
          </cell>
          <cell r="E31">
            <v>47</v>
          </cell>
          <cell r="F31" t="str">
            <v>第29级，共造成276.4%点伤害</v>
          </cell>
          <cell r="G31">
            <v>1</v>
          </cell>
          <cell r="H31">
            <v>1</v>
          </cell>
          <cell r="I31">
            <v>29</v>
          </cell>
          <cell r="J31">
            <v>1</v>
          </cell>
          <cell r="K31">
            <v>25.129870129870127</v>
          </cell>
          <cell r="L31">
            <v>0</v>
          </cell>
          <cell r="M31">
            <v>7100</v>
          </cell>
          <cell r="N31">
            <v>79072</v>
          </cell>
          <cell r="O31">
            <v>1</v>
          </cell>
          <cell r="P31">
            <v>1</v>
          </cell>
          <cell r="Q31">
            <v>10</v>
          </cell>
          <cell r="R31">
            <v>2</v>
          </cell>
          <cell r="S31">
            <v>50</v>
          </cell>
          <cell r="T31">
            <v>19.480519480519479</v>
          </cell>
          <cell r="U31">
            <v>1412</v>
          </cell>
          <cell r="V31">
            <v>214.28571428571428</v>
          </cell>
          <cell r="W31">
            <v>56</v>
          </cell>
          <cell r="X31">
            <v>731</v>
          </cell>
          <cell r="Y31">
            <v>18</v>
          </cell>
          <cell r="Z31">
            <v>23</v>
          </cell>
        </row>
        <row r="32">
          <cell r="A32">
            <v>9111130</v>
          </cell>
          <cell r="B32" t="str">
            <v>瞬狱·斩</v>
          </cell>
          <cell r="C32" t="str">
            <v>瞬狱·斩</v>
          </cell>
          <cell r="D32">
            <v>1</v>
          </cell>
          <cell r="E32">
            <v>49</v>
          </cell>
          <cell r="F32" t="str">
            <v>第30级，共造成278.6%点伤害</v>
          </cell>
          <cell r="G32">
            <v>1</v>
          </cell>
          <cell r="H32">
            <v>1</v>
          </cell>
          <cell r="I32">
            <v>30</v>
          </cell>
          <cell r="J32">
            <v>1</v>
          </cell>
          <cell r="K32">
            <v>25.324675324675322</v>
          </cell>
          <cell r="L32">
            <v>0</v>
          </cell>
          <cell r="M32">
            <v>7000</v>
          </cell>
          <cell r="N32">
            <v>92580</v>
          </cell>
          <cell r="O32">
            <v>1</v>
          </cell>
          <cell r="P32">
            <v>1</v>
          </cell>
          <cell r="Q32">
            <v>10</v>
          </cell>
          <cell r="R32">
            <v>2</v>
          </cell>
          <cell r="S32">
            <v>50</v>
          </cell>
          <cell r="T32">
            <v>19.480519480519479</v>
          </cell>
          <cell r="U32">
            <v>1543</v>
          </cell>
          <cell r="V32">
            <v>214.28571428571428</v>
          </cell>
          <cell r="W32">
            <v>60</v>
          </cell>
          <cell r="X32">
            <v>791</v>
          </cell>
          <cell r="Y32">
            <v>18</v>
          </cell>
          <cell r="Z32">
            <v>24</v>
          </cell>
        </row>
        <row r="33">
          <cell r="A33">
            <v>9111131</v>
          </cell>
          <cell r="B33" t="str">
            <v>瞬狱·斩</v>
          </cell>
          <cell r="C33" t="str">
            <v>瞬狱·斩</v>
          </cell>
          <cell r="D33">
            <v>1</v>
          </cell>
          <cell r="E33">
            <v>50</v>
          </cell>
          <cell r="F33" t="str">
            <v>第31级，共造成280.7%点伤害</v>
          </cell>
          <cell r="G33">
            <v>1</v>
          </cell>
          <cell r="H33">
            <v>1</v>
          </cell>
          <cell r="I33">
            <v>31</v>
          </cell>
          <cell r="J33">
            <v>1</v>
          </cell>
          <cell r="K33">
            <v>25.519480519480517</v>
          </cell>
          <cell r="L33">
            <v>0</v>
          </cell>
          <cell r="M33">
            <v>6900</v>
          </cell>
          <cell r="N33">
            <v>103040</v>
          </cell>
          <cell r="O33">
            <v>1</v>
          </cell>
          <cell r="P33">
            <v>1</v>
          </cell>
          <cell r="Q33">
            <v>10</v>
          </cell>
          <cell r="R33">
            <v>2</v>
          </cell>
          <cell r="S33">
            <v>50</v>
          </cell>
          <cell r="T33">
            <v>19.480519480519479</v>
          </cell>
          <cell r="U33">
            <v>1610</v>
          </cell>
          <cell r="V33">
            <v>214.28571428571428</v>
          </cell>
          <cell r="W33">
            <v>64</v>
          </cell>
          <cell r="X33">
            <v>855</v>
          </cell>
          <cell r="Y33">
            <v>18</v>
          </cell>
          <cell r="Z33">
            <v>26</v>
          </cell>
        </row>
        <row r="34">
          <cell r="A34">
            <v>9111132</v>
          </cell>
          <cell r="B34" t="str">
            <v>瞬狱·斩</v>
          </cell>
          <cell r="C34" t="str">
            <v>瞬狱·斩</v>
          </cell>
          <cell r="D34">
            <v>1</v>
          </cell>
          <cell r="E34">
            <v>52</v>
          </cell>
          <cell r="F34" t="str">
            <v>第32级，共造成282.9%点伤害</v>
          </cell>
          <cell r="G34">
            <v>1</v>
          </cell>
          <cell r="H34">
            <v>1</v>
          </cell>
          <cell r="I34">
            <v>32</v>
          </cell>
          <cell r="J34">
            <v>1</v>
          </cell>
          <cell r="K34">
            <v>25.714285714285712</v>
          </cell>
          <cell r="L34">
            <v>0</v>
          </cell>
          <cell r="M34">
            <v>6800</v>
          </cell>
          <cell r="N34">
            <v>120681</v>
          </cell>
          <cell r="O34">
            <v>1</v>
          </cell>
          <cell r="P34">
            <v>1</v>
          </cell>
          <cell r="Q34">
            <v>10</v>
          </cell>
          <cell r="R34">
            <v>2</v>
          </cell>
          <cell r="S34">
            <v>50</v>
          </cell>
          <cell r="T34">
            <v>19.480519480519479</v>
          </cell>
          <cell r="U34">
            <v>1749</v>
          </cell>
          <cell r="V34">
            <v>214.28571428571428</v>
          </cell>
          <cell r="W34">
            <v>69</v>
          </cell>
          <cell r="X34">
            <v>924</v>
          </cell>
          <cell r="Y34">
            <v>18</v>
          </cell>
          <cell r="Z34">
            <v>28</v>
          </cell>
        </row>
        <row r="35">
          <cell r="A35">
            <v>9111133</v>
          </cell>
          <cell r="B35" t="str">
            <v>瞬狱·斩</v>
          </cell>
          <cell r="C35" t="str">
            <v>瞬狱·斩</v>
          </cell>
          <cell r="D35">
            <v>1</v>
          </cell>
          <cell r="E35">
            <v>53</v>
          </cell>
          <cell r="F35" t="str">
            <v>第33级，共造成285%点伤害</v>
          </cell>
          <cell r="G35">
            <v>1</v>
          </cell>
          <cell r="H35">
            <v>1</v>
          </cell>
          <cell r="I35">
            <v>33</v>
          </cell>
          <cell r="J35">
            <v>1</v>
          </cell>
          <cell r="K35">
            <v>25.909090909090907</v>
          </cell>
          <cell r="L35">
            <v>0</v>
          </cell>
          <cell r="M35">
            <v>6700</v>
          </cell>
          <cell r="N35">
            <v>134680</v>
          </cell>
          <cell r="O35">
            <v>1</v>
          </cell>
          <cell r="P35">
            <v>1</v>
          </cell>
          <cell r="Q35">
            <v>10</v>
          </cell>
          <cell r="R35">
            <v>2</v>
          </cell>
          <cell r="S35">
            <v>50</v>
          </cell>
          <cell r="T35">
            <v>19.480519480519479</v>
          </cell>
          <cell r="U35">
            <v>1820</v>
          </cell>
          <cell r="V35">
            <v>214.28571428571428</v>
          </cell>
          <cell r="W35">
            <v>74</v>
          </cell>
          <cell r="X35">
            <v>998</v>
          </cell>
          <cell r="Y35">
            <v>18</v>
          </cell>
          <cell r="Z35">
            <v>30</v>
          </cell>
        </row>
        <row r="36">
          <cell r="A36">
            <v>9111134</v>
          </cell>
          <cell r="B36" t="str">
            <v>瞬狱·斩</v>
          </cell>
          <cell r="C36" t="str">
            <v>瞬狱·斩</v>
          </cell>
          <cell r="D36">
            <v>1</v>
          </cell>
          <cell r="E36">
            <v>55</v>
          </cell>
          <cell r="F36" t="str">
            <v>第34级，共造成287.1%点伤害</v>
          </cell>
          <cell r="G36">
            <v>1</v>
          </cell>
          <cell r="H36">
            <v>1</v>
          </cell>
          <cell r="I36">
            <v>34</v>
          </cell>
          <cell r="J36">
            <v>1</v>
          </cell>
          <cell r="K36">
            <v>26.103896103896101</v>
          </cell>
          <cell r="L36">
            <v>0</v>
          </cell>
          <cell r="M36">
            <v>6600</v>
          </cell>
          <cell r="N36">
            <v>155393</v>
          </cell>
          <cell r="O36">
            <v>1</v>
          </cell>
          <cell r="P36">
            <v>1</v>
          </cell>
          <cell r="Q36">
            <v>10</v>
          </cell>
          <cell r="R36">
            <v>2</v>
          </cell>
          <cell r="S36">
            <v>50</v>
          </cell>
          <cell r="T36">
            <v>19.480519480519479</v>
          </cell>
          <cell r="U36">
            <v>1967</v>
          </cell>
          <cell r="V36">
            <v>214.28571428571428</v>
          </cell>
          <cell r="W36">
            <v>79</v>
          </cell>
          <cell r="X36">
            <v>1077</v>
          </cell>
          <cell r="Y36">
            <v>18</v>
          </cell>
          <cell r="Z36">
            <v>32</v>
          </cell>
        </row>
        <row r="37">
          <cell r="A37">
            <v>9111135</v>
          </cell>
          <cell r="B37" t="str">
            <v>瞬狱·斩</v>
          </cell>
          <cell r="C37" t="str">
            <v>瞬狱·斩</v>
          </cell>
          <cell r="D37">
            <v>1</v>
          </cell>
          <cell r="E37">
            <v>57</v>
          </cell>
          <cell r="F37" t="str">
            <v>第35级，共造成289.3%点伤害</v>
          </cell>
          <cell r="G37">
            <v>1</v>
          </cell>
          <cell r="H37">
            <v>1</v>
          </cell>
          <cell r="I37">
            <v>35</v>
          </cell>
          <cell r="J37">
            <v>1</v>
          </cell>
          <cell r="K37">
            <v>26.298701298701296</v>
          </cell>
          <cell r="L37">
            <v>0</v>
          </cell>
          <cell r="M37">
            <v>6500</v>
          </cell>
          <cell r="N37">
            <v>177996</v>
          </cell>
          <cell r="O37">
            <v>1</v>
          </cell>
          <cell r="P37">
            <v>1</v>
          </cell>
          <cell r="Q37">
            <v>10</v>
          </cell>
          <cell r="R37">
            <v>2</v>
          </cell>
          <cell r="S37">
            <v>50</v>
          </cell>
          <cell r="T37">
            <v>19.480519480519479</v>
          </cell>
          <cell r="U37">
            <v>2119</v>
          </cell>
          <cell r="V37">
            <v>214.28571428571428</v>
          </cell>
          <cell r="W37">
            <v>84</v>
          </cell>
          <cell r="X37">
            <v>1161</v>
          </cell>
          <cell r="Y37">
            <v>18</v>
          </cell>
          <cell r="Z37">
            <v>34</v>
          </cell>
        </row>
        <row r="38">
          <cell r="A38">
            <v>9111136</v>
          </cell>
          <cell r="B38" t="str">
            <v>瞬狱·斩</v>
          </cell>
          <cell r="C38" t="str">
            <v>瞬狱·斩</v>
          </cell>
          <cell r="D38">
            <v>1</v>
          </cell>
          <cell r="E38">
            <v>58</v>
          </cell>
          <cell r="F38" t="str">
            <v>第36级，共造成291.4%点伤害</v>
          </cell>
          <cell r="G38">
            <v>1</v>
          </cell>
          <cell r="H38">
            <v>1</v>
          </cell>
          <cell r="I38">
            <v>36</v>
          </cell>
          <cell r="J38">
            <v>1</v>
          </cell>
          <cell r="K38">
            <v>26.493506493506491</v>
          </cell>
          <cell r="L38">
            <v>0</v>
          </cell>
          <cell r="M38">
            <v>6400</v>
          </cell>
          <cell r="N38">
            <v>197820</v>
          </cell>
          <cell r="O38">
            <v>1</v>
          </cell>
          <cell r="P38">
            <v>1</v>
          </cell>
          <cell r="Q38">
            <v>10</v>
          </cell>
          <cell r="R38">
            <v>2</v>
          </cell>
          <cell r="S38">
            <v>50</v>
          </cell>
          <cell r="T38">
            <v>19.480519480519479</v>
          </cell>
          <cell r="U38">
            <v>2198</v>
          </cell>
          <cell r="V38">
            <v>214.28571428571428</v>
          </cell>
          <cell r="W38">
            <v>90</v>
          </cell>
          <cell r="X38">
            <v>1251</v>
          </cell>
          <cell r="Y38">
            <v>18</v>
          </cell>
          <cell r="Z38">
            <v>36</v>
          </cell>
        </row>
        <row r="39">
          <cell r="A39">
            <v>9111137</v>
          </cell>
          <cell r="B39" t="str">
            <v>瞬狱·斩</v>
          </cell>
          <cell r="C39" t="str">
            <v>瞬狱·斩</v>
          </cell>
          <cell r="D39">
            <v>1</v>
          </cell>
          <cell r="E39">
            <v>60</v>
          </cell>
          <cell r="F39" t="str">
            <v>第37级，共造成293.6%点伤害</v>
          </cell>
          <cell r="G39">
            <v>1</v>
          </cell>
          <cell r="H39">
            <v>1</v>
          </cell>
          <cell r="I39">
            <v>37</v>
          </cell>
          <cell r="J39">
            <v>1</v>
          </cell>
          <cell r="K39">
            <v>26.688311688311686</v>
          </cell>
          <cell r="L39">
            <v>0</v>
          </cell>
          <cell r="M39">
            <v>6300</v>
          </cell>
          <cell r="N39">
            <v>226368</v>
          </cell>
          <cell r="O39">
            <v>1</v>
          </cell>
          <cell r="P39">
            <v>1</v>
          </cell>
          <cell r="Q39">
            <v>10</v>
          </cell>
          <cell r="R39">
            <v>2</v>
          </cell>
          <cell r="S39">
            <v>50</v>
          </cell>
          <cell r="T39">
            <v>19.480519480519479</v>
          </cell>
          <cell r="U39">
            <v>2358</v>
          </cell>
          <cell r="V39">
            <v>214.28571428571428</v>
          </cell>
          <cell r="W39">
            <v>96</v>
          </cell>
          <cell r="X39">
            <v>1347</v>
          </cell>
          <cell r="Y39">
            <v>18</v>
          </cell>
          <cell r="Z39">
            <v>39</v>
          </cell>
        </row>
        <row r="40">
          <cell r="A40">
            <v>9111138</v>
          </cell>
          <cell r="B40" t="str">
            <v>瞬狱·斩</v>
          </cell>
          <cell r="C40" t="str">
            <v>瞬狱·斩</v>
          </cell>
          <cell r="D40">
            <v>1</v>
          </cell>
          <cell r="E40">
            <v>61</v>
          </cell>
          <cell r="F40" t="str">
            <v>第38级，共造成295.7%点伤害</v>
          </cell>
          <cell r="G40">
            <v>1</v>
          </cell>
          <cell r="H40">
            <v>1</v>
          </cell>
          <cell r="I40">
            <v>38</v>
          </cell>
          <cell r="J40">
            <v>1</v>
          </cell>
          <cell r="K40">
            <v>26.88311688311688</v>
          </cell>
          <cell r="L40">
            <v>0</v>
          </cell>
          <cell r="M40">
            <v>6200</v>
          </cell>
          <cell r="N40">
            <v>251320</v>
          </cell>
          <cell r="O40">
            <v>1</v>
          </cell>
          <cell r="P40">
            <v>1</v>
          </cell>
          <cell r="Q40">
            <v>10</v>
          </cell>
          <cell r="R40">
            <v>2</v>
          </cell>
          <cell r="S40">
            <v>50</v>
          </cell>
          <cell r="T40">
            <v>19.480519480519479</v>
          </cell>
          <cell r="U40">
            <v>2440</v>
          </cell>
          <cell r="V40">
            <v>214.28571428571428</v>
          </cell>
          <cell r="W40">
            <v>103</v>
          </cell>
          <cell r="X40">
            <v>1450</v>
          </cell>
          <cell r="Y40">
            <v>18</v>
          </cell>
          <cell r="Z40">
            <v>42</v>
          </cell>
        </row>
        <row r="41">
          <cell r="A41">
            <v>9111139</v>
          </cell>
          <cell r="B41" t="str">
            <v>瞬狱·斩</v>
          </cell>
          <cell r="C41" t="str">
            <v>瞬狱·斩</v>
          </cell>
          <cell r="D41">
            <v>1</v>
          </cell>
          <cell r="E41">
            <v>63</v>
          </cell>
          <cell r="F41" t="str">
            <v>第39级，共造成297.9%点伤害</v>
          </cell>
          <cell r="G41">
            <v>1</v>
          </cell>
          <cell r="H41">
            <v>1</v>
          </cell>
          <cell r="I41">
            <v>39</v>
          </cell>
          <cell r="J41">
            <v>1</v>
          </cell>
          <cell r="K41">
            <v>27.077922077922075</v>
          </cell>
          <cell r="L41">
            <v>0</v>
          </cell>
          <cell r="M41">
            <v>6100</v>
          </cell>
          <cell r="N41">
            <v>286990</v>
          </cell>
          <cell r="O41">
            <v>1</v>
          </cell>
          <cell r="P41">
            <v>1</v>
          </cell>
          <cell r="Q41">
            <v>10</v>
          </cell>
          <cell r="R41">
            <v>2</v>
          </cell>
          <cell r="S41">
            <v>50</v>
          </cell>
          <cell r="T41">
            <v>19.480519480519479</v>
          </cell>
          <cell r="U41">
            <v>2609</v>
          </cell>
          <cell r="V41">
            <v>214.28571428571428</v>
          </cell>
          <cell r="W41">
            <v>110</v>
          </cell>
          <cell r="X41">
            <v>1560</v>
          </cell>
          <cell r="Y41">
            <v>18</v>
          </cell>
          <cell r="Z41">
            <v>44</v>
          </cell>
        </row>
        <row r="42">
          <cell r="A42">
            <v>9111140</v>
          </cell>
          <cell r="B42" t="str">
            <v>瞬狱·斩</v>
          </cell>
          <cell r="C42" t="str">
            <v>瞬狱·斩</v>
          </cell>
          <cell r="D42">
            <v>1</v>
          </cell>
          <cell r="E42">
            <v>64</v>
          </cell>
          <cell r="F42" t="str">
            <v>第40级，共造成300%点伤害</v>
          </cell>
          <cell r="G42">
            <v>1</v>
          </cell>
          <cell r="H42">
            <v>1</v>
          </cell>
          <cell r="I42">
            <v>40</v>
          </cell>
          <cell r="J42">
            <v>1</v>
          </cell>
          <cell r="K42">
            <v>27.27272727272727</v>
          </cell>
          <cell r="L42">
            <v>0</v>
          </cell>
          <cell r="M42">
            <v>6000</v>
          </cell>
          <cell r="N42">
            <v>318010</v>
          </cell>
          <cell r="O42">
            <v>1</v>
          </cell>
          <cell r="P42">
            <v>1</v>
          </cell>
          <cell r="Q42">
            <v>10</v>
          </cell>
          <cell r="R42">
            <v>2</v>
          </cell>
          <cell r="S42">
            <v>50</v>
          </cell>
          <cell r="T42">
            <v>19.480519480519479</v>
          </cell>
          <cell r="U42">
            <v>2695</v>
          </cell>
          <cell r="V42">
            <v>214.28571428571428</v>
          </cell>
          <cell r="W42">
            <v>118</v>
          </cell>
          <cell r="X42">
            <v>1678</v>
          </cell>
          <cell r="Y42">
            <v>18</v>
          </cell>
          <cell r="Z42">
            <v>48</v>
          </cell>
        </row>
        <row r="43">
          <cell r="A43">
            <v>9111141</v>
          </cell>
          <cell r="B43" t="str">
            <v>瞬狱·斩</v>
          </cell>
          <cell r="C43" t="str">
            <v>瞬狱·斩</v>
          </cell>
          <cell r="D43">
            <v>1</v>
          </cell>
          <cell r="E43">
            <v>66</v>
          </cell>
          <cell r="F43" t="str">
            <v>第41级，共造成302.1%点伤害</v>
          </cell>
          <cell r="G43">
            <v>1</v>
          </cell>
          <cell r="H43">
            <v>1</v>
          </cell>
          <cell r="I43">
            <v>41</v>
          </cell>
          <cell r="J43">
            <v>1</v>
          </cell>
          <cell r="K43">
            <v>27.467532467532465</v>
          </cell>
          <cell r="L43">
            <v>0</v>
          </cell>
          <cell r="M43">
            <v>5900</v>
          </cell>
          <cell r="N43">
            <v>361872</v>
          </cell>
          <cell r="O43">
            <v>1</v>
          </cell>
          <cell r="P43">
            <v>1</v>
          </cell>
          <cell r="Q43">
            <v>10</v>
          </cell>
          <cell r="R43">
            <v>2</v>
          </cell>
          <cell r="S43">
            <v>50</v>
          </cell>
          <cell r="T43">
            <v>19.480519480519479</v>
          </cell>
          <cell r="U43">
            <v>2872</v>
          </cell>
          <cell r="V43">
            <v>214.28571428571428</v>
          </cell>
          <cell r="W43">
            <v>126</v>
          </cell>
          <cell r="X43">
            <v>1804</v>
          </cell>
          <cell r="Y43">
            <v>18</v>
          </cell>
          <cell r="Z43">
            <v>51</v>
          </cell>
        </row>
        <row r="44">
          <cell r="A44">
            <v>9111142</v>
          </cell>
          <cell r="B44" t="str">
            <v>瞬狱·斩</v>
          </cell>
          <cell r="C44" t="str">
            <v>瞬狱·斩</v>
          </cell>
          <cell r="D44">
            <v>1</v>
          </cell>
          <cell r="E44">
            <v>68</v>
          </cell>
          <cell r="F44" t="str">
            <v>第42级，共造成304.3%点伤害</v>
          </cell>
          <cell r="G44">
            <v>1</v>
          </cell>
          <cell r="H44">
            <v>1</v>
          </cell>
          <cell r="I44">
            <v>42</v>
          </cell>
          <cell r="J44">
            <v>1</v>
          </cell>
          <cell r="K44">
            <v>27.662337662337663</v>
          </cell>
          <cell r="L44">
            <v>0</v>
          </cell>
          <cell r="M44">
            <v>5800</v>
          </cell>
          <cell r="N44">
            <v>412290</v>
          </cell>
          <cell r="O44">
            <v>1</v>
          </cell>
          <cell r="P44">
            <v>1</v>
          </cell>
          <cell r="Q44">
            <v>10</v>
          </cell>
          <cell r="R44">
            <v>2</v>
          </cell>
          <cell r="S44">
            <v>50</v>
          </cell>
          <cell r="T44">
            <v>19.480519480519479</v>
          </cell>
          <cell r="U44">
            <v>3054</v>
          </cell>
          <cell r="V44">
            <v>214.28571428571428</v>
          </cell>
          <cell r="W44">
            <v>135</v>
          </cell>
          <cell r="X44">
            <v>1939</v>
          </cell>
          <cell r="Y44">
            <v>18</v>
          </cell>
          <cell r="Z44">
            <v>54</v>
          </cell>
        </row>
        <row r="45">
          <cell r="A45">
            <v>9111143</v>
          </cell>
          <cell r="B45" t="str">
            <v>瞬狱·斩</v>
          </cell>
          <cell r="C45" t="str">
            <v>瞬狱·斩</v>
          </cell>
          <cell r="D45">
            <v>1</v>
          </cell>
          <cell r="E45">
            <v>69</v>
          </cell>
          <cell r="F45" t="str">
            <v>第43级，共造成306.4%点伤害</v>
          </cell>
          <cell r="G45">
            <v>1</v>
          </cell>
          <cell r="H45">
            <v>1</v>
          </cell>
          <cell r="I45">
            <v>43</v>
          </cell>
          <cell r="J45">
            <v>1</v>
          </cell>
          <cell r="K45">
            <v>27.857142857142854</v>
          </cell>
          <cell r="L45">
            <v>0</v>
          </cell>
          <cell r="M45">
            <v>5700</v>
          </cell>
          <cell r="N45">
            <v>456315</v>
          </cell>
          <cell r="O45">
            <v>1</v>
          </cell>
          <cell r="P45">
            <v>1</v>
          </cell>
          <cell r="Q45">
            <v>10</v>
          </cell>
          <cell r="R45">
            <v>2</v>
          </cell>
          <cell r="S45">
            <v>50</v>
          </cell>
          <cell r="T45">
            <v>19.480519480519479</v>
          </cell>
          <cell r="U45">
            <v>3147</v>
          </cell>
          <cell r="V45">
            <v>214.28571428571428</v>
          </cell>
          <cell r="W45">
            <v>145</v>
          </cell>
          <cell r="X45">
            <v>2084</v>
          </cell>
          <cell r="Y45">
            <v>18</v>
          </cell>
          <cell r="Z45">
            <v>58</v>
          </cell>
        </row>
        <row r="46">
          <cell r="A46">
            <v>9111144</v>
          </cell>
          <cell r="B46" t="str">
            <v>瞬狱·斩</v>
          </cell>
          <cell r="C46" t="str">
            <v>瞬狱·斩</v>
          </cell>
          <cell r="D46">
            <v>1</v>
          </cell>
          <cell r="E46">
            <v>71</v>
          </cell>
          <cell r="F46" t="str">
            <v>第44级，共造成308.6%点伤害</v>
          </cell>
          <cell r="G46">
            <v>1</v>
          </cell>
          <cell r="H46">
            <v>1</v>
          </cell>
          <cell r="I46">
            <v>44</v>
          </cell>
          <cell r="J46">
            <v>1</v>
          </cell>
          <cell r="K46">
            <v>28.051948051948052</v>
          </cell>
          <cell r="L46">
            <v>0</v>
          </cell>
          <cell r="M46">
            <v>5600</v>
          </cell>
          <cell r="N46">
            <v>517390</v>
          </cell>
          <cell r="O46">
            <v>1</v>
          </cell>
          <cell r="P46">
            <v>1</v>
          </cell>
          <cell r="Q46">
            <v>10</v>
          </cell>
          <cell r="R46">
            <v>2</v>
          </cell>
          <cell r="S46">
            <v>50</v>
          </cell>
          <cell r="T46">
            <v>19.480519480519479</v>
          </cell>
          <cell r="U46">
            <v>3338</v>
          </cell>
          <cell r="V46">
            <v>214.28571428571428</v>
          </cell>
          <cell r="W46">
            <v>155</v>
          </cell>
          <cell r="X46">
            <v>2239</v>
          </cell>
          <cell r="Y46">
            <v>18</v>
          </cell>
          <cell r="Z46">
            <v>62</v>
          </cell>
        </row>
        <row r="47">
          <cell r="A47">
            <v>9111145</v>
          </cell>
          <cell r="B47" t="str">
            <v>瞬狱·斩</v>
          </cell>
          <cell r="C47" t="str">
            <v>瞬狱·斩</v>
          </cell>
          <cell r="D47">
            <v>1</v>
          </cell>
          <cell r="E47">
            <v>72</v>
          </cell>
          <cell r="F47" t="str">
            <v>第45级，共造成310.7%点伤害</v>
          </cell>
          <cell r="G47">
            <v>1</v>
          </cell>
          <cell r="H47">
            <v>1</v>
          </cell>
          <cell r="I47">
            <v>45</v>
          </cell>
          <cell r="J47">
            <v>1</v>
          </cell>
          <cell r="K47">
            <v>28.246753246753244</v>
          </cell>
          <cell r="L47">
            <v>0</v>
          </cell>
          <cell r="M47">
            <v>5500</v>
          </cell>
          <cell r="N47">
            <v>566775</v>
          </cell>
          <cell r="O47">
            <v>1</v>
          </cell>
          <cell r="P47">
            <v>1</v>
          </cell>
          <cell r="Q47">
            <v>10</v>
          </cell>
          <cell r="R47">
            <v>2</v>
          </cell>
          <cell r="S47">
            <v>50</v>
          </cell>
          <cell r="T47">
            <v>19.480519480519479</v>
          </cell>
          <cell r="U47">
            <v>3435</v>
          </cell>
          <cell r="V47">
            <v>214.28571428571428</v>
          </cell>
          <cell r="W47">
            <v>165</v>
          </cell>
          <cell r="X47">
            <v>2404</v>
          </cell>
          <cell r="Y47">
            <v>18</v>
          </cell>
          <cell r="Z47">
            <v>66</v>
          </cell>
        </row>
        <row r="48">
          <cell r="A48">
            <v>9111146</v>
          </cell>
          <cell r="B48" t="str">
            <v>瞬狱·斩</v>
          </cell>
          <cell r="C48" t="str">
            <v>瞬狱·斩</v>
          </cell>
          <cell r="D48">
            <v>1</v>
          </cell>
          <cell r="E48">
            <v>74</v>
          </cell>
          <cell r="F48" t="str">
            <v>第46级，共造成312.9%点伤害</v>
          </cell>
          <cell r="G48">
            <v>1</v>
          </cell>
          <cell r="H48">
            <v>1</v>
          </cell>
          <cell r="I48">
            <v>46</v>
          </cell>
          <cell r="J48">
            <v>1</v>
          </cell>
          <cell r="K48">
            <v>28.441558441558442</v>
          </cell>
          <cell r="L48">
            <v>0</v>
          </cell>
          <cell r="M48">
            <v>5400</v>
          </cell>
          <cell r="N48">
            <v>643218</v>
          </cell>
          <cell r="O48">
            <v>1</v>
          </cell>
          <cell r="P48">
            <v>1</v>
          </cell>
          <cell r="Q48">
            <v>10</v>
          </cell>
          <cell r="R48">
            <v>2</v>
          </cell>
          <cell r="S48">
            <v>50</v>
          </cell>
          <cell r="T48">
            <v>19.480519480519479</v>
          </cell>
          <cell r="U48">
            <v>3634</v>
          </cell>
          <cell r="V48">
            <v>214.28571428571428</v>
          </cell>
          <cell r="W48">
            <v>177</v>
          </cell>
          <cell r="X48">
            <v>2581</v>
          </cell>
          <cell r="Y48">
            <v>18</v>
          </cell>
          <cell r="Z48">
            <v>71</v>
          </cell>
        </row>
        <row r="49">
          <cell r="A49">
            <v>9111147</v>
          </cell>
          <cell r="B49" t="str">
            <v>瞬狱·斩</v>
          </cell>
          <cell r="C49" t="str">
            <v>瞬狱·斩</v>
          </cell>
          <cell r="D49">
            <v>1</v>
          </cell>
          <cell r="E49">
            <v>75</v>
          </cell>
          <cell r="F49" t="str">
            <v>第47级，共造成315%点伤害</v>
          </cell>
          <cell r="G49">
            <v>1</v>
          </cell>
          <cell r="H49">
            <v>1</v>
          </cell>
          <cell r="I49">
            <v>47</v>
          </cell>
          <cell r="J49">
            <v>1</v>
          </cell>
          <cell r="K49">
            <v>28.636363636363633</v>
          </cell>
          <cell r="L49">
            <v>0</v>
          </cell>
          <cell r="M49">
            <v>5300</v>
          </cell>
          <cell r="N49">
            <v>705915</v>
          </cell>
          <cell r="O49">
            <v>1</v>
          </cell>
          <cell r="P49">
            <v>1</v>
          </cell>
          <cell r="Q49">
            <v>10</v>
          </cell>
          <cell r="R49">
            <v>2</v>
          </cell>
          <cell r="S49">
            <v>50</v>
          </cell>
          <cell r="T49">
            <v>19.480519480519479</v>
          </cell>
          <cell r="U49">
            <v>3735</v>
          </cell>
          <cell r="V49">
            <v>214.28571428571428</v>
          </cell>
          <cell r="W49">
            <v>189</v>
          </cell>
          <cell r="X49">
            <v>2770</v>
          </cell>
          <cell r="Y49">
            <v>18</v>
          </cell>
          <cell r="Z49">
            <v>76</v>
          </cell>
        </row>
        <row r="50">
          <cell r="A50">
            <v>9111148</v>
          </cell>
          <cell r="B50" t="str">
            <v>瞬狱·斩</v>
          </cell>
          <cell r="C50" t="str">
            <v>瞬狱·斩</v>
          </cell>
          <cell r="D50">
            <v>1</v>
          </cell>
          <cell r="E50">
            <v>77</v>
          </cell>
          <cell r="F50" t="str">
            <v>第48级，共造成317.1%点伤害</v>
          </cell>
          <cell r="G50">
            <v>1</v>
          </cell>
          <cell r="H50">
            <v>1</v>
          </cell>
          <cell r="I50">
            <v>48</v>
          </cell>
          <cell r="J50">
            <v>1</v>
          </cell>
          <cell r="K50">
            <v>28.831168831168831</v>
          </cell>
          <cell r="L50">
            <v>0</v>
          </cell>
          <cell r="M50">
            <v>5200</v>
          </cell>
          <cell r="N50">
            <v>800226</v>
          </cell>
          <cell r="O50">
            <v>1</v>
          </cell>
          <cell r="P50">
            <v>1</v>
          </cell>
          <cell r="Q50">
            <v>10</v>
          </cell>
          <cell r="R50">
            <v>2</v>
          </cell>
          <cell r="S50">
            <v>50</v>
          </cell>
          <cell r="T50">
            <v>19.480519480519479</v>
          </cell>
          <cell r="U50">
            <v>3942</v>
          </cell>
          <cell r="V50">
            <v>214.28571428571428</v>
          </cell>
          <cell r="W50">
            <v>203</v>
          </cell>
          <cell r="X50">
            <v>2973</v>
          </cell>
          <cell r="Y50">
            <v>18</v>
          </cell>
          <cell r="Z50">
            <v>82</v>
          </cell>
        </row>
        <row r="51">
          <cell r="A51">
            <v>9111149</v>
          </cell>
          <cell r="B51" t="str">
            <v>瞬狱·斩</v>
          </cell>
          <cell r="C51" t="str">
            <v>瞬狱·斩</v>
          </cell>
          <cell r="D51">
            <v>1</v>
          </cell>
          <cell r="E51">
            <v>78</v>
          </cell>
          <cell r="F51" t="str">
            <v>第49级，共造成319.3%点伤害</v>
          </cell>
          <cell r="G51">
            <v>1</v>
          </cell>
          <cell r="H51">
            <v>1</v>
          </cell>
          <cell r="I51">
            <v>49</v>
          </cell>
          <cell r="J51">
            <v>1</v>
          </cell>
          <cell r="K51">
            <v>29.025974025974023</v>
          </cell>
          <cell r="L51">
            <v>0</v>
          </cell>
          <cell r="M51">
            <v>5100</v>
          </cell>
          <cell r="N51">
            <v>878199</v>
          </cell>
          <cell r="O51">
            <v>1</v>
          </cell>
          <cell r="P51">
            <v>1</v>
          </cell>
          <cell r="Q51">
            <v>10</v>
          </cell>
          <cell r="R51">
            <v>2</v>
          </cell>
          <cell r="S51">
            <v>50</v>
          </cell>
          <cell r="T51">
            <v>19.480519480519479</v>
          </cell>
          <cell r="U51">
            <v>4047</v>
          </cell>
          <cell r="V51">
            <v>214.28571428571428</v>
          </cell>
          <cell r="W51">
            <v>217</v>
          </cell>
          <cell r="X51">
            <v>3190</v>
          </cell>
          <cell r="Y51">
            <v>18</v>
          </cell>
          <cell r="Z51">
            <v>87</v>
          </cell>
        </row>
        <row r="52">
          <cell r="A52">
            <v>9111150</v>
          </cell>
          <cell r="B52" t="str">
            <v>瞬狱·斩</v>
          </cell>
          <cell r="C52" t="str">
            <v>瞬狱·斩</v>
          </cell>
          <cell r="D52">
            <v>1</v>
          </cell>
          <cell r="E52">
            <v>80</v>
          </cell>
          <cell r="F52" t="str">
            <v>第50级，共造成321.4%点伤害</v>
          </cell>
          <cell r="G52">
            <v>1</v>
          </cell>
          <cell r="H52">
            <v>1</v>
          </cell>
          <cell r="I52">
            <v>50</v>
          </cell>
          <cell r="J52">
            <v>1</v>
          </cell>
          <cell r="K52">
            <v>29.220779220779221</v>
          </cell>
          <cell r="L52">
            <v>0</v>
          </cell>
          <cell r="M52">
            <v>5000</v>
          </cell>
          <cell r="N52">
            <v>988784</v>
          </cell>
          <cell r="O52">
            <v>1</v>
          </cell>
          <cell r="P52">
            <v>1</v>
          </cell>
          <cell r="Q52">
            <v>10</v>
          </cell>
          <cell r="R52">
            <v>2</v>
          </cell>
          <cell r="S52">
            <v>50</v>
          </cell>
          <cell r="T52">
            <v>19.480519480519479</v>
          </cell>
          <cell r="U52">
            <v>4262</v>
          </cell>
          <cell r="V52">
            <v>214.28571428571428</v>
          </cell>
          <cell r="W52">
            <v>232</v>
          </cell>
          <cell r="X52">
            <v>3422</v>
          </cell>
          <cell r="Y52">
            <v>18</v>
          </cell>
          <cell r="Z52">
            <v>93</v>
          </cell>
        </row>
        <row r="53">
          <cell r="A53">
            <v>9122000</v>
          </cell>
          <cell r="B53" t="str">
            <v>影袭·斩</v>
          </cell>
          <cell r="C53" t="str">
            <v>影袭·斩第1段</v>
          </cell>
          <cell r="D53">
            <v>1</v>
          </cell>
          <cell r="E53">
            <v>4</v>
          </cell>
          <cell r="F53" t="str">
            <v>第0级，共造成119%点伤害</v>
          </cell>
          <cell r="G53">
            <v>0</v>
          </cell>
          <cell r="H53">
            <v>1</v>
          </cell>
          <cell r="I53">
            <v>0</v>
          </cell>
          <cell r="J53">
            <v>2</v>
          </cell>
          <cell r="K53">
            <v>119.04761904761905</v>
          </cell>
          <cell r="L53">
            <v>0</v>
          </cell>
          <cell r="M53">
            <v>8000</v>
          </cell>
          <cell r="N53">
            <v>0</v>
          </cell>
          <cell r="O53">
            <v>2</v>
          </cell>
          <cell r="P53">
            <v>1</v>
          </cell>
          <cell r="Q53">
            <v>1</v>
          </cell>
          <cell r="R53">
            <v>4</v>
          </cell>
          <cell r="S53">
            <v>50</v>
          </cell>
          <cell r="T53">
            <v>119.04761904761905</v>
          </cell>
          <cell r="U53">
            <v>68</v>
          </cell>
          <cell r="V53">
            <v>119.04761904761905</v>
          </cell>
          <cell r="W53">
            <v>0</v>
          </cell>
          <cell r="X53">
            <v>0</v>
          </cell>
          <cell r="Y53">
            <v>18</v>
          </cell>
          <cell r="Z53">
            <v>0</v>
          </cell>
        </row>
        <row r="54">
          <cell r="A54">
            <v>9122101</v>
          </cell>
          <cell r="B54" t="str">
            <v>影袭·斩第1段</v>
          </cell>
          <cell r="C54" t="str">
            <v>影袭·斩第1段</v>
          </cell>
          <cell r="D54">
            <v>1</v>
          </cell>
          <cell r="E54">
            <v>4</v>
          </cell>
          <cell r="F54" t="str">
            <v>第1级，共造成119%点伤害</v>
          </cell>
          <cell r="G54">
            <v>1</v>
          </cell>
          <cell r="H54">
            <v>1</v>
          </cell>
          <cell r="I54">
            <v>1</v>
          </cell>
          <cell r="J54">
            <v>2</v>
          </cell>
          <cell r="K54">
            <v>119.04761904761905</v>
          </cell>
          <cell r="L54">
            <v>0</v>
          </cell>
          <cell r="M54">
            <v>8000</v>
          </cell>
          <cell r="N54">
            <v>272</v>
          </cell>
          <cell r="O54">
            <v>2</v>
          </cell>
          <cell r="P54">
            <v>1</v>
          </cell>
          <cell r="Q54">
            <v>1</v>
          </cell>
          <cell r="R54">
            <v>4</v>
          </cell>
          <cell r="S54">
            <v>50</v>
          </cell>
          <cell r="T54">
            <v>119.04761904761905</v>
          </cell>
          <cell r="U54">
            <v>68</v>
          </cell>
          <cell r="V54">
            <v>119.04761904761905</v>
          </cell>
          <cell r="W54">
            <v>4</v>
          </cell>
          <cell r="X54">
            <v>4</v>
          </cell>
          <cell r="Y54">
            <v>18</v>
          </cell>
          <cell r="Z54">
            <v>0</v>
          </cell>
        </row>
        <row r="55">
          <cell r="A55">
            <v>9122102</v>
          </cell>
          <cell r="B55" t="str">
            <v>影袭·斩第1段</v>
          </cell>
          <cell r="C55" t="str">
            <v>影袭·斩第1段</v>
          </cell>
          <cell r="D55">
            <v>1</v>
          </cell>
          <cell r="E55">
            <v>7</v>
          </cell>
          <cell r="F55" t="str">
            <v>第2级，共造成121.4%点伤害</v>
          </cell>
          <cell r="G55">
            <v>1</v>
          </cell>
          <cell r="H55">
            <v>1</v>
          </cell>
          <cell r="I55">
            <v>2</v>
          </cell>
          <cell r="J55">
            <v>2</v>
          </cell>
          <cell r="K55">
            <v>121.42857142857143</v>
          </cell>
          <cell r="L55">
            <v>0</v>
          </cell>
          <cell r="M55">
            <v>7840</v>
          </cell>
          <cell r="N55">
            <v>344</v>
          </cell>
          <cell r="O55">
            <v>2</v>
          </cell>
          <cell r="P55">
            <v>1</v>
          </cell>
          <cell r="Q55">
            <v>1</v>
          </cell>
          <cell r="R55">
            <v>4</v>
          </cell>
          <cell r="S55">
            <v>50</v>
          </cell>
          <cell r="T55">
            <v>119.04761904761905</v>
          </cell>
          <cell r="U55">
            <v>86</v>
          </cell>
          <cell r="V55">
            <v>119.04761904761905</v>
          </cell>
          <cell r="W55">
            <v>4</v>
          </cell>
          <cell r="X55">
            <v>8</v>
          </cell>
          <cell r="Y55">
            <v>18</v>
          </cell>
          <cell r="Z55">
            <v>0</v>
          </cell>
        </row>
        <row r="56">
          <cell r="A56">
            <v>9122103</v>
          </cell>
          <cell r="B56" t="str">
            <v>影袭·斩第1段</v>
          </cell>
          <cell r="C56" t="str">
            <v>影袭·斩第1段</v>
          </cell>
          <cell r="D56">
            <v>1</v>
          </cell>
          <cell r="E56">
            <v>9</v>
          </cell>
          <cell r="F56" t="str">
            <v>第3级，共造成122.6%点伤害</v>
          </cell>
          <cell r="G56">
            <v>1</v>
          </cell>
          <cell r="H56">
            <v>1</v>
          </cell>
          <cell r="I56">
            <v>3</v>
          </cell>
          <cell r="J56">
            <v>2</v>
          </cell>
          <cell r="K56">
            <v>122.61904761904762</v>
          </cell>
          <cell r="L56">
            <v>0</v>
          </cell>
          <cell r="M56">
            <v>7760</v>
          </cell>
          <cell r="N56">
            <v>392</v>
          </cell>
          <cell r="O56">
            <v>2</v>
          </cell>
          <cell r="P56">
            <v>1</v>
          </cell>
          <cell r="Q56">
            <v>1</v>
          </cell>
          <cell r="R56">
            <v>4</v>
          </cell>
          <cell r="S56">
            <v>50</v>
          </cell>
          <cell r="T56">
            <v>119.04761904761905</v>
          </cell>
          <cell r="U56">
            <v>98</v>
          </cell>
          <cell r="V56">
            <v>119.04761904761905</v>
          </cell>
          <cell r="W56">
            <v>4</v>
          </cell>
          <cell r="X56">
            <v>12</v>
          </cell>
          <cell r="Y56">
            <v>18</v>
          </cell>
          <cell r="Z56">
            <v>0</v>
          </cell>
        </row>
        <row r="57">
          <cell r="A57">
            <v>9122104</v>
          </cell>
          <cell r="B57" t="str">
            <v>影袭·斩第1段</v>
          </cell>
          <cell r="C57" t="str">
            <v>影袭·斩第1段</v>
          </cell>
          <cell r="D57">
            <v>1</v>
          </cell>
          <cell r="E57">
            <v>10</v>
          </cell>
          <cell r="F57" t="str">
            <v>第4级，共造成123.8%点伤害</v>
          </cell>
          <cell r="G57">
            <v>1</v>
          </cell>
          <cell r="H57">
            <v>1</v>
          </cell>
          <cell r="I57">
            <v>4</v>
          </cell>
          <cell r="J57">
            <v>2</v>
          </cell>
          <cell r="K57">
            <v>123.80952380952381</v>
          </cell>
          <cell r="L57">
            <v>0</v>
          </cell>
          <cell r="M57">
            <v>7680</v>
          </cell>
          <cell r="N57">
            <v>520</v>
          </cell>
          <cell r="O57">
            <v>2</v>
          </cell>
          <cell r="P57">
            <v>1</v>
          </cell>
          <cell r="Q57">
            <v>1</v>
          </cell>
          <cell r="R57">
            <v>4</v>
          </cell>
          <cell r="S57">
            <v>50</v>
          </cell>
          <cell r="T57">
            <v>119.04761904761905</v>
          </cell>
          <cell r="U57">
            <v>104</v>
          </cell>
          <cell r="V57">
            <v>119.04761904761905</v>
          </cell>
          <cell r="W57">
            <v>5</v>
          </cell>
          <cell r="X57">
            <v>17</v>
          </cell>
          <cell r="Y57">
            <v>18</v>
          </cell>
          <cell r="Z57">
            <v>0</v>
          </cell>
        </row>
        <row r="58">
          <cell r="A58">
            <v>9122105</v>
          </cell>
          <cell r="B58" t="str">
            <v>影袭·斩第1段</v>
          </cell>
          <cell r="C58" t="str">
            <v>影袭·斩第1段</v>
          </cell>
          <cell r="D58">
            <v>1</v>
          </cell>
          <cell r="E58">
            <v>12</v>
          </cell>
          <cell r="F58" t="str">
            <v>第5级，共造成125%点伤害</v>
          </cell>
          <cell r="G58">
            <v>1</v>
          </cell>
          <cell r="H58">
            <v>1</v>
          </cell>
          <cell r="I58">
            <v>5</v>
          </cell>
          <cell r="J58">
            <v>2</v>
          </cell>
          <cell r="K58">
            <v>125</v>
          </cell>
          <cell r="L58">
            <v>0</v>
          </cell>
          <cell r="M58">
            <v>7600</v>
          </cell>
          <cell r="N58">
            <v>580</v>
          </cell>
          <cell r="O58">
            <v>2</v>
          </cell>
          <cell r="P58">
            <v>1</v>
          </cell>
          <cell r="Q58">
            <v>1</v>
          </cell>
          <cell r="R58">
            <v>4</v>
          </cell>
          <cell r="S58">
            <v>50</v>
          </cell>
          <cell r="T58">
            <v>119.04761904761905</v>
          </cell>
          <cell r="U58">
            <v>116</v>
          </cell>
          <cell r="V58">
            <v>119.04761904761905</v>
          </cell>
          <cell r="W58">
            <v>5</v>
          </cell>
          <cell r="X58">
            <v>22</v>
          </cell>
          <cell r="Y58">
            <v>18</v>
          </cell>
          <cell r="Z58">
            <v>0</v>
          </cell>
        </row>
        <row r="59">
          <cell r="A59">
            <v>9122106</v>
          </cell>
          <cell r="B59" t="str">
            <v>影袭·斩第1段</v>
          </cell>
          <cell r="C59" t="str">
            <v>影袭·斩第1段</v>
          </cell>
          <cell r="D59">
            <v>1</v>
          </cell>
          <cell r="E59">
            <v>13</v>
          </cell>
          <cell r="F59" t="str">
            <v>第6级，共造成126.2%点伤害</v>
          </cell>
          <cell r="G59">
            <v>1</v>
          </cell>
          <cell r="H59">
            <v>1</v>
          </cell>
          <cell r="I59">
            <v>6</v>
          </cell>
          <cell r="J59">
            <v>2</v>
          </cell>
          <cell r="K59">
            <v>126.19047619047619</v>
          </cell>
          <cell r="L59">
            <v>0</v>
          </cell>
          <cell r="M59">
            <v>7520</v>
          </cell>
          <cell r="N59">
            <v>610</v>
          </cell>
          <cell r="O59">
            <v>2</v>
          </cell>
          <cell r="P59">
            <v>1</v>
          </cell>
          <cell r="Q59">
            <v>1</v>
          </cell>
          <cell r="R59">
            <v>4</v>
          </cell>
          <cell r="S59">
            <v>50</v>
          </cell>
          <cell r="T59">
            <v>119.04761904761905</v>
          </cell>
          <cell r="U59">
            <v>122</v>
          </cell>
          <cell r="V59">
            <v>119.04761904761905</v>
          </cell>
          <cell r="W59">
            <v>5</v>
          </cell>
          <cell r="X59">
            <v>27</v>
          </cell>
          <cell r="Y59">
            <v>18</v>
          </cell>
          <cell r="Z59">
            <v>0</v>
          </cell>
        </row>
        <row r="60">
          <cell r="A60">
            <v>9122107</v>
          </cell>
          <cell r="B60" t="str">
            <v>影袭·斩第1段</v>
          </cell>
          <cell r="C60" t="str">
            <v>影袭·斩第1段</v>
          </cell>
          <cell r="D60">
            <v>1</v>
          </cell>
          <cell r="E60">
            <v>15</v>
          </cell>
          <cell r="F60" t="str">
            <v>第7级，共造成127.4%点伤害</v>
          </cell>
          <cell r="G60">
            <v>1</v>
          </cell>
          <cell r="H60">
            <v>1</v>
          </cell>
          <cell r="I60">
            <v>7</v>
          </cell>
          <cell r="J60">
            <v>2</v>
          </cell>
          <cell r="K60">
            <v>127.38095238095238</v>
          </cell>
          <cell r="L60">
            <v>0</v>
          </cell>
          <cell r="M60">
            <v>7440</v>
          </cell>
          <cell r="N60">
            <v>670</v>
          </cell>
          <cell r="O60">
            <v>2</v>
          </cell>
          <cell r="P60">
            <v>1</v>
          </cell>
          <cell r="Q60">
            <v>1</v>
          </cell>
          <cell r="R60">
            <v>4</v>
          </cell>
          <cell r="S60">
            <v>50</v>
          </cell>
          <cell r="T60">
            <v>119.04761904761905</v>
          </cell>
          <cell r="U60">
            <v>134</v>
          </cell>
          <cell r="V60">
            <v>119.04761904761905</v>
          </cell>
          <cell r="W60">
            <v>5</v>
          </cell>
          <cell r="X60">
            <v>32</v>
          </cell>
          <cell r="Y60">
            <v>18</v>
          </cell>
          <cell r="Z60">
            <v>0</v>
          </cell>
        </row>
        <row r="61">
          <cell r="A61">
            <v>9122108</v>
          </cell>
          <cell r="B61" t="str">
            <v>影袭·斩第1段</v>
          </cell>
          <cell r="C61" t="str">
            <v>影袭·斩第1段</v>
          </cell>
          <cell r="D61">
            <v>1</v>
          </cell>
          <cell r="E61">
            <v>16</v>
          </cell>
          <cell r="F61" t="str">
            <v>第8级，共造成128.6%点伤害</v>
          </cell>
          <cell r="G61">
            <v>1</v>
          </cell>
          <cell r="H61">
            <v>1</v>
          </cell>
          <cell r="I61">
            <v>8</v>
          </cell>
          <cell r="J61">
            <v>2</v>
          </cell>
          <cell r="K61">
            <v>128.57142857142858</v>
          </cell>
          <cell r="L61">
            <v>0</v>
          </cell>
          <cell r="M61">
            <v>7360</v>
          </cell>
          <cell r="N61">
            <v>840</v>
          </cell>
          <cell r="O61">
            <v>2</v>
          </cell>
          <cell r="P61">
            <v>1</v>
          </cell>
          <cell r="Q61">
            <v>1</v>
          </cell>
          <cell r="R61">
            <v>4</v>
          </cell>
          <cell r="S61">
            <v>50</v>
          </cell>
          <cell r="T61">
            <v>119.04761904761905</v>
          </cell>
          <cell r="U61">
            <v>140</v>
          </cell>
          <cell r="V61">
            <v>119.04761904761905</v>
          </cell>
          <cell r="W61">
            <v>6</v>
          </cell>
          <cell r="X61">
            <v>38</v>
          </cell>
          <cell r="Y61">
            <v>18</v>
          </cell>
          <cell r="Z61">
            <v>0</v>
          </cell>
        </row>
        <row r="62">
          <cell r="A62">
            <v>9122109</v>
          </cell>
          <cell r="B62" t="str">
            <v>影袭·斩第1段</v>
          </cell>
          <cell r="C62" t="str">
            <v>影袭·斩第1段</v>
          </cell>
          <cell r="D62">
            <v>1</v>
          </cell>
          <cell r="E62">
            <v>18</v>
          </cell>
          <cell r="F62" t="str">
            <v>第9级，共造成129.8%点伤害</v>
          </cell>
          <cell r="G62">
            <v>1</v>
          </cell>
          <cell r="H62">
            <v>1</v>
          </cell>
          <cell r="I62">
            <v>9</v>
          </cell>
          <cell r="J62">
            <v>2</v>
          </cell>
          <cell r="K62">
            <v>129.76190476190476</v>
          </cell>
          <cell r="L62">
            <v>0</v>
          </cell>
          <cell r="M62">
            <v>7280</v>
          </cell>
          <cell r="N62">
            <v>912</v>
          </cell>
          <cell r="O62">
            <v>2</v>
          </cell>
          <cell r="P62">
            <v>1</v>
          </cell>
          <cell r="Q62">
            <v>1</v>
          </cell>
          <cell r="R62">
            <v>4</v>
          </cell>
          <cell r="S62">
            <v>50</v>
          </cell>
          <cell r="T62">
            <v>119.04761904761905</v>
          </cell>
          <cell r="U62">
            <v>152</v>
          </cell>
          <cell r="V62">
            <v>119.04761904761905</v>
          </cell>
          <cell r="W62">
            <v>6</v>
          </cell>
          <cell r="X62">
            <v>44</v>
          </cell>
          <cell r="Y62">
            <v>18</v>
          </cell>
          <cell r="Z62">
            <v>0</v>
          </cell>
        </row>
        <row r="63">
          <cell r="A63">
            <v>9122110</v>
          </cell>
          <cell r="B63" t="str">
            <v>影袭·斩第1段</v>
          </cell>
          <cell r="C63" t="str">
            <v>影袭·斩第1段</v>
          </cell>
          <cell r="D63">
            <v>1</v>
          </cell>
          <cell r="E63">
            <v>19</v>
          </cell>
          <cell r="F63" t="str">
            <v>第10级，共造成131%点伤害</v>
          </cell>
          <cell r="G63">
            <v>1</v>
          </cell>
          <cell r="H63">
            <v>1</v>
          </cell>
          <cell r="I63">
            <v>10</v>
          </cell>
          <cell r="J63">
            <v>2</v>
          </cell>
          <cell r="K63">
            <v>130.95238095238096</v>
          </cell>
          <cell r="L63">
            <v>0</v>
          </cell>
          <cell r="M63">
            <v>7200</v>
          </cell>
          <cell r="N63">
            <v>1106</v>
          </cell>
          <cell r="O63">
            <v>2</v>
          </cell>
          <cell r="P63">
            <v>1</v>
          </cell>
          <cell r="Q63">
            <v>1</v>
          </cell>
          <cell r="R63">
            <v>4</v>
          </cell>
          <cell r="S63">
            <v>50</v>
          </cell>
          <cell r="T63">
            <v>119.04761904761905</v>
          </cell>
          <cell r="U63">
            <v>158</v>
          </cell>
          <cell r="V63">
            <v>119.04761904761905</v>
          </cell>
          <cell r="W63">
            <v>7</v>
          </cell>
          <cell r="X63">
            <v>51</v>
          </cell>
          <cell r="Y63">
            <v>18</v>
          </cell>
          <cell r="Z63">
            <v>0</v>
          </cell>
        </row>
        <row r="64">
          <cell r="A64">
            <v>9122111</v>
          </cell>
          <cell r="B64" t="str">
            <v>影袭·斩第1段</v>
          </cell>
          <cell r="C64" t="str">
            <v>影袭·斩第1段</v>
          </cell>
          <cell r="D64">
            <v>1</v>
          </cell>
          <cell r="E64">
            <v>21</v>
          </cell>
          <cell r="F64" t="str">
            <v>第11级，共造成132.1%点伤害</v>
          </cell>
          <cell r="G64">
            <v>1</v>
          </cell>
          <cell r="H64">
            <v>1</v>
          </cell>
          <cell r="I64">
            <v>11</v>
          </cell>
          <cell r="J64">
            <v>2</v>
          </cell>
          <cell r="K64">
            <v>132.14285714285714</v>
          </cell>
          <cell r="L64">
            <v>0</v>
          </cell>
          <cell r="M64">
            <v>7120</v>
          </cell>
          <cell r="N64">
            <v>1470</v>
          </cell>
          <cell r="O64">
            <v>2</v>
          </cell>
          <cell r="P64">
            <v>1</v>
          </cell>
          <cell r="Q64">
            <v>1</v>
          </cell>
          <cell r="R64">
            <v>4</v>
          </cell>
          <cell r="S64">
            <v>50</v>
          </cell>
          <cell r="T64">
            <v>119.04761904761905</v>
          </cell>
          <cell r="U64">
            <v>210</v>
          </cell>
          <cell r="V64">
            <v>119.04761904761905</v>
          </cell>
          <cell r="W64">
            <v>7</v>
          </cell>
          <cell r="X64">
            <v>58</v>
          </cell>
          <cell r="Y64">
            <v>18</v>
          </cell>
          <cell r="Z64">
            <v>0</v>
          </cell>
        </row>
        <row r="65">
          <cell r="A65">
            <v>9122112</v>
          </cell>
          <cell r="B65" t="str">
            <v>影袭·斩第1段</v>
          </cell>
          <cell r="C65" t="str">
            <v>影袭·斩第1段</v>
          </cell>
          <cell r="D65">
            <v>1</v>
          </cell>
          <cell r="E65">
            <v>22</v>
          </cell>
          <cell r="F65" t="str">
            <v>第12级，共造成133.3%点伤害</v>
          </cell>
          <cell r="G65">
            <v>1</v>
          </cell>
          <cell r="H65">
            <v>1</v>
          </cell>
          <cell r="I65">
            <v>12</v>
          </cell>
          <cell r="J65">
            <v>2</v>
          </cell>
          <cell r="K65">
            <v>133.33333333333334</v>
          </cell>
          <cell r="L65">
            <v>0</v>
          </cell>
          <cell r="M65">
            <v>7040</v>
          </cell>
          <cell r="N65">
            <v>1912</v>
          </cell>
          <cell r="O65">
            <v>2</v>
          </cell>
          <cell r="P65">
            <v>1</v>
          </cell>
          <cell r="Q65">
            <v>1</v>
          </cell>
          <cell r="R65">
            <v>4</v>
          </cell>
          <cell r="S65">
            <v>50</v>
          </cell>
          <cell r="T65">
            <v>119.04761904761905</v>
          </cell>
          <cell r="U65">
            <v>239</v>
          </cell>
          <cell r="V65">
            <v>119.04761904761905</v>
          </cell>
          <cell r="W65">
            <v>8</v>
          </cell>
          <cell r="X65">
            <v>66</v>
          </cell>
          <cell r="Y65">
            <v>18</v>
          </cell>
          <cell r="Z65">
            <v>0</v>
          </cell>
        </row>
        <row r="66">
          <cell r="A66">
            <v>9122113</v>
          </cell>
          <cell r="B66" t="str">
            <v>影袭·斩第1段</v>
          </cell>
          <cell r="C66" t="str">
            <v>影袭·斩第1段</v>
          </cell>
          <cell r="D66">
            <v>1</v>
          </cell>
          <cell r="E66">
            <v>24</v>
          </cell>
          <cell r="F66" t="str">
            <v>第13级，共造成134.5%点伤害</v>
          </cell>
          <cell r="G66">
            <v>1</v>
          </cell>
          <cell r="H66">
            <v>1</v>
          </cell>
          <cell r="I66">
            <v>13</v>
          </cell>
          <cell r="J66">
            <v>2</v>
          </cell>
          <cell r="K66">
            <v>134.52380952380952</v>
          </cell>
          <cell r="L66">
            <v>0</v>
          </cell>
          <cell r="M66">
            <v>6960</v>
          </cell>
          <cell r="N66">
            <v>2416</v>
          </cell>
          <cell r="O66">
            <v>2</v>
          </cell>
          <cell r="P66">
            <v>1</v>
          </cell>
          <cell r="Q66">
            <v>1</v>
          </cell>
          <cell r="R66">
            <v>4</v>
          </cell>
          <cell r="S66">
            <v>50</v>
          </cell>
          <cell r="T66">
            <v>119.04761904761905</v>
          </cell>
          <cell r="U66">
            <v>302</v>
          </cell>
          <cell r="V66">
            <v>119.04761904761905</v>
          </cell>
          <cell r="W66">
            <v>8</v>
          </cell>
          <cell r="X66">
            <v>74</v>
          </cell>
          <cell r="Y66">
            <v>18</v>
          </cell>
          <cell r="Z66">
            <v>0</v>
          </cell>
        </row>
        <row r="67">
          <cell r="A67">
            <v>9122114</v>
          </cell>
          <cell r="B67" t="str">
            <v>影袭·斩第1段</v>
          </cell>
          <cell r="C67" t="str">
            <v>影袭·斩第1段</v>
          </cell>
          <cell r="D67">
            <v>1</v>
          </cell>
          <cell r="E67">
            <v>25</v>
          </cell>
          <cell r="F67" t="str">
            <v>第14级，共造成135.7%点伤害</v>
          </cell>
          <cell r="G67">
            <v>1</v>
          </cell>
          <cell r="H67">
            <v>1</v>
          </cell>
          <cell r="I67">
            <v>14</v>
          </cell>
          <cell r="J67">
            <v>2</v>
          </cell>
          <cell r="K67">
            <v>135.71428571428572</v>
          </cell>
          <cell r="L67">
            <v>0</v>
          </cell>
          <cell r="M67">
            <v>6880</v>
          </cell>
          <cell r="N67">
            <v>3015</v>
          </cell>
          <cell r="O67">
            <v>2</v>
          </cell>
          <cell r="P67">
            <v>1</v>
          </cell>
          <cell r="Q67">
            <v>1</v>
          </cell>
          <cell r="R67">
            <v>4</v>
          </cell>
          <cell r="S67">
            <v>50</v>
          </cell>
          <cell r="T67">
            <v>119.04761904761905</v>
          </cell>
          <cell r="U67">
            <v>335</v>
          </cell>
          <cell r="V67">
            <v>119.04761904761905</v>
          </cell>
          <cell r="W67">
            <v>9</v>
          </cell>
          <cell r="X67">
            <v>83</v>
          </cell>
          <cell r="Y67">
            <v>18</v>
          </cell>
          <cell r="Z67">
            <v>0</v>
          </cell>
        </row>
        <row r="68">
          <cell r="A68">
            <v>9122115</v>
          </cell>
          <cell r="B68" t="str">
            <v>影袭·斩第1段</v>
          </cell>
          <cell r="C68" t="str">
            <v>影袭·斩第1段</v>
          </cell>
          <cell r="D68">
            <v>1</v>
          </cell>
          <cell r="E68">
            <v>27</v>
          </cell>
          <cell r="F68" t="str">
            <v>第15级，共造成136.9%点伤害</v>
          </cell>
          <cell r="G68">
            <v>1</v>
          </cell>
          <cell r="H68">
            <v>1</v>
          </cell>
          <cell r="I68">
            <v>15</v>
          </cell>
          <cell r="J68">
            <v>2</v>
          </cell>
          <cell r="K68">
            <v>136.9047619047619</v>
          </cell>
          <cell r="L68">
            <v>0</v>
          </cell>
          <cell r="M68">
            <v>6800</v>
          </cell>
          <cell r="N68">
            <v>4060</v>
          </cell>
          <cell r="O68">
            <v>2</v>
          </cell>
          <cell r="P68">
            <v>1</v>
          </cell>
          <cell r="Q68">
            <v>1</v>
          </cell>
          <cell r="R68">
            <v>4</v>
          </cell>
          <cell r="S68">
            <v>50</v>
          </cell>
          <cell r="T68">
            <v>119.04761904761905</v>
          </cell>
          <cell r="U68">
            <v>406</v>
          </cell>
          <cell r="V68">
            <v>119.04761904761905</v>
          </cell>
          <cell r="W68">
            <v>10</v>
          </cell>
          <cell r="X68">
            <v>93</v>
          </cell>
          <cell r="Y68">
            <v>18</v>
          </cell>
          <cell r="Z68">
            <v>0</v>
          </cell>
        </row>
        <row r="69">
          <cell r="A69">
            <v>9122116</v>
          </cell>
          <cell r="B69" t="str">
            <v>影袭·斩第1段</v>
          </cell>
          <cell r="C69" t="str">
            <v>影袭·斩第1段</v>
          </cell>
          <cell r="D69">
            <v>1</v>
          </cell>
          <cell r="E69">
            <v>28</v>
          </cell>
          <cell r="F69" t="str">
            <v>第16级，共造成138.1%点伤害</v>
          </cell>
          <cell r="G69">
            <v>1</v>
          </cell>
          <cell r="H69">
            <v>1</v>
          </cell>
          <cell r="I69">
            <v>16</v>
          </cell>
          <cell r="J69">
            <v>2</v>
          </cell>
          <cell r="K69">
            <v>138.0952380952381</v>
          </cell>
          <cell r="L69">
            <v>0</v>
          </cell>
          <cell r="M69">
            <v>6720</v>
          </cell>
          <cell r="N69">
            <v>4430</v>
          </cell>
          <cell r="O69">
            <v>2</v>
          </cell>
          <cell r="P69">
            <v>1</v>
          </cell>
          <cell r="Q69">
            <v>1</v>
          </cell>
          <cell r="R69">
            <v>4</v>
          </cell>
          <cell r="S69">
            <v>50</v>
          </cell>
          <cell r="T69">
            <v>119.04761904761905</v>
          </cell>
          <cell r="U69">
            <v>443</v>
          </cell>
          <cell r="V69">
            <v>119.04761904761905</v>
          </cell>
          <cell r="W69">
            <v>10</v>
          </cell>
          <cell r="X69">
            <v>103</v>
          </cell>
          <cell r="Y69">
            <v>18</v>
          </cell>
          <cell r="Z69">
            <v>0</v>
          </cell>
        </row>
        <row r="70">
          <cell r="A70">
            <v>9122117</v>
          </cell>
          <cell r="B70" t="str">
            <v>影袭·斩第1段</v>
          </cell>
          <cell r="C70" t="str">
            <v>影袭·斩第1段</v>
          </cell>
          <cell r="D70">
            <v>1</v>
          </cell>
          <cell r="E70">
            <v>30</v>
          </cell>
          <cell r="F70" t="str">
            <v>第17级，共造成139.3%点伤害</v>
          </cell>
          <cell r="G70">
            <v>1</v>
          </cell>
          <cell r="H70">
            <v>1</v>
          </cell>
          <cell r="I70">
            <v>17</v>
          </cell>
          <cell r="J70">
            <v>2</v>
          </cell>
          <cell r="K70">
            <v>139.28571428571428</v>
          </cell>
          <cell r="L70">
            <v>0</v>
          </cell>
          <cell r="M70">
            <v>6640</v>
          </cell>
          <cell r="N70">
            <v>5742</v>
          </cell>
          <cell r="O70">
            <v>2</v>
          </cell>
          <cell r="P70">
            <v>1</v>
          </cell>
          <cell r="Q70">
            <v>1</v>
          </cell>
          <cell r="R70">
            <v>4</v>
          </cell>
          <cell r="S70">
            <v>50</v>
          </cell>
          <cell r="T70">
            <v>119.04761904761905</v>
          </cell>
          <cell r="U70">
            <v>522</v>
          </cell>
          <cell r="V70">
            <v>119.04761904761905</v>
          </cell>
          <cell r="W70">
            <v>11</v>
          </cell>
          <cell r="X70">
            <v>114</v>
          </cell>
          <cell r="Y70">
            <v>18</v>
          </cell>
          <cell r="Z70">
            <v>0</v>
          </cell>
        </row>
        <row r="71">
          <cell r="A71">
            <v>9122118</v>
          </cell>
          <cell r="B71" t="str">
            <v>影袭·斩第1段</v>
          </cell>
          <cell r="C71" t="str">
            <v>影袭·斩第1段</v>
          </cell>
          <cell r="D71">
            <v>1</v>
          </cell>
          <cell r="E71">
            <v>31</v>
          </cell>
          <cell r="F71" t="str">
            <v>第18级，共造成140.5%点伤害</v>
          </cell>
          <cell r="G71">
            <v>1</v>
          </cell>
          <cell r="H71">
            <v>1</v>
          </cell>
          <cell r="I71">
            <v>18</v>
          </cell>
          <cell r="J71">
            <v>2</v>
          </cell>
          <cell r="K71">
            <v>140.47619047619048</v>
          </cell>
          <cell r="L71">
            <v>0</v>
          </cell>
          <cell r="M71">
            <v>6560</v>
          </cell>
          <cell r="N71">
            <v>6756</v>
          </cell>
          <cell r="O71">
            <v>2</v>
          </cell>
          <cell r="P71">
            <v>1</v>
          </cell>
          <cell r="Q71">
            <v>1</v>
          </cell>
          <cell r="R71">
            <v>4</v>
          </cell>
          <cell r="S71">
            <v>50</v>
          </cell>
          <cell r="T71">
            <v>119.04761904761905</v>
          </cell>
          <cell r="U71">
            <v>563</v>
          </cell>
          <cell r="V71">
            <v>119.04761904761905</v>
          </cell>
          <cell r="W71">
            <v>12</v>
          </cell>
          <cell r="X71">
            <v>126</v>
          </cell>
          <cell r="Y71">
            <v>18</v>
          </cell>
          <cell r="Z71">
            <v>5</v>
          </cell>
        </row>
        <row r="72">
          <cell r="A72">
            <v>9122119</v>
          </cell>
          <cell r="B72" t="str">
            <v>影袭·斩第1段</v>
          </cell>
          <cell r="C72" t="str">
            <v>影袭·斩第1段</v>
          </cell>
          <cell r="D72">
            <v>1</v>
          </cell>
          <cell r="E72">
            <v>33</v>
          </cell>
          <cell r="F72" t="str">
            <v>第19级，共造成141.7%点伤害</v>
          </cell>
          <cell r="G72">
            <v>1</v>
          </cell>
          <cell r="H72">
            <v>1</v>
          </cell>
          <cell r="I72">
            <v>19</v>
          </cell>
          <cell r="J72">
            <v>2</v>
          </cell>
          <cell r="K72">
            <v>141.66666666666669</v>
          </cell>
          <cell r="L72">
            <v>0</v>
          </cell>
          <cell r="M72">
            <v>6480</v>
          </cell>
          <cell r="N72">
            <v>8463</v>
          </cell>
          <cell r="O72">
            <v>2</v>
          </cell>
          <cell r="P72">
            <v>1</v>
          </cell>
          <cell r="Q72">
            <v>1</v>
          </cell>
          <cell r="R72">
            <v>4</v>
          </cell>
          <cell r="S72">
            <v>50</v>
          </cell>
          <cell r="T72">
            <v>119.04761904761905</v>
          </cell>
          <cell r="U72">
            <v>651</v>
          </cell>
          <cell r="V72">
            <v>119.04761904761905</v>
          </cell>
          <cell r="W72">
            <v>13</v>
          </cell>
          <cell r="X72">
            <v>139</v>
          </cell>
          <cell r="Y72">
            <v>18</v>
          </cell>
          <cell r="Z72">
            <v>6</v>
          </cell>
        </row>
        <row r="73">
          <cell r="A73">
            <v>9122120</v>
          </cell>
          <cell r="B73" t="str">
            <v>影袭·斩第1段</v>
          </cell>
          <cell r="C73" t="str">
            <v>影袭·斩第1段</v>
          </cell>
          <cell r="D73">
            <v>1</v>
          </cell>
          <cell r="E73">
            <v>34</v>
          </cell>
          <cell r="F73" t="str">
            <v>第20级，共造成142.9%点伤害</v>
          </cell>
          <cell r="G73">
            <v>1</v>
          </cell>
          <cell r="H73">
            <v>1</v>
          </cell>
          <cell r="I73">
            <v>20</v>
          </cell>
          <cell r="J73">
            <v>2</v>
          </cell>
          <cell r="K73">
            <v>142.85714285714286</v>
          </cell>
          <cell r="L73">
            <v>0</v>
          </cell>
          <cell r="M73">
            <v>6400</v>
          </cell>
          <cell r="N73">
            <v>9048</v>
          </cell>
          <cell r="O73">
            <v>2</v>
          </cell>
          <cell r="P73">
            <v>1</v>
          </cell>
          <cell r="Q73">
            <v>1</v>
          </cell>
          <cell r="R73">
            <v>4</v>
          </cell>
          <cell r="S73">
            <v>50</v>
          </cell>
          <cell r="T73">
            <v>119.04761904761905</v>
          </cell>
          <cell r="U73">
            <v>696</v>
          </cell>
          <cell r="V73">
            <v>119.04761904761905</v>
          </cell>
          <cell r="W73">
            <v>13</v>
          </cell>
          <cell r="X73">
            <v>152</v>
          </cell>
          <cell r="Y73">
            <v>18</v>
          </cell>
          <cell r="Z73">
            <v>6</v>
          </cell>
        </row>
        <row r="74">
          <cell r="A74">
            <v>9122121</v>
          </cell>
          <cell r="B74" t="str">
            <v>影袭·斩第1段</v>
          </cell>
          <cell r="C74" t="str">
            <v>影袭·斩第1段</v>
          </cell>
          <cell r="D74">
            <v>1</v>
          </cell>
          <cell r="E74">
            <v>36</v>
          </cell>
          <cell r="F74" t="str">
            <v>第21级，共造成144%点伤害</v>
          </cell>
          <cell r="G74">
            <v>1</v>
          </cell>
          <cell r="H74">
            <v>1</v>
          </cell>
          <cell r="I74">
            <v>21</v>
          </cell>
          <cell r="J74">
            <v>2</v>
          </cell>
          <cell r="K74">
            <v>144.04761904761904</v>
          </cell>
          <cell r="L74">
            <v>0</v>
          </cell>
          <cell r="M74">
            <v>6320</v>
          </cell>
          <cell r="N74">
            <v>11074</v>
          </cell>
          <cell r="O74">
            <v>2</v>
          </cell>
          <cell r="P74">
            <v>1</v>
          </cell>
          <cell r="Q74">
            <v>1</v>
          </cell>
          <cell r="R74">
            <v>4</v>
          </cell>
          <cell r="S74">
            <v>50</v>
          </cell>
          <cell r="T74">
            <v>119.04761904761905</v>
          </cell>
          <cell r="U74">
            <v>791</v>
          </cell>
          <cell r="V74">
            <v>119.04761904761905</v>
          </cell>
          <cell r="W74">
            <v>14</v>
          </cell>
          <cell r="X74">
            <v>166</v>
          </cell>
          <cell r="Y74">
            <v>18</v>
          </cell>
          <cell r="Z74">
            <v>6</v>
          </cell>
        </row>
        <row r="75">
          <cell r="A75">
            <v>9122122</v>
          </cell>
          <cell r="B75" t="str">
            <v>影袭·斩第1段</v>
          </cell>
          <cell r="C75" t="str">
            <v>影袭·斩第1段</v>
          </cell>
          <cell r="D75">
            <v>1</v>
          </cell>
          <cell r="E75">
            <v>37</v>
          </cell>
          <cell r="F75" t="str">
            <v>第22级，共造成145.2%点伤害</v>
          </cell>
          <cell r="G75">
            <v>1</v>
          </cell>
          <cell r="H75">
            <v>1</v>
          </cell>
          <cell r="I75">
            <v>22</v>
          </cell>
          <cell r="J75">
            <v>2</v>
          </cell>
          <cell r="K75">
            <v>145.23809523809524</v>
          </cell>
          <cell r="L75">
            <v>0</v>
          </cell>
          <cell r="M75">
            <v>6240</v>
          </cell>
          <cell r="N75">
            <v>12615</v>
          </cell>
          <cell r="O75">
            <v>2</v>
          </cell>
          <cell r="P75">
            <v>1</v>
          </cell>
          <cell r="Q75">
            <v>1</v>
          </cell>
          <cell r="R75">
            <v>4</v>
          </cell>
          <cell r="S75">
            <v>50</v>
          </cell>
          <cell r="T75">
            <v>119.04761904761905</v>
          </cell>
          <cell r="U75">
            <v>841</v>
          </cell>
          <cell r="V75">
            <v>119.04761904761905</v>
          </cell>
          <cell r="W75">
            <v>15</v>
          </cell>
          <cell r="X75">
            <v>181</v>
          </cell>
          <cell r="Y75">
            <v>18</v>
          </cell>
          <cell r="Z75">
            <v>6</v>
          </cell>
        </row>
        <row r="76">
          <cell r="A76">
            <v>9122123</v>
          </cell>
          <cell r="B76" t="str">
            <v>影袭·斩第1段</v>
          </cell>
          <cell r="C76" t="str">
            <v>影袭·斩第1段</v>
          </cell>
          <cell r="D76">
            <v>1</v>
          </cell>
          <cell r="E76">
            <v>39</v>
          </cell>
          <cell r="F76" t="str">
            <v>第23级，共造成146.4%点伤害</v>
          </cell>
          <cell r="G76">
            <v>1</v>
          </cell>
          <cell r="H76">
            <v>1</v>
          </cell>
          <cell r="I76">
            <v>23</v>
          </cell>
          <cell r="J76">
            <v>2</v>
          </cell>
          <cell r="K76">
            <v>146.42857142857144</v>
          </cell>
          <cell r="L76">
            <v>0</v>
          </cell>
          <cell r="M76">
            <v>6160</v>
          </cell>
          <cell r="N76">
            <v>15104</v>
          </cell>
          <cell r="O76">
            <v>2</v>
          </cell>
          <cell r="P76">
            <v>1</v>
          </cell>
          <cell r="Q76">
            <v>1</v>
          </cell>
          <cell r="R76">
            <v>4</v>
          </cell>
          <cell r="S76">
            <v>50</v>
          </cell>
          <cell r="T76">
            <v>119.04761904761905</v>
          </cell>
          <cell r="U76">
            <v>944</v>
          </cell>
          <cell r="V76">
            <v>119.04761904761905</v>
          </cell>
          <cell r="W76">
            <v>16</v>
          </cell>
          <cell r="X76">
            <v>197</v>
          </cell>
          <cell r="Y76">
            <v>18</v>
          </cell>
          <cell r="Z76">
            <v>7</v>
          </cell>
        </row>
        <row r="77">
          <cell r="A77">
            <v>9122124</v>
          </cell>
          <cell r="B77" t="str">
            <v>影袭·斩第1段</v>
          </cell>
          <cell r="C77" t="str">
            <v>影袭·斩第1段</v>
          </cell>
          <cell r="D77">
            <v>1</v>
          </cell>
          <cell r="E77">
            <v>40</v>
          </cell>
          <cell r="F77" t="str">
            <v>第24级，共造成147.6%点伤害</v>
          </cell>
          <cell r="G77">
            <v>1</v>
          </cell>
          <cell r="H77">
            <v>1</v>
          </cell>
          <cell r="I77">
            <v>24</v>
          </cell>
          <cell r="J77">
            <v>2</v>
          </cell>
          <cell r="K77">
            <v>147.61904761904762</v>
          </cell>
          <cell r="L77">
            <v>0</v>
          </cell>
          <cell r="M77">
            <v>6080</v>
          </cell>
          <cell r="N77">
            <v>16966</v>
          </cell>
          <cell r="O77">
            <v>2</v>
          </cell>
          <cell r="P77">
            <v>1</v>
          </cell>
          <cell r="Q77">
            <v>1</v>
          </cell>
          <cell r="R77">
            <v>4</v>
          </cell>
          <cell r="S77">
            <v>50</v>
          </cell>
          <cell r="T77">
            <v>119.04761904761905</v>
          </cell>
          <cell r="U77">
            <v>998</v>
          </cell>
          <cell r="V77">
            <v>119.04761904761905</v>
          </cell>
          <cell r="W77">
            <v>17</v>
          </cell>
          <cell r="X77">
            <v>214</v>
          </cell>
          <cell r="Y77">
            <v>18</v>
          </cell>
          <cell r="Z77">
            <v>7</v>
          </cell>
        </row>
        <row r="78">
          <cell r="A78">
            <v>9122125</v>
          </cell>
          <cell r="B78" t="str">
            <v>影袭·斩第1段</v>
          </cell>
          <cell r="C78" t="str">
            <v>影袭·斩第1段</v>
          </cell>
          <cell r="D78">
            <v>1</v>
          </cell>
          <cell r="E78">
            <v>42</v>
          </cell>
          <cell r="F78" t="str">
            <v>第25级，共造成148.8%点伤害</v>
          </cell>
          <cell r="G78">
            <v>1</v>
          </cell>
          <cell r="H78">
            <v>1</v>
          </cell>
          <cell r="I78">
            <v>25</v>
          </cell>
          <cell r="J78">
            <v>2</v>
          </cell>
          <cell r="K78">
            <v>148.80952380952382</v>
          </cell>
          <cell r="L78">
            <v>0</v>
          </cell>
          <cell r="M78">
            <v>6000</v>
          </cell>
          <cell r="N78">
            <v>21090</v>
          </cell>
          <cell r="O78">
            <v>2</v>
          </cell>
          <cell r="P78">
            <v>1</v>
          </cell>
          <cell r="Q78">
            <v>1</v>
          </cell>
          <cell r="R78">
            <v>4</v>
          </cell>
          <cell r="S78">
            <v>50</v>
          </cell>
          <cell r="T78">
            <v>119.04761904761905</v>
          </cell>
          <cell r="U78">
            <v>1110</v>
          </cell>
          <cell r="V78">
            <v>119.04761904761905</v>
          </cell>
          <cell r="W78">
            <v>19</v>
          </cell>
          <cell r="X78">
            <v>233</v>
          </cell>
          <cell r="Y78">
            <v>18</v>
          </cell>
          <cell r="Z78">
            <v>8</v>
          </cell>
        </row>
        <row r="79">
          <cell r="A79">
            <v>9122126</v>
          </cell>
          <cell r="B79" t="str">
            <v>影袭·斩第1段</v>
          </cell>
          <cell r="C79" t="str">
            <v>影袭·斩第1段</v>
          </cell>
          <cell r="D79">
            <v>1</v>
          </cell>
          <cell r="E79">
            <v>44</v>
          </cell>
          <cell r="F79" t="str">
            <v>第26级，共造成150%点伤害</v>
          </cell>
          <cell r="G79">
            <v>1</v>
          </cell>
          <cell r="H79">
            <v>1</v>
          </cell>
          <cell r="I79">
            <v>26</v>
          </cell>
          <cell r="J79">
            <v>2</v>
          </cell>
          <cell r="K79">
            <v>150</v>
          </cell>
          <cell r="L79">
            <v>0</v>
          </cell>
          <cell r="M79">
            <v>5920</v>
          </cell>
          <cell r="N79">
            <v>24520</v>
          </cell>
          <cell r="O79">
            <v>2</v>
          </cell>
          <cell r="P79">
            <v>1</v>
          </cell>
          <cell r="Q79">
            <v>1</v>
          </cell>
          <cell r="R79">
            <v>4</v>
          </cell>
          <cell r="S79">
            <v>50</v>
          </cell>
          <cell r="T79">
            <v>119.04761904761905</v>
          </cell>
          <cell r="U79">
            <v>1226</v>
          </cell>
          <cell r="V79">
            <v>119.04761904761905</v>
          </cell>
          <cell r="W79">
            <v>20</v>
          </cell>
          <cell r="X79">
            <v>253</v>
          </cell>
          <cell r="Y79">
            <v>18</v>
          </cell>
          <cell r="Z79">
            <v>8</v>
          </cell>
        </row>
        <row r="80">
          <cell r="A80">
            <v>9122127</v>
          </cell>
          <cell r="B80" t="str">
            <v>影袭·斩第1段</v>
          </cell>
          <cell r="C80" t="str">
            <v>影袭·斩第1段</v>
          </cell>
          <cell r="D80">
            <v>1</v>
          </cell>
          <cell r="E80">
            <v>45</v>
          </cell>
          <cell r="F80" t="str">
            <v>第27级，共造成151.2%点伤害</v>
          </cell>
          <cell r="G80">
            <v>1</v>
          </cell>
          <cell r="H80">
            <v>1</v>
          </cell>
          <cell r="I80">
            <v>27</v>
          </cell>
          <cell r="J80">
            <v>2</v>
          </cell>
          <cell r="K80">
            <v>151.1904761904762</v>
          </cell>
          <cell r="L80">
            <v>0</v>
          </cell>
          <cell r="M80">
            <v>5840</v>
          </cell>
          <cell r="N80">
            <v>27027</v>
          </cell>
          <cell r="O80">
            <v>2</v>
          </cell>
          <cell r="P80">
            <v>1</v>
          </cell>
          <cell r="Q80">
            <v>1</v>
          </cell>
          <cell r="R80">
            <v>4</v>
          </cell>
          <cell r="S80">
            <v>50</v>
          </cell>
          <cell r="T80">
            <v>119.04761904761905</v>
          </cell>
          <cell r="U80">
            <v>1287</v>
          </cell>
          <cell r="V80">
            <v>119.04761904761905</v>
          </cell>
          <cell r="W80">
            <v>21</v>
          </cell>
          <cell r="X80">
            <v>274</v>
          </cell>
          <cell r="Y80">
            <v>18</v>
          </cell>
          <cell r="Z80">
            <v>9</v>
          </cell>
        </row>
        <row r="81">
          <cell r="A81">
            <v>9122128</v>
          </cell>
          <cell r="B81" t="str">
            <v>影袭·斩第1段</v>
          </cell>
          <cell r="C81" t="str">
            <v>影袭·斩第1段</v>
          </cell>
          <cell r="D81">
            <v>1</v>
          </cell>
          <cell r="E81">
            <v>47</v>
          </cell>
          <cell r="F81" t="str">
            <v>第28级，共造成152.4%点伤害</v>
          </cell>
          <cell r="G81">
            <v>1</v>
          </cell>
          <cell r="H81">
            <v>1</v>
          </cell>
          <cell r="I81">
            <v>28</v>
          </cell>
          <cell r="J81">
            <v>2</v>
          </cell>
          <cell r="K81">
            <v>152.38095238095238</v>
          </cell>
          <cell r="L81">
            <v>0</v>
          </cell>
          <cell r="M81">
            <v>5760</v>
          </cell>
          <cell r="N81">
            <v>32476</v>
          </cell>
          <cell r="O81">
            <v>2</v>
          </cell>
          <cell r="P81">
            <v>1</v>
          </cell>
          <cell r="Q81">
            <v>1</v>
          </cell>
          <cell r="R81">
            <v>4</v>
          </cell>
          <cell r="S81">
            <v>50</v>
          </cell>
          <cell r="T81">
            <v>119.04761904761905</v>
          </cell>
          <cell r="U81">
            <v>1412</v>
          </cell>
          <cell r="V81">
            <v>119.04761904761905</v>
          </cell>
          <cell r="W81">
            <v>23</v>
          </cell>
          <cell r="X81">
            <v>297</v>
          </cell>
          <cell r="Y81">
            <v>18</v>
          </cell>
          <cell r="Z81">
            <v>10</v>
          </cell>
        </row>
        <row r="82">
          <cell r="A82">
            <v>9122129</v>
          </cell>
          <cell r="B82" t="str">
            <v>影袭·斩第1段</v>
          </cell>
          <cell r="C82" t="str">
            <v>影袭·斩第1段</v>
          </cell>
          <cell r="D82">
            <v>1</v>
          </cell>
          <cell r="E82">
            <v>48</v>
          </cell>
          <cell r="F82" t="str">
            <v>第29级，共造成153.6%点伤害</v>
          </cell>
          <cell r="G82">
            <v>1</v>
          </cell>
          <cell r="H82">
            <v>1</v>
          </cell>
          <cell r="I82">
            <v>29</v>
          </cell>
          <cell r="J82">
            <v>2</v>
          </cell>
          <cell r="K82">
            <v>153.57142857142858</v>
          </cell>
          <cell r="L82">
            <v>0</v>
          </cell>
          <cell r="M82">
            <v>5680</v>
          </cell>
          <cell r="N82">
            <v>36925</v>
          </cell>
          <cell r="O82">
            <v>2</v>
          </cell>
          <cell r="P82">
            <v>1</v>
          </cell>
          <cell r="Q82">
            <v>1</v>
          </cell>
          <cell r="R82">
            <v>4</v>
          </cell>
          <cell r="S82">
            <v>50</v>
          </cell>
          <cell r="T82">
            <v>119.04761904761905</v>
          </cell>
          <cell r="U82">
            <v>1477</v>
          </cell>
          <cell r="V82">
            <v>119.04761904761905</v>
          </cell>
          <cell r="W82">
            <v>25</v>
          </cell>
          <cell r="X82">
            <v>322</v>
          </cell>
          <cell r="Y82">
            <v>18</v>
          </cell>
          <cell r="Z82">
            <v>10</v>
          </cell>
        </row>
        <row r="83">
          <cell r="A83">
            <v>9122130</v>
          </cell>
          <cell r="B83" t="str">
            <v>影袭·斩第1段</v>
          </cell>
          <cell r="C83" t="str">
            <v>影袭·斩第1段</v>
          </cell>
          <cell r="D83">
            <v>1</v>
          </cell>
          <cell r="E83">
            <v>50</v>
          </cell>
          <cell r="F83" t="str">
            <v>第30级，共造成154.8%点伤害</v>
          </cell>
          <cell r="G83">
            <v>1</v>
          </cell>
          <cell r="H83">
            <v>1</v>
          </cell>
          <cell r="I83">
            <v>30</v>
          </cell>
          <cell r="J83">
            <v>2</v>
          </cell>
          <cell r="K83">
            <v>154.76190476190476</v>
          </cell>
          <cell r="L83">
            <v>0</v>
          </cell>
          <cell r="M83">
            <v>5600</v>
          </cell>
          <cell r="N83">
            <v>41860</v>
          </cell>
          <cell r="O83">
            <v>2</v>
          </cell>
          <cell r="P83">
            <v>1</v>
          </cell>
          <cell r="Q83">
            <v>1</v>
          </cell>
          <cell r="R83">
            <v>4</v>
          </cell>
          <cell r="S83">
            <v>50</v>
          </cell>
          <cell r="T83">
            <v>119.04761904761905</v>
          </cell>
          <cell r="U83">
            <v>1610</v>
          </cell>
          <cell r="V83">
            <v>119.04761904761905</v>
          </cell>
          <cell r="W83">
            <v>26</v>
          </cell>
          <cell r="X83">
            <v>348</v>
          </cell>
          <cell r="Y83">
            <v>18</v>
          </cell>
          <cell r="Z83">
            <v>11</v>
          </cell>
        </row>
        <row r="84">
          <cell r="A84">
            <v>9122131</v>
          </cell>
          <cell r="B84" t="str">
            <v>影袭·斩第1段</v>
          </cell>
          <cell r="C84" t="str">
            <v>影袭·斩第1段</v>
          </cell>
          <cell r="D84">
            <v>1</v>
          </cell>
          <cell r="E84">
            <v>51</v>
          </cell>
          <cell r="F84" t="str">
            <v>第31级，共造成156%点伤害</v>
          </cell>
          <cell r="G84">
            <v>1</v>
          </cell>
          <cell r="H84">
            <v>1</v>
          </cell>
          <cell r="I84">
            <v>31</v>
          </cell>
          <cell r="J84">
            <v>2</v>
          </cell>
          <cell r="K84">
            <v>155.95238095238096</v>
          </cell>
          <cell r="L84">
            <v>0</v>
          </cell>
          <cell r="M84">
            <v>5520</v>
          </cell>
          <cell r="N84">
            <v>47012</v>
          </cell>
          <cell r="O84">
            <v>2</v>
          </cell>
          <cell r="P84">
            <v>1</v>
          </cell>
          <cell r="Q84">
            <v>1</v>
          </cell>
          <cell r="R84">
            <v>4</v>
          </cell>
          <cell r="S84">
            <v>50</v>
          </cell>
          <cell r="T84">
            <v>119.04761904761905</v>
          </cell>
          <cell r="U84">
            <v>1679</v>
          </cell>
          <cell r="V84">
            <v>119.04761904761905</v>
          </cell>
          <cell r="W84">
            <v>28</v>
          </cell>
          <cell r="X84">
            <v>376</v>
          </cell>
          <cell r="Y84">
            <v>18</v>
          </cell>
          <cell r="Z84">
            <v>12</v>
          </cell>
        </row>
        <row r="85">
          <cell r="A85">
            <v>9122132</v>
          </cell>
          <cell r="B85" t="str">
            <v>影袭·斩第1段</v>
          </cell>
          <cell r="C85" t="str">
            <v>影袭·斩第1段</v>
          </cell>
          <cell r="D85">
            <v>1</v>
          </cell>
          <cell r="E85">
            <v>53</v>
          </cell>
          <cell r="F85" t="str">
            <v>第32级，共造成157.1%点伤害</v>
          </cell>
          <cell r="G85">
            <v>1</v>
          </cell>
          <cell r="H85">
            <v>1</v>
          </cell>
          <cell r="I85">
            <v>32</v>
          </cell>
          <cell r="J85">
            <v>2</v>
          </cell>
          <cell r="K85">
            <v>157.14285714285714</v>
          </cell>
          <cell r="L85">
            <v>0</v>
          </cell>
          <cell r="M85">
            <v>5440</v>
          </cell>
          <cell r="N85">
            <v>54600</v>
          </cell>
          <cell r="O85">
            <v>2</v>
          </cell>
          <cell r="P85">
            <v>1</v>
          </cell>
          <cell r="Q85">
            <v>1</v>
          </cell>
          <cell r="R85">
            <v>4</v>
          </cell>
          <cell r="S85">
            <v>50</v>
          </cell>
          <cell r="T85">
            <v>119.04761904761905</v>
          </cell>
          <cell r="U85">
            <v>1820</v>
          </cell>
          <cell r="V85">
            <v>119.04761904761905</v>
          </cell>
          <cell r="W85">
            <v>30</v>
          </cell>
          <cell r="X85">
            <v>406</v>
          </cell>
          <cell r="Y85">
            <v>18</v>
          </cell>
          <cell r="Z85">
            <v>12</v>
          </cell>
        </row>
        <row r="86">
          <cell r="A86">
            <v>9122133</v>
          </cell>
          <cell r="B86" t="str">
            <v>影袭·斩第1段</v>
          </cell>
          <cell r="C86" t="str">
            <v>影袭·斩第1段</v>
          </cell>
          <cell r="D86">
            <v>1</v>
          </cell>
          <cell r="E86">
            <v>54</v>
          </cell>
          <cell r="F86" t="str">
            <v>第33级，共造成158.3%点伤害</v>
          </cell>
          <cell r="G86">
            <v>1</v>
          </cell>
          <cell r="H86">
            <v>1</v>
          </cell>
          <cell r="I86">
            <v>33</v>
          </cell>
          <cell r="J86">
            <v>2</v>
          </cell>
          <cell r="K86">
            <v>158.33333333333334</v>
          </cell>
          <cell r="L86">
            <v>0</v>
          </cell>
          <cell r="M86">
            <v>5360</v>
          </cell>
          <cell r="N86">
            <v>60576</v>
          </cell>
          <cell r="O86">
            <v>2</v>
          </cell>
          <cell r="P86">
            <v>1</v>
          </cell>
          <cell r="Q86">
            <v>1</v>
          </cell>
          <cell r="R86">
            <v>4</v>
          </cell>
          <cell r="S86">
            <v>50</v>
          </cell>
          <cell r="T86">
            <v>119.04761904761905</v>
          </cell>
          <cell r="U86">
            <v>1893</v>
          </cell>
          <cell r="V86">
            <v>119.04761904761905</v>
          </cell>
          <cell r="W86">
            <v>32</v>
          </cell>
          <cell r="X86">
            <v>438</v>
          </cell>
          <cell r="Y86">
            <v>18</v>
          </cell>
          <cell r="Z86">
            <v>13</v>
          </cell>
        </row>
        <row r="87">
          <cell r="A87">
            <v>9122134</v>
          </cell>
          <cell r="B87" t="str">
            <v>影袭·斩第1段</v>
          </cell>
          <cell r="C87" t="str">
            <v>影袭·斩第1段</v>
          </cell>
          <cell r="D87">
            <v>1</v>
          </cell>
          <cell r="E87">
            <v>56</v>
          </cell>
          <cell r="F87" t="str">
            <v>第34级，共造成159.5%点伤害</v>
          </cell>
          <cell r="G87">
            <v>1</v>
          </cell>
          <cell r="H87">
            <v>1</v>
          </cell>
          <cell r="I87">
            <v>34</v>
          </cell>
          <cell r="J87">
            <v>2</v>
          </cell>
          <cell r="K87">
            <v>159.52380952380952</v>
          </cell>
          <cell r="L87">
            <v>0</v>
          </cell>
          <cell r="M87">
            <v>5280</v>
          </cell>
          <cell r="N87">
            <v>69428</v>
          </cell>
          <cell r="O87">
            <v>2</v>
          </cell>
          <cell r="P87">
            <v>1</v>
          </cell>
          <cell r="Q87">
            <v>1</v>
          </cell>
          <cell r="R87">
            <v>4</v>
          </cell>
          <cell r="S87">
            <v>50</v>
          </cell>
          <cell r="T87">
            <v>119.04761904761905</v>
          </cell>
          <cell r="U87">
            <v>2042</v>
          </cell>
          <cell r="V87">
            <v>119.04761904761905</v>
          </cell>
          <cell r="W87">
            <v>34</v>
          </cell>
          <cell r="X87">
            <v>472</v>
          </cell>
          <cell r="Y87">
            <v>18</v>
          </cell>
          <cell r="Z87">
            <v>14</v>
          </cell>
        </row>
        <row r="88">
          <cell r="A88">
            <v>9122135</v>
          </cell>
          <cell r="B88" t="str">
            <v>影袭·斩第1段</v>
          </cell>
          <cell r="C88" t="str">
            <v>影袭·斩第1段</v>
          </cell>
          <cell r="D88">
            <v>1</v>
          </cell>
          <cell r="E88">
            <v>57</v>
          </cell>
          <cell r="F88" t="str">
            <v>第35级，共造成160.7%点伤害</v>
          </cell>
          <cell r="G88">
            <v>1</v>
          </cell>
          <cell r="H88">
            <v>1</v>
          </cell>
          <cell r="I88">
            <v>35</v>
          </cell>
          <cell r="J88">
            <v>2</v>
          </cell>
          <cell r="K88">
            <v>160.71428571428572</v>
          </cell>
          <cell r="L88">
            <v>0</v>
          </cell>
          <cell r="M88">
            <v>5200</v>
          </cell>
          <cell r="N88">
            <v>76284</v>
          </cell>
          <cell r="O88">
            <v>2</v>
          </cell>
          <cell r="P88">
            <v>1</v>
          </cell>
          <cell r="Q88">
            <v>1</v>
          </cell>
          <cell r="R88">
            <v>4</v>
          </cell>
          <cell r="S88">
            <v>50</v>
          </cell>
          <cell r="T88">
            <v>119.04761904761905</v>
          </cell>
          <cell r="U88">
            <v>2119</v>
          </cell>
          <cell r="V88">
            <v>119.04761904761905</v>
          </cell>
          <cell r="W88">
            <v>36</v>
          </cell>
          <cell r="X88">
            <v>508</v>
          </cell>
          <cell r="Y88">
            <v>18</v>
          </cell>
          <cell r="Z88">
            <v>15</v>
          </cell>
        </row>
        <row r="89">
          <cell r="A89">
            <v>9122136</v>
          </cell>
          <cell r="B89" t="str">
            <v>影袭·斩第1段</v>
          </cell>
          <cell r="C89" t="str">
            <v>影袭·斩第1段</v>
          </cell>
          <cell r="D89">
            <v>1</v>
          </cell>
          <cell r="E89">
            <v>59</v>
          </cell>
          <cell r="F89" t="str">
            <v>第36级，共造成161.9%点伤害</v>
          </cell>
          <cell r="G89">
            <v>1</v>
          </cell>
          <cell r="H89">
            <v>1</v>
          </cell>
          <cell r="I89">
            <v>36</v>
          </cell>
          <cell r="J89">
            <v>2</v>
          </cell>
          <cell r="K89">
            <v>161.9047619047619</v>
          </cell>
          <cell r="L89">
            <v>0</v>
          </cell>
          <cell r="M89">
            <v>5120</v>
          </cell>
          <cell r="N89">
            <v>88803</v>
          </cell>
          <cell r="O89">
            <v>2</v>
          </cell>
          <cell r="P89">
            <v>1</v>
          </cell>
          <cell r="Q89">
            <v>1</v>
          </cell>
          <cell r="R89">
            <v>4</v>
          </cell>
          <cell r="S89">
            <v>50</v>
          </cell>
          <cell r="T89">
            <v>119.04761904761905</v>
          </cell>
          <cell r="U89">
            <v>2277</v>
          </cell>
          <cell r="V89">
            <v>119.04761904761905</v>
          </cell>
          <cell r="W89">
            <v>39</v>
          </cell>
          <cell r="X89">
            <v>547</v>
          </cell>
          <cell r="Y89">
            <v>18</v>
          </cell>
          <cell r="Z89">
            <v>16</v>
          </cell>
        </row>
        <row r="90">
          <cell r="A90">
            <v>9122137</v>
          </cell>
          <cell r="B90" t="str">
            <v>影袭·斩第1段</v>
          </cell>
          <cell r="C90" t="str">
            <v>影袭·斩第1段</v>
          </cell>
          <cell r="D90">
            <v>1</v>
          </cell>
          <cell r="E90">
            <v>60</v>
          </cell>
          <cell r="F90" t="str">
            <v>第37级，共造成163.1%点伤害</v>
          </cell>
          <cell r="G90">
            <v>1</v>
          </cell>
          <cell r="H90">
            <v>1</v>
          </cell>
          <cell r="I90">
            <v>37</v>
          </cell>
          <cell r="J90">
            <v>2</v>
          </cell>
          <cell r="K90">
            <v>163.0952380952381</v>
          </cell>
          <cell r="L90">
            <v>0</v>
          </cell>
          <cell r="M90">
            <v>5040</v>
          </cell>
          <cell r="N90">
            <v>99036</v>
          </cell>
          <cell r="O90">
            <v>2</v>
          </cell>
          <cell r="P90">
            <v>1</v>
          </cell>
          <cell r="Q90">
            <v>1</v>
          </cell>
          <cell r="R90">
            <v>4</v>
          </cell>
          <cell r="S90">
            <v>50</v>
          </cell>
          <cell r="T90">
            <v>119.04761904761905</v>
          </cell>
          <cell r="U90">
            <v>2358</v>
          </cell>
          <cell r="V90">
            <v>119.04761904761905</v>
          </cell>
          <cell r="W90">
            <v>42</v>
          </cell>
          <cell r="X90">
            <v>589</v>
          </cell>
          <cell r="Y90">
            <v>18</v>
          </cell>
          <cell r="Z90">
            <v>17</v>
          </cell>
        </row>
        <row r="91">
          <cell r="A91">
            <v>9122138</v>
          </cell>
          <cell r="B91" t="str">
            <v>影袭·斩第1段</v>
          </cell>
          <cell r="C91" t="str">
            <v>影袭·斩第1段</v>
          </cell>
          <cell r="D91">
            <v>1</v>
          </cell>
          <cell r="E91">
            <v>62</v>
          </cell>
          <cell r="F91" t="str">
            <v>第38级，共造成164.3%点伤害</v>
          </cell>
          <cell r="G91">
            <v>1</v>
          </cell>
          <cell r="H91">
            <v>1</v>
          </cell>
          <cell r="I91">
            <v>38</v>
          </cell>
          <cell r="J91">
            <v>2</v>
          </cell>
          <cell r="K91">
            <v>164.28571428571428</v>
          </cell>
          <cell r="L91">
            <v>0</v>
          </cell>
          <cell r="M91">
            <v>4960</v>
          </cell>
          <cell r="N91">
            <v>113580</v>
          </cell>
          <cell r="O91">
            <v>2</v>
          </cell>
          <cell r="P91">
            <v>1</v>
          </cell>
          <cell r="Q91">
            <v>1</v>
          </cell>
          <cell r="R91">
            <v>4</v>
          </cell>
          <cell r="S91">
            <v>50</v>
          </cell>
          <cell r="T91">
            <v>119.04761904761905</v>
          </cell>
          <cell r="U91">
            <v>2524</v>
          </cell>
          <cell r="V91">
            <v>119.04761904761905</v>
          </cell>
          <cell r="W91">
            <v>45</v>
          </cell>
          <cell r="X91">
            <v>634</v>
          </cell>
          <cell r="Y91">
            <v>18</v>
          </cell>
          <cell r="Z91">
            <v>18</v>
          </cell>
        </row>
        <row r="92">
          <cell r="A92">
            <v>9122139</v>
          </cell>
          <cell r="B92" t="str">
            <v>影袭·斩第1段</v>
          </cell>
          <cell r="C92" t="str">
            <v>影袭·斩第1段</v>
          </cell>
          <cell r="D92">
            <v>1</v>
          </cell>
          <cell r="E92">
            <v>63</v>
          </cell>
          <cell r="F92" t="str">
            <v>第39级，共造成165.5%点伤害</v>
          </cell>
          <cell r="G92">
            <v>1</v>
          </cell>
          <cell r="H92">
            <v>1</v>
          </cell>
          <cell r="I92">
            <v>39</v>
          </cell>
          <cell r="J92">
            <v>2</v>
          </cell>
          <cell r="K92">
            <v>165.47619047619048</v>
          </cell>
          <cell r="L92">
            <v>0</v>
          </cell>
          <cell r="M92">
            <v>4880</v>
          </cell>
          <cell r="N92">
            <v>125232</v>
          </cell>
          <cell r="O92">
            <v>2</v>
          </cell>
          <cell r="P92">
            <v>1</v>
          </cell>
          <cell r="Q92">
            <v>1</v>
          </cell>
          <cell r="R92">
            <v>4</v>
          </cell>
          <cell r="S92">
            <v>50</v>
          </cell>
          <cell r="T92">
            <v>119.04761904761905</v>
          </cell>
          <cell r="U92">
            <v>2609</v>
          </cell>
          <cell r="V92">
            <v>119.04761904761905</v>
          </cell>
          <cell r="W92">
            <v>48</v>
          </cell>
          <cell r="X92">
            <v>682</v>
          </cell>
          <cell r="Y92">
            <v>18</v>
          </cell>
          <cell r="Z92">
            <v>20</v>
          </cell>
        </row>
        <row r="93">
          <cell r="A93">
            <v>9122140</v>
          </cell>
          <cell r="B93" t="str">
            <v>影袭·斩第1段</v>
          </cell>
          <cell r="C93" t="str">
            <v>影袭·斩第1段</v>
          </cell>
          <cell r="D93">
            <v>1</v>
          </cell>
          <cell r="E93">
            <v>65</v>
          </cell>
          <cell r="F93" t="str">
            <v>第40级，共造成166.7%点伤害</v>
          </cell>
          <cell r="G93">
            <v>1</v>
          </cell>
          <cell r="H93">
            <v>1</v>
          </cell>
          <cell r="I93">
            <v>40</v>
          </cell>
          <cell r="J93">
            <v>2</v>
          </cell>
          <cell r="K93">
            <v>166.66666666666669</v>
          </cell>
          <cell r="L93">
            <v>0</v>
          </cell>
          <cell r="M93">
            <v>4800</v>
          </cell>
          <cell r="N93">
            <v>141933</v>
          </cell>
          <cell r="O93">
            <v>2</v>
          </cell>
          <cell r="P93">
            <v>1</v>
          </cell>
          <cell r="Q93">
            <v>1</v>
          </cell>
          <cell r="R93">
            <v>4</v>
          </cell>
          <cell r="S93">
            <v>50</v>
          </cell>
          <cell r="T93">
            <v>119.04761904761905</v>
          </cell>
          <cell r="U93">
            <v>2783</v>
          </cell>
          <cell r="V93">
            <v>119.04761904761905</v>
          </cell>
          <cell r="W93">
            <v>51</v>
          </cell>
          <cell r="X93">
            <v>733</v>
          </cell>
          <cell r="Y93">
            <v>18</v>
          </cell>
          <cell r="Z93">
            <v>21</v>
          </cell>
        </row>
        <row r="94">
          <cell r="A94">
            <v>9122141</v>
          </cell>
          <cell r="B94" t="str">
            <v>影袭·斩第1段</v>
          </cell>
          <cell r="C94" t="str">
            <v>影袭·斩第1段</v>
          </cell>
          <cell r="D94">
            <v>1</v>
          </cell>
          <cell r="E94">
            <v>66</v>
          </cell>
          <cell r="F94" t="str">
            <v>第41级，共造成167.9%点伤害</v>
          </cell>
          <cell r="G94">
            <v>1</v>
          </cell>
          <cell r="H94">
            <v>1</v>
          </cell>
          <cell r="I94">
            <v>41</v>
          </cell>
          <cell r="J94">
            <v>2</v>
          </cell>
          <cell r="K94">
            <v>167.85714285714286</v>
          </cell>
          <cell r="L94">
            <v>0</v>
          </cell>
          <cell r="M94">
            <v>4720</v>
          </cell>
          <cell r="N94">
            <v>157960</v>
          </cell>
          <cell r="O94">
            <v>2</v>
          </cell>
          <cell r="P94">
            <v>1</v>
          </cell>
          <cell r="Q94">
            <v>1</v>
          </cell>
          <cell r="R94">
            <v>4</v>
          </cell>
          <cell r="S94">
            <v>50</v>
          </cell>
          <cell r="T94">
            <v>119.04761904761905</v>
          </cell>
          <cell r="U94">
            <v>2872</v>
          </cell>
          <cell r="V94">
            <v>119.04761904761905</v>
          </cell>
          <cell r="W94">
            <v>55</v>
          </cell>
          <cell r="X94">
            <v>788</v>
          </cell>
          <cell r="Y94">
            <v>18</v>
          </cell>
          <cell r="Z94">
            <v>22</v>
          </cell>
        </row>
        <row r="95">
          <cell r="A95">
            <v>9122142</v>
          </cell>
          <cell r="B95" t="str">
            <v>影袭·斩第1段</v>
          </cell>
          <cell r="C95" t="str">
            <v>影袭·斩第1段</v>
          </cell>
          <cell r="D95">
            <v>1</v>
          </cell>
          <cell r="E95">
            <v>68</v>
          </cell>
          <cell r="F95" t="str">
            <v>第42级，共造成169%点伤害</v>
          </cell>
          <cell r="G95">
            <v>1</v>
          </cell>
          <cell r="H95">
            <v>1</v>
          </cell>
          <cell r="I95">
            <v>42</v>
          </cell>
          <cell r="J95">
            <v>2</v>
          </cell>
          <cell r="K95">
            <v>169.04761904761904</v>
          </cell>
          <cell r="L95">
            <v>0</v>
          </cell>
          <cell r="M95">
            <v>4640</v>
          </cell>
          <cell r="N95">
            <v>177132</v>
          </cell>
          <cell r="O95">
            <v>2</v>
          </cell>
          <cell r="P95">
            <v>1</v>
          </cell>
          <cell r="Q95">
            <v>1</v>
          </cell>
          <cell r="R95">
            <v>4</v>
          </cell>
          <cell r="S95">
            <v>50</v>
          </cell>
          <cell r="T95">
            <v>119.04761904761905</v>
          </cell>
          <cell r="U95">
            <v>3054</v>
          </cell>
          <cell r="V95">
            <v>119.04761904761905</v>
          </cell>
          <cell r="W95">
            <v>58</v>
          </cell>
          <cell r="X95">
            <v>846</v>
          </cell>
          <cell r="Y95">
            <v>18</v>
          </cell>
          <cell r="Z95">
            <v>24</v>
          </cell>
        </row>
        <row r="96">
          <cell r="A96">
            <v>9122143</v>
          </cell>
          <cell r="B96" t="str">
            <v>影袭·斩第1段</v>
          </cell>
          <cell r="C96" t="str">
            <v>影袭·斩第1段</v>
          </cell>
          <cell r="D96">
            <v>1</v>
          </cell>
          <cell r="E96">
            <v>69</v>
          </cell>
          <cell r="F96" t="str">
            <v>第43级，共造成170.2%点伤害</v>
          </cell>
          <cell r="G96">
            <v>1</v>
          </cell>
          <cell r="H96">
            <v>1</v>
          </cell>
          <cell r="I96">
            <v>43</v>
          </cell>
          <cell r="J96">
            <v>2</v>
          </cell>
          <cell r="K96">
            <v>170.23809523809524</v>
          </cell>
          <cell r="L96">
            <v>0</v>
          </cell>
          <cell r="M96">
            <v>4560</v>
          </cell>
          <cell r="N96">
            <v>198261</v>
          </cell>
          <cell r="O96">
            <v>2</v>
          </cell>
          <cell r="P96">
            <v>1</v>
          </cell>
          <cell r="Q96">
            <v>1</v>
          </cell>
          <cell r="R96">
            <v>4</v>
          </cell>
          <cell r="S96">
            <v>50</v>
          </cell>
          <cell r="T96">
            <v>119.04761904761905</v>
          </cell>
          <cell r="U96">
            <v>3147</v>
          </cell>
          <cell r="V96">
            <v>119.04761904761905</v>
          </cell>
          <cell r="W96">
            <v>63</v>
          </cell>
          <cell r="X96">
            <v>909</v>
          </cell>
          <cell r="Y96">
            <v>18</v>
          </cell>
          <cell r="Z96">
            <v>26</v>
          </cell>
        </row>
        <row r="97">
          <cell r="A97">
            <v>9122144</v>
          </cell>
          <cell r="B97" t="str">
            <v>影袭·斩第1段</v>
          </cell>
          <cell r="C97" t="str">
            <v>影袭·斩第1段</v>
          </cell>
          <cell r="D97">
            <v>1</v>
          </cell>
          <cell r="E97">
            <v>71</v>
          </cell>
          <cell r="F97" t="str">
            <v>第44级，共造成171.4%点伤害</v>
          </cell>
          <cell r="G97">
            <v>1</v>
          </cell>
          <cell r="H97">
            <v>1</v>
          </cell>
          <cell r="I97">
            <v>44</v>
          </cell>
          <cell r="J97">
            <v>2</v>
          </cell>
          <cell r="K97">
            <v>171.42857142857144</v>
          </cell>
          <cell r="L97">
            <v>0</v>
          </cell>
          <cell r="M97">
            <v>4480</v>
          </cell>
          <cell r="N97">
            <v>223646</v>
          </cell>
          <cell r="O97">
            <v>2</v>
          </cell>
          <cell r="P97">
            <v>1</v>
          </cell>
          <cell r="Q97">
            <v>1</v>
          </cell>
          <cell r="R97">
            <v>4</v>
          </cell>
          <cell r="S97">
            <v>50</v>
          </cell>
          <cell r="T97">
            <v>119.04761904761905</v>
          </cell>
          <cell r="U97">
            <v>3338</v>
          </cell>
          <cell r="V97">
            <v>119.04761904761905</v>
          </cell>
          <cell r="W97">
            <v>67</v>
          </cell>
          <cell r="X97">
            <v>976</v>
          </cell>
          <cell r="Y97">
            <v>18</v>
          </cell>
          <cell r="Z97">
            <v>27</v>
          </cell>
        </row>
        <row r="98">
          <cell r="A98">
            <v>9122145</v>
          </cell>
          <cell r="B98" t="str">
            <v>影袭·斩第1段</v>
          </cell>
          <cell r="C98" t="str">
            <v>影袭·斩第1段</v>
          </cell>
          <cell r="D98">
            <v>1</v>
          </cell>
          <cell r="E98">
            <v>72</v>
          </cell>
          <cell r="F98" t="str">
            <v>第45级，共造成172.6%点伤害</v>
          </cell>
          <cell r="G98">
            <v>1</v>
          </cell>
          <cell r="H98">
            <v>1</v>
          </cell>
          <cell r="I98">
            <v>45</v>
          </cell>
          <cell r="J98">
            <v>2</v>
          </cell>
          <cell r="K98">
            <v>172.61904761904762</v>
          </cell>
          <cell r="L98">
            <v>0</v>
          </cell>
          <cell r="M98">
            <v>4400</v>
          </cell>
          <cell r="N98">
            <v>247320</v>
          </cell>
          <cell r="O98">
            <v>2</v>
          </cell>
          <cell r="P98">
            <v>1</v>
          </cell>
          <cell r="Q98">
            <v>1</v>
          </cell>
          <cell r="R98">
            <v>4</v>
          </cell>
          <cell r="S98">
            <v>50</v>
          </cell>
          <cell r="T98">
            <v>119.04761904761905</v>
          </cell>
          <cell r="U98">
            <v>3435</v>
          </cell>
          <cell r="V98">
            <v>119.04761904761905</v>
          </cell>
          <cell r="W98">
            <v>72</v>
          </cell>
          <cell r="X98">
            <v>1048</v>
          </cell>
          <cell r="Y98">
            <v>18</v>
          </cell>
          <cell r="Z98">
            <v>29</v>
          </cell>
        </row>
        <row r="99">
          <cell r="A99">
            <v>9122146</v>
          </cell>
          <cell r="B99" t="str">
            <v>影袭·斩第1段</v>
          </cell>
          <cell r="C99" t="str">
            <v>影袭·斩第1段</v>
          </cell>
          <cell r="D99">
            <v>1</v>
          </cell>
          <cell r="E99">
            <v>74</v>
          </cell>
          <cell r="F99" t="str">
            <v>第46级，共造成173.8%点伤害</v>
          </cell>
          <cell r="G99">
            <v>1</v>
          </cell>
          <cell r="H99">
            <v>1</v>
          </cell>
          <cell r="I99">
            <v>46</v>
          </cell>
          <cell r="J99">
            <v>2</v>
          </cell>
          <cell r="K99">
            <v>173.8095238095238</v>
          </cell>
          <cell r="L99">
            <v>0</v>
          </cell>
          <cell r="M99">
            <v>4320</v>
          </cell>
          <cell r="N99">
            <v>279818</v>
          </cell>
          <cell r="O99">
            <v>2</v>
          </cell>
          <cell r="P99">
            <v>1</v>
          </cell>
          <cell r="Q99">
            <v>1</v>
          </cell>
          <cell r="R99">
            <v>4</v>
          </cell>
          <cell r="S99">
            <v>50</v>
          </cell>
          <cell r="T99">
            <v>119.04761904761905</v>
          </cell>
          <cell r="U99">
            <v>3634</v>
          </cell>
          <cell r="V99">
            <v>119.04761904761905</v>
          </cell>
          <cell r="W99">
            <v>77</v>
          </cell>
          <cell r="X99">
            <v>1125</v>
          </cell>
          <cell r="Y99">
            <v>18</v>
          </cell>
          <cell r="Z99">
            <v>31</v>
          </cell>
        </row>
        <row r="100">
          <cell r="A100">
            <v>9122147</v>
          </cell>
          <cell r="B100" t="str">
            <v>影袭·斩第1段</v>
          </cell>
          <cell r="C100" t="str">
            <v>影袭·斩第1段</v>
          </cell>
          <cell r="D100">
            <v>1</v>
          </cell>
          <cell r="E100">
            <v>75</v>
          </cell>
          <cell r="F100" t="str">
            <v>第47级，共造成175%点伤害</v>
          </cell>
          <cell r="G100">
            <v>1</v>
          </cell>
          <cell r="H100">
            <v>1</v>
          </cell>
          <cell r="I100">
            <v>47</v>
          </cell>
          <cell r="J100">
            <v>2</v>
          </cell>
          <cell r="K100">
            <v>175</v>
          </cell>
          <cell r="L100">
            <v>0</v>
          </cell>
          <cell r="M100">
            <v>4240</v>
          </cell>
          <cell r="N100">
            <v>306270</v>
          </cell>
          <cell r="O100">
            <v>2</v>
          </cell>
          <cell r="P100">
            <v>1</v>
          </cell>
          <cell r="Q100">
            <v>1</v>
          </cell>
          <cell r="R100">
            <v>4</v>
          </cell>
          <cell r="S100">
            <v>50</v>
          </cell>
          <cell r="T100">
            <v>119.04761904761905</v>
          </cell>
          <cell r="U100">
            <v>3735</v>
          </cell>
          <cell r="V100">
            <v>119.04761904761905</v>
          </cell>
          <cell r="W100">
            <v>82</v>
          </cell>
          <cell r="X100">
            <v>1207</v>
          </cell>
          <cell r="Y100">
            <v>18</v>
          </cell>
          <cell r="Z100">
            <v>33</v>
          </cell>
        </row>
        <row r="101">
          <cell r="A101">
            <v>9122148</v>
          </cell>
          <cell r="B101" t="str">
            <v>影袭·斩第1段</v>
          </cell>
          <cell r="C101" t="str">
            <v>影袭·斩第1段</v>
          </cell>
          <cell r="D101">
            <v>1</v>
          </cell>
          <cell r="E101">
            <v>77</v>
          </cell>
          <cell r="F101" t="str">
            <v>第48级，共造成176.2%点伤害</v>
          </cell>
          <cell r="G101">
            <v>1</v>
          </cell>
          <cell r="H101">
            <v>1</v>
          </cell>
          <cell r="I101">
            <v>48</v>
          </cell>
          <cell r="J101">
            <v>2</v>
          </cell>
          <cell r="K101">
            <v>176.1904761904762</v>
          </cell>
          <cell r="L101">
            <v>0</v>
          </cell>
          <cell r="M101">
            <v>4160</v>
          </cell>
          <cell r="N101">
            <v>346896</v>
          </cell>
          <cell r="O101">
            <v>2</v>
          </cell>
          <cell r="P101">
            <v>1</v>
          </cell>
          <cell r="Q101">
            <v>1</v>
          </cell>
          <cell r="R101">
            <v>4</v>
          </cell>
          <cell r="S101">
            <v>50</v>
          </cell>
          <cell r="T101">
            <v>119.04761904761905</v>
          </cell>
          <cell r="U101">
            <v>3942</v>
          </cell>
          <cell r="V101">
            <v>119.04761904761905</v>
          </cell>
          <cell r="W101">
            <v>88</v>
          </cell>
          <cell r="X101">
            <v>1295</v>
          </cell>
          <cell r="Y101">
            <v>18</v>
          </cell>
          <cell r="Z101">
            <v>36</v>
          </cell>
        </row>
        <row r="102">
          <cell r="A102">
            <v>9122149</v>
          </cell>
          <cell r="B102" t="str">
            <v>影袭·斩第1段</v>
          </cell>
          <cell r="C102" t="str">
            <v>影袭·斩第1段</v>
          </cell>
          <cell r="D102">
            <v>1</v>
          </cell>
          <cell r="E102">
            <v>78</v>
          </cell>
          <cell r="F102" t="str">
            <v>第49级，共造成177.4%点伤害</v>
          </cell>
          <cell r="G102">
            <v>1</v>
          </cell>
          <cell r="H102">
            <v>1</v>
          </cell>
          <cell r="I102">
            <v>49</v>
          </cell>
          <cell r="J102">
            <v>2</v>
          </cell>
          <cell r="K102">
            <v>177.38095238095238</v>
          </cell>
          <cell r="L102">
            <v>0</v>
          </cell>
          <cell r="M102">
            <v>4080</v>
          </cell>
          <cell r="N102">
            <v>380418</v>
          </cell>
          <cell r="O102">
            <v>2</v>
          </cell>
          <cell r="P102">
            <v>1</v>
          </cell>
          <cell r="Q102">
            <v>1</v>
          </cell>
          <cell r="R102">
            <v>4</v>
          </cell>
          <cell r="S102">
            <v>50</v>
          </cell>
          <cell r="T102">
            <v>119.04761904761905</v>
          </cell>
          <cell r="U102">
            <v>4047</v>
          </cell>
          <cell r="V102">
            <v>119.04761904761905</v>
          </cell>
          <cell r="W102">
            <v>94</v>
          </cell>
          <cell r="X102">
            <v>1389</v>
          </cell>
          <cell r="Y102">
            <v>18</v>
          </cell>
          <cell r="Z102">
            <v>38</v>
          </cell>
        </row>
        <row r="103">
          <cell r="A103">
            <v>9122150</v>
          </cell>
          <cell r="B103" t="str">
            <v>影袭·斩第1段</v>
          </cell>
          <cell r="C103" t="str">
            <v>影袭·斩第1段</v>
          </cell>
          <cell r="D103">
            <v>1</v>
          </cell>
          <cell r="E103">
            <v>80</v>
          </cell>
          <cell r="F103" t="str">
            <v>第50级，共造成178.6%点伤害</v>
          </cell>
          <cell r="G103">
            <v>1</v>
          </cell>
          <cell r="H103">
            <v>1</v>
          </cell>
          <cell r="I103">
            <v>50</v>
          </cell>
          <cell r="J103">
            <v>2</v>
          </cell>
          <cell r="K103">
            <v>178.57142857142858</v>
          </cell>
          <cell r="L103">
            <v>0</v>
          </cell>
          <cell r="M103">
            <v>4000</v>
          </cell>
          <cell r="N103">
            <v>430462</v>
          </cell>
          <cell r="O103">
            <v>2</v>
          </cell>
          <cell r="P103">
            <v>1</v>
          </cell>
          <cell r="Q103">
            <v>1</v>
          </cell>
          <cell r="R103">
            <v>4</v>
          </cell>
          <cell r="S103">
            <v>50</v>
          </cell>
          <cell r="T103">
            <v>119.04761904761905</v>
          </cell>
          <cell r="U103">
            <v>4262</v>
          </cell>
          <cell r="V103">
            <v>119.04761904761905</v>
          </cell>
          <cell r="W103">
            <v>101</v>
          </cell>
          <cell r="X103">
            <v>1490</v>
          </cell>
          <cell r="Y103">
            <v>18</v>
          </cell>
          <cell r="Z103">
            <v>41</v>
          </cell>
        </row>
        <row r="104">
          <cell r="A104">
            <v>1</v>
          </cell>
          <cell r="B104" t="str">
            <v>影袭·斩</v>
          </cell>
          <cell r="C104" t="str">
            <v>影袭·斩第2段</v>
          </cell>
          <cell r="D104">
            <v>1</v>
          </cell>
          <cell r="E104">
            <v>4</v>
          </cell>
          <cell r="F104" t="str">
            <v>第0级，共造成119%点伤害</v>
          </cell>
          <cell r="G104">
            <v>0</v>
          </cell>
          <cell r="H104">
            <v>2</v>
          </cell>
          <cell r="I104">
            <v>0</v>
          </cell>
          <cell r="J104">
            <v>2</v>
          </cell>
          <cell r="K104">
            <v>119.04761904761905</v>
          </cell>
          <cell r="L104">
            <v>0</v>
          </cell>
          <cell r="M104">
            <v>8000</v>
          </cell>
          <cell r="N104">
            <v>0</v>
          </cell>
          <cell r="O104">
            <v>2</v>
          </cell>
          <cell r="P104">
            <v>1</v>
          </cell>
          <cell r="Q104">
            <v>1</v>
          </cell>
          <cell r="R104">
            <v>4</v>
          </cell>
          <cell r="S104">
            <v>50</v>
          </cell>
          <cell r="T104">
            <v>119.04761904761905</v>
          </cell>
          <cell r="U104">
            <v>68</v>
          </cell>
          <cell r="V104">
            <v>119.04761904761905</v>
          </cell>
          <cell r="W104">
            <v>0</v>
          </cell>
          <cell r="X104">
            <v>0</v>
          </cell>
          <cell r="Y104">
            <v>18</v>
          </cell>
          <cell r="Z104">
            <v>0</v>
          </cell>
        </row>
        <row r="105">
          <cell r="A105">
            <v>9122201</v>
          </cell>
          <cell r="B105" t="str">
            <v>影袭·斩第2段</v>
          </cell>
          <cell r="C105" t="str">
            <v>影袭·斩第2段</v>
          </cell>
          <cell r="D105">
            <v>1</v>
          </cell>
          <cell r="E105">
            <v>4</v>
          </cell>
          <cell r="F105" t="str">
            <v>第1级，共造成119%点伤害</v>
          </cell>
          <cell r="G105">
            <v>2</v>
          </cell>
          <cell r="H105">
            <v>2</v>
          </cell>
          <cell r="I105">
            <v>1</v>
          </cell>
          <cell r="J105">
            <v>2</v>
          </cell>
          <cell r="K105">
            <v>119.04761904761905</v>
          </cell>
          <cell r="L105">
            <v>0</v>
          </cell>
          <cell r="M105">
            <v>8000</v>
          </cell>
          <cell r="N105">
            <v>272</v>
          </cell>
          <cell r="O105">
            <v>2</v>
          </cell>
          <cell r="P105">
            <v>1</v>
          </cell>
          <cell r="Q105">
            <v>1</v>
          </cell>
          <cell r="R105">
            <v>4</v>
          </cell>
          <cell r="S105">
            <v>50</v>
          </cell>
          <cell r="T105">
            <v>119.04761904761905</v>
          </cell>
          <cell r="U105">
            <v>68</v>
          </cell>
          <cell r="V105">
            <v>119.04761904761905</v>
          </cell>
          <cell r="W105">
            <v>4</v>
          </cell>
          <cell r="X105">
            <v>4</v>
          </cell>
          <cell r="Y105">
            <v>18</v>
          </cell>
          <cell r="Z105">
            <v>0</v>
          </cell>
        </row>
        <row r="106">
          <cell r="A106">
            <v>9122202</v>
          </cell>
          <cell r="B106" t="str">
            <v>影袭·斩第2段</v>
          </cell>
          <cell r="C106" t="str">
            <v>影袭·斩第2段</v>
          </cell>
          <cell r="D106">
            <v>1</v>
          </cell>
          <cell r="E106">
            <v>7</v>
          </cell>
          <cell r="F106" t="str">
            <v>第2级，共造成121.4%点伤害</v>
          </cell>
          <cell r="G106">
            <v>2</v>
          </cell>
          <cell r="H106">
            <v>2</v>
          </cell>
          <cell r="I106">
            <v>2</v>
          </cell>
          <cell r="J106">
            <v>2</v>
          </cell>
          <cell r="K106">
            <v>121.42857142857143</v>
          </cell>
          <cell r="L106">
            <v>0</v>
          </cell>
          <cell r="M106">
            <v>7840</v>
          </cell>
          <cell r="N106">
            <v>344</v>
          </cell>
          <cell r="O106">
            <v>2</v>
          </cell>
          <cell r="P106">
            <v>1</v>
          </cell>
          <cell r="Q106">
            <v>1</v>
          </cell>
          <cell r="R106">
            <v>4</v>
          </cell>
          <cell r="S106">
            <v>50</v>
          </cell>
          <cell r="T106">
            <v>119.04761904761905</v>
          </cell>
          <cell r="U106">
            <v>86</v>
          </cell>
          <cell r="V106">
            <v>119.04761904761905</v>
          </cell>
          <cell r="W106">
            <v>4</v>
          </cell>
          <cell r="X106">
            <v>8</v>
          </cell>
          <cell r="Y106">
            <v>18</v>
          </cell>
          <cell r="Z106">
            <v>0</v>
          </cell>
        </row>
        <row r="107">
          <cell r="A107">
            <v>9122203</v>
          </cell>
          <cell r="B107" t="str">
            <v>影袭·斩第2段</v>
          </cell>
          <cell r="C107" t="str">
            <v>影袭·斩第2段</v>
          </cell>
          <cell r="D107">
            <v>1</v>
          </cell>
          <cell r="E107">
            <v>9</v>
          </cell>
          <cell r="F107" t="str">
            <v>第3级，共造成122.6%点伤害</v>
          </cell>
          <cell r="G107">
            <v>2</v>
          </cell>
          <cell r="H107">
            <v>2</v>
          </cell>
          <cell r="I107">
            <v>3</v>
          </cell>
          <cell r="J107">
            <v>2</v>
          </cell>
          <cell r="K107">
            <v>122.61904761904762</v>
          </cell>
          <cell r="L107">
            <v>0</v>
          </cell>
          <cell r="M107">
            <v>7760</v>
          </cell>
          <cell r="N107">
            <v>392</v>
          </cell>
          <cell r="O107">
            <v>2</v>
          </cell>
          <cell r="P107">
            <v>1</v>
          </cell>
          <cell r="Q107">
            <v>1</v>
          </cell>
          <cell r="R107">
            <v>4</v>
          </cell>
          <cell r="S107">
            <v>50</v>
          </cell>
          <cell r="T107">
            <v>119.04761904761905</v>
          </cell>
          <cell r="U107">
            <v>98</v>
          </cell>
          <cell r="V107">
            <v>119.04761904761905</v>
          </cell>
          <cell r="W107">
            <v>4</v>
          </cell>
          <cell r="X107">
            <v>12</v>
          </cell>
          <cell r="Y107">
            <v>18</v>
          </cell>
          <cell r="Z107">
            <v>0</v>
          </cell>
        </row>
        <row r="108">
          <cell r="A108">
            <v>9122204</v>
          </cell>
          <cell r="B108" t="str">
            <v>影袭·斩第2段</v>
          </cell>
          <cell r="C108" t="str">
            <v>影袭·斩第2段</v>
          </cell>
          <cell r="D108">
            <v>1</v>
          </cell>
          <cell r="E108">
            <v>10</v>
          </cell>
          <cell r="F108" t="str">
            <v>第4级，共造成123.8%点伤害</v>
          </cell>
          <cell r="G108">
            <v>2</v>
          </cell>
          <cell r="H108">
            <v>2</v>
          </cell>
          <cell r="I108">
            <v>4</v>
          </cell>
          <cell r="J108">
            <v>2</v>
          </cell>
          <cell r="K108">
            <v>123.80952380952381</v>
          </cell>
          <cell r="L108">
            <v>0</v>
          </cell>
          <cell r="M108">
            <v>7680</v>
          </cell>
          <cell r="N108">
            <v>520</v>
          </cell>
          <cell r="O108">
            <v>2</v>
          </cell>
          <cell r="P108">
            <v>1</v>
          </cell>
          <cell r="Q108">
            <v>1</v>
          </cell>
          <cell r="R108">
            <v>4</v>
          </cell>
          <cell r="S108">
            <v>50</v>
          </cell>
          <cell r="T108">
            <v>119.04761904761905</v>
          </cell>
          <cell r="U108">
            <v>104</v>
          </cell>
          <cell r="V108">
            <v>119.04761904761905</v>
          </cell>
          <cell r="W108">
            <v>5</v>
          </cell>
          <cell r="X108">
            <v>17</v>
          </cell>
          <cell r="Y108">
            <v>18</v>
          </cell>
          <cell r="Z108">
            <v>0</v>
          </cell>
        </row>
        <row r="109">
          <cell r="A109">
            <v>9122205</v>
          </cell>
          <cell r="B109" t="str">
            <v>影袭·斩第2段</v>
          </cell>
          <cell r="C109" t="str">
            <v>影袭·斩第2段</v>
          </cell>
          <cell r="D109">
            <v>1</v>
          </cell>
          <cell r="E109">
            <v>12</v>
          </cell>
          <cell r="F109" t="str">
            <v>第5级，共造成125%点伤害</v>
          </cell>
          <cell r="G109">
            <v>2</v>
          </cell>
          <cell r="H109">
            <v>2</v>
          </cell>
          <cell r="I109">
            <v>5</v>
          </cell>
          <cell r="J109">
            <v>2</v>
          </cell>
          <cell r="K109">
            <v>125</v>
          </cell>
          <cell r="L109">
            <v>0</v>
          </cell>
          <cell r="M109">
            <v>7600</v>
          </cell>
          <cell r="N109">
            <v>580</v>
          </cell>
          <cell r="O109">
            <v>2</v>
          </cell>
          <cell r="P109">
            <v>1</v>
          </cell>
          <cell r="Q109">
            <v>1</v>
          </cell>
          <cell r="R109">
            <v>4</v>
          </cell>
          <cell r="S109">
            <v>50</v>
          </cell>
          <cell r="T109">
            <v>119.04761904761905</v>
          </cell>
          <cell r="U109">
            <v>116</v>
          </cell>
          <cell r="V109">
            <v>119.04761904761905</v>
          </cell>
          <cell r="W109">
            <v>5</v>
          </cell>
          <cell r="X109">
            <v>22</v>
          </cell>
          <cell r="Y109">
            <v>18</v>
          </cell>
          <cell r="Z109">
            <v>0</v>
          </cell>
        </row>
        <row r="110">
          <cell r="A110">
            <v>9122206</v>
          </cell>
          <cell r="B110" t="str">
            <v>影袭·斩第2段</v>
          </cell>
          <cell r="C110" t="str">
            <v>影袭·斩第2段</v>
          </cell>
          <cell r="D110">
            <v>1</v>
          </cell>
          <cell r="E110">
            <v>13</v>
          </cell>
          <cell r="F110" t="str">
            <v>第6级，共造成126.2%点伤害</v>
          </cell>
          <cell r="G110">
            <v>2</v>
          </cell>
          <cell r="H110">
            <v>2</v>
          </cell>
          <cell r="I110">
            <v>6</v>
          </cell>
          <cell r="J110">
            <v>2</v>
          </cell>
          <cell r="K110">
            <v>126.19047619047619</v>
          </cell>
          <cell r="L110">
            <v>0</v>
          </cell>
          <cell r="M110">
            <v>7520</v>
          </cell>
          <cell r="N110">
            <v>610</v>
          </cell>
          <cell r="O110">
            <v>2</v>
          </cell>
          <cell r="P110">
            <v>1</v>
          </cell>
          <cell r="Q110">
            <v>1</v>
          </cell>
          <cell r="R110">
            <v>4</v>
          </cell>
          <cell r="S110">
            <v>50</v>
          </cell>
          <cell r="T110">
            <v>119.04761904761905</v>
          </cell>
          <cell r="U110">
            <v>122</v>
          </cell>
          <cell r="V110">
            <v>119.04761904761905</v>
          </cell>
          <cell r="W110">
            <v>5</v>
          </cell>
          <cell r="X110">
            <v>27</v>
          </cell>
          <cell r="Y110">
            <v>18</v>
          </cell>
          <cell r="Z110">
            <v>0</v>
          </cell>
        </row>
        <row r="111">
          <cell r="A111">
            <v>9122207</v>
          </cell>
          <cell r="B111" t="str">
            <v>影袭·斩第2段</v>
          </cell>
          <cell r="C111" t="str">
            <v>影袭·斩第2段</v>
          </cell>
          <cell r="D111">
            <v>1</v>
          </cell>
          <cell r="E111">
            <v>15</v>
          </cell>
          <cell r="F111" t="str">
            <v>第7级，共造成127.4%点伤害</v>
          </cell>
          <cell r="G111">
            <v>2</v>
          </cell>
          <cell r="H111">
            <v>2</v>
          </cell>
          <cell r="I111">
            <v>7</v>
          </cell>
          <cell r="J111">
            <v>2</v>
          </cell>
          <cell r="K111">
            <v>127.38095238095238</v>
          </cell>
          <cell r="L111">
            <v>0</v>
          </cell>
          <cell r="M111">
            <v>7440</v>
          </cell>
          <cell r="N111">
            <v>670</v>
          </cell>
          <cell r="O111">
            <v>2</v>
          </cell>
          <cell r="P111">
            <v>1</v>
          </cell>
          <cell r="Q111">
            <v>1</v>
          </cell>
          <cell r="R111">
            <v>4</v>
          </cell>
          <cell r="S111">
            <v>50</v>
          </cell>
          <cell r="T111">
            <v>119.04761904761905</v>
          </cell>
          <cell r="U111">
            <v>134</v>
          </cell>
          <cell r="V111">
            <v>119.04761904761905</v>
          </cell>
          <cell r="W111">
            <v>5</v>
          </cell>
          <cell r="X111">
            <v>32</v>
          </cell>
          <cell r="Y111">
            <v>18</v>
          </cell>
          <cell r="Z111">
            <v>0</v>
          </cell>
        </row>
        <row r="112">
          <cell r="A112">
            <v>9122208</v>
          </cell>
          <cell r="B112" t="str">
            <v>影袭·斩第2段</v>
          </cell>
          <cell r="C112" t="str">
            <v>影袭·斩第2段</v>
          </cell>
          <cell r="D112">
            <v>1</v>
          </cell>
          <cell r="E112">
            <v>16</v>
          </cell>
          <cell r="F112" t="str">
            <v>第8级，共造成128.6%点伤害</v>
          </cell>
          <cell r="G112">
            <v>2</v>
          </cell>
          <cell r="H112">
            <v>2</v>
          </cell>
          <cell r="I112">
            <v>8</v>
          </cell>
          <cell r="J112">
            <v>2</v>
          </cell>
          <cell r="K112">
            <v>128.57142857142858</v>
          </cell>
          <cell r="L112">
            <v>0</v>
          </cell>
          <cell r="M112">
            <v>7360</v>
          </cell>
          <cell r="N112">
            <v>840</v>
          </cell>
          <cell r="O112">
            <v>2</v>
          </cell>
          <cell r="P112">
            <v>1</v>
          </cell>
          <cell r="Q112">
            <v>1</v>
          </cell>
          <cell r="R112">
            <v>4</v>
          </cell>
          <cell r="S112">
            <v>50</v>
          </cell>
          <cell r="T112">
            <v>119.04761904761905</v>
          </cell>
          <cell r="U112">
            <v>140</v>
          </cell>
          <cell r="V112">
            <v>119.04761904761905</v>
          </cell>
          <cell r="W112">
            <v>6</v>
          </cell>
          <cell r="X112">
            <v>38</v>
          </cell>
          <cell r="Y112">
            <v>18</v>
          </cell>
          <cell r="Z112">
            <v>0</v>
          </cell>
        </row>
        <row r="113">
          <cell r="A113">
            <v>9122209</v>
          </cell>
          <cell r="B113" t="str">
            <v>影袭·斩第2段</v>
          </cell>
          <cell r="C113" t="str">
            <v>影袭·斩第2段</v>
          </cell>
          <cell r="D113">
            <v>1</v>
          </cell>
          <cell r="E113">
            <v>18</v>
          </cell>
          <cell r="F113" t="str">
            <v>第9级，共造成129.8%点伤害</v>
          </cell>
          <cell r="G113">
            <v>2</v>
          </cell>
          <cell r="H113">
            <v>2</v>
          </cell>
          <cell r="I113">
            <v>9</v>
          </cell>
          <cell r="J113">
            <v>2</v>
          </cell>
          <cell r="K113">
            <v>129.76190476190476</v>
          </cell>
          <cell r="L113">
            <v>0</v>
          </cell>
          <cell r="M113">
            <v>7280</v>
          </cell>
          <cell r="N113">
            <v>912</v>
          </cell>
          <cell r="O113">
            <v>2</v>
          </cell>
          <cell r="P113">
            <v>1</v>
          </cell>
          <cell r="Q113">
            <v>1</v>
          </cell>
          <cell r="R113">
            <v>4</v>
          </cell>
          <cell r="S113">
            <v>50</v>
          </cell>
          <cell r="T113">
            <v>119.04761904761905</v>
          </cell>
          <cell r="U113">
            <v>152</v>
          </cell>
          <cell r="V113">
            <v>119.04761904761905</v>
          </cell>
          <cell r="W113">
            <v>6</v>
          </cell>
          <cell r="X113">
            <v>44</v>
          </cell>
          <cell r="Y113">
            <v>18</v>
          </cell>
          <cell r="Z113">
            <v>0</v>
          </cell>
        </row>
        <row r="114">
          <cell r="A114">
            <v>9122210</v>
          </cell>
          <cell r="B114" t="str">
            <v>影袭·斩第2段</v>
          </cell>
          <cell r="C114" t="str">
            <v>影袭·斩第2段</v>
          </cell>
          <cell r="D114">
            <v>1</v>
          </cell>
          <cell r="E114">
            <v>19</v>
          </cell>
          <cell r="F114" t="str">
            <v>第10级，共造成131%点伤害</v>
          </cell>
          <cell r="G114">
            <v>2</v>
          </cell>
          <cell r="H114">
            <v>2</v>
          </cell>
          <cell r="I114">
            <v>10</v>
          </cell>
          <cell r="J114">
            <v>2</v>
          </cell>
          <cell r="K114">
            <v>130.95238095238096</v>
          </cell>
          <cell r="L114">
            <v>0</v>
          </cell>
          <cell r="M114">
            <v>7200</v>
          </cell>
          <cell r="N114">
            <v>1106</v>
          </cell>
          <cell r="O114">
            <v>2</v>
          </cell>
          <cell r="P114">
            <v>1</v>
          </cell>
          <cell r="Q114">
            <v>1</v>
          </cell>
          <cell r="R114">
            <v>4</v>
          </cell>
          <cell r="S114">
            <v>50</v>
          </cell>
          <cell r="T114">
            <v>119.04761904761905</v>
          </cell>
          <cell r="U114">
            <v>158</v>
          </cell>
          <cell r="V114">
            <v>119.04761904761905</v>
          </cell>
          <cell r="W114">
            <v>7</v>
          </cell>
          <cell r="X114">
            <v>51</v>
          </cell>
          <cell r="Y114">
            <v>18</v>
          </cell>
          <cell r="Z114">
            <v>0</v>
          </cell>
        </row>
        <row r="115">
          <cell r="A115">
            <v>9122211</v>
          </cell>
          <cell r="B115" t="str">
            <v>影袭·斩第2段</v>
          </cell>
          <cell r="C115" t="str">
            <v>影袭·斩第2段</v>
          </cell>
          <cell r="D115">
            <v>1</v>
          </cell>
          <cell r="E115">
            <v>21</v>
          </cell>
          <cell r="F115" t="str">
            <v>第11级，共造成132.1%点伤害</v>
          </cell>
          <cell r="G115">
            <v>2</v>
          </cell>
          <cell r="H115">
            <v>2</v>
          </cell>
          <cell r="I115">
            <v>11</v>
          </cell>
          <cell r="J115">
            <v>2</v>
          </cell>
          <cell r="K115">
            <v>132.14285714285714</v>
          </cell>
          <cell r="L115">
            <v>0</v>
          </cell>
          <cell r="M115">
            <v>7120</v>
          </cell>
          <cell r="N115">
            <v>1470</v>
          </cell>
          <cell r="O115">
            <v>2</v>
          </cell>
          <cell r="P115">
            <v>1</v>
          </cell>
          <cell r="Q115">
            <v>1</v>
          </cell>
          <cell r="R115">
            <v>4</v>
          </cell>
          <cell r="S115">
            <v>50</v>
          </cell>
          <cell r="T115">
            <v>119.04761904761905</v>
          </cell>
          <cell r="U115">
            <v>210</v>
          </cell>
          <cell r="V115">
            <v>119.04761904761905</v>
          </cell>
          <cell r="W115">
            <v>7</v>
          </cell>
          <cell r="X115">
            <v>58</v>
          </cell>
          <cell r="Y115">
            <v>18</v>
          </cell>
          <cell r="Z115">
            <v>0</v>
          </cell>
        </row>
        <row r="116">
          <cell r="A116">
            <v>9122212</v>
          </cell>
          <cell r="B116" t="str">
            <v>影袭·斩第2段</v>
          </cell>
          <cell r="C116" t="str">
            <v>影袭·斩第2段</v>
          </cell>
          <cell r="D116">
            <v>1</v>
          </cell>
          <cell r="E116">
            <v>22</v>
          </cell>
          <cell r="F116" t="str">
            <v>第12级，共造成133.3%点伤害</v>
          </cell>
          <cell r="G116">
            <v>2</v>
          </cell>
          <cell r="H116">
            <v>2</v>
          </cell>
          <cell r="I116">
            <v>12</v>
          </cell>
          <cell r="J116">
            <v>2</v>
          </cell>
          <cell r="K116">
            <v>133.33333333333334</v>
          </cell>
          <cell r="L116">
            <v>0</v>
          </cell>
          <cell r="M116">
            <v>7040</v>
          </cell>
          <cell r="N116">
            <v>1912</v>
          </cell>
          <cell r="O116">
            <v>2</v>
          </cell>
          <cell r="P116">
            <v>1</v>
          </cell>
          <cell r="Q116">
            <v>1</v>
          </cell>
          <cell r="R116">
            <v>4</v>
          </cell>
          <cell r="S116">
            <v>50</v>
          </cell>
          <cell r="T116">
            <v>119.04761904761905</v>
          </cell>
          <cell r="U116">
            <v>239</v>
          </cell>
          <cell r="V116">
            <v>119.04761904761905</v>
          </cell>
          <cell r="W116">
            <v>8</v>
          </cell>
          <cell r="X116">
            <v>66</v>
          </cell>
          <cell r="Y116">
            <v>18</v>
          </cell>
          <cell r="Z116">
            <v>0</v>
          </cell>
        </row>
        <row r="117">
          <cell r="A117">
            <v>9122213</v>
          </cell>
          <cell r="B117" t="str">
            <v>影袭·斩第2段</v>
          </cell>
          <cell r="C117" t="str">
            <v>影袭·斩第2段</v>
          </cell>
          <cell r="D117">
            <v>1</v>
          </cell>
          <cell r="E117">
            <v>24</v>
          </cell>
          <cell r="F117" t="str">
            <v>第13级，共造成134.5%点伤害</v>
          </cell>
          <cell r="G117">
            <v>2</v>
          </cell>
          <cell r="H117">
            <v>2</v>
          </cell>
          <cell r="I117">
            <v>13</v>
          </cell>
          <cell r="J117">
            <v>2</v>
          </cell>
          <cell r="K117">
            <v>134.52380952380952</v>
          </cell>
          <cell r="L117">
            <v>0</v>
          </cell>
          <cell r="M117">
            <v>6960</v>
          </cell>
          <cell r="N117">
            <v>2416</v>
          </cell>
          <cell r="O117">
            <v>2</v>
          </cell>
          <cell r="P117">
            <v>1</v>
          </cell>
          <cell r="Q117">
            <v>1</v>
          </cell>
          <cell r="R117">
            <v>4</v>
          </cell>
          <cell r="S117">
            <v>50</v>
          </cell>
          <cell r="T117">
            <v>119.04761904761905</v>
          </cell>
          <cell r="U117">
            <v>302</v>
          </cell>
          <cell r="V117">
            <v>119.04761904761905</v>
          </cell>
          <cell r="W117">
            <v>8</v>
          </cell>
          <cell r="X117">
            <v>74</v>
          </cell>
          <cell r="Y117">
            <v>18</v>
          </cell>
          <cell r="Z117">
            <v>0</v>
          </cell>
        </row>
        <row r="118">
          <cell r="A118">
            <v>9122214</v>
          </cell>
          <cell r="B118" t="str">
            <v>影袭·斩第2段</v>
          </cell>
          <cell r="C118" t="str">
            <v>影袭·斩第2段</v>
          </cell>
          <cell r="D118">
            <v>1</v>
          </cell>
          <cell r="E118">
            <v>25</v>
          </cell>
          <cell r="F118" t="str">
            <v>第14级，共造成135.7%点伤害</v>
          </cell>
          <cell r="G118">
            <v>2</v>
          </cell>
          <cell r="H118">
            <v>2</v>
          </cell>
          <cell r="I118">
            <v>14</v>
          </cell>
          <cell r="J118">
            <v>2</v>
          </cell>
          <cell r="K118">
            <v>135.71428571428572</v>
          </cell>
          <cell r="L118">
            <v>0</v>
          </cell>
          <cell r="M118">
            <v>6880</v>
          </cell>
          <cell r="N118">
            <v>3015</v>
          </cell>
          <cell r="O118">
            <v>2</v>
          </cell>
          <cell r="P118">
            <v>1</v>
          </cell>
          <cell r="Q118">
            <v>1</v>
          </cell>
          <cell r="R118">
            <v>4</v>
          </cell>
          <cell r="S118">
            <v>50</v>
          </cell>
          <cell r="T118">
            <v>119.04761904761905</v>
          </cell>
          <cell r="U118">
            <v>335</v>
          </cell>
          <cell r="V118">
            <v>119.04761904761905</v>
          </cell>
          <cell r="W118">
            <v>9</v>
          </cell>
          <cell r="X118">
            <v>83</v>
          </cell>
          <cell r="Y118">
            <v>18</v>
          </cell>
          <cell r="Z118">
            <v>0</v>
          </cell>
        </row>
        <row r="119">
          <cell r="A119">
            <v>9122215</v>
          </cell>
          <cell r="B119" t="str">
            <v>影袭·斩第2段</v>
          </cell>
          <cell r="C119" t="str">
            <v>影袭·斩第2段</v>
          </cell>
          <cell r="D119">
            <v>1</v>
          </cell>
          <cell r="E119">
            <v>27</v>
          </cell>
          <cell r="F119" t="str">
            <v>第15级，共造成136.9%点伤害</v>
          </cell>
          <cell r="G119">
            <v>2</v>
          </cell>
          <cell r="H119">
            <v>2</v>
          </cell>
          <cell r="I119">
            <v>15</v>
          </cell>
          <cell r="J119">
            <v>2</v>
          </cell>
          <cell r="K119">
            <v>136.9047619047619</v>
          </cell>
          <cell r="L119">
            <v>0</v>
          </cell>
          <cell r="M119">
            <v>6800</v>
          </cell>
          <cell r="N119">
            <v>4060</v>
          </cell>
          <cell r="O119">
            <v>2</v>
          </cell>
          <cell r="P119">
            <v>1</v>
          </cell>
          <cell r="Q119">
            <v>1</v>
          </cell>
          <cell r="R119">
            <v>4</v>
          </cell>
          <cell r="S119">
            <v>50</v>
          </cell>
          <cell r="T119">
            <v>119.04761904761905</v>
          </cell>
          <cell r="U119">
            <v>406</v>
          </cell>
          <cell r="V119">
            <v>119.04761904761905</v>
          </cell>
          <cell r="W119">
            <v>10</v>
          </cell>
          <cell r="X119">
            <v>93</v>
          </cell>
          <cell r="Y119">
            <v>18</v>
          </cell>
          <cell r="Z119">
            <v>0</v>
          </cell>
        </row>
        <row r="120">
          <cell r="A120">
            <v>9122216</v>
          </cell>
          <cell r="B120" t="str">
            <v>影袭·斩第2段</v>
          </cell>
          <cell r="C120" t="str">
            <v>影袭·斩第2段</v>
          </cell>
          <cell r="D120">
            <v>1</v>
          </cell>
          <cell r="E120">
            <v>28</v>
          </cell>
          <cell r="F120" t="str">
            <v>第16级，共造成138.1%点伤害</v>
          </cell>
          <cell r="G120">
            <v>2</v>
          </cell>
          <cell r="H120">
            <v>2</v>
          </cell>
          <cell r="I120">
            <v>16</v>
          </cell>
          <cell r="J120">
            <v>2</v>
          </cell>
          <cell r="K120">
            <v>138.0952380952381</v>
          </cell>
          <cell r="L120">
            <v>0</v>
          </cell>
          <cell r="M120">
            <v>6720</v>
          </cell>
          <cell r="N120">
            <v>4430</v>
          </cell>
          <cell r="O120">
            <v>2</v>
          </cell>
          <cell r="P120">
            <v>1</v>
          </cell>
          <cell r="Q120">
            <v>1</v>
          </cell>
          <cell r="R120">
            <v>4</v>
          </cell>
          <cell r="S120">
            <v>50</v>
          </cell>
          <cell r="T120">
            <v>119.04761904761905</v>
          </cell>
          <cell r="U120">
            <v>443</v>
          </cell>
          <cell r="V120">
            <v>119.04761904761905</v>
          </cell>
          <cell r="W120">
            <v>10</v>
          </cell>
          <cell r="X120">
            <v>103</v>
          </cell>
          <cell r="Y120">
            <v>18</v>
          </cell>
          <cell r="Z120">
            <v>0</v>
          </cell>
        </row>
        <row r="121">
          <cell r="A121">
            <v>9122217</v>
          </cell>
          <cell r="B121" t="str">
            <v>影袭·斩第2段</v>
          </cell>
          <cell r="C121" t="str">
            <v>影袭·斩第2段</v>
          </cell>
          <cell r="D121">
            <v>1</v>
          </cell>
          <cell r="E121">
            <v>30</v>
          </cell>
          <cell r="F121" t="str">
            <v>第17级，共造成139.3%点伤害</v>
          </cell>
          <cell r="G121">
            <v>2</v>
          </cell>
          <cell r="H121">
            <v>2</v>
          </cell>
          <cell r="I121">
            <v>17</v>
          </cell>
          <cell r="J121">
            <v>2</v>
          </cell>
          <cell r="K121">
            <v>139.28571428571428</v>
          </cell>
          <cell r="L121">
            <v>0</v>
          </cell>
          <cell r="M121">
            <v>6640</v>
          </cell>
          <cell r="N121">
            <v>5742</v>
          </cell>
          <cell r="O121">
            <v>2</v>
          </cell>
          <cell r="P121">
            <v>1</v>
          </cell>
          <cell r="Q121">
            <v>1</v>
          </cell>
          <cell r="R121">
            <v>4</v>
          </cell>
          <cell r="S121">
            <v>50</v>
          </cell>
          <cell r="T121">
            <v>119.04761904761905</v>
          </cell>
          <cell r="U121">
            <v>522</v>
          </cell>
          <cell r="V121">
            <v>119.04761904761905</v>
          </cell>
          <cell r="W121">
            <v>11</v>
          </cell>
          <cell r="X121">
            <v>114</v>
          </cell>
          <cell r="Y121">
            <v>18</v>
          </cell>
          <cell r="Z121">
            <v>0</v>
          </cell>
        </row>
        <row r="122">
          <cell r="A122">
            <v>9122218</v>
          </cell>
          <cell r="B122" t="str">
            <v>影袭·斩第2段</v>
          </cell>
          <cell r="C122" t="str">
            <v>影袭·斩第2段</v>
          </cell>
          <cell r="D122">
            <v>1</v>
          </cell>
          <cell r="E122">
            <v>31</v>
          </cell>
          <cell r="F122" t="str">
            <v>第18级，共造成140.5%点伤害</v>
          </cell>
          <cell r="G122">
            <v>2</v>
          </cell>
          <cell r="H122">
            <v>2</v>
          </cell>
          <cell r="I122">
            <v>18</v>
          </cell>
          <cell r="J122">
            <v>2</v>
          </cell>
          <cell r="K122">
            <v>140.47619047619048</v>
          </cell>
          <cell r="L122">
            <v>0</v>
          </cell>
          <cell r="M122">
            <v>6560</v>
          </cell>
          <cell r="N122">
            <v>6756</v>
          </cell>
          <cell r="O122">
            <v>2</v>
          </cell>
          <cell r="P122">
            <v>1</v>
          </cell>
          <cell r="Q122">
            <v>1</v>
          </cell>
          <cell r="R122">
            <v>4</v>
          </cell>
          <cell r="S122">
            <v>50</v>
          </cell>
          <cell r="T122">
            <v>119.04761904761905</v>
          </cell>
          <cell r="U122">
            <v>563</v>
          </cell>
          <cell r="V122">
            <v>119.04761904761905</v>
          </cell>
          <cell r="W122">
            <v>12</v>
          </cell>
          <cell r="X122">
            <v>126</v>
          </cell>
          <cell r="Y122">
            <v>18</v>
          </cell>
          <cell r="Z122">
            <v>5</v>
          </cell>
        </row>
        <row r="123">
          <cell r="A123">
            <v>9122219</v>
          </cell>
          <cell r="B123" t="str">
            <v>影袭·斩第2段</v>
          </cell>
          <cell r="C123" t="str">
            <v>影袭·斩第2段</v>
          </cell>
          <cell r="D123">
            <v>1</v>
          </cell>
          <cell r="E123">
            <v>33</v>
          </cell>
          <cell r="F123" t="str">
            <v>第19级，共造成141.7%点伤害</v>
          </cell>
          <cell r="G123">
            <v>2</v>
          </cell>
          <cell r="H123">
            <v>2</v>
          </cell>
          <cell r="I123">
            <v>19</v>
          </cell>
          <cell r="J123">
            <v>2</v>
          </cell>
          <cell r="K123">
            <v>141.66666666666669</v>
          </cell>
          <cell r="L123">
            <v>0</v>
          </cell>
          <cell r="M123">
            <v>6480</v>
          </cell>
          <cell r="N123">
            <v>8463</v>
          </cell>
          <cell r="O123">
            <v>2</v>
          </cell>
          <cell r="P123">
            <v>1</v>
          </cell>
          <cell r="Q123">
            <v>1</v>
          </cell>
          <cell r="R123">
            <v>4</v>
          </cell>
          <cell r="S123">
            <v>50</v>
          </cell>
          <cell r="T123">
            <v>119.04761904761905</v>
          </cell>
          <cell r="U123">
            <v>651</v>
          </cell>
          <cell r="V123">
            <v>119.04761904761905</v>
          </cell>
          <cell r="W123">
            <v>13</v>
          </cell>
          <cell r="X123">
            <v>139</v>
          </cell>
          <cell r="Y123">
            <v>18</v>
          </cell>
          <cell r="Z123">
            <v>6</v>
          </cell>
        </row>
        <row r="124">
          <cell r="A124">
            <v>9122220</v>
          </cell>
          <cell r="B124" t="str">
            <v>影袭·斩第2段</v>
          </cell>
          <cell r="C124" t="str">
            <v>影袭·斩第2段</v>
          </cell>
          <cell r="D124">
            <v>1</v>
          </cell>
          <cell r="E124">
            <v>34</v>
          </cell>
          <cell r="F124" t="str">
            <v>第20级，共造成142.9%点伤害</v>
          </cell>
          <cell r="G124">
            <v>2</v>
          </cell>
          <cell r="H124">
            <v>2</v>
          </cell>
          <cell r="I124">
            <v>20</v>
          </cell>
          <cell r="J124">
            <v>2</v>
          </cell>
          <cell r="K124">
            <v>142.85714285714286</v>
          </cell>
          <cell r="L124">
            <v>0</v>
          </cell>
          <cell r="M124">
            <v>6400</v>
          </cell>
          <cell r="N124">
            <v>9048</v>
          </cell>
          <cell r="O124">
            <v>2</v>
          </cell>
          <cell r="P124">
            <v>1</v>
          </cell>
          <cell r="Q124">
            <v>1</v>
          </cell>
          <cell r="R124">
            <v>4</v>
          </cell>
          <cell r="S124">
            <v>50</v>
          </cell>
          <cell r="T124">
            <v>119.04761904761905</v>
          </cell>
          <cell r="U124">
            <v>696</v>
          </cell>
          <cell r="V124">
            <v>119.04761904761905</v>
          </cell>
          <cell r="W124">
            <v>13</v>
          </cell>
          <cell r="X124">
            <v>152</v>
          </cell>
          <cell r="Y124">
            <v>18</v>
          </cell>
          <cell r="Z124">
            <v>6</v>
          </cell>
        </row>
        <row r="125">
          <cell r="A125">
            <v>9122221</v>
          </cell>
          <cell r="B125" t="str">
            <v>影袭·斩第2段</v>
          </cell>
          <cell r="C125" t="str">
            <v>影袭·斩第2段</v>
          </cell>
          <cell r="D125">
            <v>1</v>
          </cell>
          <cell r="E125">
            <v>36</v>
          </cell>
          <cell r="F125" t="str">
            <v>第21级，共造成144%点伤害</v>
          </cell>
          <cell r="G125">
            <v>2</v>
          </cell>
          <cell r="H125">
            <v>2</v>
          </cell>
          <cell r="I125">
            <v>21</v>
          </cell>
          <cell r="J125">
            <v>2</v>
          </cell>
          <cell r="K125">
            <v>144.04761904761904</v>
          </cell>
          <cell r="L125">
            <v>0</v>
          </cell>
          <cell r="M125">
            <v>6320</v>
          </cell>
          <cell r="N125">
            <v>11074</v>
          </cell>
          <cell r="O125">
            <v>2</v>
          </cell>
          <cell r="P125">
            <v>1</v>
          </cell>
          <cell r="Q125">
            <v>1</v>
          </cell>
          <cell r="R125">
            <v>4</v>
          </cell>
          <cell r="S125">
            <v>50</v>
          </cell>
          <cell r="T125">
            <v>119.04761904761905</v>
          </cell>
          <cell r="U125">
            <v>791</v>
          </cell>
          <cell r="V125">
            <v>119.04761904761905</v>
          </cell>
          <cell r="W125">
            <v>14</v>
          </cell>
          <cell r="X125">
            <v>166</v>
          </cell>
          <cell r="Y125">
            <v>18</v>
          </cell>
          <cell r="Z125">
            <v>6</v>
          </cell>
        </row>
        <row r="126">
          <cell r="A126">
            <v>9122222</v>
          </cell>
          <cell r="B126" t="str">
            <v>影袭·斩第2段</v>
          </cell>
          <cell r="C126" t="str">
            <v>影袭·斩第2段</v>
          </cell>
          <cell r="D126">
            <v>1</v>
          </cell>
          <cell r="E126">
            <v>37</v>
          </cell>
          <cell r="F126" t="str">
            <v>第22级，共造成145.2%点伤害</v>
          </cell>
          <cell r="G126">
            <v>2</v>
          </cell>
          <cell r="H126">
            <v>2</v>
          </cell>
          <cell r="I126">
            <v>22</v>
          </cell>
          <cell r="J126">
            <v>2</v>
          </cell>
          <cell r="K126">
            <v>145.23809523809524</v>
          </cell>
          <cell r="L126">
            <v>0</v>
          </cell>
          <cell r="M126">
            <v>6240</v>
          </cell>
          <cell r="N126">
            <v>12615</v>
          </cell>
          <cell r="O126">
            <v>2</v>
          </cell>
          <cell r="P126">
            <v>1</v>
          </cell>
          <cell r="Q126">
            <v>1</v>
          </cell>
          <cell r="R126">
            <v>4</v>
          </cell>
          <cell r="S126">
            <v>50</v>
          </cell>
          <cell r="T126">
            <v>119.04761904761905</v>
          </cell>
          <cell r="U126">
            <v>841</v>
          </cell>
          <cell r="V126">
            <v>119.04761904761905</v>
          </cell>
          <cell r="W126">
            <v>15</v>
          </cell>
          <cell r="X126">
            <v>181</v>
          </cell>
          <cell r="Y126">
            <v>18</v>
          </cell>
          <cell r="Z126">
            <v>6</v>
          </cell>
        </row>
        <row r="127">
          <cell r="A127">
            <v>9122223</v>
          </cell>
          <cell r="B127" t="str">
            <v>影袭·斩第2段</v>
          </cell>
          <cell r="C127" t="str">
            <v>影袭·斩第2段</v>
          </cell>
          <cell r="D127">
            <v>1</v>
          </cell>
          <cell r="E127">
            <v>39</v>
          </cell>
          <cell r="F127" t="str">
            <v>第23级，共造成146.4%点伤害</v>
          </cell>
          <cell r="G127">
            <v>2</v>
          </cell>
          <cell r="H127">
            <v>2</v>
          </cell>
          <cell r="I127">
            <v>23</v>
          </cell>
          <cell r="J127">
            <v>2</v>
          </cell>
          <cell r="K127">
            <v>146.42857142857144</v>
          </cell>
          <cell r="L127">
            <v>0</v>
          </cell>
          <cell r="M127">
            <v>6160</v>
          </cell>
          <cell r="N127">
            <v>15104</v>
          </cell>
          <cell r="O127">
            <v>2</v>
          </cell>
          <cell r="P127">
            <v>1</v>
          </cell>
          <cell r="Q127">
            <v>1</v>
          </cell>
          <cell r="R127">
            <v>4</v>
          </cell>
          <cell r="S127">
            <v>50</v>
          </cell>
          <cell r="T127">
            <v>119.04761904761905</v>
          </cell>
          <cell r="U127">
            <v>944</v>
          </cell>
          <cell r="V127">
            <v>119.04761904761905</v>
          </cell>
          <cell r="W127">
            <v>16</v>
          </cell>
          <cell r="X127">
            <v>197</v>
          </cell>
          <cell r="Y127">
            <v>18</v>
          </cell>
          <cell r="Z127">
            <v>7</v>
          </cell>
        </row>
        <row r="128">
          <cell r="A128">
            <v>9122224</v>
          </cell>
          <cell r="B128" t="str">
            <v>影袭·斩第2段</v>
          </cell>
          <cell r="C128" t="str">
            <v>影袭·斩第2段</v>
          </cell>
          <cell r="D128">
            <v>1</v>
          </cell>
          <cell r="E128">
            <v>40</v>
          </cell>
          <cell r="F128" t="str">
            <v>第24级，共造成147.6%点伤害</v>
          </cell>
          <cell r="G128">
            <v>2</v>
          </cell>
          <cell r="H128">
            <v>2</v>
          </cell>
          <cell r="I128">
            <v>24</v>
          </cell>
          <cell r="J128">
            <v>2</v>
          </cell>
          <cell r="K128">
            <v>147.61904761904762</v>
          </cell>
          <cell r="L128">
            <v>0</v>
          </cell>
          <cell r="M128">
            <v>6080</v>
          </cell>
          <cell r="N128">
            <v>16966</v>
          </cell>
          <cell r="O128">
            <v>2</v>
          </cell>
          <cell r="P128">
            <v>1</v>
          </cell>
          <cell r="Q128">
            <v>1</v>
          </cell>
          <cell r="R128">
            <v>4</v>
          </cell>
          <cell r="S128">
            <v>50</v>
          </cell>
          <cell r="T128">
            <v>119.04761904761905</v>
          </cell>
          <cell r="U128">
            <v>998</v>
          </cell>
          <cell r="V128">
            <v>119.04761904761905</v>
          </cell>
          <cell r="W128">
            <v>17</v>
          </cell>
          <cell r="X128">
            <v>214</v>
          </cell>
          <cell r="Y128">
            <v>18</v>
          </cell>
          <cell r="Z128">
            <v>7</v>
          </cell>
        </row>
        <row r="129">
          <cell r="A129">
            <v>9122225</v>
          </cell>
          <cell r="B129" t="str">
            <v>影袭·斩第2段</v>
          </cell>
          <cell r="C129" t="str">
            <v>影袭·斩第2段</v>
          </cell>
          <cell r="D129">
            <v>1</v>
          </cell>
          <cell r="E129">
            <v>42</v>
          </cell>
          <cell r="F129" t="str">
            <v>第25级，共造成148.8%点伤害</v>
          </cell>
          <cell r="G129">
            <v>2</v>
          </cell>
          <cell r="H129">
            <v>2</v>
          </cell>
          <cell r="I129">
            <v>25</v>
          </cell>
          <cell r="J129">
            <v>2</v>
          </cell>
          <cell r="K129">
            <v>148.80952380952382</v>
          </cell>
          <cell r="L129">
            <v>0</v>
          </cell>
          <cell r="M129">
            <v>6000</v>
          </cell>
          <cell r="N129">
            <v>21090</v>
          </cell>
          <cell r="O129">
            <v>2</v>
          </cell>
          <cell r="P129">
            <v>1</v>
          </cell>
          <cell r="Q129">
            <v>1</v>
          </cell>
          <cell r="R129">
            <v>4</v>
          </cell>
          <cell r="S129">
            <v>50</v>
          </cell>
          <cell r="T129">
            <v>119.04761904761905</v>
          </cell>
          <cell r="U129">
            <v>1110</v>
          </cell>
          <cell r="V129">
            <v>119.04761904761905</v>
          </cell>
          <cell r="W129">
            <v>19</v>
          </cell>
          <cell r="X129">
            <v>233</v>
          </cell>
          <cell r="Y129">
            <v>18</v>
          </cell>
          <cell r="Z129">
            <v>8</v>
          </cell>
        </row>
        <row r="130">
          <cell r="A130">
            <v>9122226</v>
          </cell>
          <cell r="B130" t="str">
            <v>影袭·斩第2段</v>
          </cell>
          <cell r="C130" t="str">
            <v>影袭·斩第2段</v>
          </cell>
          <cell r="D130">
            <v>1</v>
          </cell>
          <cell r="E130">
            <v>44</v>
          </cell>
          <cell r="F130" t="str">
            <v>第26级，共造成150%点伤害</v>
          </cell>
          <cell r="G130">
            <v>2</v>
          </cell>
          <cell r="H130">
            <v>2</v>
          </cell>
          <cell r="I130">
            <v>26</v>
          </cell>
          <cell r="J130">
            <v>2</v>
          </cell>
          <cell r="K130">
            <v>150</v>
          </cell>
          <cell r="L130">
            <v>0</v>
          </cell>
          <cell r="M130">
            <v>5920</v>
          </cell>
          <cell r="N130">
            <v>24520</v>
          </cell>
          <cell r="O130">
            <v>2</v>
          </cell>
          <cell r="P130">
            <v>1</v>
          </cell>
          <cell r="Q130">
            <v>1</v>
          </cell>
          <cell r="R130">
            <v>4</v>
          </cell>
          <cell r="S130">
            <v>50</v>
          </cell>
          <cell r="T130">
            <v>119.04761904761905</v>
          </cell>
          <cell r="U130">
            <v>1226</v>
          </cell>
          <cell r="V130">
            <v>119.04761904761905</v>
          </cell>
          <cell r="W130">
            <v>20</v>
          </cell>
          <cell r="X130">
            <v>253</v>
          </cell>
          <cell r="Y130">
            <v>18</v>
          </cell>
          <cell r="Z130">
            <v>8</v>
          </cell>
        </row>
        <row r="131">
          <cell r="A131">
            <v>9122227</v>
          </cell>
          <cell r="B131" t="str">
            <v>影袭·斩第2段</v>
          </cell>
          <cell r="C131" t="str">
            <v>影袭·斩第2段</v>
          </cell>
          <cell r="D131">
            <v>1</v>
          </cell>
          <cell r="E131">
            <v>45</v>
          </cell>
          <cell r="F131" t="str">
            <v>第27级，共造成151.2%点伤害</v>
          </cell>
          <cell r="G131">
            <v>2</v>
          </cell>
          <cell r="H131">
            <v>2</v>
          </cell>
          <cell r="I131">
            <v>27</v>
          </cell>
          <cell r="J131">
            <v>2</v>
          </cell>
          <cell r="K131">
            <v>151.1904761904762</v>
          </cell>
          <cell r="L131">
            <v>0</v>
          </cell>
          <cell r="M131">
            <v>5840</v>
          </cell>
          <cell r="N131">
            <v>27027</v>
          </cell>
          <cell r="O131">
            <v>2</v>
          </cell>
          <cell r="P131">
            <v>1</v>
          </cell>
          <cell r="Q131">
            <v>1</v>
          </cell>
          <cell r="R131">
            <v>4</v>
          </cell>
          <cell r="S131">
            <v>50</v>
          </cell>
          <cell r="T131">
            <v>119.04761904761905</v>
          </cell>
          <cell r="U131">
            <v>1287</v>
          </cell>
          <cell r="V131">
            <v>119.04761904761905</v>
          </cell>
          <cell r="W131">
            <v>21</v>
          </cell>
          <cell r="X131">
            <v>274</v>
          </cell>
          <cell r="Y131">
            <v>18</v>
          </cell>
          <cell r="Z131">
            <v>9</v>
          </cell>
        </row>
        <row r="132">
          <cell r="A132">
            <v>9122228</v>
          </cell>
          <cell r="B132" t="str">
            <v>影袭·斩第2段</v>
          </cell>
          <cell r="C132" t="str">
            <v>影袭·斩第2段</v>
          </cell>
          <cell r="D132">
            <v>1</v>
          </cell>
          <cell r="E132">
            <v>47</v>
          </cell>
          <cell r="F132" t="str">
            <v>第28级，共造成152.4%点伤害</v>
          </cell>
          <cell r="G132">
            <v>2</v>
          </cell>
          <cell r="H132">
            <v>2</v>
          </cell>
          <cell r="I132">
            <v>28</v>
          </cell>
          <cell r="J132">
            <v>2</v>
          </cell>
          <cell r="K132">
            <v>152.38095238095238</v>
          </cell>
          <cell r="L132">
            <v>0</v>
          </cell>
          <cell r="M132">
            <v>5760</v>
          </cell>
          <cell r="N132">
            <v>32476</v>
          </cell>
          <cell r="O132">
            <v>2</v>
          </cell>
          <cell r="P132">
            <v>1</v>
          </cell>
          <cell r="Q132">
            <v>1</v>
          </cell>
          <cell r="R132">
            <v>4</v>
          </cell>
          <cell r="S132">
            <v>50</v>
          </cell>
          <cell r="T132">
            <v>119.04761904761905</v>
          </cell>
          <cell r="U132">
            <v>1412</v>
          </cell>
          <cell r="V132">
            <v>119.04761904761905</v>
          </cell>
          <cell r="W132">
            <v>23</v>
          </cell>
          <cell r="X132">
            <v>297</v>
          </cell>
          <cell r="Y132">
            <v>18</v>
          </cell>
          <cell r="Z132">
            <v>10</v>
          </cell>
        </row>
        <row r="133">
          <cell r="A133">
            <v>9122229</v>
          </cell>
          <cell r="B133" t="str">
            <v>影袭·斩第2段</v>
          </cell>
          <cell r="C133" t="str">
            <v>影袭·斩第2段</v>
          </cell>
          <cell r="D133">
            <v>1</v>
          </cell>
          <cell r="E133">
            <v>48</v>
          </cell>
          <cell r="F133" t="str">
            <v>第29级，共造成153.6%点伤害</v>
          </cell>
          <cell r="G133">
            <v>2</v>
          </cell>
          <cell r="H133">
            <v>2</v>
          </cell>
          <cell r="I133">
            <v>29</v>
          </cell>
          <cell r="J133">
            <v>2</v>
          </cell>
          <cell r="K133">
            <v>153.57142857142858</v>
          </cell>
          <cell r="L133">
            <v>0</v>
          </cell>
          <cell r="M133">
            <v>5680</v>
          </cell>
          <cell r="N133">
            <v>36925</v>
          </cell>
          <cell r="O133">
            <v>2</v>
          </cell>
          <cell r="P133">
            <v>1</v>
          </cell>
          <cell r="Q133">
            <v>1</v>
          </cell>
          <cell r="R133">
            <v>4</v>
          </cell>
          <cell r="S133">
            <v>50</v>
          </cell>
          <cell r="T133">
            <v>119.04761904761905</v>
          </cell>
          <cell r="U133">
            <v>1477</v>
          </cell>
          <cell r="V133">
            <v>119.04761904761905</v>
          </cell>
          <cell r="W133">
            <v>25</v>
          </cell>
          <cell r="X133">
            <v>322</v>
          </cell>
          <cell r="Y133">
            <v>18</v>
          </cell>
          <cell r="Z133">
            <v>10</v>
          </cell>
        </row>
        <row r="134">
          <cell r="A134">
            <v>9122230</v>
          </cell>
          <cell r="B134" t="str">
            <v>影袭·斩第2段</v>
          </cell>
          <cell r="C134" t="str">
            <v>影袭·斩第2段</v>
          </cell>
          <cell r="D134">
            <v>1</v>
          </cell>
          <cell r="E134">
            <v>50</v>
          </cell>
          <cell r="F134" t="str">
            <v>第30级，共造成154.8%点伤害</v>
          </cell>
          <cell r="G134">
            <v>2</v>
          </cell>
          <cell r="H134">
            <v>2</v>
          </cell>
          <cell r="I134">
            <v>30</v>
          </cell>
          <cell r="J134">
            <v>2</v>
          </cell>
          <cell r="K134">
            <v>154.76190476190476</v>
          </cell>
          <cell r="L134">
            <v>0</v>
          </cell>
          <cell r="M134">
            <v>5600</v>
          </cell>
          <cell r="N134">
            <v>41860</v>
          </cell>
          <cell r="O134">
            <v>2</v>
          </cell>
          <cell r="P134">
            <v>1</v>
          </cell>
          <cell r="Q134">
            <v>1</v>
          </cell>
          <cell r="R134">
            <v>4</v>
          </cell>
          <cell r="S134">
            <v>50</v>
          </cell>
          <cell r="T134">
            <v>119.04761904761905</v>
          </cell>
          <cell r="U134">
            <v>1610</v>
          </cell>
          <cell r="V134">
            <v>119.04761904761905</v>
          </cell>
          <cell r="W134">
            <v>26</v>
          </cell>
          <cell r="X134">
            <v>348</v>
          </cell>
          <cell r="Y134">
            <v>18</v>
          </cell>
          <cell r="Z134">
            <v>11</v>
          </cell>
        </row>
        <row r="135">
          <cell r="A135">
            <v>9122231</v>
          </cell>
          <cell r="B135" t="str">
            <v>影袭·斩第2段</v>
          </cell>
          <cell r="C135" t="str">
            <v>影袭·斩第2段</v>
          </cell>
          <cell r="D135">
            <v>1</v>
          </cell>
          <cell r="E135">
            <v>51</v>
          </cell>
          <cell r="F135" t="str">
            <v>第31级，共造成156%点伤害</v>
          </cell>
          <cell r="G135">
            <v>2</v>
          </cell>
          <cell r="H135">
            <v>2</v>
          </cell>
          <cell r="I135">
            <v>31</v>
          </cell>
          <cell r="J135">
            <v>2</v>
          </cell>
          <cell r="K135">
            <v>155.95238095238096</v>
          </cell>
          <cell r="L135">
            <v>0</v>
          </cell>
          <cell r="M135">
            <v>5520</v>
          </cell>
          <cell r="N135">
            <v>47012</v>
          </cell>
          <cell r="O135">
            <v>2</v>
          </cell>
          <cell r="P135">
            <v>1</v>
          </cell>
          <cell r="Q135">
            <v>1</v>
          </cell>
          <cell r="R135">
            <v>4</v>
          </cell>
          <cell r="S135">
            <v>50</v>
          </cell>
          <cell r="T135">
            <v>119.04761904761905</v>
          </cell>
          <cell r="U135">
            <v>1679</v>
          </cell>
          <cell r="V135">
            <v>119.04761904761905</v>
          </cell>
          <cell r="W135">
            <v>28</v>
          </cell>
          <cell r="X135">
            <v>376</v>
          </cell>
          <cell r="Y135">
            <v>18</v>
          </cell>
          <cell r="Z135">
            <v>12</v>
          </cell>
        </row>
        <row r="136">
          <cell r="A136">
            <v>9122232</v>
          </cell>
          <cell r="B136" t="str">
            <v>影袭·斩第2段</v>
          </cell>
          <cell r="C136" t="str">
            <v>影袭·斩第2段</v>
          </cell>
          <cell r="D136">
            <v>1</v>
          </cell>
          <cell r="E136">
            <v>53</v>
          </cell>
          <cell r="F136" t="str">
            <v>第32级，共造成157.1%点伤害</v>
          </cell>
          <cell r="G136">
            <v>2</v>
          </cell>
          <cell r="H136">
            <v>2</v>
          </cell>
          <cell r="I136">
            <v>32</v>
          </cell>
          <cell r="J136">
            <v>2</v>
          </cell>
          <cell r="K136">
            <v>157.14285714285714</v>
          </cell>
          <cell r="L136">
            <v>0</v>
          </cell>
          <cell r="M136">
            <v>5440</v>
          </cell>
          <cell r="N136">
            <v>54600</v>
          </cell>
          <cell r="O136">
            <v>2</v>
          </cell>
          <cell r="P136">
            <v>1</v>
          </cell>
          <cell r="Q136">
            <v>1</v>
          </cell>
          <cell r="R136">
            <v>4</v>
          </cell>
          <cell r="S136">
            <v>50</v>
          </cell>
          <cell r="T136">
            <v>119.04761904761905</v>
          </cell>
          <cell r="U136">
            <v>1820</v>
          </cell>
          <cell r="V136">
            <v>119.04761904761905</v>
          </cell>
          <cell r="W136">
            <v>30</v>
          </cell>
          <cell r="X136">
            <v>406</v>
          </cell>
          <cell r="Y136">
            <v>18</v>
          </cell>
          <cell r="Z136">
            <v>12</v>
          </cell>
        </row>
        <row r="137">
          <cell r="A137">
            <v>9122233</v>
          </cell>
          <cell r="B137" t="str">
            <v>影袭·斩第2段</v>
          </cell>
          <cell r="C137" t="str">
            <v>影袭·斩第2段</v>
          </cell>
          <cell r="D137">
            <v>1</v>
          </cell>
          <cell r="E137">
            <v>54</v>
          </cell>
          <cell r="F137" t="str">
            <v>第33级，共造成158.3%点伤害</v>
          </cell>
          <cell r="G137">
            <v>2</v>
          </cell>
          <cell r="H137">
            <v>2</v>
          </cell>
          <cell r="I137">
            <v>33</v>
          </cell>
          <cell r="J137">
            <v>2</v>
          </cell>
          <cell r="K137">
            <v>158.33333333333334</v>
          </cell>
          <cell r="L137">
            <v>0</v>
          </cell>
          <cell r="M137">
            <v>5360</v>
          </cell>
          <cell r="N137">
            <v>60576</v>
          </cell>
          <cell r="O137">
            <v>2</v>
          </cell>
          <cell r="P137">
            <v>1</v>
          </cell>
          <cell r="Q137">
            <v>1</v>
          </cell>
          <cell r="R137">
            <v>4</v>
          </cell>
          <cell r="S137">
            <v>50</v>
          </cell>
          <cell r="T137">
            <v>119.04761904761905</v>
          </cell>
          <cell r="U137">
            <v>1893</v>
          </cell>
          <cell r="V137">
            <v>119.04761904761905</v>
          </cell>
          <cell r="W137">
            <v>32</v>
          </cell>
          <cell r="X137">
            <v>438</v>
          </cell>
          <cell r="Y137">
            <v>18</v>
          </cell>
          <cell r="Z137">
            <v>13</v>
          </cell>
        </row>
        <row r="138">
          <cell r="A138">
            <v>9122234</v>
          </cell>
          <cell r="B138" t="str">
            <v>影袭·斩第2段</v>
          </cell>
          <cell r="C138" t="str">
            <v>影袭·斩第2段</v>
          </cell>
          <cell r="D138">
            <v>1</v>
          </cell>
          <cell r="E138">
            <v>56</v>
          </cell>
          <cell r="F138" t="str">
            <v>第34级，共造成159.5%点伤害</v>
          </cell>
          <cell r="G138">
            <v>2</v>
          </cell>
          <cell r="H138">
            <v>2</v>
          </cell>
          <cell r="I138">
            <v>34</v>
          </cell>
          <cell r="J138">
            <v>2</v>
          </cell>
          <cell r="K138">
            <v>159.52380952380952</v>
          </cell>
          <cell r="L138">
            <v>0</v>
          </cell>
          <cell r="M138">
            <v>5280</v>
          </cell>
          <cell r="N138">
            <v>69428</v>
          </cell>
          <cell r="O138">
            <v>2</v>
          </cell>
          <cell r="P138">
            <v>1</v>
          </cell>
          <cell r="Q138">
            <v>1</v>
          </cell>
          <cell r="R138">
            <v>4</v>
          </cell>
          <cell r="S138">
            <v>50</v>
          </cell>
          <cell r="T138">
            <v>119.04761904761905</v>
          </cell>
          <cell r="U138">
            <v>2042</v>
          </cell>
          <cell r="V138">
            <v>119.04761904761905</v>
          </cell>
          <cell r="W138">
            <v>34</v>
          </cell>
          <cell r="X138">
            <v>472</v>
          </cell>
          <cell r="Y138">
            <v>18</v>
          </cell>
          <cell r="Z138">
            <v>14</v>
          </cell>
        </row>
        <row r="139">
          <cell r="A139">
            <v>9122235</v>
          </cell>
          <cell r="B139" t="str">
            <v>影袭·斩第2段</v>
          </cell>
          <cell r="C139" t="str">
            <v>影袭·斩第2段</v>
          </cell>
          <cell r="D139">
            <v>1</v>
          </cell>
          <cell r="E139">
            <v>57</v>
          </cell>
          <cell r="F139" t="str">
            <v>第35级，共造成160.7%点伤害</v>
          </cell>
          <cell r="G139">
            <v>2</v>
          </cell>
          <cell r="H139">
            <v>2</v>
          </cell>
          <cell r="I139">
            <v>35</v>
          </cell>
          <cell r="J139">
            <v>2</v>
          </cell>
          <cell r="K139">
            <v>160.71428571428572</v>
          </cell>
          <cell r="L139">
            <v>0</v>
          </cell>
          <cell r="M139">
            <v>5200</v>
          </cell>
          <cell r="N139">
            <v>76284</v>
          </cell>
          <cell r="O139">
            <v>2</v>
          </cell>
          <cell r="P139">
            <v>1</v>
          </cell>
          <cell r="Q139">
            <v>1</v>
          </cell>
          <cell r="R139">
            <v>4</v>
          </cell>
          <cell r="S139">
            <v>50</v>
          </cell>
          <cell r="T139">
            <v>119.04761904761905</v>
          </cell>
          <cell r="U139">
            <v>2119</v>
          </cell>
          <cell r="V139">
            <v>119.04761904761905</v>
          </cell>
          <cell r="W139">
            <v>36</v>
          </cell>
          <cell r="X139">
            <v>508</v>
          </cell>
          <cell r="Y139">
            <v>18</v>
          </cell>
          <cell r="Z139">
            <v>15</v>
          </cell>
        </row>
        <row r="140">
          <cell r="A140">
            <v>9122236</v>
          </cell>
          <cell r="B140" t="str">
            <v>影袭·斩第2段</v>
          </cell>
          <cell r="C140" t="str">
            <v>影袭·斩第2段</v>
          </cell>
          <cell r="D140">
            <v>1</v>
          </cell>
          <cell r="E140">
            <v>59</v>
          </cell>
          <cell r="F140" t="str">
            <v>第36级，共造成161.9%点伤害</v>
          </cell>
          <cell r="G140">
            <v>2</v>
          </cell>
          <cell r="H140">
            <v>2</v>
          </cell>
          <cell r="I140">
            <v>36</v>
          </cell>
          <cell r="J140">
            <v>2</v>
          </cell>
          <cell r="K140">
            <v>161.9047619047619</v>
          </cell>
          <cell r="L140">
            <v>0</v>
          </cell>
          <cell r="M140">
            <v>5120</v>
          </cell>
          <cell r="N140">
            <v>88803</v>
          </cell>
          <cell r="O140">
            <v>2</v>
          </cell>
          <cell r="P140">
            <v>1</v>
          </cell>
          <cell r="Q140">
            <v>1</v>
          </cell>
          <cell r="R140">
            <v>4</v>
          </cell>
          <cell r="S140">
            <v>50</v>
          </cell>
          <cell r="T140">
            <v>119.04761904761905</v>
          </cell>
          <cell r="U140">
            <v>2277</v>
          </cell>
          <cell r="V140">
            <v>119.04761904761905</v>
          </cell>
          <cell r="W140">
            <v>39</v>
          </cell>
          <cell r="X140">
            <v>547</v>
          </cell>
          <cell r="Y140">
            <v>18</v>
          </cell>
          <cell r="Z140">
            <v>16</v>
          </cell>
        </row>
        <row r="141">
          <cell r="A141">
            <v>9122237</v>
          </cell>
          <cell r="B141" t="str">
            <v>影袭·斩第2段</v>
          </cell>
          <cell r="C141" t="str">
            <v>影袭·斩第2段</v>
          </cell>
          <cell r="D141">
            <v>1</v>
          </cell>
          <cell r="E141">
            <v>60</v>
          </cell>
          <cell r="F141" t="str">
            <v>第37级，共造成163.1%点伤害</v>
          </cell>
          <cell r="G141">
            <v>2</v>
          </cell>
          <cell r="H141">
            <v>2</v>
          </cell>
          <cell r="I141">
            <v>37</v>
          </cell>
          <cell r="J141">
            <v>2</v>
          </cell>
          <cell r="K141">
            <v>163.0952380952381</v>
          </cell>
          <cell r="L141">
            <v>0</v>
          </cell>
          <cell r="M141">
            <v>5040</v>
          </cell>
          <cell r="N141">
            <v>99036</v>
          </cell>
          <cell r="O141">
            <v>2</v>
          </cell>
          <cell r="P141">
            <v>1</v>
          </cell>
          <cell r="Q141">
            <v>1</v>
          </cell>
          <cell r="R141">
            <v>4</v>
          </cell>
          <cell r="S141">
            <v>50</v>
          </cell>
          <cell r="T141">
            <v>119.04761904761905</v>
          </cell>
          <cell r="U141">
            <v>2358</v>
          </cell>
          <cell r="V141">
            <v>119.04761904761905</v>
          </cell>
          <cell r="W141">
            <v>42</v>
          </cell>
          <cell r="X141">
            <v>589</v>
          </cell>
          <cell r="Y141">
            <v>18</v>
          </cell>
          <cell r="Z141">
            <v>17</v>
          </cell>
        </row>
        <row r="142">
          <cell r="A142">
            <v>9122238</v>
          </cell>
          <cell r="B142" t="str">
            <v>影袭·斩第2段</v>
          </cell>
          <cell r="C142" t="str">
            <v>影袭·斩第2段</v>
          </cell>
          <cell r="D142">
            <v>1</v>
          </cell>
          <cell r="E142">
            <v>62</v>
          </cell>
          <cell r="F142" t="str">
            <v>第38级，共造成164.3%点伤害</v>
          </cell>
          <cell r="G142">
            <v>2</v>
          </cell>
          <cell r="H142">
            <v>2</v>
          </cell>
          <cell r="I142">
            <v>38</v>
          </cell>
          <cell r="J142">
            <v>2</v>
          </cell>
          <cell r="K142">
            <v>164.28571428571428</v>
          </cell>
          <cell r="L142">
            <v>0</v>
          </cell>
          <cell r="M142">
            <v>4960</v>
          </cell>
          <cell r="N142">
            <v>113580</v>
          </cell>
          <cell r="O142">
            <v>2</v>
          </cell>
          <cell r="P142">
            <v>1</v>
          </cell>
          <cell r="Q142">
            <v>1</v>
          </cell>
          <cell r="R142">
            <v>4</v>
          </cell>
          <cell r="S142">
            <v>50</v>
          </cell>
          <cell r="T142">
            <v>119.04761904761905</v>
          </cell>
          <cell r="U142">
            <v>2524</v>
          </cell>
          <cell r="V142">
            <v>119.04761904761905</v>
          </cell>
          <cell r="W142">
            <v>45</v>
          </cell>
          <cell r="X142">
            <v>634</v>
          </cell>
          <cell r="Y142">
            <v>18</v>
          </cell>
          <cell r="Z142">
            <v>18</v>
          </cell>
        </row>
        <row r="143">
          <cell r="A143">
            <v>9122239</v>
          </cell>
          <cell r="B143" t="str">
            <v>影袭·斩第2段</v>
          </cell>
          <cell r="C143" t="str">
            <v>影袭·斩第2段</v>
          </cell>
          <cell r="D143">
            <v>1</v>
          </cell>
          <cell r="E143">
            <v>63</v>
          </cell>
          <cell r="F143" t="str">
            <v>第39级，共造成165.5%点伤害</v>
          </cell>
          <cell r="G143">
            <v>2</v>
          </cell>
          <cell r="H143">
            <v>2</v>
          </cell>
          <cell r="I143">
            <v>39</v>
          </cell>
          <cell r="J143">
            <v>2</v>
          </cell>
          <cell r="K143">
            <v>165.47619047619048</v>
          </cell>
          <cell r="L143">
            <v>0</v>
          </cell>
          <cell r="M143">
            <v>4880</v>
          </cell>
          <cell r="N143">
            <v>125232</v>
          </cell>
          <cell r="O143">
            <v>2</v>
          </cell>
          <cell r="P143">
            <v>1</v>
          </cell>
          <cell r="Q143">
            <v>1</v>
          </cell>
          <cell r="R143">
            <v>4</v>
          </cell>
          <cell r="S143">
            <v>50</v>
          </cell>
          <cell r="T143">
            <v>119.04761904761905</v>
          </cell>
          <cell r="U143">
            <v>2609</v>
          </cell>
          <cell r="V143">
            <v>119.04761904761905</v>
          </cell>
          <cell r="W143">
            <v>48</v>
          </cell>
          <cell r="X143">
            <v>682</v>
          </cell>
          <cell r="Y143">
            <v>18</v>
          </cell>
          <cell r="Z143">
            <v>20</v>
          </cell>
        </row>
        <row r="144">
          <cell r="A144">
            <v>9122240</v>
          </cell>
          <cell r="B144" t="str">
            <v>影袭·斩第2段</v>
          </cell>
          <cell r="C144" t="str">
            <v>影袭·斩第2段</v>
          </cell>
          <cell r="D144">
            <v>1</v>
          </cell>
          <cell r="E144">
            <v>65</v>
          </cell>
          <cell r="F144" t="str">
            <v>第40级，共造成166.7%点伤害</v>
          </cell>
          <cell r="G144">
            <v>2</v>
          </cell>
          <cell r="H144">
            <v>2</v>
          </cell>
          <cell r="I144">
            <v>40</v>
          </cell>
          <cell r="J144">
            <v>2</v>
          </cell>
          <cell r="K144">
            <v>166.66666666666669</v>
          </cell>
          <cell r="L144">
            <v>0</v>
          </cell>
          <cell r="M144">
            <v>4800</v>
          </cell>
          <cell r="N144">
            <v>141933</v>
          </cell>
          <cell r="O144">
            <v>2</v>
          </cell>
          <cell r="P144">
            <v>1</v>
          </cell>
          <cell r="Q144">
            <v>1</v>
          </cell>
          <cell r="R144">
            <v>4</v>
          </cell>
          <cell r="S144">
            <v>50</v>
          </cell>
          <cell r="T144">
            <v>119.04761904761905</v>
          </cell>
          <cell r="U144">
            <v>2783</v>
          </cell>
          <cell r="V144">
            <v>119.04761904761905</v>
          </cell>
          <cell r="W144">
            <v>51</v>
          </cell>
          <cell r="X144">
            <v>733</v>
          </cell>
          <cell r="Y144">
            <v>18</v>
          </cell>
          <cell r="Z144">
            <v>21</v>
          </cell>
        </row>
        <row r="145">
          <cell r="A145">
            <v>9122241</v>
          </cell>
          <cell r="B145" t="str">
            <v>影袭·斩第2段</v>
          </cell>
          <cell r="C145" t="str">
            <v>影袭·斩第2段</v>
          </cell>
          <cell r="D145">
            <v>1</v>
          </cell>
          <cell r="E145">
            <v>66</v>
          </cell>
          <cell r="F145" t="str">
            <v>第41级，共造成167.9%点伤害</v>
          </cell>
          <cell r="G145">
            <v>2</v>
          </cell>
          <cell r="H145">
            <v>2</v>
          </cell>
          <cell r="I145">
            <v>41</v>
          </cell>
          <cell r="J145">
            <v>2</v>
          </cell>
          <cell r="K145">
            <v>167.85714285714286</v>
          </cell>
          <cell r="L145">
            <v>0</v>
          </cell>
          <cell r="M145">
            <v>4720</v>
          </cell>
          <cell r="N145">
            <v>157960</v>
          </cell>
          <cell r="O145">
            <v>2</v>
          </cell>
          <cell r="P145">
            <v>1</v>
          </cell>
          <cell r="Q145">
            <v>1</v>
          </cell>
          <cell r="R145">
            <v>4</v>
          </cell>
          <cell r="S145">
            <v>50</v>
          </cell>
          <cell r="T145">
            <v>119.04761904761905</v>
          </cell>
          <cell r="U145">
            <v>2872</v>
          </cell>
          <cell r="V145">
            <v>119.04761904761905</v>
          </cell>
          <cell r="W145">
            <v>55</v>
          </cell>
          <cell r="X145">
            <v>788</v>
          </cell>
          <cell r="Y145">
            <v>18</v>
          </cell>
          <cell r="Z145">
            <v>22</v>
          </cell>
        </row>
        <row r="146">
          <cell r="A146">
            <v>9122242</v>
          </cell>
          <cell r="B146" t="str">
            <v>影袭·斩第2段</v>
          </cell>
          <cell r="C146" t="str">
            <v>影袭·斩第2段</v>
          </cell>
          <cell r="D146">
            <v>1</v>
          </cell>
          <cell r="E146">
            <v>68</v>
          </cell>
          <cell r="F146" t="str">
            <v>第42级，共造成169%点伤害</v>
          </cell>
          <cell r="G146">
            <v>2</v>
          </cell>
          <cell r="H146">
            <v>2</v>
          </cell>
          <cell r="I146">
            <v>42</v>
          </cell>
          <cell r="J146">
            <v>2</v>
          </cell>
          <cell r="K146">
            <v>169.04761904761904</v>
          </cell>
          <cell r="L146">
            <v>0</v>
          </cell>
          <cell r="M146">
            <v>4640</v>
          </cell>
          <cell r="N146">
            <v>177132</v>
          </cell>
          <cell r="O146">
            <v>2</v>
          </cell>
          <cell r="P146">
            <v>1</v>
          </cell>
          <cell r="Q146">
            <v>1</v>
          </cell>
          <cell r="R146">
            <v>4</v>
          </cell>
          <cell r="S146">
            <v>50</v>
          </cell>
          <cell r="T146">
            <v>119.04761904761905</v>
          </cell>
          <cell r="U146">
            <v>3054</v>
          </cell>
          <cell r="V146">
            <v>119.04761904761905</v>
          </cell>
          <cell r="W146">
            <v>58</v>
          </cell>
          <cell r="X146">
            <v>846</v>
          </cell>
          <cell r="Y146">
            <v>18</v>
          </cell>
          <cell r="Z146">
            <v>24</v>
          </cell>
        </row>
        <row r="147">
          <cell r="A147">
            <v>9122243</v>
          </cell>
          <cell r="B147" t="str">
            <v>影袭·斩第2段</v>
          </cell>
          <cell r="C147" t="str">
            <v>影袭·斩第2段</v>
          </cell>
          <cell r="D147">
            <v>1</v>
          </cell>
          <cell r="E147">
            <v>69</v>
          </cell>
          <cell r="F147" t="str">
            <v>第43级，共造成170.2%点伤害</v>
          </cell>
          <cell r="G147">
            <v>2</v>
          </cell>
          <cell r="H147">
            <v>2</v>
          </cell>
          <cell r="I147">
            <v>43</v>
          </cell>
          <cell r="J147">
            <v>2</v>
          </cell>
          <cell r="K147">
            <v>170.23809523809524</v>
          </cell>
          <cell r="L147">
            <v>0</v>
          </cell>
          <cell r="M147">
            <v>4560</v>
          </cell>
          <cell r="N147">
            <v>198261</v>
          </cell>
          <cell r="O147">
            <v>2</v>
          </cell>
          <cell r="P147">
            <v>1</v>
          </cell>
          <cell r="Q147">
            <v>1</v>
          </cell>
          <cell r="R147">
            <v>4</v>
          </cell>
          <cell r="S147">
            <v>50</v>
          </cell>
          <cell r="T147">
            <v>119.04761904761905</v>
          </cell>
          <cell r="U147">
            <v>3147</v>
          </cell>
          <cell r="V147">
            <v>119.04761904761905</v>
          </cell>
          <cell r="W147">
            <v>63</v>
          </cell>
          <cell r="X147">
            <v>909</v>
          </cell>
          <cell r="Y147">
            <v>18</v>
          </cell>
          <cell r="Z147">
            <v>26</v>
          </cell>
        </row>
        <row r="148">
          <cell r="A148">
            <v>9122244</v>
          </cell>
          <cell r="B148" t="str">
            <v>影袭·斩第2段</v>
          </cell>
          <cell r="C148" t="str">
            <v>影袭·斩第2段</v>
          </cell>
          <cell r="D148">
            <v>1</v>
          </cell>
          <cell r="E148">
            <v>71</v>
          </cell>
          <cell r="F148" t="str">
            <v>第44级，共造成171.4%点伤害</v>
          </cell>
          <cell r="G148">
            <v>2</v>
          </cell>
          <cell r="H148">
            <v>2</v>
          </cell>
          <cell r="I148">
            <v>44</v>
          </cell>
          <cell r="J148">
            <v>2</v>
          </cell>
          <cell r="K148">
            <v>171.42857142857144</v>
          </cell>
          <cell r="L148">
            <v>0</v>
          </cell>
          <cell r="M148">
            <v>4480</v>
          </cell>
          <cell r="N148">
            <v>223646</v>
          </cell>
          <cell r="O148">
            <v>2</v>
          </cell>
          <cell r="P148">
            <v>1</v>
          </cell>
          <cell r="Q148">
            <v>1</v>
          </cell>
          <cell r="R148">
            <v>4</v>
          </cell>
          <cell r="S148">
            <v>50</v>
          </cell>
          <cell r="T148">
            <v>119.04761904761905</v>
          </cell>
          <cell r="U148">
            <v>3338</v>
          </cell>
          <cell r="V148">
            <v>119.04761904761905</v>
          </cell>
          <cell r="W148">
            <v>67</v>
          </cell>
          <cell r="X148">
            <v>976</v>
          </cell>
          <cell r="Y148">
            <v>18</v>
          </cell>
          <cell r="Z148">
            <v>27</v>
          </cell>
        </row>
        <row r="149">
          <cell r="A149">
            <v>9122245</v>
          </cell>
          <cell r="B149" t="str">
            <v>影袭·斩第2段</v>
          </cell>
          <cell r="C149" t="str">
            <v>影袭·斩第2段</v>
          </cell>
          <cell r="D149">
            <v>1</v>
          </cell>
          <cell r="E149">
            <v>72</v>
          </cell>
          <cell r="F149" t="str">
            <v>第45级，共造成172.6%点伤害</v>
          </cell>
          <cell r="G149">
            <v>2</v>
          </cell>
          <cell r="H149">
            <v>2</v>
          </cell>
          <cell r="I149">
            <v>45</v>
          </cell>
          <cell r="J149">
            <v>2</v>
          </cell>
          <cell r="K149">
            <v>172.61904761904762</v>
          </cell>
          <cell r="L149">
            <v>0</v>
          </cell>
          <cell r="M149">
            <v>4400</v>
          </cell>
          <cell r="N149">
            <v>247320</v>
          </cell>
          <cell r="O149">
            <v>2</v>
          </cell>
          <cell r="P149">
            <v>1</v>
          </cell>
          <cell r="Q149">
            <v>1</v>
          </cell>
          <cell r="R149">
            <v>4</v>
          </cell>
          <cell r="S149">
            <v>50</v>
          </cell>
          <cell r="T149">
            <v>119.04761904761905</v>
          </cell>
          <cell r="U149">
            <v>3435</v>
          </cell>
          <cell r="V149">
            <v>119.04761904761905</v>
          </cell>
          <cell r="W149">
            <v>72</v>
          </cell>
          <cell r="X149">
            <v>1048</v>
          </cell>
          <cell r="Y149">
            <v>18</v>
          </cell>
          <cell r="Z149">
            <v>29</v>
          </cell>
        </row>
        <row r="150">
          <cell r="A150">
            <v>9122246</v>
          </cell>
          <cell r="B150" t="str">
            <v>影袭·斩第2段</v>
          </cell>
          <cell r="C150" t="str">
            <v>影袭·斩第2段</v>
          </cell>
          <cell r="D150">
            <v>1</v>
          </cell>
          <cell r="E150">
            <v>74</v>
          </cell>
          <cell r="F150" t="str">
            <v>第46级，共造成173.8%点伤害</v>
          </cell>
          <cell r="G150">
            <v>2</v>
          </cell>
          <cell r="H150">
            <v>2</v>
          </cell>
          <cell r="I150">
            <v>46</v>
          </cell>
          <cell r="J150">
            <v>2</v>
          </cell>
          <cell r="K150">
            <v>173.8095238095238</v>
          </cell>
          <cell r="L150">
            <v>0</v>
          </cell>
          <cell r="M150">
            <v>4320</v>
          </cell>
          <cell r="N150">
            <v>279818</v>
          </cell>
          <cell r="O150">
            <v>2</v>
          </cell>
          <cell r="P150">
            <v>1</v>
          </cell>
          <cell r="Q150">
            <v>1</v>
          </cell>
          <cell r="R150">
            <v>4</v>
          </cell>
          <cell r="S150">
            <v>50</v>
          </cell>
          <cell r="T150">
            <v>119.04761904761905</v>
          </cell>
          <cell r="U150">
            <v>3634</v>
          </cell>
          <cell r="V150">
            <v>119.04761904761905</v>
          </cell>
          <cell r="W150">
            <v>77</v>
          </cell>
          <cell r="X150">
            <v>1125</v>
          </cell>
          <cell r="Y150">
            <v>18</v>
          </cell>
          <cell r="Z150">
            <v>31</v>
          </cell>
        </row>
        <row r="151">
          <cell r="A151">
            <v>9122247</v>
          </cell>
          <cell r="B151" t="str">
            <v>影袭·斩第2段</v>
          </cell>
          <cell r="C151" t="str">
            <v>影袭·斩第2段</v>
          </cell>
          <cell r="D151">
            <v>1</v>
          </cell>
          <cell r="E151">
            <v>75</v>
          </cell>
          <cell r="F151" t="str">
            <v>第47级，共造成175%点伤害</v>
          </cell>
          <cell r="G151">
            <v>2</v>
          </cell>
          <cell r="H151">
            <v>2</v>
          </cell>
          <cell r="I151">
            <v>47</v>
          </cell>
          <cell r="J151">
            <v>2</v>
          </cell>
          <cell r="K151">
            <v>175</v>
          </cell>
          <cell r="L151">
            <v>0</v>
          </cell>
          <cell r="M151">
            <v>4240</v>
          </cell>
          <cell r="N151">
            <v>306270</v>
          </cell>
          <cell r="O151">
            <v>2</v>
          </cell>
          <cell r="P151">
            <v>1</v>
          </cell>
          <cell r="Q151">
            <v>1</v>
          </cell>
          <cell r="R151">
            <v>4</v>
          </cell>
          <cell r="S151">
            <v>50</v>
          </cell>
          <cell r="T151">
            <v>119.04761904761905</v>
          </cell>
          <cell r="U151">
            <v>3735</v>
          </cell>
          <cell r="V151">
            <v>119.04761904761905</v>
          </cell>
          <cell r="W151">
            <v>82</v>
          </cell>
          <cell r="X151">
            <v>1207</v>
          </cell>
          <cell r="Y151">
            <v>18</v>
          </cell>
          <cell r="Z151">
            <v>33</v>
          </cell>
        </row>
        <row r="152">
          <cell r="A152">
            <v>9122248</v>
          </cell>
          <cell r="B152" t="str">
            <v>影袭·斩第2段</v>
          </cell>
          <cell r="C152" t="str">
            <v>影袭·斩第2段</v>
          </cell>
          <cell r="D152">
            <v>1</v>
          </cell>
          <cell r="E152">
            <v>77</v>
          </cell>
          <cell r="F152" t="str">
            <v>第48级，共造成176.2%点伤害</v>
          </cell>
          <cell r="G152">
            <v>2</v>
          </cell>
          <cell r="H152">
            <v>2</v>
          </cell>
          <cell r="I152">
            <v>48</v>
          </cell>
          <cell r="J152">
            <v>2</v>
          </cell>
          <cell r="K152">
            <v>176.1904761904762</v>
          </cell>
          <cell r="L152">
            <v>0</v>
          </cell>
          <cell r="M152">
            <v>4160</v>
          </cell>
          <cell r="N152">
            <v>346896</v>
          </cell>
          <cell r="O152">
            <v>2</v>
          </cell>
          <cell r="P152">
            <v>1</v>
          </cell>
          <cell r="Q152">
            <v>1</v>
          </cell>
          <cell r="R152">
            <v>4</v>
          </cell>
          <cell r="S152">
            <v>50</v>
          </cell>
          <cell r="T152">
            <v>119.04761904761905</v>
          </cell>
          <cell r="U152">
            <v>3942</v>
          </cell>
          <cell r="V152">
            <v>119.04761904761905</v>
          </cell>
          <cell r="W152">
            <v>88</v>
          </cell>
          <cell r="X152">
            <v>1295</v>
          </cell>
          <cell r="Y152">
            <v>18</v>
          </cell>
          <cell r="Z152">
            <v>36</v>
          </cell>
        </row>
        <row r="153">
          <cell r="A153">
            <v>9122249</v>
          </cell>
          <cell r="B153" t="str">
            <v>影袭·斩第2段</v>
          </cell>
          <cell r="C153" t="str">
            <v>影袭·斩第2段</v>
          </cell>
          <cell r="D153">
            <v>1</v>
          </cell>
          <cell r="E153">
            <v>78</v>
          </cell>
          <cell r="F153" t="str">
            <v>第49级，共造成177.4%点伤害</v>
          </cell>
          <cell r="G153">
            <v>2</v>
          </cell>
          <cell r="H153">
            <v>2</v>
          </cell>
          <cell r="I153">
            <v>49</v>
          </cell>
          <cell r="J153">
            <v>2</v>
          </cell>
          <cell r="K153">
            <v>177.38095238095238</v>
          </cell>
          <cell r="L153">
            <v>0</v>
          </cell>
          <cell r="M153">
            <v>4080</v>
          </cell>
          <cell r="N153">
            <v>380418</v>
          </cell>
          <cell r="O153">
            <v>2</v>
          </cell>
          <cell r="P153">
            <v>1</v>
          </cell>
          <cell r="Q153">
            <v>1</v>
          </cell>
          <cell r="R153">
            <v>4</v>
          </cell>
          <cell r="S153">
            <v>50</v>
          </cell>
          <cell r="T153">
            <v>119.04761904761905</v>
          </cell>
          <cell r="U153">
            <v>4047</v>
          </cell>
          <cell r="V153">
            <v>119.04761904761905</v>
          </cell>
          <cell r="W153">
            <v>94</v>
          </cell>
          <cell r="X153">
            <v>1389</v>
          </cell>
          <cell r="Y153">
            <v>18</v>
          </cell>
          <cell r="Z153">
            <v>38</v>
          </cell>
        </row>
        <row r="154">
          <cell r="A154">
            <v>9122250</v>
          </cell>
          <cell r="B154" t="str">
            <v>影袭·斩第2段</v>
          </cell>
          <cell r="C154" t="str">
            <v>影袭·斩第2段</v>
          </cell>
          <cell r="D154">
            <v>1</v>
          </cell>
          <cell r="E154">
            <v>80</v>
          </cell>
          <cell r="F154" t="str">
            <v>第50级，共造成178.6%点伤害</v>
          </cell>
          <cell r="G154">
            <v>2</v>
          </cell>
          <cell r="H154">
            <v>2</v>
          </cell>
          <cell r="I154">
            <v>50</v>
          </cell>
          <cell r="J154">
            <v>2</v>
          </cell>
          <cell r="K154">
            <v>178.57142857142858</v>
          </cell>
          <cell r="L154">
            <v>0</v>
          </cell>
          <cell r="M154">
            <v>4000</v>
          </cell>
          <cell r="N154">
            <v>430462</v>
          </cell>
          <cell r="O154">
            <v>2</v>
          </cell>
          <cell r="P154">
            <v>1</v>
          </cell>
          <cell r="Q154">
            <v>1</v>
          </cell>
          <cell r="R154">
            <v>4</v>
          </cell>
          <cell r="S154">
            <v>50</v>
          </cell>
          <cell r="T154">
            <v>119.04761904761905</v>
          </cell>
          <cell r="U154">
            <v>4262</v>
          </cell>
          <cell r="V154">
            <v>119.04761904761905</v>
          </cell>
          <cell r="W154">
            <v>101</v>
          </cell>
          <cell r="X154">
            <v>1490</v>
          </cell>
          <cell r="Y154">
            <v>18</v>
          </cell>
          <cell r="Z154">
            <v>41</v>
          </cell>
        </row>
        <row r="155">
          <cell r="A155">
            <v>1</v>
          </cell>
          <cell r="B155" t="str">
            <v>影袭·斩</v>
          </cell>
          <cell r="C155" t="str">
            <v>影袭·斩第3段</v>
          </cell>
          <cell r="D155">
            <v>1</v>
          </cell>
          <cell r="E155">
            <v>4</v>
          </cell>
          <cell r="F155" t="str">
            <v>第0级，共造成119%点伤害</v>
          </cell>
          <cell r="G155">
            <v>0</v>
          </cell>
          <cell r="H155">
            <v>3</v>
          </cell>
          <cell r="I155">
            <v>0</v>
          </cell>
          <cell r="J155">
            <v>2</v>
          </cell>
          <cell r="K155">
            <v>119.04761904761905</v>
          </cell>
          <cell r="L155">
            <v>0</v>
          </cell>
          <cell r="M155">
            <v>8000</v>
          </cell>
          <cell r="N155">
            <v>0</v>
          </cell>
          <cell r="O155">
            <v>2</v>
          </cell>
          <cell r="P155">
            <v>1</v>
          </cell>
          <cell r="Q155">
            <v>1</v>
          </cell>
          <cell r="R155">
            <v>7</v>
          </cell>
          <cell r="S155">
            <v>50</v>
          </cell>
          <cell r="T155">
            <v>119.04761904761905</v>
          </cell>
          <cell r="U155">
            <v>68</v>
          </cell>
          <cell r="V155">
            <v>119.04761904761905</v>
          </cell>
          <cell r="W155">
            <v>0</v>
          </cell>
          <cell r="X155">
            <v>0</v>
          </cell>
          <cell r="Y155">
            <v>18</v>
          </cell>
          <cell r="Z155">
            <v>0</v>
          </cell>
        </row>
        <row r="156">
          <cell r="A156">
            <v>9122301</v>
          </cell>
          <cell r="B156" t="str">
            <v>影袭·斩第3段</v>
          </cell>
          <cell r="C156" t="str">
            <v>影袭·斩第3段</v>
          </cell>
          <cell r="D156">
            <v>1</v>
          </cell>
          <cell r="E156">
            <v>4</v>
          </cell>
          <cell r="F156" t="str">
            <v>第1级，共造成119%点伤害</v>
          </cell>
          <cell r="G156">
            <v>3</v>
          </cell>
          <cell r="H156">
            <v>3</v>
          </cell>
          <cell r="I156">
            <v>1</v>
          </cell>
          <cell r="J156">
            <v>2</v>
          </cell>
          <cell r="K156">
            <v>119.04761904761905</v>
          </cell>
          <cell r="L156">
            <v>0</v>
          </cell>
          <cell r="M156">
            <v>8000</v>
          </cell>
          <cell r="N156">
            <v>272</v>
          </cell>
          <cell r="O156">
            <v>2</v>
          </cell>
          <cell r="P156">
            <v>1</v>
          </cell>
          <cell r="Q156">
            <v>1</v>
          </cell>
          <cell r="R156">
            <v>7</v>
          </cell>
          <cell r="S156">
            <v>50</v>
          </cell>
          <cell r="T156">
            <v>119.04761904761905</v>
          </cell>
          <cell r="U156">
            <v>68</v>
          </cell>
          <cell r="V156">
            <v>119.04761904761905</v>
          </cell>
          <cell r="W156">
            <v>4</v>
          </cell>
          <cell r="X156">
            <v>4</v>
          </cell>
          <cell r="Y156">
            <v>18</v>
          </cell>
          <cell r="Z156">
            <v>0</v>
          </cell>
        </row>
        <row r="157">
          <cell r="A157">
            <v>9122302</v>
          </cell>
          <cell r="B157" t="str">
            <v>影袭·斩第3段</v>
          </cell>
          <cell r="C157" t="str">
            <v>影袭·斩第3段</v>
          </cell>
          <cell r="D157">
            <v>1</v>
          </cell>
          <cell r="E157">
            <v>10</v>
          </cell>
          <cell r="F157" t="str">
            <v>第2级，共造成121.4%点伤害</v>
          </cell>
          <cell r="G157">
            <v>3</v>
          </cell>
          <cell r="H157">
            <v>3</v>
          </cell>
          <cell r="I157">
            <v>2</v>
          </cell>
          <cell r="J157">
            <v>2</v>
          </cell>
          <cell r="K157">
            <v>121.42857142857143</v>
          </cell>
          <cell r="L157">
            <v>0</v>
          </cell>
          <cell r="M157">
            <v>7840</v>
          </cell>
          <cell r="N157">
            <v>416</v>
          </cell>
          <cell r="O157">
            <v>2</v>
          </cell>
          <cell r="P157">
            <v>1</v>
          </cell>
          <cell r="Q157">
            <v>1</v>
          </cell>
          <cell r="R157">
            <v>7</v>
          </cell>
          <cell r="S157">
            <v>50</v>
          </cell>
          <cell r="T157">
            <v>119.04761904761905</v>
          </cell>
          <cell r="U157">
            <v>104</v>
          </cell>
          <cell r="V157">
            <v>119.04761904761905</v>
          </cell>
          <cell r="W157">
            <v>4</v>
          </cell>
          <cell r="X157">
            <v>8</v>
          </cell>
          <cell r="Y157">
            <v>18</v>
          </cell>
          <cell r="Z157">
            <v>0</v>
          </cell>
        </row>
        <row r="158">
          <cell r="A158">
            <v>9122303</v>
          </cell>
          <cell r="B158" t="str">
            <v>影袭·斩第3段</v>
          </cell>
          <cell r="C158" t="str">
            <v>影袭·斩第3段</v>
          </cell>
          <cell r="D158">
            <v>1</v>
          </cell>
          <cell r="E158">
            <v>11</v>
          </cell>
          <cell r="F158" t="str">
            <v>第3级，共造成122.6%点伤害</v>
          </cell>
          <cell r="G158">
            <v>3</v>
          </cell>
          <cell r="H158">
            <v>3</v>
          </cell>
          <cell r="I158">
            <v>3</v>
          </cell>
          <cell r="J158">
            <v>2</v>
          </cell>
          <cell r="K158">
            <v>122.61904761904762</v>
          </cell>
          <cell r="L158">
            <v>0</v>
          </cell>
          <cell r="M158">
            <v>7760</v>
          </cell>
          <cell r="N158">
            <v>440</v>
          </cell>
          <cell r="O158">
            <v>2</v>
          </cell>
          <cell r="P158">
            <v>1</v>
          </cell>
          <cell r="Q158">
            <v>1</v>
          </cell>
          <cell r="R158">
            <v>7</v>
          </cell>
          <cell r="S158">
            <v>50</v>
          </cell>
          <cell r="T158">
            <v>119.04761904761905</v>
          </cell>
          <cell r="U158">
            <v>110</v>
          </cell>
          <cell r="V158">
            <v>119.04761904761905</v>
          </cell>
          <cell r="W158">
            <v>4</v>
          </cell>
          <cell r="X158">
            <v>12</v>
          </cell>
          <cell r="Y158">
            <v>18</v>
          </cell>
          <cell r="Z158">
            <v>0</v>
          </cell>
        </row>
        <row r="159">
          <cell r="A159">
            <v>9122304</v>
          </cell>
          <cell r="B159" t="str">
            <v>影袭·斩第3段</v>
          </cell>
          <cell r="C159" t="str">
            <v>影袭·斩第3段</v>
          </cell>
          <cell r="D159">
            <v>1</v>
          </cell>
          <cell r="E159">
            <v>13</v>
          </cell>
          <cell r="F159" t="str">
            <v>第4级，共造成123.8%点伤害</v>
          </cell>
          <cell r="G159">
            <v>3</v>
          </cell>
          <cell r="H159">
            <v>3</v>
          </cell>
          <cell r="I159">
            <v>4</v>
          </cell>
          <cell r="J159">
            <v>2</v>
          </cell>
          <cell r="K159">
            <v>123.80952380952381</v>
          </cell>
          <cell r="L159">
            <v>0</v>
          </cell>
          <cell r="M159">
            <v>7680</v>
          </cell>
          <cell r="N159">
            <v>610</v>
          </cell>
          <cell r="O159">
            <v>2</v>
          </cell>
          <cell r="P159">
            <v>1</v>
          </cell>
          <cell r="Q159">
            <v>1</v>
          </cell>
          <cell r="R159">
            <v>7</v>
          </cell>
          <cell r="S159">
            <v>50</v>
          </cell>
          <cell r="T159">
            <v>119.04761904761905</v>
          </cell>
          <cell r="U159">
            <v>122</v>
          </cell>
          <cell r="V159">
            <v>119.04761904761905</v>
          </cell>
          <cell r="W159">
            <v>5</v>
          </cell>
          <cell r="X159">
            <v>17</v>
          </cell>
          <cell r="Y159">
            <v>18</v>
          </cell>
          <cell r="Z159">
            <v>0</v>
          </cell>
        </row>
        <row r="160">
          <cell r="A160">
            <v>9122305</v>
          </cell>
          <cell r="B160" t="str">
            <v>影袭·斩第3段</v>
          </cell>
          <cell r="C160" t="str">
            <v>影袭·斩第3段</v>
          </cell>
          <cell r="D160">
            <v>1</v>
          </cell>
          <cell r="E160">
            <v>14</v>
          </cell>
          <cell r="F160" t="str">
            <v>第5级，共造成125%点伤害</v>
          </cell>
          <cell r="G160">
            <v>3</v>
          </cell>
          <cell r="H160">
            <v>3</v>
          </cell>
          <cell r="I160">
            <v>5</v>
          </cell>
          <cell r="J160">
            <v>2</v>
          </cell>
          <cell r="K160">
            <v>125</v>
          </cell>
          <cell r="L160">
            <v>0</v>
          </cell>
          <cell r="M160">
            <v>7600</v>
          </cell>
          <cell r="N160">
            <v>640</v>
          </cell>
          <cell r="O160">
            <v>2</v>
          </cell>
          <cell r="P160">
            <v>1</v>
          </cell>
          <cell r="Q160">
            <v>1</v>
          </cell>
          <cell r="R160">
            <v>7</v>
          </cell>
          <cell r="S160">
            <v>50</v>
          </cell>
          <cell r="T160">
            <v>119.04761904761905</v>
          </cell>
          <cell r="U160">
            <v>128</v>
          </cell>
          <cell r="V160">
            <v>119.04761904761905</v>
          </cell>
          <cell r="W160">
            <v>5</v>
          </cell>
          <cell r="X160">
            <v>22</v>
          </cell>
          <cell r="Y160">
            <v>18</v>
          </cell>
          <cell r="Z160">
            <v>0</v>
          </cell>
        </row>
        <row r="161">
          <cell r="A161">
            <v>9122306</v>
          </cell>
          <cell r="B161" t="str">
            <v>影袭·斩第3段</v>
          </cell>
          <cell r="C161" t="str">
            <v>影袭·斩第3段</v>
          </cell>
          <cell r="D161">
            <v>1</v>
          </cell>
          <cell r="E161">
            <v>16</v>
          </cell>
          <cell r="F161" t="str">
            <v>第6级，共造成126.2%点伤害</v>
          </cell>
          <cell r="G161">
            <v>3</v>
          </cell>
          <cell r="H161">
            <v>3</v>
          </cell>
          <cell r="I161">
            <v>6</v>
          </cell>
          <cell r="J161">
            <v>2</v>
          </cell>
          <cell r="K161">
            <v>126.19047619047619</v>
          </cell>
          <cell r="L161">
            <v>0</v>
          </cell>
          <cell r="M161">
            <v>7520</v>
          </cell>
          <cell r="N161">
            <v>700</v>
          </cell>
          <cell r="O161">
            <v>2</v>
          </cell>
          <cell r="P161">
            <v>1</v>
          </cell>
          <cell r="Q161">
            <v>1</v>
          </cell>
          <cell r="R161">
            <v>7</v>
          </cell>
          <cell r="S161">
            <v>50</v>
          </cell>
          <cell r="T161">
            <v>119.04761904761905</v>
          </cell>
          <cell r="U161">
            <v>140</v>
          </cell>
          <cell r="V161">
            <v>119.04761904761905</v>
          </cell>
          <cell r="W161">
            <v>5</v>
          </cell>
          <cell r="X161">
            <v>27</v>
          </cell>
          <cell r="Y161">
            <v>18</v>
          </cell>
          <cell r="Z161">
            <v>0</v>
          </cell>
        </row>
        <row r="162">
          <cell r="A162">
            <v>9122307</v>
          </cell>
          <cell r="B162" t="str">
            <v>影袭·斩第3段</v>
          </cell>
          <cell r="C162" t="str">
            <v>影袭·斩第3段</v>
          </cell>
          <cell r="D162">
            <v>1</v>
          </cell>
          <cell r="E162">
            <v>17</v>
          </cell>
          <cell r="F162" t="str">
            <v>第7级，共造成127.4%点伤害</v>
          </cell>
          <cell r="G162">
            <v>3</v>
          </cell>
          <cell r="H162">
            <v>3</v>
          </cell>
          <cell r="I162">
            <v>7</v>
          </cell>
          <cell r="J162">
            <v>2</v>
          </cell>
          <cell r="K162">
            <v>127.38095238095238</v>
          </cell>
          <cell r="L162">
            <v>0</v>
          </cell>
          <cell r="M162">
            <v>7440</v>
          </cell>
          <cell r="N162">
            <v>730</v>
          </cell>
          <cell r="O162">
            <v>2</v>
          </cell>
          <cell r="P162">
            <v>1</v>
          </cell>
          <cell r="Q162">
            <v>1</v>
          </cell>
          <cell r="R162">
            <v>7</v>
          </cell>
          <cell r="S162">
            <v>50</v>
          </cell>
          <cell r="T162">
            <v>119.04761904761905</v>
          </cell>
          <cell r="U162">
            <v>146</v>
          </cell>
          <cell r="V162">
            <v>119.04761904761905</v>
          </cell>
          <cell r="W162">
            <v>5</v>
          </cell>
          <cell r="X162">
            <v>32</v>
          </cell>
          <cell r="Y162">
            <v>18</v>
          </cell>
          <cell r="Z162">
            <v>0</v>
          </cell>
        </row>
        <row r="163">
          <cell r="A163">
            <v>9122308</v>
          </cell>
          <cell r="B163" t="str">
            <v>影袭·斩第3段</v>
          </cell>
          <cell r="C163" t="str">
            <v>影袭·斩第3段</v>
          </cell>
          <cell r="D163">
            <v>1</v>
          </cell>
          <cell r="E163">
            <v>19</v>
          </cell>
          <cell r="F163" t="str">
            <v>第8级，共造成128.6%点伤害</v>
          </cell>
          <cell r="G163">
            <v>3</v>
          </cell>
          <cell r="H163">
            <v>3</v>
          </cell>
          <cell r="I163">
            <v>8</v>
          </cell>
          <cell r="J163">
            <v>2</v>
          </cell>
          <cell r="K163">
            <v>128.57142857142858</v>
          </cell>
          <cell r="L163">
            <v>0</v>
          </cell>
          <cell r="M163">
            <v>7360</v>
          </cell>
          <cell r="N163">
            <v>948</v>
          </cell>
          <cell r="O163">
            <v>2</v>
          </cell>
          <cell r="P163">
            <v>1</v>
          </cell>
          <cell r="Q163">
            <v>1</v>
          </cell>
          <cell r="R163">
            <v>7</v>
          </cell>
          <cell r="S163">
            <v>50</v>
          </cell>
          <cell r="T163">
            <v>119.04761904761905</v>
          </cell>
          <cell r="U163">
            <v>158</v>
          </cell>
          <cell r="V163">
            <v>119.04761904761905</v>
          </cell>
          <cell r="W163">
            <v>6</v>
          </cell>
          <cell r="X163">
            <v>38</v>
          </cell>
          <cell r="Y163">
            <v>18</v>
          </cell>
          <cell r="Z163">
            <v>0</v>
          </cell>
        </row>
        <row r="164">
          <cell r="A164">
            <v>9122309</v>
          </cell>
          <cell r="B164" t="str">
            <v>影袭·斩第3段</v>
          </cell>
          <cell r="C164" t="str">
            <v>影袭·斩第3段</v>
          </cell>
          <cell r="D164">
            <v>1</v>
          </cell>
          <cell r="E164">
            <v>20</v>
          </cell>
          <cell r="F164" t="str">
            <v>第9级，共造成129.8%点伤害</v>
          </cell>
          <cell r="G164">
            <v>3</v>
          </cell>
          <cell r="H164">
            <v>3</v>
          </cell>
          <cell r="I164">
            <v>9</v>
          </cell>
          <cell r="J164">
            <v>2</v>
          </cell>
          <cell r="K164">
            <v>129.76190476190476</v>
          </cell>
          <cell r="L164">
            <v>0</v>
          </cell>
          <cell r="M164">
            <v>7280</v>
          </cell>
          <cell r="N164">
            <v>1092</v>
          </cell>
          <cell r="O164">
            <v>2</v>
          </cell>
          <cell r="P164">
            <v>1</v>
          </cell>
          <cell r="Q164">
            <v>1</v>
          </cell>
          <cell r="R164">
            <v>7</v>
          </cell>
          <cell r="S164">
            <v>50</v>
          </cell>
          <cell r="T164">
            <v>119.04761904761905</v>
          </cell>
          <cell r="U164">
            <v>182</v>
          </cell>
          <cell r="V164">
            <v>119.04761904761905</v>
          </cell>
          <cell r="W164">
            <v>6</v>
          </cell>
          <cell r="X164">
            <v>44</v>
          </cell>
          <cell r="Y164">
            <v>18</v>
          </cell>
          <cell r="Z164">
            <v>0</v>
          </cell>
        </row>
        <row r="165">
          <cell r="A165">
            <v>9122310</v>
          </cell>
          <cell r="B165" t="str">
            <v>影袭·斩第3段</v>
          </cell>
          <cell r="C165" t="str">
            <v>影袭·斩第3段</v>
          </cell>
          <cell r="D165">
            <v>1</v>
          </cell>
          <cell r="E165">
            <v>22</v>
          </cell>
          <cell r="F165" t="str">
            <v>第10级，共造成131%点伤害</v>
          </cell>
          <cell r="G165">
            <v>3</v>
          </cell>
          <cell r="H165">
            <v>3</v>
          </cell>
          <cell r="I165">
            <v>10</v>
          </cell>
          <cell r="J165">
            <v>2</v>
          </cell>
          <cell r="K165">
            <v>130.95238095238096</v>
          </cell>
          <cell r="L165">
            <v>0</v>
          </cell>
          <cell r="M165">
            <v>7200</v>
          </cell>
          <cell r="N165">
            <v>1673</v>
          </cell>
          <cell r="O165">
            <v>2</v>
          </cell>
          <cell r="P165">
            <v>1</v>
          </cell>
          <cell r="Q165">
            <v>1</v>
          </cell>
          <cell r="R165">
            <v>7</v>
          </cell>
          <cell r="S165">
            <v>50</v>
          </cell>
          <cell r="T165">
            <v>119.04761904761905</v>
          </cell>
          <cell r="U165">
            <v>239</v>
          </cell>
          <cell r="V165">
            <v>119.04761904761905</v>
          </cell>
          <cell r="W165">
            <v>7</v>
          </cell>
          <cell r="X165">
            <v>51</v>
          </cell>
          <cell r="Y165">
            <v>18</v>
          </cell>
          <cell r="Z165">
            <v>0</v>
          </cell>
        </row>
        <row r="166">
          <cell r="A166">
            <v>9122311</v>
          </cell>
          <cell r="B166" t="str">
            <v>影袭·斩第3段</v>
          </cell>
          <cell r="C166" t="str">
            <v>影袭·斩第3段</v>
          </cell>
          <cell r="D166">
            <v>1</v>
          </cell>
          <cell r="E166">
            <v>23</v>
          </cell>
          <cell r="F166" t="str">
            <v>第11级，共造成132.1%点伤害</v>
          </cell>
          <cell r="G166">
            <v>3</v>
          </cell>
          <cell r="H166">
            <v>3</v>
          </cell>
          <cell r="I166">
            <v>11</v>
          </cell>
          <cell r="J166">
            <v>2</v>
          </cell>
          <cell r="K166">
            <v>132.14285714285714</v>
          </cell>
          <cell r="L166">
            <v>0</v>
          </cell>
          <cell r="M166">
            <v>7120</v>
          </cell>
          <cell r="N166">
            <v>1890</v>
          </cell>
          <cell r="O166">
            <v>2</v>
          </cell>
          <cell r="P166">
            <v>1</v>
          </cell>
          <cell r="Q166">
            <v>1</v>
          </cell>
          <cell r="R166">
            <v>7</v>
          </cell>
          <cell r="S166">
            <v>50</v>
          </cell>
          <cell r="T166">
            <v>119.04761904761905</v>
          </cell>
          <cell r="U166">
            <v>270</v>
          </cell>
          <cell r="V166">
            <v>119.04761904761905</v>
          </cell>
          <cell r="W166">
            <v>7</v>
          </cell>
          <cell r="X166">
            <v>58</v>
          </cell>
          <cell r="Y166">
            <v>18</v>
          </cell>
          <cell r="Z166">
            <v>0</v>
          </cell>
        </row>
        <row r="167">
          <cell r="A167">
            <v>9122312</v>
          </cell>
          <cell r="B167" t="str">
            <v>影袭·斩第3段</v>
          </cell>
          <cell r="C167" t="str">
            <v>影袭·斩第3段</v>
          </cell>
          <cell r="D167">
            <v>1</v>
          </cell>
          <cell r="E167">
            <v>25</v>
          </cell>
          <cell r="F167" t="str">
            <v>第12级，共造成133.3%点伤害</v>
          </cell>
          <cell r="G167">
            <v>3</v>
          </cell>
          <cell r="H167">
            <v>3</v>
          </cell>
          <cell r="I167">
            <v>12</v>
          </cell>
          <cell r="J167">
            <v>2</v>
          </cell>
          <cell r="K167">
            <v>133.33333333333334</v>
          </cell>
          <cell r="L167">
            <v>0</v>
          </cell>
          <cell r="M167">
            <v>7040</v>
          </cell>
          <cell r="N167">
            <v>2680</v>
          </cell>
          <cell r="O167">
            <v>2</v>
          </cell>
          <cell r="P167">
            <v>1</v>
          </cell>
          <cell r="Q167">
            <v>1</v>
          </cell>
          <cell r="R167">
            <v>7</v>
          </cell>
          <cell r="S167">
            <v>50</v>
          </cell>
          <cell r="T167">
            <v>119.04761904761905</v>
          </cell>
          <cell r="U167">
            <v>335</v>
          </cell>
          <cell r="V167">
            <v>119.04761904761905</v>
          </cell>
          <cell r="W167">
            <v>8</v>
          </cell>
          <cell r="X167">
            <v>66</v>
          </cell>
          <cell r="Y167">
            <v>18</v>
          </cell>
          <cell r="Z167">
            <v>0</v>
          </cell>
        </row>
        <row r="168">
          <cell r="A168">
            <v>9122313</v>
          </cell>
          <cell r="B168" t="str">
            <v>影袭·斩第3段</v>
          </cell>
          <cell r="C168" t="str">
            <v>影袭·斩第3段</v>
          </cell>
          <cell r="D168">
            <v>1</v>
          </cell>
          <cell r="E168">
            <v>26</v>
          </cell>
          <cell r="F168" t="str">
            <v>第13级，共造成134.5%点伤害</v>
          </cell>
          <cell r="G168">
            <v>3</v>
          </cell>
          <cell r="H168">
            <v>3</v>
          </cell>
          <cell r="I168">
            <v>13</v>
          </cell>
          <cell r="J168">
            <v>2</v>
          </cell>
          <cell r="K168">
            <v>134.52380952380952</v>
          </cell>
          <cell r="L168">
            <v>0</v>
          </cell>
          <cell r="M168">
            <v>6960</v>
          </cell>
          <cell r="N168">
            <v>2960</v>
          </cell>
          <cell r="O168">
            <v>2</v>
          </cell>
          <cell r="P168">
            <v>1</v>
          </cell>
          <cell r="Q168">
            <v>1</v>
          </cell>
          <cell r="R168">
            <v>7</v>
          </cell>
          <cell r="S168">
            <v>50</v>
          </cell>
          <cell r="T168">
            <v>119.04761904761905</v>
          </cell>
          <cell r="U168">
            <v>370</v>
          </cell>
          <cell r="V168">
            <v>119.04761904761905</v>
          </cell>
          <cell r="W168">
            <v>8</v>
          </cell>
          <cell r="X168">
            <v>74</v>
          </cell>
          <cell r="Y168">
            <v>18</v>
          </cell>
          <cell r="Z168">
            <v>0</v>
          </cell>
        </row>
        <row r="169">
          <cell r="A169">
            <v>9122314</v>
          </cell>
          <cell r="B169" t="str">
            <v>影袭·斩第3段</v>
          </cell>
          <cell r="C169" t="str">
            <v>影袭·斩第3段</v>
          </cell>
          <cell r="D169">
            <v>1</v>
          </cell>
          <cell r="E169">
            <v>27</v>
          </cell>
          <cell r="F169" t="str">
            <v>第14级，共造成135.7%点伤害</v>
          </cell>
          <cell r="G169">
            <v>3</v>
          </cell>
          <cell r="H169">
            <v>3</v>
          </cell>
          <cell r="I169">
            <v>14</v>
          </cell>
          <cell r="J169">
            <v>2</v>
          </cell>
          <cell r="K169">
            <v>135.71428571428572</v>
          </cell>
          <cell r="L169">
            <v>0</v>
          </cell>
          <cell r="M169">
            <v>6880</v>
          </cell>
          <cell r="N169">
            <v>3654</v>
          </cell>
          <cell r="O169">
            <v>2</v>
          </cell>
          <cell r="P169">
            <v>1</v>
          </cell>
          <cell r="Q169">
            <v>1</v>
          </cell>
          <cell r="R169">
            <v>7</v>
          </cell>
          <cell r="S169">
            <v>50</v>
          </cell>
          <cell r="T169">
            <v>119.04761904761905</v>
          </cell>
          <cell r="U169">
            <v>406</v>
          </cell>
          <cell r="V169">
            <v>119.04761904761905</v>
          </cell>
          <cell r="W169">
            <v>9</v>
          </cell>
          <cell r="X169">
            <v>83</v>
          </cell>
          <cell r="Y169">
            <v>18</v>
          </cell>
          <cell r="Z169">
            <v>0</v>
          </cell>
        </row>
        <row r="170">
          <cell r="A170">
            <v>9122315</v>
          </cell>
          <cell r="B170" t="str">
            <v>影袭·斩第3段</v>
          </cell>
          <cell r="C170" t="str">
            <v>影袭·斩第3段</v>
          </cell>
          <cell r="D170">
            <v>1</v>
          </cell>
          <cell r="E170">
            <v>29</v>
          </cell>
          <cell r="F170" t="str">
            <v>第15级，共造成136.9%点伤害</v>
          </cell>
          <cell r="G170">
            <v>3</v>
          </cell>
          <cell r="H170">
            <v>3</v>
          </cell>
          <cell r="I170">
            <v>15</v>
          </cell>
          <cell r="J170">
            <v>2</v>
          </cell>
          <cell r="K170">
            <v>136.9047619047619</v>
          </cell>
          <cell r="L170">
            <v>0</v>
          </cell>
          <cell r="M170">
            <v>6800</v>
          </cell>
          <cell r="N170">
            <v>4820</v>
          </cell>
          <cell r="O170">
            <v>2</v>
          </cell>
          <cell r="P170">
            <v>1</v>
          </cell>
          <cell r="Q170">
            <v>1</v>
          </cell>
          <cell r="R170">
            <v>7</v>
          </cell>
          <cell r="S170">
            <v>50</v>
          </cell>
          <cell r="T170">
            <v>119.04761904761905</v>
          </cell>
          <cell r="U170">
            <v>482</v>
          </cell>
          <cell r="V170">
            <v>119.04761904761905</v>
          </cell>
          <cell r="W170">
            <v>10</v>
          </cell>
          <cell r="X170">
            <v>93</v>
          </cell>
          <cell r="Y170">
            <v>18</v>
          </cell>
          <cell r="Z170">
            <v>0</v>
          </cell>
        </row>
        <row r="171">
          <cell r="A171">
            <v>9122316</v>
          </cell>
          <cell r="B171" t="str">
            <v>影袭·斩第3段</v>
          </cell>
          <cell r="C171" t="str">
            <v>影袭·斩第3段</v>
          </cell>
          <cell r="D171">
            <v>1</v>
          </cell>
          <cell r="E171">
            <v>30</v>
          </cell>
          <cell r="F171" t="str">
            <v>第16级，共造成138.1%点伤害</v>
          </cell>
          <cell r="G171">
            <v>3</v>
          </cell>
          <cell r="H171">
            <v>3</v>
          </cell>
          <cell r="I171">
            <v>16</v>
          </cell>
          <cell r="J171">
            <v>2</v>
          </cell>
          <cell r="K171">
            <v>138.0952380952381</v>
          </cell>
          <cell r="L171">
            <v>0</v>
          </cell>
          <cell r="M171">
            <v>6720</v>
          </cell>
          <cell r="N171">
            <v>5220</v>
          </cell>
          <cell r="O171">
            <v>2</v>
          </cell>
          <cell r="P171">
            <v>1</v>
          </cell>
          <cell r="Q171">
            <v>1</v>
          </cell>
          <cell r="R171">
            <v>7</v>
          </cell>
          <cell r="S171">
            <v>50</v>
          </cell>
          <cell r="T171">
            <v>119.04761904761905</v>
          </cell>
          <cell r="U171">
            <v>522</v>
          </cell>
          <cell r="V171">
            <v>119.04761904761905</v>
          </cell>
          <cell r="W171">
            <v>10</v>
          </cell>
          <cell r="X171">
            <v>103</v>
          </cell>
          <cell r="Y171">
            <v>18</v>
          </cell>
          <cell r="Z171">
            <v>0</v>
          </cell>
        </row>
        <row r="172">
          <cell r="A172">
            <v>9122317</v>
          </cell>
          <cell r="B172" t="str">
            <v>影袭·斩第3段</v>
          </cell>
          <cell r="C172" t="str">
            <v>影袭·斩第3段</v>
          </cell>
          <cell r="D172">
            <v>1</v>
          </cell>
          <cell r="E172">
            <v>32</v>
          </cell>
          <cell r="F172" t="str">
            <v>第17级，共造成139.3%点伤害</v>
          </cell>
          <cell r="G172">
            <v>3</v>
          </cell>
          <cell r="H172">
            <v>3</v>
          </cell>
          <cell r="I172">
            <v>17</v>
          </cell>
          <cell r="J172">
            <v>2</v>
          </cell>
          <cell r="K172">
            <v>139.28571428571428</v>
          </cell>
          <cell r="L172">
            <v>0</v>
          </cell>
          <cell r="M172">
            <v>6640</v>
          </cell>
          <cell r="N172">
            <v>6666</v>
          </cell>
          <cell r="O172">
            <v>2</v>
          </cell>
          <cell r="P172">
            <v>1</v>
          </cell>
          <cell r="Q172">
            <v>1</v>
          </cell>
          <cell r="R172">
            <v>7</v>
          </cell>
          <cell r="S172">
            <v>50</v>
          </cell>
          <cell r="T172">
            <v>119.04761904761905</v>
          </cell>
          <cell r="U172">
            <v>606</v>
          </cell>
          <cell r="V172">
            <v>119.04761904761905</v>
          </cell>
          <cell r="W172">
            <v>11</v>
          </cell>
          <cell r="X172">
            <v>114</v>
          </cell>
          <cell r="Y172">
            <v>18</v>
          </cell>
          <cell r="Z172">
            <v>0</v>
          </cell>
        </row>
        <row r="173">
          <cell r="A173">
            <v>9122318</v>
          </cell>
          <cell r="B173" t="str">
            <v>影袭·斩第3段</v>
          </cell>
          <cell r="C173" t="str">
            <v>影袭·斩第3段</v>
          </cell>
          <cell r="D173">
            <v>1</v>
          </cell>
          <cell r="E173">
            <v>33</v>
          </cell>
          <cell r="F173" t="str">
            <v>第18级，共造成140.5%点伤害</v>
          </cell>
          <cell r="G173">
            <v>3</v>
          </cell>
          <cell r="H173">
            <v>3</v>
          </cell>
          <cell r="I173">
            <v>18</v>
          </cell>
          <cell r="J173">
            <v>2</v>
          </cell>
          <cell r="K173">
            <v>140.47619047619048</v>
          </cell>
          <cell r="L173">
            <v>0</v>
          </cell>
          <cell r="M173">
            <v>6560</v>
          </cell>
          <cell r="N173">
            <v>7812</v>
          </cell>
          <cell r="O173">
            <v>2</v>
          </cell>
          <cell r="P173">
            <v>1</v>
          </cell>
          <cell r="Q173">
            <v>1</v>
          </cell>
          <cell r="R173">
            <v>7</v>
          </cell>
          <cell r="S173">
            <v>50</v>
          </cell>
          <cell r="T173">
            <v>119.04761904761905</v>
          </cell>
          <cell r="U173">
            <v>651</v>
          </cell>
          <cell r="V173">
            <v>119.04761904761905</v>
          </cell>
          <cell r="W173">
            <v>12</v>
          </cell>
          <cell r="X173">
            <v>126</v>
          </cell>
          <cell r="Y173">
            <v>18</v>
          </cell>
          <cell r="Z173">
            <v>5</v>
          </cell>
        </row>
        <row r="174">
          <cell r="A174">
            <v>9122319</v>
          </cell>
          <cell r="B174" t="str">
            <v>影袭·斩第3段</v>
          </cell>
          <cell r="C174" t="str">
            <v>影袭·斩第3段</v>
          </cell>
          <cell r="D174">
            <v>1</v>
          </cell>
          <cell r="E174">
            <v>35</v>
          </cell>
          <cell r="F174" t="str">
            <v>第19级，共造成141.7%点伤害</v>
          </cell>
          <cell r="G174">
            <v>3</v>
          </cell>
          <cell r="H174">
            <v>3</v>
          </cell>
          <cell r="I174">
            <v>19</v>
          </cell>
          <cell r="J174">
            <v>2</v>
          </cell>
          <cell r="K174">
            <v>141.66666666666669</v>
          </cell>
          <cell r="L174">
            <v>0</v>
          </cell>
          <cell r="M174">
            <v>6480</v>
          </cell>
          <cell r="N174">
            <v>9659</v>
          </cell>
          <cell r="O174">
            <v>2</v>
          </cell>
          <cell r="P174">
            <v>1</v>
          </cell>
          <cell r="Q174">
            <v>1</v>
          </cell>
          <cell r="R174">
            <v>7</v>
          </cell>
          <cell r="S174">
            <v>50</v>
          </cell>
          <cell r="T174">
            <v>119.04761904761905</v>
          </cell>
          <cell r="U174">
            <v>743</v>
          </cell>
          <cell r="V174">
            <v>119.04761904761905</v>
          </cell>
          <cell r="W174">
            <v>13</v>
          </cell>
          <cell r="X174">
            <v>139</v>
          </cell>
          <cell r="Y174">
            <v>18</v>
          </cell>
          <cell r="Z174">
            <v>6</v>
          </cell>
        </row>
        <row r="175">
          <cell r="A175">
            <v>9122320</v>
          </cell>
          <cell r="B175" t="str">
            <v>影袭·斩第3段</v>
          </cell>
          <cell r="C175" t="str">
            <v>影袭·斩第3段</v>
          </cell>
          <cell r="D175">
            <v>1</v>
          </cell>
          <cell r="E175">
            <v>36</v>
          </cell>
          <cell r="F175" t="str">
            <v>第20级，共造成142.9%点伤害</v>
          </cell>
          <cell r="G175">
            <v>3</v>
          </cell>
          <cell r="H175">
            <v>3</v>
          </cell>
          <cell r="I175">
            <v>20</v>
          </cell>
          <cell r="J175">
            <v>2</v>
          </cell>
          <cell r="K175">
            <v>142.85714285714286</v>
          </cell>
          <cell r="L175">
            <v>0</v>
          </cell>
          <cell r="M175">
            <v>6400</v>
          </cell>
          <cell r="N175">
            <v>10283</v>
          </cell>
          <cell r="O175">
            <v>2</v>
          </cell>
          <cell r="P175">
            <v>1</v>
          </cell>
          <cell r="Q175">
            <v>1</v>
          </cell>
          <cell r="R175">
            <v>7</v>
          </cell>
          <cell r="S175">
            <v>50</v>
          </cell>
          <cell r="T175">
            <v>119.04761904761905</v>
          </cell>
          <cell r="U175">
            <v>791</v>
          </cell>
          <cell r="V175">
            <v>119.04761904761905</v>
          </cell>
          <cell r="W175">
            <v>13</v>
          </cell>
          <cell r="X175">
            <v>152</v>
          </cell>
          <cell r="Y175">
            <v>18</v>
          </cell>
          <cell r="Z175">
            <v>6</v>
          </cell>
        </row>
        <row r="176">
          <cell r="A176">
            <v>9122321</v>
          </cell>
          <cell r="B176" t="str">
            <v>影袭·斩第3段</v>
          </cell>
          <cell r="C176" t="str">
            <v>影袭·斩第3段</v>
          </cell>
          <cell r="D176">
            <v>1</v>
          </cell>
          <cell r="E176">
            <v>38</v>
          </cell>
          <cell r="F176" t="str">
            <v>第21级，共造成144%点伤害</v>
          </cell>
          <cell r="G176">
            <v>3</v>
          </cell>
          <cell r="H176">
            <v>3</v>
          </cell>
          <cell r="I176">
            <v>21</v>
          </cell>
          <cell r="J176">
            <v>2</v>
          </cell>
          <cell r="K176">
            <v>144.04761904761904</v>
          </cell>
          <cell r="L176">
            <v>0</v>
          </cell>
          <cell r="M176">
            <v>6320</v>
          </cell>
          <cell r="N176">
            <v>12488</v>
          </cell>
          <cell r="O176">
            <v>2</v>
          </cell>
          <cell r="P176">
            <v>1</v>
          </cell>
          <cell r="Q176">
            <v>1</v>
          </cell>
          <cell r="R176">
            <v>7</v>
          </cell>
          <cell r="S176">
            <v>50</v>
          </cell>
          <cell r="T176">
            <v>119.04761904761905</v>
          </cell>
          <cell r="U176">
            <v>892</v>
          </cell>
          <cell r="V176">
            <v>119.04761904761905</v>
          </cell>
          <cell r="W176">
            <v>14</v>
          </cell>
          <cell r="X176">
            <v>166</v>
          </cell>
          <cell r="Y176">
            <v>18</v>
          </cell>
          <cell r="Z176">
            <v>6</v>
          </cell>
        </row>
        <row r="177">
          <cell r="A177">
            <v>9122322</v>
          </cell>
          <cell r="B177" t="str">
            <v>影袭·斩第3段</v>
          </cell>
          <cell r="C177" t="str">
            <v>影袭·斩第3段</v>
          </cell>
          <cell r="D177">
            <v>1</v>
          </cell>
          <cell r="E177">
            <v>39</v>
          </cell>
          <cell r="F177" t="str">
            <v>第22级，共造成145.2%点伤害</v>
          </cell>
          <cell r="G177">
            <v>3</v>
          </cell>
          <cell r="H177">
            <v>3</v>
          </cell>
          <cell r="I177">
            <v>22</v>
          </cell>
          <cell r="J177">
            <v>2</v>
          </cell>
          <cell r="K177">
            <v>145.23809523809524</v>
          </cell>
          <cell r="L177">
            <v>0</v>
          </cell>
          <cell r="M177">
            <v>6240</v>
          </cell>
          <cell r="N177">
            <v>14160</v>
          </cell>
          <cell r="O177">
            <v>2</v>
          </cell>
          <cell r="P177">
            <v>1</v>
          </cell>
          <cell r="Q177">
            <v>1</v>
          </cell>
          <cell r="R177">
            <v>7</v>
          </cell>
          <cell r="S177">
            <v>50</v>
          </cell>
          <cell r="T177">
            <v>119.04761904761905</v>
          </cell>
          <cell r="U177">
            <v>944</v>
          </cell>
          <cell r="V177">
            <v>119.04761904761905</v>
          </cell>
          <cell r="W177">
            <v>15</v>
          </cell>
          <cell r="X177">
            <v>181</v>
          </cell>
          <cell r="Y177">
            <v>18</v>
          </cell>
          <cell r="Z177">
            <v>6</v>
          </cell>
        </row>
        <row r="178">
          <cell r="A178">
            <v>9122323</v>
          </cell>
          <cell r="B178" t="str">
            <v>影袭·斩第3段</v>
          </cell>
          <cell r="C178" t="str">
            <v>影袭·斩第3段</v>
          </cell>
          <cell r="D178">
            <v>1</v>
          </cell>
          <cell r="E178">
            <v>41</v>
          </cell>
          <cell r="F178" t="str">
            <v>第23级，共造成146.4%点伤害</v>
          </cell>
          <cell r="G178">
            <v>3</v>
          </cell>
          <cell r="H178">
            <v>3</v>
          </cell>
          <cell r="I178">
            <v>23</v>
          </cell>
          <cell r="J178">
            <v>2</v>
          </cell>
          <cell r="K178">
            <v>146.42857142857144</v>
          </cell>
          <cell r="L178">
            <v>0</v>
          </cell>
          <cell r="M178">
            <v>6160</v>
          </cell>
          <cell r="N178">
            <v>16848</v>
          </cell>
          <cell r="O178">
            <v>2</v>
          </cell>
          <cell r="P178">
            <v>1</v>
          </cell>
          <cell r="Q178">
            <v>1</v>
          </cell>
          <cell r="R178">
            <v>7</v>
          </cell>
          <cell r="S178">
            <v>50</v>
          </cell>
          <cell r="T178">
            <v>119.04761904761905</v>
          </cell>
          <cell r="U178">
            <v>1053</v>
          </cell>
          <cell r="V178">
            <v>119.04761904761905</v>
          </cell>
          <cell r="W178">
            <v>16</v>
          </cell>
          <cell r="X178">
            <v>197</v>
          </cell>
          <cell r="Y178">
            <v>18</v>
          </cell>
          <cell r="Z178">
            <v>7</v>
          </cell>
        </row>
        <row r="179">
          <cell r="A179">
            <v>9122324</v>
          </cell>
          <cell r="B179" t="str">
            <v>影袭·斩第3段</v>
          </cell>
          <cell r="C179" t="str">
            <v>影袭·斩第3段</v>
          </cell>
          <cell r="D179">
            <v>1</v>
          </cell>
          <cell r="E179">
            <v>42</v>
          </cell>
          <cell r="F179" t="str">
            <v>第24级，共造成147.6%点伤害</v>
          </cell>
          <cell r="G179">
            <v>3</v>
          </cell>
          <cell r="H179">
            <v>3</v>
          </cell>
          <cell r="I179">
            <v>24</v>
          </cell>
          <cell r="J179">
            <v>2</v>
          </cell>
          <cell r="K179">
            <v>147.61904761904762</v>
          </cell>
          <cell r="L179">
            <v>0</v>
          </cell>
          <cell r="M179">
            <v>6080</v>
          </cell>
          <cell r="N179">
            <v>18870</v>
          </cell>
          <cell r="O179">
            <v>2</v>
          </cell>
          <cell r="P179">
            <v>1</v>
          </cell>
          <cell r="Q179">
            <v>1</v>
          </cell>
          <cell r="R179">
            <v>7</v>
          </cell>
          <cell r="S179">
            <v>50</v>
          </cell>
          <cell r="T179">
            <v>119.04761904761905</v>
          </cell>
          <cell r="U179">
            <v>1110</v>
          </cell>
          <cell r="V179">
            <v>119.04761904761905</v>
          </cell>
          <cell r="W179">
            <v>17</v>
          </cell>
          <cell r="X179">
            <v>214</v>
          </cell>
          <cell r="Y179">
            <v>18</v>
          </cell>
          <cell r="Z179">
            <v>7</v>
          </cell>
        </row>
        <row r="180">
          <cell r="A180">
            <v>9122325</v>
          </cell>
          <cell r="B180" t="str">
            <v>影袭·斩第3段</v>
          </cell>
          <cell r="C180" t="str">
            <v>影袭·斩第3段</v>
          </cell>
          <cell r="D180">
            <v>1</v>
          </cell>
          <cell r="E180">
            <v>44</v>
          </cell>
          <cell r="F180" t="str">
            <v>第25级，共造成148.8%点伤害</v>
          </cell>
          <cell r="G180">
            <v>3</v>
          </cell>
          <cell r="H180">
            <v>3</v>
          </cell>
          <cell r="I180">
            <v>25</v>
          </cell>
          <cell r="J180">
            <v>2</v>
          </cell>
          <cell r="K180">
            <v>148.80952380952382</v>
          </cell>
          <cell r="L180">
            <v>0</v>
          </cell>
          <cell r="M180">
            <v>6000</v>
          </cell>
          <cell r="N180">
            <v>23294</v>
          </cell>
          <cell r="O180">
            <v>2</v>
          </cell>
          <cell r="P180">
            <v>1</v>
          </cell>
          <cell r="Q180">
            <v>1</v>
          </cell>
          <cell r="R180">
            <v>7</v>
          </cell>
          <cell r="S180">
            <v>50</v>
          </cell>
          <cell r="T180">
            <v>119.04761904761905</v>
          </cell>
          <cell r="U180">
            <v>1226</v>
          </cell>
          <cell r="V180">
            <v>119.04761904761905</v>
          </cell>
          <cell r="W180">
            <v>19</v>
          </cell>
          <cell r="X180">
            <v>233</v>
          </cell>
          <cell r="Y180">
            <v>18</v>
          </cell>
          <cell r="Z180">
            <v>8</v>
          </cell>
        </row>
        <row r="181">
          <cell r="A181">
            <v>9122326</v>
          </cell>
          <cell r="B181" t="str">
            <v>影袭·斩第3段</v>
          </cell>
          <cell r="C181" t="str">
            <v>影袭·斩第3段</v>
          </cell>
          <cell r="D181">
            <v>1</v>
          </cell>
          <cell r="E181">
            <v>45</v>
          </cell>
          <cell r="F181" t="str">
            <v>第26级，共造成150%点伤害</v>
          </cell>
          <cell r="G181">
            <v>3</v>
          </cell>
          <cell r="H181">
            <v>3</v>
          </cell>
          <cell r="I181">
            <v>26</v>
          </cell>
          <cell r="J181">
            <v>2</v>
          </cell>
          <cell r="K181">
            <v>150</v>
          </cell>
          <cell r="L181">
            <v>0</v>
          </cell>
          <cell r="M181">
            <v>5920</v>
          </cell>
          <cell r="N181">
            <v>25740</v>
          </cell>
          <cell r="O181">
            <v>2</v>
          </cell>
          <cell r="P181">
            <v>1</v>
          </cell>
          <cell r="Q181">
            <v>1</v>
          </cell>
          <cell r="R181">
            <v>7</v>
          </cell>
          <cell r="S181">
            <v>50</v>
          </cell>
          <cell r="T181">
            <v>119.04761904761905</v>
          </cell>
          <cell r="U181">
            <v>1287</v>
          </cell>
          <cell r="V181">
            <v>119.04761904761905</v>
          </cell>
          <cell r="W181">
            <v>20</v>
          </cell>
          <cell r="X181">
            <v>253</v>
          </cell>
          <cell r="Y181">
            <v>18</v>
          </cell>
          <cell r="Z181">
            <v>8</v>
          </cell>
        </row>
        <row r="182">
          <cell r="A182">
            <v>9122327</v>
          </cell>
          <cell r="B182" t="str">
            <v>影袭·斩第3段</v>
          </cell>
          <cell r="C182" t="str">
            <v>影袭·斩第3段</v>
          </cell>
          <cell r="D182">
            <v>1</v>
          </cell>
          <cell r="E182">
            <v>46</v>
          </cell>
          <cell r="F182" t="str">
            <v>第27级，共造成151.2%点伤害</v>
          </cell>
          <cell r="G182">
            <v>3</v>
          </cell>
          <cell r="H182">
            <v>3</v>
          </cell>
          <cell r="I182">
            <v>27</v>
          </cell>
          <cell r="J182">
            <v>2</v>
          </cell>
          <cell r="K182">
            <v>151.1904761904762</v>
          </cell>
          <cell r="L182">
            <v>0</v>
          </cell>
          <cell r="M182">
            <v>5840</v>
          </cell>
          <cell r="N182">
            <v>28329</v>
          </cell>
          <cell r="O182">
            <v>2</v>
          </cell>
          <cell r="P182">
            <v>1</v>
          </cell>
          <cell r="Q182">
            <v>1</v>
          </cell>
          <cell r="R182">
            <v>7</v>
          </cell>
          <cell r="S182">
            <v>50</v>
          </cell>
          <cell r="T182">
            <v>119.04761904761905</v>
          </cell>
          <cell r="U182">
            <v>1349</v>
          </cell>
          <cell r="V182">
            <v>119.04761904761905</v>
          </cell>
          <cell r="W182">
            <v>21</v>
          </cell>
          <cell r="X182">
            <v>274</v>
          </cell>
          <cell r="Y182">
            <v>18</v>
          </cell>
          <cell r="Z182">
            <v>9</v>
          </cell>
        </row>
        <row r="183">
          <cell r="A183">
            <v>9122328</v>
          </cell>
          <cell r="B183" t="str">
            <v>影袭·斩第3段</v>
          </cell>
          <cell r="C183" t="str">
            <v>影袭·斩第3段</v>
          </cell>
          <cell r="D183">
            <v>1</v>
          </cell>
          <cell r="E183">
            <v>48</v>
          </cell>
          <cell r="F183" t="str">
            <v>第28级，共造成152.4%点伤害</v>
          </cell>
          <cell r="G183">
            <v>3</v>
          </cell>
          <cell r="H183">
            <v>3</v>
          </cell>
          <cell r="I183">
            <v>28</v>
          </cell>
          <cell r="J183">
            <v>2</v>
          </cell>
          <cell r="K183">
            <v>152.38095238095238</v>
          </cell>
          <cell r="L183">
            <v>0</v>
          </cell>
          <cell r="M183">
            <v>5760</v>
          </cell>
          <cell r="N183">
            <v>33971</v>
          </cell>
          <cell r="O183">
            <v>2</v>
          </cell>
          <cell r="P183">
            <v>1</v>
          </cell>
          <cell r="Q183">
            <v>1</v>
          </cell>
          <cell r="R183">
            <v>7</v>
          </cell>
          <cell r="S183">
            <v>50</v>
          </cell>
          <cell r="T183">
            <v>119.04761904761905</v>
          </cell>
          <cell r="U183">
            <v>1477</v>
          </cell>
          <cell r="V183">
            <v>119.04761904761905</v>
          </cell>
          <cell r="W183">
            <v>23</v>
          </cell>
          <cell r="X183">
            <v>297</v>
          </cell>
          <cell r="Y183">
            <v>18</v>
          </cell>
          <cell r="Z183">
            <v>10</v>
          </cell>
        </row>
        <row r="184">
          <cell r="A184">
            <v>9122329</v>
          </cell>
          <cell r="B184" t="str">
            <v>影袭·斩第3段</v>
          </cell>
          <cell r="C184" t="str">
            <v>影袭·斩第3段</v>
          </cell>
          <cell r="D184">
            <v>1</v>
          </cell>
          <cell r="E184">
            <v>49</v>
          </cell>
          <cell r="F184" t="str">
            <v>第29级，共造成153.6%点伤害</v>
          </cell>
          <cell r="G184">
            <v>3</v>
          </cell>
          <cell r="H184">
            <v>3</v>
          </cell>
          <cell r="I184">
            <v>29</v>
          </cell>
          <cell r="J184">
            <v>2</v>
          </cell>
          <cell r="K184">
            <v>153.57142857142858</v>
          </cell>
          <cell r="L184">
            <v>0</v>
          </cell>
          <cell r="M184">
            <v>5680</v>
          </cell>
          <cell r="N184">
            <v>38575</v>
          </cell>
          <cell r="O184">
            <v>2</v>
          </cell>
          <cell r="P184">
            <v>1</v>
          </cell>
          <cell r="Q184">
            <v>1</v>
          </cell>
          <cell r="R184">
            <v>7</v>
          </cell>
          <cell r="S184">
            <v>50</v>
          </cell>
          <cell r="T184">
            <v>119.04761904761905</v>
          </cell>
          <cell r="U184">
            <v>1543</v>
          </cell>
          <cell r="V184">
            <v>119.04761904761905</v>
          </cell>
          <cell r="W184">
            <v>25</v>
          </cell>
          <cell r="X184">
            <v>322</v>
          </cell>
          <cell r="Y184">
            <v>18</v>
          </cell>
          <cell r="Z184">
            <v>10</v>
          </cell>
        </row>
        <row r="185">
          <cell r="A185">
            <v>9122330</v>
          </cell>
          <cell r="B185" t="str">
            <v>影袭·斩第3段</v>
          </cell>
          <cell r="C185" t="str">
            <v>影袭·斩第3段</v>
          </cell>
          <cell r="D185">
            <v>1</v>
          </cell>
          <cell r="E185">
            <v>51</v>
          </cell>
          <cell r="F185" t="str">
            <v>第30级，共造成154.8%点伤害</v>
          </cell>
          <cell r="G185">
            <v>3</v>
          </cell>
          <cell r="H185">
            <v>3</v>
          </cell>
          <cell r="I185">
            <v>30</v>
          </cell>
          <cell r="J185">
            <v>2</v>
          </cell>
          <cell r="K185">
            <v>154.76190476190476</v>
          </cell>
          <cell r="L185">
            <v>0</v>
          </cell>
          <cell r="M185">
            <v>5600</v>
          </cell>
          <cell r="N185">
            <v>43654</v>
          </cell>
          <cell r="O185">
            <v>2</v>
          </cell>
          <cell r="P185">
            <v>1</v>
          </cell>
          <cell r="Q185">
            <v>1</v>
          </cell>
          <cell r="R185">
            <v>7</v>
          </cell>
          <cell r="S185">
            <v>50</v>
          </cell>
          <cell r="T185">
            <v>119.04761904761905</v>
          </cell>
          <cell r="U185">
            <v>1679</v>
          </cell>
          <cell r="V185">
            <v>119.04761904761905</v>
          </cell>
          <cell r="W185">
            <v>26</v>
          </cell>
          <cell r="X185">
            <v>348</v>
          </cell>
          <cell r="Y185">
            <v>18</v>
          </cell>
          <cell r="Z185">
            <v>11</v>
          </cell>
        </row>
        <row r="186">
          <cell r="A186">
            <v>9122331</v>
          </cell>
          <cell r="B186" t="str">
            <v>影袭·斩第3段</v>
          </cell>
          <cell r="C186" t="str">
            <v>影袭·斩第3段</v>
          </cell>
          <cell r="D186">
            <v>1</v>
          </cell>
          <cell r="E186">
            <v>52</v>
          </cell>
          <cell r="F186" t="str">
            <v>第31级，共造成156%点伤害</v>
          </cell>
          <cell r="G186">
            <v>3</v>
          </cell>
          <cell r="H186">
            <v>3</v>
          </cell>
          <cell r="I186">
            <v>31</v>
          </cell>
          <cell r="J186">
            <v>2</v>
          </cell>
          <cell r="K186">
            <v>155.95238095238096</v>
          </cell>
          <cell r="L186">
            <v>0</v>
          </cell>
          <cell r="M186">
            <v>5520</v>
          </cell>
          <cell r="N186">
            <v>48972</v>
          </cell>
          <cell r="O186">
            <v>2</v>
          </cell>
          <cell r="P186">
            <v>1</v>
          </cell>
          <cell r="Q186">
            <v>1</v>
          </cell>
          <cell r="R186">
            <v>7</v>
          </cell>
          <cell r="S186">
            <v>50</v>
          </cell>
          <cell r="T186">
            <v>119.04761904761905</v>
          </cell>
          <cell r="U186">
            <v>1749</v>
          </cell>
          <cell r="V186">
            <v>119.04761904761905</v>
          </cell>
          <cell r="W186">
            <v>28</v>
          </cell>
          <cell r="X186">
            <v>376</v>
          </cell>
          <cell r="Y186">
            <v>18</v>
          </cell>
          <cell r="Z186">
            <v>12</v>
          </cell>
        </row>
        <row r="187">
          <cell r="A187">
            <v>9122332</v>
          </cell>
          <cell r="B187" t="str">
            <v>影袭·斩第3段</v>
          </cell>
          <cell r="C187" t="str">
            <v>影袭·斩第3段</v>
          </cell>
          <cell r="D187">
            <v>1</v>
          </cell>
          <cell r="E187">
            <v>54</v>
          </cell>
          <cell r="F187" t="str">
            <v>第32级，共造成157.1%点伤害</v>
          </cell>
          <cell r="G187">
            <v>3</v>
          </cell>
          <cell r="H187">
            <v>3</v>
          </cell>
          <cell r="I187">
            <v>32</v>
          </cell>
          <cell r="J187">
            <v>2</v>
          </cell>
          <cell r="K187">
            <v>157.14285714285714</v>
          </cell>
          <cell r="L187">
            <v>0</v>
          </cell>
          <cell r="M187">
            <v>5440</v>
          </cell>
          <cell r="N187">
            <v>56790</v>
          </cell>
          <cell r="O187">
            <v>2</v>
          </cell>
          <cell r="P187">
            <v>1</v>
          </cell>
          <cell r="Q187">
            <v>1</v>
          </cell>
          <cell r="R187">
            <v>7</v>
          </cell>
          <cell r="S187">
            <v>50</v>
          </cell>
          <cell r="T187">
            <v>119.04761904761905</v>
          </cell>
          <cell r="U187">
            <v>1893</v>
          </cell>
          <cell r="V187">
            <v>119.04761904761905</v>
          </cell>
          <cell r="W187">
            <v>30</v>
          </cell>
          <cell r="X187">
            <v>406</v>
          </cell>
          <cell r="Y187">
            <v>18</v>
          </cell>
          <cell r="Z187">
            <v>12</v>
          </cell>
        </row>
        <row r="188">
          <cell r="A188">
            <v>9122333</v>
          </cell>
          <cell r="B188" t="str">
            <v>影袭·斩第3段</v>
          </cell>
          <cell r="C188" t="str">
            <v>影袭·斩第3段</v>
          </cell>
          <cell r="D188">
            <v>1</v>
          </cell>
          <cell r="E188">
            <v>55</v>
          </cell>
          <cell r="F188" t="str">
            <v>第33级，共造成158.3%点伤害</v>
          </cell>
          <cell r="G188">
            <v>3</v>
          </cell>
          <cell r="H188">
            <v>3</v>
          </cell>
          <cell r="I188">
            <v>33</v>
          </cell>
          <cell r="J188">
            <v>2</v>
          </cell>
          <cell r="K188">
            <v>158.33333333333334</v>
          </cell>
          <cell r="L188">
            <v>0</v>
          </cell>
          <cell r="M188">
            <v>5360</v>
          </cell>
          <cell r="N188">
            <v>62944</v>
          </cell>
          <cell r="O188">
            <v>2</v>
          </cell>
          <cell r="P188">
            <v>1</v>
          </cell>
          <cell r="Q188">
            <v>1</v>
          </cell>
          <cell r="R188">
            <v>7</v>
          </cell>
          <cell r="S188">
            <v>50</v>
          </cell>
          <cell r="T188">
            <v>119.04761904761905</v>
          </cell>
          <cell r="U188">
            <v>1967</v>
          </cell>
          <cell r="V188">
            <v>119.04761904761905</v>
          </cell>
          <cell r="W188">
            <v>32</v>
          </cell>
          <cell r="X188">
            <v>438</v>
          </cell>
          <cell r="Y188">
            <v>18</v>
          </cell>
          <cell r="Z188">
            <v>13</v>
          </cell>
        </row>
        <row r="189">
          <cell r="A189">
            <v>9122334</v>
          </cell>
          <cell r="B189" t="str">
            <v>影袭·斩第3段</v>
          </cell>
          <cell r="C189" t="str">
            <v>影袭·斩第3段</v>
          </cell>
          <cell r="D189">
            <v>1</v>
          </cell>
          <cell r="E189">
            <v>57</v>
          </cell>
          <cell r="F189" t="str">
            <v>第34级，共造成159.5%点伤害</v>
          </cell>
          <cell r="G189">
            <v>3</v>
          </cell>
          <cell r="H189">
            <v>3</v>
          </cell>
          <cell r="I189">
            <v>34</v>
          </cell>
          <cell r="J189">
            <v>2</v>
          </cell>
          <cell r="K189">
            <v>159.52380952380952</v>
          </cell>
          <cell r="L189">
            <v>0</v>
          </cell>
          <cell r="M189">
            <v>5280</v>
          </cell>
          <cell r="N189">
            <v>72046</v>
          </cell>
          <cell r="O189">
            <v>2</v>
          </cell>
          <cell r="P189">
            <v>1</v>
          </cell>
          <cell r="Q189">
            <v>1</v>
          </cell>
          <cell r="R189">
            <v>7</v>
          </cell>
          <cell r="S189">
            <v>50</v>
          </cell>
          <cell r="T189">
            <v>119.04761904761905</v>
          </cell>
          <cell r="U189">
            <v>2119</v>
          </cell>
          <cell r="V189">
            <v>119.04761904761905</v>
          </cell>
          <cell r="W189">
            <v>34</v>
          </cell>
          <cell r="X189">
            <v>472</v>
          </cell>
          <cell r="Y189">
            <v>18</v>
          </cell>
          <cell r="Z189">
            <v>14</v>
          </cell>
        </row>
        <row r="190">
          <cell r="A190">
            <v>9122335</v>
          </cell>
          <cell r="B190" t="str">
            <v>影袭·斩第3段</v>
          </cell>
          <cell r="C190" t="str">
            <v>影袭·斩第3段</v>
          </cell>
          <cell r="D190">
            <v>1</v>
          </cell>
          <cell r="E190">
            <v>58</v>
          </cell>
          <cell r="F190" t="str">
            <v>第35级，共造成160.7%点伤害</v>
          </cell>
          <cell r="G190">
            <v>3</v>
          </cell>
          <cell r="H190">
            <v>3</v>
          </cell>
          <cell r="I190">
            <v>35</v>
          </cell>
          <cell r="J190">
            <v>2</v>
          </cell>
          <cell r="K190">
            <v>160.71428571428572</v>
          </cell>
          <cell r="L190">
            <v>0</v>
          </cell>
          <cell r="M190">
            <v>5200</v>
          </cell>
          <cell r="N190">
            <v>79128</v>
          </cell>
          <cell r="O190">
            <v>2</v>
          </cell>
          <cell r="P190">
            <v>1</v>
          </cell>
          <cell r="Q190">
            <v>1</v>
          </cell>
          <cell r="R190">
            <v>7</v>
          </cell>
          <cell r="S190">
            <v>50</v>
          </cell>
          <cell r="T190">
            <v>119.04761904761905</v>
          </cell>
          <cell r="U190">
            <v>2198</v>
          </cell>
          <cell r="V190">
            <v>119.04761904761905</v>
          </cell>
          <cell r="W190">
            <v>36</v>
          </cell>
          <cell r="X190">
            <v>508</v>
          </cell>
          <cell r="Y190">
            <v>18</v>
          </cell>
          <cell r="Z190">
            <v>15</v>
          </cell>
        </row>
        <row r="191">
          <cell r="A191">
            <v>9122336</v>
          </cell>
          <cell r="B191" t="str">
            <v>影袭·斩第3段</v>
          </cell>
          <cell r="C191" t="str">
            <v>影袭·斩第3段</v>
          </cell>
          <cell r="D191">
            <v>1</v>
          </cell>
          <cell r="E191">
            <v>60</v>
          </cell>
          <cell r="F191" t="str">
            <v>第36级，共造成161.9%点伤害</v>
          </cell>
          <cell r="G191">
            <v>3</v>
          </cell>
          <cell r="H191">
            <v>3</v>
          </cell>
          <cell r="I191">
            <v>36</v>
          </cell>
          <cell r="J191">
            <v>2</v>
          </cell>
          <cell r="K191">
            <v>161.9047619047619</v>
          </cell>
          <cell r="L191">
            <v>0</v>
          </cell>
          <cell r="M191">
            <v>5120</v>
          </cell>
          <cell r="N191">
            <v>91962</v>
          </cell>
          <cell r="O191">
            <v>2</v>
          </cell>
          <cell r="P191">
            <v>1</v>
          </cell>
          <cell r="Q191">
            <v>1</v>
          </cell>
          <cell r="R191">
            <v>7</v>
          </cell>
          <cell r="S191">
            <v>50</v>
          </cell>
          <cell r="T191">
            <v>119.04761904761905</v>
          </cell>
          <cell r="U191">
            <v>2358</v>
          </cell>
          <cell r="V191">
            <v>119.04761904761905</v>
          </cell>
          <cell r="W191">
            <v>39</v>
          </cell>
          <cell r="X191">
            <v>547</v>
          </cell>
          <cell r="Y191">
            <v>18</v>
          </cell>
          <cell r="Z191">
            <v>16</v>
          </cell>
        </row>
        <row r="192">
          <cell r="A192">
            <v>9122337</v>
          </cell>
          <cell r="B192" t="str">
            <v>影袭·斩第3段</v>
          </cell>
          <cell r="C192" t="str">
            <v>影袭·斩第3段</v>
          </cell>
          <cell r="D192">
            <v>1</v>
          </cell>
          <cell r="E192">
            <v>61</v>
          </cell>
          <cell r="F192" t="str">
            <v>第37级，共造成163.1%点伤害</v>
          </cell>
          <cell r="G192">
            <v>3</v>
          </cell>
          <cell r="H192">
            <v>3</v>
          </cell>
          <cell r="I192">
            <v>37</v>
          </cell>
          <cell r="J192">
            <v>2</v>
          </cell>
          <cell r="K192">
            <v>163.0952380952381</v>
          </cell>
          <cell r="L192">
            <v>0</v>
          </cell>
          <cell r="M192">
            <v>5040</v>
          </cell>
          <cell r="N192">
            <v>102480</v>
          </cell>
          <cell r="O192">
            <v>2</v>
          </cell>
          <cell r="P192">
            <v>1</v>
          </cell>
          <cell r="Q192">
            <v>1</v>
          </cell>
          <cell r="R192">
            <v>7</v>
          </cell>
          <cell r="S192">
            <v>50</v>
          </cell>
          <cell r="T192">
            <v>119.04761904761905</v>
          </cell>
          <cell r="U192">
            <v>2440</v>
          </cell>
          <cell r="V192">
            <v>119.04761904761905</v>
          </cell>
          <cell r="W192">
            <v>42</v>
          </cell>
          <cell r="X192">
            <v>589</v>
          </cell>
          <cell r="Y192">
            <v>18</v>
          </cell>
          <cell r="Z192">
            <v>17</v>
          </cell>
        </row>
        <row r="193">
          <cell r="A193">
            <v>9122338</v>
          </cell>
          <cell r="B193" t="str">
            <v>影袭·斩第3段</v>
          </cell>
          <cell r="C193" t="str">
            <v>影袭·斩第3段</v>
          </cell>
          <cell r="D193">
            <v>1</v>
          </cell>
          <cell r="E193">
            <v>62</v>
          </cell>
          <cell r="F193" t="str">
            <v>第38级，共造成164.3%点伤害</v>
          </cell>
          <cell r="G193">
            <v>3</v>
          </cell>
          <cell r="H193">
            <v>3</v>
          </cell>
          <cell r="I193">
            <v>38</v>
          </cell>
          <cell r="J193">
            <v>2</v>
          </cell>
          <cell r="K193">
            <v>164.28571428571428</v>
          </cell>
          <cell r="L193">
            <v>0</v>
          </cell>
          <cell r="M193">
            <v>4960</v>
          </cell>
          <cell r="N193">
            <v>113580</v>
          </cell>
          <cell r="O193">
            <v>2</v>
          </cell>
          <cell r="P193">
            <v>1</v>
          </cell>
          <cell r="Q193">
            <v>1</v>
          </cell>
          <cell r="R193">
            <v>7</v>
          </cell>
          <cell r="S193">
            <v>50</v>
          </cell>
          <cell r="T193">
            <v>119.04761904761905</v>
          </cell>
          <cell r="U193">
            <v>2524</v>
          </cell>
          <cell r="V193">
            <v>119.04761904761905</v>
          </cell>
          <cell r="W193">
            <v>45</v>
          </cell>
          <cell r="X193">
            <v>634</v>
          </cell>
          <cell r="Y193">
            <v>18</v>
          </cell>
          <cell r="Z193">
            <v>18</v>
          </cell>
        </row>
        <row r="194">
          <cell r="A194">
            <v>9122339</v>
          </cell>
          <cell r="B194" t="str">
            <v>影袭·斩第3段</v>
          </cell>
          <cell r="C194" t="str">
            <v>影袭·斩第3段</v>
          </cell>
          <cell r="D194">
            <v>1</v>
          </cell>
          <cell r="E194">
            <v>64</v>
          </cell>
          <cell r="F194" t="str">
            <v>第39级，共造成165.5%点伤害</v>
          </cell>
          <cell r="G194">
            <v>3</v>
          </cell>
          <cell r="H194">
            <v>3</v>
          </cell>
          <cell r="I194">
            <v>39</v>
          </cell>
          <cell r="J194">
            <v>2</v>
          </cell>
          <cell r="K194">
            <v>165.47619047619048</v>
          </cell>
          <cell r="L194">
            <v>0</v>
          </cell>
          <cell r="M194">
            <v>4880</v>
          </cell>
          <cell r="N194">
            <v>129360</v>
          </cell>
          <cell r="O194">
            <v>2</v>
          </cell>
          <cell r="P194">
            <v>1</v>
          </cell>
          <cell r="Q194">
            <v>1</v>
          </cell>
          <cell r="R194">
            <v>7</v>
          </cell>
          <cell r="S194">
            <v>50</v>
          </cell>
          <cell r="T194">
            <v>119.04761904761905</v>
          </cell>
          <cell r="U194">
            <v>2695</v>
          </cell>
          <cell r="V194">
            <v>119.04761904761905</v>
          </cell>
          <cell r="W194">
            <v>48</v>
          </cell>
          <cell r="X194">
            <v>682</v>
          </cell>
          <cell r="Y194">
            <v>18</v>
          </cell>
          <cell r="Z194">
            <v>20</v>
          </cell>
        </row>
        <row r="195">
          <cell r="A195">
            <v>9122340</v>
          </cell>
          <cell r="B195" t="str">
            <v>影袭·斩第3段</v>
          </cell>
          <cell r="C195" t="str">
            <v>影袭·斩第3段</v>
          </cell>
          <cell r="D195">
            <v>1</v>
          </cell>
          <cell r="E195">
            <v>65</v>
          </cell>
          <cell r="F195" t="str">
            <v>第40级，共造成166.7%点伤害</v>
          </cell>
          <cell r="G195">
            <v>3</v>
          </cell>
          <cell r="H195">
            <v>3</v>
          </cell>
          <cell r="I195">
            <v>40</v>
          </cell>
          <cell r="J195">
            <v>2</v>
          </cell>
          <cell r="K195">
            <v>166.66666666666669</v>
          </cell>
          <cell r="L195">
            <v>0</v>
          </cell>
          <cell r="M195">
            <v>4800</v>
          </cell>
          <cell r="N195">
            <v>141933</v>
          </cell>
          <cell r="O195">
            <v>2</v>
          </cell>
          <cell r="P195">
            <v>1</v>
          </cell>
          <cell r="Q195">
            <v>1</v>
          </cell>
          <cell r="R195">
            <v>7</v>
          </cell>
          <cell r="S195">
            <v>50</v>
          </cell>
          <cell r="T195">
            <v>119.04761904761905</v>
          </cell>
          <cell r="U195">
            <v>2783</v>
          </cell>
          <cell r="V195">
            <v>119.04761904761905</v>
          </cell>
          <cell r="W195">
            <v>51</v>
          </cell>
          <cell r="X195">
            <v>733</v>
          </cell>
          <cell r="Y195">
            <v>18</v>
          </cell>
          <cell r="Z195">
            <v>21</v>
          </cell>
        </row>
        <row r="196">
          <cell r="A196">
            <v>9122341</v>
          </cell>
          <cell r="B196" t="str">
            <v>影袭·斩第3段</v>
          </cell>
          <cell r="C196" t="str">
            <v>影袭·斩第3段</v>
          </cell>
          <cell r="D196">
            <v>1</v>
          </cell>
          <cell r="E196">
            <v>67</v>
          </cell>
          <cell r="F196" t="str">
            <v>第41级，共造成167.9%点伤害</v>
          </cell>
          <cell r="G196">
            <v>3</v>
          </cell>
          <cell r="H196">
            <v>3</v>
          </cell>
          <cell r="I196">
            <v>41</v>
          </cell>
          <cell r="J196">
            <v>2</v>
          </cell>
          <cell r="K196">
            <v>167.85714285714286</v>
          </cell>
          <cell r="L196">
            <v>0</v>
          </cell>
          <cell r="M196">
            <v>4720</v>
          </cell>
          <cell r="N196">
            <v>162965</v>
          </cell>
          <cell r="O196">
            <v>2</v>
          </cell>
          <cell r="P196">
            <v>1</v>
          </cell>
          <cell r="Q196">
            <v>1</v>
          </cell>
          <cell r="R196">
            <v>7</v>
          </cell>
          <cell r="S196">
            <v>50</v>
          </cell>
          <cell r="T196">
            <v>119.04761904761905</v>
          </cell>
          <cell r="U196">
            <v>2963</v>
          </cell>
          <cell r="V196">
            <v>119.04761904761905</v>
          </cell>
          <cell r="W196">
            <v>55</v>
          </cell>
          <cell r="X196">
            <v>788</v>
          </cell>
          <cell r="Y196">
            <v>18</v>
          </cell>
          <cell r="Z196">
            <v>22</v>
          </cell>
        </row>
        <row r="197">
          <cell r="A197">
            <v>9122342</v>
          </cell>
          <cell r="B197" t="str">
            <v>影袭·斩第3段</v>
          </cell>
          <cell r="C197" t="str">
            <v>影袭·斩第3段</v>
          </cell>
          <cell r="D197">
            <v>1</v>
          </cell>
          <cell r="E197">
            <v>68</v>
          </cell>
          <cell r="F197" t="str">
            <v>第42级，共造成169%点伤害</v>
          </cell>
          <cell r="G197">
            <v>3</v>
          </cell>
          <cell r="H197">
            <v>3</v>
          </cell>
          <cell r="I197">
            <v>42</v>
          </cell>
          <cell r="J197">
            <v>2</v>
          </cell>
          <cell r="K197">
            <v>169.04761904761904</v>
          </cell>
          <cell r="L197">
            <v>0</v>
          </cell>
          <cell r="M197">
            <v>4640</v>
          </cell>
          <cell r="N197">
            <v>177132</v>
          </cell>
          <cell r="O197">
            <v>2</v>
          </cell>
          <cell r="P197">
            <v>1</v>
          </cell>
          <cell r="Q197">
            <v>1</v>
          </cell>
          <cell r="R197">
            <v>7</v>
          </cell>
          <cell r="S197">
            <v>50</v>
          </cell>
          <cell r="T197">
            <v>119.04761904761905</v>
          </cell>
          <cell r="U197">
            <v>3054</v>
          </cell>
          <cell r="V197">
            <v>119.04761904761905</v>
          </cell>
          <cell r="W197">
            <v>58</v>
          </cell>
          <cell r="X197">
            <v>846</v>
          </cell>
          <cell r="Y197">
            <v>18</v>
          </cell>
          <cell r="Z197">
            <v>24</v>
          </cell>
        </row>
        <row r="198">
          <cell r="A198">
            <v>9122343</v>
          </cell>
          <cell r="B198" t="str">
            <v>影袭·斩第3段</v>
          </cell>
          <cell r="C198" t="str">
            <v>影袭·斩第3段</v>
          </cell>
          <cell r="D198">
            <v>1</v>
          </cell>
          <cell r="E198">
            <v>70</v>
          </cell>
          <cell r="F198" t="str">
            <v>第43级，共造成170.2%点伤害</v>
          </cell>
          <cell r="G198">
            <v>3</v>
          </cell>
          <cell r="H198">
            <v>3</v>
          </cell>
          <cell r="I198">
            <v>43</v>
          </cell>
          <cell r="J198">
            <v>2</v>
          </cell>
          <cell r="K198">
            <v>170.23809523809524</v>
          </cell>
          <cell r="L198">
            <v>0</v>
          </cell>
          <cell r="M198">
            <v>4560</v>
          </cell>
          <cell r="N198">
            <v>204246</v>
          </cell>
          <cell r="O198">
            <v>2</v>
          </cell>
          <cell r="P198">
            <v>1</v>
          </cell>
          <cell r="Q198">
            <v>1</v>
          </cell>
          <cell r="R198">
            <v>7</v>
          </cell>
          <cell r="S198">
            <v>50</v>
          </cell>
          <cell r="T198">
            <v>119.04761904761905</v>
          </cell>
          <cell r="U198">
            <v>3242</v>
          </cell>
          <cell r="V198">
            <v>119.04761904761905</v>
          </cell>
          <cell r="W198">
            <v>63</v>
          </cell>
          <cell r="X198">
            <v>909</v>
          </cell>
          <cell r="Y198">
            <v>18</v>
          </cell>
          <cell r="Z198">
            <v>26</v>
          </cell>
        </row>
        <row r="199">
          <cell r="A199">
            <v>9122344</v>
          </cell>
          <cell r="B199" t="str">
            <v>影袭·斩第3段</v>
          </cell>
          <cell r="C199" t="str">
            <v>影袭·斩第3段</v>
          </cell>
          <cell r="D199">
            <v>1</v>
          </cell>
          <cell r="E199">
            <v>71</v>
          </cell>
          <cell r="F199" t="str">
            <v>第44级，共造成171.4%点伤害</v>
          </cell>
          <cell r="G199">
            <v>3</v>
          </cell>
          <cell r="H199">
            <v>3</v>
          </cell>
          <cell r="I199">
            <v>44</v>
          </cell>
          <cell r="J199">
            <v>2</v>
          </cell>
          <cell r="K199">
            <v>171.42857142857144</v>
          </cell>
          <cell r="L199">
            <v>0</v>
          </cell>
          <cell r="M199">
            <v>4480</v>
          </cell>
          <cell r="N199">
            <v>223646</v>
          </cell>
          <cell r="O199">
            <v>2</v>
          </cell>
          <cell r="P199">
            <v>1</v>
          </cell>
          <cell r="Q199">
            <v>1</v>
          </cell>
          <cell r="R199">
            <v>7</v>
          </cell>
          <cell r="S199">
            <v>50</v>
          </cell>
          <cell r="T199">
            <v>119.04761904761905</v>
          </cell>
          <cell r="U199">
            <v>3338</v>
          </cell>
          <cell r="V199">
            <v>119.04761904761905</v>
          </cell>
          <cell r="W199">
            <v>67</v>
          </cell>
          <cell r="X199">
            <v>976</v>
          </cell>
          <cell r="Y199">
            <v>18</v>
          </cell>
          <cell r="Z199">
            <v>27</v>
          </cell>
        </row>
        <row r="200">
          <cell r="A200">
            <v>9122345</v>
          </cell>
          <cell r="B200" t="str">
            <v>影袭·斩第3段</v>
          </cell>
          <cell r="C200" t="str">
            <v>影袭·斩第3段</v>
          </cell>
          <cell r="D200">
            <v>1</v>
          </cell>
          <cell r="E200">
            <v>73</v>
          </cell>
          <cell r="F200" t="str">
            <v>第45级，共造成172.6%点伤害</v>
          </cell>
          <cell r="G200">
            <v>3</v>
          </cell>
          <cell r="H200">
            <v>3</v>
          </cell>
          <cell r="I200">
            <v>45</v>
          </cell>
          <cell r="J200">
            <v>2</v>
          </cell>
          <cell r="K200">
            <v>172.61904761904762</v>
          </cell>
          <cell r="L200">
            <v>0</v>
          </cell>
          <cell r="M200">
            <v>4400</v>
          </cell>
          <cell r="N200">
            <v>254448</v>
          </cell>
          <cell r="O200">
            <v>2</v>
          </cell>
          <cell r="P200">
            <v>1</v>
          </cell>
          <cell r="Q200">
            <v>1</v>
          </cell>
          <cell r="R200">
            <v>7</v>
          </cell>
          <cell r="S200">
            <v>50</v>
          </cell>
          <cell r="T200">
            <v>119.04761904761905</v>
          </cell>
          <cell r="U200">
            <v>3534</v>
          </cell>
          <cell r="V200">
            <v>119.04761904761905</v>
          </cell>
          <cell r="W200">
            <v>72</v>
          </cell>
          <cell r="X200">
            <v>1048</v>
          </cell>
          <cell r="Y200">
            <v>18</v>
          </cell>
          <cell r="Z200">
            <v>29</v>
          </cell>
        </row>
        <row r="201">
          <cell r="A201">
            <v>9122346</v>
          </cell>
          <cell r="B201" t="str">
            <v>影袭·斩第3段</v>
          </cell>
          <cell r="C201" t="str">
            <v>影袭·斩第3段</v>
          </cell>
          <cell r="D201">
            <v>1</v>
          </cell>
          <cell r="E201">
            <v>74</v>
          </cell>
          <cell r="F201" t="str">
            <v>第46级，共造成173.8%点伤害</v>
          </cell>
          <cell r="G201">
            <v>3</v>
          </cell>
          <cell r="H201">
            <v>3</v>
          </cell>
          <cell r="I201">
            <v>46</v>
          </cell>
          <cell r="J201">
            <v>2</v>
          </cell>
          <cell r="K201">
            <v>173.8095238095238</v>
          </cell>
          <cell r="L201">
            <v>0</v>
          </cell>
          <cell r="M201">
            <v>4320</v>
          </cell>
          <cell r="N201">
            <v>279818</v>
          </cell>
          <cell r="O201">
            <v>2</v>
          </cell>
          <cell r="P201">
            <v>1</v>
          </cell>
          <cell r="Q201">
            <v>1</v>
          </cell>
          <cell r="R201">
            <v>7</v>
          </cell>
          <cell r="S201">
            <v>50</v>
          </cell>
          <cell r="T201">
            <v>119.04761904761905</v>
          </cell>
          <cell r="U201">
            <v>3634</v>
          </cell>
          <cell r="V201">
            <v>119.04761904761905</v>
          </cell>
          <cell r="W201">
            <v>77</v>
          </cell>
          <cell r="X201">
            <v>1125</v>
          </cell>
          <cell r="Y201">
            <v>18</v>
          </cell>
          <cell r="Z201">
            <v>31</v>
          </cell>
        </row>
        <row r="202">
          <cell r="A202">
            <v>9122347</v>
          </cell>
          <cell r="B202" t="str">
            <v>影袭·斩第3段</v>
          </cell>
          <cell r="C202" t="str">
            <v>影袭·斩第3段</v>
          </cell>
          <cell r="D202">
            <v>1</v>
          </cell>
          <cell r="E202">
            <v>76</v>
          </cell>
          <cell r="F202" t="str">
            <v>第47级，共造成175%点伤害</v>
          </cell>
          <cell r="G202">
            <v>3</v>
          </cell>
          <cell r="H202">
            <v>3</v>
          </cell>
          <cell r="I202">
            <v>47</v>
          </cell>
          <cell r="J202">
            <v>2</v>
          </cell>
          <cell r="K202">
            <v>175</v>
          </cell>
          <cell r="L202">
            <v>0</v>
          </cell>
          <cell r="M202">
            <v>4240</v>
          </cell>
          <cell r="N202">
            <v>314716</v>
          </cell>
          <cell r="O202">
            <v>2</v>
          </cell>
          <cell r="P202">
            <v>1</v>
          </cell>
          <cell r="Q202">
            <v>1</v>
          </cell>
          <cell r="R202">
            <v>7</v>
          </cell>
          <cell r="S202">
            <v>50</v>
          </cell>
          <cell r="T202">
            <v>119.04761904761905</v>
          </cell>
          <cell r="U202">
            <v>3838</v>
          </cell>
          <cell r="V202">
            <v>119.04761904761905</v>
          </cell>
          <cell r="W202">
            <v>82</v>
          </cell>
          <cell r="X202">
            <v>1207</v>
          </cell>
          <cell r="Y202">
            <v>18</v>
          </cell>
          <cell r="Z202">
            <v>33</v>
          </cell>
        </row>
        <row r="203">
          <cell r="A203">
            <v>9122348</v>
          </cell>
          <cell r="B203" t="str">
            <v>影袭·斩第3段</v>
          </cell>
          <cell r="C203" t="str">
            <v>影袭·斩第3段</v>
          </cell>
          <cell r="D203">
            <v>1</v>
          </cell>
          <cell r="E203">
            <v>77</v>
          </cell>
          <cell r="F203" t="str">
            <v>第48级，共造成176.2%点伤害</v>
          </cell>
          <cell r="G203">
            <v>3</v>
          </cell>
          <cell r="H203">
            <v>3</v>
          </cell>
          <cell r="I203">
            <v>48</v>
          </cell>
          <cell r="J203">
            <v>2</v>
          </cell>
          <cell r="K203">
            <v>176.1904761904762</v>
          </cell>
          <cell r="L203">
            <v>0</v>
          </cell>
          <cell r="M203">
            <v>4160</v>
          </cell>
          <cell r="N203">
            <v>346896</v>
          </cell>
          <cell r="O203">
            <v>2</v>
          </cell>
          <cell r="P203">
            <v>1</v>
          </cell>
          <cell r="Q203">
            <v>1</v>
          </cell>
          <cell r="R203">
            <v>7</v>
          </cell>
          <cell r="S203">
            <v>50</v>
          </cell>
          <cell r="T203">
            <v>119.04761904761905</v>
          </cell>
          <cell r="U203">
            <v>3942</v>
          </cell>
          <cell r="V203">
            <v>119.04761904761905</v>
          </cell>
          <cell r="W203">
            <v>88</v>
          </cell>
          <cell r="X203">
            <v>1295</v>
          </cell>
          <cell r="Y203">
            <v>18</v>
          </cell>
          <cell r="Z203">
            <v>36</v>
          </cell>
        </row>
        <row r="204">
          <cell r="A204">
            <v>9122349</v>
          </cell>
          <cell r="B204" t="str">
            <v>影袭·斩第3段</v>
          </cell>
          <cell r="C204" t="str">
            <v>影袭·斩第3段</v>
          </cell>
          <cell r="D204">
            <v>1</v>
          </cell>
          <cell r="E204">
            <v>79</v>
          </cell>
          <cell r="F204" t="str">
            <v>第49级，共造成177.4%点伤害</v>
          </cell>
          <cell r="G204">
            <v>3</v>
          </cell>
          <cell r="H204">
            <v>3</v>
          </cell>
          <cell r="I204">
            <v>49</v>
          </cell>
          <cell r="J204">
            <v>2</v>
          </cell>
          <cell r="K204">
            <v>177.38095238095238</v>
          </cell>
          <cell r="L204">
            <v>0</v>
          </cell>
          <cell r="M204">
            <v>4080</v>
          </cell>
          <cell r="N204">
            <v>390476</v>
          </cell>
          <cell r="O204">
            <v>2</v>
          </cell>
          <cell r="P204">
            <v>1</v>
          </cell>
          <cell r="Q204">
            <v>1</v>
          </cell>
          <cell r="R204">
            <v>7</v>
          </cell>
          <cell r="S204">
            <v>50</v>
          </cell>
          <cell r="T204">
            <v>119.04761904761905</v>
          </cell>
          <cell r="U204">
            <v>4154</v>
          </cell>
          <cell r="V204">
            <v>119.04761904761905</v>
          </cell>
          <cell r="W204">
            <v>94</v>
          </cell>
          <cell r="X204">
            <v>1389</v>
          </cell>
          <cell r="Y204">
            <v>18</v>
          </cell>
          <cell r="Z204">
            <v>38</v>
          </cell>
        </row>
        <row r="205">
          <cell r="A205">
            <v>9122350</v>
          </cell>
          <cell r="B205" t="str">
            <v>影袭·斩第3段</v>
          </cell>
          <cell r="C205" t="str">
            <v>影袭·斩第3段</v>
          </cell>
          <cell r="D205">
            <v>1</v>
          </cell>
          <cell r="E205">
            <v>80</v>
          </cell>
          <cell r="F205" t="str">
            <v>第50级，共造成178.6%点伤害</v>
          </cell>
          <cell r="G205">
            <v>3</v>
          </cell>
          <cell r="H205">
            <v>3</v>
          </cell>
          <cell r="I205">
            <v>50</v>
          </cell>
          <cell r="J205">
            <v>2</v>
          </cell>
          <cell r="K205">
            <v>178.57142857142858</v>
          </cell>
          <cell r="L205">
            <v>0</v>
          </cell>
          <cell r="M205">
            <v>4000</v>
          </cell>
          <cell r="N205">
            <v>430462</v>
          </cell>
          <cell r="O205">
            <v>2</v>
          </cell>
          <cell r="P205">
            <v>1</v>
          </cell>
          <cell r="Q205">
            <v>1</v>
          </cell>
          <cell r="R205">
            <v>7</v>
          </cell>
          <cell r="S205">
            <v>50</v>
          </cell>
          <cell r="T205">
            <v>119.04761904761905</v>
          </cell>
          <cell r="U205">
            <v>4262</v>
          </cell>
          <cell r="V205">
            <v>119.04761904761905</v>
          </cell>
          <cell r="W205">
            <v>101</v>
          </cell>
          <cell r="X205">
            <v>1490</v>
          </cell>
          <cell r="Y205">
            <v>18</v>
          </cell>
          <cell r="Z205">
            <v>41</v>
          </cell>
        </row>
        <row r="206">
          <cell r="A206">
            <v>1</v>
          </cell>
          <cell r="B206" t="str">
            <v>影袭·斩</v>
          </cell>
          <cell r="C206" t="str">
            <v>影袭·斩第4段</v>
          </cell>
          <cell r="D206">
            <v>1</v>
          </cell>
          <cell r="E206">
            <v>4</v>
          </cell>
          <cell r="F206" t="str">
            <v>第0级，共造成178.6%点伤害</v>
          </cell>
          <cell r="G206">
            <v>0</v>
          </cell>
          <cell r="H206">
            <v>4</v>
          </cell>
          <cell r="I206">
            <v>0</v>
          </cell>
          <cell r="J206">
            <v>2</v>
          </cell>
          <cell r="K206">
            <v>29.761904761904763</v>
          </cell>
          <cell r="L206">
            <v>0</v>
          </cell>
          <cell r="M206">
            <v>8000</v>
          </cell>
          <cell r="N206">
            <v>0</v>
          </cell>
          <cell r="O206">
            <v>2</v>
          </cell>
          <cell r="P206">
            <v>6</v>
          </cell>
          <cell r="Q206">
            <v>1</v>
          </cell>
          <cell r="R206">
            <v>9</v>
          </cell>
          <cell r="S206">
            <v>50</v>
          </cell>
          <cell r="T206">
            <v>29.761904761904763</v>
          </cell>
          <cell r="U206">
            <v>68</v>
          </cell>
          <cell r="V206">
            <v>178.57142857142858</v>
          </cell>
          <cell r="W206">
            <v>0</v>
          </cell>
          <cell r="X206">
            <v>0</v>
          </cell>
          <cell r="Y206">
            <v>18</v>
          </cell>
          <cell r="Z206">
            <v>0</v>
          </cell>
        </row>
        <row r="207">
          <cell r="A207">
            <v>9122401</v>
          </cell>
          <cell r="B207" t="str">
            <v>影袭·斩第4段</v>
          </cell>
          <cell r="C207" t="str">
            <v>影袭·斩第4段</v>
          </cell>
          <cell r="D207">
            <v>1</v>
          </cell>
          <cell r="E207">
            <v>4</v>
          </cell>
          <cell r="F207" t="str">
            <v>第1级，共造成178.6%点伤害</v>
          </cell>
          <cell r="G207">
            <v>4</v>
          </cell>
          <cell r="H207">
            <v>4</v>
          </cell>
          <cell r="I207">
            <v>1</v>
          </cell>
          <cell r="J207">
            <v>2</v>
          </cell>
          <cell r="K207">
            <v>29.761904761904763</v>
          </cell>
          <cell r="L207">
            <v>0</v>
          </cell>
          <cell r="M207">
            <v>8000</v>
          </cell>
          <cell r="N207">
            <v>408</v>
          </cell>
          <cell r="O207">
            <v>2</v>
          </cell>
          <cell r="P207">
            <v>6</v>
          </cell>
          <cell r="Q207">
            <v>1</v>
          </cell>
          <cell r="R207">
            <v>9</v>
          </cell>
          <cell r="S207">
            <v>50</v>
          </cell>
          <cell r="T207">
            <v>29.761904761904763</v>
          </cell>
          <cell r="U207">
            <v>68</v>
          </cell>
          <cell r="V207">
            <v>178.57142857142858</v>
          </cell>
          <cell r="W207">
            <v>6</v>
          </cell>
          <cell r="X207">
            <v>6</v>
          </cell>
          <cell r="Y207">
            <v>18</v>
          </cell>
          <cell r="Z207">
            <v>0</v>
          </cell>
        </row>
        <row r="208">
          <cell r="A208">
            <v>9122402</v>
          </cell>
          <cell r="B208" t="str">
            <v>影袭·斩第4段</v>
          </cell>
          <cell r="C208" t="str">
            <v>影袭·斩第4段</v>
          </cell>
          <cell r="D208">
            <v>1</v>
          </cell>
          <cell r="E208">
            <v>12</v>
          </cell>
          <cell r="F208" t="str">
            <v>第2级，共造成182.1%点伤害</v>
          </cell>
          <cell r="G208">
            <v>4</v>
          </cell>
          <cell r="H208">
            <v>4</v>
          </cell>
          <cell r="I208">
            <v>2</v>
          </cell>
          <cell r="J208">
            <v>2</v>
          </cell>
          <cell r="K208">
            <v>30.357142857142858</v>
          </cell>
          <cell r="L208">
            <v>0</v>
          </cell>
          <cell r="M208">
            <v>7840</v>
          </cell>
          <cell r="N208">
            <v>812</v>
          </cell>
          <cell r="O208">
            <v>2</v>
          </cell>
          <cell r="P208">
            <v>6</v>
          </cell>
          <cell r="Q208">
            <v>1</v>
          </cell>
          <cell r="R208">
            <v>9</v>
          </cell>
          <cell r="S208">
            <v>50</v>
          </cell>
          <cell r="T208">
            <v>29.761904761904763</v>
          </cell>
          <cell r="U208">
            <v>116</v>
          </cell>
          <cell r="V208">
            <v>178.57142857142858</v>
          </cell>
          <cell r="W208">
            <v>7</v>
          </cell>
          <cell r="X208">
            <v>13</v>
          </cell>
          <cell r="Y208">
            <v>18</v>
          </cell>
          <cell r="Z208">
            <v>0</v>
          </cell>
        </row>
        <row r="209">
          <cell r="A209">
            <v>9122403</v>
          </cell>
          <cell r="B209" t="str">
            <v>影袭·斩第4段</v>
          </cell>
          <cell r="C209" t="str">
            <v>影袭·斩第4段</v>
          </cell>
          <cell r="D209">
            <v>1</v>
          </cell>
          <cell r="E209">
            <v>13</v>
          </cell>
          <cell r="F209" t="str">
            <v>第3级，共造成183.9%点伤害</v>
          </cell>
          <cell r="G209">
            <v>4</v>
          </cell>
          <cell r="H209">
            <v>4</v>
          </cell>
          <cell r="I209">
            <v>3</v>
          </cell>
          <cell r="J209">
            <v>2</v>
          </cell>
          <cell r="K209">
            <v>30.654761904761905</v>
          </cell>
          <cell r="L209">
            <v>0</v>
          </cell>
          <cell r="M209">
            <v>7760</v>
          </cell>
          <cell r="N209">
            <v>854</v>
          </cell>
          <cell r="O209">
            <v>2</v>
          </cell>
          <cell r="P209">
            <v>6</v>
          </cell>
          <cell r="Q209">
            <v>1</v>
          </cell>
          <cell r="R209">
            <v>9</v>
          </cell>
          <cell r="S209">
            <v>50</v>
          </cell>
          <cell r="T209">
            <v>29.761904761904763</v>
          </cell>
          <cell r="U209">
            <v>122</v>
          </cell>
          <cell r="V209">
            <v>178.57142857142858</v>
          </cell>
          <cell r="W209">
            <v>7</v>
          </cell>
          <cell r="X209">
            <v>20</v>
          </cell>
          <cell r="Y209">
            <v>18</v>
          </cell>
          <cell r="Z209">
            <v>0</v>
          </cell>
        </row>
        <row r="210">
          <cell r="A210">
            <v>9122404</v>
          </cell>
          <cell r="B210" t="str">
            <v>影袭·斩第4段</v>
          </cell>
          <cell r="C210" t="str">
            <v>影袭·斩第4段</v>
          </cell>
          <cell r="D210">
            <v>1</v>
          </cell>
          <cell r="E210">
            <v>15</v>
          </cell>
          <cell r="F210" t="str">
            <v>第4级，共造成185.7%点伤害</v>
          </cell>
          <cell r="G210">
            <v>4</v>
          </cell>
          <cell r="H210">
            <v>4</v>
          </cell>
          <cell r="I210">
            <v>4</v>
          </cell>
          <cell r="J210">
            <v>2</v>
          </cell>
          <cell r="K210">
            <v>30.952380952380953</v>
          </cell>
          <cell r="L210">
            <v>0</v>
          </cell>
          <cell r="M210">
            <v>7680</v>
          </cell>
          <cell r="N210">
            <v>1072</v>
          </cell>
          <cell r="O210">
            <v>2</v>
          </cell>
          <cell r="P210">
            <v>6</v>
          </cell>
          <cell r="Q210">
            <v>1</v>
          </cell>
          <cell r="R210">
            <v>9</v>
          </cell>
          <cell r="S210">
            <v>50</v>
          </cell>
          <cell r="T210">
            <v>29.761904761904763</v>
          </cell>
          <cell r="U210">
            <v>134</v>
          </cell>
          <cell r="V210">
            <v>178.57142857142858</v>
          </cell>
          <cell r="W210">
            <v>8</v>
          </cell>
          <cell r="X210">
            <v>28</v>
          </cell>
          <cell r="Y210">
            <v>18</v>
          </cell>
          <cell r="Z210">
            <v>0</v>
          </cell>
        </row>
        <row r="211">
          <cell r="A211">
            <v>9122405</v>
          </cell>
          <cell r="B211" t="str">
            <v>影袭·斩第4段</v>
          </cell>
          <cell r="C211" t="str">
            <v>影袭·斩第4段</v>
          </cell>
          <cell r="D211">
            <v>1</v>
          </cell>
          <cell r="E211">
            <v>16</v>
          </cell>
          <cell r="F211" t="str">
            <v>第5级，共造成187.5%点伤害</v>
          </cell>
          <cell r="G211">
            <v>4</v>
          </cell>
          <cell r="H211">
            <v>4</v>
          </cell>
          <cell r="I211">
            <v>5</v>
          </cell>
          <cell r="J211">
            <v>2</v>
          </cell>
          <cell r="K211">
            <v>31.25</v>
          </cell>
          <cell r="L211">
            <v>0</v>
          </cell>
          <cell r="M211">
            <v>7600</v>
          </cell>
          <cell r="N211">
            <v>1120</v>
          </cell>
          <cell r="O211">
            <v>2</v>
          </cell>
          <cell r="P211">
            <v>6</v>
          </cell>
          <cell r="Q211">
            <v>1</v>
          </cell>
          <cell r="R211">
            <v>9</v>
          </cell>
          <cell r="S211">
            <v>50</v>
          </cell>
          <cell r="T211">
            <v>29.761904761904763</v>
          </cell>
          <cell r="U211">
            <v>140</v>
          </cell>
          <cell r="V211">
            <v>178.57142857142858</v>
          </cell>
          <cell r="W211">
            <v>8</v>
          </cell>
          <cell r="X211">
            <v>36</v>
          </cell>
          <cell r="Y211">
            <v>18</v>
          </cell>
          <cell r="Z211">
            <v>0</v>
          </cell>
        </row>
        <row r="212">
          <cell r="A212">
            <v>9122406</v>
          </cell>
          <cell r="B212" t="str">
            <v>影袭·斩第4段</v>
          </cell>
          <cell r="C212" t="str">
            <v>影袭·斩第4段</v>
          </cell>
          <cell r="D212">
            <v>1</v>
          </cell>
          <cell r="E212">
            <v>18</v>
          </cell>
          <cell r="F212" t="str">
            <v>第6级，共造成189.3%点伤害</v>
          </cell>
          <cell r="G212">
            <v>4</v>
          </cell>
          <cell r="H212">
            <v>4</v>
          </cell>
          <cell r="I212">
            <v>6</v>
          </cell>
          <cell r="J212">
            <v>2</v>
          </cell>
          <cell r="K212">
            <v>31.547619047619047</v>
          </cell>
          <cell r="L212">
            <v>0</v>
          </cell>
          <cell r="M212">
            <v>7520</v>
          </cell>
          <cell r="N212">
            <v>1368</v>
          </cell>
          <cell r="O212">
            <v>2</v>
          </cell>
          <cell r="P212">
            <v>6</v>
          </cell>
          <cell r="Q212">
            <v>1</v>
          </cell>
          <cell r="R212">
            <v>9</v>
          </cell>
          <cell r="S212">
            <v>50</v>
          </cell>
          <cell r="T212">
            <v>29.761904761904763</v>
          </cell>
          <cell r="U212">
            <v>152</v>
          </cell>
          <cell r="V212">
            <v>178.57142857142858</v>
          </cell>
          <cell r="W212">
            <v>9</v>
          </cell>
          <cell r="X212">
            <v>45</v>
          </cell>
          <cell r="Y212">
            <v>18</v>
          </cell>
          <cell r="Z212">
            <v>0</v>
          </cell>
        </row>
        <row r="213">
          <cell r="A213">
            <v>9122407</v>
          </cell>
          <cell r="B213" t="str">
            <v>影袭·斩第4段</v>
          </cell>
          <cell r="C213" t="str">
            <v>影袭·斩第4段</v>
          </cell>
          <cell r="D213">
            <v>1</v>
          </cell>
          <cell r="E213">
            <v>19</v>
          </cell>
          <cell r="F213" t="str">
            <v>第7级，共造成191.1%点伤害</v>
          </cell>
          <cell r="G213">
            <v>4</v>
          </cell>
          <cell r="H213">
            <v>4</v>
          </cell>
          <cell r="I213">
            <v>7</v>
          </cell>
          <cell r="J213">
            <v>2</v>
          </cell>
          <cell r="K213">
            <v>31.845238095238095</v>
          </cell>
          <cell r="L213">
            <v>0</v>
          </cell>
          <cell r="M213">
            <v>7440</v>
          </cell>
          <cell r="N213">
            <v>1422</v>
          </cell>
          <cell r="O213">
            <v>2</v>
          </cell>
          <cell r="P213">
            <v>6</v>
          </cell>
          <cell r="Q213">
            <v>1</v>
          </cell>
          <cell r="R213">
            <v>9</v>
          </cell>
          <cell r="S213">
            <v>50</v>
          </cell>
          <cell r="T213">
            <v>29.761904761904763</v>
          </cell>
          <cell r="U213">
            <v>158</v>
          </cell>
          <cell r="V213">
            <v>178.57142857142858</v>
          </cell>
          <cell r="W213">
            <v>9</v>
          </cell>
          <cell r="X213">
            <v>54</v>
          </cell>
          <cell r="Y213">
            <v>18</v>
          </cell>
          <cell r="Z213">
            <v>0</v>
          </cell>
        </row>
        <row r="214">
          <cell r="A214">
            <v>9122408</v>
          </cell>
          <cell r="B214" t="str">
            <v>影袭·斩第4段</v>
          </cell>
          <cell r="C214" t="str">
            <v>影袭·斩第4段</v>
          </cell>
          <cell r="D214">
            <v>1</v>
          </cell>
          <cell r="E214">
            <v>20</v>
          </cell>
          <cell r="F214" t="str">
            <v>第8级，共造成192.9%点伤害</v>
          </cell>
          <cell r="G214">
            <v>4</v>
          </cell>
          <cell r="H214">
            <v>4</v>
          </cell>
          <cell r="I214">
            <v>8</v>
          </cell>
          <cell r="J214">
            <v>2</v>
          </cell>
          <cell r="K214">
            <v>32.142857142857146</v>
          </cell>
          <cell r="L214">
            <v>0</v>
          </cell>
          <cell r="M214">
            <v>7360</v>
          </cell>
          <cell r="N214">
            <v>1820</v>
          </cell>
          <cell r="O214">
            <v>2</v>
          </cell>
          <cell r="P214">
            <v>6</v>
          </cell>
          <cell r="Q214">
            <v>1</v>
          </cell>
          <cell r="R214">
            <v>9</v>
          </cell>
          <cell r="S214">
            <v>50</v>
          </cell>
          <cell r="T214">
            <v>29.761904761904763</v>
          </cell>
          <cell r="U214">
            <v>182</v>
          </cell>
          <cell r="V214">
            <v>178.57142857142858</v>
          </cell>
          <cell r="W214">
            <v>10</v>
          </cell>
          <cell r="X214">
            <v>64</v>
          </cell>
          <cell r="Y214">
            <v>18</v>
          </cell>
          <cell r="Z214">
            <v>0</v>
          </cell>
        </row>
        <row r="215">
          <cell r="A215">
            <v>9122409</v>
          </cell>
          <cell r="B215" t="str">
            <v>影袭·斩第4段</v>
          </cell>
          <cell r="C215" t="str">
            <v>影袭·斩第4段</v>
          </cell>
          <cell r="D215">
            <v>1</v>
          </cell>
          <cell r="E215">
            <v>22</v>
          </cell>
          <cell r="F215" t="str">
            <v>第9级，共造成194.6%点伤害</v>
          </cell>
          <cell r="G215">
            <v>4</v>
          </cell>
          <cell r="H215">
            <v>4</v>
          </cell>
          <cell r="I215">
            <v>9</v>
          </cell>
          <cell r="J215">
            <v>2</v>
          </cell>
          <cell r="K215">
            <v>32.44047619047619</v>
          </cell>
          <cell r="L215">
            <v>0</v>
          </cell>
          <cell r="M215">
            <v>7280</v>
          </cell>
          <cell r="N215">
            <v>2629</v>
          </cell>
          <cell r="O215">
            <v>2</v>
          </cell>
          <cell r="P215">
            <v>6</v>
          </cell>
          <cell r="Q215">
            <v>1</v>
          </cell>
          <cell r="R215">
            <v>9</v>
          </cell>
          <cell r="S215">
            <v>50</v>
          </cell>
          <cell r="T215">
            <v>29.761904761904763</v>
          </cell>
          <cell r="U215">
            <v>239</v>
          </cell>
          <cell r="V215">
            <v>178.57142857142858</v>
          </cell>
          <cell r="W215">
            <v>11</v>
          </cell>
          <cell r="X215">
            <v>75</v>
          </cell>
          <cell r="Y215">
            <v>18</v>
          </cell>
          <cell r="Z215">
            <v>0</v>
          </cell>
        </row>
        <row r="216">
          <cell r="A216">
            <v>9122410</v>
          </cell>
          <cell r="B216" t="str">
            <v>影袭·斩第4段</v>
          </cell>
          <cell r="C216" t="str">
            <v>影袭·斩第4段</v>
          </cell>
          <cell r="D216">
            <v>1</v>
          </cell>
          <cell r="E216">
            <v>23</v>
          </cell>
          <cell r="F216" t="str">
            <v>第10级，共造成196.4%点伤害</v>
          </cell>
          <cell r="G216">
            <v>4</v>
          </cell>
          <cell r="H216">
            <v>4</v>
          </cell>
          <cell r="I216">
            <v>10</v>
          </cell>
          <cell r="J216">
            <v>2</v>
          </cell>
          <cell r="K216">
            <v>32.738095238095241</v>
          </cell>
          <cell r="L216">
            <v>0</v>
          </cell>
          <cell r="M216">
            <v>7200</v>
          </cell>
          <cell r="N216">
            <v>2970</v>
          </cell>
          <cell r="O216">
            <v>2</v>
          </cell>
          <cell r="P216">
            <v>6</v>
          </cell>
          <cell r="Q216">
            <v>1</v>
          </cell>
          <cell r="R216">
            <v>9</v>
          </cell>
          <cell r="S216">
            <v>50</v>
          </cell>
          <cell r="T216">
            <v>29.761904761904763</v>
          </cell>
          <cell r="U216">
            <v>270</v>
          </cell>
          <cell r="V216">
            <v>178.57142857142858</v>
          </cell>
          <cell r="W216">
            <v>11</v>
          </cell>
          <cell r="X216">
            <v>86</v>
          </cell>
          <cell r="Y216">
            <v>18</v>
          </cell>
          <cell r="Z216">
            <v>0</v>
          </cell>
        </row>
        <row r="217">
          <cell r="A217">
            <v>9122411</v>
          </cell>
          <cell r="B217" t="str">
            <v>影袭·斩第4段</v>
          </cell>
          <cell r="C217" t="str">
            <v>影袭·斩第4段</v>
          </cell>
          <cell r="D217">
            <v>1</v>
          </cell>
          <cell r="E217">
            <v>25</v>
          </cell>
          <cell r="F217" t="str">
            <v>第11级，共造成198.2%点伤害</v>
          </cell>
          <cell r="G217">
            <v>4</v>
          </cell>
          <cell r="H217">
            <v>4</v>
          </cell>
          <cell r="I217">
            <v>11</v>
          </cell>
          <cell r="J217">
            <v>2</v>
          </cell>
          <cell r="K217">
            <v>33.035714285714285</v>
          </cell>
          <cell r="L217">
            <v>0</v>
          </cell>
          <cell r="M217">
            <v>7120</v>
          </cell>
          <cell r="N217">
            <v>4020</v>
          </cell>
          <cell r="O217">
            <v>2</v>
          </cell>
          <cell r="P217">
            <v>6</v>
          </cell>
          <cell r="Q217">
            <v>1</v>
          </cell>
          <cell r="R217">
            <v>9</v>
          </cell>
          <cell r="S217">
            <v>50</v>
          </cell>
          <cell r="T217">
            <v>29.761904761904763</v>
          </cell>
          <cell r="U217">
            <v>335</v>
          </cell>
          <cell r="V217">
            <v>178.57142857142858</v>
          </cell>
          <cell r="W217">
            <v>12</v>
          </cell>
          <cell r="X217">
            <v>98</v>
          </cell>
          <cell r="Y217">
            <v>18</v>
          </cell>
          <cell r="Z217">
            <v>0</v>
          </cell>
        </row>
        <row r="218">
          <cell r="A218">
            <v>9122412</v>
          </cell>
          <cell r="B218" t="str">
            <v>影袭·斩第4段</v>
          </cell>
          <cell r="C218" t="str">
            <v>影袭·斩第4段</v>
          </cell>
          <cell r="D218">
            <v>1</v>
          </cell>
          <cell r="E218">
            <v>26</v>
          </cell>
          <cell r="F218" t="str">
            <v>第12级，共造成200%点伤害</v>
          </cell>
          <cell r="G218">
            <v>4</v>
          </cell>
          <cell r="H218">
            <v>4</v>
          </cell>
          <cell r="I218">
            <v>12</v>
          </cell>
          <cell r="J218">
            <v>2</v>
          </cell>
          <cell r="K218">
            <v>33.333333333333336</v>
          </cell>
          <cell r="L218">
            <v>0</v>
          </cell>
          <cell r="M218">
            <v>7040</v>
          </cell>
          <cell r="N218">
            <v>4810</v>
          </cell>
          <cell r="O218">
            <v>2</v>
          </cell>
          <cell r="P218">
            <v>6</v>
          </cell>
          <cell r="Q218">
            <v>1</v>
          </cell>
          <cell r="R218">
            <v>9</v>
          </cell>
          <cell r="S218">
            <v>50</v>
          </cell>
          <cell r="T218">
            <v>29.761904761904763</v>
          </cell>
          <cell r="U218">
            <v>370</v>
          </cell>
          <cell r="V218">
            <v>178.57142857142858</v>
          </cell>
          <cell r="W218">
            <v>13</v>
          </cell>
          <cell r="X218">
            <v>111</v>
          </cell>
          <cell r="Y218">
            <v>18</v>
          </cell>
          <cell r="Z218">
            <v>0</v>
          </cell>
        </row>
        <row r="219">
          <cell r="A219">
            <v>9122413</v>
          </cell>
          <cell r="B219" t="str">
            <v>影袭·斩第4段</v>
          </cell>
          <cell r="C219" t="str">
            <v>影袭·斩第4段</v>
          </cell>
          <cell r="D219">
            <v>1</v>
          </cell>
          <cell r="E219">
            <v>27</v>
          </cell>
          <cell r="F219" t="str">
            <v>第13级，共造成201.8%点伤害</v>
          </cell>
          <cell r="G219">
            <v>4</v>
          </cell>
          <cell r="H219">
            <v>4</v>
          </cell>
          <cell r="I219">
            <v>13</v>
          </cell>
          <cell r="J219">
            <v>2</v>
          </cell>
          <cell r="K219">
            <v>33.63095238095238</v>
          </cell>
          <cell r="L219">
            <v>0</v>
          </cell>
          <cell r="M219">
            <v>6960</v>
          </cell>
          <cell r="N219">
            <v>5684</v>
          </cell>
          <cell r="O219">
            <v>2</v>
          </cell>
          <cell r="P219">
            <v>6</v>
          </cell>
          <cell r="Q219">
            <v>1</v>
          </cell>
          <cell r="R219">
            <v>9</v>
          </cell>
          <cell r="S219">
            <v>50</v>
          </cell>
          <cell r="T219">
            <v>29.761904761904763</v>
          </cell>
          <cell r="U219">
            <v>406</v>
          </cell>
          <cell r="V219">
            <v>178.57142857142858</v>
          </cell>
          <cell r="W219">
            <v>14</v>
          </cell>
          <cell r="X219">
            <v>125</v>
          </cell>
          <cell r="Y219">
            <v>18</v>
          </cell>
          <cell r="Z219">
            <v>0</v>
          </cell>
        </row>
        <row r="220">
          <cell r="A220">
            <v>9122414</v>
          </cell>
          <cell r="B220" t="str">
            <v>影袭·斩第4段</v>
          </cell>
          <cell r="C220" t="str">
            <v>影袭·斩第4段</v>
          </cell>
          <cell r="D220">
            <v>1</v>
          </cell>
          <cell r="E220">
            <v>29</v>
          </cell>
          <cell r="F220" t="str">
            <v>第14级，共造成203.6%点伤害</v>
          </cell>
          <cell r="G220">
            <v>4</v>
          </cell>
          <cell r="H220">
            <v>4</v>
          </cell>
          <cell r="I220">
            <v>14</v>
          </cell>
          <cell r="J220">
            <v>2</v>
          </cell>
          <cell r="K220">
            <v>33.928571428571431</v>
          </cell>
          <cell r="L220">
            <v>0</v>
          </cell>
          <cell r="M220">
            <v>6880</v>
          </cell>
          <cell r="N220">
            <v>6748</v>
          </cell>
          <cell r="O220">
            <v>2</v>
          </cell>
          <cell r="P220">
            <v>6</v>
          </cell>
          <cell r="Q220">
            <v>1</v>
          </cell>
          <cell r="R220">
            <v>9</v>
          </cell>
          <cell r="S220">
            <v>50</v>
          </cell>
          <cell r="T220">
            <v>29.761904761904763</v>
          </cell>
          <cell r="U220">
            <v>482</v>
          </cell>
          <cell r="V220">
            <v>178.57142857142858</v>
          </cell>
          <cell r="W220">
            <v>14</v>
          </cell>
          <cell r="X220">
            <v>139</v>
          </cell>
          <cell r="Y220">
            <v>18</v>
          </cell>
          <cell r="Z220">
            <v>0</v>
          </cell>
        </row>
        <row r="221">
          <cell r="A221">
            <v>9122415</v>
          </cell>
          <cell r="B221" t="str">
            <v>影袭·斩第4段</v>
          </cell>
          <cell r="C221" t="str">
            <v>影袭·斩第4段</v>
          </cell>
          <cell r="D221">
            <v>1</v>
          </cell>
          <cell r="E221">
            <v>30</v>
          </cell>
          <cell r="F221" t="str">
            <v>第15级，共造成205.4%点伤害</v>
          </cell>
          <cell r="G221">
            <v>4</v>
          </cell>
          <cell r="H221">
            <v>4</v>
          </cell>
          <cell r="I221">
            <v>15</v>
          </cell>
          <cell r="J221">
            <v>2</v>
          </cell>
          <cell r="K221">
            <v>34.226190476190474</v>
          </cell>
          <cell r="L221">
            <v>0</v>
          </cell>
          <cell r="M221">
            <v>6800</v>
          </cell>
          <cell r="N221">
            <v>7830</v>
          </cell>
          <cell r="O221">
            <v>2</v>
          </cell>
          <cell r="P221">
            <v>6</v>
          </cell>
          <cell r="Q221">
            <v>1</v>
          </cell>
          <cell r="R221">
            <v>9</v>
          </cell>
          <cell r="S221">
            <v>50</v>
          </cell>
          <cell r="T221">
            <v>29.761904761904763</v>
          </cell>
          <cell r="U221">
            <v>522</v>
          </cell>
          <cell r="V221">
            <v>178.57142857142858</v>
          </cell>
          <cell r="W221">
            <v>15</v>
          </cell>
          <cell r="X221">
            <v>154</v>
          </cell>
          <cell r="Y221">
            <v>18</v>
          </cell>
          <cell r="Z221">
            <v>0</v>
          </cell>
        </row>
        <row r="222">
          <cell r="A222">
            <v>9122416</v>
          </cell>
          <cell r="B222" t="str">
            <v>影袭·斩第4段</v>
          </cell>
          <cell r="C222" t="str">
            <v>影袭·斩第4段</v>
          </cell>
          <cell r="D222">
            <v>1</v>
          </cell>
          <cell r="E222">
            <v>32</v>
          </cell>
          <cell r="F222" t="str">
            <v>第16级，共造成207.1%点伤害</v>
          </cell>
          <cell r="G222">
            <v>4</v>
          </cell>
          <cell r="H222">
            <v>4</v>
          </cell>
          <cell r="I222">
            <v>16</v>
          </cell>
          <cell r="J222">
            <v>2</v>
          </cell>
          <cell r="K222">
            <v>34.523809523809526</v>
          </cell>
          <cell r="L222">
            <v>0</v>
          </cell>
          <cell r="M222">
            <v>6720</v>
          </cell>
          <cell r="N222">
            <v>9696</v>
          </cell>
          <cell r="O222">
            <v>2</v>
          </cell>
          <cell r="P222">
            <v>6</v>
          </cell>
          <cell r="Q222">
            <v>1</v>
          </cell>
          <cell r="R222">
            <v>9</v>
          </cell>
          <cell r="S222">
            <v>50</v>
          </cell>
          <cell r="T222">
            <v>29.761904761904763</v>
          </cell>
          <cell r="U222">
            <v>606</v>
          </cell>
          <cell r="V222">
            <v>178.57142857142858</v>
          </cell>
          <cell r="W222">
            <v>16</v>
          </cell>
          <cell r="X222">
            <v>170</v>
          </cell>
          <cell r="Y222">
            <v>18</v>
          </cell>
          <cell r="Z222">
            <v>0</v>
          </cell>
        </row>
        <row r="223">
          <cell r="A223">
            <v>9122417</v>
          </cell>
          <cell r="B223" t="str">
            <v>影袭·斩第4段</v>
          </cell>
          <cell r="C223" t="str">
            <v>影袭·斩第4段</v>
          </cell>
          <cell r="D223">
            <v>1</v>
          </cell>
          <cell r="E223">
            <v>33</v>
          </cell>
          <cell r="F223" t="str">
            <v>第17级，共造成208.9%点伤害</v>
          </cell>
          <cell r="G223">
            <v>4</v>
          </cell>
          <cell r="H223">
            <v>4</v>
          </cell>
          <cell r="I223">
            <v>17</v>
          </cell>
          <cell r="J223">
            <v>2</v>
          </cell>
          <cell r="K223">
            <v>34.821428571428569</v>
          </cell>
          <cell r="L223">
            <v>0</v>
          </cell>
          <cell r="M223">
            <v>6640</v>
          </cell>
          <cell r="N223">
            <v>11718</v>
          </cell>
          <cell r="O223">
            <v>2</v>
          </cell>
          <cell r="P223">
            <v>6</v>
          </cell>
          <cell r="Q223">
            <v>1</v>
          </cell>
          <cell r="R223">
            <v>9</v>
          </cell>
          <cell r="S223">
            <v>50</v>
          </cell>
          <cell r="T223">
            <v>29.761904761904763</v>
          </cell>
          <cell r="U223">
            <v>651</v>
          </cell>
          <cell r="V223">
            <v>178.57142857142858</v>
          </cell>
          <cell r="W223">
            <v>18</v>
          </cell>
          <cell r="X223">
            <v>188</v>
          </cell>
          <cell r="Y223">
            <v>18</v>
          </cell>
          <cell r="Z223">
            <v>0</v>
          </cell>
        </row>
        <row r="224">
          <cell r="A224">
            <v>9122418</v>
          </cell>
          <cell r="B224" t="str">
            <v>影袭·斩第4段</v>
          </cell>
          <cell r="C224" t="str">
            <v>影袭·斩第4段</v>
          </cell>
          <cell r="D224">
            <v>1</v>
          </cell>
          <cell r="E224">
            <v>35</v>
          </cell>
          <cell r="F224" t="str">
            <v>第18级，共造成210.7%点伤害</v>
          </cell>
          <cell r="G224">
            <v>4</v>
          </cell>
          <cell r="H224">
            <v>4</v>
          </cell>
          <cell r="I224">
            <v>18</v>
          </cell>
          <cell r="J224">
            <v>2</v>
          </cell>
          <cell r="K224">
            <v>35.11904761904762</v>
          </cell>
          <cell r="L224">
            <v>0</v>
          </cell>
          <cell r="M224">
            <v>6560</v>
          </cell>
          <cell r="N224">
            <v>14117</v>
          </cell>
          <cell r="O224">
            <v>2</v>
          </cell>
          <cell r="P224">
            <v>6</v>
          </cell>
          <cell r="Q224">
            <v>1</v>
          </cell>
          <cell r="R224">
            <v>9</v>
          </cell>
          <cell r="S224">
            <v>50</v>
          </cell>
          <cell r="T224">
            <v>29.761904761904763</v>
          </cell>
          <cell r="U224">
            <v>743</v>
          </cell>
          <cell r="V224">
            <v>178.57142857142858</v>
          </cell>
          <cell r="W224">
            <v>19</v>
          </cell>
          <cell r="X224">
            <v>207</v>
          </cell>
          <cell r="Y224">
            <v>18</v>
          </cell>
          <cell r="Z224">
            <v>8</v>
          </cell>
        </row>
        <row r="225">
          <cell r="A225">
            <v>9122419</v>
          </cell>
          <cell r="B225" t="str">
            <v>影袭·斩第4段</v>
          </cell>
          <cell r="C225" t="str">
            <v>影袭·斩第4段</v>
          </cell>
          <cell r="D225">
            <v>1</v>
          </cell>
          <cell r="E225">
            <v>36</v>
          </cell>
          <cell r="F225" t="str">
            <v>第19级，共造成212.5%点伤害</v>
          </cell>
          <cell r="G225">
            <v>4</v>
          </cell>
          <cell r="H225">
            <v>4</v>
          </cell>
          <cell r="I225">
            <v>19</v>
          </cell>
          <cell r="J225">
            <v>2</v>
          </cell>
          <cell r="K225">
            <v>35.416666666666671</v>
          </cell>
          <cell r="L225">
            <v>0</v>
          </cell>
          <cell r="M225">
            <v>6480</v>
          </cell>
          <cell r="N225">
            <v>15820</v>
          </cell>
          <cell r="O225">
            <v>2</v>
          </cell>
          <cell r="P225">
            <v>6</v>
          </cell>
          <cell r="Q225">
            <v>1</v>
          </cell>
          <cell r="R225">
            <v>9</v>
          </cell>
          <cell r="S225">
            <v>50</v>
          </cell>
          <cell r="T225">
            <v>29.761904761904763</v>
          </cell>
          <cell r="U225">
            <v>791</v>
          </cell>
          <cell r="V225">
            <v>178.57142857142858</v>
          </cell>
          <cell r="W225">
            <v>20</v>
          </cell>
          <cell r="X225">
            <v>227</v>
          </cell>
          <cell r="Y225">
            <v>18</v>
          </cell>
          <cell r="Z225">
            <v>8</v>
          </cell>
        </row>
        <row r="226">
          <cell r="A226">
            <v>9122420</v>
          </cell>
          <cell r="B226" t="str">
            <v>影袭·斩第4段</v>
          </cell>
          <cell r="C226" t="str">
            <v>影袭·斩第4段</v>
          </cell>
          <cell r="D226">
            <v>1</v>
          </cell>
          <cell r="E226">
            <v>37</v>
          </cell>
          <cell r="F226" t="str">
            <v>第20级，共造成214.3%点伤害</v>
          </cell>
          <cell r="G226">
            <v>4</v>
          </cell>
          <cell r="H226">
            <v>4</v>
          </cell>
          <cell r="I226">
            <v>20</v>
          </cell>
          <cell r="J226">
            <v>2</v>
          </cell>
          <cell r="K226">
            <v>35.714285714285715</v>
          </cell>
          <cell r="L226">
            <v>0</v>
          </cell>
          <cell r="M226">
            <v>6400</v>
          </cell>
          <cell r="N226">
            <v>18502</v>
          </cell>
          <cell r="O226">
            <v>2</v>
          </cell>
          <cell r="P226">
            <v>6</v>
          </cell>
          <cell r="Q226">
            <v>1</v>
          </cell>
          <cell r="R226">
            <v>9</v>
          </cell>
          <cell r="S226">
            <v>50</v>
          </cell>
          <cell r="T226">
            <v>29.761904761904763</v>
          </cell>
          <cell r="U226">
            <v>841</v>
          </cell>
          <cell r="V226">
            <v>178.57142857142858</v>
          </cell>
          <cell r="W226">
            <v>22</v>
          </cell>
          <cell r="X226">
            <v>249</v>
          </cell>
          <cell r="Y226">
            <v>18</v>
          </cell>
          <cell r="Z226">
            <v>9</v>
          </cell>
        </row>
        <row r="227">
          <cell r="A227">
            <v>9122421</v>
          </cell>
          <cell r="B227" t="str">
            <v>影袭·斩第4段</v>
          </cell>
          <cell r="C227" t="str">
            <v>影袭·斩第4段</v>
          </cell>
          <cell r="D227">
            <v>1</v>
          </cell>
          <cell r="E227">
            <v>39</v>
          </cell>
          <cell r="F227" t="str">
            <v>第21级，共造成216.1%点伤害</v>
          </cell>
          <cell r="G227">
            <v>4</v>
          </cell>
          <cell r="H227">
            <v>4</v>
          </cell>
          <cell r="I227">
            <v>21</v>
          </cell>
          <cell r="J227">
            <v>2</v>
          </cell>
          <cell r="K227">
            <v>36.011904761904759</v>
          </cell>
          <cell r="L227">
            <v>0</v>
          </cell>
          <cell r="M227">
            <v>6320</v>
          </cell>
          <cell r="N227">
            <v>21712</v>
          </cell>
          <cell r="O227">
            <v>2</v>
          </cell>
          <cell r="P227">
            <v>6</v>
          </cell>
          <cell r="Q227">
            <v>1</v>
          </cell>
          <cell r="R227">
            <v>9</v>
          </cell>
          <cell r="S227">
            <v>50</v>
          </cell>
          <cell r="T227">
            <v>29.761904761904763</v>
          </cell>
          <cell r="U227">
            <v>944</v>
          </cell>
          <cell r="V227">
            <v>178.57142857142858</v>
          </cell>
          <cell r="W227">
            <v>23</v>
          </cell>
          <cell r="X227">
            <v>272</v>
          </cell>
          <cell r="Y227">
            <v>18</v>
          </cell>
          <cell r="Z227">
            <v>10</v>
          </cell>
        </row>
        <row r="228">
          <cell r="A228">
            <v>9122422</v>
          </cell>
          <cell r="B228" t="str">
            <v>影袭·斩第4段</v>
          </cell>
          <cell r="C228" t="str">
            <v>影袭·斩第4段</v>
          </cell>
          <cell r="D228">
            <v>1</v>
          </cell>
          <cell r="E228">
            <v>40</v>
          </cell>
          <cell r="F228" t="str">
            <v>第22级，共造成217.9%点伤害</v>
          </cell>
          <cell r="G228">
            <v>4</v>
          </cell>
          <cell r="H228">
            <v>4</v>
          </cell>
          <cell r="I228">
            <v>22</v>
          </cell>
          <cell r="J228">
            <v>2</v>
          </cell>
          <cell r="K228">
            <v>36.30952380952381</v>
          </cell>
          <cell r="L228">
            <v>0</v>
          </cell>
          <cell r="M228">
            <v>6240</v>
          </cell>
          <cell r="N228">
            <v>24950</v>
          </cell>
          <cell r="O228">
            <v>2</v>
          </cell>
          <cell r="P228">
            <v>6</v>
          </cell>
          <cell r="Q228">
            <v>1</v>
          </cell>
          <cell r="R228">
            <v>9</v>
          </cell>
          <cell r="S228">
            <v>50</v>
          </cell>
          <cell r="T228">
            <v>29.761904761904763</v>
          </cell>
          <cell r="U228">
            <v>998</v>
          </cell>
          <cell r="V228">
            <v>178.57142857142858</v>
          </cell>
          <cell r="W228">
            <v>25</v>
          </cell>
          <cell r="X228">
            <v>297</v>
          </cell>
          <cell r="Y228">
            <v>18</v>
          </cell>
          <cell r="Z228">
            <v>10</v>
          </cell>
        </row>
        <row r="229">
          <cell r="A229">
            <v>9122423</v>
          </cell>
          <cell r="B229" t="str">
            <v>影袭·斩第4段</v>
          </cell>
          <cell r="C229" t="str">
            <v>影袭·斩第4段</v>
          </cell>
          <cell r="D229">
            <v>1</v>
          </cell>
          <cell r="E229">
            <v>42</v>
          </cell>
          <cell r="F229" t="str">
            <v>第23级，共造成219.6%点伤害</v>
          </cell>
          <cell r="G229">
            <v>4</v>
          </cell>
          <cell r="H229">
            <v>4</v>
          </cell>
          <cell r="I229">
            <v>23</v>
          </cell>
          <cell r="J229">
            <v>2</v>
          </cell>
          <cell r="K229">
            <v>36.607142857142861</v>
          </cell>
          <cell r="L229">
            <v>0</v>
          </cell>
          <cell r="M229">
            <v>6160</v>
          </cell>
          <cell r="N229">
            <v>29970</v>
          </cell>
          <cell r="O229">
            <v>2</v>
          </cell>
          <cell r="P229">
            <v>6</v>
          </cell>
          <cell r="Q229">
            <v>1</v>
          </cell>
          <cell r="R229">
            <v>9</v>
          </cell>
          <cell r="S229">
            <v>50</v>
          </cell>
          <cell r="T229">
            <v>29.761904761904763</v>
          </cell>
          <cell r="U229">
            <v>1110</v>
          </cell>
          <cell r="V229">
            <v>178.57142857142858</v>
          </cell>
          <cell r="W229">
            <v>27</v>
          </cell>
          <cell r="X229">
            <v>324</v>
          </cell>
          <cell r="Y229">
            <v>18</v>
          </cell>
          <cell r="Z229">
            <v>11</v>
          </cell>
        </row>
        <row r="230">
          <cell r="A230">
            <v>9122424</v>
          </cell>
          <cell r="B230" t="str">
            <v>影袭·斩第4段</v>
          </cell>
          <cell r="C230" t="str">
            <v>影袭·斩第4段</v>
          </cell>
          <cell r="D230">
            <v>1</v>
          </cell>
          <cell r="E230">
            <v>43</v>
          </cell>
          <cell r="F230" t="str">
            <v>第24级，共造成221.4%点伤害</v>
          </cell>
          <cell r="G230">
            <v>4</v>
          </cell>
          <cell r="H230">
            <v>4</v>
          </cell>
          <cell r="I230">
            <v>24</v>
          </cell>
          <cell r="J230">
            <v>2</v>
          </cell>
          <cell r="K230">
            <v>36.904761904761905</v>
          </cell>
          <cell r="L230">
            <v>0</v>
          </cell>
          <cell r="M230">
            <v>6080</v>
          </cell>
          <cell r="N230">
            <v>33843</v>
          </cell>
          <cell r="O230">
            <v>2</v>
          </cell>
          <cell r="P230">
            <v>6</v>
          </cell>
          <cell r="Q230">
            <v>1</v>
          </cell>
          <cell r="R230">
            <v>9</v>
          </cell>
          <cell r="S230">
            <v>50</v>
          </cell>
          <cell r="T230">
            <v>29.761904761904763</v>
          </cell>
          <cell r="U230">
            <v>1167</v>
          </cell>
          <cell r="V230">
            <v>178.57142857142858</v>
          </cell>
          <cell r="W230">
            <v>29</v>
          </cell>
          <cell r="X230">
            <v>353</v>
          </cell>
          <cell r="Y230">
            <v>18</v>
          </cell>
          <cell r="Z230">
            <v>12</v>
          </cell>
        </row>
        <row r="231">
          <cell r="A231">
            <v>9122425</v>
          </cell>
          <cell r="B231" t="str">
            <v>影袭·斩第4段</v>
          </cell>
          <cell r="C231" t="str">
            <v>影袭·斩第4段</v>
          </cell>
          <cell r="D231">
            <v>1</v>
          </cell>
          <cell r="E231">
            <v>45</v>
          </cell>
          <cell r="F231" t="str">
            <v>第25级，共造成223.2%点伤害</v>
          </cell>
          <cell r="G231">
            <v>4</v>
          </cell>
          <cell r="H231">
            <v>4</v>
          </cell>
          <cell r="I231">
            <v>25</v>
          </cell>
          <cell r="J231">
            <v>2</v>
          </cell>
          <cell r="K231">
            <v>37.202380952380956</v>
          </cell>
          <cell r="L231">
            <v>0</v>
          </cell>
          <cell r="M231">
            <v>6000</v>
          </cell>
          <cell r="N231">
            <v>39897</v>
          </cell>
          <cell r="O231">
            <v>2</v>
          </cell>
          <cell r="P231">
            <v>6</v>
          </cell>
          <cell r="Q231">
            <v>1</v>
          </cell>
          <cell r="R231">
            <v>9</v>
          </cell>
          <cell r="S231">
            <v>50</v>
          </cell>
          <cell r="T231">
            <v>29.761904761904763</v>
          </cell>
          <cell r="U231">
            <v>1287</v>
          </cell>
          <cell r="V231">
            <v>178.57142857142858</v>
          </cell>
          <cell r="W231">
            <v>31</v>
          </cell>
          <cell r="X231">
            <v>384</v>
          </cell>
          <cell r="Y231">
            <v>18</v>
          </cell>
          <cell r="Z231">
            <v>13</v>
          </cell>
        </row>
        <row r="232">
          <cell r="A232">
            <v>9122426</v>
          </cell>
          <cell r="B232" t="str">
            <v>影袭·斩第4段</v>
          </cell>
          <cell r="C232" t="str">
            <v>影袭·斩第4段</v>
          </cell>
          <cell r="D232">
            <v>1</v>
          </cell>
          <cell r="E232">
            <v>46</v>
          </cell>
          <cell r="F232" t="str">
            <v>第26级，共造成225%点伤害</v>
          </cell>
          <cell r="G232">
            <v>4</v>
          </cell>
          <cell r="H232">
            <v>4</v>
          </cell>
          <cell r="I232">
            <v>26</v>
          </cell>
          <cell r="J232">
            <v>2</v>
          </cell>
          <cell r="K232">
            <v>37.5</v>
          </cell>
          <cell r="L232">
            <v>0</v>
          </cell>
          <cell r="M232">
            <v>5920</v>
          </cell>
          <cell r="N232">
            <v>44517</v>
          </cell>
          <cell r="O232">
            <v>2</v>
          </cell>
          <cell r="P232">
            <v>6</v>
          </cell>
          <cell r="Q232">
            <v>1</v>
          </cell>
          <cell r="R232">
            <v>9</v>
          </cell>
          <cell r="S232">
            <v>50</v>
          </cell>
          <cell r="T232">
            <v>29.761904761904763</v>
          </cell>
          <cell r="U232">
            <v>1349</v>
          </cell>
          <cell r="V232">
            <v>178.57142857142858</v>
          </cell>
          <cell r="W232">
            <v>33</v>
          </cell>
          <cell r="X232">
            <v>417</v>
          </cell>
          <cell r="Y232">
            <v>18</v>
          </cell>
          <cell r="Z232">
            <v>14</v>
          </cell>
        </row>
        <row r="233">
          <cell r="A233">
            <v>9122427</v>
          </cell>
          <cell r="B233" t="str">
            <v>影袭·斩第4段</v>
          </cell>
          <cell r="C233" t="str">
            <v>影袭·斩第4段</v>
          </cell>
          <cell r="D233">
            <v>1</v>
          </cell>
          <cell r="E233">
            <v>47</v>
          </cell>
          <cell r="F233" t="str">
            <v>第27级，共造成226.8%点伤害</v>
          </cell>
          <cell r="G233">
            <v>4</v>
          </cell>
          <cell r="H233">
            <v>4</v>
          </cell>
          <cell r="I233">
            <v>27</v>
          </cell>
          <cell r="J233">
            <v>2</v>
          </cell>
          <cell r="K233">
            <v>37.797619047619051</v>
          </cell>
          <cell r="L233">
            <v>0</v>
          </cell>
          <cell r="M233">
            <v>5840</v>
          </cell>
          <cell r="N233">
            <v>49420</v>
          </cell>
          <cell r="O233">
            <v>2</v>
          </cell>
          <cell r="P233">
            <v>6</v>
          </cell>
          <cell r="Q233">
            <v>1</v>
          </cell>
          <cell r="R233">
            <v>9</v>
          </cell>
          <cell r="S233">
            <v>50</v>
          </cell>
          <cell r="T233">
            <v>29.761904761904763</v>
          </cell>
          <cell r="U233">
            <v>1412</v>
          </cell>
          <cell r="V233">
            <v>178.57142857142858</v>
          </cell>
          <cell r="W233">
            <v>35</v>
          </cell>
          <cell r="X233">
            <v>452</v>
          </cell>
          <cell r="Y233">
            <v>18</v>
          </cell>
          <cell r="Z233">
            <v>14</v>
          </cell>
        </row>
        <row r="234">
          <cell r="A234">
            <v>9122428</v>
          </cell>
          <cell r="B234" t="str">
            <v>影袭·斩第4段</v>
          </cell>
          <cell r="C234" t="str">
            <v>影袭·斩第4段</v>
          </cell>
          <cell r="D234">
            <v>1</v>
          </cell>
          <cell r="E234">
            <v>49</v>
          </cell>
          <cell r="F234" t="str">
            <v>第28级，共造成228.6%点伤害</v>
          </cell>
          <cell r="G234">
            <v>4</v>
          </cell>
          <cell r="H234">
            <v>4</v>
          </cell>
          <cell r="I234">
            <v>28</v>
          </cell>
          <cell r="J234">
            <v>2</v>
          </cell>
          <cell r="K234">
            <v>38.095238095238095</v>
          </cell>
          <cell r="L234">
            <v>0</v>
          </cell>
          <cell r="M234">
            <v>5760</v>
          </cell>
          <cell r="N234">
            <v>58634</v>
          </cell>
          <cell r="O234">
            <v>2</v>
          </cell>
          <cell r="P234">
            <v>6</v>
          </cell>
          <cell r="Q234">
            <v>1</v>
          </cell>
          <cell r="R234">
            <v>9</v>
          </cell>
          <cell r="S234">
            <v>50</v>
          </cell>
          <cell r="T234">
            <v>29.761904761904763</v>
          </cell>
          <cell r="U234">
            <v>1543</v>
          </cell>
          <cell r="V234">
            <v>178.57142857142858</v>
          </cell>
          <cell r="W234">
            <v>38</v>
          </cell>
          <cell r="X234">
            <v>490</v>
          </cell>
          <cell r="Y234">
            <v>18</v>
          </cell>
          <cell r="Z234">
            <v>16</v>
          </cell>
        </row>
        <row r="235">
          <cell r="A235">
            <v>9122429</v>
          </cell>
          <cell r="B235" t="str">
            <v>影袭·斩第4段</v>
          </cell>
          <cell r="C235" t="str">
            <v>影袭·斩第4段</v>
          </cell>
          <cell r="D235">
            <v>1</v>
          </cell>
          <cell r="E235">
            <v>50</v>
          </cell>
          <cell r="F235" t="str">
            <v>第29级，共造成230.4%点伤害</v>
          </cell>
          <cell r="G235">
            <v>4</v>
          </cell>
          <cell r="H235">
            <v>4</v>
          </cell>
          <cell r="I235">
            <v>29</v>
          </cell>
          <cell r="J235">
            <v>2</v>
          </cell>
          <cell r="K235">
            <v>38.392857142857146</v>
          </cell>
          <cell r="L235">
            <v>0</v>
          </cell>
          <cell r="M235">
            <v>5680</v>
          </cell>
          <cell r="N235">
            <v>64400</v>
          </cell>
          <cell r="O235">
            <v>2</v>
          </cell>
          <cell r="P235">
            <v>6</v>
          </cell>
          <cell r="Q235">
            <v>1</v>
          </cell>
          <cell r="R235">
            <v>9</v>
          </cell>
          <cell r="S235">
            <v>50</v>
          </cell>
          <cell r="T235">
            <v>29.761904761904763</v>
          </cell>
          <cell r="U235">
            <v>1610</v>
          </cell>
          <cell r="V235">
            <v>178.57142857142858</v>
          </cell>
          <cell r="W235">
            <v>40</v>
          </cell>
          <cell r="X235">
            <v>530</v>
          </cell>
          <cell r="Y235">
            <v>18</v>
          </cell>
          <cell r="Z235">
            <v>16</v>
          </cell>
        </row>
        <row r="236">
          <cell r="A236">
            <v>9122430</v>
          </cell>
          <cell r="B236" t="str">
            <v>影袭·斩第4段</v>
          </cell>
          <cell r="C236" t="str">
            <v>影袭·斩第4段</v>
          </cell>
          <cell r="D236">
            <v>1</v>
          </cell>
          <cell r="E236">
            <v>52</v>
          </cell>
          <cell r="F236" t="str">
            <v>第30级，共造成232.1%点伤害</v>
          </cell>
          <cell r="G236">
            <v>4</v>
          </cell>
          <cell r="H236">
            <v>4</v>
          </cell>
          <cell r="I236">
            <v>30</v>
          </cell>
          <cell r="J236">
            <v>2</v>
          </cell>
          <cell r="K236">
            <v>38.69047619047619</v>
          </cell>
          <cell r="L236">
            <v>0</v>
          </cell>
          <cell r="M236">
            <v>5600</v>
          </cell>
          <cell r="N236">
            <v>75207</v>
          </cell>
          <cell r="O236">
            <v>2</v>
          </cell>
          <cell r="P236">
            <v>6</v>
          </cell>
          <cell r="Q236">
            <v>1</v>
          </cell>
          <cell r="R236">
            <v>9</v>
          </cell>
          <cell r="S236">
            <v>50</v>
          </cell>
          <cell r="T236">
            <v>29.761904761904763</v>
          </cell>
          <cell r="U236">
            <v>1749</v>
          </cell>
          <cell r="V236">
            <v>178.57142857142858</v>
          </cell>
          <cell r="W236">
            <v>43</v>
          </cell>
          <cell r="X236">
            <v>573</v>
          </cell>
          <cell r="Y236">
            <v>18</v>
          </cell>
          <cell r="Z236">
            <v>18</v>
          </cell>
        </row>
        <row r="237">
          <cell r="A237">
            <v>9122431</v>
          </cell>
          <cell r="B237" t="str">
            <v>影袭·斩第4段</v>
          </cell>
          <cell r="C237" t="str">
            <v>影袭·斩第4段</v>
          </cell>
          <cell r="D237">
            <v>1</v>
          </cell>
          <cell r="E237">
            <v>53</v>
          </cell>
          <cell r="F237" t="str">
            <v>第31级，共造成233.9%点伤害</v>
          </cell>
          <cell r="G237">
            <v>4</v>
          </cell>
          <cell r="H237">
            <v>4</v>
          </cell>
          <cell r="I237">
            <v>31</v>
          </cell>
          <cell r="J237">
            <v>2</v>
          </cell>
          <cell r="K237">
            <v>38.988095238095241</v>
          </cell>
          <cell r="L237">
            <v>0</v>
          </cell>
          <cell r="M237">
            <v>5520</v>
          </cell>
          <cell r="N237">
            <v>83720</v>
          </cell>
          <cell r="O237">
            <v>2</v>
          </cell>
          <cell r="P237">
            <v>6</v>
          </cell>
          <cell r="Q237">
            <v>1</v>
          </cell>
          <cell r="R237">
            <v>9</v>
          </cell>
          <cell r="S237">
            <v>50</v>
          </cell>
          <cell r="T237">
            <v>29.761904761904763</v>
          </cell>
          <cell r="U237">
            <v>1820</v>
          </cell>
          <cell r="V237">
            <v>178.57142857142858</v>
          </cell>
          <cell r="W237">
            <v>46</v>
          </cell>
          <cell r="X237">
            <v>619</v>
          </cell>
          <cell r="Y237">
            <v>18</v>
          </cell>
          <cell r="Z237">
            <v>19</v>
          </cell>
        </row>
        <row r="238">
          <cell r="A238">
            <v>9122432</v>
          </cell>
          <cell r="B238" t="str">
            <v>影袭·斩第4段</v>
          </cell>
          <cell r="C238" t="str">
            <v>影袭·斩第4段</v>
          </cell>
          <cell r="D238">
            <v>1</v>
          </cell>
          <cell r="E238">
            <v>54</v>
          </cell>
          <cell r="F238" t="str">
            <v>第32级，共造成235.7%点伤害</v>
          </cell>
          <cell r="G238">
            <v>4</v>
          </cell>
          <cell r="H238">
            <v>4</v>
          </cell>
          <cell r="I238">
            <v>32</v>
          </cell>
          <cell r="J238">
            <v>2</v>
          </cell>
          <cell r="K238">
            <v>39.285714285714285</v>
          </cell>
          <cell r="L238">
            <v>0</v>
          </cell>
          <cell r="M238">
            <v>5440</v>
          </cell>
          <cell r="N238">
            <v>92757</v>
          </cell>
          <cell r="O238">
            <v>2</v>
          </cell>
          <cell r="P238">
            <v>6</v>
          </cell>
          <cell r="Q238">
            <v>1</v>
          </cell>
          <cell r="R238">
            <v>9</v>
          </cell>
          <cell r="S238">
            <v>50</v>
          </cell>
          <cell r="T238">
            <v>29.761904761904763</v>
          </cell>
          <cell r="U238">
            <v>1893</v>
          </cell>
          <cell r="V238">
            <v>178.57142857142858</v>
          </cell>
          <cell r="W238">
            <v>49</v>
          </cell>
          <cell r="X238">
            <v>668</v>
          </cell>
          <cell r="Y238">
            <v>18</v>
          </cell>
          <cell r="Z238">
            <v>20</v>
          </cell>
        </row>
        <row r="239">
          <cell r="A239">
            <v>9122433</v>
          </cell>
          <cell r="B239" t="str">
            <v>影袭·斩第4段</v>
          </cell>
          <cell r="C239" t="str">
            <v>影袭·斩第4段</v>
          </cell>
          <cell r="D239">
            <v>1</v>
          </cell>
          <cell r="E239">
            <v>56</v>
          </cell>
          <cell r="F239" t="str">
            <v>第33级，共造成237.5%点伤害</v>
          </cell>
          <cell r="G239">
            <v>4</v>
          </cell>
          <cell r="H239">
            <v>4</v>
          </cell>
          <cell r="I239">
            <v>33</v>
          </cell>
          <cell r="J239">
            <v>2</v>
          </cell>
          <cell r="K239">
            <v>39.583333333333336</v>
          </cell>
          <cell r="L239">
            <v>0</v>
          </cell>
          <cell r="M239">
            <v>5360</v>
          </cell>
          <cell r="N239">
            <v>108226</v>
          </cell>
          <cell r="O239">
            <v>2</v>
          </cell>
          <cell r="P239">
            <v>6</v>
          </cell>
          <cell r="Q239">
            <v>1</v>
          </cell>
          <cell r="R239">
            <v>9</v>
          </cell>
          <cell r="S239">
            <v>50</v>
          </cell>
          <cell r="T239">
            <v>29.761904761904763</v>
          </cell>
          <cell r="U239">
            <v>2042</v>
          </cell>
          <cell r="V239">
            <v>178.57142857142858</v>
          </cell>
          <cell r="W239">
            <v>53</v>
          </cell>
          <cell r="X239">
            <v>721</v>
          </cell>
          <cell r="Y239">
            <v>18</v>
          </cell>
          <cell r="Z239">
            <v>22</v>
          </cell>
        </row>
        <row r="240">
          <cell r="A240">
            <v>9122434</v>
          </cell>
          <cell r="B240" t="str">
            <v>影袭·斩第4段</v>
          </cell>
          <cell r="C240" t="str">
            <v>影袭·斩第4段</v>
          </cell>
          <cell r="D240">
            <v>1</v>
          </cell>
          <cell r="E240">
            <v>57</v>
          </cell>
          <cell r="F240" t="str">
            <v>第34级，共造成239.3%点伤害</v>
          </cell>
          <cell r="G240">
            <v>4</v>
          </cell>
          <cell r="H240">
            <v>4</v>
          </cell>
          <cell r="I240">
            <v>34</v>
          </cell>
          <cell r="J240">
            <v>2</v>
          </cell>
          <cell r="K240">
            <v>39.88095238095238</v>
          </cell>
          <cell r="L240">
            <v>0</v>
          </cell>
          <cell r="M240">
            <v>5280</v>
          </cell>
          <cell r="N240">
            <v>120783</v>
          </cell>
          <cell r="O240">
            <v>2</v>
          </cell>
          <cell r="P240">
            <v>6</v>
          </cell>
          <cell r="Q240">
            <v>1</v>
          </cell>
          <cell r="R240">
            <v>9</v>
          </cell>
          <cell r="S240">
            <v>50</v>
          </cell>
          <cell r="T240">
            <v>29.761904761904763</v>
          </cell>
          <cell r="U240">
            <v>2119</v>
          </cell>
          <cell r="V240">
            <v>178.57142857142858</v>
          </cell>
          <cell r="W240">
            <v>57</v>
          </cell>
          <cell r="X240">
            <v>778</v>
          </cell>
          <cell r="Y240">
            <v>18</v>
          </cell>
          <cell r="Z240">
            <v>23</v>
          </cell>
        </row>
        <row r="241">
          <cell r="A241">
            <v>9122435</v>
          </cell>
          <cell r="B241" t="str">
            <v>影袭·斩第4段</v>
          </cell>
          <cell r="C241" t="str">
            <v>影袭·斩第4段</v>
          </cell>
          <cell r="D241">
            <v>1</v>
          </cell>
          <cell r="E241">
            <v>59</v>
          </cell>
          <cell r="F241" t="str">
            <v>第35级，共造成241.1%点伤害</v>
          </cell>
          <cell r="G241">
            <v>4</v>
          </cell>
          <cell r="H241">
            <v>4</v>
          </cell>
          <cell r="I241">
            <v>35</v>
          </cell>
          <cell r="J241">
            <v>2</v>
          </cell>
          <cell r="K241">
            <v>40.178571428571431</v>
          </cell>
          <cell r="L241">
            <v>0</v>
          </cell>
          <cell r="M241">
            <v>5200</v>
          </cell>
          <cell r="N241">
            <v>138897</v>
          </cell>
          <cell r="O241">
            <v>2</v>
          </cell>
          <cell r="P241">
            <v>6</v>
          </cell>
          <cell r="Q241">
            <v>1</v>
          </cell>
          <cell r="R241">
            <v>9</v>
          </cell>
          <cell r="S241">
            <v>50</v>
          </cell>
          <cell r="T241">
            <v>29.761904761904763</v>
          </cell>
          <cell r="U241">
            <v>2277</v>
          </cell>
          <cell r="V241">
            <v>178.57142857142858</v>
          </cell>
          <cell r="W241">
            <v>61</v>
          </cell>
          <cell r="X241">
            <v>839</v>
          </cell>
          <cell r="Y241">
            <v>18</v>
          </cell>
          <cell r="Z241">
            <v>25</v>
          </cell>
        </row>
        <row r="242">
          <cell r="A242">
            <v>9122436</v>
          </cell>
          <cell r="B242" t="str">
            <v>影袭·斩第4段</v>
          </cell>
          <cell r="C242" t="str">
            <v>影袭·斩第4段</v>
          </cell>
          <cell r="D242">
            <v>1</v>
          </cell>
          <cell r="E242">
            <v>60</v>
          </cell>
          <cell r="F242" t="str">
            <v>第36级，共造成242.9%点伤害</v>
          </cell>
          <cell r="G242">
            <v>4</v>
          </cell>
          <cell r="H242">
            <v>4</v>
          </cell>
          <cell r="I242">
            <v>36</v>
          </cell>
          <cell r="J242">
            <v>2</v>
          </cell>
          <cell r="K242">
            <v>40.476190476190474</v>
          </cell>
          <cell r="L242">
            <v>0</v>
          </cell>
          <cell r="M242">
            <v>5120</v>
          </cell>
          <cell r="N242">
            <v>150912</v>
          </cell>
          <cell r="O242">
            <v>2</v>
          </cell>
          <cell r="P242">
            <v>6</v>
          </cell>
          <cell r="Q242">
            <v>1</v>
          </cell>
          <cell r="R242">
            <v>9</v>
          </cell>
          <cell r="S242">
            <v>50</v>
          </cell>
          <cell r="T242">
            <v>29.761904761904763</v>
          </cell>
          <cell r="U242">
            <v>2358</v>
          </cell>
          <cell r="V242">
            <v>178.57142857142858</v>
          </cell>
          <cell r="W242">
            <v>64</v>
          </cell>
          <cell r="X242">
            <v>903</v>
          </cell>
          <cell r="Y242">
            <v>18</v>
          </cell>
          <cell r="Z242">
            <v>26</v>
          </cell>
        </row>
        <row r="243">
          <cell r="A243">
            <v>9122437</v>
          </cell>
          <cell r="B243" t="str">
            <v>影袭·斩第4段</v>
          </cell>
          <cell r="C243" t="str">
            <v>影袭·斩第4段</v>
          </cell>
          <cell r="D243">
            <v>1</v>
          </cell>
          <cell r="E243">
            <v>62</v>
          </cell>
          <cell r="F243" t="str">
            <v>第37级，共造成244.6%点伤害</v>
          </cell>
          <cell r="G243">
            <v>4</v>
          </cell>
          <cell r="H243">
            <v>4</v>
          </cell>
          <cell r="I243">
            <v>37</v>
          </cell>
          <cell r="J243">
            <v>2</v>
          </cell>
          <cell r="K243">
            <v>40.773809523809526</v>
          </cell>
          <cell r="L243">
            <v>0</v>
          </cell>
          <cell r="M243">
            <v>5040</v>
          </cell>
          <cell r="N243">
            <v>174156</v>
          </cell>
          <cell r="O243">
            <v>2</v>
          </cell>
          <cell r="P243">
            <v>6</v>
          </cell>
          <cell r="Q243">
            <v>1</v>
          </cell>
          <cell r="R243">
            <v>9</v>
          </cell>
          <cell r="S243">
            <v>50</v>
          </cell>
          <cell r="T243">
            <v>29.761904761904763</v>
          </cell>
          <cell r="U243">
            <v>2524</v>
          </cell>
          <cell r="V243">
            <v>178.57142857142858</v>
          </cell>
          <cell r="W243">
            <v>69</v>
          </cell>
          <cell r="X243">
            <v>972</v>
          </cell>
          <cell r="Y243">
            <v>18</v>
          </cell>
          <cell r="Z243">
            <v>28</v>
          </cell>
        </row>
        <row r="244">
          <cell r="A244">
            <v>9122438</v>
          </cell>
          <cell r="B244" t="str">
            <v>影袭·斩第4段</v>
          </cell>
          <cell r="C244" t="str">
            <v>影袭·斩第4段</v>
          </cell>
          <cell r="D244">
            <v>1</v>
          </cell>
          <cell r="E244">
            <v>63</v>
          </cell>
          <cell r="F244" t="str">
            <v>第38级，共造成246.4%点伤害</v>
          </cell>
          <cell r="G244">
            <v>4</v>
          </cell>
          <cell r="H244">
            <v>4</v>
          </cell>
          <cell r="I244">
            <v>38</v>
          </cell>
          <cell r="J244">
            <v>2</v>
          </cell>
          <cell r="K244">
            <v>41.071428571428569</v>
          </cell>
          <cell r="L244">
            <v>0</v>
          </cell>
          <cell r="M244">
            <v>4960</v>
          </cell>
          <cell r="N244">
            <v>193066</v>
          </cell>
          <cell r="O244">
            <v>2</v>
          </cell>
          <cell r="P244">
            <v>6</v>
          </cell>
          <cell r="Q244">
            <v>1</v>
          </cell>
          <cell r="R244">
            <v>9</v>
          </cell>
          <cell r="S244">
            <v>50</v>
          </cell>
          <cell r="T244">
            <v>29.761904761904763</v>
          </cell>
          <cell r="U244">
            <v>2609</v>
          </cell>
          <cell r="V244">
            <v>178.57142857142858</v>
          </cell>
          <cell r="W244">
            <v>74</v>
          </cell>
          <cell r="X244">
            <v>1046</v>
          </cell>
          <cell r="Y244">
            <v>18</v>
          </cell>
          <cell r="Z244">
            <v>30</v>
          </cell>
        </row>
        <row r="245">
          <cell r="A245">
            <v>9122439</v>
          </cell>
          <cell r="B245" t="str">
            <v>影袭·斩第4段</v>
          </cell>
          <cell r="C245" t="str">
            <v>影袭·斩第4段</v>
          </cell>
          <cell r="D245">
            <v>1</v>
          </cell>
          <cell r="E245">
            <v>64</v>
          </cell>
          <cell r="F245" t="str">
            <v>第39级，共造成248.2%点伤害</v>
          </cell>
          <cell r="G245">
            <v>4</v>
          </cell>
          <cell r="H245">
            <v>4</v>
          </cell>
          <cell r="I245">
            <v>39</v>
          </cell>
          <cell r="J245">
            <v>2</v>
          </cell>
          <cell r="K245">
            <v>41.36904761904762</v>
          </cell>
          <cell r="L245">
            <v>0</v>
          </cell>
          <cell r="M245">
            <v>4880</v>
          </cell>
          <cell r="N245">
            <v>212905</v>
          </cell>
          <cell r="O245">
            <v>2</v>
          </cell>
          <cell r="P245">
            <v>6</v>
          </cell>
          <cell r="Q245">
            <v>1</v>
          </cell>
          <cell r="R245">
            <v>9</v>
          </cell>
          <cell r="S245">
            <v>50</v>
          </cell>
          <cell r="T245">
            <v>29.761904761904763</v>
          </cell>
          <cell r="U245">
            <v>2695</v>
          </cell>
          <cell r="V245">
            <v>178.57142857142858</v>
          </cell>
          <cell r="W245">
            <v>79</v>
          </cell>
          <cell r="X245">
            <v>1125</v>
          </cell>
          <cell r="Y245">
            <v>18</v>
          </cell>
          <cell r="Z245">
            <v>32</v>
          </cell>
        </row>
        <row r="246">
          <cell r="A246">
            <v>9122440</v>
          </cell>
          <cell r="B246" t="str">
            <v>影袭·斩第4段</v>
          </cell>
          <cell r="C246" t="str">
            <v>影袭·斩第4段</v>
          </cell>
          <cell r="D246">
            <v>1</v>
          </cell>
          <cell r="E246">
            <v>66</v>
          </cell>
          <cell r="F246" t="str">
            <v>第40级，共造成250%点伤害</v>
          </cell>
          <cell r="G246">
            <v>4</v>
          </cell>
          <cell r="H246">
            <v>4</v>
          </cell>
          <cell r="I246">
            <v>40</v>
          </cell>
          <cell r="J246">
            <v>2</v>
          </cell>
          <cell r="K246">
            <v>41.666666666666671</v>
          </cell>
          <cell r="L246">
            <v>0</v>
          </cell>
          <cell r="M246">
            <v>4800</v>
          </cell>
          <cell r="N246">
            <v>244120</v>
          </cell>
          <cell r="O246">
            <v>2</v>
          </cell>
          <cell r="P246">
            <v>6</v>
          </cell>
          <cell r="Q246">
            <v>1</v>
          </cell>
          <cell r="R246">
            <v>9</v>
          </cell>
          <cell r="S246">
            <v>50</v>
          </cell>
          <cell r="T246">
            <v>29.761904761904763</v>
          </cell>
          <cell r="U246">
            <v>2872</v>
          </cell>
          <cell r="V246">
            <v>178.57142857142858</v>
          </cell>
          <cell r="W246">
            <v>85</v>
          </cell>
          <cell r="X246">
            <v>1210</v>
          </cell>
          <cell r="Y246">
            <v>18</v>
          </cell>
          <cell r="Z246">
            <v>34</v>
          </cell>
        </row>
        <row r="247">
          <cell r="A247">
            <v>9122441</v>
          </cell>
          <cell r="B247" t="str">
            <v>影袭·斩第4段</v>
          </cell>
          <cell r="C247" t="str">
            <v>影袭·斩第4段</v>
          </cell>
          <cell r="D247">
            <v>1</v>
          </cell>
          <cell r="E247">
            <v>67</v>
          </cell>
          <cell r="F247" t="str">
            <v>第41级，共造成251.8%点伤害</v>
          </cell>
          <cell r="G247">
            <v>4</v>
          </cell>
          <cell r="H247">
            <v>4</v>
          </cell>
          <cell r="I247">
            <v>41</v>
          </cell>
          <cell r="J247">
            <v>2</v>
          </cell>
          <cell r="K247">
            <v>41.964285714285715</v>
          </cell>
          <cell r="L247">
            <v>0</v>
          </cell>
          <cell r="M247">
            <v>4720</v>
          </cell>
          <cell r="N247">
            <v>269633</v>
          </cell>
          <cell r="O247">
            <v>2</v>
          </cell>
          <cell r="P247">
            <v>6</v>
          </cell>
          <cell r="Q247">
            <v>1</v>
          </cell>
          <cell r="R247">
            <v>9</v>
          </cell>
          <cell r="S247">
            <v>50</v>
          </cell>
          <cell r="T247">
            <v>29.761904761904763</v>
          </cell>
          <cell r="U247">
            <v>2963</v>
          </cell>
          <cell r="V247">
            <v>178.57142857142858</v>
          </cell>
          <cell r="W247">
            <v>91</v>
          </cell>
          <cell r="X247">
            <v>1301</v>
          </cell>
          <cell r="Y247">
            <v>18</v>
          </cell>
          <cell r="Z247">
            <v>37</v>
          </cell>
        </row>
        <row r="248">
          <cell r="A248">
            <v>9122442</v>
          </cell>
          <cell r="B248" t="str">
            <v>影袭·斩第4段</v>
          </cell>
          <cell r="C248" t="str">
            <v>影袭·斩第4段</v>
          </cell>
          <cell r="D248">
            <v>1</v>
          </cell>
          <cell r="E248">
            <v>69</v>
          </cell>
          <cell r="F248" t="str">
            <v>第42级，共造成253.6%点伤害</v>
          </cell>
          <cell r="G248">
            <v>4</v>
          </cell>
          <cell r="H248">
            <v>4</v>
          </cell>
          <cell r="I248">
            <v>42</v>
          </cell>
          <cell r="J248">
            <v>2</v>
          </cell>
          <cell r="K248">
            <v>42.261904761904759</v>
          </cell>
          <cell r="L248">
            <v>0</v>
          </cell>
          <cell r="M248">
            <v>4640</v>
          </cell>
          <cell r="N248">
            <v>305259</v>
          </cell>
          <cell r="O248">
            <v>2</v>
          </cell>
          <cell r="P248">
            <v>6</v>
          </cell>
          <cell r="Q248">
            <v>1</v>
          </cell>
          <cell r="R248">
            <v>9</v>
          </cell>
          <cell r="S248">
            <v>50</v>
          </cell>
          <cell r="T248">
            <v>29.761904761904763</v>
          </cell>
          <cell r="U248">
            <v>3147</v>
          </cell>
          <cell r="V248">
            <v>178.57142857142858</v>
          </cell>
          <cell r="W248">
            <v>97</v>
          </cell>
          <cell r="X248">
            <v>1398</v>
          </cell>
          <cell r="Y248">
            <v>18</v>
          </cell>
          <cell r="Z248">
            <v>39</v>
          </cell>
        </row>
        <row r="249">
          <cell r="A249">
            <v>9122443</v>
          </cell>
          <cell r="B249" t="str">
            <v>影袭·斩第4段</v>
          </cell>
          <cell r="C249" t="str">
            <v>影袭·斩第4段</v>
          </cell>
          <cell r="D249">
            <v>1</v>
          </cell>
          <cell r="E249">
            <v>70</v>
          </cell>
          <cell r="F249" t="str">
            <v>第43级，共造成255.4%点伤害</v>
          </cell>
          <cell r="G249">
            <v>4</v>
          </cell>
          <cell r="H249">
            <v>4</v>
          </cell>
          <cell r="I249">
            <v>43</v>
          </cell>
          <cell r="J249">
            <v>2</v>
          </cell>
          <cell r="K249">
            <v>42.55952380952381</v>
          </cell>
          <cell r="L249">
            <v>0</v>
          </cell>
          <cell r="M249">
            <v>4560</v>
          </cell>
          <cell r="N249">
            <v>337168</v>
          </cell>
          <cell r="O249">
            <v>2</v>
          </cell>
          <cell r="P249">
            <v>6</v>
          </cell>
          <cell r="Q249">
            <v>1</v>
          </cell>
          <cell r="R249">
            <v>9</v>
          </cell>
          <cell r="S249">
            <v>50</v>
          </cell>
          <cell r="T249">
            <v>29.761904761904763</v>
          </cell>
          <cell r="U249">
            <v>3242</v>
          </cell>
          <cell r="V249">
            <v>178.57142857142858</v>
          </cell>
          <cell r="W249">
            <v>104</v>
          </cell>
          <cell r="X249">
            <v>1502</v>
          </cell>
          <cell r="Y249">
            <v>18</v>
          </cell>
          <cell r="Z249">
            <v>42</v>
          </cell>
        </row>
        <row r="250">
          <cell r="A250">
            <v>9122444</v>
          </cell>
          <cell r="B250" t="str">
            <v>影袭·斩第4段</v>
          </cell>
          <cell r="C250" t="str">
            <v>影袭·斩第4段</v>
          </cell>
          <cell r="D250">
            <v>1</v>
          </cell>
          <cell r="E250">
            <v>71</v>
          </cell>
          <cell r="F250" t="str">
            <v>第44级，共造成257.1%点伤害</v>
          </cell>
          <cell r="G250">
            <v>4</v>
          </cell>
          <cell r="H250">
            <v>4</v>
          </cell>
          <cell r="I250">
            <v>44</v>
          </cell>
          <cell r="J250">
            <v>2</v>
          </cell>
          <cell r="K250">
            <v>42.857142857142861</v>
          </cell>
          <cell r="L250">
            <v>0</v>
          </cell>
          <cell r="M250">
            <v>4480</v>
          </cell>
          <cell r="N250">
            <v>370518</v>
          </cell>
          <cell r="O250">
            <v>2</v>
          </cell>
          <cell r="P250">
            <v>6</v>
          </cell>
          <cell r="Q250">
            <v>1</v>
          </cell>
          <cell r="R250">
            <v>9</v>
          </cell>
          <cell r="S250">
            <v>50</v>
          </cell>
          <cell r="T250">
            <v>29.761904761904763</v>
          </cell>
          <cell r="U250">
            <v>3338</v>
          </cell>
          <cell r="V250">
            <v>178.57142857142858</v>
          </cell>
          <cell r="W250">
            <v>111</v>
          </cell>
          <cell r="X250">
            <v>1613</v>
          </cell>
          <cell r="Y250">
            <v>18</v>
          </cell>
          <cell r="Z250">
            <v>45</v>
          </cell>
        </row>
        <row r="251">
          <cell r="A251">
            <v>9122445</v>
          </cell>
          <cell r="B251" t="str">
            <v>影袭·斩第4段</v>
          </cell>
          <cell r="C251" t="str">
            <v>影袭·斩第4段</v>
          </cell>
          <cell r="D251">
            <v>1</v>
          </cell>
          <cell r="E251">
            <v>73</v>
          </cell>
          <cell r="F251" t="str">
            <v>第45级，共造成258.9%点伤害</v>
          </cell>
          <cell r="G251">
            <v>4</v>
          </cell>
          <cell r="H251">
            <v>4</v>
          </cell>
          <cell r="I251">
            <v>45</v>
          </cell>
          <cell r="J251">
            <v>2</v>
          </cell>
          <cell r="K251">
            <v>43.154761904761905</v>
          </cell>
          <cell r="L251">
            <v>0</v>
          </cell>
          <cell r="M251">
            <v>4400</v>
          </cell>
          <cell r="N251">
            <v>420546</v>
          </cell>
          <cell r="O251">
            <v>2</v>
          </cell>
          <cell r="P251">
            <v>6</v>
          </cell>
          <cell r="Q251">
            <v>1</v>
          </cell>
          <cell r="R251">
            <v>9</v>
          </cell>
          <cell r="S251">
            <v>50</v>
          </cell>
          <cell r="T251">
            <v>29.761904761904763</v>
          </cell>
          <cell r="U251">
            <v>3534</v>
          </cell>
          <cell r="V251">
            <v>178.57142857142858</v>
          </cell>
          <cell r="W251">
            <v>119</v>
          </cell>
          <cell r="X251">
            <v>1732</v>
          </cell>
          <cell r="Y251">
            <v>18</v>
          </cell>
          <cell r="Z251">
            <v>48</v>
          </cell>
        </row>
        <row r="252">
          <cell r="A252">
            <v>9122446</v>
          </cell>
          <cell r="B252" t="str">
            <v>影袭·斩第4段</v>
          </cell>
          <cell r="C252" t="str">
            <v>影袭·斩第4段</v>
          </cell>
          <cell r="D252">
            <v>1</v>
          </cell>
          <cell r="E252">
            <v>74</v>
          </cell>
          <cell r="F252" t="str">
            <v>第46级，共造成260.7%点伤害</v>
          </cell>
          <cell r="G252">
            <v>4</v>
          </cell>
          <cell r="H252">
            <v>4</v>
          </cell>
          <cell r="I252">
            <v>46</v>
          </cell>
          <cell r="J252">
            <v>2</v>
          </cell>
          <cell r="K252">
            <v>43.452380952380949</v>
          </cell>
          <cell r="L252">
            <v>0</v>
          </cell>
          <cell r="M252">
            <v>4320</v>
          </cell>
          <cell r="N252">
            <v>461518</v>
          </cell>
          <cell r="O252">
            <v>2</v>
          </cell>
          <cell r="P252">
            <v>6</v>
          </cell>
          <cell r="Q252">
            <v>1</v>
          </cell>
          <cell r="R252">
            <v>9</v>
          </cell>
          <cell r="S252">
            <v>50</v>
          </cell>
          <cell r="T252">
            <v>29.761904761904763</v>
          </cell>
          <cell r="U252">
            <v>3634</v>
          </cell>
          <cell r="V252">
            <v>178.57142857142858</v>
          </cell>
          <cell r="W252">
            <v>127</v>
          </cell>
          <cell r="X252">
            <v>1859</v>
          </cell>
          <cell r="Y252">
            <v>18</v>
          </cell>
          <cell r="Z252">
            <v>51</v>
          </cell>
        </row>
        <row r="253">
          <cell r="A253">
            <v>9122447</v>
          </cell>
          <cell r="B253" t="str">
            <v>影袭·斩第4段</v>
          </cell>
          <cell r="C253" t="str">
            <v>影袭·斩第4段</v>
          </cell>
          <cell r="D253">
            <v>1</v>
          </cell>
          <cell r="E253">
            <v>76</v>
          </cell>
          <cell r="F253" t="str">
            <v>第47级，共造成262.5%点伤害</v>
          </cell>
          <cell r="G253">
            <v>4</v>
          </cell>
          <cell r="H253">
            <v>4</v>
          </cell>
          <cell r="I253">
            <v>47</v>
          </cell>
          <cell r="J253">
            <v>2</v>
          </cell>
          <cell r="K253">
            <v>43.75</v>
          </cell>
          <cell r="L253">
            <v>0</v>
          </cell>
          <cell r="M253">
            <v>4240</v>
          </cell>
          <cell r="N253">
            <v>521968</v>
          </cell>
          <cell r="O253">
            <v>2</v>
          </cell>
          <cell r="P253">
            <v>6</v>
          </cell>
          <cell r="Q253">
            <v>1</v>
          </cell>
          <cell r="R253">
            <v>9</v>
          </cell>
          <cell r="S253">
            <v>50</v>
          </cell>
          <cell r="T253">
            <v>29.761904761904763</v>
          </cell>
          <cell r="U253">
            <v>3838</v>
          </cell>
          <cell r="V253">
            <v>178.57142857142858</v>
          </cell>
          <cell r="W253">
            <v>136</v>
          </cell>
          <cell r="X253">
            <v>1995</v>
          </cell>
          <cell r="Y253">
            <v>18</v>
          </cell>
          <cell r="Z253">
            <v>55</v>
          </cell>
        </row>
        <row r="254">
          <cell r="A254">
            <v>9122448</v>
          </cell>
          <cell r="B254" t="str">
            <v>影袭·斩第4段</v>
          </cell>
          <cell r="C254" t="str">
            <v>影袭·斩第4段</v>
          </cell>
          <cell r="D254">
            <v>1</v>
          </cell>
          <cell r="E254">
            <v>77</v>
          </cell>
          <cell r="F254" t="str">
            <v>第48级，共造成264.3%点伤害</v>
          </cell>
          <cell r="G254">
            <v>4</v>
          </cell>
          <cell r="H254">
            <v>4</v>
          </cell>
          <cell r="I254">
            <v>48</v>
          </cell>
          <cell r="J254">
            <v>2</v>
          </cell>
          <cell r="K254">
            <v>44.047619047619051</v>
          </cell>
          <cell r="L254">
            <v>0</v>
          </cell>
          <cell r="M254">
            <v>4160</v>
          </cell>
          <cell r="N254">
            <v>575532</v>
          </cell>
          <cell r="O254">
            <v>2</v>
          </cell>
          <cell r="P254">
            <v>6</v>
          </cell>
          <cell r="Q254">
            <v>1</v>
          </cell>
          <cell r="R254">
            <v>9</v>
          </cell>
          <cell r="S254">
            <v>50</v>
          </cell>
          <cell r="T254">
            <v>29.761904761904763</v>
          </cell>
          <cell r="U254">
            <v>3942</v>
          </cell>
          <cell r="V254">
            <v>178.57142857142858</v>
          </cell>
          <cell r="W254">
            <v>146</v>
          </cell>
          <cell r="X254">
            <v>2141</v>
          </cell>
          <cell r="Y254">
            <v>18</v>
          </cell>
          <cell r="Z254">
            <v>59</v>
          </cell>
        </row>
        <row r="255">
          <cell r="A255">
            <v>9122449</v>
          </cell>
          <cell r="B255" t="str">
            <v>影袭·斩第4段</v>
          </cell>
          <cell r="C255" t="str">
            <v>影袭·斩第4段</v>
          </cell>
          <cell r="D255">
            <v>1</v>
          </cell>
          <cell r="E255">
            <v>79</v>
          </cell>
          <cell r="F255" t="str">
            <v>第49级，共造成266.1%点伤害</v>
          </cell>
          <cell r="G255">
            <v>4</v>
          </cell>
          <cell r="H255">
            <v>4</v>
          </cell>
          <cell r="I255">
            <v>49</v>
          </cell>
          <cell r="J255">
            <v>2</v>
          </cell>
          <cell r="K255">
            <v>44.345238095238095</v>
          </cell>
          <cell r="L255">
            <v>0</v>
          </cell>
          <cell r="M255">
            <v>4080</v>
          </cell>
          <cell r="N255">
            <v>648024</v>
          </cell>
          <cell r="O255">
            <v>2</v>
          </cell>
          <cell r="P255">
            <v>6</v>
          </cell>
          <cell r="Q255">
            <v>1</v>
          </cell>
          <cell r="R255">
            <v>9</v>
          </cell>
          <cell r="S255">
            <v>50</v>
          </cell>
          <cell r="T255">
            <v>29.761904761904763</v>
          </cell>
          <cell r="U255">
            <v>4154</v>
          </cell>
          <cell r="V255">
            <v>178.57142857142858</v>
          </cell>
          <cell r="W255">
            <v>156</v>
          </cell>
          <cell r="X255">
            <v>2297</v>
          </cell>
          <cell r="Y255">
            <v>18</v>
          </cell>
          <cell r="Z255">
            <v>63</v>
          </cell>
        </row>
        <row r="256">
          <cell r="A256">
            <v>9122450</v>
          </cell>
          <cell r="B256" t="str">
            <v>影袭·斩第4段</v>
          </cell>
          <cell r="C256" t="str">
            <v>影袭·斩第4段</v>
          </cell>
          <cell r="D256">
            <v>1</v>
          </cell>
          <cell r="E256">
            <v>80</v>
          </cell>
          <cell r="F256" t="str">
            <v>第50级，共造成267.9%点伤害</v>
          </cell>
          <cell r="G256">
            <v>4</v>
          </cell>
          <cell r="H256">
            <v>4</v>
          </cell>
          <cell r="I256">
            <v>50</v>
          </cell>
          <cell r="J256">
            <v>2</v>
          </cell>
          <cell r="K256">
            <v>44.642857142857146</v>
          </cell>
          <cell r="L256">
            <v>0</v>
          </cell>
          <cell r="M256">
            <v>4000</v>
          </cell>
          <cell r="N256">
            <v>711754</v>
          </cell>
          <cell r="O256">
            <v>2</v>
          </cell>
          <cell r="P256">
            <v>6</v>
          </cell>
          <cell r="Q256">
            <v>1</v>
          </cell>
          <cell r="R256">
            <v>9</v>
          </cell>
          <cell r="S256">
            <v>50</v>
          </cell>
          <cell r="T256">
            <v>29.761904761904763</v>
          </cell>
          <cell r="U256">
            <v>4262</v>
          </cell>
          <cell r="V256">
            <v>178.57142857142858</v>
          </cell>
          <cell r="W256">
            <v>167</v>
          </cell>
          <cell r="X256">
            <v>2464</v>
          </cell>
          <cell r="Y256">
            <v>18</v>
          </cell>
          <cell r="Z256">
            <v>67</v>
          </cell>
        </row>
        <row r="257">
          <cell r="A257">
            <v>9113000</v>
          </cell>
          <cell r="B257" t="str">
            <v>光刃·斩</v>
          </cell>
          <cell r="C257" t="str">
            <v>光刃·斩</v>
          </cell>
          <cell r="D257">
            <v>1</v>
          </cell>
          <cell r="E257">
            <v>5</v>
          </cell>
          <cell r="F257" t="str">
            <v>第0级，共造成214.3%点伤害</v>
          </cell>
          <cell r="G257">
            <v>0</v>
          </cell>
          <cell r="H257">
            <v>1</v>
          </cell>
          <cell r="I257">
            <v>0</v>
          </cell>
          <cell r="J257">
            <v>1</v>
          </cell>
          <cell r="K257">
            <v>71.428571428571431</v>
          </cell>
          <cell r="L257">
            <v>0</v>
          </cell>
          <cell r="M257">
            <v>10000</v>
          </cell>
          <cell r="N257">
            <v>0</v>
          </cell>
          <cell r="O257">
            <v>3</v>
          </cell>
          <cell r="P257">
            <v>3</v>
          </cell>
          <cell r="Q257">
            <v>1</v>
          </cell>
          <cell r="R257">
            <v>5</v>
          </cell>
          <cell r="S257">
            <v>50</v>
          </cell>
          <cell r="T257">
            <v>71.428571428571431</v>
          </cell>
          <cell r="U257">
            <v>74</v>
          </cell>
          <cell r="V257">
            <v>214.28571428571428</v>
          </cell>
          <cell r="W257">
            <v>0</v>
          </cell>
          <cell r="X257">
            <v>0</v>
          </cell>
          <cell r="Y257">
            <v>18</v>
          </cell>
          <cell r="Z257">
            <v>0</v>
          </cell>
        </row>
        <row r="258">
          <cell r="A258">
            <v>9113101</v>
          </cell>
          <cell r="B258" t="str">
            <v>光刃·斩</v>
          </cell>
          <cell r="C258" t="str">
            <v>光刃·斩</v>
          </cell>
          <cell r="D258">
            <v>1</v>
          </cell>
          <cell r="E258">
            <v>5</v>
          </cell>
          <cell r="F258" t="str">
            <v>第1级，共造成214.3%点伤害</v>
          </cell>
          <cell r="G258">
            <v>1</v>
          </cell>
          <cell r="H258">
            <v>1</v>
          </cell>
          <cell r="I258">
            <v>1</v>
          </cell>
          <cell r="J258">
            <v>1</v>
          </cell>
          <cell r="K258">
            <v>71.428571428571431</v>
          </cell>
          <cell r="L258">
            <v>0</v>
          </cell>
          <cell r="M258">
            <v>10000</v>
          </cell>
          <cell r="N258">
            <v>592</v>
          </cell>
          <cell r="O258">
            <v>3</v>
          </cell>
          <cell r="P258">
            <v>3</v>
          </cell>
          <cell r="Q258">
            <v>1</v>
          </cell>
          <cell r="R258">
            <v>5</v>
          </cell>
          <cell r="S258">
            <v>50</v>
          </cell>
          <cell r="T258">
            <v>71.428571428571431</v>
          </cell>
          <cell r="U258">
            <v>74</v>
          </cell>
          <cell r="V258">
            <v>214.28571428571428</v>
          </cell>
          <cell r="W258">
            <v>8</v>
          </cell>
          <cell r="X258">
            <v>8</v>
          </cell>
          <cell r="Y258">
            <v>18</v>
          </cell>
          <cell r="Z258">
            <v>0</v>
          </cell>
        </row>
        <row r="259">
          <cell r="A259">
            <v>9113102</v>
          </cell>
          <cell r="B259" t="str">
            <v>光刃·斩</v>
          </cell>
          <cell r="C259" t="str">
            <v>光刃·斩</v>
          </cell>
          <cell r="D259">
            <v>1</v>
          </cell>
          <cell r="E259">
            <v>8</v>
          </cell>
          <cell r="F259" t="str">
            <v>第2级，共造成218.6%点伤害</v>
          </cell>
          <cell r="G259">
            <v>1</v>
          </cell>
          <cell r="H259">
            <v>1</v>
          </cell>
          <cell r="I259">
            <v>2</v>
          </cell>
          <cell r="J259">
            <v>1</v>
          </cell>
          <cell r="K259">
            <v>72.857142857142861</v>
          </cell>
          <cell r="L259">
            <v>0</v>
          </cell>
          <cell r="M259">
            <v>9800</v>
          </cell>
          <cell r="N259">
            <v>828</v>
          </cell>
          <cell r="O259">
            <v>3</v>
          </cell>
          <cell r="P259">
            <v>3</v>
          </cell>
          <cell r="Q259">
            <v>1</v>
          </cell>
          <cell r="R259">
            <v>5</v>
          </cell>
          <cell r="S259">
            <v>50</v>
          </cell>
          <cell r="T259">
            <v>71.428571428571431</v>
          </cell>
          <cell r="U259">
            <v>92</v>
          </cell>
          <cell r="V259">
            <v>214.28571428571428</v>
          </cell>
          <cell r="W259">
            <v>9</v>
          </cell>
          <cell r="X259">
            <v>17</v>
          </cell>
          <cell r="Y259">
            <v>18</v>
          </cell>
          <cell r="Z259">
            <v>0</v>
          </cell>
        </row>
        <row r="260">
          <cell r="A260">
            <v>9113103</v>
          </cell>
          <cell r="B260" t="str">
            <v>光刃·斩</v>
          </cell>
          <cell r="C260" t="str">
            <v>光刃·斩</v>
          </cell>
          <cell r="D260">
            <v>1</v>
          </cell>
          <cell r="E260">
            <v>10</v>
          </cell>
          <cell r="F260" t="str">
            <v>第3级，共造成220.7%点伤害</v>
          </cell>
          <cell r="G260">
            <v>1</v>
          </cell>
          <cell r="H260">
            <v>1</v>
          </cell>
          <cell r="I260">
            <v>3</v>
          </cell>
          <cell r="J260">
            <v>1</v>
          </cell>
          <cell r="K260">
            <v>73.571428571428569</v>
          </cell>
          <cell r="L260">
            <v>0</v>
          </cell>
          <cell r="M260">
            <v>9700</v>
          </cell>
          <cell r="N260">
            <v>936</v>
          </cell>
          <cell r="O260">
            <v>3</v>
          </cell>
          <cell r="P260">
            <v>3</v>
          </cell>
          <cell r="Q260">
            <v>1</v>
          </cell>
          <cell r="R260">
            <v>5</v>
          </cell>
          <cell r="S260">
            <v>50</v>
          </cell>
          <cell r="T260">
            <v>71.428571428571431</v>
          </cell>
          <cell r="U260">
            <v>104</v>
          </cell>
          <cell r="V260">
            <v>214.28571428571428</v>
          </cell>
          <cell r="W260">
            <v>9</v>
          </cell>
          <cell r="X260">
            <v>26</v>
          </cell>
          <cell r="Y260">
            <v>18</v>
          </cell>
          <cell r="Z260">
            <v>0</v>
          </cell>
        </row>
        <row r="261">
          <cell r="A261">
            <v>9113104</v>
          </cell>
          <cell r="B261" t="str">
            <v>光刃·斩</v>
          </cell>
          <cell r="C261" t="str">
            <v>光刃·斩</v>
          </cell>
          <cell r="D261">
            <v>1</v>
          </cell>
          <cell r="E261">
            <v>11</v>
          </cell>
          <cell r="F261" t="str">
            <v>第4级，共造成222.9%点伤害</v>
          </cell>
          <cell r="G261">
            <v>1</v>
          </cell>
          <cell r="H261">
            <v>1</v>
          </cell>
          <cell r="I261">
            <v>4</v>
          </cell>
          <cell r="J261">
            <v>1</v>
          </cell>
          <cell r="K261">
            <v>74.285714285714292</v>
          </cell>
          <cell r="L261">
            <v>0</v>
          </cell>
          <cell r="M261">
            <v>9600</v>
          </cell>
          <cell r="N261">
            <v>1100</v>
          </cell>
          <cell r="O261">
            <v>3</v>
          </cell>
          <cell r="P261">
            <v>3</v>
          </cell>
          <cell r="Q261">
            <v>1</v>
          </cell>
          <cell r="R261">
            <v>5</v>
          </cell>
          <cell r="S261">
            <v>50</v>
          </cell>
          <cell r="T261">
            <v>71.428571428571431</v>
          </cell>
          <cell r="U261">
            <v>110</v>
          </cell>
          <cell r="V261">
            <v>214.28571428571428</v>
          </cell>
          <cell r="W261">
            <v>10</v>
          </cell>
          <cell r="X261">
            <v>36</v>
          </cell>
          <cell r="Y261">
            <v>18</v>
          </cell>
          <cell r="Z261">
            <v>0</v>
          </cell>
        </row>
        <row r="262">
          <cell r="A262">
            <v>9113105</v>
          </cell>
          <cell r="B262" t="str">
            <v>光刃·斩</v>
          </cell>
          <cell r="C262" t="str">
            <v>光刃·斩</v>
          </cell>
          <cell r="D262">
            <v>1</v>
          </cell>
          <cell r="E262">
            <v>13</v>
          </cell>
          <cell r="F262" t="str">
            <v>第5级，共造成225%点伤害</v>
          </cell>
          <cell r="G262">
            <v>1</v>
          </cell>
          <cell r="H262">
            <v>1</v>
          </cell>
          <cell r="I262">
            <v>5</v>
          </cell>
          <cell r="J262">
            <v>1</v>
          </cell>
          <cell r="K262">
            <v>75</v>
          </cell>
          <cell r="L262">
            <v>0</v>
          </cell>
          <cell r="M262">
            <v>9500</v>
          </cell>
          <cell r="N262">
            <v>1342</v>
          </cell>
          <cell r="O262">
            <v>3</v>
          </cell>
          <cell r="P262">
            <v>3</v>
          </cell>
          <cell r="Q262">
            <v>1</v>
          </cell>
          <cell r="R262">
            <v>5</v>
          </cell>
          <cell r="S262">
            <v>50</v>
          </cell>
          <cell r="T262">
            <v>71.428571428571431</v>
          </cell>
          <cell r="U262">
            <v>122</v>
          </cell>
          <cell r="V262">
            <v>214.28571428571428</v>
          </cell>
          <cell r="W262">
            <v>11</v>
          </cell>
          <cell r="X262">
            <v>47</v>
          </cell>
          <cell r="Y262">
            <v>18</v>
          </cell>
          <cell r="Z262">
            <v>0</v>
          </cell>
        </row>
        <row r="263">
          <cell r="A263">
            <v>9113106</v>
          </cell>
          <cell r="B263" t="str">
            <v>光刃·斩</v>
          </cell>
          <cell r="C263" t="str">
            <v>光刃·斩</v>
          </cell>
          <cell r="D263">
            <v>1</v>
          </cell>
          <cell r="E263">
            <v>14</v>
          </cell>
          <cell r="F263" t="str">
            <v>第6级，共造成227.1%点伤害</v>
          </cell>
          <cell r="G263">
            <v>1</v>
          </cell>
          <cell r="H263">
            <v>1</v>
          </cell>
          <cell r="I263">
            <v>6</v>
          </cell>
          <cell r="J263">
            <v>1</v>
          </cell>
          <cell r="K263">
            <v>75.714285714285722</v>
          </cell>
          <cell r="L263">
            <v>0</v>
          </cell>
          <cell r="M263">
            <v>9400</v>
          </cell>
          <cell r="N263">
            <v>1408</v>
          </cell>
          <cell r="O263">
            <v>3</v>
          </cell>
          <cell r="P263">
            <v>3</v>
          </cell>
          <cell r="Q263">
            <v>1</v>
          </cell>
          <cell r="R263">
            <v>5</v>
          </cell>
          <cell r="S263">
            <v>50</v>
          </cell>
          <cell r="T263">
            <v>71.428571428571431</v>
          </cell>
          <cell r="U263">
            <v>128</v>
          </cell>
          <cell r="V263">
            <v>214.28571428571428</v>
          </cell>
          <cell r="W263">
            <v>11</v>
          </cell>
          <cell r="X263">
            <v>58</v>
          </cell>
          <cell r="Y263">
            <v>18</v>
          </cell>
          <cell r="Z263">
            <v>0</v>
          </cell>
        </row>
        <row r="264">
          <cell r="A264">
            <v>9113107</v>
          </cell>
          <cell r="B264" t="str">
            <v>光刃·斩</v>
          </cell>
          <cell r="C264" t="str">
            <v>光刃·斩</v>
          </cell>
          <cell r="D264">
            <v>1</v>
          </cell>
          <cell r="E264">
            <v>16</v>
          </cell>
          <cell r="F264" t="str">
            <v>第7级，共造成229.3%点伤害</v>
          </cell>
          <cell r="G264">
            <v>1</v>
          </cell>
          <cell r="H264">
            <v>1</v>
          </cell>
          <cell r="I264">
            <v>7</v>
          </cell>
          <cell r="J264">
            <v>1</v>
          </cell>
          <cell r="K264">
            <v>76.428571428571431</v>
          </cell>
          <cell r="L264">
            <v>0</v>
          </cell>
          <cell r="M264">
            <v>9300</v>
          </cell>
          <cell r="N264">
            <v>1680</v>
          </cell>
          <cell r="O264">
            <v>3</v>
          </cell>
          <cell r="P264">
            <v>3</v>
          </cell>
          <cell r="Q264">
            <v>1</v>
          </cell>
          <cell r="R264">
            <v>5</v>
          </cell>
          <cell r="S264">
            <v>50</v>
          </cell>
          <cell r="T264">
            <v>71.428571428571431</v>
          </cell>
          <cell r="U264">
            <v>140</v>
          </cell>
          <cell r="V264">
            <v>214.28571428571428</v>
          </cell>
          <cell r="W264">
            <v>12</v>
          </cell>
          <cell r="X264">
            <v>70</v>
          </cell>
          <cell r="Y264">
            <v>18</v>
          </cell>
          <cell r="Z264">
            <v>0</v>
          </cell>
        </row>
        <row r="265">
          <cell r="A265">
            <v>9113108</v>
          </cell>
          <cell r="B265" t="str">
            <v>光刃·斩</v>
          </cell>
          <cell r="C265" t="str">
            <v>光刃·斩</v>
          </cell>
          <cell r="D265">
            <v>1</v>
          </cell>
          <cell r="E265">
            <v>17</v>
          </cell>
          <cell r="F265" t="str">
            <v>第8级，共造成231.4%点伤害</v>
          </cell>
          <cell r="G265">
            <v>1</v>
          </cell>
          <cell r="H265">
            <v>1</v>
          </cell>
          <cell r="I265">
            <v>8</v>
          </cell>
          <cell r="J265">
            <v>1</v>
          </cell>
          <cell r="K265">
            <v>77.142857142857139</v>
          </cell>
          <cell r="L265">
            <v>0</v>
          </cell>
          <cell r="M265">
            <v>9200</v>
          </cell>
          <cell r="N265">
            <v>1898</v>
          </cell>
          <cell r="O265">
            <v>3</v>
          </cell>
          <cell r="P265">
            <v>3</v>
          </cell>
          <cell r="Q265">
            <v>1</v>
          </cell>
          <cell r="R265">
            <v>5</v>
          </cell>
          <cell r="S265">
            <v>50</v>
          </cell>
          <cell r="T265">
            <v>71.428571428571431</v>
          </cell>
          <cell r="U265">
            <v>146</v>
          </cell>
          <cell r="V265">
            <v>214.28571428571428</v>
          </cell>
          <cell r="W265">
            <v>13</v>
          </cell>
          <cell r="X265">
            <v>83</v>
          </cell>
          <cell r="Y265">
            <v>18</v>
          </cell>
          <cell r="Z265">
            <v>0</v>
          </cell>
        </row>
        <row r="266">
          <cell r="A266">
            <v>9113109</v>
          </cell>
          <cell r="B266" t="str">
            <v>光刃·斩</v>
          </cell>
          <cell r="C266" t="str">
            <v>光刃·斩</v>
          </cell>
          <cell r="D266">
            <v>1</v>
          </cell>
          <cell r="E266">
            <v>19</v>
          </cell>
          <cell r="F266" t="str">
            <v>第9级，共造成233.6%点伤害</v>
          </cell>
          <cell r="G266">
            <v>1</v>
          </cell>
          <cell r="H266">
            <v>1</v>
          </cell>
          <cell r="I266">
            <v>9</v>
          </cell>
          <cell r="J266">
            <v>1</v>
          </cell>
          <cell r="K266">
            <v>77.857142857142861</v>
          </cell>
          <cell r="L266">
            <v>0</v>
          </cell>
          <cell r="M266">
            <v>9100</v>
          </cell>
          <cell r="N266">
            <v>2212</v>
          </cell>
          <cell r="O266">
            <v>3</v>
          </cell>
          <cell r="P266">
            <v>3</v>
          </cell>
          <cell r="Q266">
            <v>1</v>
          </cell>
          <cell r="R266">
            <v>5</v>
          </cell>
          <cell r="S266">
            <v>50</v>
          </cell>
          <cell r="T266">
            <v>71.428571428571431</v>
          </cell>
          <cell r="U266">
            <v>158</v>
          </cell>
          <cell r="V266">
            <v>214.28571428571428</v>
          </cell>
          <cell r="W266">
            <v>14</v>
          </cell>
          <cell r="X266">
            <v>97</v>
          </cell>
          <cell r="Y266">
            <v>18</v>
          </cell>
          <cell r="Z266">
            <v>0</v>
          </cell>
        </row>
        <row r="267">
          <cell r="A267">
            <v>9113110</v>
          </cell>
          <cell r="B267" t="str">
            <v>光刃·斩</v>
          </cell>
          <cell r="C267" t="str">
            <v>光刃·斩</v>
          </cell>
          <cell r="D267">
            <v>1</v>
          </cell>
          <cell r="E267">
            <v>20</v>
          </cell>
          <cell r="F267" t="str">
            <v>第10级，共造成235.7%点伤害</v>
          </cell>
          <cell r="G267">
            <v>1</v>
          </cell>
          <cell r="H267">
            <v>1</v>
          </cell>
          <cell r="I267">
            <v>10</v>
          </cell>
          <cell r="J267">
            <v>1</v>
          </cell>
          <cell r="K267">
            <v>78.571428571428569</v>
          </cell>
          <cell r="L267">
            <v>0</v>
          </cell>
          <cell r="M267">
            <v>9000</v>
          </cell>
          <cell r="N267">
            <v>2730</v>
          </cell>
          <cell r="O267">
            <v>3</v>
          </cell>
          <cell r="P267">
            <v>3</v>
          </cell>
          <cell r="Q267">
            <v>1</v>
          </cell>
          <cell r="R267">
            <v>5</v>
          </cell>
          <cell r="S267">
            <v>50</v>
          </cell>
          <cell r="T267">
            <v>71.428571428571431</v>
          </cell>
          <cell r="U267">
            <v>182</v>
          </cell>
          <cell r="V267">
            <v>214.28571428571428</v>
          </cell>
          <cell r="W267">
            <v>15</v>
          </cell>
          <cell r="X267">
            <v>112</v>
          </cell>
          <cell r="Y267">
            <v>18</v>
          </cell>
          <cell r="Z267">
            <v>0</v>
          </cell>
        </row>
        <row r="268">
          <cell r="A268">
            <v>9113111</v>
          </cell>
          <cell r="B268" t="str">
            <v>光刃·斩</v>
          </cell>
          <cell r="C268" t="str">
            <v>光刃·斩</v>
          </cell>
          <cell r="D268">
            <v>1</v>
          </cell>
          <cell r="E268">
            <v>22</v>
          </cell>
          <cell r="F268" t="str">
            <v>第11级，共造成237.9%点伤害</v>
          </cell>
          <cell r="G268">
            <v>1</v>
          </cell>
          <cell r="H268">
            <v>1</v>
          </cell>
          <cell r="I268">
            <v>11</v>
          </cell>
          <cell r="J268">
            <v>1</v>
          </cell>
          <cell r="K268">
            <v>79.285714285714292</v>
          </cell>
          <cell r="L268">
            <v>0</v>
          </cell>
          <cell r="M268">
            <v>8900</v>
          </cell>
          <cell r="N268">
            <v>3824</v>
          </cell>
          <cell r="O268">
            <v>3</v>
          </cell>
          <cell r="P268">
            <v>3</v>
          </cell>
          <cell r="Q268">
            <v>1</v>
          </cell>
          <cell r="R268">
            <v>5</v>
          </cell>
          <cell r="S268">
            <v>50</v>
          </cell>
          <cell r="T268">
            <v>71.428571428571431</v>
          </cell>
          <cell r="U268">
            <v>239</v>
          </cell>
          <cell r="V268">
            <v>214.28571428571428</v>
          </cell>
          <cell r="W268">
            <v>16</v>
          </cell>
          <cell r="X268">
            <v>128</v>
          </cell>
          <cell r="Y268">
            <v>18</v>
          </cell>
          <cell r="Z268">
            <v>0</v>
          </cell>
        </row>
        <row r="269">
          <cell r="A269">
            <v>9113112</v>
          </cell>
          <cell r="B269" t="str">
            <v>光刃·斩</v>
          </cell>
          <cell r="C269" t="str">
            <v>光刃·斩</v>
          </cell>
          <cell r="D269">
            <v>1</v>
          </cell>
          <cell r="E269">
            <v>23</v>
          </cell>
          <cell r="F269" t="str">
            <v>第12级，共造成240%点伤害</v>
          </cell>
          <cell r="G269">
            <v>1</v>
          </cell>
          <cell r="H269">
            <v>1</v>
          </cell>
          <cell r="I269">
            <v>12</v>
          </cell>
          <cell r="J269">
            <v>1</v>
          </cell>
          <cell r="K269">
            <v>80</v>
          </cell>
          <cell r="L269">
            <v>0</v>
          </cell>
          <cell r="M269">
            <v>8800</v>
          </cell>
          <cell r="N269">
            <v>4590</v>
          </cell>
          <cell r="O269">
            <v>3</v>
          </cell>
          <cell r="P269">
            <v>3</v>
          </cell>
          <cell r="Q269">
            <v>1</v>
          </cell>
          <cell r="R269">
            <v>5</v>
          </cell>
          <cell r="S269">
            <v>50</v>
          </cell>
          <cell r="T269">
            <v>71.428571428571431</v>
          </cell>
          <cell r="U269">
            <v>270</v>
          </cell>
          <cell r="V269">
            <v>214.28571428571428</v>
          </cell>
          <cell r="W269">
            <v>17</v>
          </cell>
          <cell r="X269">
            <v>145</v>
          </cell>
          <cell r="Y269">
            <v>18</v>
          </cell>
          <cell r="Z269">
            <v>0</v>
          </cell>
        </row>
        <row r="270">
          <cell r="A270">
            <v>9113113</v>
          </cell>
          <cell r="B270" t="str">
            <v>光刃·斩</v>
          </cell>
          <cell r="C270" t="str">
            <v>光刃·斩</v>
          </cell>
          <cell r="D270">
            <v>1</v>
          </cell>
          <cell r="E270">
            <v>25</v>
          </cell>
          <cell r="F270" t="str">
            <v>第13级，共造成242.1%点伤害</v>
          </cell>
          <cell r="G270">
            <v>1</v>
          </cell>
          <cell r="H270">
            <v>1</v>
          </cell>
          <cell r="I270">
            <v>13</v>
          </cell>
          <cell r="J270">
            <v>1</v>
          </cell>
          <cell r="K270">
            <v>80.714285714285722</v>
          </cell>
          <cell r="L270">
            <v>0</v>
          </cell>
          <cell r="M270">
            <v>8700</v>
          </cell>
          <cell r="N270">
            <v>6030</v>
          </cell>
          <cell r="O270">
            <v>3</v>
          </cell>
          <cell r="P270">
            <v>3</v>
          </cell>
          <cell r="Q270">
            <v>1</v>
          </cell>
          <cell r="R270">
            <v>5</v>
          </cell>
          <cell r="S270">
            <v>50</v>
          </cell>
          <cell r="T270">
            <v>71.428571428571431</v>
          </cell>
          <cell r="U270">
            <v>335</v>
          </cell>
          <cell r="V270">
            <v>214.28571428571428</v>
          </cell>
          <cell r="W270">
            <v>18</v>
          </cell>
          <cell r="X270">
            <v>163</v>
          </cell>
          <cell r="Y270">
            <v>18</v>
          </cell>
          <cell r="Z270">
            <v>0</v>
          </cell>
        </row>
        <row r="271">
          <cell r="A271">
            <v>9113114</v>
          </cell>
          <cell r="B271" t="str">
            <v>光刃·斩</v>
          </cell>
          <cell r="C271" t="str">
            <v>光刃·斩</v>
          </cell>
          <cell r="D271">
            <v>1</v>
          </cell>
          <cell r="E271">
            <v>26</v>
          </cell>
          <cell r="F271" t="str">
            <v>第14级，共造成244.3%点伤害</v>
          </cell>
          <cell r="G271">
            <v>1</v>
          </cell>
          <cell r="H271">
            <v>1</v>
          </cell>
          <cell r="I271">
            <v>14</v>
          </cell>
          <cell r="J271">
            <v>1</v>
          </cell>
          <cell r="K271">
            <v>81.428571428571431</v>
          </cell>
          <cell r="L271">
            <v>0</v>
          </cell>
          <cell r="M271">
            <v>8600</v>
          </cell>
          <cell r="N271">
            <v>7030</v>
          </cell>
          <cell r="O271">
            <v>3</v>
          </cell>
          <cell r="P271">
            <v>3</v>
          </cell>
          <cell r="Q271">
            <v>1</v>
          </cell>
          <cell r="R271">
            <v>5</v>
          </cell>
          <cell r="S271">
            <v>50</v>
          </cell>
          <cell r="T271">
            <v>71.428571428571431</v>
          </cell>
          <cell r="U271">
            <v>370</v>
          </cell>
          <cell r="V271">
            <v>214.28571428571428</v>
          </cell>
          <cell r="W271">
            <v>19</v>
          </cell>
          <cell r="X271">
            <v>182</v>
          </cell>
          <cell r="Y271">
            <v>18</v>
          </cell>
          <cell r="Z271">
            <v>0</v>
          </cell>
        </row>
        <row r="272">
          <cell r="A272">
            <v>9113115</v>
          </cell>
          <cell r="B272" t="str">
            <v>光刃·斩</v>
          </cell>
          <cell r="C272" t="str">
            <v>光刃·斩</v>
          </cell>
          <cell r="D272">
            <v>1</v>
          </cell>
          <cell r="E272">
            <v>28</v>
          </cell>
          <cell r="F272" t="str">
            <v>第15级，共造成246.4%点伤害</v>
          </cell>
          <cell r="G272">
            <v>1</v>
          </cell>
          <cell r="H272">
            <v>1</v>
          </cell>
          <cell r="I272">
            <v>15</v>
          </cell>
          <cell r="J272">
            <v>1</v>
          </cell>
          <cell r="K272">
            <v>82.142857142857139</v>
          </cell>
          <cell r="L272">
            <v>0</v>
          </cell>
          <cell r="M272">
            <v>8500</v>
          </cell>
          <cell r="N272">
            <v>8860</v>
          </cell>
          <cell r="O272">
            <v>3</v>
          </cell>
          <cell r="P272">
            <v>3</v>
          </cell>
          <cell r="Q272">
            <v>1</v>
          </cell>
          <cell r="R272">
            <v>5</v>
          </cell>
          <cell r="S272">
            <v>50</v>
          </cell>
          <cell r="T272">
            <v>71.428571428571431</v>
          </cell>
          <cell r="U272">
            <v>443</v>
          </cell>
          <cell r="V272">
            <v>214.28571428571428</v>
          </cell>
          <cell r="W272">
            <v>20</v>
          </cell>
          <cell r="X272">
            <v>202</v>
          </cell>
          <cell r="Y272">
            <v>18</v>
          </cell>
          <cell r="Z272">
            <v>0</v>
          </cell>
        </row>
        <row r="273">
          <cell r="A273">
            <v>9113116</v>
          </cell>
          <cell r="B273" t="str">
            <v>光刃·斩</v>
          </cell>
          <cell r="C273" t="str">
            <v>光刃·斩</v>
          </cell>
          <cell r="D273">
            <v>1</v>
          </cell>
          <cell r="E273">
            <v>29</v>
          </cell>
          <cell r="F273" t="str">
            <v>第16级，共造成248.6%点伤害</v>
          </cell>
          <cell r="G273">
            <v>1</v>
          </cell>
          <cell r="H273">
            <v>1</v>
          </cell>
          <cell r="I273">
            <v>16</v>
          </cell>
          <cell r="J273">
            <v>1</v>
          </cell>
          <cell r="K273">
            <v>82.857142857142861</v>
          </cell>
          <cell r="L273">
            <v>0</v>
          </cell>
          <cell r="M273">
            <v>8400</v>
          </cell>
          <cell r="N273">
            <v>10604</v>
          </cell>
          <cell r="O273">
            <v>3</v>
          </cell>
          <cell r="P273">
            <v>3</v>
          </cell>
          <cell r="Q273">
            <v>1</v>
          </cell>
          <cell r="R273">
            <v>5</v>
          </cell>
          <cell r="S273">
            <v>50</v>
          </cell>
          <cell r="T273">
            <v>71.428571428571431</v>
          </cell>
          <cell r="U273">
            <v>482</v>
          </cell>
          <cell r="V273">
            <v>214.28571428571428</v>
          </cell>
          <cell r="W273">
            <v>22</v>
          </cell>
          <cell r="X273">
            <v>224</v>
          </cell>
          <cell r="Y273">
            <v>18</v>
          </cell>
          <cell r="Z273">
            <v>0</v>
          </cell>
        </row>
        <row r="274">
          <cell r="A274">
            <v>9113117</v>
          </cell>
          <cell r="B274" t="str">
            <v>光刃·斩</v>
          </cell>
          <cell r="C274" t="str">
            <v>光刃·斩</v>
          </cell>
          <cell r="D274">
            <v>1</v>
          </cell>
          <cell r="E274">
            <v>31</v>
          </cell>
          <cell r="F274" t="str">
            <v>第17级，共造成250.7%点伤害</v>
          </cell>
          <cell r="G274">
            <v>1</v>
          </cell>
          <cell r="H274">
            <v>1</v>
          </cell>
          <cell r="I274">
            <v>17</v>
          </cell>
          <cell r="J274">
            <v>1</v>
          </cell>
          <cell r="K274">
            <v>83.571428571428569</v>
          </cell>
          <cell r="L274">
            <v>0</v>
          </cell>
          <cell r="M274">
            <v>8300</v>
          </cell>
          <cell r="N274">
            <v>13512</v>
          </cell>
          <cell r="O274">
            <v>3</v>
          </cell>
          <cell r="P274">
            <v>3</v>
          </cell>
          <cell r="Q274">
            <v>1</v>
          </cell>
          <cell r="R274">
            <v>5</v>
          </cell>
          <cell r="S274">
            <v>50</v>
          </cell>
          <cell r="T274">
            <v>71.428571428571431</v>
          </cell>
          <cell r="U274">
            <v>563</v>
          </cell>
          <cell r="V274">
            <v>214.28571428571428</v>
          </cell>
          <cell r="W274">
            <v>24</v>
          </cell>
          <cell r="X274">
            <v>248</v>
          </cell>
          <cell r="Y274">
            <v>18</v>
          </cell>
          <cell r="Z274">
            <v>0</v>
          </cell>
        </row>
        <row r="275">
          <cell r="A275">
            <v>9113118</v>
          </cell>
          <cell r="B275" t="str">
            <v>光刃·斩</v>
          </cell>
          <cell r="C275" t="str">
            <v>光刃·斩</v>
          </cell>
          <cell r="D275">
            <v>1</v>
          </cell>
          <cell r="E275">
            <v>32</v>
          </cell>
          <cell r="F275" t="str">
            <v>第18级，共造成252.9%点伤害</v>
          </cell>
          <cell r="G275">
            <v>1</v>
          </cell>
          <cell r="H275">
            <v>1</v>
          </cell>
          <cell r="I275">
            <v>18</v>
          </cell>
          <cell r="J275">
            <v>1</v>
          </cell>
          <cell r="K275">
            <v>84.285714285714292</v>
          </cell>
          <cell r="L275">
            <v>0</v>
          </cell>
          <cell r="M275">
            <v>8200</v>
          </cell>
          <cell r="N275">
            <v>15150</v>
          </cell>
          <cell r="O275">
            <v>3</v>
          </cell>
          <cell r="P275">
            <v>3</v>
          </cell>
          <cell r="Q275">
            <v>1</v>
          </cell>
          <cell r="R275">
            <v>5</v>
          </cell>
          <cell r="S275">
            <v>50</v>
          </cell>
          <cell r="T275">
            <v>71.428571428571431</v>
          </cell>
          <cell r="U275">
            <v>606</v>
          </cell>
          <cell r="V275">
            <v>214.28571428571428</v>
          </cell>
          <cell r="W275">
            <v>25</v>
          </cell>
          <cell r="X275">
            <v>273</v>
          </cell>
          <cell r="Y275">
            <v>18</v>
          </cell>
          <cell r="Z275">
            <v>10</v>
          </cell>
        </row>
        <row r="276">
          <cell r="A276">
            <v>9113119</v>
          </cell>
          <cell r="B276" t="str">
            <v>光刃·斩</v>
          </cell>
          <cell r="C276" t="str">
            <v>光刃·斩</v>
          </cell>
          <cell r="D276">
            <v>1</v>
          </cell>
          <cell r="E276">
            <v>34</v>
          </cell>
          <cell r="F276" t="str">
            <v>第19级，共造成255%点伤害</v>
          </cell>
          <cell r="G276">
            <v>1</v>
          </cell>
          <cell r="H276">
            <v>1</v>
          </cell>
          <cell r="I276">
            <v>19</v>
          </cell>
          <cell r="J276">
            <v>1</v>
          </cell>
          <cell r="K276">
            <v>85</v>
          </cell>
          <cell r="L276">
            <v>0</v>
          </cell>
          <cell r="M276">
            <v>8100</v>
          </cell>
          <cell r="N276">
            <v>18792</v>
          </cell>
          <cell r="O276">
            <v>3</v>
          </cell>
          <cell r="P276">
            <v>3</v>
          </cell>
          <cell r="Q276">
            <v>1</v>
          </cell>
          <cell r="R276">
            <v>5</v>
          </cell>
          <cell r="S276">
            <v>50</v>
          </cell>
          <cell r="T276">
            <v>71.428571428571431</v>
          </cell>
          <cell r="U276">
            <v>696</v>
          </cell>
          <cell r="V276">
            <v>214.28571428571428</v>
          </cell>
          <cell r="W276">
            <v>27</v>
          </cell>
          <cell r="X276">
            <v>300</v>
          </cell>
          <cell r="Y276">
            <v>18</v>
          </cell>
          <cell r="Z276">
            <v>11</v>
          </cell>
        </row>
        <row r="277">
          <cell r="A277">
            <v>9113120</v>
          </cell>
          <cell r="B277" t="str">
            <v>光刃·斩</v>
          </cell>
          <cell r="C277" t="str">
            <v>光刃·斩</v>
          </cell>
          <cell r="D277">
            <v>1</v>
          </cell>
          <cell r="E277">
            <v>35</v>
          </cell>
          <cell r="F277" t="str">
            <v>第20级，共造成257.1%点伤害</v>
          </cell>
          <cell r="G277">
            <v>1</v>
          </cell>
          <cell r="H277">
            <v>1</v>
          </cell>
          <cell r="I277">
            <v>20</v>
          </cell>
          <cell r="J277">
            <v>1</v>
          </cell>
          <cell r="K277">
            <v>85.714285714285722</v>
          </cell>
          <cell r="L277">
            <v>0</v>
          </cell>
          <cell r="M277">
            <v>8000</v>
          </cell>
          <cell r="N277">
            <v>21547</v>
          </cell>
          <cell r="O277">
            <v>3</v>
          </cell>
          <cell r="P277">
            <v>3</v>
          </cell>
          <cell r="Q277">
            <v>1</v>
          </cell>
          <cell r="R277">
            <v>5</v>
          </cell>
          <cell r="S277">
            <v>50</v>
          </cell>
          <cell r="T277">
            <v>71.428571428571431</v>
          </cell>
          <cell r="U277">
            <v>743</v>
          </cell>
          <cell r="V277">
            <v>214.28571428571428</v>
          </cell>
          <cell r="W277">
            <v>29</v>
          </cell>
          <cell r="X277">
            <v>329</v>
          </cell>
          <cell r="Y277">
            <v>18</v>
          </cell>
          <cell r="Z277">
            <v>12</v>
          </cell>
        </row>
        <row r="278">
          <cell r="A278">
            <v>9113121</v>
          </cell>
          <cell r="B278" t="str">
            <v>光刃·斩</v>
          </cell>
          <cell r="C278" t="str">
            <v>光刃·斩</v>
          </cell>
          <cell r="D278">
            <v>1</v>
          </cell>
          <cell r="E278">
            <v>37</v>
          </cell>
          <cell r="F278" t="str">
            <v>第21级，共造成259.3%点伤害</v>
          </cell>
          <cell r="G278">
            <v>1</v>
          </cell>
          <cell r="H278">
            <v>1</v>
          </cell>
          <cell r="I278">
            <v>21</v>
          </cell>
          <cell r="J278">
            <v>1</v>
          </cell>
          <cell r="K278">
            <v>86.428571428571431</v>
          </cell>
          <cell r="L278">
            <v>0</v>
          </cell>
          <cell r="M278">
            <v>7900</v>
          </cell>
          <cell r="N278">
            <v>26071</v>
          </cell>
          <cell r="O278">
            <v>3</v>
          </cell>
          <cell r="P278">
            <v>3</v>
          </cell>
          <cell r="Q278">
            <v>1</v>
          </cell>
          <cell r="R278">
            <v>5</v>
          </cell>
          <cell r="S278">
            <v>50</v>
          </cell>
          <cell r="T278">
            <v>71.428571428571431</v>
          </cell>
          <cell r="U278">
            <v>841</v>
          </cell>
          <cell r="V278">
            <v>214.28571428571428</v>
          </cell>
          <cell r="W278">
            <v>31</v>
          </cell>
          <cell r="X278">
            <v>360</v>
          </cell>
          <cell r="Y278">
            <v>18</v>
          </cell>
          <cell r="Z278">
            <v>13</v>
          </cell>
        </row>
        <row r="279">
          <cell r="A279">
            <v>9113122</v>
          </cell>
          <cell r="B279" t="str">
            <v>光刃·斩</v>
          </cell>
          <cell r="C279" t="str">
            <v>光刃·斩</v>
          </cell>
          <cell r="D279">
            <v>1</v>
          </cell>
          <cell r="E279">
            <v>38</v>
          </cell>
          <cell r="F279" t="str">
            <v>第22级，共造成261.4%点伤害</v>
          </cell>
          <cell r="G279">
            <v>1</v>
          </cell>
          <cell r="H279">
            <v>1</v>
          </cell>
          <cell r="I279">
            <v>22</v>
          </cell>
          <cell r="J279">
            <v>1</v>
          </cell>
          <cell r="K279">
            <v>87.142857142857139</v>
          </cell>
          <cell r="L279">
            <v>0</v>
          </cell>
          <cell r="M279">
            <v>7800</v>
          </cell>
          <cell r="N279">
            <v>29436</v>
          </cell>
          <cell r="O279">
            <v>3</v>
          </cell>
          <cell r="P279">
            <v>3</v>
          </cell>
          <cell r="Q279">
            <v>1</v>
          </cell>
          <cell r="R279">
            <v>5</v>
          </cell>
          <cell r="S279">
            <v>50</v>
          </cell>
          <cell r="T279">
            <v>71.428571428571431</v>
          </cell>
          <cell r="U279">
            <v>892</v>
          </cell>
          <cell r="V279">
            <v>214.28571428571428</v>
          </cell>
          <cell r="W279">
            <v>33</v>
          </cell>
          <cell r="X279">
            <v>393</v>
          </cell>
          <cell r="Y279">
            <v>18</v>
          </cell>
          <cell r="Z279">
            <v>14</v>
          </cell>
        </row>
        <row r="280">
          <cell r="A280">
            <v>9113123</v>
          </cell>
          <cell r="B280" t="str">
            <v>光刃·斩</v>
          </cell>
          <cell r="C280" t="str">
            <v>光刃·斩</v>
          </cell>
          <cell r="D280">
            <v>1</v>
          </cell>
          <cell r="E280">
            <v>40</v>
          </cell>
          <cell r="F280" t="str">
            <v>第23级，共造成263.6%点伤害</v>
          </cell>
          <cell r="G280">
            <v>1</v>
          </cell>
          <cell r="H280">
            <v>1</v>
          </cell>
          <cell r="I280">
            <v>23</v>
          </cell>
          <cell r="J280">
            <v>1</v>
          </cell>
          <cell r="K280">
            <v>87.857142857142861</v>
          </cell>
          <cell r="L280">
            <v>0</v>
          </cell>
          <cell r="M280">
            <v>7700</v>
          </cell>
          <cell r="N280">
            <v>35928</v>
          </cell>
          <cell r="O280">
            <v>3</v>
          </cell>
          <cell r="P280">
            <v>3</v>
          </cell>
          <cell r="Q280">
            <v>1</v>
          </cell>
          <cell r="R280">
            <v>5</v>
          </cell>
          <cell r="S280">
            <v>50</v>
          </cell>
          <cell r="T280">
            <v>71.428571428571431</v>
          </cell>
          <cell r="U280">
            <v>998</v>
          </cell>
          <cell r="V280">
            <v>214.28571428571428</v>
          </cell>
          <cell r="W280">
            <v>36</v>
          </cell>
          <cell r="X280">
            <v>429</v>
          </cell>
          <cell r="Y280">
            <v>18</v>
          </cell>
          <cell r="Z280">
            <v>15</v>
          </cell>
        </row>
        <row r="281">
          <cell r="A281">
            <v>9113124</v>
          </cell>
          <cell r="B281" t="str">
            <v>光刃·斩</v>
          </cell>
          <cell r="C281" t="str">
            <v>光刃·斩</v>
          </cell>
          <cell r="D281">
            <v>1</v>
          </cell>
          <cell r="E281">
            <v>41</v>
          </cell>
          <cell r="F281" t="str">
            <v>第24级，共造成265.7%点伤害</v>
          </cell>
          <cell r="G281">
            <v>1</v>
          </cell>
          <cell r="H281">
            <v>1</v>
          </cell>
          <cell r="I281">
            <v>24</v>
          </cell>
          <cell r="J281">
            <v>1</v>
          </cell>
          <cell r="K281">
            <v>88.571428571428569</v>
          </cell>
          <cell r="L281">
            <v>0</v>
          </cell>
          <cell r="M281">
            <v>7600</v>
          </cell>
          <cell r="N281">
            <v>40014</v>
          </cell>
          <cell r="O281">
            <v>3</v>
          </cell>
          <cell r="P281">
            <v>3</v>
          </cell>
          <cell r="Q281">
            <v>1</v>
          </cell>
          <cell r="R281">
            <v>5</v>
          </cell>
          <cell r="S281">
            <v>50</v>
          </cell>
          <cell r="T281">
            <v>71.428571428571431</v>
          </cell>
          <cell r="U281">
            <v>1053</v>
          </cell>
          <cell r="V281">
            <v>214.28571428571428</v>
          </cell>
          <cell r="W281">
            <v>38</v>
          </cell>
          <cell r="X281">
            <v>467</v>
          </cell>
          <cell r="Y281">
            <v>18</v>
          </cell>
          <cell r="Z281">
            <v>16</v>
          </cell>
        </row>
        <row r="282">
          <cell r="A282">
            <v>9113125</v>
          </cell>
          <cell r="B282" t="str">
            <v>光刃·斩</v>
          </cell>
          <cell r="C282" t="str">
            <v>光刃·斩</v>
          </cell>
          <cell r="D282">
            <v>1</v>
          </cell>
          <cell r="E282">
            <v>43</v>
          </cell>
          <cell r="F282" t="str">
            <v>第25级，共造成267.9%点伤害</v>
          </cell>
          <cell r="G282">
            <v>1</v>
          </cell>
          <cell r="H282">
            <v>1</v>
          </cell>
          <cell r="I282">
            <v>25</v>
          </cell>
          <cell r="J282">
            <v>1</v>
          </cell>
          <cell r="K282">
            <v>89.285714285714292</v>
          </cell>
          <cell r="L282">
            <v>0</v>
          </cell>
          <cell r="M282">
            <v>7500</v>
          </cell>
          <cell r="N282">
            <v>47847</v>
          </cell>
          <cell r="O282">
            <v>3</v>
          </cell>
          <cell r="P282">
            <v>3</v>
          </cell>
          <cell r="Q282">
            <v>1</v>
          </cell>
          <cell r="R282">
            <v>5</v>
          </cell>
          <cell r="S282">
            <v>50</v>
          </cell>
          <cell r="T282">
            <v>71.428571428571431</v>
          </cell>
          <cell r="U282">
            <v>1167</v>
          </cell>
          <cell r="V282">
            <v>214.28571428571428</v>
          </cell>
          <cell r="W282">
            <v>41</v>
          </cell>
          <cell r="X282">
            <v>508</v>
          </cell>
          <cell r="Y282">
            <v>18</v>
          </cell>
          <cell r="Z282">
            <v>17</v>
          </cell>
        </row>
        <row r="283">
          <cell r="A283">
            <v>9113126</v>
          </cell>
          <cell r="B283" t="str">
            <v>光刃·斩</v>
          </cell>
          <cell r="C283" t="str">
            <v>光刃·斩</v>
          </cell>
          <cell r="D283">
            <v>1</v>
          </cell>
          <cell r="E283">
            <v>44</v>
          </cell>
          <cell r="F283" t="str">
            <v>第26级，共造成270%点伤害</v>
          </cell>
          <cell r="G283">
            <v>1</v>
          </cell>
          <cell r="H283">
            <v>1</v>
          </cell>
          <cell r="I283">
            <v>26</v>
          </cell>
          <cell r="J283">
            <v>1</v>
          </cell>
          <cell r="K283">
            <v>90</v>
          </cell>
          <cell r="L283">
            <v>0</v>
          </cell>
          <cell r="M283">
            <v>7400</v>
          </cell>
          <cell r="N283">
            <v>52718</v>
          </cell>
          <cell r="O283">
            <v>3</v>
          </cell>
          <cell r="P283">
            <v>3</v>
          </cell>
          <cell r="Q283">
            <v>1</v>
          </cell>
          <cell r="R283">
            <v>5</v>
          </cell>
          <cell r="S283">
            <v>50</v>
          </cell>
          <cell r="T283">
            <v>71.428571428571431</v>
          </cell>
          <cell r="U283">
            <v>1226</v>
          </cell>
          <cell r="V283">
            <v>214.28571428571428</v>
          </cell>
          <cell r="W283">
            <v>43</v>
          </cell>
          <cell r="X283">
            <v>551</v>
          </cell>
          <cell r="Y283">
            <v>18</v>
          </cell>
          <cell r="Z283">
            <v>18</v>
          </cell>
        </row>
        <row r="284">
          <cell r="A284">
            <v>9113127</v>
          </cell>
          <cell r="B284" t="str">
            <v>光刃·斩</v>
          </cell>
          <cell r="C284" t="str">
            <v>光刃·斩</v>
          </cell>
          <cell r="D284">
            <v>1</v>
          </cell>
          <cell r="E284">
            <v>46</v>
          </cell>
          <cell r="F284" t="str">
            <v>第27级，共造成272.1%点伤害</v>
          </cell>
          <cell r="G284">
            <v>1</v>
          </cell>
          <cell r="H284">
            <v>1</v>
          </cell>
          <cell r="I284">
            <v>27</v>
          </cell>
          <cell r="J284">
            <v>1</v>
          </cell>
          <cell r="K284">
            <v>90.714285714285722</v>
          </cell>
          <cell r="L284">
            <v>0</v>
          </cell>
          <cell r="M284">
            <v>7300</v>
          </cell>
          <cell r="N284">
            <v>62054</v>
          </cell>
          <cell r="O284">
            <v>3</v>
          </cell>
          <cell r="P284">
            <v>3</v>
          </cell>
          <cell r="Q284">
            <v>1</v>
          </cell>
          <cell r="R284">
            <v>5</v>
          </cell>
          <cell r="S284">
            <v>50</v>
          </cell>
          <cell r="T284">
            <v>71.428571428571431</v>
          </cell>
          <cell r="U284">
            <v>1349</v>
          </cell>
          <cell r="V284">
            <v>214.28571428571428</v>
          </cell>
          <cell r="W284">
            <v>46</v>
          </cell>
          <cell r="X284">
            <v>597</v>
          </cell>
          <cell r="Y284">
            <v>18</v>
          </cell>
          <cell r="Z284">
            <v>19</v>
          </cell>
        </row>
        <row r="285">
          <cell r="A285">
            <v>9113128</v>
          </cell>
          <cell r="B285" t="str">
            <v>光刃·斩</v>
          </cell>
          <cell r="C285" t="str">
            <v>光刃·斩</v>
          </cell>
          <cell r="D285">
            <v>1</v>
          </cell>
          <cell r="E285">
            <v>47</v>
          </cell>
          <cell r="F285" t="str">
            <v>第28级，共造成274.3%点伤害</v>
          </cell>
          <cell r="G285">
            <v>1</v>
          </cell>
          <cell r="H285">
            <v>1</v>
          </cell>
          <cell r="I285">
            <v>28</v>
          </cell>
          <cell r="J285">
            <v>1</v>
          </cell>
          <cell r="K285">
            <v>91.428571428571431</v>
          </cell>
          <cell r="L285">
            <v>0</v>
          </cell>
          <cell r="M285">
            <v>7200</v>
          </cell>
          <cell r="N285">
            <v>70600</v>
          </cell>
          <cell r="O285">
            <v>3</v>
          </cell>
          <cell r="P285">
            <v>3</v>
          </cell>
          <cell r="Q285">
            <v>1</v>
          </cell>
          <cell r="R285">
            <v>5</v>
          </cell>
          <cell r="S285">
            <v>50</v>
          </cell>
          <cell r="T285">
            <v>71.428571428571431</v>
          </cell>
          <cell r="U285">
            <v>1412</v>
          </cell>
          <cell r="V285">
            <v>214.28571428571428</v>
          </cell>
          <cell r="W285">
            <v>50</v>
          </cell>
          <cell r="X285">
            <v>647</v>
          </cell>
          <cell r="Y285">
            <v>18</v>
          </cell>
          <cell r="Z285">
            <v>20</v>
          </cell>
        </row>
        <row r="286">
          <cell r="A286">
            <v>9113129</v>
          </cell>
          <cell r="B286" t="str">
            <v>光刃·斩</v>
          </cell>
          <cell r="C286" t="str">
            <v>光刃·斩</v>
          </cell>
          <cell r="D286">
            <v>1</v>
          </cell>
          <cell r="E286">
            <v>49</v>
          </cell>
          <cell r="F286" t="str">
            <v>第29级，共造成276.4%点伤害</v>
          </cell>
          <cell r="G286">
            <v>1</v>
          </cell>
          <cell r="H286">
            <v>1</v>
          </cell>
          <cell r="I286">
            <v>29</v>
          </cell>
          <cell r="J286">
            <v>1</v>
          </cell>
          <cell r="K286">
            <v>92.142857142857139</v>
          </cell>
          <cell r="L286">
            <v>0</v>
          </cell>
          <cell r="M286">
            <v>7100</v>
          </cell>
          <cell r="N286">
            <v>81779</v>
          </cell>
          <cell r="O286">
            <v>3</v>
          </cell>
          <cell r="P286">
            <v>3</v>
          </cell>
          <cell r="Q286">
            <v>1</v>
          </cell>
          <cell r="R286">
            <v>5</v>
          </cell>
          <cell r="S286">
            <v>50</v>
          </cell>
          <cell r="T286">
            <v>71.428571428571431</v>
          </cell>
          <cell r="U286">
            <v>1543</v>
          </cell>
          <cell r="V286">
            <v>214.28571428571428</v>
          </cell>
          <cell r="W286">
            <v>53</v>
          </cell>
          <cell r="X286">
            <v>700</v>
          </cell>
          <cell r="Y286">
            <v>18</v>
          </cell>
          <cell r="Z286">
            <v>22</v>
          </cell>
        </row>
        <row r="287">
          <cell r="A287">
            <v>9113130</v>
          </cell>
          <cell r="B287" t="str">
            <v>光刃·斩</v>
          </cell>
          <cell r="C287" t="str">
            <v>光刃·斩</v>
          </cell>
          <cell r="D287">
            <v>1</v>
          </cell>
          <cell r="E287">
            <v>50</v>
          </cell>
          <cell r="F287" t="str">
            <v>第30级，共造成278.6%点伤害</v>
          </cell>
          <cell r="G287">
            <v>1</v>
          </cell>
          <cell r="H287">
            <v>1</v>
          </cell>
          <cell r="I287">
            <v>30</v>
          </cell>
          <cell r="J287">
            <v>1</v>
          </cell>
          <cell r="K287">
            <v>92.857142857142861</v>
          </cell>
          <cell r="L287">
            <v>0</v>
          </cell>
          <cell r="M287">
            <v>7000</v>
          </cell>
          <cell r="N287">
            <v>91770</v>
          </cell>
          <cell r="O287">
            <v>3</v>
          </cell>
          <cell r="P287">
            <v>3</v>
          </cell>
          <cell r="Q287">
            <v>1</v>
          </cell>
          <cell r="R287">
            <v>5</v>
          </cell>
          <cell r="S287">
            <v>50</v>
          </cell>
          <cell r="T287">
            <v>71.428571428571431</v>
          </cell>
          <cell r="U287">
            <v>1610</v>
          </cell>
          <cell r="V287">
            <v>214.28571428571428</v>
          </cell>
          <cell r="W287">
            <v>57</v>
          </cell>
          <cell r="X287">
            <v>757</v>
          </cell>
          <cell r="Y287">
            <v>18</v>
          </cell>
          <cell r="Z287">
            <v>23</v>
          </cell>
        </row>
        <row r="288">
          <cell r="A288">
            <v>9113131</v>
          </cell>
          <cell r="B288" t="str">
            <v>光刃·斩</v>
          </cell>
          <cell r="C288" t="str">
            <v>光刃·斩</v>
          </cell>
          <cell r="D288">
            <v>1</v>
          </cell>
          <cell r="E288">
            <v>52</v>
          </cell>
          <cell r="F288" t="str">
            <v>第31级，共造成280.7%点伤害</v>
          </cell>
          <cell r="G288">
            <v>1</v>
          </cell>
          <cell r="H288">
            <v>1</v>
          </cell>
          <cell r="I288">
            <v>31</v>
          </cell>
          <cell r="J288">
            <v>1</v>
          </cell>
          <cell r="K288">
            <v>93.571428571428569</v>
          </cell>
          <cell r="L288">
            <v>0</v>
          </cell>
          <cell r="M288">
            <v>6900</v>
          </cell>
          <cell r="N288">
            <v>106689</v>
          </cell>
          <cell r="O288">
            <v>3</v>
          </cell>
          <cell r="P288">
            <v>3</v>
          </cell>
          <cell r="Q288">
            <v>1</v>
          </cell>
          <cell r="R288">
            <v>5</v>
          </cell>
          <cell r="S288">
            <v>50</v>
          </cell>
          <cell r="T288">
            <v>71.428571428571431</v>
          </cell>
          <cell r="U288">
            <v>1749</v>
          </cell>
          <cell r="V288">
            <v>214.28571428571428</v>
          </cell>
          <cell r="W288">
            <v>61</v>
          </cell>
          <cell r="X288">
            <v>818</v>
          </cell>
          <cell r="Y288">
            <v>18</v>
          </cell>
          <cell r="Z288">
            <v>25</v>
          </cell>
        </row>
        <row r="289">
          <cell r="A289">
            <v>9113132</v>
          </cell>
          <cell r="B289" t="str">
            <v>光刃·斩</v>
          </cell>
          <cell r="C289" t="str">
            <v>光刃·斩</v>
          </cell>
          <cell r="D289">
            <v>1</v>
          </cell>
          <cell r="E289">
            <v>53</v>
          </cell>
          <cell r="F289" t="str">
            <v>第32级，共造成282.9%点伤害</v>
          </cell>
          <cell r="G289">
            <v>1</v>
          </cell>
          <cell r="H289">
            <v>1</v>
          </cell>
          <cell r="I289">
            <v>32</v>
          </cell>
          <cell r="J289">
            <v>1</v>
          </cell>
          <cell r="K289">
            <v>94.285714285714292</v>
          </cell>
          <cell r="L289">
            <v>0</v>
          </cell>
          <cell r="M289">
            <v>6800</v>
          </cell>
          <cell r="N289">
            <v>118300</v>
          </cell>
          <cell r="O289">
            <v>3</v>
          </cell>
          <cell r="P289">
            <v>3</v>
          </cell>
          <cell r="Q289">
            <v>1</v>
          </cell>
          <cell r="R289">
            <v>5</v>
          </cell>
          <cell r="S289">
            <v>50</v>
          </cell>
          <cell r="T289">
            <v>71.428571428571431</v>
          </cell>
          <cell r="U289">
            <v>1820</v>
          </cell>
          <cell r="V289">
            <v>214.28571428571428</v>
          </cell>
          <cell r="W289">
            <v>65</v>
          </cell>
          <cell r="X289">
            <v>883</v>
          </cell>
          <cell r="Y289">
            <v>18</v>
          </cell>
          <cell r="Z289">
            <v>26</v>
          </cell>
        </row>
        <row r="290">
          <cell r="A290">
            <v>9113133</v>
          </cell>
          <cell r="B290" t="str">
            <v>光刃·斩</v>
          </cell>
          <cell r="C290" t="str">
            <v>光刃·斩</v>
          </cell>
          <cell r="D290">
            <v>1</v>
          </cell>
          <cell r="E290">
            <v>55</v>
          </cell>
          <cell r="F290" t="str">
            <v>第33级，共造成285%点伤害</v>
          </cell>
          <cell r="G290">
            <v>1</v>
          </cell>
          <cell r="H290">
            <v>1</v>
          </cell>
          <cell r="I290">
            <v>33</v>
          </cell>
          <cell r="J290">
            <v>1</v>
          </cell>
          <cell r="K290">
            <v>95</v>
          </cell>
          <cell r="L290">
            <v>0</v>
          </cell>
          <cell r="M290">
            <v>6700</v>
          </cell>
          <cell r="N290">
            <v>137690</v>
          </cell>
          <cell r="O290">
            <v>3</v>
          </cell>
          <cell r="P290">
            <v>3</v>
          </cell>
          <cell r="Q290">
            <v>1</v>
          </cell>
          <cell r="R290">
            <v>5</v>
          </cell>
          <cell r="S290">
            <v>50</v>
          </cell>
          <cell r="T290">
            <v>71.428571428571431</v>
          </cell>
          <cell r="U290">
            <v>1967</v>
          </cell>
          <cell r="V290">
            <v>214.28571428571428</v>
          </cell>
          <cell r="W290">
            <v>70</v>
          </cell>
          <cell r="X290">
            <v>953</v>
          </cell>
          <cell r="Y290">
            <v>18</v>
          </cell>
          <cell r="Z290">
            <v>28</v>
          </cell>
        </row>
        <row r="291">
          <cell r="A291">
            <v>9113134</v>
          </cell>
          <cell r="B291" t="str">
            <v>光刃·斩</v>
          </cell>
          <cell r="C291" t="str">
            <v>光刃·斩</v>
          </cell>
          <cell r="D291">
            <v>1</v>
          </cell>
          <cell r="E291">
            <v>56</v>
          </cell>
          <cell r="F291" t="str">
            <v>第34级，共造成287.1%点伤害</v>
          </cell>
          <cell r="G291">
            <v>1</v>
          </cell>
          <cell r="H291">
            <v>1</v>
          </cell>
          <cell r="I291">
            <v>34</v>
          </cell>
          <cell r="J291">
            <v>1</v>
          </cell>
          <cell r="K291">
            <v>95.714285714285722</v>
          </cell>
          <cell r="L291">
            <v>0</v>
          </cell>
          <cell r="M291">
            <v>6600</v>
          </cell>
          <cell r="N291">
            <v>153150</v>
          </cell>
          <cell r="O291">
            <v>3</v>
          </cell>
          <cell r="P291">
            <v>3</v>
          </cell>
          <cell r="Q291">
            <v>1</v>
          </cell>
          <cell r="R291">
            <v>5</v>
          </cell>
          <cell r="S291">
            <v>50</v>
          </cell>
          <cell r="T291">
            <v>71.428571428571431</v>
          </cell>
          <cell r="U291">
            <v>2042</v>
          </cell>
          <cell r="V291">
            <v>214.28571428571428</v>
          </cell>
          <cell r="W291">
            <v>75</v>
          </cell>
          <cell r="X291">
            <v>1028</v>
          </cell>
          <cell r="Y291">
            <v>18</v>
          </cell>
          <cell r="Z291">
            <v>30</v>
          </cell>
        </row>
        <row r="292">
          <cell r="A292">
            <v>9113135</v>
          </cell>
          <cell r="B292" t="str">
            <v>光刃·斩</v>
          </cell>
          <cell r="C292" t="str">
            <v>光刃·斩</v>
          </cell>
          <cell r="D292">
            <v>1</v>
          </cell>
          <cell r="E292">
            <v>58</v>
          </cell>
          <cell r="F292" t="str">
            <v>第35级，共造成289.3%点伤害</v>
          </cell>
          <cell r="G292">
            <v>1</v>
          </cell>
          <cell r="H292">
            <v>1</v>
          </cell>
          <cell r="I292">
            <v>35</v>
          </cell>
          <cell r="J292">
            <v>1</v>
          </cell>
          <cell r="K292">
            <v>96.428571428571431</v>
          </cell>
          <cell r="L292">
            <v>0</v>
          </cell>
          <cell r="M292">
            <v>6500</v>
          </cell>
          <cell r="N292">
            <v>175840</v>
          </cell>
          <cell r="O292">
            <v>3</v>
          </cell>
          <cell r="P292">
            <v>3</v>
          </cell>
          <cell r="Q292">
            <v>1</v>
          </cell>
          <cell r="R292">
            <v>5</v>
          </cell>
          <cell r="S292">
            <v>50</v>
          </cell>
          <cell r="T292">
            <v>71.428571428571431</v>
          </cell>
          <cell r="U292">
            <v>2198</v>
          </cell>
          <cell r="V292">
            <v>214.28571428571428</v>
          </cell>
          <cell r="W292">
            <v>80</v>
          </cell>
          <cell r="X292">
            <v>1108</v>
          </cell>
          <cell r="Y292">
            <v>18</v>
          </cell>
          <cell r="Z292">
            <v>32</v>
          </cell>
        </row>
        <row r="293">
          <cell r="A293">
            <v>9113136</v>
          </cell>
          <cell r="B293" t="str">
            <v>光刃·斩</v>
          </cell>
          <cell r="C293" t="str">
            <v>光刃·斩</v>
          </cell>
          <cell r="D293">
            <v>1</v>
          </cell>
          <cell r="E293">
            <v>59</v>
          </cell>
          <cell r="F293" t="str">
            <v>第36级，共造成291.4%点伤害</v>
          </cell>
          <cell r="G293">
            <v>1</v>
          </cell>
          <cell r="H293">
            <v>1</v>
          </cell>
          <cell r="I293">
            <v>36</v>
          </cell>
          <cell r="J293">
            <v>1</v>
          </cell>
          <cell r="K293">
            <v>97.142857142857139</v>
          </cell>
          <cell r="L293">
            <v>0</v>
          </cell>
          <cell r="M293">
            <v>6400</v>
          </cell>
          <cell r="N293">
            <v>193545</v>
          </cell>
          <cell r="O293">
            <v>3</v>
          </cell>
          <cell r="P293">
            <v>3</v>
          </cell>
          <cell r="Q293">
            <v>1</v>
          </cell>
          <cell r="R293">
            <v>5</v>
          </cell>
          <cell r="S293">
            <v>50</v>
          </cell>
          <cell r="T293">
            <v>71.428571428571431</v>
          </cell>
          <cell r="U293">
            <v>2277</v>
          </cell>
          <cell r="V293">
            <v>214.28571428571428</v>
          </cell>
          <cell r="W293">
            <v>85</v>
          </cell>
          <cell r="X293">
            <v>1193</v>
          </cell>
          <cell r="Y293">
            <v>18</v>
          </cell>
          <cell r="Z293">
            <v>34</v>
          </cell>
        </row>
        <row r="294">
          <cell r="A294">
            <v>9113137</v>
          </cell>
          <cell r="B294" t="str">
            <v>光刃·斩</v>
          </cell>
          <cell r="C294" t="str">
            <v>光刃·斩</v>
          </cell>
          <cell r="D294">
            <v>1</v>
          </cell>
          <cell r="E294">
            <v>61</v>
          </cell>
          <cell r="F294" t="str">
            <v>第37级，共造成293.6%点伤害</v>
          </cell>
          <cell r="G294">
            <v>1</v>
          </cell>
          <cell r="H294">
            <v>1</v>
          </cell>
          <cell r="I294">
            <v>37</v>
          </cell>
          <cell r="J294">
            <v>1</v>
          </cell>
          <cell r="K294">
            <v>97.857142857142861</v>
          </cell>
          <cell r="L294">
            <v>0</v>
          </cell>
          <cell r="M294">
            <v>6300</v>
          </cell>
          <cell r="N294">
            <v>224480</v>
          </cell>
          <cell r="O294">
            <v>3</v>
          </cell>
          <cell r="P294">
            <v>3</v>
          </cell>
          <cell r="Q294">
            <v>1</v>
          </cell>
          <cell r="R294">
            <v>5</v>
          </cell>
          <cell r="S294">
            <v>50</v>
          </cell>
          <cell r="T294">
            <v>71.428571428571431</v>
          </cell>
          <cell r="U294">
            <v>2440</v>
          </cell>
          <cell r="V294">
            <v>214.28571428571428</v>
          </cell>
          <cell r="W294">
            <v>92</v>
          </cell>
          <cell r="X294">
            <v>1285</v>
          </cell>
          <cell r="Y294">
            <v>18</v>
          </cell>
          <cell r="Z294">
            <v>37</v>
          </cell>
        </row>
        <row r="295">
          <cell r="A295">
            <v>9113138</v>
          </cell>
          <cell r="B295" t="str">
            <v>光刃·斩</v>
          </cell>
          <cell r="C295" t="str">
            <v>光刃·斩</v>
          </cell>
          <cell r="D295">
            <v>1</v>
          </cell>
          <cell r="E295">
            <v>62</v>
          </cell>
          <cell r="F295" t="str">
            <v>第38级，共造成295.7%点伤害</v>
          </cell>
          <cell r="G295">
            <v>1</v>
          </cell>
          <cell r="H295">
            <v>1</v>
          </cell>
          <cell r="I295">
            <v>38</v>
          </cell>
          <cell r="J295">
            <v>1</v>
          </cell>
          <cell r="K295">
            <v>98.571428571428569</v>
          </cell>
          <cell r="L295">
            <v>0</v>
          </cell>
          <cell r="M295">
            <v>6200</v>
          </cell>
          <cell r="N295">
            <v>247352</v>
          </cell>
          <cell r="O295">
            <v>3</v>
          </cell>
          <cell r="P295">
            <v>3</v>
          </cell>
          <cell r="Q295">
            <v>1</v>
          </cell>
          <cell r="R295">
            <v>5</v>
          </cell>
          <cell r="S295">
            <v>50</v>
          </cell>
          <cell r="T295">
            <v>71.428571428571431</v>
          </cell>
          <cell r="U295">
            <v>2524</v>
          </cell>
          <cell r="V295">
            <v>214.28571428571428</v>
          </cell>
          <cell r="W295">
            <v>98</v>
          </cell>
          <cell r="X295">
            <v>1383</v>
          </cell>
          <cell r="Y295">
            <v>18</v>
          </cell>
          <cell r="Z295">
            <v>40</v>
          </cell>
        </row>
        <row r="296">
          <cell r="A296">
            <v>9113139</v>
          </cell>
          <cell r="B296" t="str">
            <v>光刃·斩</v>
          </cell>
          <cell r="C296" t="str">
            <v>光刃·斩</v>
          </cell>
          <cell r="D296">
            <v>1</v>
          </cell>
          <cell r="E296">
            <v>64</v>
          </cell>
          <cell r="F296" t="str">
            <v>第39级，共造成297.9%点伤害</v>
          </cell>
          <cell r="G296">
            <v>1</v>
          </cell>
          <cell r="H296">
            <v>1</v>
          </cell>
          <cell r="I296">
            <v>39</v>
          </cell>
          <cell r="J296">
            <v>1</v>
          </cell>
          <cell r="K296">
            <v>99.285714285714292</v>
          </cell>
          <cell r="L296">
            <v>0</v>
          </cell>
          <cell r="M296">
            <v>6100</v>
          </cell>
          <cell r="N296">
            <v>282975</v>
          </cell>
          <cell r="O296">
            <v>3</v>
          </cell>
          <cell r="P296">
            <v>3</v>
          </cell>
          <cell r="Q296">
            <v>1</v>
          </cell>
          <cell r="R296">
            <v>5</v>
          </cell>
          <cell r="S296">
            <v>50</v>
          </cell>
          <cell r="T296">
            <v>71.428571428571431</v>
          </cell>
          <cell r="U296">
            <v>2695</v>
          </cell>
          <cell r="V296">
            <v>214.28571428571428</v>
          </cell>
          <cell r="W296">
            <v>105</v>
          </cell>
          <cell r="X296">
            <v>1488</v>
          </cell>
          <cell r="Y296">
            <v>18</v>
          </cell>
          <cell r="Z296">
            <v>42</v>
          </cell>
        </row>
        <row r="297">
          <cell r="A297">
            <v>9113140</v>
          </cell>
          <cell r="B297" t="str">
            <v>光刃·斩</v>
          </cell>
          <cell r="C297" t="str">
            <v>光刃·斩</v>
          </cell>
          <cell r="D297">
            <v>1</v>
          </cell>
          <cell r="E297">
            <v>65</v>
          </cell>
          <cell r="F297" t="str">
            <v>第40级，共造成300%点伤害</v>
          </cell>
          <cell r="G297">
            <v>1</v>
          </cell>
          <cell r="H297">
            <v>1</v>
          </cell>
          <cell r="I297">
            <v>40</v>
          </cell>
          <cell r="J297">
            <v>1</v>
          </cell>
          <cell r="K297">
            <v>100</v>
          </cell>
          <cell r="L297">
            <v>0</v>
          </cell>
          <cell r="M297">
            <v>6000</v>
          </cell>
          <cell r="N297">
            <v>311696</v>
          </cell>
          <cell r="O297">
            <v>3</v>
          </cell>
          <cell r="P297">
            <v>3</v>
          </cell>
          <cell r="Q297">
            <v>1</v>
          </cell>
          <cell r="R297">
            <v>5</v>
          </cell>
          <cell r="S297">
            <v>50</v>
          </cell>
          <cell r="T297">
            <v>71.428571428571431</v>
          </cell>
          <cell r="U297">
            <v>2783</v>
          </cell>
          <cell r="V297">
            <v>214.28571428571428</v>
          </cell>
          <cell r="W297">
            <v>112</v>
          </cell>
          <cell r="X297">
            <v>1600</v>
          </cell>
          <cell r="Y297">
            <v>18</v>
          </cell>
          <cell r="Z297">
            <v>45</v>
          </cell>
        </row>
        <row r="298">
          <cell r="A298">
            <v>9113141</v>
          </cell>
          <cell r="B298" t="str">
            <v>光刃·斩</v>
          </cell>
          <cell r="C298" t="str">
            <v>光刃·斩</v>
          </cell>
          <cell r="D298">
            <v>1</v>
          </cell>
          <cell r="E298">
            <v>67</v>
          </cell>
          <cell r="F298" t="str">
            <v>第41级，共造成302.1%点伤害</v>
          </cell>
          <cell r="G298">
            <v>1</v>
          </cell>
          <cell r="H298">
            <v>1</v>
          </cell>
          <cell r="I298">
            <v>41</v>
          </cell>
          <cell r="J298">
            <v>1</v>
          </cell>
          <cell r="K298">
            <v>100.71428571428572</v>
          </cell>
          <cell r="L298">
            <v>0</v>
          </cell>
          <cell r="M298">
            <v>5900</v>
          </cell>
          <cell r="N298">
            <v>355560</v>
          </cell>
          <cell r="O298">
            <v>3</v>
          </cell>
          <cell r="P298">
            <v>3</v>
          </cell>
          <cell r="Q298">
            <v>1</v>
          </cell>
          <cell r="R298">
            <v>5</v>
          </cell>
          <cell r="S298">
            <v>50</v>
          </cell>
          <cell r="T298">
            <v>71.428571428571431</v>
          </cell>
          <cell r="U298">
            <v>2963</v>
          </cell>
          <cell r="V298">
            <v>214.28571428571428</v>
          </cell>
          <cell r="W298">
            <v>120</v>
          </cell>
          <cell r="X298">
            <v>1720</v>
          </cell>
          <cell r="Y298">
            <v>18</v>
          </cell>
          <cell r="Z298">
            <v>48</v>
          </cell>
        </row>
        <row r="299">
          <cell r="A299">
            <v>9113142</v>
          </cell>
          <cell r="B299" t="str">
            <v>光刃·斩</v>
          </cell>
          <cell r="C299" t="str">
            <v>光刃·斩</v>
          </cell>
          <cell r="D299">
            <v>1</v>
          </cell>
          <cell r="E299">
            <v>68</v>
          </cell>
          <cell r="F299" t="str">
            <v>第42级，共造成304.3%点伤害</v>
          </cell>
          <cell r="G299">
            <v>1</v>
          </cell>
          <cell r="H299">
            <v>1</v>
          </cell>
          <cell r="I299">
            <v>42</v>
          </cell>
          <cell r="J299">
            <v>1</v>
          </cell>
          <cell r="K299">
            <v>101.42857142857143</v>
          </cell>
          <cell r="L299">
            <v>0</v>
          </cell>
          <cell r="M299">
            <v>5800</v>
          </cell>
          <cell r="N299">
            <v>390912</v>
          </cell>
          <cell r="O299">
            <v>3</v>
          </cell>
          <cell r="P299">
            <v>3</v>
          </cell>
          <cell r="Q299">
            <v>1</v>
          </cell>
          <cell r="R299">
            <v>5</v>
          </cell>
          <cell r="S299">
            <v>50</v>
          </cell>
          <cell r="T299">
            <v>71.428571428571431</v>
          </cell>
          <cell r="U299">
            <v>3054</v>
          </cell>
          <cell r="V299">
            <v>214.28571428571428</v>
          </cell>
          <cell r="W299">
            <v>128</v>
          </cell>
          <cell r="X299">
            <v>1848</v>
          </cell>
          <cell r="Y299">
            <v>18</v>
          </cell>
          <cell r="Z299">
            <v>52</v>
          </cell>
        </row>
        <row r="300">
          <cell r="A300">
            <v>9113143</v>
          </cell>
          <cell r="B300" t="str">
            <v>光刃·斩</v>
          </cell>
          <cell r="C300" t="str">
            <v>光刃·斩</v>
          </cell>
          <cell r="D300">
            <v>1</v>
          </cell>
          <cell r="E300">
            <v>70</v>
          </cell>
          <cell r="F300" t="str">
            <v>第43级，共造成306.4%点伤害</v>
          </cell>
          <cell r="G300">
            <v>1</v>
          </cell>
          <cell r="H300">
            <v>1</v>
          </cell>
          <cell r="I300">
            <v>43</v>
          </cell>
          <cell r="J300">
            <v>1</v>
          </cell>
          <cell r="K300">
            <v>102.14285714285714</v>
          </cell>
          <cell r="L300">
            <v>0</v>
          </cell>
          <cell r="M300">
            <v>5700</v>
          </cell>
          <cell r="N300">
            <v>444154</v>
          </cell>
          <cell r="O300">
            <v>3</v>
          </cell>
          <cell r="P300">
            <v>3</v>
          </cell>
          <cell r="Q300">
            <v>1</v>
          </cell>
          <cell r="R300">
            <v>5</v>
          </cell>
          <cell r="S300">
            <v>50</v>
          </cell>
          <cell r="T300">
            <v>71.428571428571431</v>
          </cell>
          <cell r="U300">
            <v>3242</v>
          </cell>
          <cell r="V300">
            <v>214.28571428571428</v>
          </cell>
          <cell r="W300">
            <v>137</v>
          </cell>
          <cell r="X300">
            <v>1985</v>
          </cell>
          <cell r="Y300">
            <v>18</v>
          </cell>
          <cell r="Z300">
            <v>55</v>
          </cell>
        </row>
        <row r="301">
          <cell r="A301">
            <v>9113144</v>
          </cell>
          <cell r="B301" t="str">
            <v>光刃·斩</v>
          </cell>
          <cell r="C301" t="str">
            <v>光刃·斩</v>
          </cell>
          <cell r="D301">
            <v>1</v>
          </cell>
          <cell r="E301">
            <v>71</v>
          </cell>
          <cell r="F301" t="str">
            <v>第44级，共造成308.6%点伤害</v>
          </cell>
          <cell r="G301">
            <v>1</v>
          </cell>
          <cell r="H301">
            <v>1</v>
          </cell>
          <cell r="I301">
            <v>44</v>
          </cell>
          <cell r="J301">
            <v>1</v>
          </cell>
          <cell r="K301">
            <v>102.85714285714286</v>
          </cell>
          <cell r="L301">
            <v>0</v>
          </cell>
          <cell r="M301">
            <v>5600</v>
          </cell>
          <cell r="N301">
            <v>490686</v>
          </cell>
          <cell r="O301">
            <v>3</v>
          </cell>
          <cell r="P301">
            <v>3</v>
          </cell>
          <cell r="Q301">
            <v>1</v>
          </cell>
          <cell r="R301">
            <v>5</v>
          </cell>
          <cell r="S301">
            <v>50</v>
          </cell>
          <cell r="T301">
            <v>71.428571428571431</v>
          </cell>
          <cell r="U301">
            <v>3338</v>
          </cell>
          <cell r="V301">
            <v>214.28571428571428</v>
          </cell>
          <cell r="W301">
            <v>147</v>
          </cell>
          <cell r="X301">
            <v>2132</v>
          </cell>
          <cell r="Y301">
            <v>18</v>
          </cell>
          <cell r="Z301">
            <v>59</v>
          </cell>
        </row>
        <row r="302">
          <cell r="A302">
            <v>9113145</v>
          </cell>
          <cell r="B302" t="str">
            <v>光刃·斩</v>
          </cell>
          <cell r="C302" t="str">
            <v>光刃·斩</v>
          </cell>
          <cell r="D302">
            <v>1</v>
          </cell>
          <cell r="E302">
            <v>73</v>
          </cell>
          <cell r="F302" t="str">
            <v>第45级，共造成310.7%点伤害</v>
          </cell>
          <cell r="G302">
            <v>1</v>
          </cell>
          <cell r="H302">
            <v>1</v>
          </cell>
          <cell r="I302">
            <v>45</v>
          </cell>
          <cell r="J302">
            <v>1</v>
          </cell>
          <cell r="K302">
            <v>103.57142857142858</v>
          </cell>
          <cell r="L302">
            <v>0</v>
          </cell>
          <cell r="M302">
            <v>5500</v>
          </cell>
          <cell r="N302">
            <v>554838</v>
          </cell>
          <cell r="O302">
            <v>3</v>
          </cell>
          <cell r="P302">
            <v>3</v>
          </cell>
          <cell r="Q302">
            <v>1</v>
          </cell>
          <cell r="R302">
            <v>5</v>
          </cell>
          <cell r="S302">
            <v>50</v>
          </cell>
          <cell r="T302">
            <v>71.428571428571431</v>
          </cell>
          <cell r="U302">
            <v>3534</v>
          </cell>
          <cell r="V302">
            <v>214.28571428571428</v>
          </cell>
          <cell r="W302">
            <v>157</v>
          </cell>
          <cell r="X302">
            <v>2289</v>
          </cell>
          <cell r="Y302">
            <v>18</v>
          </cell>
          <cell r="Z302">
            <v>63</v>
          </cell>
        </row>
        <row r="303">
          <cell r="A303">
            <v>9113146</v>
          </cell>
          <cell r="B303" t="str">
            <v>光刃·斩</v>
          </cell>
          <cell r="C303" t="str">
            <v>光刃·斩</v>
          </cell>
          <cell r="D303">
            <v>1</v>
          </cell>
          <cell r="E303">
            <v>74</v>
          </cell>
          <cell r="F303" t="str">
            <v>第46级，共造成312.9%点伤害</v>
          </cell>
          <cell r="G303">
            <v>1</v>
          </cell>
          <cell r="H303">
            <v>1</v>
          </cell>
          <cell r="I303">
            <v>46</v>
          </cell>
          <cell r="J303">
            <v>1</v>
          </cell>
          <cell r="K303">
            <v>104.28571428571429</v>
          </cell>
          <cell r="L303">
            <v>0</v>
          </cell>
          <cell r="M303">
            <v>5400</v>
          </cell>
          <cell r="N303">
            <v>610512</v>
          </cell>
          <cell r="O303">
            <v>3</v>
          </cell>
          <cell r="P303">
            <v>3</v>
          </cell>
          <cell r="Q303">
            <v>1</v>
          </cell>
          <cell r="R303">
            <v>5</v>
          </cell>
          <cell r="S303">
            <v>50</v>
          </cell>
          <cell r="T303">
            <v>71.428571428571431</v>
          </cell>
          <cell r="U303">
            <v>3634</v>
          </cell>
          <cell r="V303">
            <v>214.28571428571428</v>
          </cell>
          <cell r="W303">
            <v>168</v>
          </cell>
          <cell r="X303">
            <v>2457</v>
          </cell>
          <cell r="Y303">
            <v>18</v>
          </cell>
          <cell r="Z303">
            <v>68</v>
          </cell>
        </row>
        <row r="304">
          <cell r="A304">
            <v>9113147</v>
          </cell>
          <cell r="B304" t="str">
            <v>光刃·斩</v>
          </cell>
          <cell r="C304" t="str">
            <v>光刃·斩</v>
          </cell>
          <cell r="D304">
            <v>1</v>
          </cell>
          <cell r="E304">
            <v>76</v>
          </cell>
          <cell r="F304" t="str">
            <v>第47级，共造成315%点伤害</v>
          </cell>
          <cell r="G304">
            <v>1</v>
          </cell>
          <cell r="H304">
            <v>1</v>
          </cell>
          <cell r="I304">
            <v>47</v>
          </cell>
          <cell r="J304">
            <v>1</v>
          </cell>
          <cell r="K304">
            <v>105</v>
          </cell>
          <cell r="L304">
            <v>0</v>
          </cell>
          <cell r="M304">
            <v>5300</v>
          </cell>
          <cell r="N304">
            <v>690840</v>
          </cell>
          <cell r="O304">
            <v>3</v>
          </cell>
          <cell r="P304">
            <v>3</v>
          </cell>
          <cell r="Q304">
            <v>1</v>
          </cell>
          <cell r="R304">
            <v>5</v>
          </cell>
          <cell r="S304">
            <v>50</v>
          </cell>
          <cell r="T304">
            <v>71.428571428571431</v>
          </cell>
          <cell r="U304">
            <v>3838</v>
          </cell>
          <cell r="V304">
            <v>214.28571428571428</v>
          </cell>
          <cell r="W304">
            <v>180</v>
          </cell>
          <cell r="X304">
            <v>2637</v>
          </cell>
          <cell r="Y304">
            <v>18</v>
          </cell>
          <cell r="Z304">
            <v>72</v>
          </cell>
        </row>
        <row r="305">
          <cell r="A305">
            <v>9113148</v>
          </cell>
          <cell r="B305" t="str">
            <v>光刃·斩</v>
          </cell>
          <cell r="C305" t="str">
            <v>光刃·斩</v>
          </cell>
          <cell r="D305">
            <v>1</v>
          </cell>
          <cell r="E305">
            <v>77</v>
          </cell>
          <cell r="F305" t="str">
            <v>第48级，共造成317.1%点伤害</v>
          </cell>
          <cell r="G305">
            <v>1</v>
          </cell>
          <cell r="H305">
            <v>1</v>
          </cell>
          <cell r="I305">
            <v>48</v>
          </cell>
          <cell r="J305">
            <v>1</v>
          </cell>
          <cell r="K305">
            <v>105.71428571428572</v>
          </cell>
          <cell r="L305">
            <v>0</v>
          </cell>
          <cell r="M305">
            <v>5200</v>
          </cell>
          <cell r="N305">
            <v>760806</v>
          </cell>
          <cell r="O305">
            <v>3</v>
          </cell>
          <cell r="P305">
            <v>3</v>
          </cell>
          <cell r="Q305">
            <v>1</v>
          </cell>
          <cell r="R305">
            <v>5</v>
          </cell>
          <cell r="S305">
            <v>50</v>
          </cell>
          <cell r="T305">
            <v>71.428571428571431</v>
          </cell>
          <cell r="U305">
            <v>3942</v>
          </cell>
          <cell r="V305">
            <v>214.28571428571428</v>
          </cell>
          <cell r="W305">
            <v>193</v>
          </cell>
          <cell r="X305">
            <v>2830</v>
          </cell>
          <cell r="Y305">
            <v>18</v>
          </cell>
          <cell r="Z305">
            <v>78</v>
          </cell>
        </row>
        <row r="306">
          <cell r="A306">
            <v>9113149</v>
          </cell>
          <cell r="B306" t="str">
            <v>光刃·斩</v>
          </cell>
          <cell r="C306" t="str">
            <v>光刃·斩</v>
          </cell>
          <cell r="D306">
            <v>1</v>
          </cell>
          <cell r="E306">
            <v>79</v>
          </cell>
          <cell r="F306" t="str">
            <v>第49级，共造成319.3%点伤害</v>
          </cell>
          <cell r="G306">
            <v>1</v>
          </cell>
          <cell r="H306">
            <v>1</v>
          </cell>
          <cell r="I306">
            <v>49</v>
          </cell>
          <cell r="J306">
            <v>1</v>
          </cell>
          <cell r="K306">
            <v>106.42857142857143</v>
          </cell>
          <cell r="L306">
            <v>0</v>
          </cell>
          <cell r="M306">
            <v>5100</v>
          </cell>
          <cell r="N306">
            <v>855724</v>
          </cell>
          <cell r="O306">
            <v>3</v>
          </cell>
          <cell r="P306">
            <v>3</v>
          </cell>
          <cell r="Q306">
            <v>1</v>
          </cell>
          <cell r="R306">
            <v>5</v>
          </cell>
          <cell r="S306">
            <v>50</v>
          </cell>
          <cell r="T306">
            <v>71.428571428571431</v>
          </cell>
          <cell r="U306">
            <v>4154</v>
          </cell>
          <cell r="V306">
            <v>214.28571428571428</v>
          </cell>
          <cell r="W306">
            <v>206</v>
          </cell>
          <cell r="X306">
            <v>3036</v>
          </cell>
          <cell r="Y306">
            <v>18</v>
          </cell>
          <cell r="Z306">
            <v>83</v>
          </cell>
        </row>
        <row r="307">
          <cell r="A307">
            <v>9113150</v>
          </cell>
          <cell r="B307" t="str">
            <v>光刃·斩</v>
          </cell>
          <cell r="C307" t="str">
            <v>光刃·斩</v>
          </cell>
          <cell r="D307">
            <v>1</v>
          </cell>
          <cell r="E307">
            <v>80</v>
          </cell>
          <cell r="F307" t="str">
            <v>第50级，共造成321.4%点伤害</v>
          </cell>
          <cell r="G307">
            <v>1</v>
          </cell>
          <cell r="H307">
            <v>1</v>
          </cell>
          <cell r="I307">
            <v>50</v>
          </cell>
          <cell r="J307">
            <v>1</v>
          </cell>
          <cell r="K307">
            <v>107.14285714285714</v>
          </cell>
          <cell r="L307">
            <v>0</v>
          </cell>
          <cell r="M307">
            <v>5000</v>
          </cell>
          <cell r="N307">
            <v>941902</v>
          </cell>
          <cell r="O307">
            <v>3</v>
          </cell>
          <cell r="P307">
            <v>3</v>
          </cell>
          <cell r="Q307">
            <v>1</v>
          </cell>
          <cell r="R307">
            <v>5</v>
          </cell>
          <cell r="S307">
            <v>50</v>
          </cell>
          <cell r="T307">
            <v>71.428571428571431</v>
          </cell>
          <cell r="U307">
            <v>4262</v>
          </cell>
          <cell r="V307">
            <v>214.28571428571428</v>
          </cell>
          <cell r="W307">
            <v>221</v>
          </cell>
          <cell r="X307">
            <v>3257</v>
          </cell>
          <cell r="Y307">
            <v>18</v>
          </cell>
          <cell r="Z307">
            <v>89</v>
          </cell>
        </row>
        <row r="308">
          <cell r="A308">
            <v>9124000</v>
          </cell>
          <cell r="B308" t="str">
            <v>裂空·斩</v>
          </cell>
          <cell r="C308" t="str">
            <v>裂空·斩第1段</v>
          </cell>
          <cell r="D308">
            <v>1</v>
          </cell>
          <cell r="E308">
            <v>6</v>
          </cell>
          <cell r="F308" t="str">
            <v>第0级，共造成119%点伤害</v>
          </cell>
          <cell r="G308">
            <v>0</v>
          </cell>
          <cell r="H308">
            <v>1</v>
          </cell>
          <cell r="I308">
            <v>0</v>
          </cell>
          <cell r="J308">
            <v>2</v>
          </cell>
          <cell r="K308">
            <v>119.04761904761905</v>
          </cell>
          <cell r="L308">
            <v>0</v>
          </cell>
          <cell r="M308">
            <v>8000</v>
          </cell>
          <cell r="N308">
            <v>0</v>
          </cell>
          <cell r="O308">
            <v>4</v>
          </cell>
          <cell r="P308">
            <v>1</v>
          </cell>
          <cell r="Q308">
            <v>1</v>
          </cell>
          <cell r="R308">
            <v>6</v>
          </cell>
          <cell r="S308">
            <v>50</v>
          </cell>
          <cell r="T308">
            <v>119.04761904761905</v>
          </cell>
          <cell r="U308">
            <v>80</v>
          </cell>
          <cell r="V308">
            <v>119.04761904761905</v>
          </cell>
          <cell r="W308">
            <v>0</v>
          </cell>
          <cell r="X308">
            <v>0</v>
          </cell>
          <cell r="Y308">
            <v>18</v>
          </cell>
          <cell r="Z308">
            <v>0</v>
          </cell>
        </row>
        <row r="309">
          <cell r="A309">
            <v>9124101</v>
          </cell>
          <cell r="B309" t="str">
            <v>裂空·斩第1段</v>
          </cell>
          <cell r="C309" t="str">
            <v>裂空·斩第1段</v>
          </cell>
          <cell r="D309">
            <v>1</v>
          </cell>
          <cell r="E309">
            <v>6</v>
          </cell>
          <cell r="F309" t="str">
            <v>第1级，共造成119%点伤害</v>
          </cell>
          <cell r="G309">
            <v>1</v>
          </cell>
          <cell r="H309">
            <v>1</v>
          </cell>
          <cell r="I309">
            <v>1</v>
          </cell>
          <cell r="J309">
            <v>2</v>
          </cell>
          <cell r="K309">
            <v>119.04761904761905</v>
          </cell>
          <cell r="L309">
            <v>0</v>
          </cell>
          <cell r="M309">
            <v>8000</v>
          </cell>
          <cell r="N309">
            <v>320</v>
          </cell>
          <cell r="O309">
            <v>4</v>
          </cell>
          <cell r="P309">
            <v>1</v>
          </cell>
          <cell r="Q309">
            <v>1</v>
          </cell>
          <cell r="R309">
            <v>6</v>
          </cell>
          <cell r="S309">
            <v>50</v>
          </cell>
          <cell r="T309">
            <v>119.04761904761905</v>
          </cell>
          <cell r="U309">
            <v>80</v>
          </cell>
          <cell r="V309">
            <v>119.04761904761905</v>
          </cell>
          <cell r="W309">
            <v>4</v>
          </cell>
          <cell r="X309">
            <v>4</v>
          </cell>
          <cell r="Y309">
            <v>18</v>
          </cell>
          <cell r="Z309">
            <v>0</v>
          </cell>
        </row>
        <row r="310">
          <cell r="A310">
            <v>9124102</v>
          </cell>
          <cell r="B310" t="str">
            <v>裂空·斩第1段</v>
          </cell>
          <cell r="C310" t="str">
            <v>裂空·斩第1段</v>
          </cell>
          <cell r="D310">
            <v>1</v>
          </cell>
          <cell r="E310">
            <v>9</v>
          </cell>
          <cell r="F310" t="str">
            <v>第2级，共造成121.4%点伤害</v>
          </cell>
          <cell r="G310">
            <v>1</v>
          </cell>
          <cell r="H310">
            <v>1</v>
          </cell>
          <cell r="I310">
            <v>2</v>
          </cell>
          <cell r="J310">
            <v>2</v>
          </cell>
          <cell r="K310">
            <v>121.42857142857143</v>
          </cell>
          <cell r="L310">
            <v>0</v>
          </cell>
          <cell r="M310">
            <v>7840</v>
          </cell>
          <cell r="N310">
            <v>392</v>
          </cell>
          <cell r="O310">
            <v>4</v>
          </cell>
          <cell r="P310">
            <v>1</v>
          </cell>
          <cell r="Q310">
            <v>1</v>
          </cell>
          <cell r="R310">
            <v>6</v>
          </cell>
          <cell r="S310">
            <v>50</v>
          </cell>
          <cell r="T310">
            <v>119.04761904761905</v>
          </cell>
          <cell r="U310">
            <v>98</v>
          </cell>
          <cell r="V310">
            <v>119.04761904761905</v>
          </cell>
          <cell r="W310">
            <v>4</v>
          </cell>
          <cell r="X310">
            <v>8</v>
          </cell>
          <cell r="Y310">
            <v>18</v>
          </cell>
          <cell r="Z310">
            <v>0</v>
          </cell>
        </row>
        <row r="311">
          <cell r="A311">
            <v>9124103</v>
          </cell>
          <cell r="B311" t="str">
            <v>裂空·斩第1段</v>
          </cell>
          <cell r="C311" t="str">
            <v>裂空·斩第1段</v>
          </cell>
          <cell r="D311">
            <v>1</v>
          </cell>
          <cell r="E311">
            <v>10</v>
          </cell>
          <cell r="F311" t="str">
            <v>第3级，共造成122.6%点伤害</v>
          </cell>
          <cell r="G311">
            <v>1</v>
          </cell>
          <cell r="H311">
            <v>1</v>
          </cell>
          <cell r="I311">
            <v>3</v>
          </cell>
          <cell r="J311">
            <v>2</v>
          </cell>
          <cell r="K311">
            <v>122.61904761904762</v>
          </cell>
          <cell r="L311">
            <v>0</v>
          </cell>
          <cell r="M311">
            <v>7760</v>
          </cell>
          <cell r="N311">
            <v>416</v>
          </cell>
          <cell r="O311">
            <v>4</v>
          </cell>
          <cell r="P311">
            <v>1</v>
          </cell>
          <cell r="Q311">
            <v>1</v>
          </cell>
          <cell r="R311">
            <v>6</v>
          </cell>
          <cell r="S311">
            <v>50</v>
          </cell>
          <cell r="T311">
            <v>119.04761904761905</v>
          </cell>
          <cell r="U311">
            <v>104</v>
          </cell>
          <cell r="V311">
            <v>119.04761904761905</v>
          </cell>
          <cell r="W311">
            <v>4</v>
          </cell>
          <cell r="X311">
            <v>12</v>
          </cell>
          <cell r="Y311">
            <v>18</v>
          </cell>
          <cell r="Z311">
            <v>0</v>
          </cell>
        </row>
        <row r="312">
          <cell r="A312">
            <v>9124104</v>
          </cell>
          <cell r="B312" t="str">
            <v>裂空·斩第1段</v>
          </cell>
          <cell r="C312" t="str">
            <v>裂空·斩第1段</v>
          </cell>
          <cell r="D312">
            <v>1</v>
          </cell>
          <cell r="E312">
            <v>12</v>
          </cell>
          <cell r="F312" t="str">
            <v>第4级，共造成123.8%点伤害</v>
          </cell>
          <cell r="G312">
            <v>1</v>
          </cell>
          <cell r="H312">
            <v>1</v>
          </cell>
          <cell r="I312">
            <v>4</v>
          </cell>
          <cell r="J312">
            <v>2</v>
          </cell>
          <cell r="K312">
            <v>123.80952380952381</v>
          </cell>
          <cell r="L312">
            <v>0</v>
          </cell>
          <cell r="M312">
            <v>7680</v>
          </cell>
          <cell r="N312">
            <v>580</v>
          </cell>
          <cell r="O312">
            <v>4</v>
          </cell>
          <cell r="P312">
            <v>1</v>
          </cell>
          <cell r="Q312">
            <v>1</v>
          </cell>
          <cell r="R312">
            <v>6</v>
          </cell>
          <cell r="S312">
            <v>50</v>
          </cell>
          <cell r="T312">
            <v>119.04761904761905</v>
          </cell>
          <cell r="U312">
            <v>116</v>
          </cell>
          <cell r="V312">
            <v>119.04761904761905</v>
          </cell>
          <cell r="W312">
            <v>5</v>
          </cell>
          <cell r="X312">
            <v>17</v>
          </cell>
          <cell r="Y312">
            <v>18</v>
          </cell>
          <cell r="Z312">
            <v>0</v>
          </cell>
        </row>
        <row r="313">
          <cell r="A313">
            <v>9124105</v>
          </cell>
          <cell r="B313" t="str">
            <v>裂空·斩第1段</v>
          </cell>
          <cell r="C313" t="str">
            <v>裂空·斩第1段</v>
          </cell>
          <cell r="D313">
            <v>1</v>
          </cell>
          <cell r="E313">
            <v>13</v>
          </cell>
          <cell r="F313" t="str">
            <v>第5级，共造成125%点伤害</v>
          </cell>
          <cell r="G313">
            <v>1</v>
          </cell>
          <cell r="H313">
            <v>1</v>
          </cell>
          <cell r="I313">
            <v>5</v>
          </cell>
          <cell r="J313">
            <v>2</v>
          </cell>
          <cell r="K313">
            <v>125</v>
          </cell>
          <cell r="L313">
            <v>0</v>
          </cell>
          <cell r="M313">
            <v>7600</v>
          </cell>
          <cell r="N313">
            <v>610</v>
          </cell>
          <cell r="O313">
            <v>4</v>
          </cell>
          <cell r="P313">
            <v>1</v>
          </cell>
          <cell r="Q313">
            <v>1</v>
          </cell>
          <cell r="R313">
            <v>6</v>
          </cell>
          <cell r="S313">
            <v>50</v>
          </cell>
          <cell r="T313">
            <v>119.04761904761905</v>
          </cell>
          <cell r="U313">
            <v>122</v>
          </cell>
          <cell r="V313">
            <v>119.04761904761905</v>
          </cell>
          <cell r="W313">
            <v>5</v>
          </cell>
          <cell r="X313">
            <v>22</v>
          </cell>
          <cell r="Y313">
            <v>18</v>
          </cell>
          <cell r="Z313">
            <v>0</v>
          </cell>
        </row>
        <row r="314">
          <cell r="A314">
            <v>9124106</v>
          </cell>
          <cell r="B314" t="str">
            <v>裂空·斩第1段</v>
          </cell>
          <cell r="C314" t="str">
            <v>裂空·斩第1段</v>
          </cell>
          <cell r="D314">
            <v>1</v>
          </cell>
          <cell r="E314">
            <v>15</v>
          </cell>
          <cell r="F314" t="str">
            <v>第6级，共造成126.2%点伤害</v>
          </cell>
          <cell r="G314">
            <v>1</v>
          </cell>
          <cell r="H314">
            <v>1</v>
          </cell>
          <cell r="I314">
            <v>6</v>
          </cell>
          <cell r="J314">
            <v>2</v>
          </cell>
          <cell r="K314">
            <v>126.19047619047619</v>
          </cell>
          <cell r="L314">
            <v>0</v>
          </cell>
          <cell r="M314">
            <v>7520</v>
          </cell>
          <cell r="N314">
            <v>670</v>
          </cell>
          <cell r="O314">
            <v>4</v>
          </cell>
          <cell r="P314">
            <v>1</v>
          </cell>
          <cell r="Q314">
            <v>1</v>
          </cell>
          <cell r="R314">
            <v>6</v>
          </cell>
          <cell r="S314">
            <v>50</v>
          </cell>
          <cell r="T314">
            <v>119.04761904761905</v>
          </cell>
          <cell r="U314">
            <v>134</v>
          </cell>
          <cell r="V314">
            <v>119.04761904761905</v>
          </cell>
          <cell r="W314">
            <v>5</v>
          </cell>
          <cell r="X314">
            <v>27</v>
          </cell>
          <cell r="Y314">
            <v>18</v>
          </cell>
          <cell r="Z314">
            <v>0</v>
          </cell>
        </row>
        <row r="315">
          <cell r="A315">
            <v>9124107</v>
          </cell>
          <cell r="B315" t="str">
            <v>裂空·斩第1段</v>
          </cell>
          <cell r="C315" t="str">
            <v>裂空·斩第1段</v>
          </cell>
          <cell r="D315">
            <v>1</v>
          </cell>
          <cell r="E315">
            <v>16</v>
          </cell>
          <cell r="F315" t="str">
            <v>第7级，共造成127.4%点伤害</v>
          </cell>
          <cell r="G315">
            <v>1</v>
          </cell>
          <cell r="H315">
            <v>1</v>
          </cell>
          <cell r="I315">
            <v>7</v>
          </cell>
          <cell r="J315">
            <v>2</v>
          </cell>
          <cell r="K315">
            <v>127.38095238095238</v>
          </cell>
          <cell r="L315">
            <v>0</v>
          </cell>
          <cell r="M315">
            <v>7440</v>
          </cell>
          <cell r="N315">
            <v>840</v>
          </cell>
          <cell r="O315">
            <v>4</v>
          </cell>
          <cell r="P315">
            <v>1</v>
          </cell>
          <cell r="Q315">
            <v>1</v>
          </cell>
          <cell r="R315">
            <v>6</v>
          </cell>
          <cell r="S315">
            <v>50</v>
          </cell>
          <cell r="T315">
            <v>119.04761904761905</v>
          </cell>
          <cell r="U315">
            <v>140</v>
          </cell>
          <cell r="V315">
            <v>119.04761904761905</v>
          </cell>
          <cell r="W315">
            <v>6</v>
          </cell>
          <cell r="X315">
            <v>33</v>
          </cell>
          <cell r="Y315">
            <v>18</v>
          </cell>
          <cell r="Z315">
            <v>0</v>
          </cell>
        </row>
        <row r="316">
          <cell r="A316">
            <v>9124108</v>
          </cell>
          <cell r="B316" t="str">
            <v>裂空·斩第1段</v>
          </cell>
          <cell r="C316" t="str">
            <v>裂空·斩第1段</v>
          </cell>
          <cell r="D316">
            <v>1</v>
          </cell>
          <cell r="E316">
            <v>18</v>
          </cell>
          <cell r="F316" t="str">
            <v>第8级，共造成128.6%点伤害</v>
          </cell>
          <cell r="G316">
            <v>1</v>
          </cell>
          <cell r="H316">
            <v>1</v>
          </cell>
          <cell r="I316">
            <v>8</v>
          </cell>
          <cell r="J316">
            <v>2</v>
          </cell>
          <cell r="K316">
            <v>128.57142857142858</v>
          </cell>
          <cell r="L316">
            <v>0</v>
          </cell>
          <cell r="M316">
            <v>7360</v>
          </cell>
          <cell r="N316">
            <v>912</v>
          </cell>
          <cell r="O316">
            <v>4</v>
          </cell>
          <cell r="P316">
            <v>1</v>
          </cell>
          <cell r="Q316">
            <v>1</v>
          </cell>
          <cell r="R316">
            <v>6</v>
          </cell>
          <cell r="S316">
            <v>50</v>
          </cell>
          <cell r="T316">
            <v>119.04761904761905</v>
          </cell>
          <cell r="U316">
            <v>152</v>
          </cell>
          <cell r="V316">
            <v>119.04761904761905</v>
          </cell>
          <cell r="W316">
            <v>6</v>
          </cell>
          <cell r="X316">
            <v>39</v>
          </cell>
          <cell r="Y316">
            <v>18</v>
          </cell>
          <cell r="Z316">
            <v>0</v>
          </cell>
        </row>
        <row r="317">
          <cell r="A317">
            <v>9124109</v>
          </cell>
          <cell r="B317" t="str">
            <v>裂空·斩第1段</v>
          </cell>
          <cell r="C317" t="str">
            <v>裂空·斩第1段</v>
          </cell>
          <cell r="D317">
            <v>1</v>
          </cell>
          <cell r="E317">
            <v>19</v>
          </cell>
          <cell r="F317" t="str">
            <v>第9级，共造成129.8%点伤害</v>
          </cell>
          <cell r="G317">
            <v>1</v>
          </cell>
          <cell r="H317">
            <v>1</v>
          </cell>
          <cell r="I317">
            <v>9</v>
          </cell>
          <cell r="J317">
            <v>2</v>
          </cell>
          <cell r="K317">
            <v>129.76190476190476</v>
          </cell>
          <cell r="L317">
            <v>0</v>
          </cell>
          <cell r="M317">
            <v>7280</v>
          </cell>
          <cell r="N317">
            <v>948</v>
          </cell>
          <cell r="O317">
            <v>4</v>
          </cell>
          <cell r="P317">
            <v>1</v>
          </cell>
          <cell r="Q317">
            <v>1</v>
          </cell>
          <cell r="R317">
            <v>6</v>
          </cell>
          <cell r="S317">
            <v>50</v>
          </cell>
          <cell r="T317">
            <v>119.04761904761905</v>
          </cell>
          <cell r="U317">
            <v>158</v>
          </cell>
          <cell r="V317">
            <v>119.04761904761905</v>
          </cell>
          <cell r="W317">
            <v>6</v>
          </cell>
          <cell r="X317">
            <v>45</v>
          </cell>
          <cell r="Y317">
            <v>18</v>
          </cell>
          <cell r="Z317">
            <v>0</v>
          </cell>
        </row>
        <row r="318">
          <cell r="A318">
            <v>9124110</v>
          </cell>
          <cell r="B318" t="str">
            <v>裂空·斩第1段</v>
          </cell>
          <cell r="C318" t="str">
            <v>裂空·斩第1段</v>
          </cell>
          <cell r="D318">
            <v>1</v>
          </cell>
          <cell r="E318">
            <v>21</v>
          </cell>
          <cell r="F318" t="str">
            <v>第10级，共造成131%点伤害</v>
          </cell>
          <cell r="G318">
            <v>1</v>
          </cell>
          <cell r="H318">
            <v>1</v>
          </cell>
          <cell r="I318">
            <v>10</v>
          </cell>
          <cell r="J318">
            <v>2</v>
          </cell>
          <cell r="K318">
            <v>130.95238095238096</v>
          </cell>
          <cell r="L318">
            <v>0</v>
          </cell>
          <cell r="M318">
            <v>7200</v>
          </cell>
          <cell r="N318">
            <v>1470</v>
          </cell>
          <cell r="O318">
            <v>4</v>
          </cell>
          <cell r="P318">
            <v>1</v>
          </cell>
          <cell r="Q318">
            <v>1</v>
          </cell>
          <cell r="R318">
            <v>6</v>
          </cell>
          <cell r="S318">
            <v>50</v>
          </cell>
          <cell r="T318">
            <v>119.04761904761905</v>
          </cell>
          <cell r="U318">
            <v>210</v>
          </cell>
          <cell r="V318">
            <v>119.04761904761905</v>
          </cell>
          <cell r="W318">
            <v>7</v>
          </cell>
          <cell r="X318">
            <v>52</v>
          </cell>
          <cell r="Y318">
            <v>18</v>
          </cell>
          <cell r="Z318">
            <v>0</v>
          </cell>
        </row>
        <row r="319">
          <cell r="A319">
            <v>9124111</v>
          </cell>
          <cell r="B319" t="str">
            <v>裂空·斩第1段</v>
          </cell>
          <cell r="C319" t="str">
            <v>裂空·斩第1段</v>
          </cell>
          <cell r="D319">
            <v>1</v>
          </cell>
          <cell r="E319">
            <v>22</v>
          </cell>
          <cell r="F319" t="str">
            <v>第11级，共造成132.1%点伤害</v>
          </cell>
          <cell r="G319">
            <v>1</v>
          </cell>
          <cell r="H319">
            <v>1</v>
          </cell>
          <cell r="I319">
            <v>11</v>
          </cell>
          <cell r="J319">
            <v>2</v>
          </cell>
          <cell r="K319">
            <v>132.14285714285714</v>
          </cell>
          <cell r="L319">
            <v>0</v>
          </cell>
          <cell r="M319">
            <v>7120</v>
          </cell>
          <cell r="N319">
            <v>1912</v>
          </cell>
          <cell r="O319">
            <v>4</v>
          </cell>
          <cell r="P319">
            <v>1</v>
          </cell>
          <cell r="Q319">
            <v>1</v>
          </cell>
          <cell r="R319">
            <v>6</v>
          </cell>
          <cell r="S319">
            <v>50</v>
          </cell>
          <cell r="T319">
            <v>119.04761904761905</v>
          </cell>
          <cell r="U319">
            <v>239</v>
          </cell>
          <cell r="V319">
            <v>119.04761904761905</v>
          </cell>
          <cell r="W319">
            <v>8</v>
          </cell>
          <cell r="X319">
            <v>60</v>
          </cell>
          <cell r="Y319">
            <v>18</v>
          </cell>
          <cell r="Z319">
            <v>0</v>
          </cell>
        </row>
        <row r="320">
          <cell r="A320">
            <v>9124112</v>
          </cell>
          <cell r="B320" t="str">
            <v>裂空·斩第1段</v>
          </cell>
          <cell r="C320" t="str">
            <v>裂空·斩第1段</v>
          </cell>
          <cell r="D320">
            <v>1</v>
          </cell>
          <cell r="E320">
            <v>24</v>
          </cell>
          <cell r="F320" t="str">
            <v>第12级，共造成133.3%点伤害</v>
          </cell>
          <cell r="G320">
            <v>1</v>
          </cell>
          <cell r="H320">
            <v>1</v>
          </cell>
          <cell r="I320">
            <v>12</v>
          </cell>
          <cell r="J320">
            <v>2</v>
          </cell>
          <cell r="K320">
            <v>133.33333333333334</v>
          </cell>
          <cell r="L320">
            <v>0</v>
          </cell>
          <cell r="M320">
            <v>7040</v>
          </cell>
          <cell r="N320">
            <v>2416</v>
          </cell>
          <cell r="O320">
            <v>4</v>
          </cell>
          <cell r="P320">
            <v>1</v>
          </cell>
          <cell r="Q320">
            <v>1</v>
          </cell>
          <cell r="R320">
            <v>6</v>
          </cell>
          <cell r="S320">
            <v>50</v>
          </cell>
          <cell r="T320">
            <v>119.04761904761905</v>
          </cell>
          <cell r="U320">
            <v>302</v>
          </cell>
          <cell r="V320">
            <v>119.04761904761905</v>
          </cell>
          <cell r="W320">
            <v>8</v>
          </cell>
          <cell r="X320">
            <v>68</v>
          </cell>
          <cell r="Y320">
            <v>18</v>
          </cell>
          <cell r="Z320">
            <v>0</v>
          </cell>
        </row>
        <row r="321">
          <cell r="A321">
            <v>9124113</v>
          </cell>
          <cell r="B321" t="str">
            <v>裂空·斩第1段</v>
          </cell>
          <cell r="C321" t="str">
            <v>裂空·斩第1段</v>
          </cell>
          <cell r="D321">
            <v>1</v>
          </cell>
          <cell r="E321">
            <v>25</v>
          </cell>
          <cell r="F321" t="str">
            <v>第13级，共造成134.5%点伤害</v>
          </cell>
          <cell r="G321">
            <v>1</v>
          </cell>
          <cell r="H321">
            <v>1</v>
          </cell>
          <cell r="I321">
            <v>13</v>
          </cell>
          <cell r="J321">
            <v>2</v>
          </cell>
          <cell r="K321">
            <v>134.52380952380952</v>
          </cell>
          <cell r="L321">
            <v>0</v>
          </cell>
          <cell r="M321">
            <v>6960</v>
          </cell>
          <cell r="N321">
            <v>3015</v>
          </cell>
          <cell r="O321">
            <v>4</v>
          </cell>
          <cell r="P321">
            <v>1</v>
          </cell>
          <cell r="Q321">
            <v>1</v>
          </cell>
          <cell r="R321">
            <v>6</v>
          </cell>
          <cell r="S321">
            <v>50</v>
          </cell>
          <cell r="T321">
            <v>119.04761904761905</v>
          </cell>
          <cell r="U321">
            <v>335</v>
          </cell>
          <cell r="V321">
            <v>119.04761904761905</v>
          </cell>
          <cell r="W321">
            <v>9</v>
          </cell>
          <cell r="X321">
            <v>77</v>
          </cell>
          <cell r="Y321">
            <v>18</v>
          </cell>
          <cell r="Z321">
            <v>0</v>
          </cell>
        </row>
        <row r="322">
          <cell r="A322">
            <v>9124114</v>
          </cell>
          <cell r="B322" t="str">
            <v>裂空·斩第1段</v>
          </cell>
          <cell r="C322" t="str">
            <v>裂空·斩第1段</v>
          </cell>
          <cell r="D322">
            <v>1</v>
          </cell>
          <cell r="E322">
            <v>27</v>
          </cell>
          <cell r="F322" t="str">
            <v>第14级，共造成135.7%点伤害</v>
          </cell>
          <cell r="G322">
            <v>1</v>
          </cell>
          <cell r="H322">
            <v>1</v>
          </cell>
          <cell r="I322">
            <v>14</v>
          </cell>
          <cell r="J322">
            <v>2</v>
          </cell>
          <cell r="K322">
            <v>135.71428571428572</v>
          </cell>
          <cell r="L322">
            <v>0</v>
          </cell>
          <cell r="M322">
            <v>6880</v>
          </cell>
          <cell r="N322">
            <v>3654</v>
          </cell>
          <cell r="O322">
            <v>4</v>
          </cell>
          <cell r="P322">
            <v>1</v>
          </cell>
          <cell r="Q322">
            <v>1</v>
          </cell>
          <cell r="R322">
            <v>6</v>
          </cell>
          <cell r="S322">
            <v>50</v>
          </cell>
          <cell r="T322">
            <v>119.04761904761905</v>
          </cell>
          <cell r="U322">
            <v>406</v>
          </cell>
          <cell r="V322">
            <v>119.04761904761905</v>
          </cell>
          <cell r="W322">
            <v>9</v>
          </cell>
          <cell r="X322">
            <v>86</v>
          </cell>
          <cell r="Y322">
            <v>18</v>
          </cell>
          <cell r="Z322">
            <v>0</v>
          </cell>
        </row>
        <row r="323">
          <cell r="A323">
            <v>9124115</v>
          </cell>
          <cell r="B323" t="str">
            <v>裂空·斩第1段</v>
          </cell>
          <cell r="C323" t="str">
            <v>裂空·斩第1段</v>
          </cell>
          <cell r="D323">
            <v>1</v>
          </cell>
          <cell r="E323">
            <v>28</v>
          </cell>
          <cell r="F323" t="str">
            <v>第15级，共造成136.9%点伤害</v>
          </cell>
          <cell r="G323">
            <v>1</v>
          </cell>
          <cell r="H323">
            <v>1</v>
          </cell>
          <cell r="I323">
            <v>15</v>
          </cell>
          <cell r="J323">
            <v>2</v>
          </cell>
          <cell r="K323">
            <v>136.9047619047619</v>
          </cell>
          <cell r="L323">
            <v>0</v>
          </cell>
          <cell r="M323">
            <v>6800</v>
          </cell>
          <cell r="N323">
            <v>4430</v>
          </cell>
          <cell r="O323">
            <v>4</v>
          </cell>
          <cell r="P323">
            <v>1</v>
          </cell>
          <cell r="Q323">
            <v>1</v>
          </cell>
          <cell r="R323">
            <v>6</v>
          </cell>
          <cell r="S323">
            <v>50</v>
          </cell>
          <cell r="T323">
            <v>119.04761904761905</v>
          </cell>
          <cell r="U323">
            <v>443</v>
          </cell>
          <cell r="V323">
            <v>119.04761904761905</v>
          </cell>
          <cell r="W323">
            <v>10</v>
          </cell>
          <cell r="X323">
            <v>96</v>
          </cell>
          <cell r="Y323">
            <v>18</v>
          </cell>
          <cell r="Z323">
            <v>0</v>
          </cell>
        </row>
        <row r="324">
          <cell r="A324">
            <v>9124116</v>
          </cell>
          <cell r="B324" t="str">
            <v>裂空·斩第1段</v>
          </cell>
          <cell r="C324" t="str">
            <v>裂空·斩第1段</v>
          </cell>
          <cell r="D324">
            <v>1</v>
          </cell>
          <cell r="E324">
            <v>30</v>
          </cell>
          <cell r="F324" t="str">
            <v>第16级，共造成138.1%点伤害</v>
          </cell>
          <cell r="G324">
            <v>1</v>
          </cell>
          <cell r="H324">
            <v>1</v>
          </cell>
          <cell r="I324">
            <v>16</v>
          </cell>
          <cell r="J324">
            <v>2</v>
          </cell>
          <cell r="K324">
            <v>138.0952380952381</v>
          </cell>
          <cell r="L324">
            <v>0</v>
          </cell>
          <cell r="M324">
            <v>6720</v>
          </cell>
          <cell r="N324">
            <v>5742</v>
          </cell>
          <cell r="O324">
            <v>4</v>
          </cell>
          <cell r="P324">
            <v>1</v>
          </cell>
          <cell r="Q324">
            <v>1</v>
          </cell>
          <cell r="R324">
            <v>6</v>
          </cell>
          <cell r="S324">
            <v>50</v>
          </cell>
          <cell r="T324">
            <v>119.04761904761905</v>
          </cell>
          <cell r="U324">
            <v>522</v>
          </cell>
          <cell r="V324">
            <v>119.04761904761905</v>
          </cell>
          <cell r="W324">
            <v>11</v>
          </cell>
          <cell r="X324">
            <v>107</v>
          </cell>
          <cell r="Y324">
            <v>18</v>
          </cell>
          <cell r="Z324">
            <v>0</v>
          </cell>
        </row>
        <row r="325">
          <cell r="A325">
            <v>9124117</v>
          </cell>
          <cell r="B325" t="str">
            <v>裂空·斩第1段</v>
          </cell>
          <cell r="C325" t="str">
            <v>裂空·斩第1段</v>
          </cell>
          <cell r="D325">
            <v>1</v>
          </cell>
          <cell r="E325">
            <v>31</v>
          </cell>
          <cell r="F325" t="str">
            <v>第17级，共造成139.3%点伤害</v>
          </cell>
          <cell r="G325">
            <v>1</v>
          </cell>
          <cell r="H325">
            <v>1</v>
          </cell>
          <cell r="I325">
            <v>17</v>
          </cell>
          <cell r="J325">
            <v>2</v>
          </cell>
          <cell r="K325">
            <v>139.28571428571428</v>
          </cell>
          <cell r="L325">
            <v>0</v>
          </cell>
          <cell r="M325">
            <v>6640</v>
          </cell>
          <cell r="N325">
            <v>6756</v>
          </cell>
          <cell r="O325">
            <v>4</v>
          </cell>
          <cell r="P325">
            <v>1</v>
          </cell>
          <cell r="Q325">
            <v>1</v>
          </cell>
          <cell r="R325">
            <v>6</v>
          </cell>
          <cell r="S325">
            <v>50</v>
          </cell>
          <cell r="T325">
            <v>119.04761904761905</v>
          </cell>
          <cell r="U325">
            <v>563</v>
          </cell>
          <cell r="V325">
            <v>119.04761904761905</v>
          </cell>
          <cell r="W325">
            <v>12</v>
          </cell>
          <cell r="X325">
            <v>119</v>
          </cell>
          <cell r="Y325">
            <v>18</v>
          </cell>
          <cell r="Z325">
            <v>0</v>
          </cell>
        </row>
        <row r="326">
          <cell r="A326">
            <v>9124118</v>
          </cell>
          <cell r="B326" t="str">
            <v>裂空·斩第1段</v>
          </cell>
          <cell r="C326" t="str">
            <v>裂空·斩第1段</v>
          </cell>
          <cell r="D326">
            <v>1</v>
          </cell>
          <cell r="E326">
            <v>33</v>
          </cell>
          <cell r="F326" t="str">
            <v>第18级，共造成140.5%点伤害</v>
          </cell>
          <cell r="G326">
            <v>1</v>
          </cell>
          <cell r="H326">
            <v>1</v>
          </cell>
          <cell r="I326">
            <v>18</v>
          </cell>
          <cell r="J326">
            <v>2</v>
          </cell>
          <cell r="K326">
            <v>140.47619047619048</v>
          </cell>
          <cell r="L326">
            <v>0</v>
          </cell>
          <cell r="M326">
            <v>6560</v>
          </cell>
          <cell r="N326">
            <v>7812</v>
          </cell>
          <cell r="O326">
            <v>4</v>
          </cell>
          <cell r="P326">
            <v>1</v>
          </cell>
          <cell r="Q326">
            <v>1</v>
          </cell>
          <cell r="R326">
            <v>6</v>
          </cell>
          <cell r="S326">
            <v>50</v>
          </cell>
          <cell r="T326">
            <v>119.04761904761905</v>
          </cell>
          <cell r="U326">
            <v>651</v>
          </cell>
          <cell r="V326">
            <v>119.04761904761905</v>
          </cell>
          <cell r="W326">
            <v>12</v>
          </cell>
          <cell r="X326">
            <v>131</v>
          </cell>
          <cell r="Y326">
            <v>18</v>
          </cell>
          <cell r="Z326">
            <v>5</v>
          </cell>
        </row>
        <row r="327">
          <cell r="A327">
            <v>9124119</v>
          </cell>
          <cell r="B327" t="str">
            <v>裂空·斩第1段</v>
          </cell>
          <cell r="C327" t="str">
            <v>裂空·斩第1段</v>
          </cell>
          <cell r="D327">
            <v>1</v>
          </cell>
          <cell r="E327">
            <v>34</v>
          </cell>
          <cell r="F327" t="str">
            <v>第19级，共造成141.7%点伤害</v>
          </cell>
          <cell r="G327">
            <v>1</v>
          </cell>
          <cell r="H327">
            <v>1</v>
          </cell>
          <cell r="I327">
            <v>19</v>
          </cell>
          <cell r="J327">
            <v>2</v>
          </cell>
          <cell r="K327">
            <v>141.66666666666669</v>
          </cell>
          <cell r="L327">
            <v>0</v>
          </cell>
          <cell r="M327">
            <v>6480</v>
          </cell>
          <cell r="N327">
            <v>9048</v>
          </cell>
          <cell r="O327">
            <v>4</v>
          </cell>
          <cell r="P327">
            <v>1</v>
          </cell>
          <cell r="Q327">
            <v>1</v>
          </cell>
          <cell r="R327">
            <v>6</v>
          </cell>
          <cell r="S327">
            <v>50</v>
          </cell>
          <cell r="T327">
            <v>119.04761904761905</v>
          </cell>
          <cell r="U327">
            <v>696</v>
          </cell>
          <cell r="V327">
            <v>119.04761904761905</v>
          </cell>
          <cell r="W327">
            <v>13</v>
          </cell>
          <cell r="X327">
            <v>144</v>
          </cell>
          <cell r="Y327">
            <v>18</v>
          </cell>
          <cell r="Z327">
            <v>6</v>
          </cell>
        </row>
        <row r="328">
          <cell r="A328">
            <v>9124120</v>
          </cell>
          <cell r="B328" t="str">
            <v>裂空·斩第1段</v>
          </cell>
          <cell r="C328" t="str">
            <v>裂空·斩第1段</v>
          </cell>
          <cell r="D328">
            <v>1</v>
          </cell>
          <cell r="E328">
            <v>36</v>
          </cell>
          <cell r="F328" t="str">
            <v>第20级，共造成142.9%点伤害</v>
          </cell>
          <cell r="G328">
            <v>1</v>
          </cell>
          <cell r="H328">
            <v>1</v>
          </cell>
          <cell r="I328">
            <v>20</v>
          </cell>
          <cell r="J328">
            <v>2</v>
          </cell>
          <cell r="K328">
            <v>142.85714285714286</v>
          </cell>
          <cell r="L328">
            <v>0</v>
          </cell>
          <cell r="M328">
            <v>6400</v>
          </cell>
          <cell r="N328">
            <v>11074</v>
          </cell>
          <cell r="O328">
            <v>4</v>
          </cell>
          <cell r="P328">
            <v>1</v>
          </cell>
          <cell r="Q328">
            <v>1</v>
          </cell>
          <cell r="R328">
            <v>6</v>
          </cell>
          <cell r="S328">
            <v>50</v>
          </cell>
          <cell r="T328">
            <v>119.04761904761905</v>
          </cell>
          <cell r="U328">
            <v>791</v>
          </cell>
          <cell r="V328">
            <v>119.04761904761905</v>
          </cell>
          <cell r="W328">
            <v>14</v>
          </cell>
          <cell r="X328">
            <v>158</v>
          </cell>
          <cell r="Y328">
            <v>18</v>
          </cell>
          <cell r="Z328">
            <v>6</v>
          </cell>
        </row>
        <row r="329">
          <cell r="A329">
            <v>9124121</v>
          </cell>
          <cell r="B329" t="str">
            <v>裂空·斩第1段</v>
          </cell>
          <cell r="C329" t="str">
            <v>裂空·斩第1段</v>
          </cell>
          <cell r="D329">
            <v>1</v>
          </cell>
          <cell r="E329">
            <v>37</v>
          </cell>
          <cell r="F329" t="str">
            <v>第21级，共造成144%点伤害</v>
          </cell>
          <cell r="G329">
            <v>1</v>
          </cell>
          <cell r="H329">
            <v>1</v>
          </cell>
          <cell r="I329">
            <v>21</v>
          </cell>
          <cell r="J329">
            <v>2</v>
          </cell>
          <cell r="K329">
            <v>144.04761904761904</v>
          </cell>
          <cell r="L329">
            <v>0</v>
          </cell>
          <cell r="M329">
            <v>6320</v>
          </cell>
          <cell r="N329">
            <v>12615</v>
          </cell>
          <cell r="O329">
            <v>4</v>
          </cell>
          <cell r="P329">
            <v>1</v>
          </cell>
          <cell r="Q329">
            <v>1</v>
          </cell>
          <cell r="R329">
            <v>6</v>
          </cell>
          <cell r="S329">
            <v>50</v>
          </cell>
          <cell r="T329">
            <v>119.04761904761905</v>
          </cell>
          <cell r="U329">
            <v>841</v>
          </cell>
          <cell r="V329">
            <v>119.04761904761905</v>
          </cell>
          <cell r="W329">
            <v>15</v>
          </cell>
          <cell r="X329">
            <v>173</v>
          </cell>
          <cell r="Y329">
            <v>18</v>
          </cell>
          <cell r="Z329">
            <v>6</v>
          </cell>
        </row>
        <row r="330">
          <cell r="A330">
            <v>9124122</v>
          </cell>
          <cell r="B330" t="str">
            <v>裂空·斩第1段</v>
          </cell>
          <cell r="C330" t="str">
            <v>裂空·斩第1段</v>
          </cell>
          <cell r="D330">
            <v>1</v>
          </cell>
          <cell r="E330">
            <v>39</v>
          </cell>
          <cell r="F330" t="str">
            <v>第22级，共造成145.2%点伤害</v>
          </cell>
          <cell r="G330">
            <v>1</v>
          </cell>
          <cell r="H330">
            <v>1</v>
          </cell>
          <cell r="I330">
            <v>22</v>
          </cell>
          <cell r="J330">
            <v>2</v>
          </cell>
          <cell r="K330">
            <v>145.23809523809524</v>
          </cell>
          <cell r="L330">
            <v>0</v>
          </cell>
          <cell r="M330">
            <v>6240</v>
          </cell>
          <cell r="N330">
            <v>15104</v>
          </cell>
          <cell r="O330">
            <v>4</v>
          </cell>
          <cell r="P330">
            <v>1</v>
          </cell>
          <cell r="Q330">
            <v>1</v>
          </cell>
          <cell r="R330">
            <v>6</v>
          </cell>
          <cell r="S330">
            <v>50</v>
          </cell>
          <cell r="T330">
            <v>119.04761904761905</v>
          </cell>
          <cell r="U330">
            <v>944</v>
          </cell>
          <cell r="V330">
            <v>119.04761904761905</v>
          </cell>
          <cell r="W330">
            <v>16</v>
          </cell>
          <cell r="X330">
            <v>189</v>
          </cell>
          <cell r="Y330">
            <v>18</v>
          </cell>
          <cell r="Z330">
            <v>7</v>
          </cell>
        </row>
        <row r="331">
          <cell r="A331">
            <v>9124123</v>
          </cell>
          <cell r="B331" t="str">
            <v>裂空·斩第1段</v>
          </cell>
          <cell r="C331" t="str">
            <v>裂空·斩第1段</v>
          </cell>
          <cell r="D331">
            <v>1</v>
          </cell>
          <cell r="E331">
            <v>40</v>
          </cell>
          <cell r="F331" t="str">
            <v>第23级，共造成146.4%点伤害</v>
          </cell>
          <cell r="G331">
            <v>1</v>
          </cell>
          <cell r="H331">
            <v>1</v>
          </cell>
          <cell r="I331">
            <v>23</v>
          </cell>
          <cell r="J331">
            <v>2</v>
          </cell>
          <cell r="K331">
            <v>146.42857142857144</v>
          </cell>
          <cell r="L331">
            <v>0</v>
          </cell>
          <cell r="M331">
            <v>6160</v>
          </cell>
          <cell r="N331">
            <v>16966</v>
          </cell>
          <cell r="O331">
            <v>4</v>
          </cell>
          <cell r="P331">
            <v>1</v>
          </cell>
          <cell r="Q331">
            <v>1</v>
          </cell>
          <cell r="R331">
            <v>6</v>
          </cell>
          <cell r="S331">
            <v>50</v>
          </cell>
          <cell r="T331">
            <v>119.04761904761905</v>
          </cell>
          <cell r="U331">
            <v>998</v>
          </cell>
          <cell r="V331">
            <v>119.04761904761905</v>
          </cell>
          <cell r="W331">
            <v>17</v>
          </cell>
          <cell r="X331">
            <v>206</v>
          </cell>
          <cell r="Y331">
            <v>18</v>
          </cell>
          <cell r="Z331">
            <v>7</v>
          </cell>
        </row>
        <row r="332">
          <cell r="A332">
            <v>9124124</v>
          </cell>
          <cell r="B332" t="str">
            <v>裂空·斩第1段</v>
          </cell>
          <cell r="C332" t="str">
            <v>裂空·斩第1段</v>
          </cell>
          <cell r="D332">
            <v>1</v>
          </cell>
          <cell r="E332">
            <v>42</v>
          </cell>
          <cell r="F332" t="str">
            <v>第24级，共造成147.6%点伤害</v>
          </cell>
          <cell r="G332">
            <v>1</v>
          </cell>
          <cell r="H332">
            <v>1</v>
          </cell>
          <cell r="I332">
            <v>24</v>
          </cell>
          <cell r="J332">
            <v>2</v>
          </cell>
          <cell r="K332">
            <v>147.61904761904762</v>
          </cell>
          <cell r="L332">
            <v>0</v>
          </cell>
          <cell r="M332">
            <v>6080</v>
          </cell>
          <cell r="N332">
            <v>19980</v>
          </cell>
          <cell r="O332">
            <v>4</v>
          </cell>
          <cell r="P332">
            <v>1</v>
          </cell>
          <cell r="Q332">
            <v>1</v>
          </cell>
          <cell r="R332">
            <v>6</v>
          </cell>
          <cell r="S332">
            <v>50</v>
          </cell>
          <cell r="T332">
            <v>119.04761904761905</v>
          </cell>
          <cell r="U332">
            <v>1110</v>
          </cell>
          <cell r="V332">
            <v>119.04761904761905</v>
          </cell>
          <cell r="W332">
            <v>18</v>
          </cell>
          <cell r="X332">
            <v>224</v>
          </cell>
          <cell r="Y332">
            <v>18</v>
          </cell>
          <cell r="Z332">
            <v>8</v>
          </cell>
        </row>
        <row r="333">
          <cell r="A333">
            <v>9124125</v>
          </cell>
          <cell r="B333" t="str">
            <v>裂空·斩第1段</v>
          </cell>
          <cell r="C333" t="str">
            <v>裂空·斩第1段</v>
          </cell>
          <cell r="D333">
            <v>1</v>
          </cell>
          <cell r="E333">
            <v>43</v>
          </cell>
          <cell r="F333" t="str">
            <v>第25级，共造成148.8%点伤害</v>
          </cell>
          <cell r="G333">
            <v>1</v>
          </cell>
          <cell r="H333">
            <v>1</v>
          </cell>
          <cell r="I333">
            <v>25</v>
          </cell>
          <cell r="J333">
            <v>2</v>
          </cell>
          <cell r="K333">
            <v>148.80952380952382</v>
          </cell>
          <cell r="L333">
            <v>0</v>
          </cell>
          <cell r="M333">
            <v>6000</v>
          </cell>
          <cell r="N333">
            <v>23340</v>
          </cell>
          <cell r="O333">
            <v>4</v>
          </cell>
          <cell r="P333">
            <v>1</v>
          </cell>
          <cell r="Q333">
            <v>1</v>
          </cell>
          <cell r="R333">
            <v>6</v>
          </cell>
          <cell r="S333">
            <v>50</v>
          </cell>
          <cell r="T333">
            <v>119.04761904761905</v>
          </cell>
          <cell r="U333">
            <v>1167</v>
          </cell>
          <cell r="V333">
            <v>119.04761904761905</v>
          </cell>
          <cell r="W333">
            <v>20</v>
          </cell>
          <cell r="X333">
            <v>244</v>
          </cell>
          <cell r="Y333">
            <v>18</v>
          </cell>
          <cell r="Z333">
            <v>8</v>
          </cell>
        </row>
        <row r="334">
          <cell r="A334">
            <v>9124126</v>
          </cell>
          <cell r="B334" t="str">
            <v>裂空·斩第1段</v>
          </cell>
          <cell r="C334" t="str">
            <v>裂空·斩第1段</v>
          </cell>
          <cell r="D334">
            <v>1</v>
          </cell>
          <cell r="E334">
            <v>44</v>
          </cell>
          <cell r="F334" t="str">
            <v>第26级，共造成150%点伤害</v>
          </cell>
          <cell r="G334">
            <v>1</v>
          </cell>
          <cell r="H334">
            <v>1</v>
          </cell>
          <cell r="I334">
            <v>26</v>
          </cell>
          <cell r="J334">
            <v>2</v>
          </cell>
          <cell r="K334">
            <v>150</v>
          </cell>
          <cell r="L334">
            <v>0</v>
          </cell>
          <cell r="M334">
            <v>5920</v>
          </cell>
          <cell r="N334">
            <v>25746</v>
          </cell>
          <cell r="O334">
            <v>4</v>
          </cell>
          <cell r="P334">
            <v>1</v>
          </cell>
          <cell r="Q334">
            <v>1</v>
          </cell>
          <cell r="R334">
            <v>6</v>
          </cell>
          <cell r="S334">
            <v>50</v>
          </cell>
          <cell r="T334">
            <v>119.04761904761905</v>
          </cell>
          <cell r="U334">
            <v>1226</v>
          </cell>
          <cell r="V334">
            <v>119.04761904761905</v>
          </cell>
          <cell r="W334">
            <v>21</v>
          </cell>
          <cell r="X334">
            <v>265</v>
          </cell>
          <cell r="Y334">
            <v>18</v>
          </cell>
          <cell r="Z334">
            <v>9</v>
          </cell>
        </row>
        <row r="335">
          <cell r="A335">
            <v>9124127</v>
          </cell>
          <cell r="B335" t="str">
            <v>裂空·斩第1段</v>
          </cell>
          <cell r="C335" t="str">
            <v>裂空·斩第1段</v>
          </cell>
          <cell r="D335">
            <v>1</v>
          </cell>
          <cell r="E335">
            <v>46</v>
          </cell>
          <cell r="F335" t="str">
            <v>第27级，共造成151.2%点伤害</v>
          </cell>
          <cell r="G335">
            <v>1</v>
          </cell>
          <cell r="H335">
            <v>1</v>
          </cell>
          <cell r="I335">
            <v>27</v>
          </cell>
          <cell r="J335">
            <v>2</v>
          </cell>
          <cell r="K335">
            <v>151.1904761904762</v>
          </cell>
          <cell r="L335">
            <v>0</v>
          </cell>
          <cell r="M335">
            <v>5840</v>
          </cell>
          <cell r="N335">
            <v>29678</v>
          </cell>
          <cell r="O335">
            <v>4</v>
          </cell>
          <cell r="P335">
            <v>1</v>
          </cell>
          <cell r="Q335">
            <v>1</v>
          </cell>
          <cell r="R335">
            <v>6</v>
          </cell>
          <cell r="S335">
            <v>50</v>
          </cell>
          <cell r="T335">
            <v>119.04761904761905</v>
          </cell>
          <cell r="U335">
            <v>1349</v>
          </cell>
          <cell r="V335">
            <v>119.04761904761905</v>
          </cell>
          <cell r="W335">
            <v>22</v>
          </cell>
          <cell r="X335">
            <v>287</v>
          </cell>
          <cell r="Y335">
            <v>18</v>
          </cell>
          <cell r="Z335">
            <v>9</v>
          </cell>
        </row>
        <row r="336">
          <cell r="A336">
            <v>9124128</v>
          </cell>
          <cell r="B336" t="str">
            <v>裂空·斩第1段</v>
          </cell>
          <cell r="C336" t="str">
            <v>裂空·斩第1段</v>
          </cell>
          <cell r="D336">
            <v>1</v>
          </cell>
          <cell r="E336">
            <v>47</v>
          </cell>
          <cell r="F336" t="str">
            <v>第28级，共造成152.4%点伤害</v>
          </cell>
          <cell r="G336">
            <v>1</v>
          </cell>
          <cell r="H336">
            <v>1</v>
          </cell>
          <cell r="I336">
            <v>28</v>
          </cell>
          <cell r="J336">
            <v>2</v>
          </cell>
          <cell r="K336">
            <v>152.38095238095238</v>
          </cell>
          <cell r="L336">
            <v>0</v>
          </cell>
          <cell r="M336">
            <v>5760</v>
          </cell>
          <cell r="N336">
            <v>33888</v>
          </cell>
          <cell r="O336">
            <v>4</v>
          </cell>
          <cell r="P336">
            <v>1</v>
          </cell>
          <cell r="Q336">
            <v>1</v>
          </cell>
          <cell r="R336">
            <v>6</v>
          </cell>
          <cell r="S336">
            <v>50</v>
          </cell>
          <cell r="T336">
            <v>119.04761904761905</v>
          </cell>
          <cell r="U336">
            <v>1412</v>
          </cell>
          <cell r="V336">
            <v>119.04761904761905</v>
          </cell>
          <cell r="W336">
            <v>24</v>
          </cell>
          <cell r="X336">
            <v>311</v>
          </cell>
          <cell r="Y336">
            <v>18</v>
          </cell>
          <cell r="Z336">
            <v>10</v>
          </cell>
        </row>
        <row r="337">
          <cell r="A337">
            <v>9124129</v>
          </cell>
          <cell r="B337" t="str">
            <v>裂空·斩第1段</v>
          </cell>
          <cell r="C337" t="str">
            <v>裂空·斩第1段</v>
          </cell>
          <cell r="D337">
            <v>1</v>
          </cell>
          <cell r="E337">
            <v>49</v>
          </cell>
          <cell r="F337" t="str">
            <v>第29级，共造成153.6%点伤害</v>
          </cell>
          <cell r="G337">
            <v>1</v>
          </cell>
          <cell r="H337">
            <v>1</v>
          </cell>
          <cell r="I337">
            <v>29</v>
          </cell>
          <cell r="J337">
            <v>2</v>
          </cell>
          <cell r="K337">
            <v>153.57142857142858</v>
          </cell>
          <cell r="L337">
            <v>0</v>
          </cell>
          <cell r="M337">
            <v>5680</v>
          </cell>
          <cell r="N337">
            <v>40118</v>
          </cell>
          <cell r="O337">
            <v>4</v>
          </cell>
          <cell r="P337">
            <v>1</v>
          </cell>
          <cell r="Q337">
            <v>1</v>
          </cell>
          <cell r="R337">
            <v>6</v>
          </cell>
          <cell r="S337">
            <v>50</v>
          </cell>
          <cell r="T337">
            <v>119.04761904761905</v>
          </cell>
          <cell r="U337">
            <v>1543</v>
          </cell>
          <cell r="V337">
            <v>119.04761904761905</v>
          </cell>
          <cell r="W337">
            <v>26</v>
          </cell>
          <cell r="X337">
            <v>337</v>
          </cell>
          <cell r="Y337">
            <v>18</v>
          </cell>
          <cell r="Z337">
            <v>11</v>
          </cell>
        </row>
        <row r="338">
          <cell r="A338">
            <v>9124130</v>
          </cell>
          <cell r="B338" t="str">
            <v>裂空·斩第1段</v>
          </cell>
          <cell r="C338" t="str">
            <v>裂空·斩第1段</v>
          </cell>
          <cell r="D338">
            <v>1</v>
          </cell>
          <cell r="E338">
            <v>50</v>
          </cell>
          <cell r="F338" t="str">
            <v>第30级，共造成154.8%点伤害</v>
          </cell>
          <cell r="G338">
            <v>1</v>
          </cell>
          <cell r="H338">
            <v>1</v>
          </cell>
          <cell r="I338">
            <v>30</v>
          </cell>
          <cell r="J338">
            <v>2</v>
          </cell>
          <cell r="K338">
            <v>154.76190476190476</v>
          </cell>
          <cell r="L338">
            <v>0</v>
          </cell>
          <cell r="M338">
            <v>5600</v>
          </cell>
          <cell r="N338">
            <v>45080</v>
          </cell>
          <cell r="O338">
            <v>4</v>
          </cell>
          <cell r="P338">
            <v>1</v>
          </cell>
          <cell r="Q338">
            <v>1</v>
          </cell>
          <cell r="R338">
            <v>6</v>
          </cell>
          <cell r="S338">
            <v>50</v>
          </cell>
          <cell r="T338">
            <v>119.04761904761905</v>
          </cell>
          <cell r="U338">
            <v>1610</v>
          </cell>
          <cell r="V338">
            <v>119.04761904761905</v>
          </cell>
          <cell r="W338">
            <v>28</v>
          </cell>
          <cell r="X338">
            <v>365</v>
          </cell>
          <cell r="Y338">
            <v>18</v>
          </cell>
          <cell r="Z338">
            <v>12</v>
          </cell>
        </row>
        <row r="339">
          <cell r="A339">
            <v>9124131</v>
          </cell>
          <cell r="B339" t="str">
            <v>裂空·斩第1段</v>
          </cell>
          <cell r="C339" t="str">
            <v>裂空·斩第1段</v>
          </cell>
          <cell r="D339">
            <v>1</v>
          </cell>
          <cell r="E339">
            <v>52</v>
          </cell>
          <cell r="F339" t="str">
            <v>第31级，共造成156%点伤害</v>
          </cell>
          <cell r="G339">
            <v>1</v>
          </cell>
          <cell r="H339">
            <v>1</v>
          </cell>
          <cell r="I339">
            <v>31</v>
          </cell>
          <cell r="J339">
            <v>2</v>
          </cell>
          <cell r="K339">
            <v>155.95238095238096</v>
          </cell>
          <cell r="L339">
            <v>0</v>
          </cell>
          <cell r="M339">
            <v>5520</v>
          </cell>
          <cell r="N339">
            <v>50721</v>
          </cell>
          <cell r="O339">
            <v>4</v>
          </cell>
          <cell r="P339">
            <v>1</v>
          </cell>
          <cell r="Q339">
            <v>1</v>
          </cell>
          <cell r="R339">
            <v>6</v>
          </cell>
          <cell r="S339">
            <v>50</v>
          </cell>
          <cell r="T339">
            <v>119.04761904761905</v>
          </cell>
          <cell r="U339">
            <v>1749</v>
          </cell>
          <cell r="V339">
            <v>119.04761904761905</v>
          </cell>
          <cell r="W339">
            <v>29</v>
          </cell>
          <cell r="X339">
            <v>394</v>
          </cell>
          <cell r="Y339">
            <v>18</v>
          </cell>
          <cell r="Z339">
            <v>12</v>
          </cell>
        </row>
        <row r="340">
          <cell r="A340">
            <v>9124132</v>
          </cell>
          <cell r="B340" t="str">
            <v>裂空·斩第1段</v>
          </cell>
          <cell r="C340" t="str">
            <v>裂空·斩第1段</v>
          </cell>
          <cell r="D340">
            <v>1</v>
          </cell>
          <cell r="E340">
            <v>53</v>
          </cell>
          <cell r="F340" t="str">
            <v>第32级，共造成157.1%点伤害</v>
          </cell>
          <cell r="G340">
            <v>1</v>
          </cell>
          <cell r="H340">
            <v>1</v>
          </cell>
          <cell r="I340">
            <v>32</v>
          </cell>
          <cell r="J340">
            <v>2</v>
          </cell>
          <cell r="K340">
            <v>157.14285714285714</v>
          </cell>
          <cell r="L340">
            <v>0</v>
          </cell>
          <cell r="M340">
            <v>5440</v>
          </cell>
          <cell r="N340">
            <v>56420</v>
          </cell>
          <cell r="O340">
            <v>4</v>
          </cell>
          <cell r="P340">
            <v>1</v>
          </cell>
          <cell r="Q340">
            <v>1</v>
          </cell>
          <cell r="R340">
            <v>6</v>
          </cell>
          <cell r="S340">
            <v>50</v>
          </cell>
          <cell r="T340">
            <v>119.04761904761905</v>
          </cell>
          <cell r="U340">
            <v>1820</v>
          </cell>
          <cell r="V340">
            <v>119.04761904761905</v>
          </cell>
          <cell r="W340">
            <v>31</v>
          </cell>
          <cell r="X340">
            <v>425</v>
          </cell>
          <cell r="Y340">
            <v>18</v>
          </cell>
          <cell r="Z340">
            <v>13</v>
          </cell>
        </row>
        <row r="341">
          <cell r="A341">
            <v>9124133</v>
          </cell>
          <cell r="B341" t="str">
            <v>裂空·斩第1段</v>
          </cell>
          <cell r="C341" t="str">
            <v>裂空·斩第1段</v>
          </cell>
          <cell r="D341">
            <v>1</v>
          </cell>
          <cell r="E341">
            <v>55</v>
          </cell>
          <cell r="F341" t="str">
            <v>第33级，共造成158.3%点伤害</v>
          </cell>
          <cell r="G341">
            <v>1</v>
          </cell>
          <cell r="H341">
            <v>1</v>
          </cell>
          <cell r="I341">
            <v>33</v>
          </cell>
          <cell r="J341">
            <v>2</v>
          </cell>
          <cell r="K341">
            <v>158.33333333333334</v>
          </cell>
          <cell r="L341">
            <v>0</v>
          </cell>
          <cell r="M341">
            <v>5360</v>
          </cell>
          <cell r="N341">
            <v>66878</v>
          </cell>
          <cell r="O341">
            <v>4</v>
          </cell>
          <cell r="P341">
            <v>1</v>
          </cell>
          <cell r="Q341">
            <v>1</v>
          </cell>
          <cell r="R341">
            <v>6</v>
          </cell>
          <cell r="S341">
            <v>50</v>
          </cell>
          <cell r="T341">
            <v>119.04761904761905</v>
          </cell>
          <cell r="U341">
            <v>1967</v>
          </cell>
          <cell r="V341">
            <v>119.04761904761905</v>
          </cell>
          <cell r="W341">
            <v>34</v>
          </cell>
          <cell r="X341">
            <v>459</v>
          </cell>
          <cell r="Y341">
            <v>18</v>
          </cell>
          <cell r="Z341">
            <v>14</v>
          </cell>
        </row>
        <row r="342">
          <cell r="A342">
            <v>9124134</v>
          </cell>
          <cell r="B342" t="str">
            <v>裂空·斩第1段</v>
          </cell>
          <cell r="C342" t="str">
            <v>裂空·斩第1段</v>
          </cell>
          <cell r="D342">
            <v>1</v>
          </cell>
          <cell r="E342">
            <v>56</v>
          </cell>
          <cell r="F342" t="str">
            <v>第34级，共造成159.5%点伤害</v>
          </cell>
          <cell r="G342">
            <v>1</v>
          </cell>
          <cell r="H342">
            <v>1</v>
          </cell>
          <cell r="I342">
            <v>34</v>
          </cell>
          <cell r="J342">
            <v>2</v>
          </cell>
          <cell r="K342">
            <v>159.52380952380952</v>
          </cell>
          <cell r="L342">
            <v>0</v>
          </cell>
          <cell r="M342">
            <v>5280</v>
          </cell>
          <cell r="N342">
            <v>73512</v>
          </cell>
          <cell r="O342">
            <v>4</v>
          </cell>
          <cell r="P342">
            <v>1</v>
          </cell>
          <cell r="Q342">
            <v>1</v>
          </cell>
          <cell r="R342">
            <v>6</v>
          </cell>
          <cell r="S342">
            <v>50</v>
          </cell>
          <cell r="T342">
            <v>119.04761904761905</v>
          </cell>
          <cell r="U342">
            <v>2042</v>
          </cell>
          <cell r="V342">
            <v>119.04761904761905</v>
          </cell>
          <cell r="W342">
            <v>36</v>
          </cell>
          <cell r="X342">
            <v>495</v>
          </cell>
          <cell r="Y342">
            <v>18</v>
          </cell>
          <cell r="Z342">
            <v>15</v>
          </cell>
        </row>
        <row r="343">
          <cell r="A343">
            <v>9124135</v>
          </cell>
          <cell r="B343" t="str">
            <v>裂空·斩第1段</v>
          </cell>
          <cell r="C343" t="str">
            <v>裂空·斩第1段</v>
          </cell>
          <cell r="D343">
            <v>1</v>
          </cell>
          <cell r="E343">
            <v>58</v>
          </cell>
          <cell r="F343" t="str">
            <v>第35级，共造成160.7%点伤害</v>
          </cell>
          <cell r="G343">
            <v>1</v>
          </cell>
          <cell r="H343">
            <v>1</v>
          </cell>
          <cell r="I343">
            <v>35</v>
          </cell>
          <cell r="J343">
            <v>2</v>
          </cell>
          <cell r="K343">
            <v>160.71428571428572</v>
          </cell>
          <cell r="L343">
            <v>0</v>
          </cell>
          <cell r="M343">
            <v>5200</v>
          </cell>
          <cell r="N343">
            <v>83524</v>
          </cell>
          <cell r="O343">
            <v>4</v>
          </cell>
          <cell r="P343">
            <v>1</v>
          </cell>
          <cell r="Q343">
            <v>1</v>
          </cell>
          <cell r="R343">
            <v>6</v>
          </cell>
          <cell r="S343">
            <v>50</v>
          </cell>
          <cell r="T343">
            <v>119.04761904761905</v>
          </cell>
          <cell r="U343">
            <v>2198</v>
          </cell>
          <cell r="V343">
            <v>119.04761904761905</v>
          </cell>
          <cell r="W343">
            <v>38</v>
          </cell>
          <cell r="X343">
            <v>533</v>
          </cell>
          <cell r="Y343">
            <v>18</v>
          </cell>
          <cell r="Z343">
            <v>16</v>
          </cell>
        </row>
        <row r="344">
          <cell r="A344">
            <v>9124136</v>
          </cell>
          <cell r="B344" t="str">
            <v>裂空·斩第1段</v>
          </cell>
          <cell r="C344" t="str">
            <v>裂空·斩第1段</v>
          </cell>
          <cell r="D344">
            <v>1</v>
          </cell>
          <cell r="E344">
            <v>59</v>
          </cell>
          <cell r="F344" t="str">
            <v>第36级，共造成161.9%点伤害</v>
          </cell>
          <cell r="G344">
            <v>1</v>
          </cell>
          <cell r="H344">
            <v>1</v>
          </cell>
          <cell r="I344">
            <v>36</v>
          </cell>
          <cell r="J344">
            <v>2</v>
          </cell>
          <cell r="K344">
            <v>161.9047619047619</v>
          </cell>
          <cell r="L344">
            <v>0</v>
          </cell>
          <cell r="M344">
            <v>5120</v>
          </cell>
          <cell r="N344">
            <v>93357</v>
          </cell>
          <cell r="O344">
            <v>4</v>
          </cell>
          <cell r="P344">
            <v>1</v>
          </cell>
          <cell r="Q344">
            <v>1</v>
          </cell>
          <cell r="R344">
            <v>6</v>
          </cell>
          <cell r="S344">
            <v>50</v>
          </cell>
          <cell r="T344">
            <v>119.04761904761905</v>
          </cell>
          <cell r="U344">
            <v>2277</v>
          </cell>
          <cell r="V344">
            <v>119.04761904761905</v>
          </cell>
          <cell r="W344">
            <v>41</v>
          </cell>
          <cell r="X344">
            <v>574</v>
          </cell>
          <cell r="Y344">
            <v>18</v>
          </cell>
          <cell r="Z344">
            <v>17</v>
          </cell>
        </row>
        <row r="345">
          <cell r="A345">
            <v>9124137</v>
          </cell>
          <cell r="B345" t="str">
            <v>裂空·斩第1段</v>
          </cell>
          <cell r="C345" t="str">
            <v>裂空·斩第1段</v>
          </cell>
          <cell r="D345">
            <v>1</v>
          </cell>
          <cell r="E345">
            <v>61</v>
          </cell>
          <cell r="F345" t="str">
            <v>第37级，共造成163.1%点伤害</v>
          </cell>
          <cell r="G345">
            <v>1</v>
          </cell>
          <cell r="H345">
            <v>1</v>
          </cell>
          <cell r="I345">
            <v>37</v>
          </cell>
          <cell r="J345">
            <v>2</v>
          </cell>
          <cell r="K345">
            <v>163.0952380952381</v>
          </cell>
          <cell r="L345">
            <v>0</v>
          </cell>
          <cell r="M345">
            <v>5040</v>
          </cell>
          <cell r="N345">
            <v>107360</v>
          </cell>
          <cell r="O345">
            <v>4</v>
          </cell>
          <cell r="P345">
            <v>1</v>
          </cell>
          <cell r="Q345">
            <v>1</v>
          </cell>
          <cell r="R345">
            <v>6</v>
          </cell>
          <cell r="S345">
            <v>50</v>
          </cell>
          <cell r="T345">
            <v>119.04761904761905</v>
          </cell>
          <cell r="U345">
            <v>2440</v>
          </cell>
          <cell r="V345">
            <v>119.04761904761905</v>
          </cell>
          <cell r="W345">
            <v>44</v>
          </cell>
          <cell r="X345">
            <v>618</v>
          </cell>
          <cell r="Y345">
            <v>18</v>
          </cell>
          <cell r="Z345">
            <v>18</v>
          </cell>
        </row>
        <row r="346">
          <cell r="A346">
            <v>9124138</v>
          </cell>
          <cell r="B346" t="str">
            <v>裂空·斩第1段</v>
          </cell>
          <cell r="C346" t="str">
            <v>裂空·斩第1段</v>
          </cell>
          <cell r="D346">
            <v>1</v>
          </cell>
          <cell r="E346">
            <v>62</v>
          </cell>
          <cell r="F346" t="str">
            <v>第38级，共造成164.3%点伤害</v>
          </cell>
          <cell r="G346">
            <v>1</v>
          </cell>
          <cell r="H346">
            <v>1</v>
          </cell>
          <cell r="I346">
            <v>38</v>
          </cell>
          <cell r="J346">
            <v>2</v>
          </cell>
          <cell r="K346">
            <v>164.28571428571428</v>
          </cell>
          <cell r="L346">
            <v>0</v>
          </cell>
          <cell r="M346">
            <v>4960</v>
          </cell>
          <cell r="N346">
            <v>118628</v>
          </cell>
          <cell r="O346">
            <v>4</v>
          </cell>
          <cell r="P346">
            <v>1</v>
          </cell>
          <cell r="Q346">
            <v>1</v>
          </cell>
          <cell r="R346">
            <v>6</v>
          </cell>
          <cell r="S346">
            <v>50</v>
          </cell>
          <cell r="T346">
            <v>119.04761904761905</v>
          </cell>
          <cell r="U346">
            <v>2524</v>
          </cell>
          <cell r="V346">
            <v>119.04761904761905</v>
          </cell>
          <cell r="W346">
            <v>47</v>
          </cell>
          <cell r="X346">
            <v>665</v>
          </cell>
          <cell r="Y346">
            <v>18</v>
          </cell>
          <cell r="Z346">
            <v>19</v>
          </cell>
        </row>
        <row r="347">
          <cell r="A347">
            <v>9124139</v>
          </cell>
          <cell r="B347" t="str">
            <v>裂空·斩第1段</v>
          </cell>
          <cell r="C347" t="str">
            <v>裂空·斩第1段</v>
          </cell>
          <cell r="D347">
            <v>1</v>
          </cell>
          <cell r="E347">
            <v>64</v>
          </cell>
          <cell r="F347" t="str">
            <v>第39级，共造成165.5%点伤害</v>
          </cell>
          <cell r="G347">
            <v>1</v>
          </cell>
          <cell r="H347">
            <v>1</v>
          </cell>
          <cell r="I347">
            <v>39</v>
          </cell>
          <cell r="J347">
            <v>2</v>
          </cell>
          <cell r="K347">
            <v>165.47619047619048</v>
          </cell>
          <cell r="L347">
            <v>0</v>
          </cell>
          <cell r="M347">
            <v>4880</v>
          </cell>
          <cell r="N347">
            <v>134750</v>
          </cell>
          <cell r="O347">
            <v>4</v>
          </cell>
          <cell r="P347">
            <v>1</v>
          </cell>
          <cell r="Q347">
            <v>1</v>
          </cell>
          <cell r="R347">
            <v>6</v>
          </cell>
          <cell r="S347">
            <v>50</v>
          </cell>
          <cell r="T347">
            <v>119.04761904761905</v>
          </cell>
          <cell r="U347">
            <v>2695</v>
          </cell>
          <cell r="V347">
            <v>119.04761904761905</v>
          </cell>
          <cell r="W347">
            <v>50</v>
          </cell>
          <cell r="X347">
            <v>715</v>
          </cell>
          <cell r="Y347">
            <v>18</v>
          </cell>
          <cell r="Z347">
            <v>20</v>
          </cell>
        </row>
        <row r="348">
          <cell r="A348">
            <v>9124140</v>
          </cell>
          <cell r="B348" t="str">
            <v>裂空·斩第1段</v>
          </cell>
          <cell r="C348" t="str">
            <v>裂空·斩第1段</v>
          </cell>
          <cell r="D348">
            <v>1</v>
          </cell>
          <cell r="E348">
            <v>65</v>
          </cell>
          <cell r="F348" t="str">
            <v>第40级，共造成166.7%点伤害</v>
          </cell>
          <cell r="G348">
            <v>1</v>
          </cell>
          <cell r="H348">
            <v>1</v>
          </cell>
          <cell r="I348">
            <v>40</v>
          </cell>
          <cell r="J348">
            <v>2</v>
          </cell>
          <cell r="K348">
            <v>166.66666666666669</v>
          </cell>
          <cell r="L348">
            <v>0</v>
          </cell>
          <cell r="M348">
            <v>4800</v>
          </cell>
          <cell r="N348">
            <v>150282</v>
          </cell>
          <cell r="O348">
            <v>4</v>
          </cell>
          <cell r="P348">
            <v>1</v>
          </cell>
          <cell r="Q348">
            <v>1</v>
          </cell>
          <cell r="R348">
            <v>6</v>
          </cell>
          <cell r="S348">
            <v>50</v>
          </cell>
          <cell r="T348">
            <v>119.04761904761905</v>
          </cell>
          <cell r="U348">
            <v>2783</v>
          </cell>
          <cell r="V348">
            <v>119.04761904761905</v>
          </cell>
          <cell r="W348">
            <v>54</v>
          </cell>
          <cell r="X348">
            <v>769</v>
          </cell>
          <cell r="Y348">
            <v>18</v>
          </cell>
          <cell r="Z348">
            <v>22</v>
          </cell>
        </row>
        <row r="349">
          <cell r="A349">
            <v>9124141</v>
          </cell>
          <cell r="B349" t="str">
            <v>裂空·斩第1段</v>
          </cell>
          <cell r="C349" t="str">
            <v>裂空·斩第1段</v>
          </cell>
          <cell r="D349">
            <v>1</v>
          </cell>
          <cell r="E349">
            <v>67</v>
          </cell>
          <cell r="F349" t="str">
            <v>第41级，共造成167.9%点伤害</v>
          </cell>
          <cell r="G349">
            <v>1</v>
          </cell>
          <cell r="H349">
            <v>1</v>
          </cell>
          <cell r="I349">
            <v>41</v>
          </cell>
          <cell r="J349">
            <v>2</v>
          </cell>
          <cell r="K349">
            <v>167.85714285714286</v>
          </cell>
          <cell r="L349">
            <v>0</v>
          </cell>
          <cell r="M349">
            <v>4720</v>
          </cell>
          <cell r="N349">
            <v>171854</v>
          </cell>
          <cell r="O349">
            <v>4</v>
          </cell>
          <cell r="P349">
            <v>1</v>
          </cell>
          <cell r="Q349">
            <v>1</v>
          </cell>
          <cell r="R349">
            <v>6</v>
          </cell>
          <cell r="S349">
            <v>50</v>
          </cell>
          <cell r="T349">
            <v>119.04761904761905</v>
          </cell>
          <cell r="U349">
            <v>2963</v>
          </cell>
          <cell r="V349">
            <v>119.04761904761905</v>
          </cell>
          <cell r="W349">
            <v>58</v>
          </cell>
          <cell r="X349">
            <v>827</v>
          </cell>
          <cell r="Y349">
            <v>18</v>
          </cell>
          <cell r="Z349">
            <v>24</v>
          </cell>
        </row>
        <row r="350">
          <cell r="A350">
            <v>9124142</v>
          </cell>
          <cell r="B350" t="str">
            <v>裂空·斩第1段</v>
          </cell>
          <cell r="C350" t="str">
            <v>裂空·斩第1段</v>
          </cell>
          <cell r="D350">
            <v>1</v>
          </cell>
          <cell r="E350">
            <v>68</v>
          </cell>
          <cell r="F350" t="str">
            <v>第42级，共造成169%点伤害</v>
          </cell>
          <cell r="G350">
            <v>1</v>
          </cell>
          <cell r="H350">
            <v>1</v>
          </cell>
          <cell r="I350">
            <v>42</v>
          </cell>
          <cell r="J350">
            <v>2</v>
          </cell>
          <cell r="K350">
            <v>169.04761904761904</v>
          </cell>
          <cell r="L350">
            <v>0</v>
          </cell>
          <cell r="M350">
            <v>4640</v>
          </cell>
          <cell r="N350">
            <v>189348</v>
          </cell>
          <cell r="O350">
            <v>4</v>
          </cell>
          <cell r="P350">
            <v>1</v>
          </cell>
          <cell r="Q350">
            <v>1</v>
          </cell>
          <cell r="R350">
            <v>6</v>
          </cell>
          <cell r="S350">
            <v>50</v>
          </cell>
          <cell r="T350">
            <v>119.04761904761905</v>
          </cell>
          <cell r="U350">
            <v>3054</v>
          </cell>
          <cell r="V350">
            <v>119.04761904761905</v>
          </cell>
          <cell r="W350">
            <v>62</v>
          </cell>
          <cell r="X350">
            <v>889</v>
          </cell>
          <cell r="Y350">
            <v>18</v>
          </cell>
          <cell r="Z350">
            <v>25</v>
          </cell>
        </row>
        <row r="351">
          <cell r="A351">
            <v>9124143</v>
          </cell>
          <cell r="B351" t="str">
            <v>裂空·斩第1段</v>
          </cell>
          <cell r="C351" t="str">
            <v>裂空·斩第1段</v>
          </cell>
          <cell r="D351">
            <v>1</v>
          </cell>
          <cell r="E351">
            <v>70</v>
          </cell>
          <cell r="F351" t="str">
            <v>第43级，共造成170.2%点伤害</v>
          </cell>
          <cell r="G351">
            <v>1</v>
          </cell>
          <cell r="H351">
            <v>1</v>
          </cell>
          <cell r="I351">
            <v>43</v>
          </cell>
          <cell r="J351">
            <v>2</v>
          </cell>
          <cell r="K351">
            <v>170.23809523809524</v>
          </cell>
          <cell r="L351">
            <v>0</v>
          </cell>
          <cell r="M351">
            <v>4560</v>
          </cell>
          <cell r="N351">
            <v>213972</v>
          </cell>
          <cell r="O351">
            <v>4</v>
          </cell>
          <cell r="P351">
            <v>1</v>
          </cell>
          <cell r="Q351">
            <v>1</v>
          </cell>
          <cell r="R351">
            <v>6</v>
          </cell>
          <cell r="S351">
            <v>50</v>
          </cell>
          <cell r="T351">
            <v>119.04761904761905</v>
          </cell>
          <cell r="U351">
            <v>3242</v>
          </cell>
          <cell r="V351">
            <v>119.04761904761905</v>
          </cell>
          <cell r="W351">
            <v>66</v>
          </cell>
          <cell r="X351">
            <v>955</v>
          </cell>
          <cell r="Y351">
            <v>18</v>
          </cell>
          <cell r="Z351">
            <v>27</v>
          </cell>
        </row>
        <row r="352">
          <cell r="A352">
            <v>9124144</v>
          </cell>
          <cell r="B352" t="str">
            <v>裂空·斩第1段</v>
          </cell>
          <cell r="C352" t="str">
            <v>裂空·斩第1段</v>
          </cell>
          <cell r="D352">
            <v>1</v>
          </cell>
          <cell r="E352">
            <v>71</v>
          </cell>
          <cell r="F352" t="str">
            <v>第44级，共造成171.4%点伤害</v>
          </cell>
          <cell r="G352">
            <v>1</v>
          </cell>
          <cell r="H352">
            <v>1</v>
          </cell>
          <cell r="I352">
            <v>44</v>
          </cell>
          <cell r="J352">
            <v>2</v>
          </cell>
          <cell r="K352">
            <v>171.42857142857144</v>
          </cell>
          <cell r="L352">
            <v>0</v>
          </cell>
          <cell r="M352">
            <v>4480</v>
          </cell>
          <cell r="N352">
            <v>236998</v>
          </cell>
          <cell r="O352">
            <v>4</v>
          </cell>
          <cell r="P352">
            <v>1</v>
          </cell>
          <cell r="Q352">
            <v>1</v>
          </cell>
          <cell r="R352">
            <v>6</v>
          </cell>
          <cell r="S352">
            <v>50</v>
          </cell>
          <cell r="T352">
            <v>119.04761904761905</v>
          </cell>
          <cell r="U352">
            <v>3338</v>
          </cell>
          <cell r="V352">
            <v>119.04761904761905</v>
          </cell>
          <cell r="W352">
            <v>71</v>
          </cell>
          <cell r="X352">
            <v>1026</v>
          </cell>
          <cell r="Y352">
            <v>18</v>
          </cell>
          <cell r="Z352">
            <v>29</v>
          </cell>
        </row>
        <row r="353">
          <cell r="A353">
            <v>9124145</v>
          </cell>
          <cell r="B353" t="str">
            <v>裂空·斩第1段</v>
          </cell>
          <cell r="C353" t="str">
            <v>裂空·斩第1段</v>
          </cell>
          <cell r="D353">
            <v>1</v>
          </cell>
          <cell r="E353">
            <v>73</v>
          </cell>
          <cell r="F353" t="str">
            <v>第45级，共造成172.6%点伤害</v>
          </cell>
          <cell r="G353">
            <v>1</v>
          </cell>
          <cell r="H353">
            <v>1</v>
          </cell>
          <cell r="I353">
            <v>45</v>
          </cell>
          <cell r="J353">
            <v>2</v>
          </cell>
          <cell r="K353">
            <v>172.61904761904762</v>
          </cell>
          <cell r="L353">
            <v>0</v>
          </cell>
          <cell r="M353">
            <v>4400</v>
          </cell>
          <cell r="N353">
            <v>268584</v>
          </cell>
          <cell r="O353">
            <v>4</v>
          </cell>
          <cell r="P353">
            <v>1</v>
          </cell>
          <cell r="Q353">
            <v>1</v>
          </cell>
          <cell r="R353">
            <v>6</v>
          </cell>
          <cell r="S353">
            <v>50</v>
          </cell>
          <cell r="T353">
            <v>119.04761904761905</v>
          </cell>
          <cell r="U353">
            <v>3534</v>
          </cell>
          <cell r="V353">
            <v>119.04761904761905</v>
          </cell>
          <cell r="W353">
            <v>76</v>
          </cell>
          <cell r="X353">
            <v>1102</v>
          </cell>
          <cell r="Y353">
            <v>18</v>
          </cell>
          <cell r="Z353">
            <v>31</v>
          </cell>
        </row>
        <row r="354">
          <cell r="A354">
            <v>9124146</v>
          </cell>
          <cell r="B354" t="str">
            <v>裂空·斩第1段</v>
          </cell>
          <cell r="C354" t="str">
            <v>裂空·斩第1段</v>
          </cell>
          <cell r="D354">
            <v>1</v>
          </cell>
          <cell r="E354">
            <v>74</v>
          </cell>
          <cell r="F354" t="str">
            <v>第46级，共造成173.8%点伤害</v>
          </cell>
          <cell r="G354">
            <v>1</v>
          </cell>
          <cell r="H354">
            <v>1</v>
          </cell>
          <cell r="I354">
            <v>46</v>
          </cell>
          <cell r="J354">
            <v>2</v>
          </cell>
          <cell r="K354">
            <v>173.8095238095238</v>
          </cell>
          <cell r="L354">
            <v>0</v>
          </cell>
          <cell r="M354">
            <v>4320</v>
          </cell>
          <cell r="N354">
            <v>294354</v>
          </cell>
          <cell r="O354">
            <v>4</v>
          </cell>
          <cell r="P354">
            <v>1</v>
          </cell>
          <cell r="Q354">
            <v>1</v>
          </cell>
          <cell r="R354">
            <v>6</v>
          </cell>
          <cell r="S354">
            <v>50</v>
          </cell>
          <cell r="T354">
            <v>119.04761904761905</v>
          </cell>
          <cell r="U354">
            <v>3634</v>
          </cell>
          <cell r="V354">
            <v>119.04761904761905</v>
          </cell>
          <cell r="W354">
            <v>81</v>
          </cell>
          <cell r="X354">
            <v>1183</v>
          </cell>
          <cell r="Y354">
            <v>18</v>
          </cell>
          <cell r="Z354">
            <v>33</v>
          </cell>
        </row>
        <row r="355">
          <cell r="A355">
            <v>9124147</v>
          </cell>
          <cell r="B355" t="str">
            <v>裂空·斩第1段</v>
          </cell>
          <cell r="C355" t="str">
            <v>裂空·斩第1段</v>
          </cell>
          <cell r="D355">
            <v>1</v>
          </cell>
          <cell r="E355">
            <v>76</v>
          </cell>
          <cell r="F355" t="str">
            <v>第47级，共造成175%点伤害</v>
          </cell>
          <cell r="G355">
            <v>1</v>
          </cell>
          <cell r="H355">
            <v>1</v>
          </cell>
          <cell r="I355">
            <v>47</v>
          </cell>
          <cell r="J355">
            <v>2</v>
          </cell>
          <cell r="K355">
            <v>175</v>
          </cell>
          <cell r="L355">
            <v>0</v>
          </cell>
          <cell r="M355">
            <v>4240</v>
          </cell>
          <cell r="N355">
            <v>333906</v>
          </cell>
          <cell r="O355">
            <v>4</v>
          </cell>
          <cell r="P355">
            <v>1</v>
          </cell>
          <cell r="Q355">
            <v>1</v>
          </cell>
          <cell r="R355">
            <v>6</v>
          </cell>
          <cell r="S355">
            <v>50</v>
          </cell>
          <cell r="T355">
            <v>119.04761904761905</v>
          </cell>
          <cell r="U355">
            <v>3838</v>
          </cell>
          <cell r="V355">
            <v>119.04761904761905</v>
          </cell>
          <cell r="W355">
            <v>87</v>
          </cell>
          <cell r="X355">
            <v>1270</v>
          </cell>
          <cell r="Y355">
            <v>18</v>
          </cell>
          <cell r="Z355">
            <v>35</v>
          </cell>
        </row>
        <row r="356">
          <cell r="A356">
            <v>9124148</v>
          </cell>
          <cell r="B356" t="str">
            <v>裂空·斩第1段</v>
          </cell>
          <cell r="C356" t="str">
            <v>裂空·斩第1段</v>
          </cell>
          <cell r="D356">
            <v>1</v>
          </cell>
          <cell r="E356">
            <v>77</v>
          </cell>
          <cell r="F356" t="str">
            <v>第48级，共造成176.2%点伤害</v>
          </cell>
          <cell r="G356">
            <v>1</v>
          </cell>
          <cell r="H356">
            <v>1</v>
          </cell>
          <cell r="I356">
            <v>48</v>
          </cell>
          <cell r="J356">
            <v>2</v>
          </cell>
          <cell r="K356">
            <v>176.1904761904762</v>
          </cell>
          <cell r="L356">
            <v>0</v>
          </cell>
          <cell r="M356">
            <v>4160</v>
          </cell>
          <cell r="N356">
            <v>366606</v>
          </cell>
          <cell r="O356">
            <v>4</v>
          </cell>
          <cell r="P356">
            <v>1</v>
          </cell>
          <cell r="Q356">
            <v>1</v>
          </cell>
          <cell r="R356">
            <v>6</v>
          </cell>
          <cell r="S356">
            <v>50</v>
          </cell>
          <cell r="T356">
            <v>119.04761904761905</v>
          </cell>
          <cell r="U356">
            <v>3942</v>
          </cell>
          <cell r="V356">
            <v>119.04761904761905</v>
          </cell>
          <cell r="W356">
            <v>93</v>
          </cell>
          <cell r="X356">
            <v>1363</v>
          </cell>
          <cell r="Y356">
            <v>18</v>
          </cell>
          <cell r="Z356">
            <v>38</v>
          </cell>
        </row>
        <row r="357">
          <cell r="A357">
            <v>9124149</v>
          </cell>
          <cell r="B357" t="str">
            <v>裂空·斩第1段</v>
          </cell>
          <cell r="C357" t="str">
            <v>裂空·斩第1段</v>
          </cell>
          <cell r="D357">
            <v>1</v>
          </cell>
          <cell r="E357">
            <v>79</v>
          </cell>
          <cell r="F357" t="str">
            <v>第49级，共造成177.4%点伤害</v>
          </cell>
          <cell r="G357">
            <v>1</v>
          </cell>
          <cell r="H357">
            <v>1</v>
          </cell>
          <cell r="I357">
            <v>49</v>
          </cell>
          <cell r="J357">
            <v>2</v>
          </cell>
          <cell r="K357">
            <v>177.38095238095238</v>
          </cell>
          <cell r="L357">
            <v>0</v>
          </cell>
          <cell r="M357">
            <v>4080</v>
          </cell>
          <cell r="N357">
            <v>411246</v>
          </cell>
          <cell r="O357">
            <v>4</v>
          </cell>
          <cell r="P357">
            <v>1</v>
          </cell>
          <cell r="Q357">
            <v>1</v>
          </cell>
          <cell r="R357">
            <v>6</v>
          </cell>
          <cell r="S357">
            <v>50</v>
          </cell>
          <cell r="T357">
            <v>119.04761904761905</v>
          </cell>
          <cell r="U357">
            <v>4154</v>
          </cell>
          <cell r="V357">
            <v>119.04761904761905</v>
          </cell>
          <cell r="W357">
            <v>99</v>
          </cell>
          <cell r="X357">
            <v>1462</v>
          </cell>
          <cell r="Y357">
            <v>18</v>
          </cell>
          <cell r="Z357">
            <v>40</v>
          </cell>
        </row>
        <row r="358">
          <cell r="A358">
            <v>9124150</v>
          </cell>
          <cell r="B358" t="str">
            <v>裂空·斩第1段</v>
          </cell>
          <cell r="C358" t="str">
            <v>裂空·斩第1段</v>
          </cell>
          <cell r="D358">
            <v>1</v>
          </cell>
          <cell r="E358">
            <v>80</v>
          </cell>
          <cell r="F358" t="str">
            <v>第50级，共造成178.6%点伤害</v>
          </cell>
          <cell r="G358">
            <v>1</v>
          </cell>
          <cell r="H358">
            <v>1</v>
          </cell>
          <cell r="I358">
            <v>50</v>
          </cell>
          <cell r="J358">
            <v>2</v>
          </cell>
          <cell r="K358">
            <v>178.57142857142858</v>
          </cell>
          <cell r="L358">
            <v>0</v>
          </cell>
          <cell r="M358">
            <v>4000</v>
          </cell>
          <cell r="N358">
            <v>451772</v>
          </cell>
          <cell r="O358">
            <v>4</v>
          </cell>
          <cell r="P358">
            <v>1</v>
          </cell>
          <cell r="Q358">
            <v>1</v>
          </cell>
          <cell r="R358">
            <v>6</v>
          </cell>
          <cell r="S358">
            <v>50</v>
          </cell>
          <cell r="T358">
            <v>119.04761904761905</v>
          </cell>
          <cell r="U358">
            <v>4262</v>
          </cell>
          <cell r="V358">
            <v>119.04761904761905</v>
          </cell>
          <cell r="W358">
            <v>106</v>
          </cell>
          <cell r="X358">
            <v>1568</v>
          </cell>
          <cell r="Y358">
            <v>18</v>
          </cell>
          <cell r="Z358">
            <v>43</v>
          </cell>
        </row>
        <row r="359">
          <cell r="A359">
            <v>1</v>
          </cell>
          <cell r="B359" t="str">
            <v>裂空·斩</v>
          </cell>
          <cell r="C359" t="str">
            <v>裂空·斩第2段</v>
          </cell>
          <cell r="D359">
            <v>1</v>
          </cell>
          <cell r="E359">
            <v>6</v>
          </cell>
          <cell r="F359" t="str">
            <v>第0级，共造成119%点伤害</v>
          </cell>
          <cell r="G359">
            <v>0</v>
          </cell>
          <cell r="H359">
            <v>2</v>
          </cell>
          <cell r="I359">
            <v>0</v>
          </cell>
          <cell r="J359">
            <v>2</v>
          </cell>
          <cell r="K359">
            <v>119.04761904761905</v>
          </cell>
          <cell r="L359">
            <v>0</v>
          </cell>
          <cell r="M359">
            <v>8000</v>
          </cell>
          <cell r="N359">
            <v>0</v>
          </cell>
          <cell r="O359">
            <v>4</v>
          </cell>
          <cell r="P359">
            <v>1</v>
          </cell>
          <cell r="Q359">
            <v>1</v>
          </cell>
          <cell r="R359">
            <v>8</v>
          </cell>
          <cell r="S359">
            <v>50</v>
          </cell>
          <cell r="T359">
            <v>119.04761904761905</v>
          </cell>
          <cell r="U359">
            <v>80</v>
          </cell>
          <cell r="V359">
            <v>119.04761904761905</v>
          </cell>
          <cell r="W359">
            <v>0</v>
          </cell>
          <cell r="X359">
            <v>0</v>
          </cell>
          <cell r="Y359">
            <v>18</v>
          </cell>
          <cell r="Z359">
            <v>0</v>
          </cell>
        </row>
        <row r="360">
          <cell r="A360">
            <v>9124201</v>
          </cell>
          <cell r="B360" t="str">
            <v>裂空·斩第2段</v>
          </cell>
          <cell r="C360" t="str">
            <v>裂空·斩第2段</v>
          </cell>
          <cell r="D360">
            <v>1</v>
          </cell>
          <cell r="E360">
            <v>6</v>
          </cell>
          <cell r="F360" t="str">
            <v>第1级，共造成119%点伤害</v>
          </cell>
          <cell r="G360">
            <v>2</v>
          </cell>
          <cell r="H360">
            <v>2</v>
          </cell>
          <cell r="I360">
            <v>1</v>
          </cell>
          <cell r="J360">
            <v>2</v>
          </cell>
          <cell r="K360">
            <v>119.04761904761905</v>
          </cell>
          <cell r="L360">
            <v>0</v>
          </cell>
          <cell r="M360">
            <v>8000</v>
          </cell>
          <cell r="N360">
            <v>240</v>
          </cell>
          <cell r="O360">
            <v>4</v>
          </cell>
          <cell r="P360">
            <v>1</v>
          </cell>
          <cell r="Q360">
            <v>1</v>
          </cell>
          <cell r="R360">
            <v>8</v>
          </cell>
          <cell r="S360">
            <v>50</v>
          </cell>
          <cell r="T360">
            <v>119.04761904761905</v>
          </cell>
          <cell r="U360">
            <v>80</v>
          </cell>
          <cell r="V360">
            <v>119.04761904761905</v>
          </cell>
          <cell r="W360">
            <v>3</v>
          </cell>
          <cell r="X360">
            <v>3</v>
          </cell>
          <cell r="Y360">
            <v>18</v>
          </cell>
          <cell r="Z360">
            <v>0</v>
          </cell>
        </row>
        <row r="361">
          <cell r="A361">
            <v>9124202</v>
          </cell>
          <cell r="B361" t="str">
            <v>裂空·斩第2段</v>
          </cell>
          <cell r="C361" t="str">
            <v>裂空·斩第2段</v>
          </cell>
          <cell r="D361">
            <v>1</v>
          </cell>
          <cell r="E361">
            <v>11</v>
          </cell>
          <cell r="F361" t="str">
            <v>第2级，共造成121.4%点伤害</v>
          </cell>
          <cell r="G361">
            <v>2</v>
          </cell>
          <cell r="H361">
            <v>2</v>
          </cell>
          <cell r="I361">
            <v>2</v>
          </cell>
          <cell r="J361">
            <v>2</v>
          </cell>
          <cell r="K361">
            <v>121.42857142857143</v>
          </cell>
          <cell r="L361">
            <v>0</v>
          </cell>
          <cell r="M361">
            <v>7840</v>
          </cell>
          <cell r="N361">
            <v>440</v>
          </cell>
          <cell r="O361">
            <v>4</v>
          </cell>
          <cell r="P361">
            <v>1</v>
          </cell>
          <cell r="Q361">
            <v>1</v>
          </cell>
          <cell r="R361">
            <v>8</v>
          </cell>
          <cell r="S361">
            <v>50</v>
          </cell>
          <cell r="T361">
            <v>119.04761904761905</v>
          </cell>
          <cell r="U361">
            <v>110</v>
          </cell>
          <cell r="V361">
            <v>119.04761904761905</v>
          </cell>
          <cell r="W361">
            <v>4</v>
          </cell>
          <cell r="X361">
            <v>7</v>
          </cell>
          <cell r="Y361">
            <v>18</v>
          </cell>
          <cell r="Z361">
            <v>0</v>
          </cell>
        </row>
        <row r="362">
          <cell r="A362">
            <v>9124203</v>
          </cell>
          <cell r="B362" t="str">
            <v>裂空·斩第2段</v>
          </cell>
          <cell r="C362" t="str">
            <v>裂空·斩第2段</v>
          </cell>
          <cell r="D362">
            <v>1</v>
          </cell>
          <cell r="E362">
            <v>12</v>
          </cell>
          <cell r="F362" t="str">
            <v>第3级，共造成122.6%点伤害</v>
          </cell>
          <cell r="G362">
            <v>2</v>
          </cell>
          <cell r="H362">
            <v>2</v>
          </cell>
          <cell r="I362">
            <v>3</v>
          </cell>
          <cell r="J362">
            <v>2</v>
          </cell>
          <cell r="K362">
            <v>122.61904761904762</v>
          </cell>
          <cell r="L362">
            <v>0</v>
          </cell>
          <cell r="M362">
            <v>7760</v>
          </cell>
          <cell r="N362">
            <v>464</v>
          </cell>
          <cell r="O362">
            <v>4</v>
          </cell>
          <cell r="P362">
            <v>1</v>
          </cell>
          <cell r="Q362">
            <v>1</v>
          </cell>
          <cell r="R362">
            <v>8</v>
          </cell>
          <cell r="S362">
            <v>50</v>
          </cell>
          <cell r="T362">
            <v>119.04761904761905</v>
          </cell>
          <cell r="U362">
            <v>116</v>
          </cell>
          <cell r="V362">
            <v>119.04761904761905</v>
          </cell>
          <cell r="W362">
            <v>4</v>
          </cell>
          <cell r="X362">
            <v>11</v>
          </cell>
          <cell r="Y362">
            <v>18</v>
          </cell>
          <cell r="Z362">
            <v>0</v>
          </cell>
        </row>
        <row r="363">
          <cell r="A363">
            <v>9124204</v>
          </cell>
          <cell r="B363" t="str">
            <v>裂空·斩第2段</v>
          </cell>
          <cell r="C363" t="str">
            <v>裂空·斩第2段</v>
          </cell>
          <cell r="D363">
            <v>1</v>
          </cell>
          <cell r="E363">
            <v>14</v>
          </cell>
          <cell r="F363" t="str">
            <v>第4级，共造成123.8%点伤害</v>
          </cell>
          <cell r="G363">
            <v>2</v>
          </cell>
          <cell r="H363">
            <v>2</v>
          </cell>
          <cell r="I363">
            <v>4</v>
          </cell>
          <cell r="J363">
            <v>2</v>
          </cell>
          <cell r="K363">
            <v>123.80952380952381</v>
          </cell>
          <cell r="L363">
            <v>0</v>
          </cell>
          <cell r="M363">
            <v>7680</v>
          </cell>
          <cell r="N363">
            <v>512</v>
          </cell>
          <cell r="O363">
            <v>4</v>
          </cell>
          <cell r="P363">
            <v>1</v>
          </cell>
          <cell r="Q363">
            <v>1</v>
          </cell>
          <cell r="R363">
            <v>8</v>
          </cell>
          <cell r="S363">
            <v>50</v>
          </cell>
          <cell r="T363">
            <v>119.04761904761905</v>
          </cell>
          <cell r="U363">
            <v>128</v>
          </cell>
          <cell r="V363">
            <v>119.04761904761905</v>
          </cell>
          <cell r="W363">
            <v>4</v>
          </cell>
          <cell r="X363">
            <v>15</v>
          </cell>
          <cell r="Y363">
            <v>18</v>
          </cell>
          <cell r="Z363">
            <v>0</v>
          </cell>
        </row>
        <row r="364">
          <cell r="A364">
            <v>9124205</v>
          </cell>
          <cell r="B364" t="str">
            <v>裂空·斩第2段</v>
          </cell>
          <cell r="C364" t="str">
            <v>裂空·斩第2段</v>
          </cell>
          <cell r="D364">
            <v>1</v>
          </cell>
          <cell r="E364">
            <v>15</v>
          </cell>
          <cell r="F364" t="str">
            <v>第5级，共造成125%点伤害</v>
          </cell>
          <cell r="G364">
            <v>2</v>
          </cell>
          <cell r="H364">
            <v>2</v>
          </cell>
          <cell r="I364">
            <v>5</v>
          </cell>
          <cell r="J364">
            <v>2</v>
          </cell>
          <cell r="K364">
            <v>125</v>
          </cell>
          <cell r="L364">
            <v>0</v>
          </cell>
          <cell r="M364">
            <v>7600</v>
          </cell>
          <cell r="N364">
            <v>670</v>
          </cell>
          <cell r="O364">
            <v>4</v>
          </cell>
          <cell r="P364">
            <v>1</v>
          </cell>
          <cell r="Q364">
            <v>1</v>
          </cell>
          <cell r="R364">
            <v>8</v>
          </cell>
          <cell r="S364">
            <v>50</v>
          </cell>
          <cell r="T364">
            <v>119.04761904761905</v>
          </cell>
          <cell r="U364">
            <v>134</v>
          </cell>
          <cell r="V364">
            <v>119.04761904761905</v>
          </cell>
          <cell r="W364">
            <v>5</v>
          </cell>
          <cell r="X364">
            <v>20</v>
          </cell>
          <cell r="Y364">
            <v>18</v>
          </cell>
          <cell r="Z364">
            <v>0</v>
          </cell>
        </row>
        <row r="365">
          <cell r="A365">
            <v>9124206</v>
          </cell>
          <cell r="B365" t="str">
            <v>裂空·斩第2段</v>
          </cell>
          <cell r="C365" t="str">
            <v>裂空·斩第2段</v>
          </cell>
          <cell r="D365">
            <v>1</v>
          </cell>
          <cell r="E365">
            <v>17</v>
          </cell>
          <cell r="F365" t="str">
            <v>第6级，共造成126.2%点伤害</v>
          </cell>
          <cell r="G365">
            <v>2</v>
          </cell>
          <cell r="H365">
            <v>2</v>
          </cell>
          <cell r="I365">
            <v>6</v>
          </cell>
          <cell r="J365">
            <v>2</v>
          </cell>
          <cell r="K365">
            <v>126.19047619047619</v>
          </cell>
          <cell r="L365">
            <v>0</v>
          </cell>
          <cell r="M365">
            <v>7520</v>
          </cell>
          <cell r="N365">
            <v>730</v>
          </cell>
          <cell r="O365">
            <v>4</v>
          </cell>
          <cell r="P365">
            <v>1</v>
          </cell>
          <cell r="Q365">
            <v>1</v>
          </cell>
          <cell r="R365">
            <v>8</v>
          </cell>
          <cell r="S365">
            <v>50</v>
          </cell>
          <cell r="T365">
            <v>119.04761904761905</v>
          </cell>
          <cell r="U365">
            <v>146</v>
          </cell>
          <cell r="V365">
            <v>119.04761904761905</v>
          </cell>
          <cell r="W365">
            <v>5</v>
          </cell>
          <cell r="X365">
            <v>25</v>
          </cell>
          <cell r="Y365">
            <v>18</v>
          </cell>
          <cell r="Z365">
            <v>0</v>
          </cell>
        </row>
        <row r="366">
          <cell r="A366">
            <v>9124207</v>
          </cell>
          <cell r="B366" t="str">
            <v>裂空·斩第2段</v>
          </cell>
          <cell r="C366" t="str">
            <v>裂空·斩第2段</v>
          </cell>
          <cell r="D366">
            <v>1</v>
          </cell>
          <cell r="E366">
            <v>18</v>
          </cell>
          <cell r="F366" t="str">
            <v>第7级，共造成127.4%点伤害</v>
          </cell>
          <cell r="G366">
            <v>2</v>
          </cell>
          <cell r="H366">
            <v>2</v>
          </cell>
          <cell r="I366">
            <v>7</v>
          </cell>
          <cell r="J366">
            <v>2</v>
          </cell>
          <cell r="K366">
            <v>127.38095238095238</v>
          </cell>
          <cell r="L366">
            <v>0</v>
          </cell>
          <cell r="M366">
            <v>7440</v>
          </cell>
          <cell r="N366">
            <v>760</v>
          </cell>
          <cell r="O366">
            <v>4</v>
          </cell>
          <cell r="P366">
            <v>1</v>
          </cell>
          <cell r="Q366">
            <v>1</v>
          </cell>
          <cell r="R366">
            <v>8</v>
          </cell>
          <cell r="S366">
            <v>50</v>
          </cell>
          <cell r="T366">
            <v>119.04761904761905</v>
          </cell>
          <cell r="U366">
            <v>152</v>
          </cell>
          <cell r="V366">
            <v>119.04761904761905</v>
          </cell>
          <cell r="W366">
            <v>5</v>
          </cell>
          <cell r="X366">
            <v>30</v>
          </cell>
          <cell r="Y366">
            <v>18</v>
          </cell>
          <cell r="Z366">
            <v>0</v>
          </cell>
        </row>
        <row r="367">
          <cell r="A367">
            <v>9124208</v>
          </cell>
          <cell r="B367" t="str">
            <v>裂空·斩第2段</v>
          </cell>
          <cell r="C367" t="str">
            <v>裂空·斩第2段</v>
          </cell>
          <cell r="D367">
            <v>1</v>
          </cell>
          <cell r="E367">
            <v>20</v>
          </cell>
          <cell r="F367" t="str">
            <v>第8级，共造成128.6%点伤害</v>
          </cell>
          <cell r="G367">
            <v>2</v>
          </cell>
          <cell r="H367">
            <v>2</v>
          </cell>
          <cell r="I367">
            <v>8</v>
          </cell>
          <cell r="J367">
            <v>2</v>
          </cell>
          <cell r="K367">
            <v>128.57142857142858</v>
          </cell>
          <cell r="L367">
            <v>0</v>
          </cell>
          <cell r="M367">
            <v>7360</v>
          </cell>
          <cell r="N367">
            <v>1092</v>
          </cell>
          <cell r="O367">
            <v>4</v>
          </cell>
          <cell r="P367">
            <v>1</v>
          </cell>
          <cell r="Q367">
            <v>1</v>
          </cell>
          <cell r="R367">
            <v>8</v>
          </cell>
          <cell r="S367">
            <v>50</v>
          </cell>
          <cell r="T367">
            <v>119.04761904761905</v>
          </cell>
          <cell r="U367">
            <v>182</v>
          </cell>
          <cell r="V367">
            <v>119.04761904761905</v>
          </cell>
          <cell r="W367">
            <v>6</v>
          </cell>
          <cell r="X367">
            <v>36</v>
          </cell>
          <cell r="Y367">
            <v>18</v>
          </cell>
          <cell r="Z367">
            <v>0</v>
          </cell>
        </row>
        <row r="368">
          <cell r="A368">
            <v>9124209</v>
          </cell>
          <cell r="B368" t="str">
            <v>裂空·斩第2段</v>
          </cell>
          <cell r="C368" t="str">
            <v>裂空·斩第2段</v>
          </cell>
          <cell r="D368">
            <v>1</v>
          </cell>
          <cell r="E368">
            <v>21</v>
          </cell>
          <cell r="F368" t="str">
            <v>第9级，共造成129.8%点伤害</v>
          </cell>
          <cell r="G368">
            <v>2</v>
          </cell>
          <cell r="H368">
            <v>2</v>
          </cell>
          <cell r="I368">
            <v>9</v>
          </cell>
          <cell r="J368">
            <v>2</v>
          </cell>
          <cell r="K368">
            <v>129.76190476190476</v>
          </cell>
          <cell r="L368">
            <v>0</v>
          </cell>
          <cell r="M368">
            <v>7280</v>
          </cell>
          <cell r="N368">
            <v>1260</v>
          </cell>
          <cell r="O368">
            <v>4</v>
          </cell>
          <cell r="P368">
            <v>1</v>
          </cell>
          <cell r="Q368">
            <v>1</v>
          </cell>
          <cell r="R368">
            <v>8</v>
          </cell>
          <cell r="S368">
            <v>50</v>
          </cell>
          <cell r="T368">
            <v>119.04761904761905</v>
          </cell>
          <cell r="U368">
            <v>210</v>
          </cell>
          <cell r="V368">
            <v>119.04761904761905</v>
          </cell>
          <cell r="W368">
            <v>6</v>
          </cell>
          <cell r="X368">
            <v>42</v>
          </cell>
          <cell r="Y368">
            <v>18</v>
          </cell>
          <cell r="Z368">
            <v>0</v>
          </cell>
        </row>
        <row r="369">
          <cell r="A369">
            <v>9124210</v>
          </cell>
          <cell r="B369" t="str">
            <v>裂空·斩第2段</v>
          </cell>
          <cell r="C369" t="str">
            <v>裂空·斩第2段</v>
          </cell>
          <cell r="D369">
            <v>1</v>
          </cell>
          <cell r="E369">
            <v>22</v>
          </cell>
          <cell r="F369" t="str">
            <v>第10级，共造成131%点伤害</v>
          </cell>
          <cell r="G369">
            <v>2</v>
          </cell>
          <cell r="H369">
            <v>2</v>
          </cell>
          <cell r="I369">
            <v>10</v>
          </cell>
          <cell r="J369">
            <v>2</v>
          </cell>
          <cell r="K369">
            <v>130.95238095238096</v>
          </cell>
          <cell r="L369">
            <v>0</v>
          </cell>
          <cell r="M369">
            <v>7200</v>
          </cell>
          <cell r="N369">
            <v>1434</v>
          </cell>
          <cell r="O369">
            <v>4</v>
          </cell>
          <cell r="P369">
            <v>1</v>
          </cell>
          <cell r="Q369">
            <v>1</v>
          </cell>
          <cell r="R369">
            <v>8</v>
          </cell>
          <cell r="S369">
            <v>50</v>
          </cell>
          <cell r="T369">
            <v>119.04761904761905</v>
          </cell>
          <cell r="U369">
            <v>239</v>
          </cell>
          <cell r="V369">
            <v>119.04761904761905</v>
          </cell>
          <cell r="W369">
            <v>6</v>
          </cell>
          <cell r="X369">
            <v>48</v>
          </cell>
          <cell r="Y369">
            <v>18</v>
          </cell>
          <cell r="Z369">
            <v>0</v>
          </cell>
        </row>
        <row r="370">
          <cell r="A370">
            <v>9124211</v>
          </cell>
          <cell r="B370" t="str">
            <v>裂空·斩第2段</v>
          </cell>
          <cell r="C370" t="str">
            <v>裂空·斩第2段</v>
          </cell>
          <cell r="D370">
            <v>1</v>
          </cell>
          <cell r="E370">
            <v>24</v>
          </cell>
          <cell r="F370" t="str">
            <v>第11级，共造成132.1%点伤害</v>
          </cell>
          <cell r="G370">
            <v>2</v>
          </cell>
          <cell r="H370">
            <v>2</v>
          </cell>
          <cell r="I370">
            <v>11</v>
          </cell>
          <cell r="J370">
            <v>2</v>
          </cell>
          <cell r="K370">
            <v>132.14285714285714</v>
          </cell>
          <cell r="L370">
            <v>0</v>
          </cell>
          <cell r="M370">
            <v>7120</v>
          </cell>
          <cell r="N370">
            <v>2114</v>
          </cell>
          <cell r="O370">
            <v>4</v>
          </cell>
          <cell r="P370">
            <v>1</v>
          </cell>
          <cell r="Q370">
            <v>1</v>
          </cell>
          <cell r="R370">
            <v>8</v>
          </cell>
          <cell r="S370">
            <v>50</v>
          </cell>
          <cell r="T370">
            <v>119.04761904761905</v>
          </cell>
          <cell r="U370">
            <v>302</v>
          </cell>
          <cell r="V370">
            <v>119.04761904761905</v>
          </cell>
          <cell r="W370">
            <v>7</v>
          </cell>
          <cell r="X370">
            <v>55</v>
          </cell>
          <cell r="Y370">
            <v>18</v>
          </cell>
          <cell r="Z370">
            <v>0</v>
          </cell>
        </row>
        <row r="371">
          <cell r="A371">
            <v>9124212</v>
          </cell>
          <cell r="B371" t="str">
            <v>裂空·斩第2段</v>
          </cell>
          <cell r="C371" t="str">
            <v>裂空·斩第2段</v>
          </cell>
          <cell r="D371">
            <v>1</v>
          </cell>
          <cell r="E371">
            <v>25</v>
          </cell>
          <cell r="F371" t="str">
            <v>第12级，共造成133.3%点伤害</v>
          </cell>
          <cell r="G371">
            <v>2</v>
          </cell>
          <cell r="H371">
            <v>2</v>
          </cell>
          <cell r="I371">
            <v>12</v>
          </cell>
          <cell r="J371">
            <v>2</v>
          </cell>
          <cell r="K371">
            <v>133.33333333333334</v>
          </cell>
          <cell r="L371">
            <v>0</v>
          </cell>
          <cell r="M371">
            <v>7040</v>
          </cell>
          <cell r="N371">
            <v>2345</v>
          </cell>
          <cell r="O371">
            <v>4</v>
          </cell>
          <cell r="P371">
            <v>1</v>
          </cell>
          <cell r="Q371">
            <v>1</v>
          </cell>
          <cell r="R371">
            <v>8</v>
          </cell>
          <cell r="S371">
            <v>50</v>
          </cell>
          <cell r="T371">
            <v>119.04761904761905</v>
          </cell>
          <cell r="U371">
            <v>335</v>
          </cell>
          <cell r="V371">
            <v>119.04761904761905</v>
          </cell>
          <cell r="W371">
            <v>7</v>
          </cell>
          <cell r="X371">
            <v>62</v>
          </cell>
          <cell r="Y371">
            <v>18</v>
          </cell>
          <cell r="Z371">
            <v>0</v>
          </cell>
        </row>
        <row r="372">
          <cell r="A372">
            <v>9124213</v>
          </cell>
          <cell r="B372" t="str">
            <v>裂空·斩第2段</v>
          </cell>
          <cell r="C372" t="str">
            <v>裂空·斩第2段</v>
          </cell>
          <cell r="D372">
            <v>1</v>
          </cell>
          <cell r="E372">
            <v>27</v>
          </cell>
          <cell r="F372" t="str">
            <v>第13级，共造成134.5%点伤害</v>
          </cell>
          <cell r="G372">
            <v>2</v>
          </cell>
          <cell r="H372">
            <v>2</v>
          </cell>
          <cell r="I372">
            <v>13</v>
          </cell>
          <cell r="J372">
            <v>2</v>
          </cell>
          <cell r="K372">
            <v>134.52380952380952</v>
          </cell>
          <cell r="L372">
            <v>0</v>
          </cell>
          <cell r="M372">
            <v>6960</v>
          </cell>
          <cell r="N372">
            <v>3248</v>
          </cell>
          <cell r="O372">
            <v>4</v>
          </cell>
          <cell r="P372">
            <v>1</v>
          </cell>
          <cell r="Q372">
            <v>1</v>
          </cell>
          <cell r="R372">
            <v>8</v>
          </cell>
          <cell r="S372">
            <v>50</v>
          </cell>
          <cell r="T372">
            <v>119.04761904761905</v>
          </cell>
          <cell r="U372">
            <v>406</v>
          </cell>
          <cell r="V372">
            <v>119.04761904761905</v>
          </cell>
          <cell r="W372">
            <v>8</v>
          </cell>
          <cell r="X372">
            <v>70</v>
          </cell>
          <cell r="Y372">
            <v>18</v>
          </cell>
          <cell r="Z372">
            <v>0</v>
          </cell>
        </row>
        <row r="373">
          <cell r="A373">
            <v>9124214</v>
          </cell>
          <cell r="B373" t="str">
            <v>裂空·斩第2段</v>
          </cell>
          <cell r="C373" t="str">
            <v>裂空·斩第2段</v>
          </cell>
          <cell r="D373">
            <v>1</v>
          </cell>
          <cell r="E373">
            <v>28</v>
          </cell>
          <cell r="F373" t="str">
            <v>第14级，共造成135.7%点伤害</v>
          </cell>
          <cell r="G373">
            <v>2</v>
          </cell>
          <cell r="H373">
            <v>2</v>
          </cell>
          <cell r="I373">
            <v>14</v>
          </cell>
          <cell r="J373">
            <v>2</v>
          </cell>
          <cell r="K373">
            <v>135.71428571428572</v>
          </cell>
          <cell r="L373">
            <v>0</v>
          </cell>
          <cell r="M373">
            <v>6880</v>
          </cell>
          <cell r="N373">
            <v>3544</v>
          </cell>
          <cell r="O373">
            <v>4</v>
          </cell>
          <cell r="P373">
            <v>1</v>
          </cell>
          <cell r="Q373">
            <v>1</v>
          </cell>
          <cell r="R373">
            <v>8</v>
          </cell>
          <cell r="S373">
            <v>50</v>
          </cell>
          <cell r="T373">
            <v>119.04761904761905</v>
          </cell>
          <cell r="U373">
            <v>443</v>
          </cell>
          <cell r="V373">
            <v>119.04761904761905</v>
          </cell>
          <cell r="W373">
            <v>8</v>
          </cell>
          <cell r="X373">
            <v>78</v>
          </cell>
          <cell r="Y373">
            <v>18</v>
          </cell>
          <cell r="Z373">
            <v>0</v>
          </cell>
        </row>
        <row r="374">
          <cell r="A374">
            <v>9124215</v>
          </cell>
          <cell r="B374" t="str">
            <v>裂空·斩第2段</v>
          </cell>
          <cell r="C374" t="str">
            <v>裂空·斩第2段</v>
          </cell>
          <cell r="D374">
            <v>1</v>
          </cell>
          <cell r="E374">
            <v>30</v>
          </cell>
          <cell r="F374" t="str">
            <v>第15级，共造成136.9%点伤害</v>
          </cell>
          <cell r="G374">
            <v>2</v>
          </cell>
          <cell r="H374">
            <v>2</v>
          </cell>
          <cell r="I374">
            <v>15</v>
          </cell>
          <cell r="J374">
            <v>2</v>
          </cell>
          <cell r="K374">
            <v>136.9047619047619</v>
          </cell>
          <cell r="L374">
            <v>0</v>
          </cell>
          <cell r="M374">
            <v>6800</v>
          </cell>
          <cell r="N374">
            <v>4698</v>
          </cell>
          <cell r="O374">
            <v>4</v>
          </cell>
          <cell r="P374">
            <v>1</v>
          </cell>
          <cell r="Q374">
            <v>1</v>
          </cell>
          <cell r="R374">
            <v>8</v>
          </cell>
          <cell r="S374">
            <v>50</v>
          </cell>
          <cell r="T374">
            <v>119.04761904761905</v>
          </cell>
          <cell r="U374">
            <v>522</v>
          </cell>
          <cell r="V374">
            <v>119.04761904761905</v>
          </cell>
          <cell r="W374">
            <v>9</v>
          </cell>
          <cell r="X374">
            <v>87</v>
          </cell>
          <cell r="Y374">
            <v>18</v>
          </cell>
          <cell r="Z374">
            <v>0</v>
          </cell>
        </row>
        <row r="375">
          <cell r="A375">
            <v>9124216</v>
          </cell>
          <cell r="B375" t="str">
            <v>裂空·斩第2段</v>
          </cell>
          <cell r="C375" t="str">
            <v>裂空·斩第2段</v>
          </cell>
          <cell r="D375">
            <v>1</v>
          </cell>
          <cell r="E375">
            <v>31</v>
          </cell>
          <cell r="F375" t="str">
            <v>第16级，共造成138.1%点伤害</v>
          </cell>
          <cell r="G375">
            <v>2</v>
          </cell>
          <cell r="H375">
            <v>2</v>
          </cell>
          <cell r="I375">
            <v>16</v>
          </cell>
          <cell r="J375">
            <v>2</v>
          </cell>
          <cell r="K375">
            <v>138.0952380952381</v>
          </cell>
          <cell r="L375">
            <v>0</v>
          </cell>
          <cell r="M375">
            <v>6720</v>
          </cell>
          <cell r="N375">
            <v>5630</v>
          </cell>
          <cell r="O375">
            <v>4</v>
          </cell>
          <cell r="P375">
            <v>1</v>
          </cell>
          <cell r="Q375">
            <v>1</v>
          </cell>
          <cell r="R375">
            <v>8</v>
          </cell>
          <cell r="S375">
            <v>50</v>
          </cell>
          <cell r="T375">
            <v>119.04761904761905</v>
          </cell>
          <cell r="U375">
            <v>563</v>
          </cell>
          <cell r="V375">
            <v>119.04761904761905</v>
          </cell>
          <cell r="W375">
            <v>10</v>
          </cell>
          <cell r="X375">
            <v>97</v>
          </cell>
          <cell r="Y375">
            <v>18</v>
          </cell>
          <cell r="Z375">
            <v>0</v>
          </cell>
        </row>
        <row r="376">
          <cell r="A376">
            <v>9124217</v>
          </cell>
          <cell r="B376" t="str">
            <v>裂空·斩第2段</v>
          </cell>
          <cell r="C376" t="str">
            <v>裂空·斩第2段</v>
          </cell>
          <cell r="D376">
            <v>1</v>
          </cell>
          <cell r="E376">
            <v>32</v>
          </cell>
          <cell r="F376" t="str">
            <v>第17级，共造成139.3%点伤害</v>
          </cell>
          <cell r="G376">
            <v>2</v>
          </cell>
          <cell r="H376">
            <v>2</v>
          </cell>
          <cell r="I376">
            <v>17</v>
          </cell>
          <cell r="J376">
            <v>2</v>
          </cell>
          <cell r="K376">
            <v>139.28571428571428</v>
          </cell>
          <cell r="L376">
            <v>0</v>
          </cell>
          <cell r="M376">
            <v>6640</v>
          </cell>
          <cell r="N376">
            <v>6060</v>
          </cell>
          <cell r="O376">
            <v>4</v>
          </cell>
          <cell r="P376">
            <v>1</v>
          </cell>
          <cell r="Q376">
            <v>1</v>
          </cell>
          <cell r="R376">
            <v>8</v>
          </cell>
          <cell r="S376">
            <v>50</v>
          </cell>
          <cell r="T376">
            <v>119.04761904761905</v>
          </cell>
          <cell r="U376">
            <v>606</v>
          </cell>
          <cell r="V376">
            <v>119.04761904761905</v>
          </cell>
          <cell r="W376">
            <v>10</v>
          </cell>
          <cell r="X376">
            <v>107</v>
          </cell>
          <cell r="Y376">
            <v>18</v>
          </cell>
          <cell r="Z376">
            <v>0</v>
          </cell>
        </row>
        <row r="377">
          <cell r="A377">
            <v>9124218</v>
          </cell>
          <cell r="B377" t="str">
            <v>裂空·斩第2段</v>
          </cell>
          <cell r="C377" t="str">
            <v>裂空·斩第2段</v>
          </cell>
          <cell r="D377">
            <v>1</v>
          </cell>
          <cell r="E377">
            <v>34</v>
          </cell>
          <cell r="F377" t="str">
            <v>第18级，共造成140.5%点伤害</v>
          </cell>
          <cell r="G377">
            <v>2</v>
          </cell>
          <cell r="H377">
            <v>2</v>
          </cell>
          <cell r="I377">
            <v>18</v>
          </cell>
          <cell r="J377">
            <v>2</v>
          </cell>
          <cell r="K377">
            <v>140.47619047619048</v>
          </cell>
          <cell r="L377">
            <v>0</v>
          </cell>
          <cell r="M377">
            <v>6560</v>
          </cell>
          <cell r="N377">
            <v>7656</v>
          </cell>
          <cell r="O377">
            <v>4</v>
          </cell>
          <cell r="P377">
            <v>1</v>
          </cell>
          <cell r="Q377">
            <v>1</v>
          </cell>
          <cell r="R377">
            <v>8</v>
          </cell>
          <cell r="S377">
            <v>50</v>
          </cell>
          <cell r="T377">
            <v>119.04761904761905</v>
          </cell>
          <cell r="U377">
            <v>696</v>
          </cell>
          <cell r="V377">
            <v>119.04761904761905</v>
          </cell>
          <cell r="W377">
            <v>11</v>
          </cell>
          <cell r="X377">
            <v>118</v>
          </cell>
          <cell r="Y377">
            <v>18</v>
          </cell>
          <cell r="Z377">
            <v>5</v>
          </cell>
        </row>
        <row r="378">
          <cell r="A378">
            <v>9124219</v>
          </cell>
          <cell r="B378" t="str">
            <v>裂空·斩第2段</v>
          </cell>
          <cell r="C378" t="str">
            <v>裂空·斩第2段</v>
          </cell>
          <cell r="D378">
            <v>1</v>
          </cell>
          <cell r="E378">
            <v>35</v>
          </cell>
          <cell r="F378" t="str">
            <v>第19级，共造成141.7%点伤害</v>
          </cell>
          <cell r="G378">
            <v>2</v>
          </cell>
          <cell r="H378">
            <v>2</v>
          </cell>
          <cell r="I378">
            <v>19</v>
          </cell>
          <cell r="J378">
            <v>2</v>
          </cell>
          <cell r="K378">
            <v>141.66666666666669</v>
          </cell>
          <cell r="L378">
            <v>0</v>
          </cell>
          <cell r="M378">
            <v>6480</v>
          </cell>
          <cell r="N378">
            <v>8916</v>
          </cell>
          <cell r="O378">
            <v>4</v>
          </cell>
          <cell r="P378">
            <v>1</v>
          </cell>
          <cell r="Q378">
            <v>1</v>
          </cell>
          <cell r="R378">
            <v>8</v>
          </cell>
          <cell r="S378">
            <v>50</v>
          </cell>
          <cell r="T378">
            <v>119.04761904761905</v>
          </cell>
          <cell r="U378">
            <v>743</v>
          </cell>
          <cell r="V378">
            <v>119.04761904761905</v>
          </cell>
          <cell r="W378">
            <v>12</v>
          </cell>
          <cell r="X378">
            <v>130</v>
          </cell>
          <cell r="Y378">
            <v>18</v>
          </cell>
          <cell r="Z378">
            <v>5</v>
          </cell>
        </row>
        <row r="379">
          <cell r="A379">
            <v>9124220</v>
          </cell>
          <cell r="B379" t="str">
            <v>裂空·斩第2段</v>
          </cell>
          <cell r="C379" t="str">
            <v>裂空·斩第2段</v>
          </cell>
          <cell r="D379">
            <v>1</v>
          </cell>
          <cell r="E379">
            <v>37</v>
          </cell>
          <cell r="F379" t="str">
            <v>第20级，共造成142.9%点伤害</v>
          </cell>
          <cell r="G379">
            <v>2</v>
          </cell>
          <cell r="H379">
            <v>2</v>
          </cell>
          <cell r="I379">
            <v>20</v>
          </cell>
          <cell r="J379">
            <v>2</v>
          </cell>
          <cell r="K379">
            <v>142.85714285714286</v>
          </cell>
          <cell r="L379">
            <v>0</v>
          </cell>
          <cell r="M379">
            <v>6400</v>
          </cell>
          <cell r="N379">
            <v>10933</v>
          </cell>
          <cell r="O379">
            <v>4</v>
          </cell>
          <cell r="P379">
            <v>1</v>
          </cell>
          <cell r="Q379">
            <v>1</v>
          </cell>
          <cell r="R379">
            <v>8</v>
          </cell>
          <cell r="S379">
            <v>50</v>
          </cell>
          <cell r="T379">
            <v>119.04761904761905</v>
          </cell>
          <cell r="U379">
            <v>841</v>
          </cell>
          <cell r="V379">
            <v>119.04761904761905</v>
          </cell>
          <cell r="W379">
            <v>13</v>
          </cell>
          <cell r="X379">
            <v>143</v>
          </cell>
          <cell r="Y379">
            <v>18</v>
          </cell>
          <cell r="Z379">
            <v>6</v>
          </cell>
        </row>
        <row r="380">
          <cell r="A380">
            <v>9124221</v>
          </cell>
          <cell r="B380" t="str">
            <v>裂空·斩第2段</v>
          </cell>
          <cell r="C380" t="str">
            <v>裂空·斩第2段</v>
          </cell>
          <cell r="D380">
            <v>1</v>
          </cell>
          <cell r="E380">
            <v>38</v>
          </cell>
          <cell r="F380" t="str">
            <v>第21级，共造成144%点伤害</v>
          </cell>
          <cell r="G380">
            <v>2</v>
          </cell>
          <cell r="H380">
            <v>2</v>
          </cell>
          <cell r="I380">
            <v>21</v>
          </cell>
          <cell r="J380">
            <v>2</v>
          </cell>
          <cell r="K380">
            <v>144.04761904761904</v>
          </cell>
          <cell r="L380">
            <v>0</v>
          </cell>
          <cell r="M380">
            <v>6320</v>
          </cell>
          <cell r="N380">
            <v>11596</v>
          </cell>
          <cell r="O380">
            <v>4</v>
          </cell>
          <cell r="P380">
            <v>1</v>
          </cell>
          <cell r="Q380">
            <v>1</v>
          </cell>
          <cell r="R380">
            <v>8</v>
          </cell>
          <cell r="S380">
            <v>50</v>
          </cell>
          <cell r="T380">
            <v>119.04761904761905</v>
          </cell>
          <cell r="U380">
            <v>892</v>
          </cell>
          <cell r="V380">
            <v>119.04761904761905</v>
          </cell>
          <cell r="W380">
            <v>13</v>
          </cell>
          <cell r="X380">
            <v>156</v>
          </cell>
          <cell r="Y380">
            <v>18</v>
          </cell>
          <cell r="Z380">
            <v>6</v>
          </cell>
        </row>
        <row r="381">
          <cell r="A381">
            <v>9124222</v>
          </cell>
          <cell r="B381" t="str">
            <v>裂空·斩第2段</v>
          </cell>
          <cell r="C381" t="str">
            <v>裂空·斩第2段</v>
          </cell>
          <cell r="D381">
            <v>1</v>
          </cell>
          <cell r="E381">
            <v>40</v>
          </cell>
          <cell r="F381" t="str">
            <v>第22级，共造成145.2%点伤害</v>
          </cell>
          <cell r="G381">
            <v>2</v>
          </cell>
          <cell r="H381">
            <v>2</v>
          </cell>
          <cell r="I381">
            <v>22</v>
          </cell>
          <cell r="J381">
            <v>2</v>
          </cell>
          <cell r="K381">
            <v>145.23809523809524</v>
          </cell>
          <cell r="L381">
            <v>0</v>
          </cell>
          <cell r="M381">
            <v>6240</v>
          </cell>
          <cell r="N381">
            <v>13972</v>
          </cell>
          <cell r="O381">
            <v>4</v>
          </cell>
          <cell r="P381">
            <v>1</v>
          </cell>
          <cell r="Q381">
            <v>1</v>
          </cell>
          <cell r="R381">
            <v>8</v>
          </cell>
          <cell r="S381">
            <v>50</v>
          </cell>
          <cell r="T381">
            <v>119.04761904761905</v>
          </cell>
          <cell r="U381">
            <v>998</v>
          </cell>
          <cell r="V381">
            <v>119.04761904761905</v>
          </cell>
          <cell r="W381">
            <v>14</v>
          </cell>
          <cell r="X381">
            <v>170</v>
          </cell>
          <cell r="Y381">
            <v>18</v>
          </cell>
          <cell r="Z381">
            <v>6</v>
          </cell>
        </row>
        <row r="382">
          <cell r="A382">
            <v>9124223</v>
          </cell>
          <cell r="B382" t="str">
            <v>裂空·斩第2段</v>
          </cell>
          <cell r="C382" t="str">
            <v>裂空·斩第2段</v>
          </cell>
          <cell r="D382">
            <v>1</v>
          </cell>
          <cell r="E382">
            <v>41</v>
          </cell>
          <cell r="F382" t="str">
            <v>第23级，共造成146.4%点伤害</v>
          </cell>
          <cell r="G382">
            <v>2</v>
          </cell>
          <cell r="H382">
            <v>2</v>
          </cell>
          <cell r="I382">
            <v>23</v>
          </cell>
          <cell r="J382">
            <v>2</v>
          </cell>
          <cell r="K382">
            <v>146.42857142857144</v>
          </cell>
          <cell r="L382">
            <v>0</v>
          </cell>
          <cell r="M382">
            <v>6160</v>
          </cell>
          <cell r="N382">
            <v>15795</v>
          </cell>
          <cell r="O382">
            <v>4</v>
          </cell>
          <cell r="P382">
            <v>1</v>
          </cell>
          <cell r="Q382">
            <v>1</v>
          </cell>
          <cell r="R382">
            <v>8</v>
          </cell>
          <cell r="S382">
            <v>50</v>
          </cell>
          <cell r="T382">
            <v>119.04761904761905</v>
          </cell>
          <cell r="U382">
            <v>1053</v>
          </cell>
          <cell r="V382">
            <v>119.04761904761905</v>
          </cell>
          <cell r="W382">
            <v>15</v>
          </cell>
          <cell r="X382">
            <v>185</v>
          </cell>
          <cell r="Y382">
            <v>18</v>
          </cell>
          <cell r="Z382">
            <v>6</v>
          </cell>
        </row>
        <row r="383">
          <cell r="A383">
            <v>9124224</v>
          </cell>
          <cell r="B383" t="str">
            <v>裂空·斩第2段</v>
          </cell>
          <cell r="C383" t="str">
            <v>裂空·斩第2段</v>
          </cell>
          <cell r="D383">
            <v>1</v>
          </cell>
          <cell r="E383">
            <v>43</v>
          </cell>
          <cell r="F383" t="str">
            <v>第24级，共造成147.6%点伤害</v>
          </cell>
          <cell r="G383">
            <v>2</v>
          </cell>
          <cell r="H383">
            <v>2</v>
          </cell>
          <cell r="I383">
            <v>24</v>
          </cell>
          <cell r="J383">
            <v>2</v>
          </cell>
          <cell r="K383">
            <v>147.61904761904762</v>
          </cell>
          <cell r="L383">
            <v>0</v>
          </cell>
          <cell r="M383">
            <v>6080</v>
          </cell>
          <cell r="N383">
            <v>18672</v>
          </cell>
          <cell r="O383">
            <v>4</v>
          </cell>
          <cell r="P383">
            <v>1</v>
          </cell>
          <cell r="Q383">
            <v>1</v>
          </cell>
          <cell r="R383">
            <v>8</v>
          </cell>
          <cell r="S383">
            <v>50</v>
          </cell>
          <cell r="T383">
            <v>119.04761904761905</v>
          </cell>
          <cell r="U383">
            <v>1167</v>
          </cell>
          <cell r="V383">
            <v>119.04761904761905</v>
          </cell>
          <cell r="W383">
            <v>16</v>
          </cell>
          <cell r="X383">
            <v>201</v>
          </cell>
          <cell r="Y383">
            <v>18</v>
          </cell>
          <cell r="Z383">
            <v>7</v>
          </cell>
        </row>
        <row r="384">
          <cell r="A384">
            <v>9124225</v>
          </cell>
          <cell r="B384" t="str">
            <v>裂空·斩第2段</v>
          </cell>
          <cell r="C384" t="str">
            <v>裂空·斩第2段</v>
          </cell>
          <cell r="D384">
            <v>1</v>
          </cell>
          <cell r="E384">
            <v>44</v>
          </cell>
          <cell r="F384" t="str">
            <v>第25级，共造成148.8%点伤害</v>
          </cell>
          <cell r="G384">
            <v>2</v>
          </cell>
          <cell r="H384">
            <v>2</v>
          </cell>
          <cell r="I384">
            <v>25</v>
          </cell>
          <cell r="J384">
            <v>2</v>
          </cell>
          <cell r="K384">
            <v>148.80952380952382</v>
          </cell>
          <cell r="L384">
            <v>0</v>
          </cell>
          <cell r="M384">
            <v>6000</v>
          </cell>
          <cell r="N384">
            <v>22068</v>
          </cell>
          <cell r="O384">
            <v>4</v>
          </cell>
          <cell r="P384">
            <v>1</v>
          </cell>
          <cell r="Q384">
            <v>1</v>
          </cell>
          <cell r="R384">
            <v>8</v>
          </cell>
          <cell r="S384">
            <v>50</v>
          </cell>
          <cell r="T384">
            <v>119.04761904761905</v>
          </cell>
          <cell r="U384">
            <v>1226</v>
          </cell>
          <cell r="V384">
            <v>119.04761904761905</v>
          </cell>
          <cell r="W384">
            <v>18</v>
          </cell>
          <cell r="X384">
            <v>219</v>
          </cell>
          <cell r="Y384">
            <v>18</v>
          </cell>
          <cell r="Z384">
            <v>8</v>
          </cell>
        </row>
        <row r="385">
          <cell r="A385">
            <v>9124226</v>
          </cell>
          <cell r="B385" t="str">
            <v>裂空·斩第2段</v>
          </cell>
          <cell r="C385" t="str">
            <v>裂空·斩第2段</v>
          </cell>
          <cell r="D385">
            <v>1</v>
          </cell>
          <cell r="E385">
            <v>45</v>
          </cell>
          <cell r="F385" t="str">
            <v>第26级，共造成150%点伤害</v>
          </cell>
          <cell r="G385">
            <v>2</v>
          </cell>
          <cell r="H385">
            <v>2</v>
          </cell>
          <cell r="I385">
            <v>26</v>
          </cell>
          <cell r="J385">
            <v>2</v>
          </cell>
          <cell r="K385">
            <v>150</v>
          </cell>
          <cell r="L385">
            <v>0</v>
          </cell>
          <cell r="M385">
            <v>5920</v>
          </cell>
          <cell r="N385">
            <v>24453</v>
          </cell>
          <cell r="O385">
            <v>4</v>
          </cell>
          <cell r="P385">
            <v>1</v>
          </cell>
          <cell r="Q385">
            <v>1</v>
          </cell>
          <cell r="R385">
            <v>8</v>
          </cell>
          <cell r="S385">
            <v>50</v>
          </cell>
          <cell r="T385">
            <v>119.04761904761905</v>
          </cell>
          <cell r="U385">
            <v>1287</v>
          </cell>
          <cell r="V385">
            <v>119.04761904761905</v>
          </cell>
          <cell r="W385">
            <v>19</v>
          </cell>
          <cell r="X385">
            <v>238</v>
          </cell>
          <cell r="Y385">
            <v>18</v>
          </cell>
          <cell r="Z385">
            <v>8</v>
          </cell>
        </row>
        <row r="386">
          <cell r="A386">
            <v>9124227</v>
          </cell>
          <cell r="B386" t="str">
            <v>裂空·斩第2段</v>
          </cell>
          <cell r="C386" t="str">
            <v>裂空·斩第2段</v>
          </cell>
          <cell r="D386">
            <v>1</v>
          </cell>
          <cell r="E386">
            <v>47</v>
          </cell>
          <cell r="F386" t="str">
            <v>第27级，共造成151.2%点伤害</v>
          </cell>
          <cell r="G386">
            <v>2</v>
          </cell>
          <cell r="H386">
            <v>2</v>
          </cell>
          <cell r="I386">
            <v>27</v>
          </cell>
          <cell r="J386">
            <v>2</v>
          </cell>
          <cell r="K386">
            <v>151.1904761904762</v>
          </cell>
          <cell r="L386">
            <v>0</v>
          </cell>
          <cell r="M386">
            <v>5840</v>
          </cell>
          <cell r="N386">
            <v>28240</v>
          </cell>
          <cell r="O386">
            <v>4</v>
          </cell>
          <cell r="P386">
            <v>1</v>
          </cell>
          <cell r="Q386">
            <v>1</v>
          </cell>
          <cell r="R386">
            <v>8</v>
          </cell>
          <cell r="S386">
            <v>50</v>
          </cell>
          <cell r="T386">
            <v>119.04761904761905</v>
          </cell>
          <cell r="U386">
            <v>1412</v>
          </cell>
          <cell r="V386">
            <v>119.04761904761905</v>
          </cell>
          <cell r="W386">
            <v>20</v>
          </cell>
          <cell r="X386">
            <v>258</v>
          </cell>
          <cell r="Y386">
            <v>18</v>
          </cell>
          <cell r="Z386">
            <v>8</v>
          </cell>
        </row>
        <row r="387">
          <cell r="A387">
            <v>9124228</v>
          </cell>
          <cell r="B387" t="str">
            <v>裂空·斩第2段</v>
          </cell>
          <cell r="C387" t="str">
            <v>裂空·斩第2段</v>
          </cell>
          <cell r="D387">
            <v>1</v>
          </cell>
          <cell r="E387">
            <v>48</v>
          </cell>
          <cell r="F387" t="str">
            <v>第28级，共造成152.4%点伤害</v>
          </cell>
          <cell r="G387">
            <v>2</v>
          </cell>
          <cell r="H387">
            <v>2</v>
          </cell>
          <cell r="I387">
            <v>28</v>
          </cell>
          <cell r="J387">
            <v>2</v>
          </cell>
          <cell r="K387">
            <v>152.38095238095238</v>
          </cell>
          <cell r="L387">
            <v>0</v>
          </cell>
          <cell r="M387">
            <v>5760</v>
          </cell>
          <cell r="N387">
            <v>31017</v>
          </cell>
          <cell r="O387">
            <v>4</v>
          </cell>
          <cell r="P387">
            <v>1</v>
          </cell>
          <cell r="Q387">
            <v>1</v>
          </cell>
          <cell r="R387">
            <v>8</v>
          </cell>
          <cell r="S387">
            <v>50</v>
          </cell>
          <cell r="T387">
            <v>119.04761904761905</v>
          </cell>
          <cell r="U387">
            <v>1477</v>
          </cell>
          <cell r="V387">
            <v>119.04761904761905</v>
          </cell>
          <cell r="W387">
            <v>21</v>
          </cell>
          <cell r="X387">
            <v>279</v>
          </cell>
          <cell r="Y387">
            <v>18</v>
          </cell>
          <cell r="Z387">
            <v>9</v>
          </cell>
        </row>
        <row r="388">
          <cell r="A388">
            <v>9124229</v>
          </cell>
          <cell r="B388" t="str">
            <v>裂空·斩第2段</v>
          </cell>
          <cell r="C388" t="str">
            <v>裂空·斩第2段</v>
          </cell>
          <cell r="D388">
            <v>1</v>
          </cell>
          <cell r="E388">
            <v>50</v>
          </cell>
          <cell r="F388" t="str">
            <v>第29级，共造成153.6%点伤害</v>
          </cell>
          <cell r="G388">
            <v>2</v>
          </cell>
          <cell r="H388">
            <v>2</v>
          </cell>
          <cell r="I388">
            <v>29</v>
          </cell>
          <cell r="J388">
            <v>2</v>
          </cell>
          <cell r="K388">
            <v>153.57142857142858</v>
          </cell>
          <cell r="L388">
            <v>0</v>
          </cell>
          <cell r="M388">
            <v>5680</v>
          </cell>
          <cell r="N388">
            <v>37030</v>
          </cell>
          <cell r="O388">
            <v>4</v>
          </cell>
          <cell r="P388">
            <v>1</v>
          </cell>
          <cell r="Q388">
            <v>1</v>
          </cell>
          <cell r="R388">
            <v>8</v>
          </cell>
          <cell r="S388">
            <v>50</v>
          </cell>
          <cell r="T388">
            <v>119.04761904761905</v>
          </cell>
          <cell r="U388">
            <v>1610</v>
          </cell>
          <cell r="V388">
            <v>119.04761904761905</v>
          </cell>
          <cell r="W388">
            <v>23</v>
          </cell>
          <cell r="X388">
            <v>302</v>
          </cell>
          <cell r="Y388">
            <v>18</v>
          </cell>
          <cell r="Z388">
            <v>10</v>
          </cell>
        </row>
        <row r="389">
          <cell r="A389">
            <v>9124230</v>
          </cell>
          <cell r="B389" t="str">
            <v>裂空·斩第2段</v>
          </cell>
          <cell r="C389" t="str">
            <v>裂空·斩第2段</v>
          </cell>
          <cell r="D389">
            <v>1</v>
          </cell>
          <cell r="E389">
            <v>51</v>
          </cell>
          <cell r="F389" t="str">
            <v>第30级，共造成154.8%点伤害</v>
          </cell>
          <cell r="G389">
            <v>2</v>
          </cell>
          <cell r="H389">
            <v>2</v>
          </cell>
          <cell r="I389">
            <v>30</v>
          </cell>
          <cell r="J389">
            <v>2</v>
          </cell>
          <cell r="K389">
            <v>154.76190476190476</v>
          </cell>
          <cell r="L389">
            <v>0</v>
          </cell>
          <cell r="M389">
            <v>5600</v>
          </cell>
          <cell r="N389">
            <v>41975</v>
          </cell>
          <cell r="O389">
            <v>4</v>
          </cell>
          <cell r="P389">
            <v>1</v>
          </cell>
          <cell r="Q389">
            <v>1</v>
          </cell>
          <cell r="R389">
            <v>8</v>
          </cell>
          <cell r="S389">
            <v>50</v>
          </cell>
          <cell r="T389">
            <v>119.04761904761905</v>
          </cell>
          <cell r="U389">
            <v>1679</v>
          </cell>
          <cell r="V389">
            <v>119.04761904761905</v>
          </cell>
          <cell r="W389">
            <v>25</v>
          </cell>
          <cell r="X389">
            <v>327</v>
          </cell>
          <cell r="Y389">
            <v>18</v>
          </cell>
          <cell r="Z389">
            <v>10</v>
          </cell>
        </row>
        <row r="390">
          <cell r="A390">
            <v>9124231</v>
          </cell>
          <cell r="B390" t="str">
            <v>裂空·斩第2段</v>
          </cell>
          <cell r="C390" t="str">
            <v>裂空·斩第2段</v>
          </cell>
          <cell r="D390">
            <v>1</v>
          </cell>
          <cell r="E390">
            <v>53</v>
          </cell>
          <cell r="F390" t="str">
            <v>第31级，共造成156%点伤害</v>
          </cell>
          <cell r="G390">
            <v>2</v>
          </cell>
          <cell r="H390">
            <v>2</v>
          </cell>
          <cell r="I390">
            <v>31</v>
          </cell>
          <cell r="J390">
            <v>2</v>
          </cell>
          <cell r="K390">
            <v>155.95238095238096</v>
          </cell>
          <cell r="L390">
            <v>0</v>
          </cell>
          <cell r="M390">
            <v>5520</v>
          </cell>
          <cell r="N390">
            <v>47320</v>
          </cell>
          <cell r="O390">
            <v>4</v>
          </cell>
          <cell r="P390">
            <v>1</v>
          </cell>
          <cell r="Q390">
            <v>1</v>
          </cell>
          <cell r="R390">
            <v>8</v>
          </cell>
          <cell r="S390">
            <v>50</v>
          </cell>
          <cell r="T390">
            <v>119.04761904761905</v>
          </cell>
          <cell r="U390">
            <v>1820</v>
          </cell>
          <cell r="V390">
            <v>119.04761904761905</v>
          </cell>
          <cell r="W390">
            <v>26</v>
          </cell>
          <cell r="X390">
            <v>353</v>
          </cell>
          <cell r="Y390">
            <v>18</v>
          </cell>
          <cell r="Z390">
            <v>11</v>
          </cell>
        </row>
        <row r="391">
          <cell r="A391">
            <v>9124232</v>
          </cell>
          <cell r="B391" t="str">
            <v>裂空·斩第2段</v>
          </cell>
          <cell r="C391" t="str">
            <v>裂空·斩第2段</v>
          </cell>
          <cell r="D391">
            <v>1</v>
          </cell>
          <cell r="E391">
            <v>54</v>
          </cell>
          <cell r="F391" t="str">
            <v>第32级，共造成157.1%点伤害</v>
          </cell>
          <cell r="G391">
            <v>2</v>
          </cell>
          <cell r="H391">
            <v>2</v>
          </cell>
          <cell r="I391">
            <v>32</v>
          </cell>
          <cell r="J391">
            <v>2</v>
          </cell>
          <cell r="K391">
            <v>157.14285714285714</v>
          </cell>
          <cell r="L391">
            <v>0</v>
          </cell>
          <cell r="M391">
            <v>5440</v>
          </cell>
          <cell r="N391">
            <v>53004</v>
          </cell>
          <cell r="O391">
            <v>4</v>
          </cell>
          <cell r="P391">
            <v>1</v>
          </cell>
          <cell r="Q391">
            <v>1</v>
          </cell>
          <cell r="R391">
            <v>8</v>
          </cell>
          <cell r="S391">
            <v>50</v>
          </cell>
          <cell r="T391">
            <v>119.04761904761905</v>
          </cell>
          <cell r="U391">
            <v>1893</v>
          </cell>
          <cell r="V391">
            <v>119.04761904761905</v>
          </cell>
          <cell r="W391">
            <v>28</v>
          </cell>
          <cell r="X391">
            <v>381</v>
          </cell>
          <cell r="Y391">
            <v>18</v>
          </cell>
          <cell r="Z391">
            <v>12</v>
          </cell>
        </row>
        <row r="392">
          <cell r="A392">
            <v>9124233</v>
          </cell>
          <cell r="B392" t="str">
            <v>裂空·斩第2段</v>
          </cell>
          <cell r="C392" t="str">
            <v>裂空·斩第2段</v>
          </cell>
          <cell r="D392">
            <v>1</v>
          </cell>
          <cell r="E392">
            <v>56</v>
          </cell>
          <cell r="F392" t="str">
            <v>第33级，共造成158.3%点伤害</v>
          </cell>
          <cell r="G392">
            <v>2</v>
          </cell>
          <cell r="H392">
            <v>2</v>
          </cell>
          <cell r="I392">
            <v>33</v>
          </cell>
          <cell r="J392">
            <v>2</v>
          </cell>
          <cell r="K392">
            <v>158.33333333333334</v>
          </cell>
          <cell r="L392">
            <v>0</v>
          </cell>
          <cell r="M392">
            <v>5360</v>
          </cell>
          <cell r="N392">
            <v>61260</v>
          </cell>
          <cell r="O392">
            <v>4</v>
          </cell>
          <cell r="P392">
            <v>1</v>
          </cell>
          <cell r="Q392">
            <v>1</v>
          </cell>
          <cell r="R392">
            <v>8</v>
          </cell>
          <cell r="S392">
            <v>50</v>
          </cell>
          <cell r="T392">
            <v>119.04761904761905</v>
          </cell>
          <cell r="U392">
            <v>2042</v>
          </cell>
          <cell r="V392">
            <v>119.04761904761905</v>
          </cell>
          <cell r="W392">
            <v>30</v>
          </cell>
          <cell r="X392">
            <v>411</v>
          </cell>
          <cell r="Y392">
            <v>18</v>
          </cell>
          <cell r="Z392">
            <v>12</v>
          </cell>
        </row>
        <row r="393">
          <cell r="A393">
            <v>9124234</v>
          </cell>
          <cell r="B393" t="str">
            <v>裂空·斩第2段</v>
          </cell>
          <cell r="C393" t="str">
            <v>裂空·斩第2段</v>
          </cell>
          <cell r="D393">
            <v>1</v>
          </cell>
          <cell r="E393">
            <v>57</v>
          </cell>
          <cell r="F393" t="str">
            <v>第34级，共造成159.5%点伤害</v>
          </cell>
          <cell r="G393">
            <v>2</v>
          </cell>
          <cell r="H393">
            <v>2</v>
          </cell>
          <cell r="I393">
            <v>34</v>
          </cell>
          <cell r="J393">
            <v>2</v>
          </cell>
          <cell r="K393">
            <v>159.52380952380952</v>
          </cell>
          <cell r="L393">
            <v>0</v>
          </cell>
          <cell r="M393">
            <v>5280</v>
          </cell>
          <cell r="N393">
            <v>67808</v>
          </cell>
          <cell r="O393">
            <v>4</v>
          </cell>
          <cell r="P393">
            <v>1</v>
          </cell>
          <cell r="Q393">
            <v>1</v>
          </cell>
          <cell r="R393">
            <v>8</v>
          </cell>
          <cell r="S393">
            <v>50</v>
          </cell>
          <cell r="T393">
            <v>119.04761904761905</v>
          </cell>
          <cell r="U393">
            <v>2119</v>
          </cell>
          <cell r="V393">
            <v>119.04761904761905</v>
          </cell>
          <cell r="W393">
            <v>32</v>
          </cell>
          <cell r="X393">
            <v>443</v>
          </cell>
          <cell r="Y393">
            <v>18</v>
          </cell>
          <cell r="Z393">
            <v>13</v>
          </cell>
        </row>
        <row r="394">
          <cell r="A394">
            <v>9124235</v>
          </cell>
          <cell r="B394" t="str">
            <v>裂空·斩第2段</v>
          </cell>
          <cell r="C394" t="str">
            <v>裂空·斩第2段</v>
          </cell>
          <cell r="D394">
            <v>1</v>
          </cell>
          <cell r="E394">
            <v>58</v>
          </cell>
          <cell r="F394" t="str">
            <v>第35级，共造成160.7%点伤害</v>
          </cell>
          <cell r="G394">
            <v>2</v>
          </cell>
          <cell r="H394">
            <v>2</v>
          </cell>
          <cell r="I394">
            <v>35</v>
          </cell>
          <cell r="J394">
            <v>2</v>
          </cell>
          <cell r="K394">
            <v>160.71428571428572</v>
          </cell>
          <cell r="L394">
            <v>0</v>
          </cell>
          <cell r="M394">
            <v>5200</v>
          </cell>
          <cell r="N394">
            <v>74732</v>
          </cell>
          <cell r="O394">
            <v>4</v>
          </cell>
          <cell r="P394">
            <v>1</v>
          </cell>
          <cell r="Q394">
            <v>1</v>
          </cell>
          <cell r="R394">
            <v>8</v>
          </cell>
          <cell r="S394">
            <v>50</v>
          </cell>
          <cell r="T394">
            <v>119.04761904761905</v>
          </cell>
          <cell r="U394">
            <v>2198</v>
          </cell>
          <cell r="V394">
            <v>119.04761904761905</v>
          </cell>
          <cell r="W394">
            <v>34</v>
          </cell>
          <cell r="X394">
            <v>477</v>
          </cell>
          <cell r="Y394">
            <v>18</v>
          </cell>
          <cell r="Z394">
            <v>14</v>
          </cell>
        </row>
        <row r="395">
          <cell r="A395">
            <v>9124236</v>
          </cell>
          <cell r="B395" t="str">
            <v>裂空·斩第2段</v>
          </cell>
          <cell r="C395" t="str">
            <v>裂空·斩第2段</v>
          </cell>
          <cell r="D395">
            <v>1</v>
          </cell>
          <cell r="E395">
            <v>60</v>
          </cell>
          <cell r="F395" t="str">
            <v>第36级，共造成161.9%点伤害</v>
          </cell>
          <cell r="G395">
            <v>2</v>
          </cell>
          <cell r="H395">
            <v>2</v>
          </cell>
          <cell r="I395">
            <v>36</v>
          </cell>
          <cell r="J395">
            <v>2</v>
          </cell>
          <cell r="K395">
            <v>161.9047619047619</v>
          </cell>
          <cell r="L395">
            <v>0</v>
          </cell>
          <cell r="M395">
            <v>5120</v>
          </cell>
          <cell r="N395">
            <v>87246</v>
          </cell>
          <cell r="O395">
            <v>4</v>
          </cell>
          <cell r="P395">
            <v>1</v>
          </cell>
          <cell r="Q395">
            <v>1</v>
          </cell>
          <cell r="R395">
            <v>8</v>
          </cell>
          <cell r="S395">
            <v>50</v>
          </cell>
          <cell r="T395">
            <v>119.04761904761905</v>
          </cell>
          <cell r="U395">
            <v>2358</v>
          </cell>
          <cell r="V395">
            <v>119.04761904761905</v>
          </cell>
          <cell r="W395">
            <v>37</v>
          </cell>
          <cell r="X395">
            <v>514</v>
          </cell>
          <cell r="Y395">
            <v>18</v>
          </cell>
          <cell r="Z395">
            <v>15</v>
          </cell>
        </row>
        <row r="396">
          <cell r="A396">
            <v>9124237</v>
          </cell>
          <cell r="B396" t="str">
            <v>裂空·斩第2段</v>
          </cell>
          <cell r="C396" t="str">
            <v>裂空·斩第2段</v>
          </cell>
          <cell r="D396">
            <v>1</v>
          </cell>
          <cell r="E396">
            <v>61</v>
          </cell>
          <cell r="F396" t="str">
            <v>第37级，共造成163.1%点伤害</v>
          </cell>
          <cell r="G396">
            <v>2</v>
          </cell>
          <cell r="H396">
            <v>2</v>
          </cell>
          <cell r="I396">
            <v>37</v>
          </cell>
          <cell r="J396">
            <v>2</v>
          </cell>
          <cell r="K396">
            <v>163.0952380952381</v>
          </cell>
          <cell r="L396">
            <v>0</v>
          </cell>
          <cell r="M396">
            <v>5040</v>
          </cell>
          <cell r="N396">
            <v>95160</v>
          </cell>
          <cell r="O396">
            <v>4</v>
          </cell>
          <cell r="P396">
            <v>1</v>
          </cell>
          <cell r="Q396">
            <v>1</v>
          </cell>
          <cell r="R396">
            <v>8</v>
          </cell>
          <cell r="S396">
            <v>50</v>
          </cell>
          <cell r="T396">
            <v>119.04761904761905</v>
          </cell>
          <cell r="U396">
            <v>2440</v>
          </cell>
          <cell r="V396">
            <v>119.04761904761905</v>
          </cell>
          <cell r="W396">
            <v>39</v>
          </cell>
          <cell r="X396">
            <v>553</v>
          </cell>
          <cell r="Y396">
            <v>18</v>
          </cell>
          <cell r="Z396">
            <v>16</v>
          </cell>
        </row>
        <row r="397">
          <cell r="A397">
            <v>9124238</v>
          </cell>
          <cell r="B397" t="str">
            <v>裂空·斩第2段</v>
          </cell>
          <cell r="C397" t="str">
            <v>裂空·斩第2段</v>
          </cell>
          <cell r="D397">
            <v>1</v>
          </cell>
          <cell r="E397">
            <v>63</v>
          </cell>
          <cell r="F397" t="str">
            <v>第38级，共造成164.3%点伤害</v>
          </cell>
          <cell r="G397">
            <v>2</v>
          </cell>
          <cell r="H397">
            <v>2</v>
          </cell>
          <cell r="I397">
            <v>38</v>
          </cell>
          <cell r="J397">
            <v>2</v>
          </cell>
          <cell r="K397">
            <v>164.28571428571428</v>
          </cell>
          <cell r="L397">
            <v>0</v>
          </cell>
          <cell r="M397">
            <v>4960</v>
          </cell>
          <cell r="N397">
            <v>109578</v>
          </cell>
          <cell r="O397">
            <v>4</v>
          </cell>
          <cell r="P397">
            <v>1</v>
          </cell>
          <cell r="Q397">
            <v>1</v>
          </cell>
          <cell r="R397">
            <v>8</v>
          </cell>
          <cell r="S397">
            <v>50</v>
          </cell>
          <cell r="T397">
            <v>119.04761904761905</v>
          </cell>
          <cell r="U397">
            <v>2609</v>
          </cell>
          <cell r="V397">
            <v>119.04761904761905</v>
          </cell>
          <cell r="W397">
            <v>42</v>
          </cell>
          <cell r="X397">
            <v>595</v>
          </cell>
          <cell r="Y397">
            <v>18</v>
          </cell>
          <cell r="Z397">
            <v>17</v>
          </cell>
        </row>
        <row r="398">
          <cell r="A398">
            <v>9124239</v>
          </cell>
          <cell r="B398" t="str">
            <v>裂空·斩第2段</v>
          </cell>
          <cell r="C398" t="str">
            <v>裂空·斩第2段</v>
          </cell>
          <cell r="D398">
            <v>1</v>
          </cell>
          <cell r="E398">
            <v>64</v>
          </cell>
          <cell r="F398" t="str">
            <v>第39级，共造成165.5%点伤害</v>
          </cell>
          <cell r="G398">
            <v>2</v>
          </cell>
          <cell r="H398">
            <v>2</v>
          </cell>
          <cell r="I398">
            <v>39</v>
          </cell>
          <cell r="J398">
            <v>2</v>
          </cell>
          <cell r="K398">
            <v>165.47619047619048</v>
          </cell>
          <cell r="L398">
            <v>0</v>
          </cell>
          <cell r="M398">
            <v>4880</v>
          </cell>
          <cell r="N398">
            <v>121275</v>
          </cell>
          <cell r="O398">
            <v>4</v>
          </cell>
          <cell r="P398">
            <v>1</v>
          </cell>
          <cell r="Q398">
            <v>1</v>
          </cell>
          <cell r="R398">
            <v>8</v>
          </cell>
          <cell r="S398">
            <v>50</v>
          </cell>
          <cell r="T398">
            <v>119.04761904761905</v>
          </cell>
          <cell r="U398">
            <v>2695</v>
          </cell>
          <cell r="V398">
            <v>119.04761904761905</v>
          </cell>
          <cell r="W398">
            <v>45</v>
          </cell>
          <cell r="X398">
            <v>640</v>
          </cell>
          <cell r="Y398">
            <v>18</v>
          </cell>
          <cell r="Z398">
            <v>18</v>
          </cell>
        </row>
        <row r="399">
          <cell r="A399">
            <v>9124240</v>
          </cell>
          <cell r="B399" t="str">
            <v>裂空·斩第2段</v>
          </cell>
          <cell r="C399" t="str">
            <v>裂空·斩第2段</v>
          </cell>
          <cell r="D399">
            <v>1</v>
          </cell>
          <cell r="E399">
            <v>66</v>
          </cell>
          <cell r="F399" t="str">
            <v>第40级，共造成166.7%点伤害</v>
          </cell>
          <cell r="G399">
            <v>2</v>
          </cell>
          <cell r="H399">
            <v>2</v>
          </cell>
          <cell r="I399">
            <v>40</v>
          </cell>
          <cell r="J399">
            <v>2</v>
          </cell>
          <cell r="K399">
            <v>166.66666666666669</v>
          </cell>
          <cell r="L399">
            <v>0</v>
          </cell>
          <cell r="M399">
            <v>4800</v>
          </cell>
          <cell r="N399">
            <v>137856</v>
          </cell>
          <cell r="O399">
            <v>4</v>
          </cell>
          <cell r="P399">
            <v>1</v>
          </cell>
          <cell r="Q399">
            <v>1</v>
          </cell>
          <cell r="R399">
            <v>8</v>
          </cell>
          <cell r="S399">
            <v>50</v>
          </cell>
          <cell r="T399">
            <v>119.04761904761905</v>
          </cell>
          <cell r="U399">
            <v>2872</v>
          </cell>
          <cell r="V399">
            <v>119.04761904761905</v>
          </cell>
          <cell r="W399">
            <v>48</v>
          </cell>
          <cell r="X399">
            <v>688</v>
          </cell>
          <cell r="Y399">
            <v>18</v>
          </cell>
          <cell r="Z399">
            <v>20</v>
          </cell>
        </row>
        <row r="400">
          <cell r="A400">
            <v>9124241</v>
          </cell>
          <cell r="B400" t="str">
            <v>裂空·斩第2段</v>
          </cell>
          <cell r="C400" t="str">
            <v>裂空·斩第2段</v>
          </cell>
          <cell r="D400">
            <v>1</v>
          </cell>
          <cell r="E400">
            <v>67</v>
          </cell>
          <cell r="F400" t="str">
            <v>第41级，共造成167.9%点伤害</v>
          </cell>
          <cell r="G400">
            <v>2</v>
          </cell>
          <cell r="H400">
            <v>2</v>
          </cell>
          <cell r="I400">
            <v>41</v>
          </cell>
          <cell r="J400">
            <v>2</v>
          </cell>
          <cell r="K400">
            <v>167.85714285714286</v>
          </cell>
          <cell r="L400">
            <v>0</v>
          </cell>
          <cell r="M400">
            <v>4720</v>
          </cell>
          <cell r="N400">
            <v>151113</v>
          </cell>
          <cell r="O400">
            <v>4</v>
          </cell>
          <cell r="P400">
            <v>1</v>
          </cell>
          <cell r="Q400">
            <v>1</v>
          </cell>
          <cell r="R400">
            <v>8</v>
          </cell>
          <cell r="S400">
            <v>50</v>
          </cell>
          <cell r="T400">
            <v>119.04761904761905</v>
          </cell>
          <cell r="U400">
            <v>2963</v>
          </cell>
          <cell r="V400">
            <v>119.04761904761905</v>
          </cell>
          <cell r="W400">
            <v>51</v>
          </cell>
          <cell r="X400">
            <v>739</v>
          </cell>
          <cell r="Y400">
            <v>18</v>
          </cell>
          <cell r="Z400">
            <v>21</v>
          </cell>
        </row>
        <row r="401">
          <cell r="A401">
            <v>9124242</v>
          </cell>
          <cell r="B401" t="str">
            <v>裂空·斩第2段</v>
          </cell>
          <cell r="C401" t="str">
            <v>裂空·斩第2段</v>
          </cell>
          <cell r="D401">
            <v>1</v>
          </cell>
          <cell r="E401">
            <v>68</v>
          </cell>
          <cell r="F401" t="str">
            <v>第42级，共造成169%点伤害</v>
          </cell>
          <cell r="G401">
            <v>2</v>
          </cell>
          <cell r="H401">
            <v>2</v>
          </cell>
          <cell r="I401">
            <v>42</v>
          </cell>
          <cell r="J401">
            <v>2</v>
          </cell>
          <cell r="K401">
            <v>169.04761904761904</v>
          </cell>
          <cell r="L401">
            <v>0</v>
          </cell>
          <cell r="M401">
            <v>4640</v>
          </cell>
          <cell r="N401">
            <v>167970</v>
          </cell>
          <cell r="O401">
            <v>4</v>
          </cell>
          <cell r="P401">
            <v>1</v>
          </cell>
          <cell r="Q401">
            <v>1</v>
          </cell>
          <cell r="R401">
            <v>8</v>
          </cell>
          <cell r="S401">
            <v>50</v>
          </cell>
          <cell r="T401">
            <v>119.04761904761905</v>
          </cell>
          <cell r="U401">
            <v>3054</v>
          </cell>
          <cell r="V401">
            <v>119.04761904761905</v>
          </cell>
          <cell r="W401">
            <v>55</v>
          </cell>
          <cell r="X401">
            <v>794</v>
          </cell>
          <cell r="Y401">
            <v>18</v>
          </cell>
          <cell r="Z401">
            <v>22</v>
          </cell>
        </row>
        <row r="402">
          <cell r="A402">
            <v>9124243</v>
          </cell>
          <cell r="B402" t="str">
            <v>裂空·斩第2段</v>
          </cell>
          <cell r="C402" t="str">
            <v>裂空·斩第2段</v>
          </cell>
          <cell r="D402">
            <v>1</v>
          </cell>
          <cell r="E402">
            <v>70</v>
          </cell>
          <cell r="F402" t="str">
            <v>第43级，共造成170.2%点伤害</v>
          </cell>
          <cell r="G402">
            <v>2</v>
          </cell>
          <cell r="H402">
            <v>2</v>
          </cell>
          <cell r="I402">
            <v>43</v>
          </cell>
          <cell r="J402">
            <v>2</v>
          </cell>
          <cell r="K402">
            <v>170.23809523809524</v>
          </cell>
          <cell r="L402">
            <v>0</v>
          </cell>
          <cell r="M402">
            <v>4560</v>
          </cell>
          <cell r="N402">
            <v>191278</v>
          </cell>
          <cell r="O402">
            <v>4</v>
          </cell>
          <cell r="P402">
            <v>1</v>
          </cell>
          <cell r="Q402">
            <v>1</v>
          </cell>
          <cell r="R402">
            <v>8</v>
          </cell>
          <cell r="S402">
            <v>50</v>
          </cell>
          <cell r="T402">
            <v>119.04761904761905</v>
          </cell>
          <cell r="U402">
            <v>3242</v>
          </cell>
          <cell r="V402">
            <v>119.04761904761905</v>
          </cell>
          <cell r="W402">
            <v>59</v>
          </cell>
          <cell r="X402">
            <v>853</v>
          </cell>
          <cell r="Y402">
            <v>18</v>
          </cell>
          <cell r="Z402">
            <v>24</v>
          </cell>
        </row>
        <row r="403">
          <cell r="A403">
            <v>9124244</v>
          </cell>
          <cell r="B403" t="str">
            <v>裂空·斩第2段</v>
          </cell>
          <cell r="C403" t="str">
            <v>裂空·斩第2段</v>
          </cell>
          <cell r="D403">
            <v>1</v>
          </cell>
          <cell r="E403">
            <v>71</v>
          </cell>
          <cell r="F403" t="str">
            <v>第44级，共造成171.4%点伤害</v>
          </cell>
          <cell r="G403">
            <v>2</v>
          </cell>
          <cell r="H403">
            <v>2</v>
          </cell>
          <cell r="I403">
            <v>44</v>
          </cell>
          <cell r="J403">
            <v>2</v>
          </cell>
          <cell r="K403">
            <v>171.42857142857144</v>
          </cell>
          <cell r="L403">
            <v>0</v>
          </cell>
          <cell r="M403">
            <v>4480</v>
          </cell>
          <cell r="N403">
            <v>210294</v>
          </cell>
          <cell r="O403">
            <v>4</v>
          </cell>
          <cell r="P403">
            <v>1</v>
          </cell>
          <cell r="Q403">
            <v>1</v>
          </cell>
          <cell r="R403">
            <v>8</v>
          </cell>
          <cell r="S403">
            <v>50</v>
          </cell>
          <cell r="T403">
            <v>119.04761904761905</v>
          </cell>
          <cell r="U403">
            <v>3338</v>
          </cell>
          <cell r="V403">
            <v>119.04761904761905</v>
          </cell>
          <cell r="W403">
            <v>63</v>
          </cell>
          <cell r="X403">
            <v>916</v>
          </cell>
          <cell r="Y403">
            <v>18</v>
          </cell>
          <cell r="Z403">
            <v>26</v>
          </cell>
        </row>
        <row r="404">
          <cell r="A404">
            <v>9124245</v>
          </cell>
          <cell r="B404" t="str">
            <v>裂空·斩第2段</v>
          </cell>
          <cell r="C404" t="str">
            <v>裂空·斩第2段</v>
          </cell>
          <cell r="D404">
            <v>1</v>
          </cell>
          <cell r="E404">
            <v>73</v>
          </cell>
          <cell r="F404" t="str">
            <v>第45级，共造成172.6%点伤害</v>
          </cell>
          <cell r="G404">
            <v>2</v>
          </cell>
          <cell r="H404">
            <v>2</v>
          </cell>
          <cell r="I404">
            <v>45</v>
          </cell>
          <cell r="J404">
            <v>2</v>
          </cell>
          <cell r="K404">
            <v>172.61904761904762</v>
          </cell>
          <cell r="L404">
            <v>0</v>
          </cell>
          <cell r="M404">
            <v>4400</v>
          </cell>
          <cell r="N404">
            <v>240312</v>
          </cell>
          <cell r="O404">
            <v>4</v>
          </cell>
          <cell r="P404">
            <v>1</v>
          </cell>
          <cell r="Q404">
            <v>1</v>
          </cell>
          <cell r="R404">
            <v>8</v>
          </cell>
          <cell r="S404">
            <v>50</v>
          </cell>
          <cell r="T404">
            <v>119.04761904761905</v>
          </cell>
          <cell r="U404">
            <v>3534</v>
          </cell>
          <cell r="V404">
            <v>119.04761904761905</v>
          </cell>
          <cell r="W404">
            <v>68</v>
          </cell>
          <cell r="X404">
            <v>984</v>
          </cell>
          <cell r="Y404">
            <v>18</v>
          </cell>
          <cell r="Z404">
            <v>28</v>
          </cell>
        </row>
        <row r="405">
          <cell r="A405">
            <v>9124246</v>
          </cell>
          <cell r="B405" t="str">
            <v>裂空·斩第2段</v>
          </cell>
          <cell r="C405" t="str">
            <v>裂空·斩第2段</v>
          </cell>
          <cell r="D405">
            <v>1</v>
          </cell>
          <cell r="E405">
            <v>74</v>
          </cell>
          <cell r="F405" t="str">
            <v>第46级，共造成173.8%点伤害</v>
          </cell>
          <cell r="G405">
            <v>2</v>
          </cell>
          <cell r="H405">
            <v>2</v>
          </cell>
          <cell r="I405">
            <v>46</v>
          </cell>
          <cell r="J405">
            <v>2</v>
          </cell>
          <cell r="K405">
            <v>173.8095238095238</v>
          </cell>
          <cell r="L405">
            <v>0</v>
          </cell>
          <cell r="M405">
            <v>4320</v>
          </cell>
          <cell r="N405">
            <v>261648</v>
          </cell>
          <cell r="O405">
            <v>4</v>
          </cell>
          <cell r="P405">
            <v>1</v>
          </cell>
          <cell r="Q405">
            <v>1</v>
          </cell>
          <cell r="R405">
            <v>8</v>
          </cell>
          <cell r="S405">
            <v>50</v>
          </cell>
          <cell r="T405">
            <v>119.04761904761905</v>
          </cell>
          <cell r="U405">
            <v>3634</v>
          </cell>
          <cell r="V405">
            <v>119.04761904761905</v>
          </cell>
          <cell r="W405">
            <v>72</v>
          </cell>
          <cell r="X405">
            <v>1056</v>
          </cell>
          <cell r="Y405">
            <v>18</v>
          </cell>
          <cell r="Z405">
            <v>29</v>
          </cell>
        </row>
        <row r="406">
          <cell r="A406">
            <v>9124247</v>
          </cell>
          <cell r="B406" t="str">
            <v>裂空·斩第2段</v>
          </cell>
          <cell r="C406" t="str">
            <v>裂空·斩第2段</v>
          </cell>
          <cell r="D406">
            <v>1</v>
          </cell>
          <cell r="E406">
            <v>76</v>
          </cell>
          <cell r="F406" t="str">
            <v>第47级，共造成175%点伤害</v>
          </cell>
          <cell r="G406">
            <v>2</v>
          </cell>
          <cell r="H406">
            <v>2</v>
          </cell>
          <cell r="I406">
            <v>47</v>
          </cell>
          <cell r="J406">
            <v>2</v>
          </cell>
          <cell r="K406">
            <v>175</v>
          </cell>
          <cell r="L406">
            <v>0</v>
          </cell>
          <cell r="M406">
            <v>4240</v>
          </cell>
          <cell r="N406">
            <v>295526</v>
          </cell>
          <cell r="O406">
            <v>4</v>
          </cell>
          <cell r="P406">
            <v>1</v>
          </cell>
          <cell r="Q406">
            <v>1</v>
          </cell>
          <cell r="R406">
            <v>8</v>
          </cell>
          <cell r="S406">
            <v>50</v>
          </cell>
          <cell r="T406">
            <v>119.04761904761905</v>
          </cell>
          <cell r="U406">
            <v>3838</v>
          </cell>
          <cell r="V406">
            <v>119.04761904761905</v>
          </cell>
          <cell r="W406">
            <v>77</v>
          </cell>
          <cell r="X406">
            <v>1133</v>
          </cell>
          <cell r="Y406">
            <v>18</v>
          </cell>
          <cell r="Z406">
            <v>31</v>
          </cell>
        </row>
        <row r="407">
          <cell r="A407">
            <v>9124248</v>
          </cell>
          <cell r="B407" t="str">
            <v>裂空·斩第2段</v>
          </cell>
          <cell r="C407" t="str">
            <v>裂空·斩第2段</v>
          </cell>
          <cell r="D407">
            <v>1</v>
          </cell>
          <cell r="E407">
            <v>77</v>
          </cell>
          <cell r="F407" t="str">
            <v>第48级，共造成176.2%点伤害</v>
          </cell>
          <cell r="G407">
            <v>2</v>
          </cell>
          <cell r="H407">
            <v>2</v>
          </cell>
          <cell r="I407">
            <v>48</v>
          </cell>
          <cell r="J407">
            <v>2</v>
          </cell>
          <cell r="K407">
            <v>176.1904761904762</v>
          </cell>
          <cell r="L407">
            <v>0</v>
          </cell>
          <cell r="M407">
            <v>4160</v>
          </cell>
          <cell r="N407">
            <v>327186</v>
          </cell>
          <cell r="O407">
            <v>4</v>
          </cell>
          <cell r="P407">
            <v>1</v>
          </cell>
          <cell r="Q407">
            <v>1</v>
          </cell>
          <cell r="R407">
            <v>8</v>
          </cell>
          <cell r="S407">
            <v>50</v>
          </cell>
          <cell r="T407">
            <v>119.04761904761905</v>
          </cell>
          <cell r="U407">
            <v>3942</v>
          </cell>
          <cell r="V407">
            <v>119.04761904761905</v>
          </cell>
          <cell r="W407">
            <v>83</v>
          </cell>
          <cell r="X407">
            <v>1216</v>
          </cell>
          <cell r="Y407">
            <v>18</v>
          </cell>
          <cell r="Z407">
            <v>34</v>
          </cell>
        </row>
        <row r="408">
          <cell r="A408">
            <v>9124249</v>
          </cell>
          <cell r="B408" t="str">
            <v>裂空·斩第2段</v>
          </cell>
          <cell r="C408" t="str">
            <v>裂空·斩第2段</v>
          </cell>
          <cell r="D408">
            <v>1</v>
          </cell>
          <cell r="E408">
            <v>79</v>
          </cell>
          <cell r="F408" t="str">
            <v>第49级，共造成177.4%点伤害</v>
          </cell>
          <cell r="G408">
            <v>2</v>
          </cell>
          <cell r="H408">
            <v>2</v>
          </cell>
          <cell r="I408">
            <v>49</v>
          </cell>
          <cell r="J408">
            <v>2</v>
          </cell>
          <cell r="K408">
            <v>177.38095238095238</v>
          </cell>
          <cell r="L408">
            <v>0</v>
          </cell>
          <cell r="M408">
            <v>4080</v>
          </cell>
          <cell r="N408">
            <v>369706</v>
          </cell>
          <cell r="O408">
            <v>4</v>
          </cell>
          <cell r="P408">
            <v>1</v>
          </cell>
          <cell r="Q408">
            <v>1</v>
          </cell>
          <cell r="R408">
            <v>8</v>
          </cell>
          <cell r="S408">
            <v>50</v>
          </cell>
          <cell r="T408">
            <v>119.04761904761905</v>
          </cell>
          <cell r="U408">
            <v>4154</v>
          </cell>
          <cell r="V408">
            <v>119.04761904761905</v>
          </cell>
          <cell r="W408">
            <v>89</v>
          </cell>
          <cell r="X408">
            <v>1305</v>
          </cell>
          <cell r="Y408">
            <v>18</v>
          </cell>
          <cell r="Z408">
            <v>36</v>
          </cell>
        </row>
        <row r="409">
          <cell r="A409">
            <v>9124250</v>
          </cell>
          <cell r="B409" t="str">
            <v>裂空·斩第2段</v>
          </cell>
          <cell r="C409" t="str">
            <v>裂空·斩第2段</v>
          </cell>
          <cell r="D409">
            <v>1</v>
          </cell>
          <cell r="E409">
            <v>80</v>
          </cell>
          <cell r="F409" t="str">
            <v>第50级，共造成178.6%点伤害</v>
          </cell>
          <cell r="G409">
            <v>2</v>
          </cell>
          <cell r="H409">
            <v>2</v>
          </cell>
          <cell r="I409">
            <v>50</v>
          </cell>
          <cell r="J409">
            <v>2</v>
          </cell>
          <cell r="K409">
            <v>178.57142857142858</v>
          </cell>
          <cell r="L409">
            <v>0</v>
          </cell>
          <cell r="M409">
            <v>4000</v>
          </cell>
          <cell r="N409">
            <v>404890</v>
          </cell>
          <cell r="O409">
            <v>4</v>
          </cell>
          <cell r="P409">
            <v>1</v>
          </cell>
          <cell r="Q409">
            <v>1</v>
          </cell>
          <cell r="R409">
            <v>8</v>
          </cell>
          <cell r="S409">
            <v>50</v>
          </cell>
          <cell r="T409">
            <v>119.04761904761905</v>
          </cell>
          <cell r="U409">
            <v>4262</v>
          </cell>
          <cell r="V409">
            <v>119.04761904761905</v>
          </cell>
          <cell r="W409">
            <v>95</v>
          </cell>
          <cell r="X409">
            <v>1400</v>
          </cell>
          <cell r="Y409">
            <v>18</v>
          </cell>
          <cell r="Z409">
            <v>38</v>
          </cell>
        </row>
        <row r="410">
          <cell r="A410">
            <v>1</v>
          </cell>
          <cell r="B410" t="str">
            <v>裂空·斩</v>
          </cell>
          <cell r="C410" t="str">
            <v>裂空·斩第3段</v>
          </cell>
          <cell r="D410">
            <v>1</v>
          </cell>
          <cell r="E410">
            <v>6</v>
          </cell>
          <cell r="F410" t="str">
            <v>第0级，共造成119%点伤害</v>
          </cell>
          <cell r="G410">
            <v>0</v>
          </cell>
          <cell r="H410">
            <v>3</v>
          </cell>
          <cell r="I410">
            <v>0</v>
          </cell>
          <cell r="J410">
            <v>2</v>
          </cell>
          <cell r="K410">
            <v>29.761904761904763</v>
          </cell>
          <cell r="L410">
            <v>0</v>
          </cell>
          <cell r="M410">
            <v>8000</v>
          </cell>
          <cell r="N410">
            <v>0</v>
          </cell>
          <cell r="O410">
            <v>4</v>
          </cell>
          <cell r="P410">
            <v>4</v>
          </cell>
          <cell r="Q410">
            <v>1</v>
          </cell>
          <cell r="R410">
            <v>10</v>
          </cell>
          <cell r="S410">
            <v>50</v>
          </cell>
          <cell r="T410">
            <v>29.761904761904763</v>
          </cell>
          <cell r="U410">
            <v>80</v>
          </cell>
          <cell r="V410">
            <v>119.04761904761905</v>
          </cell>
          <cell r="W410">
            <v>0</v>
          </cell>
          <cell r="X410">
            <v>0</v>
          </cell>
          <cell r="Y410">
            <v>18</v>
          </cell>
          <cell r="Z410">
            <v>0</v>
          </cell>
        </row>
        <row r="411">
          <cell r="A411">
            <v>9124301</v>
          </cell>
          <cell r="B411" t="str">
            <v>裂空·斩第3段</v>
          </cell>
          <cell r="C411" t="str">
            <v>裂空·斩第3段</v>
          </cell>
          <cell r="D411">
            <v>1</v>
          </cell>
          <cell r="E411">
            <v>6</v>
          </cell>
          <cell r="F411" t="str">
            <v>第1级，共造成119%点伤害</v>
          </cell>
          <cell r="G411">
            <v>3</v>
          </cell>
          <cell r="H411">
            <v>3</v>
          </cell>
          <cell r="I411">
            <v>1</v>
          </cell>
          <cell r="J411">
            <v>2</v>
          </cell>
          <cell r="K411">
            <v>29.761904761904763</v>
          </cell>
          <cell r="L411">
            <v>0</v>
          </cell>
          <cell r="M411">
            <v>8000</v>
          </cell>
          <cell r="N411">
            <v>240</v>
          </cell>
          <cell r="O411">
            <v>4</v>
          </cell>
          <cell r="P411">
            <v>4</v>
          </cell>
          <cell r="Q411">
            <v>1</v>
          </cell>
          <cell r="R411">
            <v>10</v>
          </cell>
          <cell r="S411">
            <v>50</v>
          </cell>
          <cell r="T411">
            <v>29.761904761904763</v>
          </cell>
          <cell r="U411">
            <v>80</v>
          </cell>
          <cell r="V411">
            <v>119.04761904761905</v>
          </cell>
          <cell r="W411">
            <v>3</v>
          </cell>
          <cell r="X411">
            <v>3</v>
          </cell>
          <cell r="Y411">
            <v>18</v>
          </cell>
          <cell r="Z411">
            <v>0</v>
          </cell>
        </row>
        <row r="412">
          <cell r="A412">
            <v>9124302</v>
          </cell>
          <cell r="B412" t="str">
            <v>裂空·斩第3段</v>
          </cell>
          <cell r="C412" t="str">
            <v>裂空·斩第3段</v>
          </cell>
          <cell r="D412">
            <v>1</v>
          </cell>
          <cell r="E412">
            <v>13</v>
          </cell>
          <cell r="F412" t="str">
            <v>第2级，共造成121.4%点伤害</v>
          </cell>
          <cell r="G412">
            <v>3</v>
          </cell>
          <cell r="H412">
            <v>3</v>
          </cell>
          <cell r="I412">
            <v>2</v>
          </cell>
          <cell r="J412">
            <v>2</v>
          </cell>
          <cell r="K412">
            <v>30.357142857142858</v>
          </cell>
          <cell r="L412">
            <v>0</v>
          </cell>
          <cell r="M412">
            <v>7840</v>
          </cell>
          <cell r="N412">
            <v>488</v>
          </cell>
          <cell r="O412">
            <v>4</v>
          </cell>
          <cell r="P412">
            <v>4</v>
          </cell>
          <cell r="Q412">
            <v>1</v>
          </cell>
          <cell r="R412">
            <v>10</v>
          </cell>
          <cell r="S412">
            <v>50</v>
          </cell>
          <cell r="T412">
            <v>29.761904761904763</v>
          </cell>
          <cell r="U412">
            <v>122</v>
          </cell>
          <cell r="V412">
            <v>119.04761904761905</v>
          </cell>
          <cell r="W412">
            <v>4</v>
          </cell>
          <cell r="X412">
            <v>7</v>
          </cell>
          <cell r="Y412">
            <v>18</v>
          </cell>
          <cell r="Z412">
            <v>0</v>
          </cell>
        </row>
        <row r="413">
          <cell r="A413">
            <v>9124303</v>
          </cell>
          <cell r="B413" t="str">
            <v>裂空·斩第3段</v>
          </cell>
          <cell r="C413" t="str">
            <v>裂空·斩第3段</v>
          </cell>
          <cell r="D413">
            <v>1</v>
          </cell>
          <cell r="E413">
            <v>14</v>
          </cell>
          <cell r="F413" t="str">
            <v>第3级，共造成122.6%点伤害</v>
          </cell>
          <cell r="G413">
            <v>3</v>
          </cell>
          <cell r="H413">
            <v>3</v>
          </cell>
          <cell r="I413">
            <v>3</v>
          </cell>
          <cell r="J413">
            <v>2</v>
          </cell>
          <cell r="K413">
            <v>30.654761904761905</v>
          </cell>
          <cell r="L413">
            <v>0</v>
          </cell>
          <cell r="M413">
            <v>7760</v>
          </cell>
          <cell r="N413">
            <v>512</v>
          </cell>
          <cell r="O413">
            <v>4</v>
          </cell>
          <cell r="P413">
            <v>4</v>
          </cell>
          <cell r="Q413">
            <v>1</v>
          </cell>
          <cell r="R413">
            <v>10</v>
          </cell>
          <cell r="S413">
            <v>50</v>
          </cell>
          <cell r="T413">
            <v>29.761904761904763</v>
          </cell>
          <cell r="U413">
            <v>128</v>
          </cell>
          <cell r="V413">
            <v>119.04761904761905</v>
          </cell>
          <cell r="W413">
            <v>4</v>
          </cell>
          <cell r="X413">
            <v>11</v>
          </cell>
          <cell r="Y413">
            <v>18</v>
          </cell>
          <cell r="Z413">
            <v>0</v>
          </cell>
        </row>
        <row r="414">
          <cell r="A414">
            <v>9124304</v>
          </cell>
          <cell r="B414" t="str">
            <v>裂空·斩第3段</v>
          </cell>
          <cell r="C414" t="str">
            <v>裂空·斩第3段</v>
          </cell>
          <cell r="D414">
            <v>1</v>
          </cell>
          <cell r="E414">
            <v>16</v>
          </cell>
          <cell r="F414" t="str">
            <v>第4级，共造成123.8%点伤害</v>
          </cell>
          <cell r="G414">
            <v>3</v>
          </cell>
          <cell r="H414">
            <v>3</v>
          </cell>
          <cell r="I414">
            <v>4</v>
          </cell>
          <cell r="J414">
            <v>2</v>
          </cell>
          <cell r="K414">
            <v>30.952380952380953</v>
          </cell>
          <cell r="L414">
            <v>0</v>
          </cell>
          <cell r="M414">
            <v>7680</v>
          </cell>
          <cell r="N414">
            <v>560</v>
          </cell>
          <cell r="O414">
            <v>4</v>
          </cell>
          <cell r="P414">
            <v>4</v>
          </cell>
          <cell r="Q414">
            <v>1</v>
          </cell>
          <cell r="R414">
            <v>10</v>
          </cell>
          <cell r="S414">
            <v>50</v>
          </cell>
          <cell r="T414">
            <v>29.761904761904763</v>
          </cell>
          <cell r="U414">
            <v>140</v>
          </cell>
          <cell r="V414">
            <v>119.04761904761905</v>
          </cell>
          <cell r="W414">
            <v>4</v>
          </cell>
          <cell r="X414">
            <v>15</v>
          </cell>
          <cell r="Y414">
            <v>18</v>
          </cell>
          <cell r="Z414">
            <v>0</v>
          </cell>
        </row>
        <row r="415">
          <cell r="A415">
            <v>9124305</v>
          </cell>
          <cell r="B415" t="str">
            <v>裂空·斩第3段</v>
          </cell>
          <cell r="C415" t="str">
            <v>裂空·斩第3段</v>
          </cell>
          <cell r="D415">
            <v>1</v>
          </cell>
          <cell r="E415">
            <v>17</v>
          </cell>
          <cell r="F415" t="str">
            <v>第5级，共造成125%点伤害</v>
          </cell>
          <cell r="G415">
            <v>3</v>
          </cell>
          <cell r="H415">
            <v>3</v>
          </cell>
          <cell r="I415">
            <v>5</v>
          </cell>
          <cell r="J415">
            <v>2</v>
          </cell>
          <cell r="K415">
            <v>31.25</v>
          </cell>
          <cell r="L415">
            <v>0</v>
          </cell>
          <cell r="M415">
            <v>7600</v>
          </cell>
          <cell r="N415">
            <v>730</v>
          </cell>
          <cell r="O415">
            <v>4</v>
          </cell>
          <cell r="P415">
            <v>4</v>
          </cell>
          <cell r="Q415">
            <v>1</v>
          </cell>
          <cell r="R415">
            <v>10</v>
          </cell>
          <cell r="S415">
            <v>50</v>
          </cell>
          <cell r="T415">
            <v>29.761904761904763</v>
          </cell>
          <cell r="U415">
            <v>146</v>
          </cell>
          <cell r="V415">
            <v>119.04761904761905</v>
          </cell>
          <cell r="W415">
            <v>5</v>
          </cell>
          <cell r="X415">
            <v>20</v>
          </cell>
          <cell r="Y415">
            <v>18</v>
          </cell>
          <cell r="Z415">
            <v>0</v>
          </cell>
        </row>
        <row r="416">
          <cell r="A416">
            <v>9124306</v>
          </cell>
          <cell r="B416" t="str">
            <v>裂空·斩第3段</v>
          </cell>
          <cell r="C416" t="str">
            <v>裂空·斩第3段</v>
          </cell>
          <cell r="D416">
            <v>1</v>
          </cell>
          <cell r="E416">
            <v>18</v>
          </cell>
          <cell r="F416" t="str">
            <v>第6级，共造成126.2%点伤害</v>
          </cell>
          <cell r="G416">
            <v>3</v>
          </cell>
          <cell r="H416">
            <v>3</v>
          </cell>
          <cell r="I416">
            <v>6</v>
          </cell>
          <cell r="J416">
            <v>2</v>
          </cell>
          <cell r="K416">
            <v>31.547619047619047</v>
          </cell>
          <cell r="L416">
            <v>0</v>
          </cell>
          <cell r="M416">
            <v>7520</v>
          </cell>
          <cell r="N416">
            <v>760</v>
          </cell>
          <cell r="O416">
            <v>4</v>
          </cell>
          <cell r="P416">
            <v>4</v>
          </cell>
          <cell r="Q416">
            <v>1</v>
          </cell>
          <cell r="R416">
            <v>10</v>
          </cell>
          <cell r="S416">
            <v>50</v>
          </cell>
          <cell r="T416">
            <v>29.761904761904763</v>
          </cell>
          <cell r="U416">
            <v>152</v>
          </cell>
          <cell r="V416">
            <v>119.04761904761905</v>
          </cell>
          <cell r="W416">
            <v>5</v>
          </cell>
          <cell r="X416">
            <v>25</v>
          </cell>
          <cell r="Y416">
            <v>18</v>
          </cell>
          <cell r="Z416">
            <v>0</v>
          </cell>
        </row>
        <row r="417">
          <cell r="A417">
            <v>9124307</v>
          </cell>
          <cell r="B417" t="str">
            <v>裂空·斩第3段</v>
          </cell>
          <cell r="C417" t="str">
            <v>裂空·斩第3段</v>
          </cell>
          <cell r="D417">
            <v>1</v>
          </cell>
          <cell r="E417">
            <v>20</v>
          </cell>
          <cell r="F417" t="str">
            <v>第7级，共造成127.4%点伤害</v>
          </cell>
          <cell r="G417">
            <v>3</v>
          </cell>
          <cell r="H417">
            <v>3</v>
          </cell>
          <cell r="I417">
            <v>7</v>
          </cell>
          <cell r="J417">
            <v>2</v>
          </cell>
          <cell r="K417">
            <v>31.845238095238095</v>
          </cell>
          <cell r="L417">
            <v>0</v>
          </cell>
          <cell r="M417">
            <v>7440</v>
          </cell>
          <cell r="N417">
            <v>910</v>
          </cell>
          <cell r="O417">
            <v>4</v>
          </cell>
          <cell r="P417">
            <v>4</v>
          </cell>
          <cell r="Q417">
            <v>1</v>
          </cell>
          <cell r="R417">
            <v>10</v>
          </cell>
          <cell r="S417">
            <v>50</v>
          </cell>
          <cell r="T417">
            <v>29.761904761904763</v>
          </cell>
          <cell r="U417">
            <v>182</v>
          </cell>
          <cell r="V417">
            <v>119.04761904761905</v>
          </cell>
          <cell r="W417">
            <v>5</v>
          </cell>
          <cell r="X417">
            <v>30</v>
          </cell>
          <cell r="Y417">
            <v>18</v>
          </cell>
          <cell r="Z417">
            <v>0</v>
          </cell>
        </row>
        <row r="418">
          <cell r="A418">
            <v>9124308</v>
          </cell>
          <cell r="B418" t="str">
            <v>裂空·斩第3段</v>
          </cell>
          <cell r="C418" t="str">
            <v>裂空·斩第3段</v>
          </cell>
          <cell r="D418">
            <v>1</v>
          </cell>
          <cell r="E418">
            <v>21</v>
          </cell>
          <cell r="F418" t="str">
            <v>第8级，共造成128.6%点伤害</v>
          </cell>
          <cell r="G418">
            <v>3</v>
          </cell>
          <cell r="H418">
            <v>3</v>
          </cell>
          <cell r="I418">
            <v>8</v>
          </cell>
          <cell r="J418">
            <v>2</v>
          </cell>
          <cell r="K418">
            <v>32.142857142857146</v>
          </cell>
          <cell r="L418">
            <v>0</v>
          </cell>
          <cell r="M418">
            <v>7360</v>
          </cell>
          <cell r="N418">
            <v>1260</v>
          </cell>
          <cell r="O418">
            <v>4</v>
          </cell>
          <cell r="P418">
            <v>4</v>
          </cell>
          <cell r="Q418">
            <v>1</v>
          </cell>
          <cell r="R418">
            <v>10</v>
          </cell>
          <cell r="S418">
            <v>50</v>
          </cell>
          <cell r="T418">
            <v>29.761904761904763</v>
          </cell>
          <cell r="U418">
            <v>210</v>
          </cell>
          <cell r="V418">
            <v>119.04761904761905</v>
          </cell>
          <cell r="W418">
            <v>6</v>
          </cell>
          <cell r="X418">
            <v>36</v>
          </cell>
          <cell r="Y418">
            <v>18</v>
          </cell>
          <cell r="Z418">
            <v>0</v>
          </cell>
        </row>
        <row r="419">
          <cell r="A419">
            <v>9124309</v>
          </cell>
          <cell r="B419" t="str">
            <v>裂空·斩第3段</v>
          </cell>
          <cell r="C419" t="str">
            <v>裂空·斩第3段</v>
          </cell>
          <cell r="D419">
            <v>1</v>
          </cell>
          <cell r="E419">
            <v>23</v>
          </cell>
          <cell r="F419" t="str">
            <v>第9级，共造成129.8%点伤害</v>
          </cell>
          <cell r="G419">
            <v>3</v>
          </cell>
          <cell r="H419">
            <v>3</v>
          </cell>
          <cell r="I419">
            <v>9</v>
          </cell>
          <cell r="J419">
            <v>2</v>
          </cell>
          <cell r="K419">
            <v>32.44047619047619</v>
          </cell>
          <cell r="L419">
            <v>0</v>
          </cell>
          <cell r="M419">
            <v>7280</v>
          </cell>
          <cell r="N419">
            <v>1620</v>
          </cell>
          <cell r="O419">
            <v>4</v>
          </cell>
          <cell r="P419">
            <v>4</v>
          </cell>
          <cell r="Q419">
            <v>1</v>
          </cell>
          <cell r="R419">
            <v>10</v>
          </cell>
          <cell r="S419">
            <v>50</v>
          </cell>
          <cell r="T419">
            <v>29.761904761904763</v>
          </cell>
          <cell r="U419">
            <v>270</v>
          </cell>
          <cell r="V419">
            <v>119.04761904761905</v>
          </cell>
          <cell r="W419">
            <v>6</v>
          </cell>
          <cell r="X419">
            <v>42</v>
          </cell>
          <cell r="Y419">
            <v>18</v>
          </cell>
          <cell r="Z419">
            <v>0</v>
          </cell>
        </row>
        <row r="420">
          <cell r="A420">
            <v>9124310</v>
          </cell>
          <cell r="B420" t="str">
            <v>裂空·斩第3段</v>
          </cell>
          <cell r="C420" t="str">
            <v>裂空·斩第3段</v>
          </cell>
          <cell r="D420">
            <v>1</v>
          </cell>
          <cell r="E420">
            <v>24</v>
          </cell>
          <cell r="F420" t="str">
            <v>第10级，共造成131%点伤害</v>
          </cell>
          <cell r="G420">
            <v>3</v>
          </cell>
          <cell r="H420">
            <v>3</v>
          </cell>
          <cell r="I420">
            <v>10</v>
          </cell>
          <cell r="J420">
            <v>2</v>
          </cell>
          <cell r="K420">
            <v>32.738095238095241</v>
          </cell>
          <cell r="L420">
            <v>0</v>
          </cell>
          <cell r="M420">
            <v>7200</v>
          </cell>
          <cell r="N420">
            <v>1812</v>
          </cell>
          <cell r="O420">
            <v>4</v>
          </cell>
          <cell r="P420">
            <v>4</v>
          </cell>
          <cell r="Q420">
            <v>1</v>
          </cell>
          <cell r="R420">
            <v>10</v>
          </cell>
          <cell r="S420">
            <v>50</v>
          </cell>
          <cell r="T420">
            <v>29.761904761904763</v>
          </cell>
          <cell r="U420">
            <v>302</v>
          </cell>
          <cell r="V420">
            <v>119.04761904761905</v>
          </cell>
          <cell r="W420">
            <v>6</v>
          </cell>
          <cell r="X420">
            <v>48</v>
          </cell>
          <cell r="Y420">
            <v>18</v>
          </cell>
          <cell r="Z420">
            <v>0</v>
          </cell>
        </row>
        <row r="421">
          <cell r="A421">
            <v>9124311</v>
          </cell>
          <cell r="B421" t="str">
            <v>裂空·斩第3段</v>
          </cell>
          <cell r="C421" t="str">
            <v>裂空·斩第3段</v>
          </cell>
          <cell r="D421">
            <v>1</v>
          </cell>
          <cell r="E421">
            <v>25</v>
          </cell>
          <cell r="F421" t="str">
            <v>第11级，共造成132.1%点伤害</v>
          </cell>
          <cell r="G421">
            <v>3</v>
          </cell>
          <cell r="H421">
            <v>3</v>
          </cell>
          <cell r="I421">
            <v>11</v>
          </cell>
          <cell r="J421">
            <v>2</v>
          </cell>
          <cell r="K421">
            <v>33.035714285714285</v>
          </cell>
          <cell r="L421">
            <v>0</v>
          </cell>
          <cell r="M421">
            <v>7120</v>
          </cell>
          <cell r="N421">
            <v>2345</v>
          </cell>
          <cell r="O421">
            <v>4</v>
          </cell>
          <cell r="P421">
            <v>4</v>
          </cell>
          <cell r="Q421">
            <v>1</v>
          </cell>
          <cell r="R421">
            <v>10</v>
          </cell>
          <cell r="S421">
            <v>50</v>
          </cell>
          <cell r="T421">
            <v>29.761904761904763</v>
          </cell>
          <cell r="U421">
            <v>335</v>
          </cell>
          <cell r="V421">
            <v>119.04761904761905</v>
          </cell>
          <cell r="W421">
            <v>7</v>
          </cell>
          <cell r="X421">
            <v>55</v>
          </cell>
          <cell r="Y421">
            <v>18</v>
          </cell>
          <cell r="Z421">
            <v>0</v>
          </cell>
        </row>
        <row r="422">
          <cell r="A422">
            <v>9124312</v>
          </cell>
          <cell r="B422" t="str">
            <v>裂空·斩第3段</v>
          </cell>
          <cell r="C422" t="str">
            <v>裂空·斩第3段</v>
          </cell>
          <cell r="D422">
            <v>1</v>
          </cell>
          <cell r="E422">
            <v>27</v>
          </cell>
          <cell r="F422" t="str">
            <v>第12级，共造成133.3%点伤害</v>
          </cell>
          <cell r="G422">
            <v>3</v>
          </cell>
          <cell r="H422">
            <v>3</v>
          </cell>
          <cell r="I422">
            <v>12</v>
          </cell>
          <cell r="J422">
            <v>2</v>
          </cell>
          <cell r="K422">
            <v>33.333333333333336</v>
          </cell>
          <cell r="L422">
            <v>0</v>
          </cell>
          <cell r="M422">
            <v>7040</v>
          </cell>
          <cell r="N422">
            <v>2842</v>
          </cell>
          <cell r="O422">
            <v>4</v>
          </cell>
          <cell r="P422">
            <v>4</v>
          </cell>
          <cell r="Q422">
            <v>1</v>
          </cell>
          <cell r="R422">
            <v>10</v>
          </cell>
          <cell r="S422">
            <v>50</v>
          </cell>
          <cell r="T422">
            <v>29.761904761904763</v>
          </cell>
          <cell r="U422">
            <v>406</v>
          </cell>
          <cell r="V422">
            <v>119.04761904761905</v>
          </cell>
          <cell r="W422">
            <v>7</v>
          </cell>
          <cell r="X422">
            <v>62</v>
          </cell>
          <cell r="Y422">
            <v>18</v>
          </cell>
          <cell r="Z422">
            <v>0</v>
          </cell>
        </row>
        <row r="423">
          <cell r="A423">
            <v>9124313</v>
          </cell>
          <cell r="B423" t="str">
            <v>裂空·斩第3段</v>
          </cell>
          <cell r="C423" t="str">
            <v>裂空·斩第3段</v>
          </cell>
          <cell r="D423">
            <v>1</v>
          </cell>
          <cell r="E423">
            <v>28</v>
          </cell>
          <cell r="F423" t="str">
            <v>第13级，共造成134.5%点伤害</v>
          </cell>
          <cell r="G423">
            <v>3</v>
          </cell>
          <cell r="H423">
            <v>3</v>
          </cell>
          <cell r="I423">
            <v>13</v>
          </cell>
          <cell r="J423">
            <v>2</v>
          </cell>
          <cell r="K423">
            <v>33.63095238095238</v>
          </cell>
          <cell r="L423">
            <v>0</v>
          </cell>
          <cell r="M423">
            <v>6960</v>
          </cell>
          <cell r="N423">
            <v>3544</v>
          </cell>
          <cell r="O423">
            <v>4</v>
          </cell>
          <cell r="P423">
            <v>4</v>
          </cell>
          <cell r="Q423">
            <v>1</v>
          </cell>
          <cell r="R423">
            <v>10</v>
          </cell>
          <cell r="S423">
            <v>50</v>
          </cell>
          <cell r="T423">
            <v>29.761904761904763</v>
          </cell>
          <cell r="U423">
            <v>443</v>
          </cell>
          <cell r="V423">
            <v>119.04761904761905</v>
          </cell>
          <cell r="W423">
            <v>8</v>
          </cell>
          <cell r="X423">
            <v>70</v>
          </cell>
          <cell r="Y423">
            <v>18</v>
          </cell>
          <cell r="Z423">
            <v>0</v>
          </cell>
        </row>
        <row r="424">
          <cell r="A424">
            <v>9124314</v>
          </cell>
          <cell r="B424" t="str">
            <v>裂空·斩第3段</v>
          </cell>
          <cell r="C424" t="str">
            <v>裂空·斩第3段</v>
          </cell>
          <cell r="D424">
            <v>1</v>
          </cell>
          <cell r="E424">
            <v>30</v>
          </cell>
          <cell r="F424" t="str">
            <v>第14级，共造成135.7%点伤害</v>
          </cell>
          <cell r="G424">
            <v>3</v>
          </cell>
          <cell r="H424">
            <v>3</v>
          </cell>
          <cell r="I424">
            <v>14</v>
          </cell>
          <cell r="J424">
            <v>2</v>
          </cell>
          <cell r="K424">
            <v>33.928571428571431</v>
          </cell>
          <cell r="L424">
            <v>0</v>
          </cell>
          <cell r="M424">
            <v>6880</v>
          </cell>
          <cell r="N424">
            <v>4176</v>
          </cell>
          <cell r="O424">
            <v>4</v>
          </cell>
          <cell r="P424">
            <v>4</v>
          </cell>
          <cell r="Q424">
            <v>1</v>
          </cell>
          <cell r="R424">
            <v>10</v>
          </cell>
          <cell r="S424">
            <v>50</v>
          </cell>
          <cell r="T424">
            <v>29.761904761904763</v>
          </cell>
          <cell r="U424">
            <v>522</v>
          </cell>
          <cell r="V424">
            <v>119.04761904761905</v>
          </cell>
          <cell r="W424">
            <v>8</v>
          </cell>
          <cell r="X424">
            <v>78</v>
          </cell>
          <cell r="Y424">
            <v>18</v>
          </cell>
          <cell r="Z424">
            <v>0</v>
          </cell>
        </row>
        <row r="425">
          <cell r="A425">
            <v>9124315</v>
          </cell>
          <cell r="B425" t="str">
            <v>裂空·斩第3段</v>
          </cell>
          <cell r="C425" t="str">
            <v>裂空·斩第3段</v>
          </cell>
          <cell r="D425">
            <v>1</v>
          </cell>
          <cell r="E425">
            <v>31</v>
          </cell>
          <cell r="F425" t="str">
            <v>第15级，共造成136.9%点伤害</v>
          </cell>
          <cell r="G425">
            <v>3</v>
          </cell>
          <cell r="H425">
            <v>3</v>
          </cell>
          <cell r="I425">
            <v>15</v>
          </cell>
          <cell r="J425">
            <v>2</v>
          </cell>
          <cell r="K425">
            <v>34.226190476190474</v>
          </cell>
          <cell r="L425">
            <v>0</v>
          </cell>
          <cell r="M425">
            <v>6800</v>
          </cell>
          <cell r="N425">
            <v>5067</v>
          </cell>
          <cell r="O425">
            <v>4</v>
          </cell>
          <cell r="P425">
            <v>4</v>
          </cell>
          <cell r="Q425">
            <v>1</v>
          </cell>
          <cell r="R425">
            <v>10</v>
          </cell>
          <cell r="S425">
            <v>50</v>
          </cell>
          <cell r="T425">
            <v>29.761904761904763</v>
          </cell>
          <cell r="U425">
            <v>563</v>
          </cell>
          <cell r="V425">
            <v>119.04761904761905</v>
          </cell>
          <cell r="W425">
            <v>9</v>
          </cell>
          <cell r="X425">
            <v>87</v>
          </cell>
          <cell r="Y425">
            <v>18</v>
          </cell>
          <cell r="Z425">
            <v>0</v>
          </cell>
        </row>
        <row r="426">
          <cell r="A426">
            <v>9124316</v>
          </cell>
          <cell r="B426" t="str">
            <v>裂空·斩第3段</v>
          </cell>
          <cell r="C426" t="str">
            <v>裂空·斩第3段</v>
          </cell>
          <cell r="D426">
            <v>1</v>
          </cell>
          <cell r="E426">
            <v>32</v>
          </cell>
          <cell r="F426" t="str">
            <v>第16级，共造成138.1%点伤害</v>
          </cell>
          <cell r="G426">
            <v>3</v>
          </cell>
          <cell r="H426">
            <v>3</v>
          </cell>
          <cell r="I426">
            <v>16</v>
          </cell>
          <cell r="J426">
            <v>2</v>
          </cell>
          <cell r="K426">
            <v>34.523809523809526</v>
          </cell>
          <cell r="L426">
            <v>0</v>
          </cell>
          <cell r="M426">
            <v>6720</v>
          </cell>
          <cell r="N426">
            <v>6060</v>
          </cell>
          <cell r="O426">
            <v>4</v>
          </cell>
          <cell r="P426">
            <v>4</v>
          </cell>
          <cell r="Q426">
            <v>1</v>
          </cell>
          <cell r="R426">
            <v>10</v>
          </cell>
          <cell r="S426">
            <v>50</v>
          </cell>
          <cell r="T426">
            <v>29.761904761904763</v>
          </cell>
          <cell r="U426">
            <v>606</v>
          </cell>
          <cell r="V426">
            <v>119.04761904761905</v>
          </cell>
          <cell r="W426">
            <v>10</v>
          </cell>
          <cell r="X426">
            <v>97</v>
          </cell>
          <cell r="Y426">
            <v>18</v>
          </cell>
          <cell r="Z426">
            <v>0</v>
          </cell>
        </row>
        <row r="427">
          <cell r="A427">
            <v>9124317</v>
          </cell>
          <cell r="B427" t="str">
            <v>裂空·斩第3段</v>
          </cell>
          <cell r="C427" t="str">
            <v>裂空·斩第3段</v>
          </cell>
          <cell r="D427">
            <v>1</v>
          </cell>
          <cell r="E427">
            <v>34</v>
          </cell>
          <cell r="F427" t="str">
            <v>第17级，共造成139.3%点伤害</v>
          </cell>
          <cell r="G427">
            <v>3</v>
          </cell>
          <cell r="H427">
            <v>3</v>
          </cell>
          <cell r="I427">
            <v>17</v>
          </cell>
          <cell r="J427">
            <v>2</v>
          </cell>
          <cell r="K427">
            <v>34.821428571428569</v>
          </cell>
          <cell r="L427">
            <v>0</v>
          </cell>
          <cell r="M427">
            <v>6640</v>
          </cell>
          <cell r="N427">
            <v>6960</v>
          </cell>
          <cell r="O427">
            <v>4</v>
          </cell>
          <cell r="P427">
            <v>4</v>
          </cell>
          <cell r="Q427">
            <v>1</v>
          </cell>
          <cell r="R427">
            <v>10</v>
          </cell>
          <cell r="S427">
            <v>50</v>
          </cell>
          <cell r="T427">
            <v>29.761904761904763</v>
          </cell>
          <cell r="U427">
            <v>696</v>
          </cell>
          <cell r="V427">
            <v>119.04761904761905</v>
          </cell>
          <cell r="W427">
            <v>10</v>
          </cell>
          <cell r="X427">
            <v>107</v>
          </cell>
          <cell r="Y427">
            <v>18</v>
          </cell>
          <cell r="Z427">
            <v>0</v>
          </cell>
        </row>
        <row r="428">
          <cell r="A428">
            <v>9124318</v>
          </cell>
          <cell r="B428" t="str">
            <v>裂空·斩第3段</v>
          </cell>
          <cell r="C428" t="str">
            <v>裂空·斩第3段</v>
          </cell>
          <cell r="D428">
            <v>1</v>
          </cell>
          <cell r="E428">
            <v>35</v>
          </cell>
          <cell r="F428" t="str">
            <v>第18级，共造成140.5%点伤害</v>
          </cell>
          <cell r="G428">
            <v>3</v>
          </cell>
          <cell r="H428">
            <v>3</v>
          </cell>
          <cell r="I428">
            <v>18</v>
          </cell>
          <cell r="J428">
            <v>2</v>
          </cell>
          <cell r="K428">
            <v>35.11904761904762</v>
          </cell>
          <cell r="L428">
            <v>0</v>
          </cell>
          <cell r="M428">
            <v>6560</v>
          </cell>
          <cell r="N428">
            <v>8173</v>
          </cell>
          <cell r="O428">
            <v>4</v>
          </cell>
          <cell r="P428">
            <v>4</v>
          </cell>
          <cell r="Q428">
            <v>1</v>
          </cell>
          <cell r="R428">
            <v>10</v>
          </cell>
          <cell r="S428">
            <v>50</v>
          </cell>
          <cell r="T428">
            <v>29.761904761904763</v>
          </cell>
          <cell r="U428">
            <v>743</v>
          </cell>
          <cell r="V428">
            <v>119.04761904761905</v>
          </cell>
          <cell r="W428">
            <v>11</v>
          </cell>
          <cell r="X428">
            <v>118</v>
          </cell>
          <cell r="Y428">
            <v>18</v>
          </cell>
          <cell r="Z428">
            <v>5</v>
          </cell>
        </row>
        <row r="429">
          <cell r="A429">
            <v>9124319</v>
          </cell>
          <cell r="B429" t="str">
            <v>裂空·斩第3段</v>
          </cell>
          <cell r="C429" t="str">
            <v>裂空·斩第3段</v>
          </cell>
          <cell r="D429">
            <v>1</v>
          </cell>
          <cell r="E429">
            <v>37</v>
          </cell>
          <cell r="F429" t="str">
            <v>第19级，共造成141.7%点伤害</v>
          </cell>
          <cell r="G429">
            <v>3</v>
          </cell>
          <cell r="H429">
            <v>3</v>
          </cell>
          <cell r="I429">
            <v>19</v>
          </cell>
          <cell r="J429">
            <v>2</v>
          </cell>
          <cell r="K429">
            <v>35.416666666666671</v>
          </cell>
          <cell r="L429">
            <v>0</v>
          </cell>
          <cell r="M429">
            <v>6480</v>
          </cell>
          <cell r="N429">
            <v>10092</v>
          </cell>
          <cell r="O429">
            <v>4</v>
          </cell>
          <cell r="P429">
            <v>4</v>
          </cell>
          <cell r="Q429">
            <v>1</v>
          </cell>
          <cell r="R429">
            <v>10</v>
          </cell>
          <cell r="S429">
            <v>50</v>
          </cell>
          <cell r="T429">
            <v>29.761904761904763</v>
          </cell>
          <cell r="U429">
            <v>841</v>
          </cell>
          <cell r="V429">
            <v>119.04761904761905</v>
          </cell>
          <cell r="W429">
            <v>12</v>
          </cell>
          <cell r="X429">
            <v>130</v>
          </cell>
          <cell r="Y429">
            <v>18</v>
          </cell>
          <cell r="Z429">
            <v>5</v>
          </cell>
        </row>
        <row r="430">
          <cell r="A430">
            <v>9124320</v>
          </cell>
          <cell r="B430" t="str">
            <v>裂空·斩第3段</v>
          </cell>
          <cell r="C430" t="str">
            <v>裂空·斩第3段</v>
          </cell>
          <cell r="D430">
            <v>1</v>
          </cell>
          <cell r="E430">
            <v>38</v>
          </cell>
          <cell r="F430" t="str">
            <v>第20级，共造成142.9%点伤害</v>
          </cell>
          <cell r="G430">
            <v>3</v>
          </cell>
          <cell r="H430">
            <v>3</v>
          </cell>
          <cell r="I430">
            <v>20</v>
          </cell>
          <cell r="J430">
            <v>2</v>
          </cell>
          <cell r="K430">
            <v>35.714285714285715</v>
          </cell>
          <cell r="L430">
            <v>0</v>
          </cell>
          <cell r="M430">
            <v>6400</v>
          </cell>
          <cell r="N430">
            <v>11596</v>
          </cell>
          <cell r="O430">
            <v>4</v>
          </cell>
          <cell r="P430">
            <v>4</v>
          </cell>
          <cell r="Q430">
            <v>1</v>
          </cell>
          <cell r="R430">
            <v>10</v>
          </cell>
          <cell r="S430">
            <v>50</v>
          </cell>
          <cell r="T430">
            <v>29.761904761904763</v>
          </cell>
          <cell r="U430">
            <v>892</v>
          </cell>
          <cell r="V430">
            <v>119.04761904761905</v>
          </cell>
          <cell r="W430">
            <v>13</v>
          </cell>
          <cell r="X430">
            <v>143</v>
          </cell>
          <cell r="Y430">
            <v>18</v>
          </cell>
          <cell r="Z430">
            <v>6</v>
          </cell>
        </row>
        <row r="431">
          <cell r="A431">
            <v>9124321</v>
          </cell>
          <cell r="B431" t="str">
            <v>裂空·斩第3段</v>
          </cell>
          <cell r="C431" t="str">
            <v>裂空·斩第3段</v>
          </cell>
          <cell r="D431">
            <v>1</v>
          </cell>
          <cell r="E431">
            <v>39</v>
          </cell>
          <cell r="F431" t="str">
            <v>第21级，共造成144%点伤害</v>
          </cell>
          <cell r="G431">
            <v>3</v>
          </cell>
          <cell r="H431">
            <v>3</v>
          </cell>
          <cell r="I431">
            <v>21</v>
          </cell>
          <cell r="J431">
            <v>2</v>
          </cell>
          <cell r="K431">
            <v>36.011904761904759</v>
          </cell>
          <cell r="L431">
            <v>0</v>
          </cell>
          <cell r="M431">
            <v>6320</v>
          </cell>
          <cell r="N431">
            <v>12272</v>
          </cell>
          <cell r="O431">
            <v>4</v>
          </cell>
          <cell r="P431">
            <v>4</v>
          </cell>
          <cell r="Q431">
            <v>1</v>
          </cell>
          <cell r="R431">
            <v>10</v>
          </cell>
          <cell r="S431">
            <v>50</v>
          </cell>
          <cell r="T431">
            <v>29.761904761904763</v>
          </cell>
          <cell r="U431">
            <v>944</v>
          </cell>
          <cell r="V431">
            <v>119.04761904761905</v>
          </cell>
          <cell r="W431">
            <v>13</v>
          </cell>
          <cell r="X431">
            <v>156</v>
          </cell>
          <cell r="Y431">
            <v>18</v>
          </cell>
          <cell r="Z431">
            <v>6</v>
          </cell>
        </row>
        <row r="432">
          <cell r="A432">
            <v>9124322</v>
          </cell>
          <cell r="B432" t="str">
            <v>裂空·斩第3段</v>
          </cell>
          <cell r="C432" t="str">
            <v>裂空·斩第3段</v>
          </cell>
          <cell r="D432">
            <v>1</v>
          </cell>
          <cell r="E432">
            <v>41</v>
          </cell>
          <cell r="F432" t="str">
            <v>第22级，共造成145.2%点伤害</v>
          </cell>
          <cell r="G432">
            <v>3</v>
          </cell>
          <cell r="H432">
            <v>3</v>
          </cell>
          <cell r="I432">
            <v>22</v>
          </cell>
          <cell r="J432">
            <v>2</v>
          </cell>
          <cell r="K432">
            <v>36.30952380952381</v>
          </cell>
          <cell r="L432">
            <v>0</v>
          </cell>
          <cell r="M432">
            <v>6240</v>
          </cell>
          <cell r="N432">
            <v>14742</v>
          </cell>
          <cell r="O432">
            <v>4</v>
          </cell>
          <cell r="P432">
            <v>4</v>
          </cell>
          <cell r="Q432">
            <v>1</v>
          </cell>
          <cell r="R432">
            <v>10</v>
          </cell>
          <cell r="S432">
            <v>50</v>
          </cell>
          <cell r="T432">
            <v>29.761904761904763</v>
          </cell>
          <cell r="U432">
            <v>1053</v>
          </cell>
          <cell r="V432">
            <v>119.04761904761905</v>
          </cell>
          <cell r="W432">
            <v>14</v>
          </cell>
          <cell r="X432">
            <v>170</v>
          </cell>
          <cell r="Y432">
            <v>18</v>
          </cell>
          <cell r="Z432">
            <v>6</v>
          </cell>
        </row>
        <row r="433">
          <cell r="A433">
            <v>9124323</v>
          </cell>
          <cell r="B433" t="str">
            <v>裂空·斩第3段</v>
          </cell>
          <cell r="C433" t="str">
            <v>裂空·斩第3段</v>
          </cell>
          <cell r="D433">
            <v>1</v>
          </cell>
          <cell r="E433">
            <v>42</v>
          </cell>
          <cell r="F433" t="str">
            <v>第23级，共造成146.4%点伤害</v>
          </cell>
          <cell r="G433">
            <v>3</v>
          </cell>
          <cell r="H433">
            <v>3</v>
          </cell>
          <cell r="I433">
            <v>23</v>
          </cell>
          <cell r="J433">
            <v>2</v>
          </cell>
          <cell r="K433">
            <v>36.607142857142861</v>
          </cell>
          <cell r="L433">
            <v>0</v>
          </cell>
          <cell r="M433">
            <v>6160</v>
          </cell>
          <cell r="N433">
            <v>16650</v>
          </cell>
          <cell r="O433">
            <v>4</v>
          </cell>
          <cell r="P433">
            <v>4</v>
          </cell>
          <cell r="Q433">
            <v>1</v>
          </cell>
          <cell r="R433">
            <v>10</v>
          </cell>
          <cell r="S433">
            <v>50</v>
          </cell>
          <cell r="T433">
            <v>29.761904761904763</v>
          </cell>
          <cell r="U433">
            <v>1110</v>
          </cell>
          <cell r="V433">
            <v>119.04761904761905</v>
          </cell>
          <cell r="W433">
            <v>15</v>
          </cell>
          <cell r="X433">
            <v>185</v>
          </cell>
          <cell r="Y433">
            <v>18</v>
          </cell>
          <cell r="Z433">
            <v>6</v>
          </cell>
        </row>
        <row r="434">
          <cell r="A434">
            <v>9124324</v>
          </cell>
          <cell r="B434" t="str">
            <v>裂空·斩第3段</v>
          </cell>
          <cell r="C434" t="str">
            <v>裂空·斩第3段</v>
          </cell>
          <cell r="D434">
            <v>1</v>
          </cell>
          <cell r="E434">
            <v>44</v>
          </cell>
          <cell r="F434" t="str">
            <v>第24级，共造成147.6%点伤害</v>
          </cell>
          <cell r="G434">
            <v>3</v>
          </cell>
          <cell r="H434">
            <v>3</v>
          </cell>
          <cell r="I434">
            <v>24</v>
          </cell>
          <cell r="J434">
            <v>2</v>
          </cell>
          <cell r="K434">
            <v>36.904761904761905</v>
          </cell>
          <cell r="L434">
            <v>0</v>
          </cell>
          <cell r="M434">
            <v>6080</v>
          </cell>
          <cell r="N434">
            <v>19616</v>
          </cell>
          <cell r="O434">
            <v>4</v>
          </cell>
          <cell r="P434">
            <v>4</v>
          </cell>
          <cell r="Q434">
            <v>1</v>
          </cell>
          <cell r="R434">
            <v>10</v>
          </cell>
          <cell r="S434">
            <v>50</v>
          </cell>
          <cell r="T434">
            <v>29.761904761904763</v>
          </cell>
          <cell r="U434">
            <v>1226</v>
          </cell>
          <cell r="V434">
            <v>119.04761904761905</v>
          </cell>
          <cell r="W434">
            <v>16</v>
          </cell>
          <cell r="X434">
            <v>201</v>
          </cell>
          <cell r="Y434">
            <v>18</v>
          </cell>
          <cell r="Z434">
            <v>7</v>
          </cell>
        </row>
        <row r="435">
          <cell r="A435">
            <v>9124325</v>
          </cell>
          <cell r="B435" t="str">
            <v>裂空·斩第3段</v>
          </cell>
          <cell r="C435" t="str">
            <v>裂空·斩第3段</v>
          </cell>
          <cell r="D435">
            <v>1</v>
          </cell>
          <cell r="E435">
            <v>45</v>
          </cell>
          <cell r="F435" t="str">
            <v>第25级，共造成148.8%点伤害</v>
          </cell>
          <cell r="G435">
            <v>3</v>
          </cell>
          <cell r="H435">
            <v>3</v>
          </cell>
          <cell r="I435">
            <v>25</v>
          </cell>
          <cell r="J435">
            <v>2</v>
          </cell>
          <cell r="K435">
            <v>37.202380952380956</v>
          </cell>
          <cell r="L435">
            <v>0</v>
          </cell>
          <cell r="M435">
            <v>6000</v>
          </cell>
          <cell r="N435">
            <v>23166</v>
          </cell>
          <cell r="O435">
            <v>4</v>
          </cell>
          <cell r="P435">
            <v>4</v>
          </cell>
          <cell r="Q435">
            <v>1</v>
          </cell>
          <cell r="R435">
            <v>10</v>
          </cell>
          <cell r="S435">
            <v>50</v>
          </cell>
          <cell r="T435">
            <v>29.761904761904763</v>
          </cell>
          <cell r="U435">
            <v>1287</v>
          </cell>
          <cell r="V435">
            <v>119.04761904761905</v>
          </cell>
          <cell r="W435">
            <v>18</v>
          </cell>
          <cell r="X435">
            <v>219</v>
          </cell>
          <cell r="Y435">
            <v>18</v>
          </cell>
          <cell r="Z435">
            <v>8</v>
          </cell>
        </row>
        <row r="436">
          <cell r="A436">
            <v>9124326</v>
          </cell>
          <cell r="B436" t="str">
            <v>裂空·斩第3段</v>
          </cell>
          <cell r="C436" t="str">
            <v>裂空·斩第3段</v>
          </cell>
          <cell r="D436">
            <v>1</v>
          </cell>
          <cell r="E436">
            <v>46</v>
          </cell>
          <cell r="F436" t="str">
            <v>第26级，共造成150%点伤害</v>
          </cell>
          <cell r="G436">
            <v>3</v>
          </cell>
          <cell r="H436">
            <v>3</v>
          </cell>
          <cell r="I436">
            <v>26</v>
          </cell>
          <cell r="J436">
            <v>2</v>
          </cell>
          <cell r="K436">
            <v>37.5</v>
          </cell>
          <cell r="L436">
            <v>0</v>
          </cell>
          <cell r="M436">
            <v>5920</v>
          </cell>
          <cell r="N436">
            <v>25631</v>
          </cell>
          <cell r="O436">
            <v>4</v>
          </cell>
          <cell r="P436">
            <v>4</v>
          </cell>
          <cell r="Q436">
            <v>1</v>
          </cell>
          <cell r="R436">
            <v>10</v>
          </cell>
          <cell r="S436">
            <v>50</v>
          </cell>
          <cell r="T436">
            <v>29.761904761904763</v>
          </cell>
          <cell r="U436">
            <v>1349</v>
          </cell>
          <cell r="V436">
            <v>119.04761904761905</v>
          </cell>
          <cell r="W436">
            <v>19</v>
          </cell>
          <cell r="X436">
            <v>238</v>
          </cell>
          <cell r="Y436">
            <v>18</v>
          </cell>
          <cell r="Z436">
            <v>8</v>
          </cell>
        </row>
        <row r="437">
          <cell r="A437">
            <v>9124327</v>
          </cell>
          <cell r="B437" t="str">
            <v>裂空·斩第3段</v>
          </cell>
          <cell r="C437" t="str">
            <v>裂空·斩第3段</v>
          </cell>
          <cell r="D437">
            <v>1</v>
          </cell>
          <cell r="E437">
            <v>48</v>
          </cell>
          <cell r="F437" t="str">
            <v>第27级，共造成151.2%点伤害</v>
          </cell>
          <cell r="G437">
            <v>3</v>
          </cell>
          <cell r="H437">
            <v>3</v>
          </cell>
          <cell r="I437">
            <v>27</v>
          </cell>
          <cell r="J437">
            <v>2</v>
          </cell>
          <cell r="K437">
            <v>37.797619047619051</v>
          </cell>
          <cell r="L437">
            <v>0</v>
          </cell>
          <cell r="M437">
            <v>5840</v>
          </cell>
          <cell r="N437">
            <v>29540</v>
          </cell>
          <cell r="O437">
            <v>4</v>
          </cell>
          <cell r="P437">
            <v>4</v>
          </cell>
          <cell r="Q437">
            <v>1</v>
          </cell>
          <cell r="R437">
            <v>10</v>
          </cell>
          <cell r="S437">
            <v>50</v>
          </cell>
          <cell r="T437">
            <v>29.761904761904763</v>
          </cell>
          <cell r="U437">
            <v>1477</v>
          </cell>
          <cell r="V437">
            <v>119.04761904761905</v>
          </cell>
          <cell r="W437">
            <v>20</v>
          </cell>
          <cell r="X437">
            <v>258</v>
          </cell>
          <cell r="Y437">
            <v>18</v>
          </cell>
          <cell r="Z437">
            <v>8</v>
          </cell>
        </row>
        <row r="438">
          <cell r="A438">
            <v>9124328</v>
          </cell>
          <cell r="B438" t="str">
            <v>裂空·斩第3段</v>
          </cell>
          <cell r="C438" t="str">
            <v>裂空·斩第3段</v>
          </cell>
          <cell r="D438">
            <v>1</v>
          </cell>
          <cell r="E438">
            <v>49</v>
          </cell>
          <cell r="F438" t="str">
            <v>第28级，共造成152.4%点伤害</v>
          </cell>
          <cell r="G438">
            <v>3</v>
          </cell>
          <cell r="H438">
            <v>3</v>
          </cell>
          <cell r="I438">
            <v>28</v>
          </cell>
          <cell r="J438">
            <v>2</v>
          </cell>
          <cell r="K438">
            <v>38.095238095238095</v>
          </cell>
          <cell r="L438">
            <v>0</v>
          </cell>
          <cell r="M438">
            <v>5760</v>
          </cell>
          <cell r="N438">
            <v>32403</v>
          </cell>
          <cell r="O438">
            <v>4</v>
          </cell>
          <cell r="P438">
            <v>4</v>
          </cell>
          <cell r="Q438">
            <v>1</v>
          </cell>
          <cell r="R438">
            <v>10</v>
          </cell>
          <cell r="S438">
            <v>50</v>
          </cell>
          <cell r="T438">
            <v>29.761904761904763</v>
          </cell>
          <cell r="U438">
            <v>1543</v>
          </cell>
          <cell r="V438">
            <v>119.04761904761905</v>
          </cell>
          <cell r="W438">
            <v>21</v>
          </cell>
          <cell r="X438">
            <v>279</v>
          </cell>
          <cell r="Y438">
            <v>18</v>
          </cell>
          <cell r="Z438">
            <v>9</v>
          </cell>
        </row>
        <row r="439">
          <cell r="A439">
            <v>9124329</v>
          </cell>
          <cell r="B439" t="str">
            <v>裂空·斩第3段</v>
          </cell>
          <cell r="C439" t="str">
            <v>裂空·斩第3段</v>
          </cell>
          <cell r="D439">
            <v>1</v>
          </cell>
          <cell r="E439">
            <v>51</v>
          </cell>
          <cell r="F439" t="str">
            <v>第29级，共造成153.6%点伤害</v>
          </cell>
          <cell r="G439">
            <v>3</v>
          </cell>
          <cell r="H439">
            <v>3</v>
          </cell>
          <cell r="I439">
            <v>29</v>
          </cell>
          <cell r="J439">
            <v>2</v>
          </cell>
          <cell r="K439">
            <v>38.392857142857146</v>
          </cell>
          <cell r="L439">
            <v>0</v>
          </cell>
          <cell r="M439">
            <v>5680</v>
          </cell>
          <cell r="N439">
            <v>38617</v>
          </cell>
          <cell r="O439">
            <v>4</v>
          </cell>
          <cell r="P439">
            <v>4</v>
          </cell>
          <cell r="Q439">
            <v>1</v>
          </cell>
          <cell r="R439">
            <v>10</v>
          </cell>
          <cell r="S439">
            <v>50</v>
          </cell>
          <cell r="T439">
            <v>29.761904761904763</v>
          </cell>
          <cell r="U439">
            <v>1679</v>
          </cell>
          <cell r="V439">
            <v>119.04761904761905</v>
          </cell>
          <cell r="W439">
            <v>23</v>
          </cell>
          <cell r="X439">
            <v>302</v>
          </cell>
          <cell r="Y439">
            <v>18</v>
          </cell>
          <cell r="Z439">
            <v>10</v>
          </cell>
        </row>
        <row r="440">
          <cell r="A440">
            <v>9124330</v>
          </cell>
          <cell r="B440" t="str">
            <v>裂空·斩第3段</v>
          </cell>
          <cell r="C440" t="str">
            <v>裂空·斩第3段</v>
          </cell>
          <cell r="D440">
            <v>1</v>
          </cell>
          <cell r="E440">
            <v>52</v>
          </cell>
          <cell r="F440" t="str">
            <v>第30级，共造成154.8%点伤害</v>
          </cell>
          <cell r="G440">
            <v>3</v>
          </cell>
          <cell r="H440">
            <v>3</v>
          </cell>
          <cell r="I440">
            <v>30</v>
          </cell>
          <cell r="J440">
            <v>2</v>
          </cell>
          <cell r="K440">
            <v>38.69047619047619</v>
          </cell>
          <cell r="L440">
            <v>0</v>
          </cell>
          <cell r="M440">
            <v>5600</v>
          </cell>
          <cell r="N440">
            <v>43725</v>
          </cell>
          <cell r="O440">
            <v>4</v>
          </cell>
          <cell r="P440">
            <v>4</v>
          </cell>
          <cell r="Q440">
            <v>1</v>
          </cell>
          <cell r="R440">
            <v>10</v>
          </cell>
          <cell r="S440">
            <v>50</v>
          </cell>
          <cell r="T440">
            <v>29.761904761904763</v>
          </cell>
          <cell r="U440">
            <v>1749</v>
          </cell>
          <cell r="V440">
            <v>119.04761904761905</v>
          </cell>
          <cell r="W440">
            <v>25</v>
          </cell>
          <cell r="X440">
            <v>327</v>
          </cell>
          <cell r="Y440">
            <v>18</v>
          </cell>
          <cell r="Z440">
            <v>10</v>
          </cell>
        </row>
        <row r="441">
          <cell r="A441">
            <v>9124331</v>
          </cell>
          <cell r="B441" t="str">
            <v>裂空·斩第3段</v>
          </cell>
          <cell r="C441" t="str">
            <v>裂空·斩第3段</v>
          </cell>
          <cell r="D441">
            <v>1</v>
          </cell>
          <cell r="E441">
            <v>53</v>
          </cell>
          <cell r="F441" t="str">
            <v>第31级，共造成156%点伤害</v>
          </cell>
          <cell r="G441">
            <v>3</v>
          </cell>
          <cell r="H441">
            <v>3</v>
          </cell>
          <cell r="I441">
            <v>31</v>
          </cell>
          <cell r="J441">
            <v>2</v>
          </cell>
          <cell r="K441">
            <v>38.988095238095241</v>
          </cell>
          <cell r="L441">
            <v>0</v>
          </cell>
          <cell r="M441">
            <v>5520</v>
          </cell>
          <cell r="N441">
            <v>47320</v>
          </cell>
          <cell r="O441">
            <v>4</v>
          </cell>
          <cell r="P441">
            <v>4</v>
          </cell>
          <cell r="Q441">
            <v>1</v>
          </cell>
          <cell r="R441">
            <v>10</v>
          </cell>
          <cell r="S441">
            <v>50</v>
          </cell>
          <cell r="T441">
            <v>29.761904761904763</v>
          </cell>
          <cell r="U441">
            <v>1820</v>
          </cell>
          <cell r="V441">
            <v>119.04761904761905</v>
          </cell>
          <cell r="W441">
            <v>26</v>
          </cell>
          <cell r="X441">
            <v>353</v>
          </cell>
          <cell r="Y441">
            <v>18</v>
          </cell>
          <cell r="Z441">
            <v>11</v>
          </cell>
        </row>
        <row r="442">
          <cell r="A442">
            <v>9124332</v>
          </cell>
          <cell r="B442" t="str">
            <v>裂空·斩第3段</v>
          </cell>
          <cell r="C442" t="str">
            <v>裂空·斩第3段</v>
          </cell>
          <cell r="D442">
            <v>1</v>
          </cell>
          <cell r="E442">
            <v>55</v>
          </cell>
          <cell r="F442" t="str">
            <v>第32级，共造成157.1%点伤害</v>
          </cell>
          <cell r="G442">
            <v>3</v>
          </cell>
          <cell r="H442">
            <v>3</v>
          </cell>
          <cell r="I442">
            <v>32</v>
          </cell>
          <cell r="J442">
            <v>2</v>
          </cell>
          <cell r="K442">
            <v>39.285714285714285</v>
          </cell>
          <cell r="L442">
            <v>0</v>
          </cell>
          <cell r="M442">
            <v>5440</v>
          </cell>
          <cell r="N442">
            <v>55076</v>
          </cell>
          <cell r="O442">
            <v>4</v>
          </cell>
          <cell r="P442">
            <v>4</v>
          </cell>
          <cell r="Q442">
            <v>1</v>
          </cell>
          <cell r="R442">
            <v>10</v>
          </cell>
          <cell r="S442">
            <v>50</v>
          </cell>
          <cell r="T442">
            <v>29.761904761904763</v>
          </cell>
          <cell r="U442">
            <v>1967</v>
          </cell>
          <cell r="V442">
            <v>119.04761904761905</v>
          </cell>
          <cell r="W442">
            <v>28</v>
          </cell>
          <cell r="X442">
            <v>381</v>
          </cell>
          <cell r="Y442">
            <v>18</v>
          </cell>
          <cell r="Z442">
            <v>12</v>
          </cell>
        </row>
        <row r="443">
          <cell r="A443">
            <v>9124333</v>
          </cell>
          <cell r="B443" t="str">
            <v>裂空·斩第3段</v>
          </cell>
          <cell r="C443" t="str">
            <v>裂空·斩第3段</v>
          </cell>
          <cell r="D443">
            <v>1</v>
          </cell>
          <cell r="E443">
            <v>56</v>
          </cell>
          <cell r="F443" t="str">
            <v>第33级，共造成158.3%点伤害</v>
          </cell>
          <cell r="G443">
            <v>3</v>
          </cell>
          <cell r="H443">
            <v>3</v>
          </cell>
          <cell r="I443">
            <v>33</v>
          </cell>
          <cell r="J443">
            <v>2</v>
          </cell>
          <cell r="K443">
            <v>39.583333333333336</v>
          </cell>
          <cell r="L443">
            <v>0</v>
          </cell>
          <cell r="M443">
            <v>5360</v>
          </cell>
          <cell r="N443">
            <v>61260</v>
          </cell>
          <cell r="O443">
            <v>4</v>
          </cell>
          <cell r="P443">
            <v>4</v>
          </cell>
          <cell r="Q443">
            <v>1</v>
          </cell>
          <cell r="R443">
            <v>10</v>
          </cell>
          <cell r="S443">
            <v>50</v>
          </cell>
          <cell r="T443">
            <v>29.761904761904763</v>
          </cell>
          <cell r="U443">
            <v>2042</v>
          </cell>
          <cell r="V443">
            <v>119.04761904761905</v>
          </cell>
          <cell r="W443">
            <v>30</v>
          </cell>
          <cell r="X443">
            <v>411</v>
          </cell>
          <cell r="Y443">
            <v>18</v>
          </cell>
          <cell r="Z443">
            <v>12</v>
          </cell>
        </row>
        <row r="444">
          <cell r="A444">
            <v>9124334</v>
          </cell>
          <cell r="B444" t="str">
            <v>裂空·斩第3段</v>
          </cell>
          <cell r="C444" t="str">
            <v>裂空·斩第3段</v>
          </cell>
          <cell r="D444">
            <v>1</v>
          </cell>
          <cell r="E444">
            <v>58</v>
          </cell>
          <cell r="F444" t="str">
            <v>第34级，共造成159.5%点伤害</v>
          </cell>
          <cell r="G444">
            <v>3</v>
          </cell>
          <cell r="H444">
            <v>3</v>
          </cell>
          <cell r="I444">
            <v>34</v>
          </cell>
          <cell r="J444">
            <v>2</v>
          </cell>
          <cell r="K444">
            <v>39.88095238095238</v>
          </cell>
          <cell r="L444">
            <v>0</v>
          </cell>
          <cell r="M444">
            <v>5280</v>
          </cell>
          <cell r="N444">
            <v>70336</v>
          </cell>
          <cell r="O444">
            <v>4</v>
          </cell>
          <cell r="P444">
            <v>4</v>
          </cell>
          <cell r="Q444">
            <v>1</v>
          </cell>
          <cell r="R444">
            <v>10</v>
          </cell>
          <cell r="S444">
            <v>50</v>
          </cell>
          <cell r="T444">
            <v>29.761904761904763</v>
          </cell>
          <cell r="U444">
            <v>2198</v>
          </cell>
          <cell r="V444">
            <v>119.04761904761905</v>
          </cell>
          <cell r="W444">
            <v>32</v>
          </cell>
          <cell r="X444">
            <v>443</v>
          </cell>
          <cell r="Y444">
            <v>18</v>
          </cell>
          <cell r="Z444">
            <v>13</v>
          </cell>
        </row>
        <row r="445">
          <cell r="A445">
            <v>9124335</v>
          </cell>
          <cell r="B445" t="str">
            <v>裂空·斩第3段</v>
          </cell>
          <cell r="C445" t="str">
            <v>裂空·斩第3段</v>
          </cell>
          <cell r="D445">
            <v>1</v>
          </cell>
          <cell r="E445">
            <v>59</v>
          </cell>
          <cell r="F445" t="str">
            <v>第35级，共造成160.7%点伤害</v>
          </cell>
          <cell r="G445">
            <v>3</v>
          </cell>
          <cell r="H445">
            <v>3</v>
          </cell>
          <cell r="I445">
            <v>35</v>
          </cell>
          <cell r="J445">
            <v>2</v>
          </cell>
          <cell r="K445">
            <v>40.178571428571431</v>
          </cell>
          <cell r="L445">
            <v>0</v>
          </cell>
          <cell r="M445">
            <v>5200</v>
          </cell>
          <cell r="N445">
            <v>77418</v>
          </cell>
          <cell r="O445">
            <v>4</v>
          </cell>
          <cell r="P445">
            <v>4</v>
          </cell>
          <cell r="Q445">
            <v>1</v>
          </cell>
          <cell r="R445">
            <v>10</v>
          </cell>
          <cell r="S445">
            <v>50</v>
          </cell>
          <cell r="T445">
            <v>29.761904761904763</v>
          </cell>
          <cell r="U445">
            <v>2277</v>
          </cell>
          <cell r="V445">
            <v>119.04761904761905</v>
          </cell>
          <cell r="W445">
            <v>34</v>
          </cell>
          <cell r="X445">
            <v>477</v>
          </cell>
          <cell r="Y445">
            <v>18</v>
          </cell>
          <cell r="Z445">
            <v>14</v>
          </cell>
        </row>
        <row r="446">
          <cell r="A446">
            <v>9124336</v>
          </cell>
          <cell r="B446" t="str">
            <v>裂空·斩第3段</v>
          </cell>
          <cell r="C446" t="str">
            <v>裂空·斩第3段</v>
          </cell>
          <cell r="D446">
            <v>1</v>
          </cell>
          <cell r="E446">
            <v>60</v>
          </cell>
          <cell r="F446" t="str">
            <v>第36级，共造成161.9%点伤害</v>
          </cell>
          <cell r="G446">
            <v>3</v>
          </cell>
          <cell r="H446">
            <v>3</v>
          </cell>
          <cell r="I446">
            <v>36</v>
          </cell>
          <cell r="J446">
            <v>2</v>
          </cell>
          <cell r="K446">
            <v>40.476190476190474</v>
          </cell>
          <cell r="L446">
            <v>0</v>
          </cell>
          <cell r="M446">
            <v>5120</v>
          </cell>
          <cell r="N446">
            <v>87246</v>
          </cell>
          <cell r="O446">
            <v>4</v>
          </cell>
          <cell r="P446">
            <v>4</v>
          </cell>
          <cell r="Q446">
            <v>1</v>
          </cell>
          <cell r="R446">
            <v>10</v>
          </cell>
          <cell r="S446">
            <v>50</v>
          </cell>
          <cell r="T446">
            <v>29.761904761904763</v>
          </cell>
          <cell r="U446">
            <v>2358</v>
          </cell>
          <cell r="V446">
            <v>119.04761904761905</v>
          </cell>
          <cell r="W446">
            <v>37</v>
          </cell>
          <cell r="X446">
            <v>514</v>
          </cell>
          <cell r="Y446">
            <v>18</v>
          </cell>
          <cell r="Z446">
            <v>15</v>
          </cell>
        </row>
        <row r="447">
          <cell r="A447">
            <v>9124337</v>
          </cell>
          <cell r="B447" t="str">
            <v>裂空·斩第3段</v>
          </cell>
          <cell r="C447" t="str">
            <v>裂空·斩第3段</v>
          </cell>
          <cell r="D447">
            <v>1</v>
          </cell>
          <cell r="E447">
            <v>62</v>
          </cell>
          <cell r="F447" t="str">
            <v>第37级，共造成163.1%点伤害</v>
          </cell>
          <cell r="G447">
            <v>3</v>
          </cell>
          <cell r="H447">
            <v>3</v>
          </cell>
          <cell r="I447">
            <v>37</v>
          </cell>
          <cell r="J447">
            <v>2</v>
          </cell>
          <cell r="K447">
            <v>40.773809523809526</v>
          </cell>
          <cell r="L447">
            <v>0</v>
          </cell>
          <cell r="M447">
            <v>5040</v>
          </cell>
          <cell r="N447">
            <v>98436</v>
          </cell>
          <cell r="O447">
            <v>4</v>
          </cell>
          <cell r="P447">
            <v>4</v>
          </cell>
          <cell r="Q447">
            <v>1</v>
          </cell>
          <cell r="R447">
            <v>10</v>
          </cell>
          <cell r="S447">
            <v>50</v>
          </cell>
          <cell r="T447">
            <v>29.761904761904763</v>
          </cell>
          <cell r="U447">
            <v>2524</v>
          </cell>
          <cell r="V447">
            <v>119.04761904761905</v>
          </cell>
          <cell r="W447">
            <v>39</v>
          </cell>
          <cell r="X447">
            <v>553</v>
          </cell>
          <cell r="Y447">
            <v>18</v>
          </cell>
          <cell r="Z447">
            <v>16</v>
          </cell>
        </row>
        <row r="448">
          <cell r="A448">
            <v>9124338</v>
          </cell>
          <cell r="B448" t="str">
            <v>裂空·斩第3段</v>
          </cell>
          <cell r="C448" t="str">
            <v>裂空·斩第3段</v>
          </cell>
          <cell r="D448">
            <v>1</v>
          </cell>
          <cell r="E448">
            <v>63</v>
          </cell>
          <cell r="F448" t="str">
            <v>第38级，共造成164.3%点伤害</v>
          </cell>
          <cell r="G448">
            <v>3</v>
          </cell>
          <cell r="H448">
            <v>3</v>
          </cell>
          <cell r="I448">
            <v>38</v>
          </cell>
          <cell r="J448">
            <v>2</v>
          </cell>
          <cell r="K448">
            <v>41.071428571428569</v>
          </cell>
          <cell r="L448">
            <v>0</v>
          </cell>
          <cell r="M448">
            <v>4960</v>
          </cell>
          <cell r="N448">
            <v>109578</v>
          </cell>
          <cell r="O448">
            <v>4</v>
          </cell>
          <cell r="P448">
            <v>4</v>
          </cell>
          <cell r="Q448">
            <v>1</v>
          </cell>
          <cell r="R448">
            <v>10</v>
          </cell>
          <cell r="S448">
            <v>50</v>
          </cell>
          <cell r="T448">
            <v>29.761904761904763</v>
          </cell>
          <cell r="U448">
            <v>2609</v>
          </cell>
          <cell r="V448">
            <v>119.04761904761905</v>
          </cell>
          <cell r="W448">
            <v>42</v>
          </cell>
          <cell r="X448">
            <v>595</v>
          </cell>
          <cell r="Y448">
            <v>18</v>
          </cell>
          <cell r="Z448">
            <v>17</v>
          </cell>
        </row>
        <row r="449">
          <cell r="A449">
            <v>9124339</v>
          </cell>
          <cell r="B449" t="str">
            <v>裂空·斩第3段</v>
          </cell>
          <cell r="C449" t="str">
            <v>裂空·斩第3段</v>
          </cell>
          <cell r="D449">
            <v>1</v>
          </cell>
          <cell r="E449">
            <v>65</v>
          </cell>
          <cell r="F449" t="str">
            <v>第39级，共造成165.5%点伤害</v>
          </cell>
          <cell r="G449">
            <v>3</v>
          </cell>
          <cell r="H449">
            <v>3</v>
          </cell>
          <cell r="I449">
            <v>39</v>
          </cell>
          <cell r="J449">
            <v>2</v>
          </cell>
          <cell r="K449">
            <v>41.36904761904762</v>
          </cell>
          <cell r="L449">
            <v>0</v>
          </cell>
          <cell r="M449">
            <v>4880</v>
          </cell>
          <cell r="N449">
            <v>125235</v>
          </cell>
          <cell r="O449">
            <v>4</v>
          </cell>
          <cell r="P449">
            <v>4</v>
          </cell>
          <cell r="Q449">
            <v>1</v>
          </cell>
          <cell r="R449">
            <v>10</v>
          </cell>
          <cell r="S449">
            <v>50</v>
          </cell>
          <cell r="T449">
            <v>29.761904761904763</v>
          </cell>
          <cell r="U449">
            <v>2783</v>
          </cell>
          <cell r="V449">
            <v>119.04761904761905</v>
          </cell>
          <cell r="W449">
            <v>45</v>
          </cell>
          <cell r="X449">
            <v>640</v>
          </cell>
          <cell r="Y449">
            <v>18</v>
          </cell>
          <cell r="Z449">
            <v>18</v>
          </cell>
        </row>
        <row r="450">
          <cell r="A450">
            <v>9124340</v>
          </cell>
          <cell r="B450" t="str">
            <v>裂空·斩第3段</v>
          </cell>
          <cell r="C450" t="str">
            <v>裂空·斩第3段</v>
          </cell>
          <cell r="D450">
            <v>1</v>
          </cell>
          <cell r="E450">
            <v>66</v>
          </cell>
          <cell r="F450" t="str">
            <v>第40级，共造成166.7%点伤害</v>
          </cell>
          <cell r="G450">
            <v>3</v>
          </cell>
          <cell r="H450">
            <v>3</v>
          </cell>
          <cell r="I450">
            <v>40</v>
          </cell>
          <cell r="J450">
            <v>2</v>
          </cell>
          <cell r="K450">
            <v>41.666666666666671</v>
          </cell>
          <cell r="L450">
            <v>0</v>
          </cell>
          <cell r="M450">
            <v>4800</v>
          </cell>
          <cell r="N450">
            <v>137856</v>
          </cell>
          <cell r="O450">
            <v>4</v>
          </cell>
          <cell r="P450">
            <v>4</v>
          </cell>
          <cell r="Q450">
            <v>1</v>
          </cell>
          <cell r="R450">
            <v>10</v>
          </cell>
          <cell r="S450">
            <v>50</v>
          </cell>
          <cell r="T450">
            <v>29.761904761904763</v>
          </cell>
          <cell r="U450">
            <v>2872</v>
          </cell>
          <cell r="V450">
            <v>119.04761904761905</v>
          </cell>
          <cell r="W450">
            <v>48</v>
          </cell>
          <cell r="X450">
            <v>688</v>
          </cell>
          <cell r="Y450">
            <v>18</v>
          </cell>
          <cell r="Z450">
            <v>20</v>
          </cell>
        </row>
        <row r="451">
          <cell r="A451">
            <v>9124341</v>
          </cell>
          <cell r="B451" t="str">
            <v>裂空·斩第3段</v>
          </cell>
          <cell r="C451" t="str">
            <v>裂空·斩第3段</v>
          </cell>
          <cell r="D451">
            <v>1</v>
          </cell>
          <cell r="E451">
            <v>67</v>
          </cell>
          <cell r="F451" t="str">
            <v>第41级，共造成167.9%点伤害</v>
          </cell>
          <cell r="G451">
            <v>3</v>
          </cell>
          <cell r="H451">
            <v>3</v>
          </cell>
          <cell r="I451">
            <v>41</v>
          </cell>
          <cell r="J451">
            <v>2</v>
          </cell>
          <cell r="K451">
            <v>41.964285714285715</v>
          </cell>
          <cell r="L451">
            <v>0</v>
          </cell>
          <cell r="M451">
            <v>4720</v>
          </cell>
          <cell r="N451">
            <v>151113</v>
          </cell>
          <cell r="O451">
            <v>4</v>
          </cell>
          <cell r="P451">
            <v>4</v>
          </cell>
          <cell r="Q451">
            <v>1</v>
          </cell>
          <cell r="R451">
            <v>10</v>
          </cell>
          <cell r="S451">
            <v>50</v>
          </cell>
          <cell r="T451">
            <v>29.761904761904763</v>
          </cell>
          <cell r="U451">
            <v>2963</v>
          </cell>
          <cell r="V451">
            <v>119.04761904761905</v>
          </cell>
          <cell r="W451">
            <v>51</v>
          </cell>
          <cell r="X451">
            <v>739</v>
          </cell>
          <cell r="Y451">
            <v>18</v>
          </cell>
          <cell r="Z451">
            <v>21</v>
          </cell>
        </row>
        <row r="452">
          <cell r="A452">
            <v>9124342</v>
          </cell>
          <cell r="B452" t="str">
            <v>裂空·斩第3段</v>
          </cell>
          <cell r="C452" t="str">
            <v>裂空·斩第3段</v>
          </cell>
          <cell r="D452">
            <v>1</v>
          </cell>
          <cell r="E452">
            <v>69</v>
          </cell>
          <cell r="F452" t="str">
            <v>第42级，共造成169%点伤害</v>
          </cell>
          <cell r="G452">
            <v>3</v>
          </cell>
          <cell r="H452">
            <v>3</v>
          </cell>
          <cell r="I452">
            <v>42</v>
          </cell>
          <cell r="J452">
            <v>2</v>
          </cell>
          <cell r="K452">
            <v>42.261904761904759</v>
          </cell>
          <cell r="L452">
            <v>0</v>
          </cell>
          <cell r="M452">
            <v>4640</v>
          </cell>
          <cell r="N452">
            <v>173085</v>
          </cell>
          <cell r="O452">
            <v>4</v>
          </cell>
          <cell r="P452">
            <v>4</v>
          </cell>
          <cell r="Q452">
            <v>1</v>
          </cell>
          <cell r="R452">
            <v>10</v>
          </cell>
          <cell r="S452">
            <v>50</v>
          </cell>
          <cell r="T452">
            <v>29.761904761904763</v>
          </cell>
          <cell r="U452">
            <v>3147</v>
          </cell>
          <cell r="V452">
            <v>119.04761904761905</v>
          </cell>
          <cell r="W452">
            <v>55</v>
          </cell>
          <cell r="X452">
            <v>794</v>
          </cell>
          <cell r="Y452">
            <v>18</v>
          </cell>
          <cell r="Z452">
            <v>22</v>
          </cell>
        </row>
        <row r="453">
          <cell r="A453">
            <v>9124343</v>
          </cell>
          <cell r="B453" t="str">
            <v>裂空·斩第3段</v>
          </cell>
          <cell r="C453" t="str">
            <v>裂空·斩第3段</v>
          </cell>
          <cell r="D453">
            <v>1</v>
          </cell>
          <cell r="E453">
            <v>70</v>
          </cell>
          <cell r="F453" t="str">
            <v>第43级，共造成170.2%点伤害</v>
          </cell>
          <cell r="G453">
            <v>3</v>
          </cell>
          <cell r="H453">
            <v>3</v>
          </cell>
          <cell r="I453">
            <v>43</v>
          </cell>
          <cell r="J453">
            <v>2</v>
          </cell>
          <cell r="K453">
            <v>42.55952380952381</v>
          </cell>
          <cell r="L453">
            <v>0</v>
          </cell>
          <cell r="M453">
            <v>4560</v>
          </cell>
          <cell r="N453">
            <v>191278</v>
          </cell>
          <cell r="O453">
            <v>4</v>
          </cell>
          <cell r="P453">
            <v>4</v>
          </cell>
          <cell r="Q453">
            <v>1</v>
          </cell>
          <cell r="R453">
            <v>10</v>
          </cell>
          <cell r="S453">
            <v>50</v>
          </cell>
          <cell r="T453">
            <v>29.761904761904763</v>
          </cell>
          <cell r="U453">
            <v>3242</v>
          </cell>
          <cell r="V453">
            <v>119.04761904761905</v>
          </cell>
          <cell r="W453">
            <v>59</v>
          </cell>
          <cell r="X453">
            <v>853</v>
          </cell>
          <cell r="Y453">
            <v>18</v>
          </cell>
          <cell r="Z453">
            <v>24</v>
          </cell>
        </row>
        <row r="454">
          <cell r="A454">
            <v>9124344</v>
          </cell>
          <cell r="B454" t="str">
            <v>裂空·斩第3段</v>
          </cell>
          <cell r="C454" t="str">
            <v>裂空·斩第3段</v>
          </cell>
          <cell r="D454">
            <v>1</v>
          </cell>
          <cell r="E454">
            <v>72</v>
          </cell>
          <cell r="F454" t="str">
            <v>第44级，共造成171.4%点伤害</v>
          </cell>
          <cell r="G454">
            <v>3</v>
          </cell>
          <cell r="H454">
            <v>3</v>
          </cell>
          <cell r="I454">
            <v>44</v>
          </cell>
          <cell r="J454">
            <v>2</v>
          </cell>
          <cell r="K454">
            <v>42.857142857142861</v>
          </cell>
          <cell r="L454">
            <v>0</v>
          </cell>
          <cell r="M454">
            <v>4480</v>
          </cell>
          <cell r="N454">
            <v>216405</v>
          </cell>
          <cell r="O454">
            <v>4</v>
          </cell>
          <cell r="P454">
            <v>4</v>
          </cell>
          <cell r="Q454">
            <v>1</v>
          </cell>
          <cell r="R454">
            <v>10</v>
          </cell>
          <cell r="S454">
            <v>50</v>
          </cell>
          <cell r="T454">
            <v>29.761904761904763</v>
          </cell>
          <cell r="U454">
            <v>3435</v>
          </cell>
          <cell r="V454">
            <v>119.04761904761905</v>
          </cell>
          <cell r="W454">
            <v>63</v>
          </cell>
          <cell r="X454">
            <v>916</v>
          </cell>
          <cell r="Y454">
            <v>18</v>
          </cell>
          <cell r="Z454">
            <v>26</v>
          </cell>
        </row>
        <row r="455">
          <cell r="A455">
            <v>9124345</v>
          </cell>
          <cell r="B455" t="str">
            <v>裂空·斩第3段</v>
          </cell>
          <cell r="C455" t="str">
            <v>裂空·斩第3段</v>
          </cell>
          <cell r="D455">
            <v>1</v>
          </cell>
          <cell r="E455">
            <v>73</v>
          </cell>
          <cell r="F455" t="str">
            <v>第45级，共造成172.6%点伤害</v>
          </cell>
          <cell r="G455">
            <v>3</v>
          </cell>
          <cell r="H455">
            <v>3</v>
          </cell>
          <cell r="I455">
            <v>45</v>
          </cell>
          <cell r="J455">
            <v>2</v>
          </cell>
          <cell r="K455">
            <v>43.154761904761905</v>
          </cell>
          <cell r="L455">
            <v>0</v>
          </cell>
          <cell r="M455">
            <v>4400</v>
          </cell>
          <cell r="N455">
            <v>240312</v>
          </cell>
          <cell r="O455">
            <v>4</v>
          </cell>
          <cell r="P455">
            <v>4</v>
          </cell>
          <cell r="Q455">
            <v>1</v>
          </cell>
          <cell r="R455">
            <v>10</v>
          </cell>
          <cell r="S455">
            <v>50</v>
          </cell>
          <cell r="T455">
            <v>29.761904761904763</v>
          </cell>
          <cell r="U455">
            <v>3534</v>
          </cell>
          <cell r="V455">
            <v>119.04761904761905</v>
          </cell>
          <cell r="W455">
            <v>68</v>
          </cell>
          <cell r="X455">
            <v>984</v>
          </cell>
          <cell r="Y455">
            <v>18</v>
          </cell>
          <cell r="Z455">
            <v>28</v>
          </cell>
        </row>
        <row r="456">
          <cell r="A456">
            <v>9124346</v>
          </cell>
          <cell r="B456" t="str">
            <v>裂空·斩第3段</v>
          </cell>
          <cell r="C456" t="str">
            <v>裂空·斩第3段</v>
          </cell>
          <cell r="D456">
            <v>1</v>
          </cell>
          <cell r="E456">
            <v>74</v>
          </cell>
          <cell r="F456" t="str">
            <v>第46级，共造成173.8%点伤害</v>
          </cell>
          <cell r="G456">
            <v>3</v>
          </cell>
          <cell r="H456">
            <v>3</v>
          </cell>
          <cell r="I456">
            <v>46</v>
          </cell>
          <cell r="J456">
            <v>2</v>
          </cell>
          <cell r="K456">
            <v>43.452380952380949</v>
          </cell>
          <cell r="L456">
            <v>0</v>
          </cell>
          <cell r="M456">
            <v>4320</v>
          </cell>
          <cell r="N456">
            <v>261648</v>
          </cell>
          <cell r="O456">
            <v>4</v>
          </cell>
          <cell r="P456">
            <v>4</v>
          </cell>
          <cell r="Q456">
            <v>1</v>
          </cell>
          <cell r="R456">
            <v>10</v>
          </cell>
          <cell r="S456">
            <v>50</v>
          </cell>
          <cell r="T456">
            <v>29.761904761904763</v>
          </cell>
          <cell r="U456">
            <v>3634</v>
          </cell>
          <cell r="V456">
            <v>119.04761904761905</v>
          </cell>
          <cell r="W456">
            <v>72</v>
          </cell>
          <cell r="X456">
            <v>1056</v>
          </cell>
          <cell r="Y456">
            <v>18</v>
          </cell>
          <cell r="Z456">
            <v>29</v>
          </cell>
        </row>
        <row r="457">
          <cell r="A457">
            <v>9124347</v>
          </cell>
          <cell r="B457" t="str">
            <v>裂空·斩第3段</v>
          </cell>
          <cell r="C457" t="str">
            <v>裂空·斩第3段</v>
          </cell>
          <cell r="D457">
            <v>1</v>
          </cell>
          <cell r="E457">
            <v>76</v>
          </cell>
          <cell r="F457" t="str">
            <v>第47级，共造成175%点伤害</v>
          </cell>
          <cell r="G457">
            <v>3</v>
          </cell>
          <cell r="H457">
            <v>3</v>
          </cell>
          <cell r="I457">
            <v>47</v>
          </cell>
          <cell r="J457">
            <v>2</v>
          </cell>
          <cell r="K457">
            <v>43.75</v>
          </cell>
          <cell r="L457">
            <v>0</v>
          </cell>
          <cell r="M457">
            <v>4240</v>
          </cell>
          <cell r="N457">
            <v>295526</v>
          </cell>
          <cell r="O457">
            <v>4</v>
          </cell>
          <cell r="P457">
            <v>4</v>
          </cell>
          <cell r="Q457">
            <v>1</v>
          </cell>
          <cell r="R457">
            <v>10</v>
          </cell>
          <cell r="S457">
            <v>50</v>
          </cell>
          <cell r="T457">
            <v>29.761904761904763</v>
          </cell>
          <cell r="U457">
            <v>3838</v>
          </cell>
          <cell r="V457">
            <v>119.04761904761905</v>
          </cell>
          <cell r="W457">
            <v>77</v>
          </cell>
          <cell r="X457">
            <v>1133</v>
          </cell>
          <cell r="Y457">
            <v>18</v>
          </cell>
          <cell r="Z457">
            <v>31</v>
          </cell>
        </row>
        <row r="458">
          <cell r="A458">
            <v>9124348</v>
          </cell>
          <cell r="B458" t="str">
            <v>裂空·斩第3段</v>
          </cell>
          <cell r="C458" t="str">
            <v>裂空·斩第3段</v>
          </cell>
          <cell r="D458">
            <v>1</v>
          </cell>
          <cell r="E458">
            <v>77</v>
          </cell>
          <cell r="F458" t="str">
            <v>第48级，共造成176.2%点伤害</v>
          </cell>
          <cell r="G458">
            <v>3</v>
          </cell>
          <cell r="H458">
            <v>3</v>
          </cell>
          <cell r="I458">
            <v>48</v>
          </cell>
          <cell r="J458">
            <v>2</v>
          </cell>
          <cell r="K458">
            <v>44.047619047619051</v>
          </cell>
          <cell r="L458">
            <v>0</v>
          </cell>
          <cell r="M458">
            <v>4160</v>
          </cell>
          <cell r="N458">
            <v>327186</v>
          </cell>
          <cell r="O458">
            <v>4</v>
          </cell>
          <cell r="P458">
            <v>4</v>
          </cell>
          <cell r="Q458">
            <v>1</v>
          </cell>
          <cell r="R458">
            <v>10</v>
          </cell>
          <cell r="S458">
            <v>50</v>
          </cell>
          <cell r="T458">
            <v>29.761904761904763</v>
          </cell>
          <cell r="U458">
            <v>3942</v>
          </cell>
          <cell r="V458">
            <v>119.04761904761905</v>
          </cell>
          <cell r="W458">
            <v>83</v>
          </cell>
          <cell r="X458">
            <v>1216</v>
          </cell>
          <cell r="Y458">
            <v>18</v>
          </cell>
          <cell r="Z458">
            <v>34</v>
          </cell>
        </row>
        <row r="459">
          <cell r="A459">
            <v>9124349</v>
          </cell>
          <cell r="B459" t="str">
            <v>裂空·斩第3段</v>
          </cell>
          <cell r="C459" t="str">
            <v>裂空·斩第3段</v>
          </cell>
          <cell r="D459">
            <v>1</v>
          </cell>
          <cell r="E459">
            <v>79</v>
          </cell>
          <cell r="F459" t="str">
            <v>第49级，共造成177.4%点伤害</v>
          </cell>
          <cell r="G459">
            <v>3</v>
          </cell>
          <cell r="H459">
            <v>3</v>
          </cell>
          <cell r="I459">
            <v>49</v>
          </cell>
          <cell r="J459">
            <v>2</v>
          </cell>
          <cell r="K459">
            <v>44.345238095238095</v>
          </cell>
          <cell r="L459">
            <v>0</v>
          </cell>
          <cell r="M459">
            <v>4080</v>
          </cell>
          <cell r="N459">
            <v>369706</v>
          </cell>
          <cell r="O459">
            <v>4</v>
          </cell>
          <cell r="P459">
            <v>4</v>
          </cell>
          <cell r="Q459">
            <v>1</v>
          </cell>
          <cell r="R459">
            <v>10</v>
          </cell>
          <cell r="S459">
            <v>50</v>
          </cell>
          <cell r="T459">
            <v>29.761904761904763</v>
          </cell>
          <cell r="U459">
            <v>4154</v>
          </cell>
          <cell r="V459">
            <v>119.04761904761905</v>
          </cell>
          <cell r="W459">
            <v>89</v>
          </cell>
          <cell r="X459">
            <v>1305</v>
          </cell>
          <cell r="Y459">
            <v>18</v>
          </cell>
          <cell r="Z459">
            <v>36</v>
          </cell>
        </row>
        <row r="460">
          <cell r="A460">
            <v>9124350</v>
          </cell>
          <cell r="B460" t="str">
            <v>裂空·斩第3段</v>
          </cell>
          <cell r="C460" t="str">
            <v>裂空·斩第3段</v>
          </cell>
          <cell r="D460">
            <v>1</v>
          </cell>
          <cell r="E460">
            <v>80</v>
          </cell>
          <cell r="F460" t="str">
            <v>第50级，共造成178.6%点伤害</v>
          </cell>
          <cell r="G460">
            <v>3</v>
          </cell>
          <cell r="H460">
            <v>3</v>
          </cell>
          <cell r="I460">
            <v>50</v>
          </cell>
          <cell r="J460">
            <v>2</v>
          </cell>
          <cell r="K460">
            <v>44.642857142857146</v>
          </cell>
          <cell r="L460">
            <v>0</v>
          </cell>
          <cell r="M460">
            <v>4000</v>
          </cell>
          <cell r="N460">
            <v>404890</v>
          </cell>
          <cell r="O460">
            <v>4</v>
          </cell>
          <cell r="P460">
            <v>4</v>
          </cell>
          <cell r="Q460">
            <v>1</v>
          </cell>
          <cell r="R460">
            <v>10</v>
          </cell>
          <cell r="S460">
            <v>50</v>
          </cell>
          <cell r="T460">
            <v>29.761904761904763</v>
          </cell>
          <cell r="U460">
            <v>4262</v>
          </cell>
          <cell r="V460">
            <v>119.04761904761905</v>
          </cell>
          <cell r="W460">
            <v>95</v>
          </cell>
          <cell r="X460">
            <v>1400</v>
          </cell>
          <cell r="Y460">
            <v>18</v>
          </cell>
          <cell r="Z460">
            <v>38</v>
          </cell>
        </row>
        <row r="461">
          <cell r="A461">
            <v>1</v>
          </cell>
          <cell r="B461" t="str">
            <v>裂空·斩</v>
          </cell>
          <cell r="C461" t="str">
            <v>裂空·斩第4段</v>
          </cell>
          <cell r="D461">
            <v>1</v>
          </cell>
          <cell r="E461">
            <v>6</v>
          </cell>
          <cell r="F461" t="str">
            <v>第0级，共造成178.6%点伤害</v>
          </cell>
          <cell r="G461">
            <v>0</v>
          </cell>
          <cell r="H461">
            <v>4</v>
          </cell>
          <cell r="I461">
            <v>0</v>
          </cell>
          <cell r="J461">
            <v>2</v>
          </cell>
          <cell r="K461">
            <v>178.57142857142858</v>
          </cell>
          <cell r="L461">
            <v>0</v>
          </cell>
          <cell r="M461">
            <v>8000</v>
          </cell>
          <cell r="N461">
            <v>0</v>
          </cell>
          <cell r="O461">
            <v>4</v>
          </cell>
          <cell r="P461">
            <v>1</v>
          </cell>
          <cell r="Q461">
            <v>1</v>
          </cell>
          <cell r="R461">
            <v>12</v>
          </cell>
          <cell r="S461">
            <v>50</v>
          </cell>
          <cell r="T461">
            <v>178.57142857142858</v>
          </cell>
          <cell r="U461">
            <v>80</v>
          </cell>
          <cell r="V461">
            <v>178.57142857142858</v>
          </cell>
          <cell r="W461">
            <v>0</v>
          </cell>
          <cell r="X461">
            <v>0</v>
          </cell>
          <cell r="Y461">
            <v>18</v>
          </cell>
          <cell r="Z461">
            <v>0</v>
          </cell>
        </row>
        <row r="462">
          <cell r="A462">
            <v>9124401</v>
          </cell>
          <cell r="B462" t="str">
            <v>裂空·斩第4段</v>
          </cell>
          <cell r="C462" t="str">
            <v>裂空·斩第4段</v>
          </cell>
          <cell r="D462">
            <v>1</v>
          </cell>
          <cell r="E462">
            <v>6</v>
          </cell>
          <cell r="F462" t="str">
            <v>第1级，共造成178.6%点伤害</v>
          </cell>
          <cell r="G462">
            <v>4</v>
          </cell>
          <cell r="H462">
            <v>4</v>
          </cell>
          <cell r="I462">
            <v>1</v>
          </cell>
          <cell r="J462">
            <v>2</v>
          </cell>
          <cell r="K462">
            <v>178.57142857142858</v>
          </cell>
          <cell r="L462">
            <v>0</v>
          </cell>
          <cell r="M462">
            <v>8000</v>
          </cell>
          <cell r="N462">
            <v>480</v>
          </cell>
          <cell r="O462">
            <v>4</v>
          </cell>
          <cell r="P462">
            <v>1</v>
          </cell>
          <cell r="Q462">
            <v>1</v>
          </cell>
          <cell r="R462">
            <v>12</v>
          </cell>
          <cell r="S462">
            <v>50</v>
          </cell>
          <cell r="T462">
            <v>178.57142857142858</v>
          </cell>
          <cell r="U462">
            <v>80</v>
          </cell>
          <cell r="V462">
            <v>178.57142857142858</v>
          </cell>
          <cell r="W462">
            <v>6</v>
          </cell>
          <cell r="X462">
            <v>6</v>
          </cell>
          <cell r="Y462">
            <v>18</v>
          </cell>
          <cell r="Z462">
            <v>0</v>
          </cell>
        </row>
        <row r="463">
          <cell r="A463">
            <v>9124402</v>
          </cell>
          <cell r="B463" t="str">
            <v>裂空·斩第4段</v>
          </cell>
          <cell r="C463" t="str">
            <v>裂空·斩第4段</v>
          </cell>
          <cell r="D463">
            <v>1</v>
          </cell>
          <cell r="E463">
            <v>15</v>
          </cell>
          <cell r="F463" t="str">
            <v>第2级，共造成182.1%点伤害</v>
          </cell>
          <cell r="G463">
            <v>4</v>
          </cell>
          <cell r="H463">
            <v>4</v>
          </cell>
          <cell r="I463">
            <v>2</v>
          </cell>
          <cell r="J463">
            <v>2</v>
          </cell>
          <cell r="K463">
            <v>182.14285714285717</v>
          </cell>
          <cell r="L463">
            <v>0</v>
          </cell>
          <cell r="M463">
            <v>7840</v>
          </cell>
          <cell r="N463">
            <v>938</v>
          </cell>
          <cell r="O463">
            <v>4</v>
          </cell>
          <cell r="P463">
            <v>1</v>
          </cell>
          <cell r="Q463">
            <v>1</v>
          </cell>
          <cell r="R463">
            <v>12</v>
          </cell>
          <cell r="S463">
            <v>50</v>
          </cell>
          <cell r="T463">
            <v>178.57142857142858</v>
          </cell>
          <cell r="U463">
            <v>134</v>
          </cell>
          <cell r="V463">
            <v>178.57142857142858</v>
          </cell>
          <cell r="W463">
            <v>7</v>
          </cell>
          <cell r="X463">
            <v>13</v>
          </cell>
          <cell r="Y463">
            <v>18</v>
          </cell>
          <cell r="Z463">
            <v>0</v>
          </cell>
        </row>
        <row r="464">
          <cell r="A464">
            <v>9124403</v>
          </cell>
          <cell r="B464" t="str">
            <v>裂空·斩第4段</v>
          </cell>
          <cell r="C464" t="str">
            <v>裂空·斩第4段</v>
          </cell>
          <cell r="D464">
            <v>1</v>
          </cell>
          <cell r="E464">
            <v>16</v>
          </cell>
          <cell r="F464" t="str">
            <v>第3级，共造成183.9%点伤害</v>
          </cell>
          <cell r="G464">
            <v>4</v>
          </cell>
          <cell r="H464">
            <v>4</v>
          </cell>
          <cell r="I464">
            <v>3</v>
          </cell>
          <cell r="J464">
            <v>2</v>
          </cell>
          <cell r="K464">
            <v>183.92857142857144</v>
          </cell>
          <cell r="L464">
            <v>0</v>
          </cell>
          <cell r="M464">
            <v>7760</v>
          </cell>
          <cell r="N464">
            <v>980</v>
          </cell>
          <cell r="O464">
            <v>4</v>
          </cell>
          <cell r="P464">
            <v>1</v>
          </cell>
          <cell r="Q464">
            <v>1</v>
          </cell>
          <cell r="R464">
            <v>12</v>
          </cell>
          <cell r="S464">
            <v>50</v>
          </cell>
          <cell r="T464">
            <v>178.57142857142858</v>
          </cell>
          <cell r="U464">
            <v>140</v>
          </cell>
          <cell r="V464">
            <v>178.57142857142858</v>
          </cell>
          <cell r="W464">
            <v>7</v>
          </cell>
          <cell r="X464">
            <v>20</v>
          </cell>
          <cell r="Y464">
            <v>18</v>
          </cell>
          <cell r="Z464">
            <v>0</v>
          </cell>
        </row>
        <row r="465">
          <cell r="A465">
            <v>9124404</v>
          </cell>
          <cell r="B465" t="str">
            <v>裂空·斩第4段</v>
          </cell>
          <cell r="C465" t="str">
            <v>裂空·斩第4段</v>
          </cell>
          <cell r="D465">
            <v>1</v>
          </cell>
          <cell r="E465">
            <v>17</v>
          </cell>
          <cell r="F465" t="str">
            <v>第4级，共造成185.7%点伤害</v>
          </cell>
          <cell r="G465">
            <v>4</v>
          </cell>
          <cell r="H465">
            <v>4</v>
          </cell>
          <cell r="I465">
            <v>4</v>
          </cell>
          <cell r="J465">
            <v>2</v>
          </cell>
          <cell r="K465">
            <v>185.71428571428572</v>
          </cell>
          <cell r="L465">
            <v>0</v>
          </cell>
          <cell r="M465">
            <v>7680</v>
          </cell>
          <cell r="N465">
            <v>1168</v>
          </cell>
          <cell r="O465">
            <v>4</v>
          </cell>
          <cell r="P465">
            <v>1</v>
          </cell>
          <cell r="Q465">
            <v>1</v>
          </cell>
          <cell r="R465">
            <v>12</v>
          </cell>
          <cell r="S465">
            <v>50</v>
          </cell>
          <cell r="T465">
            <v>178.57142857142858</v>
          </cell>
          <cell r="U465">
            <v>146</v>
          </cell>
          <cell r="V465">
            <v>178.57142857142858</v>
          </cell>
          <cell r="W465">
            <v>8</v>
          </cell>
          <cell r="X465">
            <v>28</v>
          </cell>
          <cell r="Y465">
            <v>18</v>
          </cell>
          <cell r="Z465">
            <v>0</v>
          </cell>
        </row>
        <row r="466">
          <cell r="A466">
            <v>9124405</v>
          </cell>
          <cell r="B466" t="str">
            <v>裂空·斩第4段</v>
          </cell>
          <cell r="C466" t="str">
            <v>裂空·斩第4段</v>
          </cell>
          <cell r="D466">
            <v>1</v>
          </cell>
          <cell r="E466">
            <v>19</v>
          </cell>
          <cell r="F466" t="str">
            <v>第5级，共造成187.5%点伤害</v>
          </cell>
          <cell r="G466">
            <v>4</v>
          </cell>
          <cell r="H466">
            <v>4</v>
          </cell>
          <cell r="I466">
            <v>5</v>
          </cell>
          <cell r="J466">
            <v>2</v>
          </cell>
          <cell r="K466">
            <v>187.5</v>
          </cell>
          <cell r="L466">
            <v>0</v>
          </cell>
          <cell r="M466">
            <v>7600</v>
          </cell>
          <cell r="N466">
            <v>1264</v>
          </cell>
          <cell r="O466">
            <v>4</v>
          </cell>
          <cell r="P466">
            <v>1</v>
          </cell>
          <cell r="Q466">
            <v>1</v>
          </cell>
          <cell r="R466">
            <v>12</v>
          </cell>
          <cell r="S466">
            <v>50</v>
          </cell>
          <cell r="T466">
            <v>178.57142857142858</v>
          </cell>
          <cell r="U466">
            <v>158</v>
          </cell>
          <cell r="V466">
            <v>178.57142857142858</v>
          </cell>
          <cell r="W466">
            <v>8</v>
          </cell>
          <cell r="X466">
            <v>36</v>
          </cell>
          <cell r="Y466">
            <v>18</v>
          </cell>
          <cell r="Z466">
            <v>0</v>
          </cell>
        </row>
        <row r="467">
          <cell r="A467">
            <v>9124406</v>
          </cell>
          <cell r="B467" t="str">
            <v>裂空·斩第4段</v>
          </cell>
          <cell r="C467" t="str">
            <v>裂空·斩第4段</v>
          </cell>
          <cell r="D467">
            <v>1</v>
          </cell>
          <cell r="E467">
            <v>20</v>
          </cell>
          <cell r="F467" t="str">
            <v>第6级，共造成189.3%点伤害</v>
          </cell>
          <cell r="G467">
            <v>4</v>
          </cell>
          <cell r="H467">
            <v>4</v>
          </cell>
          <cell r="I467">
            <v>6</v>
          </cell>
          <cell r="J467">
            <v>2</v>
          </cell>
          <cell r="K467">
            <v>189.28571428571431</v>
          </cell>
          <cell r="L467">
            <v>0</v>
          </cell>
          <cell r="M467">
            <v>7520</v>
          </cell>
          <cell r="N467">
            <v>1638</v>
          </cell>
          <cell r="O467">
            <v>4</v>
          </cell>
          <cell r="P467">
            <v>1</v>
          </cell>
          <cell r="Q467">
            <v>1</v>
          </cell>
          <cell r="R467">
            <v>12</v>
          </cell>
          <cell r="S467">
            <v>50</v>
          </cell>
          <cell r="T467">
            <v>178.57142857142858</v>
          </cell>
          <cell r="U467">
            <v>182</v>
          </cell>
          <cell r="V467">
            <v>178.57142857142858</v>
          </cell>
          <cell r="W467">
            <v>9</v>
          </cell>
          <cell r="X467">
            <v>45</v>
          </cell>
          <cell r="Y467">
            <v>18</v>
          </cell>
          <cell r="Z467">
            <v>0</v>
          </cell>
        </row>
        <row r="468">
          <cell r="A468">
            <v>9124407</v>
          </cell>
          <cell r="B468" t="str">
            <v>裂空·斩第4段</v>
          </cell>
          <cell r="C468" t="str">
            <v>裂空·斩第4段</v>
          </cell>
          <cell r="D468">
            <v>1</v>
          </cell>
          <cell r="E468">
            <v>22</v>
          </cell>
          <cell r="F468" t="str">
            <v>第7级，共造成191.1%点伤害</v>
          </cell>
          <cell r="G468">
            <v>4</v>
          </cell>
          <cell r="H468">
            <v>4</v>
          </cell>
          <cell r="I468">
            <v>7</v>
          </cell>
          <cell r="J468">
            <v>2</v>
          </cell>
          <cell r="K468">
            <v>191.07142857142858</v>
          </cell>
          <cell r="L468">
            <v>0</v>
          </cell>
          <cell r="M468">
            <v>7440</v>
          </cell>
          <cell r="N468">
            <v>2151</v>
          </cell>
          <cell r="O468">
            <v>4</v>
          </cell>
          <cell r="P468">
            <v>1</v>
          </cell>
          <cell r="Q468">
            <v>1</v>
          </cell>
          <cell r="R468">
            <v>12</v>
          </cell>
          <cell r="S468">
            <v>50</v>
          </cell>
          <cell r="T468">
            <v>178.57142857142858</v>
          </cell>
          <cell r="U468">
            <v>239</v>
          </cell>
          <cell r="V468">
            <v>178.57142857142858</v>
          </cell>
          <cell r="W468">
            <v>9</v>
          </cell>
          <cell r="X468">
            <v>54</v>
          </cell>
          <cell r="Y468">
            <v>18</v>
          </cell>
          <cell r="Z468">
            <v>0</v>
          </cell>
        </row>
        <row r="469">
          <cell r="A469">
            <v>9124408</v>
          </cell>
          <cell r="B469" t="str">
            <v>裂空·斩第4段</v>
          </cell>
          <cell r="C469" t="str">
            <v>裂空·斩第4段</v>
          </cell>
          <cell r="D469">
            <v>1</v>
          </cell>
          <cell r="E469">
            <v>23</v>
          </cell>
          <cell r="F469" t="str">
            <v>第8级，共造成192.9%点伤害</v>
          </cell>
          <cell r="G469">
            <v>4</v>
          </cell>
          <cell r="H469">
            <v>4</v>
          </cell>
          <cell r="I469">
            <v>8</v>
          </cell>
          <cell r="J469">
            <v>2</v>
          </cell>
          <cell r="K469">
            <v>192.85714285714286</v>
          </cell>
          <cell r="L469">
            <v>0</v>
          </cell>
          <cell r="M469">
            <v>7360</v>
          </cell>
          <cell r="N469">
            <v>2700</v>
          </cell>
          <cell r="O469">
            <v>4</v>
          </cell>
          <cell r="P469">
            <v>1</v>
          </cell>
          <cell r="Q469">
            <v>1</v>
          </cell>
          <cell r="R469">
            <v>12</v>
          </cell>
          <cell r="S469">
            <v>50</v>
          </cell>
          <cell r="T469">
            <v>178.57142857142858</v>
          </cell>
          <cell r="U469">
            <v>270</v>
          </cell>
          <cell r="V469">
            <v>178.57142857142858</v>
          </cell>
          <cell r="W469">
            <v>10</v>
          </cell>
          <cell r="X469">
            <v>64</v>
          </cell>
          <cell r="Y469">
            <v>18</v>
          </cell>
          <cell r="Z469">
            <v>0</v>
          </cell>
        </row>
        <row r="470">
          <cell r="A470">
            <v>9124409</v>
          </cell>
          <cell r="B470" t="str">
            <v>裂空·斩第4段</v>
          </cell>
          <cell r="C470" t="str">
            <v>裂空·斩第4段</v>
          </cell>
          <cell r="D470">
            <v>1</v>
          </cell>
          <cell r="E470">
            <v>24</v>
          </cell>
          <cell r="F470" t="str">
            <v>第9级，共造成194.6%点伤害</v>
          </cell>
          <cell r="G470">
            <v>4</v>
          </cell>
          <cell r="H470">
            <v>4</v>
          </cell>
          <cell r="I470">
            <v>9</v>
          </cell>
          <cell r="J470">
            <v>2</v>
          </cell>
          <cell r="K470">
            <v>194.64285714285717</v>
          </cell>
          <cell r="L470">
            <v>0</v>
          </cell>
          <cell r="M470">
            <v>7280</v>
          </cell>
          <cell r="N470">
            <v>3322</v>
          </cell>
          <cell r="O470">
            <v>4</v>
          </cell>
          <cell r="P470">
            <v>1</v>
          </cell>
          <cell r="Q470">
            <v>1</v>
          </cell>
          <cell r="R470">
            <v>12</v>
          </cell>
          <cell r="S470">
            <v>50</v>
          </cell>
          <cell r="T470">
            <v>178.57142857142858</v>
          </cell>
          <cell r="U470">
            <v>302</v>
          </cell>
          <cell r="V470">
            <v>178.57142857142858</v>
          </cell>
          <cell r="W470">
            <v>11</v>
          </cell>
          <cell r="X470">
            <v>75</v>
          </cell>
          <cell r="Y470">
            <v>18</v>
          </cell>
          <cell r="Z470">
            <v>0</v>
          </cell>
        </row>
        <row r="471">
          <cell r="A471">
            <v>9124410</v>
          </cell>
          <cell r="B471" t="str">
            <v>裂空·斩第4段</v>
          </cell>
          <cell r="C471" t="str">
            <v>裂空·斩第4段</v>
          </cell>
          <cell r="D471">
            <v>1</v>
          </cell>
          <cell r="E471">
            <v>26</v>
          </cell>
          <cell r="F471" t="str">
            <v>第10级，共造成196.4%点伤害</v>
          </cell>
          <cell r="G471">
            <v>4</v>
          </cell>
          <cell r="H471">
            <v>4</v>
          </cell>
          <cell r="I471">
            <v>10</v>
          </cell>
          <cell r="J471">
            <v>2</v>
          </cell>
          <cell r="K471">
            <v>196.42857142857144</v>
          </cell>
          <cell r="L471">
            <v>0</v>
          </cell>
          <cell r="M471">
            <v>7200</v>
          </cell>
          <cell r="N471">
            <v>4440</v>
          </cell>
          <cell r="O471">
            <v>4</v>
          </cell>
          <cell r="P471">
            <v>1</v>
          </cell>
          <cell r="Q471">
            <v>1</v>
          </cell>
          <cell r="R471">
            <v>12</v>
          </cell>
          <cell r="S471">
            <v>50</v>
          </cell>
          <cell r="T471">
            <v>178.57142857142858</v>
          </cell>
          <cell r="U471">
            <v>370</v>
          </cell>
          <cell r="V471">
            <v>178.57142857142858</v>
          </cell>
          <cell r="W471">
            <v>12</v>
          </cell>
          <cell r="X471">
            <v>87</v>
          </cell>
          <cell r="Y471">
            <v>18</v>
          </cell>
          <cell r="Z471">
            <v>0</v>
          </cell>
        </row>
        <row r="472">
          <cell r="A472">
            <v>9124411</v>
          </cell>
          <cell r="B472" t="str">
            <v>裂空·斩第4段</v>
          </cell>
          <cell r="C472" t="str">
            <v>裂空·斩第4段</v>
          </cell>
          <cell r="D472">
            <v>1</v>
          </cell>
          <cell r="E472">
            <v>27</v>
          </cell>
          <cell r="F472" t="str">
            <v>第11级，共造成198.2%点伤害</v>
          </cell>
          <cell r="G472">
            <v>4</v>
          </cell>
          <cell r="H472">
            <v>4</v>
          </cell>
          <cell r="I472">
            <v>11</v>
          </cell>
          <cell r="J472">
            <v>2</v>
          </cell>
          <cell r="K472">
            <v>198.21428571428572</v>
          </cell>
          <cell r="L472">
            <v>0</v>
          </cell>
          <cell r="M472">
            <v>7120</v>
          </cell>
          <cell r="N472">
            <v>4872</v>
          </cell>
          <cell r="O472">
            <v>4</v>
          </cell>
          <cell r="P472">
            <v>1</v>
          </cell>
          <cell r="Q472">
            <v>1</v>
          </cell>
          <cell r="R472">
            <v>12</v>
          </cell>
          <cell r="S472">
            <v>50</v>
          </cell>
          <cell r="T472">
            <v>178.57142857142858</v>
          </cell>
          <cell r="U472">
            <v>406</v>
          </cell>
          <cell r="V472">
            <v>178.57142857142858</v>
          </cell>
          <cell r="W472">
            <v>12</v>
          </cell>
          <cell r="X472">
            <v>99</v>
          </cell>
          <cell r="Y472">
            <v>18</v>
          </cell>
          <cell r="Z472">
            <v>0</v>
          </cell>
        </row>
        <row r="473">
          <cell r="A473">
            <v>9124412</v>
          </cell>
          <cell r="B473" t="str">
            <v>裂空·斩第4段</v>
          </cell>
          <cell r="C473" t="str">
            <v>裂空·斩第4段</v>
          </cell>
          <cell r="D473">
            <v>1</v>
          </cell>
          <cell r="E473">
            <v>28</v>
          </cell>
          <cell r="F473" t="str">
            <v>第12级，共造成200%点伤害</v>
          </cell>
          <cell r="G473">
            <v>4</v>
          </cell>
          <cell r="H473">
            <v>4</v>
          </cell>
          <cell r="I473">
            <v>12</v>
          </cell>
          <cell r="J473">
            <v>2</v>
          </cell>
          <cell r="K473">
            <v>200</v>
          </cell>
          <cell r="L473">
            <v>0</v>
          </cell>
          <cell r="M473">
            <v>7040</v>
          </cell>
          <cell r="N473">
            <v>5759</v>
          </cell>
          <cell r="O473">
            <v>4</v>
          </cell>
          <cell r="P473">
            <v>1</v>
          </cell>
          <cell r="Q473">
            <v>1</v>
          </cell>
          <cell r="R473">
            <v>12</v>
          </cell>
          <cell r="S473">
            <v>50</v>
          </cell>
          <cell r="T473">
            <v>178.57142857142858</v>
          </cell>
          <cell r="U473">
            <v>443</v>
          </cell>
          <cell r="V473">
            <v>178.57142857142858</v>
          </cell>
          <cell r="W473">
            <v>13</v>
          </cell>
          <cell r="X473">
            <v>112</v>
          </cell>
          <cell r="Y473">
            <v>18</v>
          </cell>
          <cell r="Z473">
            <v>0</v>
          </cell>
        </row>
        <row r="474">
          <cell r="A474">
            <v>9124413</v>
          </cell>
          <cell r="B474" t="str">
            <v>裂空·斩第4段</v>
          </cell>
          <cell r="C474" t="str">
            <v>裂空·斩第4段</v>
          </cell>
          <cell r="D474">
            <v>1</v>
          </cell>
          <cell r="E474">
            <v>30</v>
          </cell>
          <cell r="F474" t="str">
            <v>第13级，共造成201.8%点伤害</v>
          </cell>
          <cell r="G474">
            <v>4</v>
          </cell>
          <cell r="H474">
            <v>4</v>
          </cell>
          <cell r="I474">
            <v>13</v>
          </cell>
          <cell r="J474">
            <v>2</v>
          </cell>
          <cell r="K474">
            <v>201.78571428571431</v>
          </cell>
          <cell r="L474">
            <v>0</v>
          </cell>
          <cell r="M474">
            <v>6960</v>
          </cell>
          <cell r="N474">
            <v>7308</v>
          </cell>
          <cell r="O474">
            <v>4</v>
          </cell>
          <cell r="P474">
            <v>1</v>
          </cell>
          <cell r="Q474">
            <v>1</v>
          </cell>
          <cell r="R474">
            <v>12</v>
          </cell>
          <cell r="S474">
            <v>50</v>
          </cell>
          <cell r="T474">
            <v>178.57142857142858</v>
          </cell>
          <cell r="U474">
            <v>522</v>
          </cell>
          <cell r="V474">
            <v>178.57142857142858</v>
          </cell>
          <cell r="W474">
            <v>14</v>
          </cell>
          <cell r="X474">
            <v>126</v>
          </cell>
          <cell r="Y474">
            <v>18</v>
          </cell>
          <cell r="Z474">
            <v>0</v>
          </cell>
        </row>
        <row r="475">
          <cell r="A475">
            <v>9124414</v>
          </cell>
          <cell r="B475" t="str">
            <v>裂空·斩第4段</v>
          </cell>
          <cell r="C475" t="str">
            <v>裂空·斩第4段</v>
          </cell>
          <cell r="D475">
            <v>1</v>
          </cell>
          <cell r="E475">
            <v>31</v>
          </cell>
          <cell r="F475" t="str">
            <v>第14级，共造成203.6%点伤害</v>
          </cell>
          <cell r="G475">
            <v>4</v>
          </cell>
          <cell r="H475">
            <v>4</v>
          </cell>
          <cell r="I475">
            <v>14</v>
          </cell>
          <cell r="J475">
            <v>2</v>
          </cell>
          <cell r="K475">
            <v>203.57142857142858</v>
          </cell>
          <cell r="L475">
            <v>0</v>
          </cell>
          <cell r="M475">
            <v>6880</v>
          </cell>
          <cell r="N475">
            <v>8445</v>
          </cell>
          <cell r="O475">
            <v>4</v>
          </cell>
          <cell r="P475">
            <v>1</v>
          </cell>
          <cell r="Q475">
            <v>1</v>
          </cell>
          <cell r="R475">
            <v>12</v>
          </cell>
          <cell r="S475">
            <v>50</v>
          </cell>
          <cell r="T475">
            <v>178.57142857142858</v>
          </cell>
          <cell r="U475">
            <v>563</v>
          </cell>
          <cell r="V475">
            <v>178.57142857142858</v>
          </cell>
          <cell r="W475">
            <v>15</v>
          </cell>
          <cell r="X475">
            <v>141</v>
          </cell>
          <cell r="Y475">
            <v>18</v>
          </cell>
          <cell r="Z475">
            <v>0</v>
          </cell>
        </row>
        <row r="476">
          <cell r="A476">
            <v>9124415</v>
          </cell>
          <cell r="B476" t="str">
            <v>裂空·斩第4段</v>
          </cell>
          <cell r="C476" t="str">
            <v>裂空·斩第4段</v>
          </cell>
          <cell r="D476">
            <v>1</v>
          </cell>
          <cell r="E476">
            <v>32</v>
          </cell>
          <cell r="F476" t="str">
            <v>第15级，共造成205.4%点伤害</v>
          </cell>
          <cell r="G476">
            <v>4</v>
          </cell>
          <cell r="H476">
            <v>4</v>
          </cell>
          <cell r="I476">
            <v>15</v>
          </cell>
          <cell r="J476">
            <v>2</v>
          </cell>
          <cell r="K476">
            <v>205.35714285714286</v>
          </cell>
          <cell r="L476">
            <v>0</v>
          </cell>
          <cell r="M476">
            <v>6800</v>
          </cell>
          <cell r="N476">
            <v>9696</v>
          </cell>
          <cell r="O476">
            <v>4</v>
          </cell>
          <cell r="P476">
            <v>1</v>
          </cell>
          <cell r="Q476">
            <v>1</v>
          </cell>
          <cell r="R476">
            <v>12</v>
          </cell>
          <cell r="S476">
            <v>50</v>
          </cell>
          <cell r="T476">
            <v>178.57142857142858</v>
          </cell>
          <cell r="U476">
            <v>606</v>
          </cell>
          <cell r="V476">
            <v>178.57142857142858</v>
          </cell>
          <cell r="W476">
            <v>16</v>
          </cell>
          <cell r="X476">
            <v>157</v>
          </cell>
          <cell r="Y476">
            <v>18</v>
          </cell>
          <cell r="Z476">
            <v>0</v>
          </cell>
        </row>
        <row r="477">
          <cell r="A477">
            <v>9124416</v>
          </cell>
          <cell r="B477" t="str">
            <v>裂空·斩第4段</v>
          </cell>
          <cell r="C477" t="str">
            <v>裂空·斩第4段</v>
          </cell>
          <cell r="D477">
            <v>1</v>
          </cell>
          <cell r="E477">
            <v>34</v>
          </cell>
          <cell r="F477" t="str">
            <v>第16级，共造成207.1%点伤害</v>
          </cell>
          <cell r="G477">
            <v>4</v>
          </cell>
          <cell r="H477">
            <v>4</v>
          </cell>
          <cell r="I477">
            <v>16</v>
          </cell>
          <cell r="J477">
            <v>2</v>
          </cell>
          <cell r="K477">
            <v>207.14285714285717</v>
          </cell>
          <cell r="L477">
            <v>0</v>
          </cell>
          <cell r="M477">
            <v>6720</v>
          </cell>
          <cell r="N477">
            <v>11832</v>
          </cell>
          <cell r="O477">
            <v>4</v>
          </cell>
          <cell r="P477">
            <v>1</v>
          </cell>
          <cell r="Q477">
            <v>1</v>
          </cell>
          <cell r="R477">
            <v>12</v>
          </cell>
          <cell r="S477">
            <v>50</v>
          </cell>
          <cell r="T477">
            <v>178.57142857142858</v>
          </cell>
          <cell r="U477">
            <v>696</v>
          </cell>
          <cell r="V477">
            <v>178.57142857142858</v>
          </cell>
          <cell r="W477">
            <v>17</v>
          </cell>
          <cell r="X477">
            <v>174</v>
          </cell>
          <cell r="Y477">
            <v>18</v>
          </cell>
          <cell r="Z477">
            <v>0</v>
          </cell>
        </row>
        <row r="478">
          <cell r="A478">
            <v>9124417</v>
          </cell>
          <cell r="B478" t="str">
            <v>裂空·斩第4段</v>
          </cell>
          <cell r="C478" t="str">
            <v>裂空·斩第4段</v>
          </cell>
          <cell r="D478">
            <v>1</v>
          </cell>
          <cell r="E478">
            <v>35</v>
          </cell>
          <cell r="F478" t="str">
            <v>第17级，共造成208.9%点伤害</v>
          </cell>
          <cell r="G478">
            <v>4</v>
          </cell>
          <cell r="H478">
            <v>4</v>
          </cell>
          <cell r="I478">
            <v>17</v>
          </cell>
          <cell r="J478">
            <v>2</v>
          </cell>
          <cell r="K478">
            <v>208.92857142857144</v>
          </cell>
          <cell r="L478">
            <v>0</v>
          </cell>
          <cell r="M478">
            <v>6640</v>
          </cell>
          <cell r="N478">
            <v>14117</v>
          </cell>
          <cell r="O478">
            <v>4</v>
          </cell>
          <cell r="P478">
            <v>1</v>
          </cell>
          <cell r="Q478">
            <v>1</v>
          </cell>
          <cell r="R478">
            <v>12</v>
          </cell>
          <cell r="S478">
            <v>50</v>
          </cell>
          <cell r="T478">
            <v>178.57142857142858</v>
          </cell>
          <cell r="U478">
            <v>743</v>
          </cell>
          <cell r="V478">
            <v>178.57142857142858</v>
          </cell>
          <cell r="W478">
            <v>19</v>
          </cell>
          <cell r="X478">
            <v>193</v>
          </cell>
          <cell r="Y478">
            <v>18</v>
          </cell>
          <cell r="Z478">
            <v>0</v>
          </cell>
        </row>
        <row r="479">
          <cell r="A479">
            <v>9124418</v>
          </cell>
          <cell r="B479" t="str">
            <v>裂空·斩第4段</v>
          </cell>
          <cell r="C479" t="str">
            <v>裂空·斩第4段</v>
          </cell>
          <cell r="D479">
            <v>1</v>
          </cell>
          <cell r="E479">
            <v>36</v>
          </cell>
          <cell r="F479" t="str">
            <v>第18级，共造成210.7%点伤害</v>
          </cell>
          <cell r="G479">
            <v>4</v>
          </cell>
          <cell r="H479">
            <v>4</v>
          </cell>
          <cell r="I479">
            <v>18</v>
          </cell>
          <cell r="J479">
            <v>2</v>
          </cell>
          <cell r="K479">
            <v>210.71428571428572</v>
          </cell>
          <cell r="L479">
            <v>0</v>
          </cell>
          <cell r="M479">
            <v>6560</v>
          </cell>
          <cell r="N479">
            <v>15820</v>
          </cell>
          <cell r="O479">
            <v>4</v>
          </cell>
          <cell r="P479">
            <v>1</v>
          </cell>
          <cell r="Q479">
            <v>1</v>
          </cell>
          <cell r="R479">
            <v>12</v>
          </cell>
          <cell r="S479">
            <v>50</v>
          </cell>
          <cell r="T479">
            <v>178.57142857142858</v>
          </cell>
          <cell r="U479">
            <v>791</v>
          </cell>
          <cell r="V479">
            <v>178.57142857142858</v>
          </cell>
          <cell r="W479">
            <v>20</v>
          </cell>
          <cell r="X479">
            <v>213</v>
          </cell>
          <cell r="Y479">
            <v>18</v>
          </cell>
          <cell r="Z479">
            <v>8</v>
          </cell>
        </row>
        <row r="480">
          <cell r="A480">
            <v>9124419</v>
          </cell>
          <cell r="B480" t="str">
            <v>裂空·斩第4段</v>
          </cell>
          <cell r="C480" t="str">
            <v>裂空·斩第4段</v>
          </cell>
          <cell r="D480">
            <v>1</v>
          </cell>
          <cell r="E480">
            <v>38</v>
          </cell>
          <cell r="F480" t="str">
            <v>第19级，共造成212.5%点伤害</v>
          </cell>
          <cell r="G480">
            <v>4</v>
          </cell>
          <cell r="H480">
            <v>4</v>
          </cell>
          <cell r="I480">
            <v>19</v>
          </cell>
          <cell r="J480">
            <v>2</v>
          </cell>
          <cell r="K480">
            <v>212.5</v>
          </cell>
          <cell r="L480">
            <v>0</v>
          </cell>
          <cell r="M480">
            <v>6480</v>
          </cell>
          <cell r="N480">
            <v>18732</v>
          </cell>
          <cell r="O480">
            <v>4</v>
          </cell>
          <cell r="P480">
            <v>1</v>
          </cell>
          <cell r="Q480">
            <v>1</v>
          </cell>
          <cell r="R480">
            <v>12</v>
          </cell>
          <cell r="S480">
            <v>50</v>
          </cell>
          <cell r="T480">
            <v>178.57142857142858</v>
          </cell>
          <cell r="U480">
            <v>892</v>
          </cell>
          <cell r="V480">
            <v>178.57142857142858</v>
          </cell>
          <cell r="W480">
            <v>21</v>
          </cell>
          <cell r="X480">
            <v>234</v>
          </cell>
          <cell r="Y480">
            <v>18</v>
          </cell>
          <cell r="Z480">
            <v>9</v>
          </cell>
        </row>
        <row r="481">
          <cell r="A481">
            <v>9124420</v>
          </cell>
          <cell r="B481" t="str">
            <v>裂空·斩第4段</v>
          </cell>
          <cell r="C481" t="str">
            <v>裂空·斩第4段</v>
          </cell>
          <cell r="D481">
            <v>1</v>
          </cell>
          <cell r="E481">
            <v>39</v>
          </cell>
          <cell r="F481" t="str">
            <v>第20级，共造成214.3%点伤害</v>
          </cell>
          <cell r="G481">
            <v>4</v>
          </cell>
          <cell r="H481">
            <v>4</v>
          </cell>
          <cell r="I481">
            <v>20</v>
          </cell>
          <cell r="J481">
            <v>2</v>
          </cell>
          <cell r="K481">
            <v>214.28571428571431</v>
          </cell>
          <cell r="L481">
            <v>0</v>
          </cell>
          <cell r="M481">
            <v>6400</v>
          </cell>
          <cell r="N481">
            <v>21712</v>
          </cell>
          <cell r="O481">
            <v>4</v>
          </cell>
          <cell r="P481">
            <v>1</v>
          </cell>
          <cell r="Q481">
            <v>1</v>
          </cell>
          <cell r="R481">
            <v>12</v>
          </cell>
          <cell r="S481">
            <v>50</v>
          </cell>
          <cell r="T481">
            <v>178.57142857142858</v>
          </cell>
          <cell r="U481">
            <v>944</v>
          </cell>
          <cell r="V481">
            <v>178.57142857142858</v>
          </cell>
          <cell r="W481">
            <v>23</v>
          </cell>
          <cell r="X481">
            <v>257</v>
          </cell>
          <cell r="Y481">
            <v>18</v>
          </cell>
          <cell r="Z481">
            <v>10</v>
          </cell>
        </row>
        <row r="482">
          <cell r="A482">
            <v>9124421</v>
          </cell>
          <cell r="B482" t="str">
            <v>裂空·斩第4段</v>
          </cell>
          <cell r="C482" t="str">
            <v>裂空·斩第4段</v>
          </cell>
          <cell r="D482">
            <v>1</v>
          </cell>
          <cell r="E482">
            <v>41</v>
          </cell>
          <cell r="F482" t="str">
            <v>第21级，共造成216.1%点伤害</v>
          </cell>
          <cell r="G482">
            <v>4</v>
          </cell>
          <cell r="H482">
            <v>4</v>
          </cell>
          <cell r="I482">
            <v>21</v>
          </cell>
          <cell r="J482">
            <v>2</v>
          </cell>
          <cell r="K482">
            <v>216.07142857142858</v>
          </cell>
          <cell r="L482">
            <v>0</v>
          </cell>
          <cell r="M482">
            <v>6320</v>
          </cell>
          <cell r="N482">
            <v>25272</v>
          </cell>
          <cell r="O482">
            <v>4</v>
          </cell>
          <cell r="P482">
            <v>1</v>
          </cell>
          <cell r="Q482">
            <v>1</v>
          </cell>
          <cell r="R482">
            <v>12</v>
          </cell>
          <cell r="S482">
            <v>50</v>
          </cell>
          <cell r="T482">
            <v>178.57142857142858</v>
          </cell>
          <cell r="U482">
            <v>1053</v>
          </cell>
          <cell r="V482">
            <v>178.57142857142858</v>
          </cell>
          <cell r="W482">
            <v>24</v>
          </cell>
          <cell r="X482">
            <v>281</v>
          </cell>
          <cell r="Y482">
            <v>18</v>
          </cell>
          <cell r="Z482">
            <v>10</v>
          </cell>
        </row>
        <row r="483">
          <cell r="A483">
            <v>9124422</v>
          </cell>
          <cell r="B483" t="str">
            <v>裂空·斩第4段</v>
          </cell>
          <cell r="C483" t="str">
            <v>裂空·斩第4段</v>
          </cell>
          <cell r="D483">
            <v>1</v>
          </cell>
          <cell r="E483">
            <v>42</v>
          </cell>
          <cell r="F483" t="str">
            <v>第22级，共造成217.9%点伤害</v>
          </cell>
          <cell r="G483">
            <v>4</v>
          </cell>
          <cell r="H483">
            <v>4</v>
          </cell>
          <cell r="I483">
            <v>22</v>
          </cell>
          <cell r="J483">
            <v>2</v>
          </cell>
          <cell r="K483">
            <v>217.85714285714286</v>
          </cell>
          <cell r="L483">
            <v>0</v>
          </cell>
          <cell r="M483">
            <v>6240</v>
          </cell>
          <cell r="N483">
            <v>28860</v>
          </cell>
          <cell r="O483">
            <v>4</v>
          </cell>
          <cell r="P483">
            <v>1</v>
          </cell>
          <cell r="Q483">
            <v>1</v>
          </cell>
          <cell r="R483">
            <v>12</v>
          </cell>
          <cell r="S483">
            <v>50</v>
          </cell>
          <cell r="T483">
            <v>178.57142857142858</v>
          </cell>
          <cell r="U483">
            <v>1110</v>
          </cell>
          <cell r="V483">
            <v>178.57142857142858</v>
          </cell>
          <cell r="W483">
            <v>26</v>
          </cell>
          <cell r="X483">
            <v>307</v>
          </cell>
          <cell r="Y483">
            <v>18</v>
          </cell>
          <cell r="Z483">
            <v>11</v>
          </cell>
        </row>
        <row r="484">
          <cell r="A484">
            <v>9124423</v>
          </cell>
          <cell r="B484" t="str">
            <v>裂空·斩第4段</v>
          </cell>
          <cell r="C484" t="str">
            <v>裂空·斩第4段</v>
          </cell>
          <cell r="D484">
            <v>1</v>
          </cell>
          <cell r="E484">
            <v>43</v>
          </cell>
          <cell r="F484" t="str">
            <v>第23级，共造成219.6%点伤害</v>
          </cell>
          <cell r="G484">
            <v>4</v>
          </cell>
          <cell r="H484">
            <v>4</v>
          </cell>
          <cell r="I484">
            <v>23</v>
          </cell>
          <cell r="J484">
            <v>2</v>
          </cell>
          <cell r="K484">
            <v>219.64285714285717</v>
          </cell>
          <cell r="L484">
            <v>0</v>
          </cell>
          <cell r="M484">
            <v>6160</v>
          </cell>
          <cell r="N484">
            <v>32676</v>
          </cell>
          <cell r="O484">
            <v>4</v>
          </cell>
          <cell r="P484">
            <v>1</v>
          </cell>
          <cell r="Q484">
            <v>1</v>
          </cell>
          <cell r="R484">
            <v>12</v>
          </cell>
          <cell r="S484">
            <v>50</v>
          </cell>
          <cell r="T484">
            <v>178.57142857142858</v>
          </cell>
          <cell r="U484">
            <v>1167</v>
          </cell>
          <cell r="V484">
            <v>178.57142857142858</v>
          </cell>
          <cell r="W484">
            <v>28</v>
          </cell>
          <cell r="X484">
            <v>335</v>
          </cell>
          <cell r="Y484">
            <v>18</v>
          </cell>
          <cell r="Z484">
            <v>12</v>
          </cell>
        </row>
        <row r="485">
          <cell r="A485">
            <v>9124424</v>
          </cell>
          <cell r="B485" t="str">
            <v>裂空·斩第4段</v>
          </cell>
          <cell r="C485" t="str">
            <v>裂空·斩第4段</v>
          </cell>
          <cell r="D485">
            <v>1</v>
          </cell>
          <cell r="E485">
            <v>45</v>
          </cell>
          <cell r="F485" t="str">
            <v>第24级，共造成221.4%点伤害</v>
          </cell>
          <cell r="G485">
            <v>4</v>
          </cell>
          <cell r="H485">
            <v>4</v>
          </cell>
          <cell r="I485">
            <v>24</v>
          </cell>
          <cell r="J485">
            <v>2</v>
          </cell>
          <cell r="K485">
            <v>221.42857142857144</v>
          </cell>
          <cell r="L485">
            <v>0</v>
          </cell>
          <cell r="M485">
            <v>6080</v>
          </cell>
          <cell r="N485">
            <v>38610</v>
          </cell>
          <cell r="O485">
            <v>4</v>
          </cell>
          <cell r="P485">
            <v>1</v>
          </cell>
          <cell r="Q485">
            <v>1</v>
          </cell>
          <cell r="R485">
            <v>12</v>
          </cell>
          <cell r="S485">
            <v>50</v>
          </cell>
          <cell r="T485">
            <v>178.57142857142858</v>
          </cell>
          <cell r="U485">
            <v>1287</v>
          </cell>
          <cell r="V485">
            <v>178.57142857142858</v>
          </cell>
          <cell r="W485">
            <v>30</v>
          </cell>
          <cell r="X485">
            <v>365</v>
          </cell>
          <cell r="Y485">
            <v>18</v>
          </cell>
          <cell r="Z485">
            <v>12</v>
          </cell>
        </row>
        <row r="486">
          <cell r="A486">
            <v>9124425</v>
          </cell>
          <cell r="B486" t="str">
            <v>裂空·斩第4段</v>
          </cell>
          <cell r="C486" t="str">
            <v>裂空·斩第4段</v>
          </cell>
          <cell r="D486">
            <v>1</v>
          </cell>
          <cell r="E486">
            <v>46</v>
          </cell>
          <cell r="F486" t="str">
            <v>第25级，共造成223.2%点伤害</v>
          </cell>
          <cell r="G486">
            <v>4</v>
          </cell>
          <cell r="H486">
            <v>4</v>
          </cell>
          <cell r="I486">
            <v>25</v>
          </cell>
          <cell r="J486">
            <v>2</v>
          </cell>
          <cell r="K486">
            <v>223.21428571428572</v>
          </cell>
          <cell r="L486">
            <v>0</v>
          </cell>
          <cell r="M486">
            <v>6000</v>
          </cell>
          <cell r="N486">
            <v>43168</v>
          </cell>
          <cell r="O486">
            <v>4</v>
          </cell>
          <cell r="P486">
            <v>1</v>
          </cell>
          <cell r="Q486">
            <v>1</v>
          </cell>
          <cell r="R486">
            <v>12</v>
          </cell>
          <cell r="S486">
            <v>50</v>
          </cell>
          <cell r="T486">
            <v>178.57142857142858</v>
          </cell>
          <cell r="U486">
            <v>1349</v>
          </cell>
          <cell r="V486">
            <v>178.57142857142858</v>
          </cell>
          <cell r="W486">
            <v>32</v>
          </cell>
          <cell r="X486">
            <v>397</v>
          </cell>
          <cell r="Y486">
            <v>18</v>
          </cell>
          <cell r="Z486">
            <v>13</v>
          </cell>
        </row>
        <row r="487">
          <cell r="A487">
            <v>9124426</v>
          </cell>
          <cell r="B487" t="str">
            <v>裂空·斩第4段</v>
          </cell>
          <cell r="C487" t="str">
            <v>裂空·斩第4段</v>
          </cell>
          <cell r="D487">
            <v>1</v>
          </cell>
          <cell r="E487">
            <v>47</v>
          </cell>
          <cell r="F487" t="str">
            <v>第26级，共造成225%点伤害</v>
          </cell>
          <cell r="G487">
            <v>4</v>
          </cell>
          <cell r="H487">
            <v>4</v>
          </cell>
          <cell r="I487">
            <v>26</v>
          </cell>
          <cell r="J487">
            <v>2</v>
          </cell>
          <cell r="K487">
            <v>225</v>
          </cell>
          <cell r="L487">
            <v>0</v>
          </cell>
          <cell r="M487">
            <v>5920</v>
          </cell>
          <cell r="N487">
            <v>48008</v>
          </cell>
          <cell r="O487">
            <v>4</v>
          </cell>
          <cell r="P487">
            <v>1</v>
          </cell>
          <cell r="Q487">
            <v>1</v>
          </cell>
          <cell r="R487">
            <v>12</v>
          </cell>
          <cell r="S487">
            <v>50</v>
          </cell>
          <cell r="T487">
            <v>178.57142857142858</v>
          </cell>
          <cell r="U487">
            <v>1412</v>
          </cell>
          <cell r="V487">
            <v>178.57142857142858</v>
          </cell>
          <cell r="W487">
            <v>34</v>
          </cell>
          <cell r="X487">
            <v>431</v>
          </cell>
          <cell r="Y487">
            <v>18</v>
          </cell>
          <cell r="Z487">
            <v>14</v>
          </cell>
        </row>
        <row r="488">
          <cell r="A488">
            <v>9124427</v>
          </cell>
          <cell r="B488" t="str">
            <v>裂空·斩第4段</v>
          </cell>
          <cell r="C488" t="str">
            <v>裂空·斩第4段</v>
          </cell>
          <cell r="D488">
            <v>1</v>
          </cell>
          <cell r="E488">
            <v>49</v>
          </cell>
          <cell r="F488" t="str">
            <v>第27级，共造成226.8%点伤害</v>
          </cell>
          <cell r="G488">
            <v>4</v>
          </cell>
          <cell r="H488">
            <v>4</v>
          </cell>
          <cell r="I488">
            <v>27</v>
          </cell>
          <cell r="J488">
            <v>2</v>
          </cell>
          <cell r="K488">
            <v>226.78571428571431</v>
          </cell>
          <cell r="L488">
            <v>0</v>
          </cell>
          <cell r="M488">
            <v>5840</v>
          </cell>
          <cell r="N488">
            <v>55548</v>
          </cell>
          <cell r="O488">
            <v>4</v>
          </cell>
          <cell r="P488">
            <v>1</v>
          </cell>
          <cell r="Q488">
            <v>1</v>
          </cell>
          <cell r="R488">
            <v>12</v>
          </cell>
          <cell r="S488">
            <v>50</v>
          </cell>
          <cell r="T488">
            <v>178.57142857142858</v>
          </cell>
          <cell r="U488">
            <v>1543</v>
          </cell>
          <cell r="V488">
            <v>178.57142857142858</v>
          </cell>
          <cell r="W488">
            <v>36</v>
          </cell>
          <cell r="X488">
            <v>467</v>
          </cell>
          <cell r="Y488">
            <v>18</v>
          </cell>
          <cell r="Z488">
            <v>15</v>
          </cell>
        </row>
        <row r="489">
          <cell r="A489">
            <v>9124428</v>
          </cell>
          <cell r="B489" t="str">
            <v>裂空·斩第4段</v>
          </cell>
          <cell r="C489" t="str">
            <v>裂空·斩第4段</v>
          </cell>
          <cell r="D489">
            <v>1</v>
          </cell>
          <cell r="E489">
            <v>50</v>
          </cell>
          <cell r="F489" t="str">
            <v>第28级，共造成228.6%点伤害</v>
          </cell>
          <cell r="G489">
            <v>4</v>
          </cell>
          <cell r="H489">
            <v>4</v>
          </cell>
          <cell r="I489">
            <v>28</v>
          </cell>
          <cell r="J489">
            <v>2</v>
          </cell>
          <cell r="K489">
            <v>228.57142857142858</v>
          </cell>
          <cell r="L489">
            <v>0</v>
          </cell>
          <cell r="M489">
            <v>5760</v>
          </cell>
          <cell r="N489">
            <v>62790</v>
          </cell>
          <cell r="O489">
            <v>4</v>
          </cell>
          <cell r="P489">
            <v>1</v>
          </cell>
          <cell r="Q489">
            <v>1</v>
          </cell>
          <cell r="R489">
            <v>12</v>
          </cell>
          <cell r="S489">
            <v>50</v>
          </cell>
          <cell r="T489">
            <v>178.57142857142858</v>
          </cell>
          <cell r="U489">
            <v>1610</v>
          </cell>
          <cell r="V489">
            <v>178.57142857142858</v>
          </cell>
          <cell r="W489">
            <v>39</v>
          </cell>
          <cell r="X489">
            <v>506</v>
          </cell>
          <cell r="Y489">
            <v>18</v>
          </cell>
          <cell r="Z489">
            <v>16</v>
          </cell>
        </row>
        <row r="490">
          <cell r="A490">
            <v>9124429</v>
          </cell>
          <cell r="B490" t="str">
            <v>裂空·斩第4段</v>
          </cell>
          <cell r="C490" t="str">
            <v>裂空·斩第4段</v>
          </cell>
          <cell r="D490">
            <v>1</v>
          </cell>
          <cell r="E490">
            <v>51</v>
          </cell>
          <cell r="F490" t="str">
            <v>第29级，共造成230.4%点伤害</v>
          </cell>
          <cell r="G490">
            <v>4</v>
          </cell>
          <cell r="H490">
            <v>4</v>
          </cell>
          <cell r="I490">
            <v>29</v>
          </cell>
          <cell r="J490">
            <v>2</v>
          </cell>
          <cell r="K490">
            <v>230.35714285714289</v>
          </cell>
          <cell r="L490">
            <v>0</v>
          </cell>
          <cell r="M490">
            <v>5680</v>
          </cell>
          <cell r="N490">
            <v>70518</v>
          </cell>
          <cell r="O490">
            <v>4</v>
          </cell>
          <cell r="P490">
            <v>1</v>
          </cell>
          <cell r="Q490">
            <v>1</v>
          </cell>
          <cell r="R490">
            <v>12</v>
          </cell>
          <cell r="S490">
            <v>50</v>
          </cell>
          <cell r="T490">
            <v>178.57142857142858</v>
          </cell>
          <cell r="U490">
            <v>1679</v>
          </cell>
          <cell r="V490">
            <v>178.57142857142858</v>
          </cell>
          <cell r="W490">
            <v>42</v>
          </cell>
          <cell r="X490">
            <v>548</v>
          </cell>
          <cell r="Y490">
            <v>18</v>
          </cell>
          <cell r="Z490">
            <v>17</v>
          </cell>
        </row>
        <row r="491">
          <cell r="A491">
            <v>9124430</v>
          </cell>
          <cell r="B491" t="str">
            <v>裂空·斩第4段</v>
          </cell>
          <cell r="C491" t="str">
            <v>裂空·斩第4段</v>
          </cell>
          <cell r="D491">
            <v>1</v>
          </cell>
          <cell r="E491">
            <v>53</v>
          </cell>
          <cell r="F491" t="str">
            <v>第30级，共造成232.1%点伤害</v>
          </cell>
          <cell r="G491">
            <v>4</v>
          </cell>
          <cell r="H491">
            <v>4</v>
          </cell>
          <cell r="I491">
            <v>30</v>
          </cell>
          <cell r="J491">
            <v>2</v>
          </cell>
          <cell r="K491">
            <v>232.14285714285717</v>
          </cell>
          <cell r="L491">
            <v>0</v>
          </cell>
          <cell r="M491">
            <v>5600</v>
          </cell>
          <cell r="N491">
            <v>81900</v>
          </cell>
          <cell r="O491">
            <v>4</v>
          </cell>
          <cell r="P491">
            <v>1</v>
          </cell>
          <cell r="Q491">
            <v>1</v>
          </cell>
          <cell r="R491">
            <v>12</v>
          </cell>
          <cell r="S491">
            <v>50</v>
          </cell>
          <cell r="T491">
            <v>178.57142857142858</v>
          </cell>
          <cell r="U491">
            <v>1820</v>
          </cell>
          <cell r="V491">
            <v>178.57142857142858</v>
          </cell>
          <cell r="W491">
            <v>45</v>
          </cell>
          <cell r="X491">
            <v>593</v>
          </cell>
          <cell r="Y491">
            <v>18</v>
          </cell>
          <cell r="Z491">
            <v>18</v>
          </cell>
        </row>
        <row r="492">
          <cell r="A492">
            <v>9124431</v>
          </cell>
          <cell r="B492" t="str">
            <v>裂空·斩第4段</v>
          </cell>
          <cell r="C492" t="str">
            <v>裂空·斩第4段</v>
          </cell>
          <cell r="D492">
            <v>1</v>
          </cell>
          <cell r="E492">
            <v>54</v>
          </cell>
          <cell r="F492" t="str">
            <v>第31级，共造成233.9%点伤害</v>
          </cell>
          <cell r="G492">
            <v>4</v>
          </cell>
          <cell r="H492">
            <v>4</v>
          </cell>
          <cell r="I492">
            <v>31</v>
          </cell>
          <cell r="J492">
            <v>2</v>
          </cell>
          <cell r="K492">
            <v>233.92857142857144</v>
          </cell>
          <cell r="L492">
            <v>0</v>
          </cell>
          <cell r="M492">
            <v>5520</v>
          </cell>
          <cell r="N492">
            <v>90864</v>
          </cell>
          <cell r="O492">
            <v>4</v>
          </cell>
          <cell r="P492">
            <v>1</v>
          </cell>
          <cell r="Q492">
            <v>1</v>
          </cell>
          <cell r="R492">
            <v>12</v>
          </cell>
          <cell r="S492">
            <v>50</v>
          </cell>
          <cell r="T492">
            <v>178.57142857142858</v>
          </cell>
          <cell r="U492">
            <v>1893</v>
          </cell>
          <cell r="V492">
            <v>178.57142857142858</v>
          </cell>
          <cell r="W492">
            <v>48</v>
          </cell>
          <cell r="X492">
            <v>641</v>
          </cell>
          <cell r="Y492">
            <v>18</v>
          </cell>
          <cell r="Z492">
            <v>20</v>
          </cell>
        </row>
        <row r="493">
          <cell r="A493">
            <v>9124432</v>
          </cell>
          <cell r="B493" t="str">
            <v>裂空·斩第4段</v>
          </cell>
          <cell r="C493" t="str">
            <v>裂空·斩第4段</v>
          </cell>
          <cell r="D493">
            <v>1</v>
          </cell>
          <cell r="E493">
            <v>56</v>
          </cell>
          <cell r="F493" t="str">
            <v>第32级，共造成235.7%点伤害</v>
          </cell>
          <cell r="G493">
            <v>4</v>
          </cell>
          <cell r="H493">
            <v>4</v>
          </cell>
          <cell r="I493">
            <v>32</v>
          </cell>
          <cell r="J493">
            <v>2</v>
          </cell>
          <cell r="K493">
            <v>235.71428571428572</v>
          </cell>
          <cell r="L493">
            <v>0</v>
          </cell>
          <cell r="M493">
            <v>5440</v>
          </cell>
          <cell r="N493">
            <v>104142</v>
          </cell>
          <cell r="O493">
            <v>4</v>
          </cell>
          <cell r="P493">
            <v>1</v>
          </cell>
          <cell r="Q493">
            <v>1</v>
          </cell>
          <cell r="R493">
            <v>12</v>
          </cell>
          <cell r="S493">
            <v>50</v>
          </cell>
          <cell r="T493">
            <v>178.57142857142858</v>
          </cell>
          <cell r="U493">
            <v>2042</v>
          </cell>
          <cell r="V493">
            <v>178.57142857142858</v>
          </cell>
          <cell r="W493">
            <v>51</v>
          </cell>
          <cell r="X493">
            <v>692</v>
          </cell>
          <cell r="Y493">
            <v>18</v>
          </cell>
          <cell r="Z493">
            <v>21</v>
          </cell>
        </row>
        <row r="494">
          <cell r="A494">
            <v>9124433</v>
          </cell>
          <cell r="B494" t="str">
            <v>裂空·斩第4段</v>
          </cell>
          <cell r="C494" t="str">
            <v>裂空·斩第4段</v>
          </cell>
          <cell r="D494">
            <v>1</v>
          </cell>
          <cell r="E494">
            <v>57</v>
          </cell>
          <cell r="F494" t="str">
            <v>第33级，共造成237.5%点伤害</v>
          </cell>
          <cell r="G494">
            <v>4</v>
          </cell>
          <cell r="H494">
            <v>4</v>
          </cell>
          <cell r="I494">
            <v>33</v>
          </cell>
          <cell r="J494">
            <v>2</v>
          </cell>
          <cell r="K494">
            <v>237.5</v>
          </cell>
          <cell r="L494">
            <v>0</v>
          </cell>
          <cell r="M494">
            <v>5360</v>
          </cell>
          <cell r="N494">
            <v>116545</v>
          </cell>
          <cell r="O494">
            <v>4</v>
          </cell>
          <cell r="P494">
            <v>1</v>
          </cell>
          <cell r="Q494">
            <v>1</v>
          </cell>
          <cell r="R494">
            <v>12</v>
          </cell>
          <cell r="S494">
            <v>50</v>
          </cell>
          <cell r="T494">
            <v>178.57142857142858</v>
          </cell>
          <cell r="U494">
            <v>2119</v>
          </cell>
          <cell r="V494">
            <v>178.57142857142858</v>
          </cell>
          <cell r="W494">
            <v>55</v>
          </cell>
          <cell r="X494">
            <v>747</v>
          </cell>
          <cell r="Y494">
            <v>18</v>
          </cell>
          <cell r="Z494">
            <v>22</v>
          </cell>
        </row>
        <row r="495">
          <cell r="A495">
            <v>9124434</v>
          </cell>
          <cell r="B495" t="str">
            <v>裂空·斩第4段</v>
          </cell>
          <cell r="C495" t="str">
            <v>裂空·斩第4段</v>
          </cell>
          <cell r="D495">
            <v>1</v>
          </cell>
          <cell r="E495">
            <v>58</v>
          </cell>
          <cell r="F495" t="str">
            <v>第34级，共造成239.3%点伤害</v>
          </cell>
          <cell r="G495">
            <v>4</v>
          </cell>
          <cell r="H495">
            <v>4</v>
          </cell>
          <cell r="I495">
            <v>34</v>
          </cell>
          <cell r="J495">
            <v>2</v>
          </cell>
          <cell r="K495">
            <v>239.28571428571431</v>
          </cell>
          <cell r="L495">
            <v>0</v>
          </cell>
          <cell r="M495">
            <v>5280</v>
          </cell>
          <cell r="N495">
            <v>129682</v>
          </cell>
          <cell r="O495">
            <v>4</v>
          </cell>
          <cell r="P495">
            <v>1</v>
          </cell>
          <cell r="Q495">
            <v>1</v>
          </cell>
          <cell r="R495">
            <v>12</v>
          </cell>
          <cell r="S495">
            <v>50</v>
          </cell>
          <cell r="T495">
            <v>178.57142857142858</v>
          </cell>
          <cell r="U495">
            <v>2198</v>
          </cell>
          <cell r="V495">
            <v>178.57142857142858</v>
          </cell>
          <cell r="W495">
            <v>59</v>
          </cell>
          <cell r="X495">
            <v>806</v>
          </cell>
          <cell r="Y495">
            <v>18</v>
          </cell>
          <cell r="Z495">
            <v>24</v>
          </cell>
        </row>
        <row r="496">
          <cell r="A496">
            <v>9124435</v>
          </cell>
          <cell r="B496" t="str">
            <v>裂空·斩第4段</v>
          </cell>
          <cell r="C496" t="str">
            <v>裂空·斩第4段</v>
          </cell>
          <cell r="D496">
            <v>1</v>
          </cell>
          <cell r="E496">
            <v>60</v>
          </cell>
          <cell r="F496" t="str">
            <v>第35级，共造成241.1%点伤害</v>
          </cell>
          <cell r="G496">
            <v>4</v>
          </cell>
          <cell r="H496">
            <v>4</v>
          </cell>
          <cell r="I496">
            <v>35</v>
          </cell>
          <cell r="J496">
            <v>2</v>
          </cell>
          <cell r="K496">
            <v>241.07142857142858</v>
          </cell>
          <cell r="L496">
            <v>0</v>
          </cell>
          <cell r="M496">
            <v>5200</v>
          </cell>
          <cell r="N496">
            <v>148554</v>
          </cell>
          <cell r="O496">
            <v>4</v>
          </cell>
          <cell r="P496">
            <v>1</v>
          </cell>
          <cell r="Q496">
            <v>1</v>
          </cell>
          <cell r="R496">
            <v>12</v>
          </cell>
          <cell r="S496">
            <v>50</v>
          </cell>
          <cell r="T496">
            <v>178.57142857142858</v>
          </cell>
          <cell r="U496">
            <v>2358</v>
          </cell>
          <cell r="V496">
            <v>178.57142857142858</v>
          </cell>
          <cell r="W496">
            <v>63</v>
          </cell>
          <cell r="X496">
            <v>869</v>
          </cell>
          <cell r="Y496">
            <v>18</v>
          </cell>
          <cell r="Z496">
            <v>26</v>
          </cell>
        </row>
        <row r="497">
          <cell r="A497">
            <v>9124436</v>
          </cell>
          <cell r="B497" t="str">
            <v>裂空·斩第4段</v>
          </cell>
          <cell r="C497" t="str">
            <v>裂空·斩第4段</v>
          </cell>
          <cell r="D497">
            <v>1</v>
          </cell>
          <cell r="E497">
            <v>61</v>
          </cell>
          <cell r="F497" t="str">
            <v>第36级，共造成242.9%点伤害</v>
          </cell>
          <cell r="G497">
            <v>4</v>
          </cell>
          <cell r="H497">
            <v>4</v>
          </cell>
          <cell r="I497">
            <v>36</v>
          </cell>
          <cell r="J497">
            <v>2</v>
          </cell>
          <cell r="K497">
            <v>242.85714285714289</v>
          </cell>
          <cell r="L497">
            <v>0</v>
          </cell>
          <cell r="M497">
            <v>5120</v>
          </cell>
          <cell r="N497">
            <v>163480</v>
          </cell>
          <cell r="O497">
            <v>4</v>
          </cell>
          <cell r="P497">
            <v>1</v>
          </cell>
          <cell r="Q497">
            <v>1</v>
          </cell>
          <cell r="R497">
            <v>12</v>
          </cell>
          <cell r="S497">
            <v>50</v>
          </cell>
          <cell r="T497">
            <v>178.57142857142858</v>
          </cell>
          <cell r="U497">
            <v>2440</v>
          </cell>
          <cell r="V497">
            <v>178.57142857142858</v>
          </cell>
          <cell r="W497">
            <v>67</v>
          </cell>
          <cell r="X497">
            <v>936</v>
          </cell>
          <cell r="Y497">
            <v>18</v>
          </cell>
          <cell r="Z497">
            <v>27</v>
          </cell>
        </row>
        <row r="498">
          <cell r="A498">
            <v>9124437</v>
          </cell>
          <cell r="B498" t="str">
            <v>裂空·斩第4段</v>
          </cell>
          <cell r="C498" t="str">
            <v>裂空·斩第4段</v>
          </cell>
          <cell r="D498">
            <v>1</v>
          </cell>
          <cell r="E498">
            <v>62</v>
          </cell>
          <cell r="F498" t="str">
            <v>第37级，共造成244.6%点伤害</v>
          </cell>
          <cell r="G498">
            <v>4</v>
          </cell>
          <cell r="H498">
            <v>4</v>
          </cell>
          <cell r="I498">
            <v>37</v>
          </cell>
          <cell r="J498">
            <v>2</v>
          </cell>
          <cell r="K498">
            <v>244.64285714285717</v>
          </cell>
          <cell r="L498">
            <v>0</v>
          </cell>
          <cell r="M498">
            <v>5040</v>
          </cell>
          <cell r="N498">
            <v>181728</v>
          </cell>
          <cell r="O498">
            <v>4</v>
          </cell>
          <cell r="P498">
            <v>1</v>
          </cell>
          <cell r="Q498">
            <v>1</v>
          </cell>
          <cell r="R498">
            <v>12</v>
          </cell>
          <cell r="S498">
            <v>50</v>
          </cell>
          <cell r="T498">
            <v>178.57142857142858</v>
          </cell>
          <cell r="U498">
            <v>2524</v>
          </cell>
          <cell r="V498">
            <v>178.57142857142858</v>
          </cell>
          <cell r="W498">
            <v>72</v>
          </cell>
          <cell r="X498">
            <v>1008</v>
          </cell>
          <cell r="Y498">
            <v>18</v>
          </cell>
          <cell r="Z498">
            <v>29</v>
          </cell>
        </row>
        <row r="499">
          <cell r="A499">
            <v>9124438</v>
          </cell>
          <cell r="B499" t="str">
            <v>裂空·斩第4段</v>
          </cell>
          <cell r="C499" t="str">
            <v>裂空·斩第4段</v>
          </cell>
          <cell r="D499">
            <v>1</v>
          </cell>
          <cell r="E499">
            <v>64</v>
          </cell>
          <cell r="F499" t="str">
            <v>第38级，共造成246.4%点伤害</v>
          </cell>
          <cell r="G499">
            <v>4</v>
          </cell>
          <cell r="H499">
            <v>4</v>
          </cell>
          <cell r="I499">
            <v>38</v>
          </cell>
          <cell r="J499">
            <v>2</v>
          </cell>
          <cell r="K499">
            <v>246.42857142857144</v>
          </cell>
          <cell r="L499">
            <v>0</v>
          </cell>
          <cell r="M499">
            <v>4960</v>
          </cell>
          <cell r="N499">
            <v>207515</v>
          </cell>
          <cell r="O499">
            <v>4</v>
          </cell>
          <cell r="P499">
            <v>1</v>
          </cell>
          <cell r="Q499">
            <v>1</v>
          </cell>
          <cell r="R499">
            <v>12</v>
          </cell>
          <cell r="S499">
            <v>50</v>
          </cell>
          <cell r="T499">
            <v>178.57142857142858</v>
          </cell>
          <cell r="U499">
            <v>2695</v>
          </cell>
          <cell r="V499">
            <v>178.57142857142858</v>
          </cell>
          <cell r="W499">
            <v>77</v>
          </cell>
          <cell r="X499">
            <v>1085</v>
          </cell>
          <cell r="Y499">
            <v>18</v>
          </cell>
          <cell r="Z499">
            <v>31</v>
          </cell>
        </row>
        <row r="500">
          <cell r="A500">
            <v>9124439</v>
          </cell>
          <cell r="B500" t="str">
            <v>裂空·斩第4段</v>
          </cell>
          <cell r="C500" t="str">
            <v>裂空·斩第4段</v>
          </cell>
          <cell r="D500">
            <v>1</v>
          </cell>
          <cell r="E500">
            <v>65</v>
          </cell>
          <cell r="F500" t="str">
            <v>第39级，共造成248.2%点伤害</v>
          </cell>
          <cell r="G500">
            <v>4</v>
          </cell>
          <cell r="H500">
            <v>4</v>
          </cell>
          <cell r="I500">
            <v>39</v>
          </cell>
          <cell r="J500">
            <v>2</v>
          </cell>
          <cell r="K500">
            <v>248.21428571428572</v>
          </cell>
          <cell r="L500">
            <v>0</v>
          </cell>
          <cell r="M500">
            <v>4880</v>
          </cell>
          <cell r="N500">
            <v>228206</v>
          </cell>
          <cell r="O500">
            <v>4</v>
          </cell>
          <cell r="P500">
            <v>1</v>
          </cell>
          <cell r="Q500">
            <v>1</v>
          </cell>
          <cell r="R500">
            <v>12</v>
          </cell>
          <cell r="S500">
            <v>50</v>
          </cell>
          <cell r="T500">
            <v>178.57142857142858</v>
          </cell>
          <cell r="U500">
            <v>2783</v>
          </cell>
          <cell r="V500">
            <v>178.57142857142858</v>
          </cell>
          <cell r="W500">
            <v>82</v>
          </cell>
          <cell r="X500">
            <v>1167</v>
          </cell>
          <cell r="Y500">
            <v>18</v>
          </cell>
          <cell r="Z500">
            <v>33</v>
          </cell>
        </row>
        <row r="501">
          <cell r="A501">
            <v>9124440</v>
          </cell>
          <cell r="B501" t="str">
            <v>裂空·斩第4段</v>
          </cell>
          <cell r="C501" t="str">
            <v>裂空·斩第4段</v>
          </cell>
          <cell r="D501">
            <v>1</v>
          </cell>
          <cell r="E501">
            <v>66</v>
          </cell>
          <cell r="F501" t="str">
            <v>第40级，共造成250%点伤害</v>
          </cell>
          <cell r="G501">
            <v>4</v>
          </cell>
          <cell r="H501">
            <v>4</v>
          </cell>
          <cell r="I501">
            <v>40</v>
          </cell>
          <cell r="J501">
            <v>2</v>
          </cell>
          <cell r="K501">
            <v>250</v>
          </cell>
          <cell r="L501">
            <v>0</v>
          </cell>
          <cell r="M501">
            <v>4800</v>
          </cell>
          <cell r="N501">
            <v>252736</v>
          </cell>
          <cell r="O501">
            <v>4</v>
          </cell>
          <cell r="P501">
            <v>1</v>
          </cell>
          <cell r="Q501">
            <v>1</v>
          </cell>
          <cell r="R501">
            <v>12</v>
          </cell>
          <cell r="S501">
            <v>50</v>
          </cell>
          <cell r="T501">
            <v>178.57142857142858</v>
          </cell>
          <cell r="U501">
            <v>2872</v>
          </cell>
          <cell r="V501">
            <v>178.57142857142858</v>
          </cell>
          <cell r="W501">
            <v>88</v>
          </cell>
          <cell r="X501">
            <v>1255</v>
          </cell>
          <cell r="Y501">
            <v>18</v>
          </cell>
          <cell r="Z501">
            <v>36</v>
          </cell>
        </row>
        <row r="502">
          <cell r="A502">
            <v>9124441</v>
          </cell>
          <cell r="B502" t="str">
            <v>裂空·斩第4段</v>
          </cell>
          <cell r="C502" t="str">
            <v>裂空·斩第4段</v>
          </cell>
          <cell r="D502">
            <v>1</v>
          </cell>
          <cell r="E502">
            <v>68</v>
          </cell>
          <cell r="F502" t="str">
            <v>第41级，共造成251.8%点伤害</v>
          </cell>
          <cell r="G502">
            <v>4</v>
          </cell>
          <cell r="H502">
            <v>4</v>
          </cell>
          <cell r="I502">
            <v>41</v>
          </cell>
          <cell r="J502">
            <v>2</v>
          </cell>
          <cell r="K502">
            <v>251.78571428571431</v>
          </cell>
          <cell r="L502">
            <v>0</v>
          </cell>
          <cell r="M502">
            <v>4720</v>
          </cell>
          <cell r="N502">
            <v>287076</v>
          </cell>
          <cell r="O502">
            <v>4</v>
          </cell>
          <cell r="P502">
            <v>1</v>
          </cell>
          <cell r="Q502">
            <v>1</v>
          </cell>
          <cell r="R502">
            <v>12</v>
          </cell>
          <cell r="S502">
            <v>50</v>
          </cell>
          <cell r="T502">
            <v>178.57142857142858</v>
          </cell>
          <cell r="U502">
            <v>3054</v>
          </cell>
          <cell r="V502">
            <v>178.57142857142858</v>
          </cell>
          <cell r="W502">
            <v>94</v>
          </cell>
          <cell r="X502">
            <v>1349</v>
          </cell>
          <cell r="Y502">
            <v>18</v>
          </cell>
          <cell r="Z502">
            <v>38</v>
          </cell>
        </row>
        <row r="503">
          <cell r="A503">
            <v>9124442</v>
          </cell>
          <cell r="B503" t="str">
            <v>裂空·斩第4段</v>
          </cell>
          <cell r="C503" t="str">
            <v>裂空·斩第4段</v>
          </cell>
          <cell r="D503">
            <v>1</v>
          </cell>
          <cell r="E503">
            <v>69</v>
          </cell>
          <cell r="F503" t="str">
            <v>第42级，共造成253.6%点伤害</v>
          </cell>
          <cell r="G503">
            <v>4</v>
          </cell>
          <cell r="H503">
            <v>4</v>
          </cell>
          <cell r="I503">
            <v>42</v>
          </cell>
          <cell r="J503">
            <v>2</v>
          </cell>
          <cell r="K503">
            <v>253.57142857142858</v>
          </cell>
          <cell r="L503">
            <v>0</v>
          </cell>
          <cell r="M503">
            <v>4640</v>
          </cell>
          <cell r="N503">
            <v>314700</v>
          </cell>
          <cell r="O503">
            <v>4</v>
          </cell>
          <cell r="P503">
            <v>1</v>
          </cell>
          <cell r="Q503">
            <v>1</v>
          </cell>
          <cell r="R503">
            <v>12</v>
          </cell>
          <cell r="S503">
            <v>50</v>
          </cell>
          <cell r="T503">
            <v>178.57142857142858</v>
          </cell>
          <cell r="U503">
            <v>3147</v>
          </cell>
          <cell r="V503">
            <v>178.57142857142858</v>
          </cell>
          <cell r="W503">
            <v>100</v>
          </cell>
          <cell r="X503">
            <v>1449</v>
          </cell>
          <cell r="Y503">
            <v>18</v>
          </cell>
          <cell r="Z503">
            <v>40</v>
          </cell>
        </row>
        <row r="504">
          <cell r="A504">
            <v>9124443</v>
          </cell>
          <cell r="B504" t="str">
            <v>裂空·斩第4段</v>
          </cell>
          <cell r="C504" t="str">
            <v>裂空·斩第4段</v>
          </cell>
          <cell r="D504">
            <v>1</v>
          </cell>
          <cell r="E504">
            <v>70</v>
          </cell>
          <cell r="F504" t="str">
            <v>第43级，共造成255.4%点伤害</v>
          </cell>
          <cell r="G504">
            <v>4</v>
          </cell>
          <cell r="H504">
            <v>4</v>
          </cell>
          <cell r="I504">
            <v>43</v>
          </cell>
          <cell r="J504">
            <v>2</v>
          </cell>
          <cell r="K504">
            <v>255.35714285714289</v>
          </cell>
          <cell r="L504">
            <v>0</v>
          </cell>
          <cell r="M504">
            <v>4560</v>
          </cell>
          <cell r="N504">
            <v>346894</v>
          </cell>
          <cell r="O504">
            <v>4</v>
          </cell>
          <cell r="P504">
            <v>1</v>
          </cell>
          <cell r="Q504">
            <v>1</v>
          </cell>
          <cell r="R504">
            <v>12</v>
          </cell>
          <cell r="S504">
            <v>50</v>
          </cell>
          <cell r="T504">
            <v>178.57142857142858</v>
          </cell>
          <cell r="U504">
            <v>3242</v>
          </cell>
          <cell r="V504">
            <v>178.57142857142858</v>
          </cell>
          <cell r="W504">
            <v>107</v>
          </cell>
          <cell r="X504">
            <v>1556</v>
          </cell>
          <cell r="Y504">
            <v>18</v>
          </cell>
          <cell r="Z504">
            <v>43</v>
          </cell>
        </row>
        <row r="505">
          <cell r="A505">
            <v>9124444</v>
          </cell>
          <cell r="B505" t="str">
            <v>裂空·斩第4段</v>
          </cell>
          <cell r="C505" t="str">
            <v>裂空·斩第4段</v>
          </cell>
          <cell r="D505">
            <v>1</v>
          </cell>
          <cell r="E505">
            <v>72</v>
          </cell>
          <cell r="F505" t="str">
            <v>第44级，共造成257.1%点伤害</v>
          </cell>
          <cell r="G505">
            <v>4</v>
          </cell>
          <cell r="H505">
            <v>4</v>
          </cell>
          <cell r="I505">
            <v>44</v>
          </cell>
          <cell r="J505">
            <v>2</v>
          </cell>
          <cell r="K505">
            <v>257.14285714285717</v>
          </cell>
          <cell r="L505">
            <v>0</v>
          </cell>
          <cell r="M505">
            <v>4480</v>
          </cell>
          <cell r="N505">
            <v>395025</v>
          </cell>
          <cell r="O505">
            <v>4</v>
          </cell>
          <cell r="P505">
            <v>1</v>
          </cell>
          <cell r="Q505">
            <v>1</v>
          </cell>
          <cell r="R505">
            <v>12</v>
          </cell>
          <cell r="S505">
            <v>50</v>
          </cell>
          <cell r="T505">
            <v>178.57142857142858</v>
          </cell>
          <cell r="U505">
            <v>3435</v>
          </cell>
          <cell r="V505">
            <v>178.57142857142858</v>
          </cell>
          <cell r="W505">
            <v>115</v>
          </cell>
          <cell r="X505">
            <v>1671</v>
          </cell>
          <cell r="Y505">
            <v>18</v>
          </cell>
          <cell r="Z505">
            <v>46</v>
          </cell>
        </row>
        <row r="506">
          <cell r="A506">
            <v>9124445</v>
          </cell>
          <cell r="B506" t="str">
            <v>裂空·斩第4段</v>
          </cell>
          <cell r="C506" t="str">
            <v>裂空·斩第4段</v>
          </cell>
          <cell r="D506">
            <v>1</v>
          </cell>
          <cell r="E506">
            <v>73</v>
          </cell>
          <cell r="F506" t="str">
            <v>第45级，共造成258.9%点伤害</v>
          </cell>
          <cell r="G506">
            <v>4</v>
          </cell>
          <cell r="H506">
            <v>4</v>
          </cell>
          <cell r="I506">
            <v>45</v>
          </cell>
          <cell r="J506">
            <v>2</v>
          </cell>
          <cell r="K506">
            <v>258.92857142857144</v>
          </cell>
          <cell r="L506">
            <v>0</v>
          </cell>
          <cell r="M506">
            <v>4400</v>
          </cell>
          <cell r="N506">
            <v>434682</v>
          </cell>
          <cell r="O506">
            <v>4</v>
          </cell>
          <cell r="P506">
            <v>1</v>
          </cell>
          <cell r="Q506">
            <v>1</v>
          </cell>
          <cell r="R506">
            <v>12</v>
          </cell>
          <cell r="S506">
            <v>50</v>
          </cell>
          <cell r="T506">
            <v>178.57142857142858</v>
          </cell>
          <cell r="U506">
            <v>3534</v>
          </cell>
          <cell r="V506">
            <v>178.57142857142858</v>
          </cell>
          <cell r="W506">
            <v>123</v>
          </cell>
          <cell r="X506">
            <v>1794</v>
          </cell>
          <cell r="Y506">
            <v>18</v>
          </cell>
          <cell r="Z506">
            <v>50</v>
          </cell>
        </row>
        <row r="507">
          <cell r="A507">
            <v>9124446</v>
          </cell>
          <cell r="B507" t="str">
            <v>裂空·斩第4段</v>
          </cell>
          <cell r="C507" t="str">
            <v>裂空·斩第4段</v>
          </cell>
          <cell r="D507">
            <v>1</v>
          </cell>
          <cell r="E507">
            <v>75</v>
          </cell>
          <cell r="F507" t="str">
            <v>第46级，共造成260.7%点伤害</v>
          </cell>
          <cell r="G507">
            <v>4</v>
          </cell>
          <cell r="H507">
            <v>4</v>
          </cell>
          <cell r="I507">
            <v>46</v>
          </cell>
          <cell r="J507">
            <v>2</v>
          </cell>
          <cell r="K507">
            <v>260.71428571428572</v>
          </cell>
          <cell r="L507">
            <v>0</v>
          </cell>
          <cell r="M507">
            <v>4320</v>
          </cell>
          <cell r="N507">
            <v>493020</v>
          </cell>
          <cell r="O507">
            <v>4</v>
          </cell>
          <cell r="P507">
            <v>1</v>
          </cell>
          <cell r="Q507">
            <v>1</v>
          </cell>
          <cell r="R507">
            <v>12</v>
          </cell>
          <cell r="S507">
            <v>50</v>
          </cell>
          <cell r="T507">
            <v>178.57142857142858</v>
          </cell>
          <cell r="U507">
            <v>3735</v>
          </cell>
          <cell r="V507">
            <v>178.57142857142858</v>
          </cell>
          <cell r="W507">
            <v>132</v>
          </cell>
          <cell r="X507">
            <v>1926</v>
          </cell>
          <cell r="Y507">
            <v>18</v>
          </cell>
          <cell r="Z507">
            <v>53</v>
          </cell>
        </row>
        <row r="508">
          <cell r="A508">
            <v>9124447</v>
          </cell>
          <cell r="B508" t="str">
            <v>裂空·斩第4段</v>
          </cell>
          <cell r="C508" t="str">
            <v>裂空·斩第4段</v>
          </cell>
          <cell r="D508">
            <v>1</v>
          </cell>
          <cell r="E508">
            <v>76</v>
          </cell>
          <cell r="F508" t="str">
            <v>第47级，共造成262.5%点伤害</v>
          </cell>
          <cell r="G508">
            <v>4</v>
          </cell>
          <cell r="H508">
            <v>4</v>
          </cell>
          <cell r="I508">
            <v>47</v>
          </cell>
          <cell r="J508">
            <v>2</v>
          </cell>
          <cell r="K508">
            <v>262.5</v>
          </cell>
          <cell r="L508">
            <v>0</v>
          </cell>
          <cell r="M508">
            <v>4240</v>
          </cell>
          <cell r="N508">
            <v>541158</v>
          </cell>
          <cell r="O508">
            <v>4</v>
          </cell>
          <cell r="P508">
            <v>1</v>
          </cell>
          <cell r="Q508">
            <v>1</v>
          </cell>
          <cell r="R508">
            <v>12</v>
          </cell>
          <cell r="S508">
            <v>50</v>
          </cell>
          <cell r="T508">
            <v>178.57142857142858</v>
          </cell>
          <cell r="U508">
            <v>3838</v>
          </cell>
          <cell r="V508">
            <v>178.57142857142858</v>
          </cell>
          <cell r="W508">
            <v>141</v>
          </cell>
          <cell r="X508">
            <v>2067</v>
          </cell>
          <cell r="Y508">
            <v>18</v>
          </cell>
          <cell r="Z508">
            <v>57</v>
          </cell>
        </row>
        <row r="509">
          <cell r="A509">
            <v>9124448</v>
          </cell>
          <cell r="B509" t="str">
            <v>裂空·斩第4段</v>
          </cell>
          <cell r="C509" t="str">
            <v>裂空·斩第4段</v>
          </cell>
          <cell r="D509">
            <v>1</v>
          </cell>
          <cell r="E509">
            <v>77</v>
          </cell>
          <cell r="F509" t="str">
            <v>第48级，共造成264.3%点伤害</v>
          </cell>
          <cell r="G509">
            <v>4</v>
          </cell>
          <cell r="H509">
            <v>4</v>
          </cell>
          <cell r="I509">
            <v>48</v>
          </cell>
          <cell r="J509">
            <v>2</v>
          </cell>
          <cell r="K509">
            <v>264.28571428571433</v>
          </cell>
          <cell r="L509">
            <v>0</v>
          </cell>
          <cell r="M509">
            <v>4160</v>
          </cell>
          <cell r="N509">
            <v>595242</v>
          </cell>
          <cell r="O509">
            <v>4</v>
          </cell>
          <cell r="P509">
            <v>1</v>
          </cell>
          <cell r="Q509">
            <v>1</v>
          </cell>
          <cell r="R509">
            <v>12</v>
          </cell>
          <cell r="S509">
            <v>50</v>
          </cell>
          <cell r="T509">
            <v>178.57142857142858</v>
          </cell>
          <cell r="U509">
            <v>3942</v>
          </cell>
          <cell r="V509">
            <v>178.57142857142858</v>
          </cell>
          <cell r="W509">
            <v>151</v>
          </cell>
          <cell r="X509">
            <v>2218</v>
          </cell>
          <cell r="Y509">
            <v>18</v>
          </cell>
          <cell r="Z509">
            <v>61</v>
          </cell>
        </row>
        <row r="510">
          <cell r="A510">
            <v>9124449</v>
          </cell>
          <cell r="B510" t="str">
            <v>裂空·斩第4段</v>
          </cell>
          <cell r="C510" t="str">
            <v>裂空·斩第4段</v>
          </cell>
          <cell r="D510">
            <v>1</v>
          </cell>
          <cell r="E510">
            <v>79</v>
          </cell>
          <cell r="F510" t="str">
            <v>第49级，共造成266.1%点伤害</v>
          </cell>
          <cell r="G510">
            <v>4</v>
          </cell>
          <cell r="H510">
            <v>4</v>
          </cell>
          <cell r="I510">
            <v>49</v>
          </cell>
          <cell r="J510">
            <v>2</v>
          </cell>
          <cell r="K510">
            <v>266.07142857142856</v>
          </cell>
          <cell r="L510">
            <v>0</v>
          </cell>
          <cell r="M510">
            <v>4080</v>
          </cell>
          <cell r="N510">
            <v>668794</v>
          </cell>
          <cell r="O510">
            <v>4</v>
          </cell>
          <cell r="P510">
            <v>1</v>
          </cell>
          <cell r="Q510">
            <v>1</v>
          </cell>
          <cell r="R510">
            <v>12</v>
          </cell>
          <cell r="S510">
            <v>50</v>
          </cell>
          <cell r="T510">
            <v>178.57142857142858</v>
          </cell>
          <cell r="U510">
            <v>4154</v>
          </cell>
          <cell r="V510">
            <v>178.57142857142858</v>
          </cell>
          <cell r="W510">
            <v>161</v>
          </cell>
          <cell r="X510">
            <v>2379</v>
          </cell>
          <cell r="Y510">
            <v>18</v>
          </cell>
          <cell r="Z510">
            <v>65</v>
          </cell>
        </row>
        <row r="511">
          <cell r="A511">
            <v>9124450</v>
          </cell>
          <cell r="B511" t="str">
            <v>裂空·斩第4段</v>
          </cell>
          <cell r="C511" t="str">
            <v>裂空·斩第4段</v>
          </cell>
          <cell r="D511">
            <v>1</v>
          </cell>
          <cell r="E511">
            <v>80</v>
          </cell>
          <cell r="F511" t="str">
            <v>第50级，共造成267.9%点伤害</v>
          </cell>
          <cell r="G511">
            <v>4</v>
          </cell>
          <cell r="H511">
            <v>4</v>
          </cell>
          <cell r="I511">
            <v>50</v>
          </cell>
          <cell r="J511">
            <v>2</v>
          </cell>
          <cell r="K511">
            <v>267.85714285714289</v>
          </cell>
          <cell r="L511">
            <v>0</v>
          </cell>
          <cell r="M511">
            <v>4000</v>
          </cell>
          <cell r="N511">
            <v>737326</v>
          </cell>
          <cell r="O511">
            <v>4</v>
          </cell>
          <cell r="P511">
            <v>1</v>
          </cell>
          <cell r="Q511">
            <v>1</v>
          </cell>
          <cell r="R511">
            <v>12</v>
          </cell>
          <cell r="S511">
            <v>50</v>
          </cell>
          <cell r="T511">
            <v>178.57142857142858</v>
          </cell>
          <cell r="U511">
            <v>4262</v>
          </cell>
          <cell r="V511">
            <v>178.57142857142858</v>
          </cell>
          <cell r="W511">
            <v>173</v>
          </cell>
          <cell r="X511">
            <v>2552</v>
          </cell>
          <cell r="Y511">
            <v>18</v>
          </cell>
          <cell r="Z511">
            <v>70</v>
          </cell>
        </row>
        <row r="512">
          <cell r="A512">
            <v>9211000</v>
          </cell>
          <cell r="B512" t="str">
            <v>虎啸</v>
          </cell>
          <cell r="C512" t="str">
            <v>虎啸</v>
          </cell>
          <cell r="D512">
            <v>2</v>
          </cell>
          <cell r="E512">
            <v>2</v>
          </cell>
          <cell r="F512" t="str">
            <v>第0级，共造成215.2%点伤害</v>
          </cell>
          <cell r="G512">
            <v>0</v>
          </cell>
          <cell r="H512">
            <v>1</v>
          </cell>
          <cell r="I512">
            <v>0</v>
          </cell>
          <cell r="J512">
            <v>1</v>
          </cell>
          <cell r="K512">
            <v>107.60869565217392</v>
          </cell>
          <cell r="L512">
            <v>0</v>
          </cell>
          <cell r="M512">
            <v>10000</v>
          </cell>
          <cell r="N512">
            <v>0</v>
          </cell>
          <cell r="O512">
            <v>1</v>
          </cell>
          <cell r="P512">
            <v>2</v>
          </cell>
          <cell r="Q512">
            <v>1</v>
          </cell>
          <cell r="R512">
            <v>2</v>
          </cell>
          <cell r="S512">
            <v>50</v>
          </cell>
          <cell r="T512">
            <v>107.60869565217392</v>
          </cell>
          <cell r="U512">
            <v>56</v>
          </cell>
          <cell r="V512">
            <v>215.21739130434784</v>
          </cell>
          <cell r="W512">
            <v>0</v>
          </cell>
          <cell r="X512">
            <v>0</v>
          </cell>
          <cell r="Y512">
            <v>18</v>
          </cell>
          <cell r="Z512">
            <v>0</v>
          </cell>
        </row>
        <row r="513">
          <cell r="A513">
            <v>9211101</v>
          </cell>
          <cell r="B513" t="str">
            <v>虎啸</v>
          </cell>
          <cell r="C513" t="str">
            <v>虎啸</v>
          </cell>
          <cell r="D513">
            <v>2</v>
          </cell>
          <cell r="E513">
            <v>2</v>
          </cell>
          <cell r="F513" t="str">
            <v>第1级，共造成215.2%点伤害</v>
          </cell>
          <cell r="G513">
            <v>1</v>
          </cell>
          <cell r="H513">
            <v>1</v>
          </cell>
          <cell r="I513">
            <v>1</v>
          </cell>
          <cell r="J513">
            <v>1</v>
          </cell>
          <cell r="K513">
            <v>107.60869565217392</v>
          </cell>
          <cell r="L513">
            <v>0</v>
          </cell>
          <cell r="M513">
            <v>10000</v>
          </cell>
          <cell r="N513">
            <v>448</v>
          </cell>
          <cell r="O513">
            <v>1</v>
          </cell>
          <cell r="P513">
            <v>2</v>
          </cell>
          <cell r="Q513">
            <v>1</v>
          </cell>
          <cell r="R513">
            <v>2</v>
          </cell>
          <cell r="S513">
            <v>50</v>
          </cell>
          <cell r="T513">
            <v>107.60869565217392</v>
          </cell>
          <cell r="U513">
            <v>56</v>
          </cell>
          <cell r="V513">
            <v>215.21739130434784</v>
          </cell>
          <cell r="W513">
            <v>8</v>
          </cell>
          <cell r="X513">
            <v>8</v>
          </cell>
          <cell r="Y513">
            <v>18</v>
          </cell>
          <cell r="Z513">
            <v>0</v>
          </cell>
        </row>
        <row r="514">
          <cell r="A514">
            <v>9211102</v>
          </cell>
          <cell r="B514" t="str">
            <v>虎啸</v>
          </cell>
          <cell r="C514" t="str">
            <v>虎啸</v>
          </cell>
          <cell r="D514">
            <v>2</v>
          </cell>
          <cell r="E514">
            <v>2</v>
          </cell>
          <cell r="F514" t="str">
            <v>第2级，共造成219.5%点伤害</v>
          </cell>
          <cell r="G514">
            <v>1</v>
          </cell>
          <cell r="H514">
            <v>1</v>
          </cell>
          <cell r="I514">
            <v>2</v>
          </cell>
          <cell r="J514">
            <v>1</v>
          </cell>
          <cell r="K514">
            <v>109.7608695652174</v>
          </cell>
          <cell r="L514">
            <v>0</v>
          </cell>
          <cell r="M514">
            <v>9800</v>
          </cell>
          <cell r="N514">
            <v>504</v>
          </cell>
          <cell r="O514">
            <v>1</v>
          </cell>
          <cell r="P514">
            <v>2</v>
          </cell>
          <cell r="Q514">
            <v>1</v>
          </cell>
          <cell r="R514">
            <v>2</v>
          </cell>
          <cell r="S514">
            <v>50</v>
          </cell>
          <cell r="T514">
            <v>107.60869565217392</v>
          </cell>
          <cell r="U514">
            <v>56</v>
          </cell>
          <cell r="V514">
            <v>215.21739130434784</v>
          </cell>
          <cell r="W514">
            <v>9</v>
          </cell>
          <cell r="X514">
            <v>17</v>
          </cell>
          <cell r="Y514">
            <v>18</v>
          </cell>
          <cell r="Z514">
            <v>0</v>
          </cell>
        </row>
        <row r="515">
          <cell r="A515">
            <v>9211103</v>
          </cell>
          <cell r="B515" t="str">
            <v>虎啸</v>
          </cell>
          <cell r="C515" t="str">
            <v>虎啸</v>
          </cell>
          <cell r="D515">
            <v>2</v>
          </cell>
          <cell r="E515">
            <v>7</v>
          </cell>
          <cell r="F515" t="str">
            <v>第3级，共造成221.7%点伤害</v>
          </cell>
          <cell r="G515">
            <v>1</v>
          </cell>
          <cell r="H515">
            <v>1</v>
          </cell>
          <cell r="I515">
            <v>3</v>
          </cell>
          <cell r="J515">
            <v>1</v>
          </cell>
          <cell r="K515">
            <v>110.83695652173914</v>
          </cell>
          <cell r="L515">
            <v>0</v>
          </cell>
          <cell r="M515">
            <v>9700</v>
          </cell>
          <cell r="N515">
            <v>860</v>
          </cell>
          <cell r="O515">
            <v>1</v>
          </cell>
          <cell r="P515">
            <v>2</v>
          </cell>
          <cell r="Q515">
            <v>1</v>
          </cell>
          <cell r="R515">
            <v>2</v>
          </cell>
          <cell r="S515">
            <v>50</v>
          </cell>
          <cell r="T515">
            <v>107.60869565217392</v>
          </cell>
          <cell r="U515">
            <v>86</v>
          </cell>
          <cell r="V515">
            <v>215.21739130434784</v>
          </cell>
          <cell r="W515">
            <v>10</v>
          </cell>
          <cell r="X515">
            <v>27</v>
          </cell>
          <cell r="Y515">
            <v>18</v>
          </cell>
          <cell r="Z515">
            <v>0</v>
          </cell>
        </row>
        <row r="516">
          <cell r="A516">
            <v>9211104</v>
          </cell>
          <cell r="B516" t="str">
            <v>虎啸</v>
          </cell>
          <cell r="C516" t="str">
            <v>虎啸</v>
          </cell>
          <cell r="D516">
            <v>2</v>
          </cell>
          <cell r="E516">
            <v>8</v>
          </cell>
          <cell r="F516" t="str">
            <v>第4级，共造成223.8%点伤害</v>
          </cell>
          <cell r="G516">
            <v>1</v>
          </cell>
          <cell r="H516">
            <v>1</v>
          </cell>
          <cell r="I516">
            <v>4</v>
          </cell>
          <cell r="J516">
            <v>1</v>
          </cell>
          <cell r="K516">
            <v>111.91304347826087</v>
          </cell>
          <cell r="L516">
            <v>0</v>
          </cell>
          <cell r="M516">
            <v>9600</v>
          </cell>
          <cell r="N516">
            <v>920</v>
          </cell>
          <cell r="O516">
            <v>1</v>
          </cell>
          <cell r="P516">
            <v>2</v>
          </cell>
          <cell r="Q516">
            <v>1</v>
          </cell>
          <cell r="R516">
            <v>2</v>
          </cell>
          <cell r="S516">
            <v>50</v>
          </cell>
          <cell r="T516">
            <v>107.60869565217392</v>
          </cell>
          <cell r="U516">
            <v>92</v>
          </cell>
          <cell r="V516">
            <v>215.21739130434784</v>
          </cell>
          <cell r="W516">
            <v>10</v>
          </cell>
          <cell r="X516">
            <v>37</v>
          </cell>
          <cell r="Y516">
            <v>18</v>
          </cell>
          <cell r="Z516">
            <v>0</v>
          </cell>
        </row>
        <row r="517">
          <cell r="A517">
            <v>9211105</v>
          </cell>
          <cell r="B517" t="str">
            <v>虎啸</v>
          </cell>
          <cell r="C517" t="str">
            <v>虎啸</v>
          </cell>
          <cell r="D517">
            <v>2</v>
          </cell>
          <cell r="E517">
            <v>10</v>
          </cell>
          <cell r="F517" t="str">
            <v>第5级，共造成226%点伤害</v>
          </cell>
          <cell r="G517">
            <v>1</v>
          </cell>
          <cell r="H517">
            <v>1</v>
          </cell>
          <cell r="I517">
            <v>5</v>
          </cell>
          <cell r="J517">
            <v>1</v>
          </cell>
          <cell r="K517">
            <v>112.98913043478262</v>
          </cell>
          <cell r="L517">
            <v>0</v>
          </cell>
          <cell r="M517">
            <v>9500</v>
          </cell>
          <cell r="N517">
            <v>1144</v>
          </cell>
          <cell r="O517">
            <v>1</v>
          </cell>
          <cell r="P517">
            <v>2</v>
          </cell>
          <cell r="Q517">
            <v>1</v>
          </cell>
          <cell r="R517">
            <v>2</v>
          </cell>
          <cell r="S517">
            <v>50</v>
          </cell>
          <cell r="T517">
            <v>107.60869565217392</v>
          </cell>
          <cell r="U517">
            <v>104</v>
          </cell>
          <cell r="V517">
            <v>215.21739130434784</v>
          </cell>
          <cell r="W517">
            <v>11</v>
          </cell>
          <cell r="X517">
            <v>48</v>
          </cell>
          <cell r="Y517">
            <v>18</v>
          </cell>
          <cell r="Z517">
            <v>0</v>
          </cell>
        </row>
        <row r="518">
          <cell r="A518">
            <v>9211106</v>
          </cell>
          <cell r="B518" t="str">
            <v>虎啸</v>
          </cell>
          <cell r="C518" t="str">
            <v>虎啸</v>
          </cell>
          <cell r="D518">
            <v>2</v>
          </cell>
          <cell r="E518">
            <v>11</v>
          </cell>
          <cell r="F518" t="str">
            <v>第6级，共造成228.1%点伤害</v>
          </cell>
          <cell r="G518">
            <v>1</v>
          </cell>
          <cell r="H518">
            <v>1</v>
          </cell>
          <cell r="I518">
            <v>6</v>
          </cell>
          <cell r="J518">
            <v>1</v>
          </cell>
          <cell r="K518">
            <v>114.06521739130436</v>
          </cell>
          <cell r="L518">
            <v>0</v>
          </cell>
          <cell r="M518">
            <v>9400</v>
          </cell>
          <cell r="N518">
            <v>1320</v>
          </cell>
          <cell r="O518">
            <v>1</v>
          </cell>
          <cell r="P518">
            <v>2</v>
          </cell>
          <cell r="Q518">
            <v>1</v>
          </cell>
          <cell r="R518">
            <v>2</v>
          </cell>
          <cell r="S518">
            <v>50</v>
          </cell>
          <cell r="T518">
            <v>107.60869565217392</v>
          </cell>
          <cell r="U518">
            <v>110</v>
          </cell>
          <cell r="V518">
            <v>215.21739130434784</v>
          </cell>
          <cell r="W518">
            <v>12</v>
          </cell>
          <cell r="X518">
            <v>60</v>
          </cell>
          <cell r="Y518">
            <v>18</v>
          </cell>
          <cell r="Z518">
            <v>0</v>
          </cell>
        </row>
        <row r="519">
          <cell r="A519">
            <v>9211107</v>
          </cell>
          <cell r="B519" t="str">
            <v>虎啸</v>
          </cell>
          <cell r="C519" t="str">
            <v>虎啸</v>
          </cell>
          <cell r="D519">
            <v>2</v>
          </cell>
          <cell r="E519">
            <v>13</v>
          </cell>
          <cell r="F519" t="str">
            <v>第7级，共造成230.3%点伤害</v>
          </cell>
          <cell r="G519">
            <v>1</v>
          </cell>
          <cell r="H519">
            <v>1</v>
          </cell>
          <cell r="I519">
            <v>7</v>
          </cell>
          <cell r="J519">
            <v>1</v>
          </cell>
          <cell r="K519">
            <v>115.14130434782609</v>
          </cell>
          <cell r="L519">
            <v>0</v>
          </cell>
          <cell r="M519">
            <v>9300</v>
          </cell>
          <cell r="N519">
            <v>1464</v>
          </cell>
          <cell r="O519">
            <v>1</v>
          </cell>
          <cell r="P519">
            <v>2</v>
          </cell>
          <cell r="Q519">
            <v>1</v>
          </cell>
          <cell r="R519">
            <v>2</v>
          </cell>
          <cell r="S519">
            <v>50</v>
          </cell>
          <cell r="T519">
            <v>107.60869565217392</v>
          </cell>
          <cell r="U519">
            <v>122</v>
          </cell>
          <cell r="V519">
            <v>215.21739130434784</v>
          </cell>
          <cell r="W519">
            <v>12</v>
          </cell>
          <cell r="X519">
            <v>72</v>
          </cell>
          <cell r="Y519">
            <v>18</v>
          </cell>
          <cell r="Z519">
            <v>0</v>
          </cell>
        </row>
        <row r="520">
          <cell r="A520">
            <v>9211108</v>
          </cell>
          <cell r="B520" t="str">
            <v>虎啸</v>
          </cell>
          <cell r="C520" t="str">
            <v>虎啸</v>
          </cell>
          <cell r="D520">
            <v>2</v>
          </cell>
          <cell r="E520">
            <v>14</v>
          </cell>
          <cell r="F520" t="str">
            <v>第8级，共造成232.4%点伤害</v>
          </cell>
          <cell r="G520">
            <v>1</v>
          </cell>
          <cell r="H520">
            <v>1</v>
          </cell>
          <cell r="I520">
            <v>8</v>
          </cell>
          <cell r="J520">
            <v>1</v>
          </cell>
          <cell r="K520">
            <v>116.21739130434784</v>
          </cell>
          <cell r="L520">
            <v>0</v>
          </cell>
          <cell r="M520">
            <v>9200</v>
          </cell>
          <cell r="N520">
            <v>1664</v>
          </cell>
          <cell r="O520">
            <v>1</v>
          </cell>
          <cell r="P520">
            <v>2</v>
          </cell>
          <cell r="Q520">
            <v>1</v>
          </cell>
          <cell r="R520">
            <v>2</v>
          </cell>
          <cell r="S520">
            <v>50</v>
          </cell>
          <cell r="T520">
            <v>107.60869565217392</v>
          </cell>
          <cell r="U520">
            <v>128</v>
          </cell>
          <cell r="V520">
            <v>215.21739130434784</v>
          </cell>
          <cell r="W520">
            <v>13</v>
          </cell>
          <cell r="X520">
            <v>85</v>
          </cell>
          <cell r="Y520">
            <v>18</v>
          </cell>
          <cell r="Z520">
            <v>0</v>
          </cell>
        </row>
        <row r="521">
          <cell r="A521">
            <v>9211109</v>
          </cell>
          <cell r="B521" t="str">
            <v>虎啸</v>
          </cell>
          <cell r="C521" t="str">
            <v>虎啸</v>
          </cell>
          <cell r="D521">
            <v>2</v>
          </cell>
          <cell r="E521">
            <v>16</v>
          </cell>
          <cell r="F521" t="str">
            <v>第9级，共造成234.6%点伤害</v>
          </cell>
          <cell r="G521">
            <v>1</v>
          </cell>
          <cell r="H521">
            <v>1</v>
          </cell>
          <cell r="I521">
            <v>9</v>
          </cell>
          <cell r="J521">
            <v>1</v>
          </cell>
          <cell r="K521">
            <v>117.29347826086958</v>
          </cell>
          <cell r="L521">
            <v>0</v>
          </cell>
          <cell r="M521">
            <v>9100</v>
          </cell>
          <cell r="N521">
            <v>1960</v>
          </cell>
          <cell r="O521">
            <v>1</v>
          </cell>
          <cell r="P521">
            <v>2</v>
          </cell>
          <cell r="Q521">
            <v>1</v>
          </cell>
          <cell r="R521">
            <v>2</v>
          </cell>
          <cell r="S521">
            <v>50</v>
          </cell>
          <cell r="T521">
            <v>107.60869565217392</v>
          </cell>
          <cell r="U521">
            <v>140</v>
          </cell>
          <cell r="V521">
            <v>215.21739130434784</v>
          </cell>
          <cell r="W521">
            <v>14</v>
          </cell>
          <cell r="X521">
            <v>99</v>
          </cell>
          <cell r="Y521">
            <v>18</v>
          </cell>
          <cell r="Z521">
            <v>0</v>
          </cell>
        </row>
        <row r="522">
          <cell r="A522">
            <v>9211110</v>
          </cell>
          <cell r="B522" t="str">
            <v>虎啸</v>
          </cell>
          <cell r="C522" t="str">
            <v>虎啸</v>
          </cell>
          <cell r="D522">
            <v>2</v>
          </cell>
          <cell r="E522">
            <v>18</v>
          </cell>
          <cell r="F522" t="str">
            <v>第10级，共造成236.7%点伤害</v>
          </cell>
          <cell r="G522">
            <v>1</v>
          </cell>
          <cell r="H522">
            <v>1</v>
          </cell>
          <cell r="I522">
            <v>10</v>
          </cell>
          <cell r="J522">
            <v>1</v>
          </cell>
          <cell r="K522">
            <v>118.36956521739131</v>
          </cell>
          <cell r="L522">
            <v>0</v>
          </cell>
          <cell r="M522">
            <v>9000</v>
          </cell>
          <cell r="N522">
            <v>2280</v>
          </cell>
          <cell r="O522">
            <v>1</v>
          </cell>
          <cell r="P522">
            <v>2</v>
          </cell>
          <cell r="Q522">
            <v>1</v>
          </cell>
          <cell r="R522">
            <v>2</v>
          </cell>
          <cell r="S522">
            <v>50</v>
          </cell>
          <cell r="T522">
            <v>107.60869565217392</v>
          </cell>
          <cell r="U522">
            <v>152</v>
          </cell>
          <cell r="V522">
            <v>215.21739130434784</v>
          </cell>
          <cell r="W522">
            <v>15</v>
          </cell>
          <cell r="X522">
            <v>114</v>
          </cell>
          <cell r="Y522">
            <v>18</v>
          </cell>
          <cell r="Z522">
            <v>0</v>
          </cell>
        </row>
        <row r="523">
          <cell r="A523">
            <v>9211111</v>
          </cell>
          <cell r="B523" t="str">
            <v>虎啸</v>
          </cell>
          <cell r="C523" t="str">
            <v>虎啸</v>
          </cell>
          <cell r="D523">
            <v>2</v>
          </cell>
          <cell r="E523">
            <v>19</v>
          </cell>
          <cell r="F523" t="str">
            <v>第11级，共造成238.9%点伤害</v>
          </cell>
          <cell r="G523">
            <v>1</v>
          </cell>
          <cell r="H523">
            <v>1</v>
          </cell>
          <cell r="I523">
            <v>11</v>
          </cell>
          <cell r="J523">
            <v>1</v>
          </cell>
          <cell r="K523">
            <v>119.44565217391306</v>
          </cell>
          <cell r="L523">
            <v>0</v>
          </cell>
          <cell r="M523">
            <v>8900</v>
          </cell>
          <cell r="N523">
            <v>2528</v>
          </cell>
          <cell r="O523">
            <v>1</v>
          </cell>
          <cell r="P523">
            <v>2</v>
          </cell>
          <cell r="Q523">
            <v>1</v>
          </cell>
          <cell r="R523">
            <v>2</v>
          </cell>
          <cell r="S523">
            <v>50</v>
          </cell>
          <cell r="T523">
            <v>107.60869565217392</v>
          </cell>
          <cell r="U523">
            <v>158</v>
          </cell>
          <cell r="V523">
            <v>215.21739130434784</v>
          </cell>
          <cell r="W523">
            <v>16</v>
          </cell>
          <cell r="X523">
            <v>130</v>
          </cell>
          <cell r="Y523">
            <v>18</v>
          </cell>
          <cell r="Z523">
            <v>0</v>
          </cell>
        </row>
        <row r="524">
          <cell r="A524">
            <v>9211112</v>
          </cell>
          <cell r="B524" t="str">
            <v>虎啸</v>
          </cell>
          <cell r="C524" t="str">
            <v>虎啸</v>
          </cell>
          <cell r="D524">
            <v>2</v>
          </cell>
          <cell r="E524">
            <v>21</v>
          </cell>
          <cell r="F524" t="str">
            <v>第12级，共造成241%点伤害</v>
          </cell>
          <cell r="G524">
            <v>1</v>
          </cell>
          <cell r="H524">
            <v>1</v>
          </cell>
          <cell r="I524">
            <v>12</v>
          </cell>
          <cell r="J524">
            <v>1</v>
          </cell>
          <cell r="K524">
            <v>120.5217391304348</v>
          </cell>
          <cell r="L524">
            <v>0</v>
          </cell>
          <cell r="M524">
            <v>8800</v>
          </cell>
          <cell r="N524">
            <v>3780</v>
          </cell>
          <cell r="O524">
            <v>1</v>
          </cell>
          <cell r="P524">
            <v>2</v>
          </cell>
          <cell r="Q524">
            <v>1</v>
          </cell>
          <cell r="R524">
            <v>2</v>
          </cell>
          <cell r="S524">
            <v>50</v>
          </cell>
          <cell r="T524">
            <v>107.60869565217392</v>
          </cell>
          <cell r="U524">
            <v>210</v>
          </cell>
          <cell r="V524">
            <v>215.21739130434784</v>
          </cell>
          <cell r="W524">
            <v>18</v>
          </cell>
          <cell r="X524">
            <v>148</v>
          </cell>
          <cell r="Y524">
            <v>18</v>
          </cell>
          <cell r="Z524">
            <v>0</v>
          </cell>
        </row>
        <row r="525">
          <cell r="A525">
            <v>9211113</v>
          </cell>
          <cell r="B525" t="str">
            <v>虎啸</v>
          </cell>
          <cell r="C525" t="str">
            <v>虎啸</v>
          </cell>
          <cell r="D525">
            <v>2</v>
          </cell>
          <cell r="E525">
            <v>22</v>
          </cell>
          <cell r="F525" t="str">
            <v>第13级，共造成243.2%点伤害</v>
          </cell>
          <cell r="G525">
            <v>1</v>
          </cell>
          <cell r="H525">
            <v>1</v>
          </cell>
          <cell r="I525">
            <v>13</v>
          </cell>
          <cell r="J525">
            <v>1</v>
          </cell>
          <cell r="K525">
            <v>121.59782608695653</v>
          </cell>
          <cell r="L525">
            <v>0</v>
          </cell>
          <cell r="M525">
            <v>8700</v>
          </cell>
          <cell r="N525">
            <v>4541</v>
          </cell>
          <cell r="O525">
            <v>1</v>
          </cell>
          <cell r="P525">
            <v>2</v>
          </cell>
          <cell r="Q525">
            <v>1</v>
          </cell>
          <cell r="R525">
            <v>2</v>
          </cell>
          <cell r="S525">
            <v>50</v>
          </cell>
          <cell r="T525">
            <v>107.60869565217392</v>
          </cell>
          <cell r="U525">
            <v>239</v>
          </cell>
          <cell r="V525">
            <v>215.21739130434784</v>
          </cell>
          <cell r="W525">
            <v>19</v>
          </cell>
          <cell r="X525">
            <v>167</v>
          </cell>
          <cell r="Y525">
            <v>18</v>
          </cell>
          <cell r="Z525">
            <v>0</v>
          </cell>
        </row>
        <row r="526">
          <cell r="A526">
            <v>9211114</v>
          </cell>
          <cell r="B526" t="str">
            <v>虎啸</v>
          </cell>
          <cell r="C526" t="str">
            <v>虎啸</v>
          </cell>
          <cell r="D526">
            <v>2</v>
          </cell>
          <cell r="E526">
            <v>24</v>
          </cell>
          <cell r="F526" t="str">
            <v>第14级，共造成245.3%点伤害</v>
          </cell>
          <cell r="G526">
            <v>1</v>
          </cell>
          <cell r="H526">
            <v>1</v>
          </cell>
          <cell r="I526">
            <v>14</v>
          </cell>
          <cell r="J526">
            <v>1</v>
          </cell>
          <cell r="K526">
            <v>122.67391304347827</v>
          </cell>
          <cell r="L526">
            <v>0</v>
          </cell>
          <cell r="M526">
            <v>8600</v>
          </cell>
          <cell r="N526">
            <v>6040</v>
          </cell>
          <cell r="O526">
            <v>1</v>
          </cell>
          <cell r="P526">
            <v>2</v>
          </cell>
          <cell r="Q526">
            <v>1</v>
          </cell>
          <cell r="R526">
            <v>2</v>
          </cell>
          <cell r="S526">
            <v>50</v>
          </cell>
          <cell r="T526">
            <v>107.60869565217392</v>
          </cell>
          <cell r="U526">
            <v>302</v>
          </cell>
          <cell r="V526">
            <v>215.21739130434784</v>
          </cell>
          <cell r="W526">
            <v>20</v>
          </cell>
          <cell r="X526">
            <v>187</v>
          </cell>
          <cell r="Y526">
            <v>18</v>
          </cell>
          <cell r="Z526">
            <v>0</v>
          </cell>
        </row>
        <row r="527">
          <cell r="A527">
            <v>9211115</v>
          </cell>
          <cell r="B527" t="str">
            <v>虎啸</v>
          </cell>
          <cell r="C527" t="str">
            <v>虎啸</v>
          </cell>
          <cell r="D527">
            <v>2</v>
          </cell>
          <cell r="E527">
            <v>25</v>
          </cell>
          <cell r="F527" t="str">
            <v>第15级，共造成247.5%点伤害</v>
          </cell>
          <cell r="G527">
            <v>1</v>
          </cell>
          <cell r="H527">
            <v>1</v>
          </cell>
          <cell r="I527">
            <v>15</v>
          </cell>
          <cell r="J527">
            <v>1</v>
          </cell>
          <cell r="K527">
            <v>123.75000000000001</v>
          </cell>
          <cell r="L527">
            <v>0</v>
          </cell>
          <cell r="M527">
            <v>8500</v>
          </cell>
          <cell r="N527">
            <v>7035</v>
          </cell>
          <cell r="O527">
            <v>1</v>
          </cell>
          <cell r="P527">
            <v>2</v>
          </cell>
          <cell r="Q527">
            <v>1</v>
          </cell>
          <cell r="R527">
            <v>2</v>
          </cell>
          <cell r="S527">
            <v>50</v>
          </cell>
          <cell r="T527">
            <v>107.60869565217392</v>
          </cell>
          <cell r="U527">
            <v>335</v>
          </cell>
          <cell r="V527">
            <v>215.21739130434784</v>
          </cell>
          <cell r="W527">
            <v>21</v>
          </cell>
          <cell r="X527">
            <v>208</v>
          </cell>
          <cell r="Y527">
            <v>18</v>
          </cell>
          <cell r="Z527">
            <v>0</v>
          </cell>
        </row>
        <row r="528">
          <cell r="A528">
            <v>9211116</v>
          </cell>
          <cell r="B528" t="str">
            <v>虎啸</v>
          </cell>
          <cell r="C528" t="str">
            <v>虎啸</v>
          </cell>
          <cell r="D528">
            <v>2</v>
          </cell>
          <cell r="E528">
            <v>27</v>
          </cell>
          <cell r="F528" t="str">
            <v>第16级，共造成249.7%点伤害</v>
          </cell>
          <cell r="G528">
            <v>1</v>
          </cell>
          <cell r="H528">
            <v>1</v>
          </cell>
          <cell r="I528">
            <v>16</v>
          </cell>
          <cell r="J528">
            <v>1</v>
          </cell>
          <cell r="K528">
            <v>124.82608695652175</v>
          </cell>
          <cell r="L528">
            <v>0</v>
          </cell>
          <cell r="M528">
            <v>8400</v>
          </cell>
          <cell r="N528">
            <v>9338</v>
          </cell>
          <cell r="O528">
            <v>1</v>
          </cell>
          <cell r="P528">
            <v>2</v>
          </cell>
          <cell r="Q528">
            <v>1</v>
          </cell>
          <cell r="R528">
            <v>2</v>
          </cell>
          <cell r="S528">
            <v>50</v>
          </cell>
          <cell r="T528">
            <v>107.60869565217392</v>
          </cell>
          <cell r="U528">
            <v>406</v>
          </cell>
          <cell r="V528">
            <v>215.21739130434784</v>
          </cell>
          <cell r="W528">
            <v>23</v>
          </cell>
          <cell r="X528">
            <v>231</v>
          </cell>
          <cell r="Y528">
            <v>18</v>
          </cell>
          <cell r="Z528">
            <v>0</v>
          </cell>
        </row>
        <row r="529">
          <cell r="A529">
            <v>9211117</v>
          </cell>
          <cell r="B529" t="str">
            <v>虎啸</v>
          </cell>
          <cell r="C529" t="str">
            <v>虎啸</v>
          </cell>
          <cell r="D529">
            <v>2</v>
          </cell>
          <cell r="E529">
            <v>29</v>
          </cell>
          <cell r="F529" t="str">
            <v>第17级，共造成251.8%点伤害</v>
          </cell>
          <cell r="G529">
            <v>1</v>
          </cell>
          <cell r="H529">
            <v>1</v>
          </cell>
          <cell r="I529">
            <v>17</v>
          </cell>
          <cell r="J529">
            <v>1</v>
          </cell>
          <cell r="K529">
            <v>125.90217391304348</v>
          </cell>
          <cell r="L529">
            <v>0</v>
          </cell>
          <cell r="M529">
            <v>8300</v>
          </cell>
          <cell r="N529">
            <v>12050</v>
          </cell>
          <cell r="O529">
            <v>1</v>
          </cell>
          <cell r="P529">
            <v>2</v>
          </cell>
          <cell r="Q529">
            <v>1</v>
          </cell>
          <cell r="R529">
            <v>2</v>
          </cell>
          <cell r="S529">
            <v>50</v>
          </cell>
          <cell r="T529">
            <v>107.60869565217392</v>
          </cell>
          <cell r="U529">
            <v>482</v>
          </cell>
          <cell r="V529">
            <v>215.21739130434784</v>
          </cell>
          <cell r="W529">
            <v>25</v>
          </cell>
          <cell r="X529">
            <v>256</v>
          </cell>
          <cell r="Y529">
            <v>18</v>
          </cell>
          <cell r="Z529">
            <v>0</v>
          </cell>
        </row>
        <row r="530">
          <cell r="A530">
            <v>9211118</v>
          </cell>
          <cell r="B530" t="str">
            <v>虎啸</v>
          </cell>
          <cell r="C530" t="str">
            <v>虎啸</v>
          </cell>
          <cell r="D530">
            <v>2</v>
          </cell>
          <cell r="E530">
            <v>30</v>
          </cell>
          <cell r="F530" t="str">
            <v>第18级，共造成254%点伤害</v>
          </cell>
          <cell r="G530">
            <v>1</v>
          </cell>
          <cell r="H530">
            <v>1</v>
          </cell>
          <cell r="I530">
            <v>18</v>
          </cell>
          <cell r="J530">
            <v>1</v>
          </cell>
          <cell r="K530">
            <v>126.97826086956522</v>
          </cell>
          <cell r="L530">
            <v>0</v>
          </cell>
          <cell r="M530">
            <v>8200</v>
          </cell>
          <cell r="N530">
            <v>13572</v>
          </cell>
          <cell r="O530">
            <v>1</v>
          </cell>
          <cell r="P530">
            <v>2</v>
          </cell>
          <cell r="Q530">
            <v>1</v>
          </cell>
          <cell r="R530">
            <v>2</v>
          </cell>
          <cell r="S530">
            <v>50</v>
          </cell>
          <cell r="T530">
            <v>107.60869565217392</v>
          </cell>
          <cell r="U530">
            <v>522</v>
          </cell>
          <cell r="V530">
            <v>215.21739130434784</v>
          </cell>
          <cell r="W530">
            <v>26</v>
          </cell>
          <cell r="X530">
            <v>282</v>
          </cell>
          <cell r="Y530">
            <v>18</v>
          </cell>
          <cell r="Z530">
            <v>11</v>
          </cell>
        </row>
        <row r="531">
          <cell r="A531">
            <v>9211119</v>
          </cell>
          <cell r="B531" t="str">
            <v>虎啸</v>
          </cell>
          <cell r="C531" t="str">
            <v>虎啸</v>
          </cell>
          <cell r="D531">
            <v>2</v>
          </cell>
          <cell r="E531">
            <v>32</v>
          </cell>
          <cell r="F531" t="str">
            <v>第19级，共造成256.1%点伤害</v>
          </cell>
          <cell r="G531">
            <v>1</v>
          </cell>
          <cell r="H531">
            <v>1</v>
          </cell>
          <cell r="I531">
            <v>19</v>
          </cell>
          <cell r="J531">
            <v>1</v>
          </cell>
          <cell r="K531">
            <v>128.05434782608697</v>
          </cell>
          <cell r="L531">
            <v>0</v>
          </cell>
          <cell r="M531">
            <v>8100</v>
          </cell>
          <cell r="N531">
            <v>16968</v>
          </cell>
          <cell r="O531">
            <v>1</v>
          </cell>
          <cell r="P531">
            <v>2</v>
          </cell>
          <cell r="Q531">
            <v>1</v>
          </cell>
          <cell r="R531">
            <v>2</v>
          </cell>
          <cell r="S531">
            <v>50</v>
          </cell>
          <cell r="T531">
            <v>107.60869565217392</v>
          </cell>
          <cell r="U531">
            <v>606</v>
          </cell>
          <cell r="V531">
            <v>215.21739130434784</v>
          </cell>
          <cell r="W531">
            <v>28</v>
          </cell>
          <cell r="X531">
            <v>310</v>
          </cell>
          <cell r="Y531">
            <v>18</v>
          </cell>
          <cell r="Z531">
            <v>12</v>
          </cell>
        </row>
        <row r="532">
          <cell r="A532">
            <v>9211120</v>
          </cell>
          <cell r="B532" t="str">
            <v>虎啸</v>
          </cell>
          <cell r="C532" t="str">
            <v>虎啸</v>
          </cell>
          <cell r="D532">
            <v>2</v>
          </cell>
          <cell r="E532">
            <v>33</v>
          </cell>
          <cell r="F532" t="str">
            <v>第20级，共造成258.3%点伤害</v>
          </cell>
          <cell r="G532">
            <v>1</v>
          </cell>
          <cell r="H532">
            <v>1</v>
          </cell>
          <cell r="I532">
            <v>20</v>
          </cell>
          <cell r="J532">
            <v>1</v>
          </cell>
          <cell r="K532">
            <v>129.13043478260872</v>
          </cell>
          <cell r="L532">
            <v>0</v>
          </cell>
          <cell r="M532">
            <v>8000</v>
          </cell>
          <cell r="N532">
            <v>19530</v>
          </cell>
          <cell r="O532">
            <v>1</v>
          </cell>
          <cell r="P532">
            <v>2</v>
          </cell>
          <cell r="Q532">
            <v>1</v>
          </cell>
          <cell r="R532">
            <v>2</v>
          </cell>
          <cell r="S532">
            <v>50</v>
          </cell>
          <cell r="T532">
            <v>107.60869565217392</v>
          </cell>
          <cell r="U532">
            <v>651</v>
          </cell>
          <cell r="V532">
            <v>215.21739130434784</v>
          </cell>
          <cell r="W532">
            <v>30</v>
          </cell>
          <cell r="X532">
            <v>340</v>
          </cell>
          <cell r="Y532">
            <v>18</v>
          </cell>
          <cell r="Z532">
            <v>12</v>
          </cell>
        </row>
        <row r="533">
          <cell r="A533">
            <v>9211121</v>
          </cell>
          <cell r="B533" t="str">
            <v>虎啸</v>
          </cell>
          <cell r="C533" t="str">
            <v>虎啸</v>
          </cell>
          <cell r="D533">
            <v>2</v>
          </cell>
          <cell r="E533">
            <v>35</v>
          </cell>
          <cell r="F533" t="str">
            <v>第21级，共造成260.4%点伤害</v>
          </cell>
          <cell r="G533">
            <v>1</v>
          </cell>
          <cell r="H533">
            <v>1</v>
          </cell>
          <cell r="I533">
            <v>21</v>
          </cell>
          <cell r="J533">
            <v>1</v>
          </cell>
          <cell r="K533">
            <v>130.20652173913044</v>
          </cell>
          <cell r="L533">
            <v>0</v>
          </cell>
          <cell r="M533">
            <v>7900</v>
          </cell>
          <cell r="N533">
            <v>24519</v>
          </cell>
          <cell r="O533">
            <v>1</v>
          </cell>
          <cell r="P533">
            <v>2</v>
          </cell>
          <cell r="Q533">
            <v>1</v>
          </cell>
          <cell r="R533">
            <v>2</v>
          </cell>
          <cell r="S533">
            <v>50</v>
          </cell>
          <cell r="T533">
            <v>107.60869565217392</v>
          </cell>
          <cell r="U533">
            <v>743</v>
          </cell>
          <cell r="V533">
            <v>215.21739130434784</v>
          </cell>
          <cell r="W533">
            <v>33</v>
          </cell>
          <cell r="X533">
            <v>373</v>
          </cell>
          <cell r="Y533">
            <v>18</v>
          </cell>
          <cell r="Z533">
            <v>14</v>
          </cell>
        </row>
        <row r="534">
          <cell r="A534">
            <v>9211122</v>
          </cell>
          <cell r="B534" t="str">
            <v>虎啸</v>
          </cell>
          <cell r="C534" t="str">
            <v>虎啸</v>
          </cell>
          <cell r="D534">
            <v>2</v>
          </cell>
          <cell r="E534">
            <v>36</v>
          </cell>
          <cell r="F534" t="str">
            <v>第22级，共造成262.6%点伤害</v>
          </cell>
          <cell r="G534">
            <v>1</v>
          </cell>
          <cell r="H534">
            <v>1</v>
          </cell>
          <cell r="I534">
            <v>22</v>
          </cell>
          <cell r="J534">
            <v>1</v>
          </cell>
          <cell r="K534">
            <v>131.28260869565219</v>
          </cell>
          <cell r="L534">
            <v>0</v>
          </cell>
          <cell r="M534">
            <v>7800</v>
          </cell>
          <cell r="N534">
            <v>27685</v>
          </cell>
          <cell r="O534">
            <v>1</v>
          </cell>
          <cell r="P534">
            <v>2</v>
          </cell>
          <cell r="Q534">
            <v>1</v>
          </cell>
          <cell r="R534">
            <v>2</v>
          </cell>
          <cell r="S534">
            <v>50</v>
          </cell>
          <cell r="T534">
            <v>107.60869565217392</v>
          </cell>
          <cell r="U534">
            <v>791</v>
          </cell>
          <cell r="V534">
            <v>215.21739130434784</v>
          </cell>
          <cell r="W534">
            <v>35</v>
          </cell>
          <cell r="X534">
            <v>408</v>
          </cell>
          <cell r="Y534">
            <v>18</v>
          </cell>
          <cell r="Z534">
            <v>14</v>
          </cell>
        </row>
        <row r="535">
          <cell r="A535">
            <v>9211123</v>
          </cell>
          <cell r="B535" t="str">
            <v>虎啸</v>
          </cell>
          <cell r="C535" t="str">
            <v>虎啸</v>
          </cell>
          <cell r="D535">
            <v>2</v>
          </cell>
          <cell r="E535">
            <v>38</v>
          </cell>
          <cell r="F535" t="str">
            <v>第23级，共造成264.7%点伤害</v>
          </cell>
          <cell r="G535">
            <v>1</v>
          </cell>
          <cell r="H535">
            <v>1</v>
          </cell>
          <cell r="I535">
            <v>23</v>
          </cell>
          <cell r="J535">
            <v>1</v>
          </cell>
          <cell r="K535">
            <v>132.35869565217394</v>
          </cell>
          <cell r="L535">
            <v>0</v>
          </cell>
          <cell r="M535">
            <v>7700</v>
          </cell>
          <cell r="N535">
            <v>33004</v>
          </cell>
          <cell r="O535">
            <v>1</v>
          </cell>
          <cell r="P535">
            <v>2</v>
          </cell>
          <cell r="Q535">
            <v>1</v>
          </cell>
          <cell r="R535">
            <v>2</v>
          </cell>
          <cell r="S535">
            <v>50</v>
          </cell>
          <cell r="T535">
            <v>107.60869565217392</v>
          </cell>
          <cell r="U535">
            <v>892</v>
          </cell>
          <cell r="V535">
            <v>215.21739130434784</v>
          </cell>
          <cell r="W535">
            <v>37</v>
          </cell>
          <cell r="X535">
            <v>445</v>
          </cell>
          <cell r="Y535">
            <v>18</v>
          </cell>
          <cell r="Z535">
            <v>15</v>
          </cell>
        </row>
        <row r="536">
          <cell r="A536">
            <v>9211124</v>
          </cell>
          <cell r="B536" t="str">
            <v>虎啸</v>
          </cell>
          <cell r="C536" t="str">
            <v>虎啸</v>
          </cell>
          <cell r="D536">
            <v>2</v>
          </cell>
          <cell r="E536">
            <v>39</v>
          </cell>
          <cell r="F536" t="str">
            <v>第24级，共造成266.9%点伤害</v>
          </cell>
          <cell r="G536">
            <v>1</v>
          </cell>
          <cell r="H536">
            <v>1</v>
          </cell>
          <cell r="I536">
            <v>24</v>
          </cell>
          <cell r="J536">
            <v>1</v>
          </cell>
          <cell r="K536">
            <v>133.43478260869566</v>
          </cell>
          <cell r="L536">
            <v>0</v>
          </cell>
          <cell r="M536">
            <v>7600</v>
          </cell>
          <cell r="N536">
            <v>37760</v>
          </cell>
          <cell r="O536">
            <v>1</v>
          </cell>
          <cell r="P536">
            <v>2</v>
          </cell>
          <cell r="Q536">
            <v>1</v>
          </cell>
          <cell r="R536">
            <v>2</v>
          </cell>
          <cell r="S536">
            <v>50</v>
          </cell>
          <cell r="T536">
            <v>107.60869565217392</v>
          </cell>
          <cell r="U536">
            <v>944</v>
          </cell>
          <cell r="V536">
            <v>215.21739130434784</v>
          </cell>
          <cell r="W536">
            <v>40</v>
          </cell>
          <cell r="X536">
            <v>485</v>
          </cell>
          <cell r="Y536">
            <v>18</v>
          </cell>
          <cell r="Z536">
            <v>16</v>
          </cell>
        </row>
        <row r="537">
          <cell r="A537">
            <v>9211125</v>
          </cell>
          <cell r="B537" t="str">
            <v>虎啸</v>
          </cell>
          <cell r="C537" t="str">
            <v>虎啸</v>
          </cell>
          <cell r="D537">
            <v>2</v>
          </cell>
          <cell r="E537">
            <v>41</v>
          </cell>
          <cell r="F537" t="str">
            <v>第25级，共造成269%点伤害</v>
          </cell>
          <cell r="G537">
            <v>1</v>
          </cell>
          <cell r="H537">
            <v>1</v>
          </cell>
          <cell r="I537">
            <v>25</v>
          </cell>
          <cell r="J537">
            <v>1</v>
          </cell>
          <cell r="K537">
            <v>134.5108695652174</v>
          </cell>
          <cell r="L537">
            <v>0</v>
          </cell>
          <cell r="M537">
            <v>7500</v>
          </cell>
          <cell r="N537">
            <v>45279</v>
          </cell>
          <cell r="O537">
            <v>1</v>
          </cell>
          <cell r="P537">
            <v>2</v>
          </cell>
          <cell r="Q537">
            <v>1</v>
          </cell>
          <cell r="R537">
            <v>2</v>
          </cell>
          <cell r="S537">
            <v>50</v>
          </cell>
          <cell r="T537">
            <v>107.60869565217392</v>
          </cell>
          <cell r="U537">
            <v>1053</v>
          </cell>
          <cell r="V537">
            <v>215.21739130434784</v>
          </cell>
          <cell r="W537">
            <v>43</v>
          </cell>
          <cell r="X537">
            <v>528</v>
          </cell>
          <cell r="Y537">
            <v>18</v>
          </cell>
          <cell r="Z537">
            <v>18</v>
          </cell>
        </row>
        <row r="538">
          <cell r="A538">
            <v>9211126</v>
          </cell>
          <cell r="B538" t="str">
            <v>虎啸</v>
          </cell>
          <cell r="C538" t="str">
            <v>虎啸</v>
          </cell>
          <cell r="D538">
            <v>2</v>
          </cell>
          <cell r="E538">
            <v>43</v>
          </cell>
          <cell r="F538" t="str">
            <v>第26级，共造成271.2%点伤害</v>
          </cell>
          <cell r="G538">
            <v>1</v>
          </cell>
          <cell r="H538">
            <v>1</v>
          </cell>
          <cell r="I538">
            <v>26</v>
          </cell>
          <cell r="J538">
            <v>1</v>
          </cell>
          <cell r="K538">
            <v>135.58695652173913</v>
          </cell>
          <cell r="L538">
            <v>0</v>
          </cell>
          <cell r="M538">
            <v>7400</v>
          </cell>
          <cell r="N538">
            <v>53682</v>
          </cell>
          <cell r="O538">
            <v>1</v>
          </cell>
          <cell r="P538">
            <v>2</v>
          </cell>
          <cell r="Q538">
            <v>1</v>
          </cell>
          <cell r="R538">
            <v>2</v>
          </cell>
          <cell r="S538">
            <v>50</v>
          </cell>
          <cell r="T538">
            <v>107.60869565217392</v>
          </cell>
          <cell r="U538">
            <v>1167</v>
          </cell>
          <cell r="V538">
            <v>215.21739130434784</v>
          </cell>
          <cell r="W538">
            <v>46</v>
          </cell>
          <cell r="X538">
            <v>574</v>
          </cell>
          <cell r="Y538">
            <v>18</v>
          </cell>
          <cell r="Z538">
            <v>19</v>
          </cell>
        </row>
        <row r="539">
          <cell r="A539">
            <v>9211127</v>
          </cell>
          <cell r="B539" t="str">
            <v>虎啸</v>
          </cell>
          <cell r="C539" t="str">
            <v>虎啸</v>
          </cell>
          <cell r="D539">
            <v>2</v>
          </cell>
          <cell r="E539">
            <v>44</v>
          </cell>
          <cell r="F539" t="str">
            <v>第27级，共造成273.3%点伤害</v>
          </cell>
          <cell r="G539">
            <v>1</v>
          </cell>
          <cell r="H539">
            <v>1</v>
          </cell>
          <cell r="I539">
            <v>27</v>
          </cell>
          <cell r="J539">
            <v>1</v>
          </cell>
          <cell r="K539">
            <v>136.66304347826087</v>
          </cell>
          <cell r="L539">
            <v>0</v>
          </cell>
          <cell r="M539">
            <v>7300</v>
          </cell>
          <cell r="N539">
            <v>60074</v>
          </cell>
          <cell r="O539">
            <v>1</v>
          </cell>
          <cell r="P539">
            <v>2</v>
          </cell>
          <cell r="Q539">
            <v>1</v>
          </cell>
          <cell r="R539">
            <v>2</v>
          </cell>
          <cell r="S539">
            <v>50</v>
          </cell>
          <cell r="T539">
            <v>107.60869565217392</v>
          </cell>
          <cell r="U539">
            <v>1226</v>
          </cell>
          <cell r="V539">
            <v>215.21739130434784</v>
          </cell>
          <cell r="W539">
            <v>49</v>
          </cell>
          <cell r="X539">
            <v>623</v>
          </cell>
          <cell r="Y539">
            <v>18</v>
          </cell>
          <cell r="Z539">
            <v>20</v>
          </cell>
        </row>
        <row r="540">
          <cell r="A540">
            <v>9211128</v>
          </cell>
          <cell r="B540" t="str">
            <v>虎啸</v>
          </cell>
          <cell r="C540" t="str">
            <v>虎啸</v>
          </cell>
          <cell r="D540">
            <v>2</v>
          </cell>
          <cell r="E540">
            <v>46</v>
          </cell>
          <cell r="F540" t="str">
            <v>第28级，共造成275.5%点伤害</v>
          </cell>
          <cell r="G540">
            <v>1</v>
          </cell>
          <cell r="H540">
            <v>1</v>
          </cell>
          <cell r="I540">
            <v>28</v>
          </cell>
          <cell r="J540">
            <v>1</v>
          </cell>
          <cell r="K540">
            <v>137.73913043478262</v>
          </cell>
          <cell r="L540">
            <v>0</v>
          </cell>
          <cell r="M540">
            <v>7200</v>
          </cell>
          <cell r="N540">
            <v>70148</v>
          </cell>
          <cell r="O540">
            <v>1</v>
          </cell>
          <cell r="P540">
            <v>2</v>
          </cell>
          <cell r="Q540">
            <v>1</v>
          </cell>
          <cell r="R540">
            <v>2</v>
          </cell>
          <cell r="S540">
            <v>50</v>
          </cell>
          <cell r="T540">
            <v>107.60869565217392</v>
          </cell>
          <cell r="U540">
            <v>1349</v>
          </cell>
          <cell r="V540">
            <v>215.21739130434784</v>
          </cell>
          <cell r="W540">
            <v>52</v>
          </cell>
          <cell r="X540">
            <v>675</v>
          </cell>
          <cell r="Y540">
            <v>18</v>
          </cell>
          <cell r="Z540">
            <v>21</v>
          </cell>
        </row>
        <row r="541">
          <cell r="A541">
            <v>9211129</v>
          </cell>
          <cell r="B541" t="str">
            <v>虎啸</v>
          </cell>
          <cell r="C541" t="str">
            <v>虎啸</v>
          </cell>
          <cell r="D541">
            <v>2</v>
          </cell>
          <cell r="E541">
            <v>47</v>
          </cell>
          <cell r="F541" t="str">
            <v>第29级，共造成277.6%点伤害</v>
          </cell>
          <cell r="G541">
            <v>1</v>
          </cell>
          <cell r="H541">
            <v>1</v>
          </cell>
          <cell r="I541">
            <v>29</v>
          </cell>
          <cell r="J541">
            <v>1</v>
          </cell>
          <cell r="K541">
            <v>138.81521739130437</v>
          </cell>
          <cell r="L541">
            <v>0</v>
          </cell>
          <cell r="M541">
            <v>7100</v>
          </cell>
          <cell r="N541">
            <v>79072</v>
          </cell>
          <cell r="O541">
            <v>1</v>
          </cell>
          <cell r="P541">
            <v>2</v>
          </cell>
          <cell r="Q541">
            <v>1</v>
          </cell>
          <cell r="R541">
            <v>2</v>
          </cell>
          <cell r="S541">
            <v>50</v>
          </cell>
          <cell r="T541">
            <v>107.60869565217392</v>
          </cell>
          <cell r="U541">
            <v>1412</v>
          </cell>
          <cell r="V541">
            <v>215.21739130434784</v>
          </cell>
          <cell r="W541">
            <v>56</v>
          </cell>
          <cell r="X541">
            <v>731</v>
          </cell>
          <cell r="Y541">
            <v>18</v>
          </cell>
          <cell r="Z541">
            <v>23</v>
          </cell>
        </row>
        <row r="542">
          <cell r="A542">
            <v>9211130</v>
          </cell>
          <cell r="B542" t="str">
            <v>虎啸</v>
          </cell>
          <cell r="C542" t="str">
            <v>虎啸</v>
          </cell>
          <cell r="D542">
            <v>2</v>
          </cell>
          <cell r="E542">
            <v>49</v>
          </cell>
          <cell r="F542" t="str">
            <v>第30级，共造成279.8%点伤害</v>
          </cell>
          <cell r="G542">
            <v>1</v>
          </cell>
          <cell r="H542">
            <v>1</v>
          </cell>
          <cell r="I542">
            <v>30</v>
          </cell>
          <cell r="J542">
            <v>1</v>
          </cell>
          <cell r="K542">
            <v>139.89130434782609</v>
          </cell>
          <cell r="L542">
            <v>0</v>
          </cell>
          <cell r="M542">
            <v>7000</v>
          </cell>
          <cell r="N542">
            <v>92580</v>
          </cell>
          <cell r="O542">
            <v>1</v>
          </cell>
          <cell r="P542">
            <v>2</v>
          </cell>
          <cell r="Q542">
            <v>1</v>
          </cell>
          <cell r="R542">
            <v>2</v>
          </cell>
          <cell r="S542">
            <v>50</v>
          </cell>
          <cell r="T542">
            <v>107.60869565217392</v>
          </cell>
          <cell r="U542">
            <v>1543</v>
          </cell>
          <cell r="V542">
            <v>215.21739130434784</v>
          </cell>
          <cell r="W542">
            <v>60</v>
          </cell>
          <cell r="X542">
            <v>791</v>
          </cell>
          <cell r="Y542">
            <v>18</v>
          </cell>
          <cell r="Z542">
            <v>24</v>
          </cell>
        </row>
        <row r="543">
          <cell r="A543">
            <v>9211131</v>
          </cell>
          <cell r="B543" t="str">
            <v>虎啸</v>
          </cell>
          <cell r="C543" t="str">
            <v>虎啸</v>
          </cell>
          <cell r="D543">
            <v>2</v>
          </cell>
          <cell r="E543">
            <v>50</v>
          </cell>
          <cell r="F543" t="str">
            <v>第31级，共造成281.9%点伤害</v>
          </cell>
          <cell r="G543">
            <v>1</v>
          </cell>
          <cell r="H543">
            <v>1</v>
          </cell>
          <cell r="I543">
            <v>31</v>
          </cell>
          <cell r="J543">
            <v>1</v>
          </cell>
          <cell r="K543">
            <v>140.96739130434784</v>
          </cell>
          <cell r="L543">
            <v>0</v>
          </cell>
          <cell r="M543">
            <v>6900</v>
          </cell>
          <cell r="N543">
            <v>103040</v>
          </cell>
          <cell r="O543">
            <v>1</v>
          </cell>
          <cell r="P543">
            <v>2</v>
          </cell>
          <cell r="Q543">
            <v>1</v>
          </cell>
          <cell r="R543">
            <v>2</v>
          </cell>
          <cell r="S543">
            <v>50</v>
          </cell>
          <cell r="T543">
            <v>107.60869565217392</v>
          </cell>
          <cell r="U543">
            <v>1610</v>
          </cell>
          <cell r="V543">
            <v>215.21739130434784</v>
          </cell>
          <cell r="W543">
            <v>64</v>
          </cell>
          <cell r="X543">
            <v>855</v>
          </cell>
          <cell r="Y543">
            <v>18</v>
          </cell>
          <cell r="Z543">
            <v>26</v>
          </cell>
        </row>
        <row r="544">
          <cell r="A544">
            <v>9211132</v>
          </cell>
          <cell r="B544" t="str">
            <v>虎啸</v>
          </cell>
          <cell r="C544" t="str">
            <v>虎啸</v>
          </cell>
          <cell r="D544">
            <v>2</v>
          </cell>
          <cell r="E544">
            <v>52</v>
          </cell>
          <cell r="F544" t="str">
            <v>第32级，共造成284.1%点伤害</v>
          </cell>
          <cell r="G544">
            <v>1</v>
          </cell>
          <cell r="H544">
            <v>1</v>
          </cell>
          <cell r="I544">
            <v>32</v>
          </cell>
          <cell r="J544">
            <v>1</v>
          </cell>
          <cell r="K544">
            <v>142.04347826086956</v>
          </cell>
          <cell r="L544">
            <v>0</v>
          </cell>
          <cell r="M544">
            <v>6800</v>
          </cell>
          <cell r="N544">
            <v>120681</v>
          </cell>
          <cell r="O544">
            <v>1</v>
          </cell>
          <cell r="P544">
            <v>2</v>
          </cell>
          <cell r="Q544">
            <v>1</v>
          </cell>
          <cell r="R544">
            <v>2</v>
          </cell>
          <cell r="S544">
            <v>50</v>
          </cell>
          <cell r="T544">
            <v>107.60869565217392</v>
          </cell>
          <cell r="U544">
            <v>1749</v>
          </cell>
          <cell r="V544">
            <v>215.21739130434784</v>
          </cell>
          <cell r="W544">
            <v>69</v>
          </cell>
          <cell r="X544">
            <v>924</v>
          </cell>
          <cell r="Y544">
            <v>18</v>
          </cell>
          <cell r="Z544">
            <v>28</v>
          </cell>
        </row>
        <row r="545">
          <cell r="A545">
            <v>9211133</v>
          </cell>
          <cell r="B545" t="str">
            <v>虎啸</v>
          </cell>
          <cell r="C545" t="str">
            <v>虎啸</v>
          </cell>
          <cell r="D545">
            <v>2</v>
          </cell>
          <cell r="E545">
            <v>53</v>
          </cell>
          <cell r="F545" t="str">
            <v>第33级，共造成286.2%点伤害</v>
          </cell>
          <cell r="G545">
            <v>1</v>
          </cell>
          <cell r="H545">
            <v>1</v>
          </cell>
          <cell r="I545">
            <v>33</v>
          </cell>
          <cell r="J545">
            <v>1</v>
          </cell>
          <cell r="K545">
            <v>143.11956521739131</v>
          </cell>
          <cell r="L545">
            <v>0</v>
          </cell>
          <cell r="M545">
            <v>6700</v>
          </cell>
          <cell r="N545">
            <v>134680</v>
          </cell>
          <cell r="O545">
            <v>1</v>
          </cell>
          <cell r="P545">
            <v>2</v>
          </cell>
          <cell r="Q545">
            <v>1</v>
          </cell>
          <cell r="R545">
            <v>2</v>
          </cell>
          <cell r="S545">
            <v>50</v>
          </cell>
          <cell r="T545">
            <v>107.60869565217392</v>
          </cell>
          <cell r="U545">
            <v>1820</v>
          </cell>
          <cell r="V545">
            <v>215.21739130434784</v>
          </cell>
          <cell r="W545">
            <v>74</v>
          </cell>
          <cell r="X545">
            <v>998</v>
          </cell>
          <cell r="Y545">
            <v>18</v>
          </cell>
          <cell r="Z545">
            <v>30</v>
          </cell>
        </row>
        <row r="546">
          <cell r="A546">
            <v>9211134</v>
          </cell>
          <cell r="B546" t="str">
            <v>虎啸</v>
          </cell>
          <cell r="C546" t="str">
            <v>虎啸</v>
          </cell>
          <cell r="D546">
            <v>2</v>
          </cell>
          <cell r="E546">
            <v>55</v>
          </cell>
          <cell r="F546" t="str">
            <v>第34级，共造成288.4%点伤害</v>
          </cell>
          <cell r="G546">
            <v>1</v>
          </cell>
          <cell r="H546">
            <v>1</v>
          </cell>
          <cell r="I546">
            <v>34</v>
          </cell>
          <cell r="J546">
            <v>1</v>
          </cell>
          <cell r="K546">
            <v>144.19565217391306</v>
          </cell>
          <cell r="L546">
            <v>0</v>
          </cell>
          <cell r="M546">
            <v>6600</v>
          </cell>
          <cell r="N546">
            <v>155393</v>
          </cell>
          <cell r="O546">
            <v>1</v>
          </cell>
          <cell r="P546">
            <v>2</v>
          </cell>
          <cell r="Q546">
            <v>1</v>
          </cell>
          <cell r="R546">
            <v>2</v>
          </cell>
          <cell r="S546">
            <v>50</v>
          </cell>
          <cell r="T546">
            <v>107.60869565217392</v>
          </cell>
          <cell r="U546">
            <v>1967</v>
          </cell>
          <cell r="V546">
            <v>215.21739130434784</v>
          </cell>
          <cell r="W546">
            <v>79</v>
          </cell>
          <cell r="X546">
            <v>1077</v>
          </cell>
          <cell r="Y546">
            <v>18</v>
          </cell>
          <cell r="Z546">
            <v>32</v>
          </cell>
        </row>
        <row r="547">
          <cell r="A547">
            <v>9211135</v>
          </cell>
          <cell r="B547" t="str">
            <v>虎啸</v>
          </cell>
          <cell r="C547" t="str">
            <v>虎啸</v>
          </cell>
          <cell r="D547">
            <v>2</v>
          </cell>
          <cell r="E547">
            <v>57</v>
          </cell>
          <cell r="F547" t="str">
            <v>第35级，共造成290.5%点伤害</v>
          </cell>
          <cell r="G547">
            <v>1</v>
          </cell>
          <cell r="H547">
            <v>1</v>
          </cell>
          <cell r="I547">
            <v>35</v>
          </cell>
          <cell r="J547">
            <v>1</v>
          </cell>
          <cell r="K547">
            <v>145.27173913043481</v>
          </cell>
          <cell r="L547">
            <v>0</v>
          </cell>
          <cell r="M547">
            <v>6500</v>
          </cell>
          <cell r="N547">
            <v>177996</v>
          </cell>
          <cell r="O547">
            <v>1</v>
          </cell>
          <cell r="P547">
            <v>2</v>
          </cell>
          <cell r="Q547">
            <v>1</v>
          </cell>
          <cell r="R547">
            <v>2</v>
          </cell>
          <cell r="S547">
            <v>50</v>
          </cell>
          <cell r="T547">
            <v>107.60869565217392</v>
          </cell>
          <cell r="U547">
            <v>2119</v>
          </cell>
          <cell r="V547">
            <v>215.21739130434784</v>
          </cell>
          <cell r="W547">
            <v>84</v>
          </cell>
          <cell r="X547">
            <v>1161</v>
          </cell>
          <cell r="Y547">
            <v>18</v>
          </cell>
          <cell r="Z547">
            <v>34</v>
          </cell>
        </row>
        <row r="548">
          <cell r="A548">
            <v>9211136</v>
          </cell>
          <cell r="B548" t="str">
            <v>虎啸</v>
          </cell>
          <cell r="C548" t="str">
            <v>虎啸</v>
          </cell>
          <cell r="D548">
            <v>2</v>
          </cell>
          <cell r="E548">
            <v>58</v>
          </cell>
          <cell r="F548" t="str">
            <v>第36级，共造成292.7%点伤害</v>
          </cell>
          <cell r="G548">
            <v>1</v>
          </cell>
          <cell r="H548">
            <v>1</v>
          </cell>
          <cell r="I548">
            <v>36</v>
          </cell>
          <cell r="J548">
            <v>1</v>
          </cell>
          <cell r="K548">
            <v>146.34782608695653</v>
          </cell>
          <cell r="L548">
            <v>0</v>
          </cell>
          <cell r="M548">
            <v>6400</v>
          </cell>
          <cell r="N548">
            <v>197820</v>
          </cell>
          <cell r="O548">
            <v>1</v>
          </cell>
          <cell r="P548">
            <v>2</v>
          </cell>
          <cell r="Q548">
            <v>1</v>
          </cell>
          <cell r="R548">
            <v>2</v>
          </cell>
          <cell r="S548">
            <v>50</v>
          </cell>
          <cell r="T548">
            <v>107.60869565217392</v>
          </cell>
          <cell r="U548">
            <v>2198</v>
          </cell>
          <cell r="V548">
            <v>215.21739130434784</v>
          </cell>
          <cell r="W548">
            <v>90</v>
          </cell>
          <cell r="X548">
            <v>1251</v>
          </cell>
          <cell r="Y548">
            <v>18</v>
          </cell>
          <cell r="Z548">
            <v>36</v>
          </cell>
        </row>
        <row r="549">
          <cell r="A549">
            <v>9211137</v>
          </cell>
          <cell r="B549" t="str">
            <v>虎啸</v>
          </cell>
          <cell r="C549" t="str">
            <v>虎啸</v>
          </cell>
          <cell r="D549">
            <v>2</v>
          </cell>
          <cell r="E549">
            <v>60</v>
          </cell>
          <cell r="F549" t="str">
            <v>第37级，共造成294.8%点伤害</v>
          </cell>
          <cell r="G549">
            <v>1</v>
          </cell>
          <cell r="H549">
            <v>1</v>
          </cell>
          <cell r="I549">
            <v>37</v>
          </cell>
          <cell r="J549">
            <v>1</v>
          </cell>
          <cell r="K549">
            <v>147.42391304347828</v>
          </cell>
          <cell r="L549">
            <v>0</v>
          </cell>
          <cell r="M549">
            <v>6300</v>
          </cell>
          <cell r="N549">
            <v>226368</v>
          </cell>
          <cell r="O549">
            <v>1</v>
          </cell>
          <cell r="P549">
            <v>2</v>
          </cell>
          <cell r="Q549">
            <v>1</v>
          </cell>
          <cell r="R549">
            <v>2</v>
          </cell>
          <cell r="S549">
            <v>50</v>
          </cell>
          <cell r="T549">
            <v>107.60869565217392</v>
          </cell>
          <cell r="U549">
            <v>2358</v>
          </cell>
          <cell r="V549">
            <v>215.21739130434784</v>
          </cell>
          <cell r="W549">
            <v>96</v>
          </cell>
          <cell r="X549">
            <v>1347</v>
          </cell>
          <cell r="Y549">
            <v>18</v>
          </cell>
          <cell r="Z549">
            <v>39</v>
          </cell>
        </row>
        <row r="550">
          <cell r="A550">
            <v>9211138</v>
          </cell>
          <cell r="B550" t="str">
            <v>虎啸</v>
          </cell>
          <cell r="C550" t="str">
            <v>虎啸</v>
          </cell>
          <cell r="D550">
            <v>2</v>
          </cell>
          <cell r="E550">
            <v>61</v>
          </cell>
          <cell r="F550" t="str">
            <v>第38级，共造成297%点伤害</v>
          </cell>
          <cell r="G550">
            <v>1</v>
          </cell>
          <cell r="H550">
            <v>1</v>
          </cell>
          <cell r="I550">
            <v>38</v>
          </cell>
          <cell r="J550">
            <v>1</v>
          </cell>
          <cell r="K550">
            <v>148.5</v>
          </cell>
          <cell r="L550">
            <v>0</v>
          </cell>
          <cell r="M550">
            <v>6200</v>
          </cell>
          <cell r="N550">
            <v>251320</v>
          </cell>
          <cell r="O550">
            <v>1</v>
          </cell>
          <cell r="P550">
            <v>2</v>
          </cell>
          <cell r="Q550">
            <v>1</v>
          </cell>
          <cell r="R550">
            <v>2</v>
          </cell>
          <cell r="S550">
            <v>50</v>
          </cell>
          <cell r="T550">
            <v>107.60869565217392</v>
          </cell>
          <cell r="U550">
            <v>2440</v>
          </cell>
          <cell r="V550">
            <v>215.21739130434784</v>
          </cell>
          <cell r="W550">
            <v>103</v>
          </cell>
          <cell r="X550">
            <v>1450</v>
          </cell>
          <cell r="Y550">
            <v>18</v>
          </cell>
          <cell r="Z550">
            <v>42</v>
          </cell>
        </row>
        <row r="551">
          <cell r="A551">
            <v>9211139</v>
          </cell>
          <cell r="B551" t="str">
            <v>虎啸</v>
          </cell>
          <cell r="C551" t="str">
            <v>虎啸</v>
          </cell>
          <cell r="D551">
            <v>2</v>
          </cell>
          <cell r="E551">
            <v>63</v>
          </cell>
          <cell r="F551" t="str">
            <v>第39级，共造成299.2%点伤害</v>
          </cell>
          <cell r="G551">
            <v>1</v>
          </cell>
          <cell r="H551">
            <v>1</v>
          </cell>
          <cell r="I551">
            <v>39</v>
          </cell>
          <cell r="J551">
            <v>1</v>
          </cell>
          <cell r="K551">
            <v>149.57608695652175</v>
          </cell>
          <cell r="L551">
            <v>0</v>
          </cell>
          <cell r="M551">
            <v>6100</v>
          </cell>
          <cell r="N551">
            <v>286990</v>
          </cell>
          <cell r="O551">
            <v>1</v>
          </cell>
          <cell r="P551">
            <v>2</v>
          </cell>
          <cell r="Q551">
            <v>1</v>
          </cell>
          <cell r="R551">
            <v>2</v>
          </cell>
          <cell r="S551">
            <v>50</v>
          </cell>
          <cell r="T551">
            <v>107.60869565217392</v>
          </cell>
          <cell r="U551">
            <v>2609</v>
          </cell>
          <cell r="V551">
            <v>215.21739130434784</v>
          </cell>
          <cell r="W551">
            <v>110</v>
          </cell>
          <cell r="X551">
            <v>1560</v>
          </cell>
          <cell r="Y551">
            <v>18</v>
          </cell>
          <cell r="Z551">
            <v>44</v>
          </cell>
        </row>
        <row r="552">
          <cell r="A552">
            <v>9211140</v>
          </cell>
          <cell r="B552" t="str">
            <v>虎啸</v>
          </cell>
          <cell r="C552" t="str">
            <v>虎啸</v>
          </cell>
          <cell r="D552">
            <v>2</v>
          </cell>
          <cell r="E552">
            <v>64</v>
          </cell>
          <cell r="F552" t="str">
            <v>第40级，共造成301.3%点伤害</v>
          </cell>
          <cell r="G552">
            <v>1</v>
          </cell>
          <cell r="H552">
            <v>1</v>
          </cell>
          <cell r="I552">
            <v>40</v>
          </cell>
          <cell r="J552">
            <v>1</v>
          </cell>
          <cell r="K552">
            <v>150.6521739130435</v>
          </cell>
          <cell r="L552">
            <v>0</v>
          </cell>
          <cell r="M552">
            <v>6000</v>
          </cell>
          <cell r="N552">
            <v>318010</v>
          </cell>
          <cell r="O552">
            <v>1</v>
          </cell>
          <cell r="P552">
            <v>2</v>
          </cell>
          <cell r="Q552">
            <v>1</v>
          </cell>
          <cell r="R552">
            <v>2</v>
          </cell>
          <cell r="S552">
            <v>50</v>
          </cell>
          <cell r="T552">
            <v>107.60869565217392</v>
          </cell>
          <cell r="U552">
            <v>2695</v>
          </cell>
          <cell r="V552">
            <v>215.21739130434784</v>
          </cell>
          <cell r="W552">
            <v>118</v>
          </cell>
          <cell r="X552">
            <v>1678</v>
          </cell>
          <cell r="Y552">
            <v>18</v>
          </cell>
          <cell r="Z552">
            <v>48</v>
          </cell>
        </row>
        <row r="553">
          <cell r="A553">
            <v>9211141</v>
          </cell>
          <cell r="B553" t="str">
            <v>虎啸</v>
          </cell>
          <cell r="C553" t="str">
            <v>虎啸</v>
          </cell>
          <cell r="D553">
            <v>2</v>
          </cell>
          <cell r="E553">
            <v>66</v>
          </cell>
          <cell r="F553" t="str">
            <v>第41级，共造成303.5%点伤害</v>
          </cell>
          <cell r="G553">
            <v>1</v>
          </cell>
          <cell r="H553">
            <v>1</v>
          </cell>
          <cell r="I553">
            <v>41</v>
          </cell>
          <cell r="J553">
            <v>1</v>
          </cell>
          <cell r="K553">
            <v>151.72826086956525</v>
          </cell>
          <cell r="L553">
            <v>0</v>
          </cell>
          <cell r="M553">
            <v>5900</v>
          </cell>
          <cell r="N553">
            <v>361872</v>
          </cell>
          <cell r="O553">
            <v>1</v>
          </cell>
          <cell r="P553">
            <v>2</v>
          </cell>
          <cell r="Q553">
            <v>1</v>
          </cell>
          <cell r="R553">
            <v>2</v>
          </cell>
          <cell r="S553">
            <v>50</v>
          </cell>
          <cell r="T553">
            <v>107.60869565217392</v>
          </cell>
          <cell r="U553">
            <v>2872</v>
          </cell>
          <cell r="V553">
            <v>215.21739130434784</v>
          </cell>
          <cell r="W553">
            <v>126</v>
          </cell>
          <cell r="X553">
            <v>1804</v>
          </cell>
          <cell r="Y553">
            <v>18</v>
          </cell>
          <cell r="Z553">
            <v>51</v>
          </cell>
        </row>
        <row r="554">
          <cell r="A554">
            <v>9211142</v>
          </cell>
          <cell r="B554" t="str">
            <v>虎啸</v>
          </cell>
          <cell r="C554" t="str">
            <v>虎啸</v>
          </cell>
          <cell r="D554">
            <v>2</v>
          </cell>
          <cell r="E554">
            <v>68</v>
          </cell>
          <cell r="F554" t="str">
            <v>第42级，共造成305.6%点伤害</v>
          </cell>
          <cell r="G554">
            <v>1</v>
          </cell>
          <cell r="H554">
            <v>1</v>
          </cell>
          <cell r="I554">
            <v>42</v>
          </cell>
          <cell r="J554">
            <v>1</v>
          </cell>
          <cell r="K554">
            <v>152.80434782608697</v>
          </cell>
          <cell r="L554">
            <v>0</v>
          </cell>
          <cell r="M554">
            <v>5800</v>
          </cell>
          <cell r="N554">
            <v>412290</v>
          </cell>
          <cell r="O554">
            <v>1</v>
          </cell>
          <cell r="P554">
            <v>2</v>
          </cell>
          <cell r="Q554">
            <v>1</v>
          </cell>
          <cell r="R554">
            <v>2</v>
          </cell>
          <cell r="S554">
            <v>50</v>
          </cell>
          <cell r="T554">
            <v>107.60869565217392</v>
          </cell>
          <cell r="U554">
            <v>3054</v>
          </cell>
          <cell r="V554">
            <v>215.21739130434784</v>
          </cell>
          <cell r="W554">
            <v>135</v>
          </cell>
          <cell r="X554">
            <v>1939</v>
          </cell>
          <cell r="Y554">
            <v>18</v>
          </cell>
          <cell r="Z554">
            <v>54</v>
          </cell>
        </row>
        <row r="555">
          <cell r="A555">
            <v>9211143</v>
          </cell>
          <cell r="B555" t="str">
            <v>虎啸</v>
          </cell>
          <cell r="C555" t="str">
            <v>虎啸</v>
          </cell>
          <cell r="D555">
            <v>2</v>
          </cell>
          <cell r="E555">
            <v>69</v>
          </cell>
          <cell r="F555" t="str">
            <v>第43级，共造成307.8%点伤害</v>
          </cell>
          <cell r="G555">
            <v>1</v>
          </cell>
          <cell r="H555">
            <v>1</v>
          </cell>
          <cell r="I555">
            <v>43</v>
          </cell>
          <cell r="J555">
            <v>1</v>
          </cell>
          <cell r="K555">
            <v>153.88043478260872</v>
          </cell>
          <cell r="L555">
            <v>0</v>
          </cell>
          <cell r="M555">
            <v>5700</v>
          </cell>
          <cell r="N555">
            <v>456315</v>
          </cell>
          <cell r="O555">
            <v>1</v>
          </cell>
          <cell r="P555">
            <v>2</v>
          </cell>
          <cell r="Q555">
            <v>1</v>
          </cell>
          <cell r="R555">
            <v>2</v>
          </cell>
          <cell r="S555">
            <v>50</v>
          </cell>
          <cell r="T555">
            <v>107.60869565217392</v>
          </cell>
          <cell r="U555">
            <v>3147</v>
          </cell>
          <cell r="V555">
            <v>215.21739130434784</v>
          </cell>
          <cell r="W555">
            <v>145</v>
          </cell>
          <cell r="X555">
            <v>2084</v>
          </cell>
          <cell r="Y555">
            <v>18</v>
          </cell>
          <cell r="Z555">
            <v>58</v>
          </cell>
        </row>
        <row r="556">
          <cell r="A556">
            <v>9211144</v>
          </cell>
          <cell r="B556" t="str">
            <v>虎啸</v>
          </cell>
          <cell r="C556" t="str">
            <v>虎啸</v>
          </cell>
          <cell r="D556">
            <v>2</v>
          </cell>
          <cell r="E556">
            <v>71</v>
          </cell>
          <cell r="F556" t="str">
            <v>第44级，共造成309.9%点伤害</v>
          </cell>
          <cell r="G556">
            <v>1</v>
          </cell>
          <cell r="H556">
            <v>1</v>
          </cell>
          <cell r="I556">
            <v>44</v>
          </cell>
          <cell r="J556">
            <v>1</v>
          </cell>
          <cell r="K556">
            <v>154.95652173913044</v>
          </cell>
          <cell r="L556">
            <v>0</v>
          </cell>
          <cell r="M556">
            <v>5600</v>
          </cell>
          <cell r="N556">
            <v>517390</v>
          </cell>
          <cell r="O556">
            <v>1</v>
          </cell>
          <cell r="P556">
            <v>2</v>
          </cell>
          <cell r="Q556">
            <v>1</v>
          </cell>
          <cell r="R556">
            <v>2</v>
          </cell>
          <cell r="S556">
            <v>50</v>
          </cell>
          <cell r="T556">
            <v>107.60869565217392</v>
          </cell>
          <cell r="U556">
            <v>3338</v>
          </cell>
          <cell r="V556">
            <v>215.21739130434784</v>
          </cell>
          <cell r="W556">
            <v>155</v>
          </cell>
          <cell r="X556">
            <v>2239</v>
          </cell>
          <cell r="Y556">
            <v>18</v>
          </cell>
          <cell r="Z556">
            <v>62</v>
          </cell>
        </row>
        <row r="557">
          <cell r="A557">
            <v>9211145</v>
          </cell>
          <cell r="B557" t="str">
            <v>虎啸</v>
          </cell>
          <cell r="C557" t="str">
            <v>虎啸</v>
          </cell>
          <cell r="D557">
            <v>2</v>
          </cell>
          <cell r="E557">
            <v>72</v>
          </cell>
          <cell r="F557" t="str">
            <v>第45级，共造成312.1%点伤害</v>
          </cell>
          <cell r="G557">
            <v>1</v>
          </cell>
          <cell r="H557">
            <v>1</v>
          </cell>
          <cell r="I557">
            <v>45</v>
          </cell>
          <cell r="J557">
            <v>1</v>
          </cell>
          <cell r="K557">
            <v>156.03260869565219</v>
          </cell>
          <cell r="L557">
            <v>0</v>
          </cell>
          <cell r="M557">
            <v>5500</v>
          </cell>
          <cell r="N557">
            <v>566775</v>
          </cell>
          <cell r="O557">
            <v>1</v>
          </cell>
          <cell r="P557">
            <v>2</v>
          </cell>
          <cell r="Q557">
            <v>1</v>
          </cell>
          <cell r="R557">
            <v>2</v>
          </cell>
          <cell r="S557">
            <v>50</v>
          </cell>
          <cell r="T557">
            <v>107.60869565217392</v>
          </cell>
          <cell r="U557">
            <v>3435</v>
          </cell>
          <cell r="V557">
            <v>215.21739130434784</v>
          </cell>
          <cell r="W557">
            <v>165</v>
          </cell>
          <cell r="X557">
            <v>2404</v>
          </cell>
          <cell r="Y557">
            <v>18</v>
          </cell>
          <cell r="Z557">
            <v>66</v>
          </cell>
        </row>
        <row r="558">
          <cell r="A558">
            <v>9211146</v>
          </cell>
          <cell r="B558" t="str">
            <v>虎啸</v>
          </cell>
          <cell r="C558" t="str">
            <v>虎啸</v>
          </cell>
          <cell r="D558">
            <v>2</v>
          </cell>
          <cell r="E558">
            <v>74</v>
          </cell>
          <cell r="F558" t="str">
            <v>第46级，共造成314.2%点伤害</v>
          </cell>
          <cell r="G558">
            <v>1</v>
          </cell>
          <cell r="H558">
            <v>1</v>
          </cell>
          <cell r="I558">
            <v>46</v>
          </cell>
          <cell r="J558">
            <v>1</v>
          </cell>
          <cell r="K558">
            <v>157.10869565217394</v>
          </cell>
          <cell r="L558">
            <v>0</v>
          </cell>
          <cell r="M558">
            <v>5400</v>
          </cell>
          <cell r="N558">
            <v>643218</v>
          </cell>
          <cell r="O558">
            <v>1</v>
          </cell>
          <cell r="P558">
            <v>2</v>
          </cell>
          <cell r="Q558">
            <v>1</v>
          </cell>
          <cell r="R558">
            <v>2</v>
          </cell>
          <cell r="S558">
            <v>50</v>
          </cell>
          <cell r="T558">
            <v>107.60869565217392</v>
          </cell>
          <cell r="U558">
            <v>3634</v>
          </cell>
          <cell r="V558">
            <v>215.21739130434784</v>
          </cell>
          <cell r="W558">
            <v>177</v>
          </cell>
          <cell r="X558">
            <v>2581</v>
          </cell>
          <cell r="Y558">
            <v>18</v>
          </cell>
          <cell r="Z558">
            <v>71</v>
          </cell>
        </row>
        <row r="559">
          <cell r="A559">
            <v>9211147</v>
          </cell>
          <cell r="B559" t="str">
            <v>虎啸</v>
          </cell>
          <cell r="C559" t="str">
            <v>虎啸</v>
          </cell>
          <cell r="D559">
            <v>2</v>
          </cell>
          <cell r="E559">
            <v>75</v>
          </cell>
          <cell r="F559" t="str">
            <v>第47级，共造成316.4%点伤害</v>
          </cell>
          <cell r="G559">
            <v>1</v>
          </cell>
          <cell r="H559">
            <v>1</v>
          </cell>
          <cell r="I559">
            <v>47</v>
          </cell>
          <cell r="J559">
            <v>1</v>
          </cell>
          <cell r="K559">
            <v>158.18478260869566</v>
          </cell>
          <cell r="L559">
            <v>0</v>
          </cell>
          <cell r="M559">
            <v>5300</v>
          </cell>
          <cell r="N559">
            <v>705915</v>
          </cell>
          <cell r="O559">
            <v>1</v>
          </cell>
          <cell r="P559">
            <v>2</v>
          </cell>
          <cell r="Q559">
            <v>1</v>
          </cell>
          <cell r="R559">
            <v>2</v>
          </cell>
          <cell r="S559">
            <v>50</v>
          </cell>
          <cell r="T559">
            <v>107.60869565217392</v>
          </cell>
          <cell r="U559">
            <v>3735</v>
          </cell>
          <cell r="V559">
            <v>215.21739130434784</v>
          </cell>
          <cell r="W559">
            <v>189</v>
          </cell>
          <cell r="X559">
            <v>2770</v>
          </cell>
          <cell r="Y559">
            <v>18</v>
          </cell>
          <cell r="Z559">
            <v>76</v>
          </cell>
        </row>
        <row r="560">
          <cell r="A560">
            <v>9211148</v>
          </cell>
          <cell r="B560" t="str">
            <v>虎啸</v>
          </cell>
          <cell r="C560" t="str">
            <v>虎啸</v>
          </cell>
          <cell r="D560">
            <v>2</v>
          </cell>
          <cell r="E560">
            <v>77</v>
          </cell>
          <cell r="F560" t="str">
            <v>第48级，共造成318.5%点伤害</v>
          </cell>
          <cell r="G560">
            <v>1</v>
          </cell>
          <cell r="H560">
            <v>1</v>
          </cell>
          <cell r="I560">
            <v>48</v>
          </cell>
          <cell r="J560">
            <v>1</v>
          </cell>
          <cell r="K560">
            <v>159.2608695652174</v>
          </cell>
          <cell r="L560">
            <v>0</v>
          </cell>
          <cell r="M560">
            <v>5200</v>
          </cell>
          <cell r="N560">
            <v>800226</v>
          </cell>
          <cell r="O560">
            <v>1</v>
          </cell>
          <cell r="P560">
            <v>2</v>
          </cell>
          <cell r="Q560">
            <v>1</v>
          </cell>
          <cell r="R560">
            <v>2</v>
          </cell>
          <cell r="S560">
            <v>50</v>
          </cell>
          <cell r="T560">
            <v>107.60869565217392</v>
          </cell>
          <cell r="U560">
            <v>3942</v>
          </cell>
          <cell r="V560">
            <v>215.21739130434784</v>
          </cell>
          <cell r="W560">
            <v>203</v>
          </cell>
          <cell r="X560">
            <v>2973</v>
          </cell>
          <cell r="Y560">
            <v>18</v>
          </cell>
          <cell r="Z560">
            <v>82</v>
          </cell>
        </row>
        <row r="561">
          <cell r="A561">
            <v>9211149</v>
          </cell>
          <cell r="B561" t="str">
            <v>虎啸</v>
          </cell>
          <cell r="C561" t="str">
            <v>虎啸</v>
          </cell>
          <cell r="D561">
            <v>2</v>
          </cell>
          <cell r="E561">
            <v>78</v>
          </cell>
          <cell r="F561" t="str">
            <v>第49级，共造成320.7%点伤害</v>
          </cell>
          <cell r="G561">
            <v>1</v>
          </cell>
          <cell r="H561">
            <v>1</v>
          </cell>
          <cell r="I561">
            <v>49</v>
          </cell>
          <cell r="J561">
            <v>1</v>
          </cell>
          <cell r="K561">
            <v>160.33695652173915</v>
          </cell>
          <cell r="L561">
            <v>0</v>
          </cell>
          <cell r="M561">
            <v>5100</v>
          </cell>
          <cell r="N561">
            <v>878199</v>
          </cell>
          <cell r="O561">
            <v>1</v>
          </cell>
          <cell r="P561">
            <v>2</v>
          </cell>
          <cell r="Q561">
            <v>1</v>
          </cell>
          <cell r="R561">
            <v>2</v>
          </cell>
          <cell r="S561">
            <v>50</v>
          </cell>
          <cell r="T561">
            <v>107.60869565217392</v>
          </cell>
          <cell r="U561">
            <v>4047</v>
          </cell>
          <cell r="V561">
            <v>215.21739130434784</v>
          </cell>
          <cell r="W561">
            <v>217</v>
          </cell>
          <cell r="X561">
            <v>3190</v>
          </cell>
          <cell r="Y561">
            <v>18</v>
          </cell>
          <cell r="Z561">
            <v>87</v>
          </cell>
        </row>
        <row r="562">
          <cell r="A562">
            <v>9211150</v>
          </cell>
          <cell r="B562" t="str">
            <v>虎啸</v>
          </cell>
          <cell r="C562" t="str">
            <v>虎啸</v>
          </cell>
          <cell r="D562">
            <v>2</v>
          </cell>
          <cell r="E562">
            <v>80</v>
          </cell>
          <cell r="F562" t="str">
            <v>第50级，共造成322.8%点伤害</v>
          </cell>
          <cell r="G562">
            <v>1</v>
          </cell>
          <cell r="H562">
            <v>1</v>
          </cell>
          <cell r="I562">
            <v>50</v>
          </cell>
          <cell r="J562">
            <v>1</v>
          </cell>
          <cell r="K562">
            <v>161.41304347826087</v>
          </cell>
          <cell r="L562">
            <v>0</v>
          </cell>
          <cell r="M562">
            <v>5000</v>
          </cell>
          <cell r="N562">
            <v>988784</v>
          </cell>
          <cell r="O562">
            <v>1</v>
          </cell>
          <cell r="P562">
            <v>2</v>
          </cell>
          <cell r="Q562">
            <v>1</v>
          </cell>
          <cell r="R562">
            <v>2</v>
          </cell>
          <cell r="S562">
            <v>50</v>
          </cell>
          <cell r="T562">
            <v>107.60869565217392</v>
          </cell>
          <cell r="U562">
            <v>4262</v>
          </cell>
          <cell r="V562">
            <v>215.21739130434784</v>
          </cell>
          <cell r="W562">
            <v>232</v>
          </cell>
          <cell r="X562">
            <v>3422</v>
          </cell>
          <cell r="Y562">
            <v>18</v>
          </cell>
          <cell r="Z562">
            <v>93</v>
          </cell>
        </row>
        <row r="563">
          <cell r="A563">
            <v>9222000</v>
          </cell>
          <cell r="B563" t="str">
            <v>龙拳</v>
          </cell>
          <cell r="C563" t="str">
            <v>龙拳第1段</v>
          </cell>
          <cell r="D563">
            <v>2</v>
          </cell>
          <cell r="E563">
            <v>4</v>
          </cell>
          <cell r="F563" t="str">
            <v>第0级，共造成143.5%点伤害</v>
          </cell>
          <cell r="G563">
            <v>0</v>
          </cell>
          <cell r="H563">
            <v>1</v>
          </cell>
          <cell r="I563">
            <v>0</v>
          </cell>
          <cell r="J563">
            <v>2</v>
          </cell>
          <cell r="K563">
            <v>143.47826086956522</v>
          </cell>
          <cell r="L563">
            <v>0</v>
          </cell>
          <cell r="M563">
            <v>8000</v>
          </cell>
          <cell r="N563">
            <v>0</v>
          </cell>
          <cell r="O563">
            <v>2</v>
          </cell>
          <cell r="P563">
            <v>1</v>
          </cell>
          <cell r="Q563">
            <v>1</v>
          </cell>
          <cell r="R563">
            <v>4</v>
          </cell>
          <cell r="S563">
            <v>50</v>
          </cell>
          <cell r="T563">
            <v>143.47826086956522</v>
          </cell>
          <cell r="U563">
            <v>68</v>
          </cell>
          <cell r="V563">
            <v>143.47826086956522</v>
          </cell>
          <cell r="W563">
            <v>0</v>
          </cell>
          <cell r="X563">
            <v>0</v>
          </cell>
          <cell r="Y563">
            <v>18</v>
          </cell>
          <cell r="Z563">
            <v>0</v>
          </cell>
        </row>
        <row r="564">
          <cell r="A564">
            <v>9222101</v>
          </cell>
          <cell r="B564" t="str">
            <v>龙拳第1段</v>
          </cell>
          <cell r="C564" t="str">
            <v>龙拳第1段</v>
          </cell>
          <cell r="D564">
            <v>2</v>
          </cell>
          <cell r="E564">
            <v>4</v>
          </cell>
          <cell r="F564" t="str">
            <v>第1级，共造成143.5%点伤害</v>
          </cell>
          <cell r="G564">
            <v>1</v>
          </cell>
          <cell r="H564">
            <v>1</v>
          </cell>
          <cell r="I564">
            <v>1</v>
          </cell>
          <cell r="J564">
            <v>2</v>
          </cell>
          <cell r="K564">
            <v>143.47826086956522</v>
          </cell>
          <cell r="L564">
            <v>0</v>
          </cell>
          <cell r="M564">
            <v>8000</v>
          </cell>
          <cell r="N564">
            <v>272</v>
          </cell>
          <cell r="O564">
            <v>2</v>
          </cell>
          <cell r="P564">
            <v>1</v>
          </cell>
          <cell r="Q564">
            <v>1</v>
          </cell>
          <cell r="R564">
            <v>4</v>
          </cell>
          <cell r="S564">
            <v>50</v>
          </cell>
          <cell r="T564">
            <v>143.47826086956522</v>
          </cell>
          <cell r="U564">
            <v>68</v>
          </cell>
          <cell r="V564">
            <v>143.47826086956522</v>
          </cell>
          <cell r="W564">
            <v>4</v>
          </cell>
          <cell r="X564">
            <v>4</v>
          </cell>
          <cell r="Y564">
            <v>18</v>
          </cell>
          <cell r="Z564">
            <v>0</v>
          </cell>
        </row>
        <row r="565">
          <cell r="A565">
            <v>9222102</v>
          </cell>
          <cell r="B565" t="str">
            <v>龙拳第1段</v>
          </cell>
          <cell r="C565" t="str">
            <v>龙拳第1段</v>
          </cell>
          <cell r="D565">
            <v>2</v>
          </cell>
          <cell r="E565">
            <v>7</v>
          </cell>
          <cell r="F565" t="str">
            <v>第2级，共造成146.3%点伤害</v>
          </cell>
          <cell r="G565">
            <v>1</v>
          </cell>
          <cell r="H565">
            <v>1</v>
          </cell>
          <cell r="I565">
            <v>2</v>
          </cell>
          <cell r="J565">
            <v>2</v>
          </cell>
          <cell r="K565">
            <v>146.34782608695653</v>
          </cell>
          <cell r="L565">
            <v>0</v>
          </cell>
          <cell r="M565">
            <v>7840</v>
          </cell>
          <cell r="N565">
            <v>344</v>
          </cell>
          <cell r="O565">
            <v>2</v>
          </cell>
          <cell r="P565">
            <v>1</v>
          </cell>
          <cell r="Q565">
            <v>1</v>
          </cell>
          <cell r="R565">
            <v>4</v>
          </cell>
          <cell r="S565">
            <v>50</v>
          </cell>
          <cell r="T565">
            <v>143.47826086956522</v>
          </cell>
          <cell r="U565">
            <v>86</v>
          </cell>
          <cell r="V565">
            <v>143.47826086956522</v>
          </cell>
          <cell r="W565">
            <v>4</v>
          </cell>
          <cell r="X565">
            <v>8</v>
          </cell>
          <cell r="Y565">
            <v>18</v>
          </cell>
          <cell r="Z565">
            <v>0</v>
          </cell>
        </row>
        <row r="566">
          <cell r="A566">
            <v>9222103</v>
          </cell>
          <cell r="B566" t="str">
            <v>龙拳第1段</v>
          </cell>
          <cell r="C566" t="str">
            <v>龙拳第1段</v>
          </cell>
          <cell r="D566">
            <v>2</v>
          </cell>
          <cell r="E566">
            <v>9</v>
          </cell>
          <cell r="F566" t="str">
            <v>第3级，共造成147.8%点伤害</v>
          </cell>
          <cell r="G566">
            <v>1</v>
          </cell>
          <cell r="H566">
            <v>1</v>
          </cell>
          <cell r="I566">
            <v>3</v>
          </cell>
          <cell r="J566">
            <v>2</v>
          </cell>
          <cell r="K566">
            <v>147.78260869565219</v>
          </cell>
          <cell r="L566">
            <v>0</v>
          </cell>
          <cell r="M566">
            <v>7760</v>
          </cell>
          <cell r="N566">
            <v>392</v>
          </cell>
          <cell r="O566">
            <v>2</v>
          </cell>
          <cell r="P566">
            <v>1</v>
          </cell>
          <cell r="Q566">
            <v>1</v>
          </cell>
          <cell r="R566">
            <v>4</v>
          </cell>
          <cell r="S566">
            <v>50</v>
          </cell>
          <cell r="T566">
            <v>143.47826086956522</v>
          </cell>
          <cell r="U566">
            <v>98</v>
          </cell>
          <cell r="V566">
            <v>143.47826086956522</v>
          </cell>
          <cell r="W566">
            <v>4</v>
          </cell>
          <cell r="X566">
            <v>12</v>
          </cell>
          <cell r="Y566">
            <v>18</v>
          </cell>
          <cell r="Z566">
            <v>0</v>
          </cell>
        </row>
        <row r="567">
          <cell r="A567">
            <v>9222104</v>
          </cell>
          <cell r="B567" t="str">
            <v>龙拳第1段</v>
          </cell>
          <cell r="C567" t="str">
            <v>龙拳第1段</v>
          </cell>
          <cell r="D567">
            <v>2</v>
          </cell>
          <cell r="E567">
            <v>10</v>
          </cell>
          <cell r="F567" t="str">
            <v>第4级，共造成149.2%点伤害</v>
          </cell>
          <cell r="G567">
            <v>1</v>
          </cell>
          <cell r="H567">
            <v>1</v>
          </cell>
          <cell r="I567">
            <v>4</v>
          </cell>
          <cell r="J567">
            <v>2</v>
          </cell>
          <cell r="K567">
            <v>149.21739130434781</v>
          </cell>
          <cell r="L567">
            <v>0</v>
          </cell>
          <cell r="M567">
            <v>7680</v>
          </cell>
          <cell r="N567">
            <v>520</v>
          </cell>
          <cell r="O567">
            <v>2</v>
          </cell>
          <cell r="P567">
            <v>1</v>
          </cell>
          <cell r="Q567">
            <v>1</v>
          </cell>
          <cell r="R567">
            <v>4</v>
          </cell>
          <cell r="S567">
            <v>50</v>
          </cell>
          <cell r="T567">
            <v>143.47826086956522</v>
          </cell>
          <cell r="U567">
            <v>104</v>
          </cell>
          <cell r="V567">
            <v>143.47826086956522</v>
          </cell>
          <cell r="W567">
            <v>5</v>
          </cell>
          <cell r="X567">
            <v>17</v>
          </cell>
          <cell r="Y567">
            <v>18</v>
          </cell>
          <cell r="Z567">
            <v>0</v>
          </cell>
        </row>
        <row r="568">
          <cell r="A568">
            <v>9222105</v>
          </cell>
          <cell r="B568" t="str">
            <v>龙拳第1段</v>
          </cell>
          <cell r="C568" t="str">
            <v>龙拳第1段</v>
          </cell>
          <cell r="D568">
            <v>2</v>
          </cell>
          <cell r="E568">
            <v>12</v>
          </cell>
          <cell r="F568" t="str">
            <v>第5级，共造成150.7%点伤害</v>
          </cell>
          <cell r="G568">
            <v>1</v>
          </cell>
          <cell r="H568">
            <v>1</v>
          </cell>
          <cell r="I568">
            <v>5</v>
          </cell>
          <cell r="J568">
            <v>2</v>
          </cell>
          <cell r="K568">
            <v>150.65217391304347</v>
          </cell>
          <cell r="L568">
            <v>0</v>
          </cell>
          <cell r="M568">
            <v>7600</v>
          </cell>
          <cell r="N568">
            <v>580</v>
          </cell>
          <cell r="O568">
            <v>2</v>
          </cell>
          <cell r="P568">
            <v>1</v>
          </cell>
          <cell r="Q568">
            <v>1</v>
          </cell>
          <cell r="R568">
            <v>4</v>
          </cell>
          <cell r="S568">
            <v>50</v>
          </cell>
          <cell r="T568">
            <v>143.47826086956522</v>
          </cell>
          <cell r="U568">
            <v>116</v>
          </cell>
          <cell r="V568">
            <v>143.47826086956522</v>
          </cell>
          <cell r="W568">
            <v>5</v>
          </cell>
          <cell r="X568">
            <v>22</v>
          </cell>
          <cell r="Y568">
            <v>18</v>
          </cell>
          <cell r="Z568">
            <v>0</v>
          </cell>
        </row>
        <row r="569">
          <cell r="A569">
            <v>9222106</v>
          </cell>
          <cell r="B569" t="str">
            <v>龙拳第1段</v>
          </cell>
          <cell r="C569" t="str">
            <v>龙拳第1段</v>
          </cell>
          <cell r="D569">
            <v>2</v>
          </cell>
          <cell r="E569">
            <v>13</v>
          </cell>
          <cell r="F569" t="str">
            <v>第6级，共造成152.1%点伤害</v>
          </cell>
          <cell r="G569">
            <v>1</v>
          </cell>
          <cell r="H569">
            <v>1</v>
          </cell>
          <cell r="I569">
            <v>6</v>
          </cell>
          <cell r="J569">
            <v>2</v>
          </cell>
          <cell r="K569">
            <v>152.08695652173913</v>
          </cell>
          <cell r="L569">
            <v>0</v>
          </cell>
          <cell r="M569">
            <v>7520</v>
          </cell>
          <cell r="N569">
            <v>610</v>
          </cell>
          <cell r="O569">
            <v>2</v>
          </cell>
          <cell r="P569">
            <v>1</v>
          </cell>
          <cell r="Q569">
            <v>1</v>
          </cell>
          <cell r="R569">
            <v>4</v>
          </cell>
          <cell r="S569">
            <v>50</v>
          </cell>
          <cell r="T569">
            <v>143.47826086956522</v>
          </cell>
          <cell r="U569">
            <v>122</v>
          </cell>
          <cell r="V569">
            <v>143.47826086956522</v>
          </cell>
          <cell r="W569">
            <v>5</v>
          </cell>
          <cell r="X569">
            <v>27</v>
          </cell>
          <cell r="Y569">
            <v>18</v>
          </cell>
          <cell r="Z569">
            <v>0</v>
          </cell>
        </row>
        <row r="570">
          <cell r="A570">
            <v>9222107</v>
          </cell>
          <cell r="B570" t="str">
            <v>龙拳第1段</v>
          </cell>
          <cell r="C570" t="str">
            <v>龙拳第1段</v>
          </cell>
          <cell r="D570">
            <v>2</v>
          </cell>
          <cell r="E570">
            <v>15</v>
          </cell>
          <cell r="F570" t="str">
            <v>第7级，共造成153.5%点伤害</v>
          </cell>
          <cell r="G570">
            <v>1</v>
          </cell>
          <cell r="H570">
            <v>1</v>
          </cell>
          <cell r="I570">
            <v>7</v>
          </cell>
          <cell r="J570">
            <v>2</v>
          </cell>
          <cell r="K570">
            <v>153.52173913043478</v>
          </cell>
          <cell r="L570">
            <v>0</v>
          </cell>
          <cell r="M570">
            <v>7440</v>
          </cell>
          <cell r="N570">
            <v>670</v>
          </cell>
          <cell r="O570">
            <v>2</v>
          </cell>
          <cell r="P570">
            <v>1</v>
          </cell>
          <cell r="Q570">
            <v>1</v>
          </cell>
          <cell r="R570">
            <v>4</v>
          </cell>
          <cell r="S570">
            <v>50</v>
          </cell>
          <cell r="T570">
            <v>143.47826086956522</v>
          </cell>
          <cell r="U570">
            <v>134</v>
          </cell>
          <cell r="V570">
            <v>143.47826086956522</v>
          </cell>
          <cell r="W570">
            <v>5</v>
          </cell>
          <cell r="X570">
            <v>32</v>
          </cell>
          <cell r="Y570">
            <v>18</v>
          </cell>
          <cell r="Z570">
            <v>0</v>
          </cell>
        </row>
        <row r="571">
          <cell r="A571">
            <v>9222108</v>
          </cell>
          <cell r="B571" t="str">
            <v>龙拳第1段</v>
          </cell>
          <cell r="C571" t="str">
            <v>龙拳第1段</v>
          </cell>
          <cell r="D571">
            <v>2</v>
          </cell>
          <cell r="E571">
            <v>16</v>
          </cell>
          <cell r="F571" t="str">
            <v>第8级，共造成155%点伤害</v>
          </cell>
          <cell r="G571">
            <v>1</v>
          </cell>
          <cell r="H571">
            <v>1</v>
          </cell>
          <cell r="I571">
            <v>8</v>
          </cell>
          <cell r="J571">
            <v>2</v>
          </cell>
          <cell r="K571">
            <v>154.95652173913044</v>
          </cell>
          <cell r="L571">
            <v>0</v>
          </cell>
          <cell r="M571">
            <v>7360</v>
          </cell>
          <cell r="N571">
            <v>840</v>
          </cell>
          <cell r="O571">
            <v>2</v>
          </cell>
          <cell r="P571">
            <v>1</v>
          </cell>
          <cell r="Q571">
            <v>1</v>
          </cell>
          <cell r="R571">
            <v>4</v>
          </cell>
          <cell r="S571">
            <v>50</v>
          </cell>
          <cell r="T571">
            <v>143.47826086956522</v>
          </cell>
          <cell r="U571">
            <v>140</v>
          </cell>
          <cell r="V571">
            <v>143.47826086956522</v>
          </cell>
          <cell r="W571">
            <v>6</v>
          </cell>
          <cell r="X571">
            <v>38</v>
          </cell>
          <cell r="Y571">
            <v>18</v>
          </cell>
          <cell r="Z571">
            <v>0</v>
          </cell>
        </row>
        <row r="572">
          <cell r="A572">
            <v>9222109</v>
          </cell>
          <cell r="B572" t="str">
            <v>龙拳第1段</v>
          </cell>
          <cell r="C572" t="str">
            <v>龙拳第1段</v>
          </cell>
          <cell r="D572">
            <v>2</v>
          </cell>
          <cell r="E572">
            <v>18</v>
          </cell>
          <cell r="F572" t="str">
            <v>第9级，共造成156.4%点伤害</v>
          </cell>
          <cell r="G572">
            <v>1</v>
          </cell>
          <cell r="H572">
            <v>1</v>
          </cell>
          <cell r="I572">
            <v>9</v>
          </cell>
          <cell r="J572">
            <v>2</v>
          </cell>
          <cell r="K572">
            <v>156.39130434782609</v>
          </cell>
          <cell r="L572">
            <v>0</v>
          </cell>
          <cell r="M572">
            <v>7280</v>
          </cell>
          <cell r="N572">
            <v>912</v>
          </cell>
          <cell r="O572">
            <v>2</v>
          </cell>
          <cell r="P572">
            <v>1</v>
          </cell>
          <cell r="Q572">
            <v>1</v>
          </cell>
          <cell r="R572">
            <v>4</v>
          </cell>
          <cell r="S572">
            <v>50</v>
          </cell>
          <cell r="T572">
            <v>143.47826086956522</v>
          </cell>
          <cell r="U572">
            <v>152</v>
          </cell>
          <cell r="V572">
            <v>143.47826086956522</v>
          </cell>
          <cell r="W572">
            <v>6</v>
          </cell>
          <cell r="X572">
            <v>44</v>
          </cell>
          <cell r="Y572">
            <v>18</v>
          </cell>
          <cell r="Z572">
            <v>0</v>
          </cell>
        </row>
        <row r="573">
          <cell r="A573">
            <v>9222110</v>
          </cell>
          <cell r="B573" t="str">
            <v>龙拳第1段</v>
          </cell>
          <cell r="C573" t="str">
            <v>龙拳第1段</v>
          </cell>
          <cell r="D573">
            <v>2</v>
          </cell>
          <cell r="E573">
            <v>19</v>
          </cell>
          <cell r="F573" t="str">
            <v>第10级，共造成157.8%点伤害</v>
          </cell>
          <cell r="G573">
            <v>1</v>
          </cell>
          <cell r="H573">
            <v>1</v>
          </cell>
          <cell r="I573">
            <v>10</v>
          </cell>
          <cell r="J573">
            <v>2</v>
          </cell>
          <cell r="K573">
            <v>157.82608695652175</v>
          </cell>
          <cell r="L573">
            <v>0</v>
          </cell>
          <cell r="M573">
            <v>7200</v>
          </cell>
          <cell r="N573">
            <v>1106</v>
          </cell>
          <cell r="O573">
            <v>2</v>
          </cell>
          <cell r="P573">
            <v>1</v>
          </cell>
          <cell r="Q573">
            <v>1</v>
          </cell>
          <cell r="R573">
            <v>4</v>
          </cell>
          <cell r="S573">
            <v>50</v>
          </cell>
          <cell r="T573">
            <v>143.47826086956522</v>
          </cell>
          <cell r="U573">
            <v>158</v>
          </cell>
          <cell r="V573">
            <v>143.47826086956522</v>
          </cell>
          <cell r="W573">
            <v>7</v>
          </cell>
          <cell r="X573">
            <v>51</v>
          </cell>
          <cell r="Y573">
            <v>18</v>
          </cell>
          <cell r="Z573">
            <v>0</v>
          </cell>
        </row>
        <row r="574">
          <cell r="A574">
            <v>9222111</v>
          </cell>
          <cell r="B574" t="str">
            <v>龙拳第1段</v>
          </cell>
          <cell r="C574" t="str">
            <v>龙拳第1段</v>
          </cell>
          <cell r="D574">
            <v>2</v>
          </cell>
          <cell r="E574">
            <v>21</v>
          </cell>
          <cell r="F574" t="str">
            <v>第11级，共造成159.3%点伤害</v>
          </cell>
          <cell r="G574">
            <v>1</v>
          </cell>
          <cell r="H574">
            <v>1</v>
          </cell>
          <cell r="I574">
            <v>11</v>
          </cell>
          <cell r="J574">
            <v>2</v>
          </cell>
          <cell r="K574">
            <v>159.2608695652174</v>
          </cell>
          <cell r="L574">
            <v>0</v>
          </cell>
          <cell r="M574">
            <v>7120</v>
          </cell>
          <cell r="N574">
            <v>1470</v>
          </cell>
          <cell r="O574">
            <v>2</v>
          </cell>
          <cell r="P574">
            <v>1</v>
          </cell>
          <cell r="Q574">
            <v>1</v>
          </cell>
          <cell r="R574">
            <v>4</v>
          </cell>
          <cell r="S574">
            <v>50</v>
          </cell>
          <cell r="T574">
            <v>143.47826086956522</v>
          </cell>
          <cell r="U574">
            <v>210</v>
          </cell>
          <cell r="V574">
            <v>143.47826086956522</v>
          </cell>
          <cell r="W574">
            <v>7</v>
          </cell>
          <cell r="X574">
            <v>58</v>
          </cell>
          <cell r="Y574">
            <v>18</v>
          </cell>
          <cell r="Z574">
            <v>0</v>
          </cell>
        </row>
        <row r="575">
          <cell r="A575">
            <v>9222112</v>
          </cell>
          <cell r="B575" t="str">
            <v>龙拳第1段</v>
          </cell>
          <cell r="C575" t="str">
            <v>龙拳第1段</v>
          </cell>
          <cell r="D575">
            <v>2</v>
          </cell>
          <cell r="E575">
            <v>22</v>
          </cell>
          <cell r="F575" t="str">
            <v>第12级，共造成160.7%点伤害</v>
          </cell>
          <cell r="G575">
            <v>1</v>
          </cell>
          <cell r="H575">
            <v>1</v>
          </cell>
          <cell r="I575">
            <v>12</v>
          </cell>
          <cell r="J575">
            <v>2</v>
          </cell>
          <cell r="K575">
            <v>160.69565217391303</v>
          </cell>
          <cell r="L575">
            <v>0</v>
          </cell>
          <cell r="M575">
            <v>7040</v>
          </cell>
          <cell r="N575">
            <v>1912</v>
          </cell>
          <cell r="O575">
            <v>2</v>
          </cell>
          <cell r="P575">
            <v>1</v>
          </cell>
          <cell r="Q575">
            <v>1</v>
          </cell>
          <cell r="R575">
            <v>4</v>
          </cell>
          <cell r="S575">
            <v>50</v>
          </cell>
          <cell r="T575">
            <v>143.47826086956522</v>
          </cell>
          <cell r="U575">
            <v>239</v>
          </cell>
          <cell r="V575">
            <v>143.47826086956522</v>
          </cell>
          <cell r="W575">
            <v>8</v>
          </cell>
          <cell r="X575">
            <v>66</v>
          </cell>
          <cell r="Y575">
            <v>18</v>
          </cell>
          <cell r="Z575">
            <v>0</v>
          </cell>
        </row>
        <row r="576">
          <cell r="A576">
            <v>9222113</v>
          </cell>
          <cell r="B576" t="str">
            <v>龙拳第1段</v>
          </cell>
          <cell r="C576" t="str">
            <v>龙拳第1段</v>
          </cell>
          <cell r="D576">
            <v>2</v>
          </cell>
          <cell r="E576">
            <v>24</v>
          </cell>
          <cell r="F576" t="str">
            <v>第13级，共造成162.1%点伤害</v>
          </cell>
          <cell r="G576">
            <v>1</v>
          </cell>
          <cell r="H576">
            <v>1</v>
          </cell>
          <cell r="I576">
            <v>13</v>
          </cell>
          <cell r="J576">
            <v>2</v>
          </cell>
          <cell r="K576">
            <v>162.13043478260869</v>
          </cell>
          <cell r="L576">
            <v>0</v>
          </cell>
          <cell r="M576">
            <v>6960</v>
          </cell>
          <cell r="N576">
            <v>2416</v>
          </cell>
          <cell r="O576">
            <v>2</v>
          </cell>
          <cell r="P576">
            <v>1</v>
          </cell>
          <cell r="Q576">
            <v>1</v>
          </cell>
          <cell r="R576">
            <v>4</v>
          </cell>
          <cell r="S576">
            <v>50</v>
          </cell>
          <cell r="T576">
            <v>143.47826086956522</v>
          </cell>
          <cell r="U576">
            <v>302</v>
          </cell>
          <cell r="V576">
            <v>143.47826086956522</v>
          </cell>
          <cell r="W576">
            <v>8</v>
          </cell>
          <cell r="X576">
            <v>74</v>
          </cell>
          <cell r="Y576">
            <v>18</v>
          </cell>
          <cell r="Z576">
            <v>0</v>
          </cell>
        </row>
        <row r="577">
          <cell r="A577">
            <v>9222114</v>
          </cell>
          <cell r="B577" t="str">
            <v>龙拳第1段</v>
          </cell>
          <cell r="C577" t="str">
            <v>龙拳第1段</v>
          </cell>
          <cell r="D577">
            <v>2</v>
          </cell>
          <cell r="E577">
            <v>25</v>
          </cell>
          <cell r="F577" t="str">
            <v>第14级，共造成163.6%点伤害</v>
          </cell>
          <cell r="G577">
            <v>1</v>
          </cell>
          <cell r="H577">
            <v>1</v>
          </cell>
          <cell r="I577">
            <v>14</v>
          </cell>
          <cell r="J577">
            <v>2</v>
          </cell>
          <cell r="K577">
            <v>163.56521739130434</v>
          </cell>
          <cell r="L577">
            <v>0</v>
          </cell>
          <cell r="M577">
            <v>6880</v>
          </cell>
          <cell r="N577">
            <v>3015</v>
          </cell>
          <cell r="O577">
            <v>2</v>
          </cell>
          <cell r="P577">
            <v>1</v>
          </cell>
          <cell r="Q577">
            <v>1</v>
          </cell>
          <cell r="R577">
            <v>4</v>
          </cell>
          <cell r="S577">
            <v>50</v>
          </cell>
          <cell r="T577">
            <v>143.47826086956522</v>
          </cell>
          <cell r="U577">
            <v>335</v>
          </cell>
          <cell r="V577">
            <v>143.47826086956522</v>
          </cell>
          <cell r="W577">
            <v>9</v>
          </cell>
          <cell r="X577">
            <v>83</v>
          </cell>
          <cell r="Y577">
            <v>18</v>
          </cell>
          <cell r="Z577">
            <v>0</v>
          </cell>
        </row>
        <row r="578">
          <cell r="A578">
            <v>9222115</v>
          </cell>
          <cell r="B578" t="str">
            <v>龙拳第1段</v>
          </cell>
          <cell r="C578" t="str">
            <v>龙拳第1段</v>
          </cell>
          <cell r="D578">
            <v>2</v>
          </cell>
          <cell r="E578">
            <v>27</v>
          </cell>
          <cell r="F578" t="str">
            <v>第15级，共造成165%点伤害</v>
          </cell>
          <cell r="G578">
            <v>1</v>
          </cell>
          <cell r="H578">
            <v>1</v>
          </cell>
          <cell r="I578">
            <v>15</v>
          </cell>
          <cell r="J578">
            <v>2</v>
          </cell>
          <cell r="K578">
            <v>165</v>
          </cell>
          <cell r="L578">
            <v>0</v>
          </cell>
          <cell r="M578">
            <v>6800</v>
          </cell>
          <cell r="N578">
            <v>4060</v>
          </cell>
          <cell r="O578">
            <v>2</v>
          </cell>
          <cell r="P578">
            <v>1</v>
          </cell>
          <cell r="Q578">
            <v>1</v>
          </cell>
          <cell r="R578">
            <v>4</v>
          </cell>
          <cell r="S578">
            <v>50</v>
          </cell>
          <cell r="T578">
            <v>143.47826086956522</v>
          </cell>
          <cell r="U578">
            <v>406</v>
          </cell>
          <cell r="V578">
            <v>143.47826086956522</v>
          </cell>
          <cell r="W578">
            <v>10</v>
          </cell>
          <cell r="X578">
            <v>93</v>
          </cell>
          <cell r="Y578">
            <v>18</v>
          </cell>
          <cell r="Z578">
            <v>0</v>
          </cell>
        </row>
        <row r="579">
          <cell r="A579">
            <v>9222116</v>
          </cell>
          <cell r="B579" t="str">
            <v>龙拳第1段</v>
          </cell>
          <cell r="C579" t="str">
            <v>龙拳第1段</v>
          </cell>
          <cell r="D579">
            <v>2</v>
          </cell>
          <cell r="E579">
            <v>28</v>
          </cell>
          <cell r="F579" t="str">
            <v>第16级，共造成166.4%点伤害</v>
          </cell>
          <cell r="G579">
            <v>1</v>
          </cell>
          <cell r="H579">
            <v>1</v>
          </cell>
          <cell r="I579">
            <v>16</v>
          </cell>
          <cell r="J579">
            <v>2</v>
          </cell>
          <cell r="K579">
            <v>166.43478260869566</v>
          </cell>
          <cell r="L579">
            <v>0</v>
          </cell>
          <cell r="M579">
            <v>6720</v>
          </cell>
          <cell r="N579">
            <v>4430</v>
          </cell>
          <cell r="O579">
            <v>2</v>
          </cell>
          <cell r="P579">
            <v>1</v>
          </cell>
          <cell r="Q579">
            <v>1</v>
          </cell>
          <cell r="R579">
            <v>4</v>
          </cell>
          <cell r="S579">
            <v>50</v>
          </cell>
          <cell r="T579">
            <v>143.47826086956522</v>
          </cell>
          <cell r="U579">
            <v>443</v>
          </cell>
          <cell r="V579">
            <v>143.47826086956522</v>
          </cell>
          <cell r="W579">
            <v>10</v>
          </cell>
          <cell r="X579">
            <v>103</v>
          </cell>
          <cell r="Y579">
            <v>18</v>
          </cell>
          <cell r="Z579">
            <v>0</v>
          </cell>
        </row>
        <row r="580">
          <cell r="A580">
            <v>9222117</v>
          </cell>
          <cell r="B580" t="str">
            <v>龙拳第1段</v>
          </cell>
          <cell r="C580" t="str">
            <v>龙拳第1段</v>
          </cell>
          <cell r="D580">
            <v>2</v>
          </cell>
          <cell r="E580">
            <v>30</v>
          </cell>
          <cell r="F580" t="str">
            <v>第17级，共造成167.9%点伤害</v>
          </cell>
          <cell r="G580">
            <v>1</v>
          </cell>
          <cell r="H580">
            <v>1</v>
          </cell>
          <cell r="I580">
            <v>17</v>
          </cell>
          <cell r="J580">
            <v>2</v>
          </cell>
          <cell r="K580">
            <v>167.86956521739131</v>
          </cell>
          <cell r="L580">
            <v>0</v>
          </cell>
          <cell r="M580">
            <v>6640</v>
          </cell>
          <cell r="N580">
            <v>5742</v>
          </cell>
          <cell r="O580">
            <v>2</v>
          </cell>
          <cell r="P580">
            <v>1</v>
          </cell>
          <cell r="Q580">
            <v>1</v>
          </cell>
          <cell r="R580">
            <v>4</v>
          </cell>
          <cell r="S580">
            <v>50</v>
          </cell>
          <cell r="T580">
            <v>143.47826086956522</v>
          </cell>
          <cell r="U580">
            <v>522</v>
          </cell>
          <cell r="V580">
            <v>143.47826086956522</v>
          </cell>
          <cell r="W580">
            <v>11</v>
          </cell>
          <cell r="X580">
            <v>114</v>
          </cell>
          <cell r="Y580">
            <v>18</v>
          </cell>
          <cell r="Z580">
            <v>0</v>
          </cell>
        </row>
        <row r="581">
          <cell r="A581">
            <v>9222118</v>
          </cell>
          <cell r="B581" t="str">
            <v>龙拳第1段</v>
          </cell>
          <cell r="C581" t="str">
            <v>龙拳第1段</v>
          </cell>
          <cell r="D581">
            <v>2</v>
          </cell>
          <cell r="E581">
            <v>31</v>
          </cell>
          <cell r="F581" t="str">
            <v>第18级，共造成169.3%点伤害</v>
          </cell>
          <cell r="G581">
            <v>1</v>
          </cell>
          <cell r="H581">
            <v>1</v>
          </cell>
          <cell r="I581">
            <v>18</v>
          </cell>
          <cell r="J581">
            <v>2</v>
          </cell>
          <cell r="K581">
            <v>169.30434782608697</v>
          </cell>
          <cell r="L581">
            <v>0</v>
          </cell>
          <cell r="M581">
            <v>6560</v>
          </cell>
          <cell r="N581">
            <v>6756</v>
          </cell>
          <cell r="O581">
            <v>2</v>
          </cell>
          <cell r="P581">
            <v>1</v>
          </cell>
          <cell r="Q581">
            <v>1</v>
          </cell>
          <cell r="R581">
            <v>4</v>
          </cell>
          <cell r="S581">
            <v>50</v>
          </cell>
          <cell r="T581">
            <v>143.47826086956522</v>
          </cell>
          <cell r="U581">
            <v>563</v>
          </cell>
          <cell r="V581">
            <v>143.47826086956522</v>
          </cell>
          <cell r="W581">
            <v>12</v>
          </cell>
          <cell r="X581">
            <v>126</v>
          </cell>
          <cell r="Y581">
            <v>18</v>
          </cell>
          <cell r="Z581">
            <v>5</v>
          </cell>
        </row>
        <row r="582">
          <cell r="A582">
            <v>9222119</v>
          </cell>
          <cell r="B582" t="str">
            <v>龙拳第1段</v>
          </cell>
          <cell r="C582" t="str">
            <v>龙拳第1段</v>
          </cell>
          <cell r="D582">
            <v>2</v>
          </cell>
          <cell r="E582">
            <v>33</v>
          </cell>
          <cell r="F582" t="str">
            <v>第19级，共造成170.7%点伤害</v>
          </cell>
          <cell r="G582">
            <v>1</v>
          </cell>
          <cell r="H582">
            <v>1</v>
          </cell>
          <cell r="I582">
            <v>19</v>
          </cell>
          <cell r="J582">
            <v>2</v>
          </cell>
          <cell r="K582">
            <v>170.73913043478262</v>
          </cell>
          <cell r="L582">
            <v>0</v>
          </cell>
          <cell r="M582">
            <v>6480</v>
          </cell>
          <cell r="N582">
            <v>8463</v>
          </cell>
          <cell r="O582">
            <v>2</v>
          </cell>
          <cell r="P582">
            <v>1</v>
          </cell>
          <cell r="Q582">
            <v>1</v>
          </cell>
          <cell r="R582">
            <v>4</v>
          </cell>
          <cell r="S582">
            <v>50</v>
          </cell>
          <cell r="T582">
            <v>143.47826086956522</v>
          </cell>
          <cell r="U582">
            <v>651</v>
          </cell>
          <cell r="V582">
            <v>143.47826086956522</v>
          </cell>
          <cell r="W582">
            <v>13</v>
          </cell>
          <cell r="X582">
            <v>139</v>
          </cell>
          <cell r="Y582">
            <v>18</v>
          </cell>
          <cell r="Z582">
            <v>6</v>
          </cell>
        </row>
        <row r="583">
          <cell r="A583">
            <v>9222120</v>
          </cell>
          <cell r="B583" t="str">
            <v>龙拳第1段</v>
          </cell>
          <cell r="C583" t="str">
            <v>龙拳第1段</v>
          </cell>
          <cell r="D583">
            <v>2</v>
          </cell>
          <cell r="E583">
            <v>34</v>
          </cell>
          <cell r="F583" t="str">
            <v>第20级，共造成172.2%点伤害</v>
          </cell>
          <cell r="G583">
            <v>1</v>
          </cell>
          <cell r="H583">
            <v>1</v>
          </cell>
          <cell r="I583">
            <v>20</v>
          </cell>
          <cell r="J583">
            <v>2</v>
          </cell>
          <cell r="K583">
            <v>172.17391304347825</v>
          </cell>
          <cell r="L583">
            <v>0</v>
          </cell>
          <cell r="M583">
            <v>6400</v>
          </cell>
          <cell r="N583">
            <v>9048</v>
          </cell>
          <cell r="O583">
            <v>2</v>
          </cell>
          <cell r="P583">
            <v>1</v>
          </cell>
          <cell r="Q583">
            <v>1</v>
          </cell>
          <cell r="R583">
            <v>4</v>
          </cell>
          <cell r="S583">
            <v>50</v>
          </cell>
          <cell r="T583">
            <v>143.47826086956522</v>
          </cell>
          <cell r="U583">
            <v>696</v>
          </cell>
          <cell r="V583">
            <v>143.47826086956522</v>
          </cell>
          <cell r="W583">
            <v>13</v>
          </cell>
          <cell r="X583">
            <v>152</v>
          </cell>
          <cell r="Y583">
            <v>18</v>
          </cell>
          <cell r="Z583">
            <v>6</v>
          </cell>
        </row>
        <row r="584">
          <cell r="A584">
            <v>9222121</v>
          </cell>
          <cell r="B584" t="str">
            <v>龙拳第1段</v>
          </cell>
          <cell r="C584" t="str">
            <v>龙拳第1段</v>
          </cell>
          <cell r="D584">
            <v>2</v>
          </cell>
          <cell r="E584">
            <v>36</v>
          </cell>
          <cell r="F584" t="str">
            <v>第21级，共造成173.6%点伤害</v>
          </cell>
          <cell r="G584">
            <v>1</v>
          </cell>
          <cell r="H584">
            <v>1</v>
          </cell>
          <cell r="I584">
            <v>21</v>
          </cell>
          <cell r="J584">
            <v>2</v>
          </cell>
          <cell r="K584">
            <v>173.60869565217391</v>
          </cell>
          <cell r="L584">
            <v>0</v>
          </cell>
          <cell r="M584">
            <v>6320</v>
          </cell>
          <cell r="N584">
            <v>11074</v>
          </cell>
          <cell r="O584">
            <v>2</v>
          </cell>
          <cell r="P584">
            <v>1</v>
          </cell>
          <cell r="Q584">
            <v>1</v>
          </cell>
          <cell r="R584">
            <v>4</v>
          </cell>
          <cell r="S584">
            <v>50</v>
          </cell>
          <cell r="T584">
            <v>143.47826086956522</v>
          </cell>
          <cell r="U584">
            <v>791</v>
          </cell>
          <cell r="V584">
            <v>143.47826086956522</v>
          </cell>
          <cell r="W584">
            <v>14</v>
          </cell>
          <cell r="X584">
            <v>166</v>
          </cell>
          <cell r="Y584">
            <v>18</v>
          </cell>
          <cell r="Z584">
            <v>6</v>
          </cell>
        </row>
        <row r="585">
          <cell r="A585">
            <v>9222122</v>
          </cell>
          <cell r="B585" t="str">
            <v>龙拳第1段</v>
          </cell>
          <cell r="C585" t="str">
            <v>龙拳第1段</v>
          </cell>
          <cell r="D585">
            <v>2</v>
          </cell>
          <cell r="E585">
            <v>37</v>
          </cell>
          <cell r="F585" t="str">
            <v>第22级，共造成175%点伤害</v>
          </cell>
          <cell r="G585">
            <v>1</v>
          </cell>
          <cell r="H585">
            <v>1</v>
          </cell>
          <cell r="I585">
            <v>22</v>
          </cell>
          <cell r="J585">
            <v>2</v>
          </cell>
          <cell r="K585">
            <v>175.04347826086956</v>
          </cell>
          <cell r="L585">
            <v>0</v>
          </cell>
          <cell r="M585">
            <v>6240</v>
          </cell>
          <cell r="N585">
            <v>12615</v>
          </cell>
          <cell r="O585">
            <v>2</v>
          </cell>
          <cell r="P585">
            <v>1</v>
          </cell>
          <cell r="Q585">
            <v>1</v>
          </cell>
          <cell r="R585">
            <v>4</v>
          </cell>
          <cell r="S585">
            <v>50</v>
          </cell>
          <cell r="T585">
            <v>143.47826086956522</v>
          </cell>
          <cell r="U585">
            <v>841</v>
          </cell>
          <cell r="V585">
            <v>143.47826086956522</v>
          </cell>
          <cell r="W585">
            <v>15</v>
          </cell>
          <cell r="X585">
            <v>181</v>
          </cell>
          <cell r="Y585">
            <v>18</v>
          </cell>
          <cell r="Z585">
            <v>6</v>
          </cell>
        </row>
        <row r="586">
          <cell r="A586">
            <v>9222123</v>
          </cell>
          <cell r="B586" t="str">
            <v>龙拳第1段</v>
          </cell>
          <cell r="C586" t="str">
            <v>龙拳第1段</v>
          </cell>
          <cell r="D586">
            <v>2</v>
          </cell>
          <cell r="E586">
            <v>39</v>
          </cell>
          <cell r="F586" t="str">
            <v>第23级，共造成176.5%点伤害</v>
          </cell>
          <cell r="G586">
            <v>1</v>
          </cell>
          <cell r="H586">
            <v>1</v>
          </cell>
          <cell r="I586">
            <v>23</v>
          </cell>
          <cell r="J586">
            <v>2</v>
          </cell>
          <cell r="K586">
            <v>176.47826086956522</v>
          </cell>
          <cell r="L586">
            <v>0</v>
          </cell>
          <cell r="M586">
            <v>6160</v>
          </cell>
          <cell r="N586">
            <v>15104</v>
          </cell>
          <cell r="O586">
            <v>2</v>
          </cell>
          <cell r="P586">
            <v>1</v>
          </cell>
          <cell r="Q586">
            <v>1</v>
          </cell>
          <cell r="R586">
            <v>4</v>
          </cell>
          <cell r="S586">
            <v>50</v>
          </cell>
          <cell r="T586">
            <v>143.47826086956522</v>
          </cell>
          <cell r="U586">
            <v>944</v>
          </cell>
          <cell r="V586">
            <v>143.47826086956522</v>
          </cell>
          <cell r="W586">
            <v>16</v>
          </cell>
          <cell r="X586">
            <v>197</v>
          </cell>
          <cell r="Y586">
            <v>18</v>
          </cell>
          <cell r="Z586">
            <v>7</v>
          </cell>
        </row>
        <row r="587">
          <cell r="A587">
            <v>9222124</v>
          </cell>
          <cell r="B587" t="str">
            <v>龙拳第1段</v>
          </cell>
          <cell r="C587" t="str">
            <v>龙拳第1段</v>
          </cell>
          <cell r="D587">
            <v>2</v>
          </cell>
          <cell r="E587">
            <v>40</v>
          </cell>
          <cell r="F587" t="str">
            <v>第24级，共造成177.9%点伤害</v>
          </cell>
          <cell r="G587">
            <v>1</v>
          </cell>
          <cell r="H587">
            <v>1</v>
          </cell>
          <cell r="I587">
            <v>24</v>
          </cell>
          <cell r="J587">
            <v>2</v>
          </cell>
          <cell r="K587">
            <v>177.91304347826087</v>
          </cell>
          <cell r="L587">
            <v>0</v>
          </cell>
          <cell r="M587">
            <v>6080</v>
          </cell>
          <cell r="N587">
            <v>16966</v>
          </cell>
          <cell r="O587">
            <v>2</v>
          </cell>
          <cell r="P587">
            <v>1</v>
          </cell>
          <cell r="Q587">
            <v>1</v>
          </cell>
          <cell r="R587">
            <v>4</v>
          </cell>
          <cell r="S587">
            <v>50</v>
          </cell>
          <cell r="T587">
            <v>143.47826086956522</v>
          </cell>
          <cell r="U587">
            <v>998</v>
          </cell>
          <cell r="V587">
            <v>143.47826086956522</v>
          </cell>
          <cell r="W587">
            <v>17</v>
          </cell>
          <cell r="X587">
            <v>214</v>
          </cell>
          <cell r="Y587">
            <v>18</v>
          </cell>
          <cell r="Z587">
            <v>7</v>
          </cell>
        </row>
        <row r="588">
          <cell r="A588">
            <v>9222125</v>
          </cell>
          <cell r="B588" t="str">
            <v>龙拳第1段</v>
          </cell>
          <cell r="C588" t="str">
            <v>龙拳第1段</v>
          </cell>
          <cell r="D588">
            <v>2</v>
          </cell>
          <cell r="E588">
            <v>42</v>
          </cell>
          <cell r="F588" t="str">
            <v>第25级，共造成179.3%点伤害</v>
          </cell>
          <cell r="G588">
            <v>1</v>
          </cell>
          <cell r="H588">
            <v>1</v>
          </cell>
          <cell r="I588">
            <v>25</v>
          </cell>
          <cell r="J588">
            <v>2</v>
          </cell>
          <cell r="K588">
            <v>179.34782608695653</v>
          </cell>
          <cell r="L588">
            <v>0</v>
          </cell>
          <cell r="M588">
            <v>6000</v>
          </cell>
          <cell r="N588">
            <v>21090</v>
          </cell>
          <cell r="O588">
            <v>2</v>
          </cell>
          <cell r="P588">
            <v>1</v>
          </cell>
          <cell r="Q588">
            <v>1</v>
          </cell>
          <cell r="R588">
            <v>4</v>
          </cell>
          <cell r="S588">
            <v>50</v>
          </cell>
          <cell r="T588">
            <v>143.47826086956522</v>
          </cell>
          <cell r="U588">
            <v>1110</v>
          </cell>
          <cell r="V588">
            <v>143.47826086956522</v>
          </cell>
          <cell r="W588">
            <v>19</v>
          </cell>
          <cell r="X588">
            <v>233</v>
          </cell>
          <cell r="Y588">
            <v>18</v>
          </cell>
          <cell r="Z588">
            <v>8</v>
          </cell>
        </row>
        <row r="589">
          <cell r="A589">
            <v>9222126</v>
          </cell>
          <cell r="B589" t="str">
            <v>龙拳第1段</v>
          </cell>
          <cell r="C589" t="str">
            <v>龙拳第1段</v>
          </cell>
          <cell r="D589">
            <v>2</v>
          </cell>
          <cell r="E589">
            <v>44</v>
          </cell>
          <cell r="F589" t="str">
            <v>第26级，共造成180.8%点伤害</v>
          </cell>
          <cell r="G589">
            <v>1</v>
          </cell>
          <cell r="H589">
            <v>1</v>
          </cell>
          <cell r="I589">
            <v>26</v>
          </cell>
          <cell r="J589">
            <v>2</v>
          </cell>
          <cell r="K589">
            <v>180.78260869565219</v>
          </cell>
          <cell r="L589">
            <v>0</v>
          </cell>
          <cell r="M589">
            <v>5920</v>
          </cell>
          <cell r="N589">
            <v>24520</v>
          </cell>
          <cell r="O589">
            <v>2</v>
          </cell>
          <cell r="P589">
            <v>1</v>
          </cell>
          <cell r="Q589">
            <v>1</v>
          </cell>
          <cell r="R589">
            <v>4</v>
          </cell>
          <cell r="S589">
            <v>50</v>
          </cell>
          <cell r="T589">
            <v>143.47826086956522</v>
          </cell>
          <cell r="U589">
            <v>1226</v>
          </cell>
          <cell r="V589">
            <v>143.47826086956522</v>
          </cell>
          <cell r="W589">
            <v>20</v>
          </cell>
          <cell r="X589">
            <v>253</v>
          </cell>
          <cell r="Y589">
            <v>18</v>
          </cell>
          <cell r="Z589">
            <v>8</v>
          </cell>
        </row>
        <row r="590">
          <cell r="A590">
            <v>9222127</v>
          </cell>
          <cell r="B590" t="str">
            <v>龙拳第1段</v>
          </cell>
          <cell r="C590" t="str">
            <v>龙拳第1段</v>
          </cell>
          <cell r="D590">
            <v>2</v>
          </cell>
          <cell r="E590">
            <v>45</v>
          </cell>
          <cell r="F590" t="str">
            <v>第27级，共造成182.2%点伤害</v>
          </cell>
          <cell r="G590">
            <v>1</v>
          </cell>
          <cell r="H590">
            <v>1</v>
          </cell>
          <cell r="I590">
            <v>27</v>
          </cell>
          <cell r="J590">
            <v>2</v>
          </cell>
          <cell r="K590">
            <v>182.21739130434781</v>
          </cell>
          <cell r="L590">
            <v>0</v>
          </cell>
          <cell r="M590">
            <v>5840</v>
          </cell>
          <cell r="N590">
            <v>27027</v>
          </cell>
          <cell r="O590">
            <v>2</v>
          </cell>
          <cell r="P590">
            <v>1</v>
          </cell>
          <cell r="Q590">
            <v>1</v>
          </cell>
          <cell r="R590">
            <v>4</v>
          </cell>
          <cell r="S590">
            <v>50</v>
          </cell>
          <cell r="T590">
            <v>143.47826086956522</v>
          </cell>
          <cell r="U590">
            <v>1287</v>
          </cell>
          <cell r="V590">
            <v>143.47826086956522</v>
          </cell>
          <cell r="W590">
            <v>21</v>
          </cell>
          <cell r="X590">
            <v>274</v>
          </cell>
          <cell r="Y590">
            <v>18</v>
          </cell>
          <cell r="Z590">
            <v>9</v>
          </cell>
        </row>
        <row r="591">
          <cell r="A591">
            <v>9222128</v>
          </cell>
          <cell r="B591" t="str">
            <v>龙拳第1段</v>
          </cell>
          <cell r="C591" t="str">
            <v>龙拳第1段</v>
          </cell>
          <cell r="D591">
            <v>2</v>
          </cell>
          <cell r="E591">
            <v>47</v>
          </cell>
          <cell r="F591" t="str">
            <v>第28级，共造成183.7%点伤害</v>
          </cell>
          <cell r="G591">
            <v>1</v>
          </cell>
          <cell r="H591">
            <v>1</v>
          </cell>
          <cell r="I591">
            <v>28</v>
          </cell>
          <cell r="J591">
            <v>2</v>
          </cell>
          <cell r="K591">
            <v>183.65217391304347</v>
          </cell>
          <cell r="L591">
            <v>0</v>
          </cell>
          <cell r="M591">
            <v>5760</v>
          </cell>
          <cell r="N591">
            <v>32476</v>
          </cell>
          <cell r="O591">
            <v>2</v>
          </cell>
          <cell r="P591">
            <v>1</v>
          </cell>
          <cell r="Q591">
            <v>1</v>
          </cell>
          <cell r="R591">
            <v>4</v>
          </cell>
          <cell r="S591">
            <v>50</v>
          </cell>
          <cell r="T591">
            <v>143.47826086956522</v>
          </cell>
          <cell r="U591">
            <v>1412</v>
          </cell>
          <cell r="V591">
            <v>143.47826086956522</v>
          </cell>
          <cell r="W591">
            <v>23</v>
          </cell>
          <cell r="X591">
            <v>297</v>
          </cell>
          <cell r="Y591">
            <v>18</v>
          </cell>
          <cell r="Z591">
            <v>10</v>
          </cell>
        </row>
        <row r="592">
          <cell r="A592">
            <v>9222129</v>
          </cell>
          <cell r="B592" t="str">
            <v>龙拳第1段</v>
          </cell>
          <cell r="C592" t="str">
            <v>龙拳第1段</v>
          </cell>
          <cell r="D592">
            <v>2</v>
          </cell>
          <cell r="E592">
            <v>48</v>
          </cell>
          <cell r="F592" t="str">
            <v>第29级，共造成185.1%点伤害</v>
          </cell>
          <cell r="G592">
            <v>1</v>
          </cell>
          <cell r="H592">
            <v>1</v>
          </cell>
          <cell r="I592">
            <v>29</v>
          </cell>
          <cell r="J592">
            <v>2</v>
          </cell>
          <cell r="K592">
            <v>185.08695652173913</v>
          </cell>
          <cell r="L592">
            <v>0</v>
          </cell>
          <cell r="M592">
            <v>5680</v>
          </cell>
          <cell r="N592">
            <v>36925</v>
          </cell>
          <cell r="O592">
            <v>2</v>
          </cell>
          <cell r="P592">
            <v>1</v>
          </cell>
          <cell r="Q592">
            <v>1</v>
          </cell>
          <cell r="R592">
            <v>4</v>
          </cell>
          <cell r="S592">
            <v>50</v>
          </cell>
          <cell r="T592">
            <v>143.47826086956522</v>
          </cell>
          <cell r="U592">
            <v>1477</v>
          </cell>
          <cell r="V592">
            <v>143.47826086956522</v>
          </cell>
          <cell r="W592">
            <v>25</v>
          </cell>
          <cell r="X592">
            <v>322</v>
          </cell>
          <cell r="Y592">
            <v>18</v>
          </cell>
          <cell r="Z592">
            <v>10</v>
          </cell>
        </row>
        <row r="593">
          <cell r="A593">
            <v>9222130</v>
          </cell>
          <cell r="B593" t="str">
            <v>龙拳第1段</v>
          </cell>
          <cell r="C593" t="str">
            <v>龙拳第1段</v>
          </cell>
          <cell r="D593">
            <v>2</v>
          </cell>
          <cell r="E593">
            <v>50</v>
          </cell>
          <cell r="F593" t="str">
            <v>第30级，共造成186.5%点伤害</v>
          </cell>
          <cell r="G593">
            <v>1</v>
          </cell>
          <cell r="H593">
            <v>1</v>
          </cell>
          <cell r="I593">
            <v>30</v>
          </cell>
          <cell r="J593">
            <v>2</v>
          </cell>
          <cell r="K593">
            <v>186.52173913043478</v>
          </cell>
          <cell r="L593">
            <v>0</v>
          </cell>
          <cell r="M593">
            <v>5600</v>
          </cell>
          <cell r="N593">
            <v>41860</v>
          </cell>
          <cell r="O593">
            <v>2</v>
          </cell>
          <cell r="P593">
            <v>1</v>
          </cell>
          <cell r="Q593">
            <v>1</v>
          </cell>
          <cell r="R593">
            <v>4</v>
          </cell>
          <cell r="S593">
            <v>50</v>
          </cell>
          <cell r="T593">
            <v>143.47826086956522</v>
          </cell>
          <cell r="U593">
            <v>1610</v>
          </cell>
          <cell r="V593">
            <v>143.47826086956522</v>
          </cell>
          <cell r="W593">
            <v>26</v>
          </cell>
          <cell r="X593">
            <v>348</v>
          </cell>
          <cell r="Y593">
            <v>18</v>
          </cell>
          <cell r="Z593">
            <v>11</v>
          </cell>
        </row>
        <row r="594">
          <cell r="A594">
            <v>9222131</v>
          </cell>
          <cell r="B594" t="str">
            <v>龙拳第1段</v>
          </cell>
          <cell r="C594" t="str">
            <v>龙拳第1段</v>
          </cell>
          <cell r="D594">
            <v>2</v>
          </cell>
          <cell r="E594">
            <v>51</v>
          </cell>
          <cell r="F594" t="str">
            <v>第31级，共造成188%点伤害</v>
          </cell>
          <cell r="G594">
            <v>1</v>
          </cell>
          <cell r="H594">
            <v>1</v>
          </cell>
          <cell r="I594">
            <v>31</v>
          </cell>
          <cell r="J594">
            <v>2</v>
          </cell>
          <cell r="K594">
            <v>187.95652173913044</v>
          </cell>
          <cell r="L594">
            <v>0</v>
          </cell>
          <cell r="M594">
            <v>5520</v>
          </cell>
          <cell r="N594">
            <v>47012</v>
          </cell>
          <cell r="O594">
            <v>2</v>
          </cell>
          <cell r="P594">
            <v>1</v>
          </cell>
          <cell r="Q594">
            <v>1</v>
          </cell>
          <cell r="R594">
            <v>4</v>
          </cell>
          <cell r="S594">
            <v>50</v>
          </cell>
          <cell r="T594">
            <v>143.47826086956522</v>
          </cell>
          <cell r="U594">
            <v>1679</v>
          </cell>
          <cell r="V594">
            <v>143.47826086956522</v>
          </cell>
          <cell r="W594">
            <v>28</v>
          </cell>
          <cell r="X594">
            <v>376</v>
          </cell>
          <cell r="Y594">
            <v>18</v>
          </cell>
          <cell r="Z594">
            <v>12</v>
          </cell>
        </row>
        <row r="595">
          <cell r="A595">
            <v>9222132</v>
          </cell>
          <cell r="B595" t="str">
            <v>龙拳第1段</v>
          </cell>
          <cell r="C595" t="str">
            <v>龙拳第1段</v>
          </cell>
          <cell r="D595">
            <v>2</v>
          </cell>
          <cell r="E595">
            <v>53</v>
          </cell>
          <cell r="F595" t="str">
            <v>第32级，共造成189.4%点伤害</v>
          </cell>
          <cell r="G595">
            <v>1</v>
          </cell>
          <cell r="H595">
            <v>1</v>
          </cell>
          <cell r="I595">
            <v>32</v>
          </cell>
          <cell r="J595">
            <v>2</v>
          </cell>
          <cell r="K595">
            <v>189.39130434782609</v>
          </cell>
          <cell r="L595">
            <v>0</v>
          </cell>
          <cell r="M595">
            <v>5440</v>
          </cell>
          <cell r="N595">
            <v>54600</v>
          </cell>
          <cell r="O595">
            <v>2</v>
          </cell>
          <cell r="P595">
            <v>1</v>
          </cell>
          <cell r="Q595">
            <v>1</v>
          </cell>
          <cell r="R595">
            <v>4</v>
          </cell>
          <cell r="S595">
            <v>50</v>
          </cell>
          <cell r="T595">
            <v>143.47826086956522</v>
          </cell>
          <cell r="U595">
            <v>1820</v>
          </cell>
          <cell r="V595">
            <v>143.47826086956522</v>
          </cell>
          <cell r="W595">
            <v>30</v>
          </cell>
          <cell r="X595">
            <v>406</v>
          </cell>
          <cell r="Y595">
            <v>18</v>
          </cell>
          <cell r="Z595">
            <v>12</v>
          </cell>
        </row>
        <row r="596">
          <cell r="A596">
            <v>9222133</v>
          </cell>
          <cell r="B596" t="str">
            <v>龙拳第1段</v>
          </cell>
          <cell r="C596" t="str">
            <v>龙拳第1段</v>
          </cell>
          <cell r="D596">
            <v>2</v>
          </cell>
          <cell r="E596">
            <v>54</v>
          </cell>
          <cell r="F596" t="str">
            <v>第33级，共造成190.8%点伤害</v>
          </cell>
          <cell r="G596">
            <v>1</v>
          </cell>
          <cell r="H596">
            <v>1</v>
          </cell>
          <cell r="I596">
            <v>33</v>
          </cell>
          <cell r="J596">
            <v>2</v>
          </cell>
          <cell r="K596">
            <v>190.82608695652175</v>
          </cell>
          <cell r="L596">
            <v>0</v>
          </cell>
          <cell r="M596">
            <v>5360</v>
          </cell>
          <cell r="N596">
            <v>60576</v>
          </cell>
          <cell r="O596">
            <v>2</v>
          </cell>
          <cell r="P596">
            <v>1</v>
          </cell>
          <cell r="Q596">
            <v>1</v>
          </cell>
          <cell r="R596">
            <v>4</v>
          </cell>
          <cell r="S596">
            <v>50</v>
          </cell>
          <cell r="T596">
            <v>143.47826086956522</v>
          </cell>
          <cell r="U596">
            <v>1893</v>
          </cell>
          <cell r="V596">
            <v>143.47826086956522</v>
          </cell>
          <cell r="W596">
            <v>32</v>
          </cell>
          <cell r="X596">
            <v>438</v>
          </cell>
          <cell r="Y596">
            <v>18</v>
          </cell>
          <cell r="Z596">
            <v>13</v>
          </cell>
        </row>
        <row r="597">
          <cell r="A597">
            <v>9222134</v>
          </cell>
          <cell r="B597" t="str">
            <v>龙拳第1段</v>
          </cell>
          <cell r="C597" t="str">
            <v>龙拳第1段</v>
          </cell>
          <cell r="D597">
            <v>2</v>
          </cell>
          <cell r="E597">
            <v>56</v>
          </cell>
          <cell r="F597" t="str">
            <v>第34级，共造成192.3%点伤害</v>
          </cell>
          <cell r="G597">
            <v>1</v>
          </cell>
          <cell r="H597">
            <v>1</v>
          </cell>
          <cell r="I597">
            <v>34</v>
          </cell>
          <cell r="J597">
            <v>2</v>
          </cell>
          <cell r="K597">
            <v>192.26086956521738</v>
          </cell>
          <cell r="L597">
            <v>0</v>
          </cell>
          <cell r="M597">
            <v>5280</v>
          </cell>
          <cell r="N597">
            <v>69428</v>
          </cell>
          <cell r="O597">
            <v>2</v>
          </cell>
          <cell r="P597">
            <v>1</v>
          </cell>
          <cell r="Q597">
            <v>1</v>
          </cell>
          <cell r="R597">
            <v>4</v>
          </cell>
          <cell r="S597">
            <v>50</v>
          </cell>
          <cell r="T597">
            <v>143.47826086956522</v>
          </cell>
          <cell r="U597">
            <v>2042</v>
          </cell>
          <cell r="V597">
            <v>143.47826086956522</v>
          </cell>
          <cell r="W597">
            <v>34</v>
          </cell>
          <cell r="X597">
            <v>472</v>
          </cell>
          <cell r="Y597">
            <v>18</v>
          </cell>
          <cell r="Z597">
            <v>14</v>
          </cell>
        </row>
        <row r="598">
          <cell r="A598">
            <v>9222135</v>
          </cell>
          <cell r="B598" t="str">
            <v>龙拳第1段</v>
          </cell>
          <cell r="C598" t="str">
            <v>龙拳第1段</v>
          </cell>
          <cell r="D598">
            <v>2</v>
          </cell>
          <cell r="E598">
            <v>57</v>
          </cell>
          <cell r="F598" t="str">
            <v>第35级，共造成193.7%点伤害</v>
          </cell>
          <cell r="G598">
            <v>1</v>
          </cell>
          <cell r="H598">
            <v>1</v>
          </cell>
          <cell r="I598">
            <v>35</v>
          </cell>
          <cell r="J598">
            <v>2</v>
          </cell>
          <cell r="K598">
            <v>193.69565217391303</v>
          </cell>
          <cell r="L598">
            <v>0</v>
          </cell>
          <cell r="M598">
            <v>5200</v>
          </cell>
          <cell r="N598">
            <v>76284</v>
          </cell>
          <cell r="O598">
            <v>2</v>
          </cell>
          <cell r="P598">
            <v>1</v>
          </cell>
          <cell r="Q598">
            <v>1</v>
          </cell>
          <cell r="R598">
            <v>4</v>
          </cell>
          <cell r="S598">
            <v>50</v>
          </cell>
          <cell r="T598">
            <v>143.47826086956522</v>
          </cell>
          <cell r="U598">
            <v>2119</v>
          </cell>
          <cell r="V598">
            <v>143.47826086956522</v>
          </cell>
          <cell r="W598">
            <v>36</v>
          </cell>
          <cell r="X598">
            <v>508</v>
          </cell>
          <cell r="Y598">
            <v>18</v>
          </cell>
          <cell r="Z598">
            <v>15</v>
          </cell>
        </row>
        <row r="599">
          <cell r="A599">
            <v>9222136</v>
          </cell>
          <cell r="B599" t="str">
            <v>龙拳第1段</v>
          </cell>
          <cell r="C599" t="str">
            <v>龙拳第1段</v>
          </cell>
          <cell r="D599">
            <v>2</v>
          </cell>
          <cell r="E599">
            <v>59</v>
          </cell>
          <cell r="F599" t="str">
            <v>第36级，共造成195.1%点伤害</v>
          </cell>
          <cell r="G599">
            <v>1</v>
          </cell>
          <cell r="H599">
            <v>1</v>
          </cell>
          <cell r="I599">
            <v>36</v>
          </cell>
          <cell r="J599">
            <v>2</v>
          </cell>
          <cell r="K599">
            <v>195.13043478260869</v>
          </cell>
          <cell r="L599">
            <v>0</v>
          </cell>
          <cell r="M599">
            <v>5120</v>
          </cell>
          <cell r="N599">
            <v>88803</v>
          </cell>
          <cell r="O599">
            <v>2</v>
          </cell>
          <cell r="P599">
            <v>1</v>
          </cell>
          <cell r="Q599">
            <v>1</v>
          </cell>
          <cell r="R599">
            <v>4</v>
          </cell>
          <cell r="S599">
            <v>50</v>
          </cell>
          <cell r="T599">
            <v>143.47826086956522</v>
          </cell>
          <cell r="U599">
            <v>2277</v>
          </cell>
          <cell r="V599">
            <v>143.47826086956522</v>
          </cell>
          <cell r="W599">
            <v>39</v>
          </cell>
          <cell r="X599">
            <v>547</v>
          </cell>
          <cell r="Y599">
            <v>18</v>
          </cell>
          <cell r="Z599">
            <v>16</v>
          </cell>
        </row>
        <row r="600">
          <cell r="A600">
            <v>9222137</v>
          </cell>
          <cell r="B600" t="str">
            <v>龙拳第1段</v>
          </cell>
          <cell r="C600" t="str">
            <v>龙拳第1段</v>
          </cell>
          <cell r="D600">
            <v>2</v>
          </cell>
          <cell r="E600">
            <v>60</v>
          </cell>
          <cell r="F600" t="str">
            <v>第37级，共造成196.6%点伤害</v>
          </cell>
          <cell r="G600">
            <v>1</v>
          </cell>
          <cell r="H600">
            <v>1</v>
          </cell>
          <cell r="I600">
            <v>37</v>
          </cell>
          <cell r="J600">
            <v>2</v>
          </cell>
          <cell r="K600">
            <v>196.56521739130434</v>
          </cell>
          <cell r="L600">
            <v>0</v>
          </cell>
          <cell r="M600">
            <v>5040</v>
          </cell>
          <cell r="N600">
            <v>99036</v>
          </cell>
          <cell r="O600">
            <v>2</v>
          </cell>
          <cell r="P600">
            <v>1</v>
          </cell>
          <cell r="Q600">
            <v>1</v>
          </cell>
          <cell r="R600">
            <v>4</v>
          </cell>
          <cell r="S600">
            <v>50</v>
          </cell>
          <cell r="T600">
            <v>143.47826086956522</v>
          </cell>
          <cell r="U600">
            <v>2358</v>
          </cell>
          <cell r="V600">
            <v>143.47826086956522</v>
          </cell>
          <cell r="W600">
            <v>42</v>
          </cell>
          <cell r="X600">
            <v>589</v>
          </cell>
          <cell r="Y600">
            <v>18</v>
          </cell>
          <cell r="Z600">
            <v>17</v>
          </cell>
        </row>
        <row r="601">
          <cell r="A601">
            <v>9222138</v>
          </cell>
          <cell r="B601" t="str">
            <v>龙拳第1段</v>
          </cell>
          <cell r="C601" t="str">
            <v>龙拳第1段</v>
          </cell>
          <cell r="D601">
            <v>2</v>
          </cell>
          <cell r="E601">
            <v>62</v>
          </cell>
          <cell r="F601" t="str">
            <v>第38级，共造成198%点伤害</v>
          </cell>
          <cell r="G601">
            <v>1</v>
          </cell>
          <cell r="H601">
            <v>1</v>
          </cell>
          <cell r="I601">
            <v>38</v>
          </cell>
          <cell r="J601">
            <v>2</v>
          </cell>
          <cell r="K601">
            <v>198</v>
          </cell>
          <cell r="L601">
            <v>0</v>
          </cell>
          <cell r="M601">
            <v>4960</v>
          </cell>
          <cell r="N601">
            <v>113580</v>
          </cell>
          <cell r="O601">
            <v>2</v>
          </cell>
          <cell r="P601">
            <v>1</v>
          </cell>
          <cell r="Q601">
            <v>1</v>
          </cell>
          <cell r="R601">
            <v>4</v>
          </cell>
          <cell r="S601">
            <v>50</v>
          </cell>
          <cell r="T601">
            <v>143.47826086956522</v>
          </cell>
          <cell r="U601">
            <v>2524</v>
          </cell>
          <cell r="V601">
            <v>143.47826086956522</v>
          </cell>
          <cell r="W601">
            <v>45</v>
          </cell>
          <cell r="X601">
            <v>634</v>
          </cell>
          <cell r="Y601">
            <v>18</v>
          </cell>
          <cell r="Z601">
            <v>18</v>
          </cell>
        </row>
        <row r="602">
          <cell r="A602">
            <v>9222139</v>
          </cell>
          <cell r="B602" t="str">
            <v>龙拳第1段</v>
          </cell>
          <cell r="C602" t="str">
            <v>龙拳第1段</v>
          </cell>
          <cell r="D602">
            <v>2</v>
          </cell>
          <cell r="E602">
            <v>63</v>
          </cell>
          <cell r="F602" t="str">
            <v>第39级，共造成199.4%点伤害</v>
          </cell>
          <cell r="G602">
            <v>1</v>
          </cell>
          <cell r="H602">
            <v>1</v>
          </cell>
          <cell r="I602">
            <v>39</v>
          </cell>
          <cell r="J602">
            <v>2</v>
          </cell>
          <cell r="K602">
            <v>199.43478260869566</v>
          </cell>
          <cell r="L602">
            <v>0</v>
          </cell>
          <cell r="M602">
            <v>4880</v>
          </cell>
          <cell r="N602">
            <v>125232</v>
          </cell>
          <cell r="O602">
            <v>2</v>
          </cell>
          <cell r="P602">
            <v>1</v>
          </cell>
          <cell r="Q602">
            <v>1</v>
          </cell>
          <cell r="R602">
            <v>4</v>
          </cell>
          <cell r="S602">
            <v>50</v>
          </cell>
          <cell r="T602">
            <v>143.47826086956522</v>
          </cell>
          <cell r="U602">
            <v>2609</v>
          </cell>
          <cell r="V602">
            <v>143.47826086956522</v>
          </cell>
          <cell r="W602">
            <v>48</v>
          </cell>
          <cell r="X602">
            <v>682</v>
          </cell>
          <cell r="Y602">
            <v>18</v>
          </cell>
          <cell r="Z602">
            <v>20</v>
          </cell>
        </row>
        <row r="603">
          <cell r="A603">
            <v>9222140</v>
          </cell>
          <cell r="B603" t="str">
            <v>龙拳第1段</v>
          </cell>
          <cell r="C603" t="str">
            <v>龙拳第1段</v>
          </cell>
          <cell r="D603">
            <v>2</v>
          </cell>
          <cell r="E603">
            <v>65</v>
          </cell>
          <cell r="F603" t="str">
            <v>第40级，共造成200.9%点伤害</v>
          </cell>
          <cell r="G603">
            <v>1</v>
          </cell>
          <cell r="H603">
            <v>1</v>
          </cell>
          <cell r="I603">
            <v>40</v>
          </cell>
          <cell r="J603">
            <v>2</v>
          </cell>
          <cell r="K603">
            <v>200.86956521739131</v>
          </cell>
          <cell r="L603">
            <v>0</v>
          </cell>
          <cell r="M603">
            <v>4800</v>
          </cell>
          <cell r="N603">
            <v>141933</v>
          </cell>
          <cell r="O603">
            <v>2</v>
          </cell>
          <cell r="P603">
            <v>1</v>
          </cell>
          <cell r="Q603">
            <v>1</v>
          </cell>
          <cell r="R603">
            <v>4</v>
          </cell>
          <cell r="S603">
            <v>50</v>
          </cell>
          <cell r="T603">
            <v>143.47826086956522</v>
          </cell>
          <cell r="U603">
            <v>2783</v>
          </cell>
          <cell r="V603">
            <v>143.47826086956522</v>
          </cell>
          <cell r="W603">
            <v>51</v>
          </cell>
          <cell r="X603">
            <v>733</v>
          </cell>
          <cell r="Y603">
            <v>18</v>
          </cell>
          <cell r="Z603">
            <v>21</v>
          </cell>
        </row>
        <row r="604">
          <cell r="A604">
            <v>9222141</v>
          </cell>
          <cell r="B604" t="str">
            <v>龙拳第1段</v>
          </cell>
          <cell r="C604" t="str">
            <v>龙拳第1段</v>
          </cell>
          <cell r="D604">
            <v>2</v>
          </cell>
          <cell r="E604">
            <v>66</v>
          </cell>
          <cell r="F604" t="str">
            <v>第41级，共造成202.3%点伤害</v>
          </cell>
          <cell r="G604">
            <v>1</v>
          </cell>
          <cell r="H604">
            <v>1</v>
          </cell>
          <cell r="I604">
            <v>41</v>
          </cell>
          <cell r="J604">
            <v>2</v>
          </cell>
          <cell r="K604">
            <v>202.30434782608694</v>
          </cell>
          <cell r="L604">
            <v>0</v>
          </cell>
          <cell r="M604">
            <v>4720</v>
          </cell>
          <cell r="N604">
            <v>157960</v>
          </cell>
          <cell r="O604">
            <v>2</v>
          </cell>
          <cell r="P604">
            <v>1</v>
          </cell>
          <cell r="Q604">
            <v>1</v>
          </cell>
          <cell r="R604">
            <v>4</v>
          </cell>
          <cell r="S604">
            <v>50</v>
          </cell>
          <cell r="T604">
            <v>143.47826086956522</v>
          </cell>
          <cell r="U604">
            <v>2872</v>
          </cell>
          <cell r="V604">
            <v>143.47826086956522</v>
          </cell>
          <cell r="W604">
            <v>55</v>
          </cell>
          <cell r="X604">
            <v>788</v>
          </cell>
          <cell r="Y604">
            <v>18</v>
          </cell>
          <cell r="Z604">
            <v>22</v>
          </cell>
        </row>
        <row r="605">
          <cell r="A605">
            <v>9222142</v>
          </cell>
          <cell r="B605" t="str">
            <v>龙拳第1段</v>
          </cell>
          <cell r="C605" t="str">
            <v>龙拳第1段</v>
          </cell>
          <cell r="D605">
            <v>2</v>
          </cell>
          <cell r="E605">
            <v>68</v>
          </cell>
          <cell r="F605" t="str">
            <v>第42级，共造成203.7%点伤害</v>
          </cell>
          <cell r="G605">
            <v>1</v>
          </cell>
          <cell r="H605">
            <v>1</v>
          </cell>
          <cell r="I605">
            <v>42</v>
          </cell>
          <cell r="J605">
            <v>2</v>
          </cell>
          <cell r="K605">
            <v>203.73913043478262</v>
          </cell>
          <cell r="L605">
            <v>0</v>
          </cell>
          <cell r="M605">
            <v>4640</v>
          </cell>
          <cell r="N605">
            <v>177132</v>
          </cell>
          <cell r="O605">
            <v>2</v>
          </cell>
          <cell r="P605">
            <v>1</v>
          </cell>
          <cell r="Q605">
            <v>1</v>
          </cell>
          <cell r="R605">
            <v>4</v>
          </cell>
          <cell r="S605">
            <v>50</v>
          </cell>
          <cell r="T605">
            <v>143.47826086956522</v>
          </cell>
          <cell r="U605">
            <v>3054</v>
          </cell>
          <cell r="V605">
            <v>143.47826086956522</v>
          </cell>
          <cell r="W605">
            <v>58</v>
          </cell>
          <cell r="X605">
            <v>846</v>
          </cell>
          <cell r="Y605">
            <v>18</v>
          </cell>
          <cell r="Z605">
            <v>24</v>
          </cell>
        </row>
        <row r="606">
          <cell r="A606">
            <v>9222143</v>
          </cell>
          <cell r="B606" t="str">
            <v>龙拳第1段</v>
          </cell>
          <cell r="C606" t="str">
            <v>龙拳第1段</v>
          </cell>
          <cell r="D606">
            <v>2</v>
          </cell>
          <cell r="E606">
            <v>69</v>
          </cell>
          <cell r="F606" t="str">
            <v>第43级，共造成205.2%点伤害</v>
          </cell>
          <cell r="G606">
            <v>1</v>
          </cell>
          <cell r="H606">
            <v>1</v>
          </cell>
          <cell r="I606">
            <v>43</v>
          </cell>
          <cell r="J606">
            <v>2</v>
          </cell>
          <cell r="K606">
            <v>205.17391304347825</v>
          </cell>
          <cell r="L606">
            <v>0</v>
          </cell>
          <cell r="M606">
            <v>4560</v>
          </cell>
          <cell r="N606">
            <v>198261</v>
          </cell>
          <cell r="O606">
            <v>2</v>
          </cell>
          <cell r="P606">
            <v>1</v>
          </cell>
          <cell r="Q606">
            <v>1</v>
          </cell>
          <cell r="R606">
            <v>4</v>
          </cell>
          <cell r="S606">
            <v>50</v>
          </cell>
          <cell r="T606">
            <v>143.47826086956522</v>
          </cell>
          <cell r="U606">
            <v>3147</v>
          </cell>
          <cell r="V606">
            <v>143.47826086956522</v>
          </cell>
          <cell r="W606">
            <v>63</v>
          </cell>
          <cell r="X606">
            <v>909</v>
          </cell>
          <cell r="Y606">
            <v>18</v>
          </cell>
          <cell r="Z606">
            <v>26</v>
          </cell>
        </row>
        <row r="607">
          <cell r="A607">
            <v>9222144</v>
          </cell>
          <cell r="B607" t="str">
            <v>龙拳第1段</v>
          </cell>
          <cell r="C607" t="str">
            <v>龙拳第1段</v>
          </cell>
          <cell r="D607">
            <v>2</v>
          </cell>
          <cell r="E607">
            <v>71</v>
          </cell>
          <cell r="F607" t="str">
            <v>第44级，共造成206.6%点伤害</v>
          </cell>
          <cell r="G607">
            <v>1</v>
          </cell>
          <cell r="H607">
            <v>1</v>
          </cell>
          <cell r="I607">
            <v>44</v>
          </cell>
          <cell r="J607">
            <v>2</v>
          </cell>
          <cell r="K607">
            <v>206.60869565217391</v>
          </cell>
          <cell r="L607">
            <v>0</v>
          </cell>
          <cell r="M607">
            <v>4480</v>
          </cell>
          <cell r="N607">
            <v>223646</v>
          </cell>
          <cell r="O607">
            <v>2</v>
          </cell>
          <cell r="P607">
            <v>1</v>
          </cell>
          <cell r="Q607">
            <v>1</v>
          </cell>
          <cell r="R607">
            <v>4</v>
          </cell>
          <cell r="S607">
            <v>50</v>
          </cell>
          <cell r="T607">
            <v>143.47826086956522</v>
          </cell>
          <cell r="U607">
            <v>3338</v>
          </cell>
          <cell r="V607">
            <v>143.47826086956522</v>
          </cell>
          <cell r="W607">
            <v>67</v>
          </cell>
          <cell r="X607">
            <v>976</v>
          </cell>
          <cell r="Y607">
            <v>18</v>
          </cell>
          <cell r="Z607">
            <v>27</v>
          </cell>
        </row>
        <row r="608">
          <cell r="A608">
            <v>9222145</v>
          </cell>
          <cell r="B608" t="str">
            <v>龙拳第1段</v>
          </cell>
          <cell r="C608" t="str">
            <v>龙拳第1段</v>
          </cell>
          <cell r="D608">
            <v>2</v>
          </cell>
          <cell r="E608">
            <v>72</v>
          </cell>
          <cell r="F608" t="str">
            <v>第45级，共造成208%点伤害</v>
          </cell>
          <cell r="G608">
            <v>1</v>
          </cell>
          <cell r="H608">
            <v>1</v>
          </cell>
          <cell r="I608">
            <v>45</v>
          </cell>
          <cell r="J608">
            <v>2</v>
          </cell>
          <cell r="K608">
            <v>208.04347826086956</v>
          </cell>
          <cell r="L608">
            <v>0</v>
          </cell>
          <cell r="M608">
            <v>4400</v>
          </cell>
          <cell r="N608">
            <v>247320</v>
          </cell>
          <cell r="O608">
            <v>2</v>
          </cell>
          <cell r="P608">
            <v>1</v>
          </cell>
          <cell r="Q608">
            <v>1</v>
          </cell>
          <cell r="R608">
            <v>4</v>
          </cell>
          <cell r="S608">
            <v>50</v>
          </cell>
          <cell r="T608">
            <v>143.47826086956522</v>
          </cell>
          <cell r="U608">
            <v>3435</v>
          </cell>
          <cell r="V608">
            <v>143.47826086956522</v>
          </cell>
          <cell r="W608">
            <v>72</v>
          </cell>
          <cell r="X608">
            <v>1048</v>
          </cell>
          <cell r="Y608">
            <v>18</v>
          </cell>
          <cell r="Z608">
            <v>29</v>
          </cell>
        </row>
        <row r="609">
          <cell r="A609">
            <v>9222146</v>
          </cell>
          <cell r="B609" t="str">
            <v>龙拳第1段</v>
          </cell>
          <cell r="C609" t="str">
            <v>龙拳第1段</v>
          </cell>
          <cell r="D609">
            <v>2</v>
          </cell>
          <cell r="E609">
            <v>74</v>
          </cell>
          <cell r="F609" t="str">
            <v>第46级，共造成209.5%点伤害</v>
          </cell>
          <cell r="G609">
            <v>1</v>
          </cell>
          <cell r="H609">
            <v>1</v>
          </cell>
          <cell r="I609">
            <v>46</v>
          </cell>
          <cell r="J609">
            <v>2</v>
          </cell>
          <cell r="K609">
            <v>209.47826086956522</v>
          </cell>
          <cell r="L609">
            <v>0</v>
          </cell>
          <cell r="M609">
            <v>4320</v>
          </cell>
          <cell r="N609">
            <v>279818</v>
          </cell>
          <cell r="O609">
            <v>2</v>
          </cell>
          <cell r="P609">
            <v>1</v>
          </cell>
          <cell r="Q609">
            <v>1</v>
          </cell>
          <cell r="R609">
            <v>4</v>
          </cell>
          <cell r="S609">
            <v>50</v>
          </cell>
          <cell r="T609">
            <v>143.47826086956522</v>
          </cell>
          <cell r="U609">
            <v>3634</v>
          </cell>
          <cell r="V609">
            <v>143.47826086956522</v>
          </cell>
          <cell r="W609">
            <v>77</v>
          </cell>
          <cell r="X609">
            <v>1125</v>
          </cell>
          <cell r="Y609">
            <v>18</v>
          </cell>
          <cell r="Z609">
            <v>31</v>
          </cell>
        </row>
        <row r="610">
          <cell r="A610">
            <v>9222147</v>
          </cell>
          <cell r="B610" t="str">
            <v>龙拳第1段</v>
          </cell>
          <cell r="C610" t="str">
            <v>龙拳第1段</v>
          </cell>
          <cell r="D610">
            <v>2</v>
          </cell>
          <cell r="E610">
            <v>75</v>
          </cell>
          <cell r="F610" t="str">
            <v>第47级，共造成210.9%点伤害</v>
          </cell>
          <cell r="G610">
            <v>1</v>
          </cell>
          <cell r="H610">
            <v>1</v>
          </cell>
          <cell r="I610">
            <v>47</v>
          </cell>
          <cell r="J610">
            <v>2</v>
          </cell>
          <cell r="K610">
            <v>210.91304347826087</v>
          </cell>
          <cell r="L610">
            <v>0</v>
          </cell>
          <cell r="M610">
            <v>4240</v>
          </cell>
          <cell r="N610">
            <v>306270</v>
          </cell>
          <cell r="O610">
            <v>2</v>
          </cell>
          <cell r="P610">
            <v>1</v>
          </cell>
          <cell r="Q610">
            <v>1</v>
          </cell>
          <cell r="R610">
            <v>4</v>
          </cell>
          <cell r="S610">
            <v>50</v>
          </cell>
          <cell r="T610">
            <v>143.47826086956522</v>
          </cell>
          <cell r="U610">
            <v>3735</v>
          </cell>
          <cell r="V610">
            <v>143.47826086956522</v>
          </cell>
          <cell r="W610">
            <v>82</v>
          </cell>
          <cell r="X610">
            <v>1207</v>
          </cell>
          <cell r="Y610">
            <v>18</v>
          </cell>
          <cell r="Z610">
            <v>33</v>
          </cell>
        </row>
        <row r="611">
          <cell r="A611">
            <v>9222148</v>
          </cell>
          <cell r="B611" t="str">
            <v>龙拳第1段</v>
          </cell>
          <cell r="C611" t="str">
            <v>龙拳第1段</v>
          </cell>
          <cell r="D611">
            <v>2</v>
          </cell>
          <cell r="E611">
            <v>77</v>
          </cell>
          <cell r="F611" t="str">
            <v>第48级，共造成212.3%点伤害</v>
          </cell>
          <cell r="G611">
            <v>1</v>
          </cell>
          <cell r="H611">
            <v>1</v>
          </cell>
          <cell r="I611">
            <v>48</v>
          </cell>
          <cell r="J611">
            <v>2</v>
          </cell>
          <cell r="K611">
            <v>212.3478260869565</v>
          </cell>
          <cell r="L611">
            <v>0</v>
          </cell>
          <cell r="M611">
            <v>4160</v>
          </cell>
          <cell r="N611">
            <v>346896</v>
          </cell>
          <cell r="O611">
            <v>2</v>
          </cell>
          <cell r="P611">
            <v>1</v>
          </cell>
          <cell r="Q611">
            <v>1</v>
          </cell>
          <cell r="R611">
            <v>4</v>
          </cell>
          <cell r="S611">
            <v>50</v>
          </cell>
          <cell r="T611">
            <v>143.47826086956522</v>
          </cell>
          <cell r="U611">
            <v>3942</v>
          </cell>
          <cell r="V611">
            <v>143.47826086956522</v>
          </cell>
          <cell r="W611">
            <v>88</v>
          </cell>
          <cell r="X611">
            <v>1295</v>
          </cell>
          <cell r="Y611">
            <v>18</v>
          </cell>
          <cell r="Z611">
            <v>36</v>
          </cell>
        </row>
        <row r="612">
          <cell r="A612">
            <v>9222149</v>
          </cell>
          <cell r="B612" t="str">
            <v>龙拳第1段</v>
          </cell>
          <cell r="C612" t="str">
            <v>龙拳第1段</v>
          </cell>
          <cell r="D612">
            <v>2</v>
          </cell>
          <cell r="E612">
            <v>78</v>
          </cell>
          <cell r="F612" t="str">
            <v>第49级，共造成213.8%点伤害</v>
          </cell>
          <cell r="G612">
            <v>1</v>
          </cell>
          <cell r="H612">
            <v>1</v>
          </cell>
          <cell r="I612">
            <v>49</v>
          </cell>
          <cell r="J612">
            <v>2</v>
          </cell>
          <cell r="K612">
            <v>213.78260869565219</v>
          </cell>
          <cell r="L612">
            <v>0</v>
          </cell>
          <cell r="M612">
            <v>4080</v>
          </cell>
          <cell r="N612">
            <v>380418</v>
          </cell>
          <cell r="O612">
            <v>2</v>
          </cell>
          <cell r="P612">
            <v>1</v>
          </cell>
          <cell r="Q612">
            <v>1</v>
          </cell>
          <cell r="R612">
            <v>4</v>
          </cell>
          <cell r="S612">
            <v>50</v>
          </cell>
          <cell r="T612">
            <v>143.47826086956522</v>
          </cell>
          <cell r="U612">
            <v>4047</v>
          </cell>
          <cell r="V612">
            <v>143.47826086956522</v>
          </cell>
          <cell r="W612">
            <v>94</v>
          </cell>
          <cell r="X612">
            <v>1389</v>
          </cell>
          <cell r="Y612">
            <v>18</v>
          </cell>
          <cell r="Z612">
            <v>38</v>
          </cell>
        </row>
        <row r="613">
          <cell r="A613">
            <v>9222150</v>
          </cell>
          <cell r="B613" t="str">
            <v>龙拳第1段</v>
          </cell>
          <cell r="C613" t="str">
            <v>龙拳第1段</v>
          </cell>
          <cell r="D613">
            <v>2</v>
          </cell>
          <cell r="E613">
            <v>80</v>
          </cell>
          <cell r="F613" t="str">
            <v>第50级，共造成215.2%点伤害</v>
          </cell>
          <cell r="G613">
            <v>1</v>
          </cell>
          <cell r="H613">
            <v>1</v>
          </cell>
          <cell r="I613">
            <v>50</v>
          </cell>
          <cell r="J613">
            <v>2</v>
          </cell>
          <cell r="K613">
            <v>215.21739130434781</v>
          </cell>
          <cell r="L613">
            <v>0</v>
          </cell>
          <cell r="M613">
            <v>4000</v>
          </cell>
          <cell r="N613">
            <v>430462</v>
          </cell>
          <cell r="O613">
            <v>2</v>
          </cell>
          <cell r="P613">
            <v>1</v>
          </cell>
          <cell r="Q613">
            <v>1</v>
          </cell>
          <cell r="R613">
            <v>4</v>
          </cell>
          <cell r="S613">
            <v>50</v>
          </cell>
          <cell r="T613">
            <v>143.47826086956522</v>
          </cell>
          <cell r="U613">
            <v>4262</v>
          </cell>
          <cell r="V613">
            <v>143.47826086956522</v>
          </cell>
          <cell r="W613">
            <v>101</v>
          </cell>
          <cell r="X613">
            <v>1490</v>
          </cell>
          <cell r="Y613">
            <v>18</v>
          </cell>
          <cell r="Z613">
            <v>41</v>
          </cell>
        </row>
        <row r="614">
          <cell r="A614">
            <v>1</v>
          </cell>
          <cell r="B614" t="str">
            <v>龙拳</v>
          </cell>
          <cell r="C614" t="str">
            <v>龙拳第2段</v>
          </cell>
          <cell r="D614">
            <v>2</v>
          </cell>
          <cell r="E614">
            <v>4</v>
          </cell>
          <cell r="F614" t="str">
            <v>第0级，共造成143.5%点伤害</v>
          </cell>
          <cell r="G614">
            <v>0</v>
          </cell>
          <cell r="H614">
            <v>2</v>
          </cell>
          <cell r="I614">
            <v>0</v>
          </cell>
          <cell r="J614">
            <v>2</v>
          </cell>
          <cell r="K614">
            <v>143.47826086956522</v>
          </cell>
          <cell r="L614">
            <v>0</v>
          </cell>
          <cell r="M614">
            <v>8000</v>
          </cell>
          <cell r="N614">
            <v>0</v>
          </cell>
          <cell r="O614">
            <v>2</v>
          </cell>
          <cell r="P614">
            <v>1</v>
          </cell>
          <cell r="Q614">
            <v>1</v>
          </cell>
          <cell r="R614">
            <v>4</v>
          </cell>
          <cell r="S614">
            <v>50</v>
          </cell>
          <cell r="T614">
            <v>143.47826086956522</v>
          </cell>
          <cell r="U614">
            <v>68</v>
          </cell>
          <cell r="V614">
            <v>143.47826086956522</v>
          </cell>
          <cell r="W614">
            <v>0</v>
          </cell>
          <cell r="X614">
            <v>0</v>
          </cell>
          <cell r="Y614">
            <v>18</v>
          </cell>
          <cell r="Z614">
            <v>0</v>
          </cell>
        </row>
        <row r="615">
          <cell r="A615">
            <v>9222201</v>
          </cell>
          <cell r="B615" t="str">
            <v>龙拳第2段</v>
          </cell>
          <cell r="C615" t="str">
            <v>龙拳第2段</v>
          </cell>
          <cell r="D615">
            <v>2</v>
          </cell>
          <cell r="E615">
            <v>4</v>
          </cell>
          <cell r="F615" t="str">
            <v>第1级，共造成143.5%点伤害</v>
          </cell>
          <cell r="G615">
            <v>2</v>
          </cell>
          <cell r="H615">
            <v>2</v>
          </cell>
          <cell r="I615">
            <v>1</v>
          </cell>
          <cell r="J615">
            <v>2</v>
          </cell>
          <cell r="K615">
            <v>143.47826086956522</v>
          </cell>
          <cell r="L615">
            <v>0</v>
          </cell>
          <cell r="M615">
            <v>8000</v>
          </cell>
          <cell r="N615">
            <v>272</v>
          </cell>
          <cell r="O615">
            <v>2</v>
          </cell>
          <cell r="P615">
            <v>1</v>
          </cell>
          <cell r="Q615">
            <v>1</v>
          </cell>
          <cell r="R615">
            <v>4</v>
          </cell>
          <cell r="S615">
            <v>50</v>
          </cell>
          <cell r="T615">
            <v>143.47826086956522</v>
          </cell>
          <cell r="U615">
            <v>68</v>
          </cell>
          <cell r="V615">
            <v>143.47826086956522</v>
          </cell>
          <cell r="W615">
            <v>4</v>
          </cell>
          <cell r="X615">
            <v>4</v>
          </cell>
          <cell r="Y615">
            <v>18</v>
          </cell>
          <cell r="Z615">
            <v>0</v>
          </cell>
        </row>
        <row r="616">
          <cell r="A616">
            <v>9222202</v>
          </cell>
          <cell r="B616" t="str">
            <v>龙拳第2段</v>
          </cell>
          <cell r="C616" t="str">
            <v>龙拳第2段</v>
          </cell>
          <cell r="D616">
            <v>2</v>
          </cell>
          <cell r="E616">
            <v>7</v>
          </cell>
          <cell r="F616" t="str">
            <v>第2级，共造成146.3%点伤害</v>
          </cell>
          <cell r="G616">
            <v>2</v>
          </cell>
          <cell r="H616">
            <v>2</v>
          </cell>
          <cell r="I616">
            <v>2</v>
          </cell>
          <cell r="J616">
            <v>2</v>
          </cell>
          <cell r="K616">
            <v>146.34782608695653</v>
          </cell>
          <cell r="L616">
            <v>0</v>
          </cell>
          <cell r="M616">
            <v>7840</v>
          </cell>
          <cell r="N616">
            <v>344</v>
          </cell>
          <cell r="O616">
            <v>2</v>
          </cell>
          <cell r="P616">
            <v>1</v>
          </cell>
          <cell r="Q616">
            <v>1</v>
          </cell>
          <cell r="R616">
            <v>4</v>
          </cell>
          <cell r="S616">
            <v>50</v>
          </cell>
          <cell r="T616">
            <v>143.47826086956522</v>
          </cell>
          <cell r="U616">
            <v>86</v>
          </cell>
          <cell r="V616">
            <v>143.47826086956522</v>
          </cell>
          <cell r="W616">
            <v>4</v>
          </cell>
          <cell r="X616">
            <v>8</v>
          </cell>
          <cell r="Y616">
            <v>18</v>
          </cell>
          <cell r="Z616">
            <v>0</v>
          </cell>
        </row>
        <row r="617">
          <cell r="A617">
            <v>9222203</v>
          </cell>
          <cell r="B617" t="str">
            <v>龙拳第2段</v>
          </cell>
          <cell r="C617" t="str">
            <v>龙拳第2段</v>
          </cell>
          <cell r="D617">
            <v>2</v>
          </cell>
          <cell r="E617">
            <v>9</v>
          </cell>
          <cell r="F617" t="str">
            <v>第3级，共造成147.8%点伤害</v>
          </cell>
          <cell r="G617">
            <v>2</v>
          </cell>
          <cell r="H617">
            <v>2</v>
          </cell>
          <cell r="I617">
            <v>3</v>
          </cell>
          <cell r="J617">
            <v>2</v>
          </cell>
          <cell r="K617">
            <v>147.78260869565219</v>
          </cell>
          <cell r="L617">
            <v>0</v>
          </cell>
          <cell r="M617">
            <v>7760</v>
          </cell>
          <cell r="N617">
            <v>392</v>
          </cell>
          <cell r="O617">
            <v>2</v>
          </cell>
          <cell r="P617">
            <v>1</v>
          </cell>
          <cell r="Q617">
            <v>1</v>
          </cell>
          <cell r="R617">
            <v>4</v>
          </cell>
          <cell r="S617">
            <v>50</v>
          </cell>
          <cell r="T617">
            <v>143.47826086956522</v>
          </cell>
          <cell r="U617">
            <v>98</v>
          </cell>
          <cell r="V617">
            <v>143.47826086956522</v>
          </cell>
          <cell r="W617">
            <v>4</v>
          </cell>
          <cell r="X617">
            <v>12</v>
          </cell>
          <cell r="Y617">
            <v>18</v>
          </cell>
          <cell r="Z617">
            <v>0</v>
          </cell>
        </row>
        <row r="618">
          <cell r="A618">
            <v>9222204</v>
          </cell>
          <cell r="B618" t="str">
            <v>龙拳第2段</v>
          </cell>
          <cell r="C618" t="str">
            <v>龙拳第2段</v>
          </cell>
          <cell r="D618">
            <v>2</v>
          </cell>
          <cell r="E618">
            <v>10</v>
          </cell>
          <cell r="F618" t="str">
            <v>第4级，共造成149.2%点伤害</v>
          </cell>
          <cell r="G618">
            <v>2</v>
          </cell>
          <cell r="H618">
            <v>2</v>
          </cell>
          <cell r="I618">
            <v>4</v>
          </cell>
          <cell r="J618">
            <v>2</v>
          </cell>
          <cell r="K618">
            <v>149.21739130434781</v>
          </cell>
          <cell r="L618">
            <v>0</v>
          </cell>
          <cell r="M618">
            <v>7680</v>
          </cell>
          <cell r="N618">
            <v>520</v>
          </cell>
          <cell r="O618">
            <v>2</v>
          </cell>
          <cell r="P618">
            <v>1</v>
          </cell>
          <cell r="Q618">
            <v>1</v>
          </cell>
          <cell r="R618">
            <v>4</v>
          </cell>
          <cell r="S618">
            <v>50</v>
          </cell>
          <cell r="T618">
            <v>143.47826086956522</v>
          </cell>
          <cell r="U618">
            <v>104</v>
          </cell>
          <cell r="V618">
            <v>143.47826086956522</v>
          </cell>
          <cell r="W618">
            <v>5</v>
          </cell>
          <cell r="X618">
            <v>17</v>
          </cell>
          <cell r="Y618">
            <v>18</v>
          </cell>
          <cell r="Z618">
            <v>0</v>
          </cell>
        </row>
        <row r="619">
          <cell r="A619">
            <v>9222205</v>
          </cell>
          <cell r="B619" t="str">
            <v>龙拳第2段</v>
          </cell>
          <cell r="C619" t="str">
            <v>龙拳第2段</v>
          </cell>
          <cell r="D619">
            <v>2</v>
          </cell>
          <cell r="E619">
            <v>12</v>
          </cell>
          <cell r="F619" t="str">
            <v>第5级，共造成150.7%点伤害</v>
          </cell>
          <cell r="G619">
            <v>2</v>
          </cell>
          <cell r="H619">
            <v>2</v>
          </cell>
          <cell r="I619">
            <v>5</v>
          </cell>
          <cell r="J619">
            <v>2</v>
          </cell>
          <cell r="K619">
            <v>150.65217391304347</v>
          </cell>
          <cell r="L619">
            <v>0</v>
          </cell>
          <cell r="M619">
            <v>7600</v>
          </cell>
          <cell r="N619">
            <v>580</v>
          </cell>
          <cell r="O619">
            <v>2</v>
          </cell>
          <cell r="P619">
            <v>1</v>
          </cell>
          <cell r="Q619">
            <v>1</v>
          </cell>
          <cell r="R619">
            <v>4</v>
          </cell>
          <cell r="S619">
            <v>50</v>
          </cell>
          <cell r="T619">
            <v>143.47826086956522</v>
          </cell>
          <cell r="U619">
            <v>116</v>
          </cell>
          <cell r="V619">
            <v>143.47826086956522</v>
          </cell>
          <cell r="W619">
            <v>5</v>
          </cell>
          <cell r="X619">
            <v>22</v>
          </cell>
          <cell r="Y619">
            <v>18</v>
          </cell>
          <cell r="Z619">
            <v>0</v>
          </cell>
        </row>
        <row r="620">
          <cell r="A620">
            <v>9222206</v>
          </cell>
          <cell r="B620" t="str">
            <v>龙拳第2段</v>
          </cell>
          <cell r="C620" t="str">
            <v>龙拳第2段</v>
          </cell>
          <cell r="D620">
            <v>2</v>
          </cell>
          <cell r="E620">
            <v>13</v>
          </cell>
          <cell r="F620" t="str">
            <v>第6级，共造成152.1%点伤害</v>
          </cell>
          <cell r="G620">
            <v>2</v>
          </cell>
          <cell r="H620">
            <v>2</v>
          </cell>
          <cell r="I620">
            <v>6</v>
          </cell>
          <cell r="J620">
            <v>2</v>
          </cell>
          <cell r="K620">
            <v>152.08695652173913</v>
          </cell>
          <cell r="L620">
            <v>0</v>
          </cell>
          <cell r="M620">
            <v>7520</v>
          </cell>
          <cell r="N620">
            <v>610</v>
          </cell>
          <cell r="O620">
            <v>2</v>
          </cell>
          <cell r="P620">
            <v>1</v>
          </cell>
          <cell r="Q620">
            <v>1</v>
          </cell>
          <cell r="R620">
            <v>4</v>
          </cell>
          <cell r="S620">
            <v>50</v>
          </cell>
          <cell r="T620">
            <v>143.47826086956522</v>
          </cell>
          <cell r="U620">
            <v>122</v>
          </cell>
          <cell r="V620">
            <v>143.47826086956522</v>
          </cell>
          <cell r="W620">
            <v>5</v>
          </cell>
          <cell r="X620">
            <v>27</v>
          </cell>
          <cell r="Y620">
            <v>18</v>
          </cell>
          <cell r="Z620">
            <v>0</v>
          </cell>
        </row>
        <row r="621">
          <cell r="A621">
            <v>9222207</v>
          </cell>
          <cell r="B621" t="str">
            <v>龙拳第2段</v>
          </cell>
          <cell r="C621" t="str">
            <v>龙拳第2段</v>
          </cell>
          <cell r="D621">
            <v>2</v>
          </cell>
          <cell r="E621">
            <v>15</v>
          </cell>
          <cell r="F621" t="str">
            <v>第7级，共造成153.5%点伤害</v>
          </cell>
          <cell r="G621">
            <v>2</v>
          </cell>
          <cell r="H621">
            <v>2</v>
          </cell>
          <cell r="I621">
            <v>7</v>
          </cell>
          <cell r="J621">
            <v>2</v>
          </cell>
          <cell r="K621">
            <v>153.52173913043478</v>
          </cell>
          <cell r="L621">
            <v>0</v>
          </cell>
          <cell r="M621">
            <v>7440</v>
          </cell>
          <cell r="N621">
            <v>670</v>
          </cell>
          <cell r="O621">
            <v>2</v>
          </cell>
          <cell r="P621">
            <v>1</v>
          </cell>
          <cell r="Q621">
            <v>1</v>
          </cell>
          <cell r="R621">
            <v>4</v>
          </cell>
          <cell r="S621">
            <v>50</v>
          </cell>
          <cell r="T621">
            <v>143.47826086956522</v>
          </cell>
          <cell r="U621">
            <v>134</v>
          </cell>
          <cell r="V621">
            <v>143.47826086956522</v>
          </cell>
          <cell r="W621">
            <v>5</v>
          </cell>
          <cell r="X621">
            <v>32</v>
          </cell>
          <cell r="Y621">
            <v>18</v>
          </cell>
          <cell r="Z621">
            <v>0</v>
          </cell>
        </row>
        <row r="622">
          <cell r="A622">
            <v>9222208</v>
          </cell>
          <cell r="B622" t="str">
            <v>龙拳第2段</v>
          </cell>
          <cell r="C622" t="str">
            <v>龙拳第2段</v>
          </cell>
          <cell r="D622">
            <v>2</v>
          </cell>
          <cell r="E622">
            <v>16</v>
          </cell>
          <cell r="F622" t="str">
            <v>第8级，共造成155%点伤害</v>
          </cell>
          <cell r="G622">
            <v>2</v>
          </cell>
          <cell r="H622">
            <v>2</v>
          </cell>
          <cell r="I622">
            <v>8</v>
          </cell>
          <cell r="J622">
            <v>2</v>
          </cell>
          <cell r="K622">
            <v>154.95652173913044</v>
          </cell>
          <cell r="L622">
            <v>0</v>
          </cell>
          <cell r="M622">
            <v>7360</v>
          </cell>
          <cell r="N622">
            <v>840</v>
          </cell>
          <cell r="O622">
            <v>2</v>
          </cell>
          <cell r="P622">
            <v>1</v>
          </cell>
          <cell r="Q622">
            <v>1</v>
          </cell>
          <cell r="R622">
            <v>4</v>
          </cell>
          <cell r="S622">
            <v>50</v>
          </cell>
          <cell r="T622">
            <v>143.47826086956522</v>
          </cell>
          <cell r="U622">
            <v>140</v>
          </cell>
          <cell r="V622">
            <v>143.47826086956522</v>
          </cell>
          <cell r="W622">
            <v>6</v>
          </cell>
          <cell r="X622">
            <v>38</v>
          </cell>
          <cell r="Y622">
            <v>18</v>
          </cell>
          <cell r="Z622">
            <v>0</v>
          </cell>
        </row>
        <row r="623">
          <cell r="A623">
            <v>9222209</v>
          </cell>
          <cell r="B623" t="str">
            <v>龙拳第2段</v>
          </cell>
          <cell r="C623" t="str">
            <v>龙拳第2段</v>
          </cell>
          <cell r="D623">
            <v>2</v>
          </cell>
          <cell r="E623">
            <v>18</v>
          </cell>
          <cell r="F623" t="str">
            <v>第9级，共造成156.4%点伤害</v>
          </cell>
          <cell r="G623">
            <v>2</v>
          </cell>
          <cell r="H623">
            <v>2</v>
          </cell>
          <cell r="I623">
            <v>9</v>
          </cell>
          <cell r="J623">
            <v>2</v>
          </cell>
          <cell r="K623">
            <v>156.39130434782609</v>
          </cell>
          <cell r="L623">
            <v>0</v>
          </cell>
          <cell r="M623">
            <v>7280</v>
          </cell>
          <cell r="N623">
            <v>912</v>
          </cell>
          <cell r="O623">
            <v>2</v>
          </cell>
          <cell r="P623">
            <v>1</v>
          </cell>
          <cell r="Q623">
            <v>1</v>
          </cell>
          <cell r="R623">
            <v>4</v>
          </cell>
          <cell r="S623">
            <v>50</v>
          </cell>
          <cell r="T623">
            <v>143.47826086956522</v>
          </cell>
          <cell r="U623">
            <v>152</v>
          </cell>
          <cell r="V623">
            <v>143.47826086956522</v>
          </cell>
          <cell r="W623">
            <v>6</v>
          </cell>
          <cell r="X623">
            <v>44</v>
          </cell>
          <cell r="Y623">
            <v>18</v>
          </cell>
          <cell r="Z623">
            <v>0</v>
          </cell>
        </row>
        <row r="624">
          <cell r="A624">
            <v>9222210</v>
          </cell>
          <cell r="B624" t="str">
            <v>龙拳第2段</v>
          </cell>
          <cell r="C624" t="str">
            <v>龙拳第2段</v>
          </cell>
          <cell r="D624">
            <v>2</v>
          </cell>
          <cell r="E624">
            <v>19</v>
          </cell>
          <cell r="F624" t="str">
            <v>第10级，共造成157.8%点伤害</v>
          </cell>
          <cell r="G624">
            <v>2</v>
          </cell>
          <cell r="H624">
            <v>2</v>
          </cell>
          <cell r="I624">
            <v>10</v>
          </cell>
          <cell r="J624">
            <v>2</v>
          </cell>
          <cell r="K624">
            <v>157.82608695652175</v>
          </cell>
          <cell r="L624">
            <v>0</v>
          </cell>
          <cell r="M624">
            <v>7200</v>
          </cell>
          <cell r="N624">
            <v>1106</v>
          </cell>
          <cell r="O624">
            <v>2</v>
          </cell>
          <cell r="P624">
            <v>1</v>
          </cell>
          <cell r="Q624">
            <v>1</v>
          </cell>
          <cell r="R624">
            <v>4</v>
          </cell>
          <cell r="S624">
            <v>50</v>
          </cell>
          <cell r="T624">
            <v>143.47826086956522</v>
          </cell>
          <cell r="U624">
            <v>158</v>
          </cell>
          <cell r="V624">
            <v>143.47826086956522</v>
          </cell>
          <cell r="W624">
            <v>7</v>
          </cell>
          <cell r="X624">
            <v>51</v>
          </cell>
          <cell r="Y624">
            <v>18</v>
          </cell>
          <cell r="Z624">
            <v>0</v>
          </cell>
        </row>
        <row r="625">
          <cell r="A625">
            <v>9222211</v>
          </cell>
          <cell r="B625" t="str">
            <v>龙拳第2段</v>
          </cell>
          <cell r="C625" t="str">
            <v>龙拳第2段</v>
          </cell>
          <cell r="D625">
            <v>2</v>
          </cell>
          <cell r="E625">
            <v>21</v>
          </cell>
          <cell r="F625" t="str">
            <v>第11级，共造成159.3%点伤害</v>
          </cell>
          <cell r="G625">
            <v>2</v>
          </cell>
          <cell r="H625">
            <v>2</v>
          </cell>
          <cell r="I625">
            <v>11</v>
          </cell>
          <cell r="J625">
            <v>2</v>
          </cell>
          <cell r="K625">
            <v>159.2608695652174</v>
          </cell>
          <cell r="L625">
            <v>0</v>
          </cell>
          <cell r="M625">
            <v>7120</v>
          </cell>
          <cell r="N625">
            <v>1470</v>
          </cell>
          <cell r="O625">
            <v>2</v>
          </cell>
          <cell r="P625">
            <v>1</v>
          </cell>
          <cell r="Q625">
            <v>1</v>
          </cell>
          <cell r="R625">
            <v>4</v>
          </cell>
          <cell r="S625">
            <v>50</v>
          </cell>
          <cell r="T625">
            <v>143.47826086956522</v>
          </cell>
          <cell r="U625">
            <v>210</v>
          </cell>
          <cell r="V625">
            <v>143.47826086956522</v>
          </cell>
          <cell r="W625">
            <v>7</v>
          </cell>
          <cell r="X625">
            <v>58</v>
          </cell>
          <cell r="Y625">
            <v>18</v>
          </cell>
          <cell r="Z625">
            <v>0</v>
          </cell>
        </row>
        <row r="626">
          <cell r="A626">
            <v>9222212</v>
          </cell>
          <cell r="B626" t="str">
            <v>龙拳第2段</v>
          </cell>
          <cell r="C626" t="str">
            <v>龙拳第2段</v>
          </cell>
          <cell r="D626">
            <v>2</v>
          </cell>
          <cell r="E626">
            <v>22</v>
          </cell>
          <cell r="F626" t="str">
            <v>第12级，共造成160.7%点伤害</v>
          </cell>
          <cell r="G626">
            <v>2</v>
          </cell>
          <cell r="H626">
            <v>2</v>
          </cell>
          <cell r="I626">
            <v>12</v>
          </cell>
          <cell r="J626">
            <v>2</v>
          </cell>
          <cell r="K626">
            <v>160.69565217391303</v>
          </cell>
          <cell r="L626">
            <v>0</v>
          </cell>
          <cell r="M626">
            <v>7040</v>
          </cell>
          <cell r="N626">
            <v>1912</v>
          </cell>
          <cell r="O626">
            <v>2</v>
          </cell>
          <cell r="P626">
            <v>1</v>
          </cell>
          <cell r="Q626">
            <v>1</v>
          </cell>
          <cell r="R626">
            <v>4</v>
          </cell>
          <cell r="S626">
            <v>50</v>
          </cell>
          <cell r="T626">
            <v>143.47826086956522</v>
          </cell>
          <cell r="U626">
            <v>239</v>
          </cell>
          <cell r="V626">
            <v>143.47826086956522</v>
          </cell>
          <cell r="W626">
            <v>8</v>
          </cell>
          <cell r="X626">
            <v>66</v>
          </cell>
          <cell r="Y626">
            <v>18</v>
          </cell>
          <cell r="Z626">
            <v>0</v>
          </cell>
        </row>
        <row r="627">
          <cell r="A627">
            <v>9222213</v>
          </cell>
          <cell r="B627" t="str">
            <v>龙拳第2段</v>
          </cell>
          <cell r="C627" t="str">
            <v>龙拳第2段</v>
          </cell>
          <cell r="D627">
            <v>2</v>
          </cell>
          <cell r="E627">
            <v>24</v>
          </cell>
          <cell r="F627" t="str">
            <v>第13级，共造成162.1%点伤害</v>
          </cell>
          <cell r="G627">
            <v>2</v>
          </cell>
          <cell r="H627">
            <v>2</v>
          </cell>
          <cell r="I627">
            <v>13</v>
          </cell>
          <cell r="J627">
            <v>2</v>
          </cell>
          <cell r="K627">
            <v>162.13043478260869</v>
          </cell>
          <cell r="L627">
            <v>0</v>
          </cell>
          <cell r="M627">
            <v>6960</v>
          </cell>
          <cell r="N627">
            <v>2416</v>
          </cell>
          <cell r="O627">
            <v>2</v>
          </cell>
          <cell r="P627">
            <v>1</v>
          </cell>
          <cell r="Q627">
            <v>1</v>
          </cell>
          <cell r="R627">
            <v>4</v>
          </cell>
          <cell r="S627">
            <v>50</v>
          </cell>
          <cell r="T627">
            <v>143.47826086956522</v>
          </cell>
          <cell r="U627">
            <v>302</v>
          </cell>
          <cell r="V627">
            <v>143.47826086956522</v>
          </cell>
          <cell r="W627">
            <v>8</v>
          </cell>
          <cell r="X627">
            <v>74</v>
          </cell>
          <cell r="Y627">
            <v>18</v>
          </cell>
          <cell r="Z627">
            <v>0</v>
          </cell>
        </row>
        <row r="628">
          <cell r="A628">
            <v>9222214</v>
          </cell>
          <cell r="B628" t="str">
            <v>龙拳第2段</v>
          </cell>
          <cell r="C628" t="str">
            <v>龙拳第2段</v>
          </cell>
          <cell r="D628">
            <v>2</v>
          </cell>
          <cell r="E628">
            <v>25</v>
          </cell>
          <cell r="F628" t="str">
            <v>第14级，共造成163.6%点伤害</v>
          </cell>
          <cell r="G628">
            <v>2</v>
          </cell>
          <cell r="H628">
            <v>2</v>
          </cell>
          <cell r="I628">
            <v>14</v>
          </cell>
          <cell r="J628">
            <v>2</v>
          </cell>
          <cell r="K628">
            <v>163.56521739130434</v>
          </cell>
          <cell r="L628">
            <v>0</v>
          </cell>
          <cell r="M628">
            <v>6880</v>
          </cell>
          <cell r="N628">
            <v>3015</v>
          </cell>
          <cell r="O628">
            <v>2</v>
          </cell>
          <cell r="P628">
            <v>1</v>
          </cell>
          <cell r="Q628">
            <v>1</v>
          </cell>
          <cell r="R628">
            <v>4</v>
          </cell>
          <cell r="S628">
            <v>50</v>
          </cell>
          <cell r="T628">
            <v>143.47826086956522</v>
          </cell>
          <cell r="U628">
            <v>335</v>
          </cell>
          <cell r="V628">
            <v>143.47826086956522</v>
          </cell>
          <cell r="W628">
            <v>9</v>
          </cell>
          <cell r="X628">
            <v>83</v>
          </cell>
          <cell r="Y628">
            <v>18</v>
          </cell>
          <cell r="Z628">
            <v>0</v>
          </cell>
        </row>
        <row r="629">
          <cell r="A629">
            <v>9222215</v>
          </cell>
          <cell r="B629" t="str">
            <v>龙拳第2段</v>
          </cell>
          <cell r="C629" t="str">
            <v>龙拳第2段</v>
          </cell>
          <cell r="D629">
            <v>2</v>
          </cell>
          <cell r="E629">
            <v>27</v>
          </cell>
          <cell r="F629" t="str">
            <v>第15级，共造成165%点伤害</v>
          </cell>
          <cell r="G629">
            <v>2</v>
          </cell>
          <cell r="H629">
            <v>2</v>
          </cell>
          <cell r="I629">
            <v>15</v>
          </cell>
          <cell r="J629">
            <v>2</v>
          </cell>
          <cell r="K629">
            <v>165</v>
          </cell>
          <cell r="L629">
            <v>0</v>
          </cell>
          <cell r="M629">
            <v>6800</v>
          </cell>
          <cell r="N629">
            <v>4060</v>
          </cell>
          <cell r="O629">
            <v>2</v>
          </cell>
          <cell r="P629">
            <v>1</v>
          </cell>
          <cell r="Q629">
            <v>1</v>
          </cell>
          <cell r="R629">
            <v>4</v>
          </cell>
          <cell r="S629">
            <v>50</v>
          </cell>
          <cell r="T629">
            <v>143.47826086956522</v>
          </cell>
          <cell r="U629">
            <v>406</v>
          </cell>
          <cell r="V629">
            <v>143.47826086956522</v>
          </cell>
          <cell r="W629">
            <v>10</v>
          </cell>
          <cell r="X629">
            <v>93</v>
          </cell>
          <cell r="Y629">
            <v>18</v>
          </cell>
          <cell r="Z629">
            <v>0</v>
          </cell>
        </row>
        <row r="630">
          <cell r="A630">
            <v>9222216</v>
          </cell>
          <cell r="B630" t="str">
            <v>龙拳第2段</v>
          </cell>
          <cell r="C630" t="str">
            <v>龙拳第2段</v>
          </cell>
          <cell r="D630">
            <v>2</v>
          </cell>
          <cell r="E630">
            <v>28</v>
          </cell>
          <cell r="F630" t="str">
            <v>第16级，共造成166.4%点伤害</v>
          </cell>
          <cell r="G630">
            <v>2</v>
          </cell>
          <cell r="H630">
            <v>2</v>
          </cell>
          <cell r="I630">
            <v>16</v>
          </cell>
          <cell r="J630">
            <v>2</v>
          </cell>
          <cell r="K630">
            <v>166.43478260869566</v>
          </cell>
          <cell r="L630">
            <v>0</v>
          </cell>
          <cell r="M630">
            <v>6720</v>
          </cell>
          <cell r="N630">
            <v>4430</v>
          </cell>
          <cell r="O630">
            <v>2</v>
          </cell>
          <cell r="P630">
            <v>1</v>
          </cell>
          <cell r="Q630">
            <v>1</v>
          </cell>
          <cell r="R630">
            <v>4</v>
          </cell>
          <cell r="S630">
            <v>50</v>
          </cell>
          <cell r="T630">
            <v>143.47826086956522</v>
          </cell>
          <cell r="U630">
            <v>443</v>
          </cell>
          <cell r="V630">
            <v>143.47826086956522</v>
          </cell>
          <cell r="W630">
            <v>10</v>
          </cell>
          <cell r="X630">
            <v>103</v>
          </cell>
          <cell r="Y630">
            <v>18</v>
          </cell>
          <cell r="Z630">
            <v>0</v>
          </cell>
        </row>
        <row r="631">
          <cell r="A631">
            <v>9222217</v>
          </cell>
          <cell r="B631" t="str">
            <v>龙拳第2段</v>
          </cell>
          <cell r="C631" t="str">
            <v>龙拳第2段</v>
          </cell>
          <cell r="D631">
            <v>2</v>
          </cell>
          <cell r="E631">
            <v>30</v>
          </cell>
          <cell r="F631" t="str">
            <v>第17级，共造成167.9%点伤害</v>
          </cell>
          <cell r="G631">
            <v>2</v>
          </cell>
          <cell r="H631">
            <v>2</v>
          </cell>
          <cell r="I631">
            <v>17</v>
          </cell>
          <cell r="J631">
            <v>2</v>
          </cell>
          <cell r="K631">
            <v>167.86956521739131</v>
          </cell>
          <cell r="L631">
            <v>0</v>
          </cell>
          <cell r="M631">
            <v>6640</v>
          </cell>
          <cell r="N631">
            <v>5742</v>
          </cell>
          <cell r="O631">
            <v>2</v>
          </cell>
          <cell r="P631">
            <v>1</v>
          </cell>
          <cell r="Q631">
            <v>1</v>
          </cell>
          <cell r="R631">
            <v>4</v>
          </cell>
          <cell r="S631">
            <v>50</v>
          </cell>
          <cell r="T631">
            <v>143.47826086956522</v>
          </cell>
          <cell r="U631">
            <v>522</v>
          </cell>
          <cell r="V631">
            <v>143.47826086956522</v>
          </cell>
          <cell r="W631">
            <v>11</v>
          </cell>
          <cell r="X631">
            <v>114</v>
          </cell>
          <cell r="Y631">
            <v>18</v>
          </cell>
          <cell r="Z631">
            <v>0</v>
          </cell>
        </row>
        <row r="632">
          <cell r="A632">
            <v>9222218</v>
          </cell>
          <cell r="B632" t="str">
            <v>龙拳第2段</v>
          </cell>
          <cell r="C632" t="str">
            <v>龙拳第2段</v>
          </cell>
          <cell r="D632">
            <v>2</v>
          </cell>
          <cell r="E632">
            <v>31</v>
          </cell>
          <cell r="F632" t="str">
            <v>第18级，共造成169.3%点伤害</v>
          </cell>
          <cell r="G632">
            <v>2</v>
          </cell>
          <cell r="H632">
            <v>2</v>
          </cell>
          <cell r="I632">
            <v>18</v>
          </cell>
          <cell r="J632">
            <v>2</v>
          </cell>
          <cell r="K632">
            <v>169.30434782608697</v>
          </cell>
          <cell r="L632">
            <v>0</v>
          </cell>
          <cell r="M632">
            <v>6560</v>
          </cell>
          <cell r="N632">
            <v>6756</v>
          </cell>
          <cell r="O632">
            <v>2</v>
          </cell>
          <cell r="P632">
            <v>1</v>
          </cell>
          <cell r="Q632">
            <v>1</v>
          </cell>
          <cell r="R632">
            <v>4</v>
          </cell>
          <cell r="S632">
            <v>50</v>
          </cell>
          <cell r="T632">
            <v>143.47826086956522</v>
          </cell>
          <cell r="U632">
            <v>563</v>
          </cell>
          <cell r="V632">
            <v>143.47826086956522</v>
          </cell>
          <cell r="W632">
            <v>12</v>
          </cell>
          <cell r="X632">
            <v>126</v>
          </cell>
          <cell r="Y632">
            <v>18</v>
          </cell>
          <cell r="Z632">
            <v>5</v>
          </cell>
        </row>
        <row r="633">
          <cell r="A633">
            <v>9222219</v>
          </cell>
          <cell r="B633" t="str">
            <v>龙拳第2段</v>
          </cell>
          <cell r="C633" t="str">
            <v>龙拳第2段</v>
          </cell>
          <cell r="D633">
            <v>2</v>
          </cell>
          <cell r="E633">
            <v>33</v>
          </cell>
          <cell r="F633" t="str">
            <v>第19级，共造成170.7%点伤害</v>
          </cell>
          <cell r="G633">
            <v>2</v>
          </cell>
          <cell r="H633">
            <v>2</v>
          </cell>
          <cell r="I633">
            <v>19</v>
          </cell>
          <cell r="J633">
            <v>2</v>
          </cell>
          <cell r="K633">
            <v>170.73913043478262</v>
          </cell>
          <cell r="L633">
            <v>0</v>
          </cell>
          <cell r="M633">
            <v>6480</v>
          </cell>
          <cell r="N633">
            <v>8463</v>
          </cell>
          <cell r="O633">
            <v>2</v>
          </cell>
          <cell r="P633">
            <v>1</v>
          </cell>
          <cell r="Q633">
            <v>1</v>
          </cell>
          <cell r="R633">
            <v>4</v>
          </cell>
          <cell r="S633">
            <v>50</v>
          </cell>
          <cell r="T633">
            <v>143.47826086956522</v>
          </cell>
          <cell r="U633">
            <v>651</v>
          </cell>
          <cell r="V633">
            <v>143.47826086956522</v>
          </cell>
          <cell r="W633">
            <v>13</v>
          </cell>
          <cell r="X633">
            <v>139</v>
          </cell>
          <cell r="Y633">
            <v>18</v>
          </cell>
          <cell r="Z633">
            <v>6</v>
          </cell>
        </row>
        <row r="634">
          <cell r="A634">
            <v>9222220</v>
          </cell>
          <cell r="B634" t="str">
            <v>龙拳第2段</v>
          </cell>
          <cell r="C634" t="str">
            <v>龙拳第2段</v>
          </cell>
          <cell r="D634">
            <v>2</v>
          </cell>
          <cell r="E634">
            <v>34</v>
          </cell>
          <cell r="F634" t="str">
            <v>第20级，共造成172.2%点伤害</v>
          </cell>
          <cell r="G634">
            <v>2</v>
          </cell>
          <cell r="H634">
            <v>2</v>
          </cell>
          <cell r="I634">
            <v>20</v>
          </cell>
          <cell r="J634">
            <v>2</v>
          </cell>
          <cell r="K634">
            <v>172.17391304347825</v>
          </cell>
          <cell r="L634">
            <v>0</v>
          </cell>
          <cell r="M634">
            <v>6400</v>
          </cell>
          <cell r="N634">
            <v>9048</v>
          </cell>
          <cell r="O634">
            <v>2</v>
          </cell>
          <cell r="P634">
            <v>1</v>
          </cell>
          <cell r="Q634">
            <v>1</v>
          </cell>
          <cell r="R634">
            <v>4</v>
          </cell>
          <cell r="S634">
            <v>50</v>
          </cell>
          <cell r="T634">
            <v>143.47826086956522</v>
          </cell>
          <cell r="U634">
            <v>696</v>
          </cell>
          <cell r="V634">
            <v>143.47826086956522</v>
          </cell>
          <cell r="W634">
            <v>13</v>
          </cell>
          <cell r="X634">
            <v>152</v>
          </cell>
          <cell r="Y634">
            <v>18</v>
          </cell>
          <cell r="Z634">
            <v>6</v>
          </cell>
        </row>
        <row r="635">
          <cell r="A635">
            <v>9222221</v>
          </cell>
          <cell r="B635" t="str">
            <v>龙拳第2段</v>
          </cell>
          <cell r="C635" t="str">
            <v>龙拳第2段</v>
          </cell>
          <cell r="D635">
            <v>2</v>
          </cell>
          <cell r="E635">
            <v>36</v>
          </cell>
          <cell r="F635" t="str">
            <v>第21级，共造成173.6%点伤害</v>
          </cell>
          <cell r="G635">
            <v>2</v>
          </cell>
          <cell r="H635">
            <v>2</v>
          </cell>
          <cell r="I635">
            <v>21</v>
          </cell>
          <cell r="J635">
            <v>2</v>
          </cell>
          <cell r="K635">
            <v>173.60869565217391</v>
          </cell>
          <cell r="L635">
            <v>0</v>
          </cell>
          <cell r="M635">
            <v>6320</v>
          </cell>
          <cell r="N635">
            <v>11074</v>
          </cell>
          <cell r="O635">
            <v>2</v>
          </cell>
          <cell r="P635">
            <v>1</v>
          </cell>
          <cell r="Q635">
            <v>1</v>
          </cell>
          <cell r="R635">
            <v>4</v>
          </cell>
          <cell r="S635">
            <v>50</v>
          </cell>
          <cell r="T635">
            <v>143.47826086956522</v>
          </cell>
          <cell r="U635">
            <v>791</v>
          </cell>
          <cell r="V635">
            <v>143.47826086956522</v>
          </cell>
          <cell r="W635">
            <v>14</v>
          </cell>
          <cell r="X635">
            <v>166</v>
          </cell>
          <cell r="Y635">
            <v>18</v>
          </cell>
          <cell r="Z635">
            <v>6</v>
          </cell>
        </row>
        <row r="636">
          <cell r="A636">
            <v>9222222</v>
          </cell>
          <cell r="B636" t="str">
            <v>龙拳第2段</v>
          </cell>
          <cell r="C636" t="str">
            <v>龙拳第2段</v>
          </cell>
          <cell r="D636">
            <v>2</v>
          </cell>
          <cell r="E636">
            <v>37</v>
          </cell>
          <cell r="F636" t="str">
            <v>第22级，共造成175%点伤害</v>
          </cell>
          <cell r="G636">
            <v>2</v>
          </cell>
          <cell r="H636">
            <v>2</v>
          </cell>
          <cell r="I636">
            <v>22</v>
          </cell>
          <cell r="J636">
            <v>2</v>
          </cell>
          <cell r="K636">
            <v>175.04347826086956</v>
          </cell>
          <cell r="L636">
            <v>0</v>
          </cell>
          <cell r="M636">
            <v>6240</v>
          </cell>
          <cell r="N636">
            <v>12615</v>
          </cell>
          <cell r="O636">
            <v>2</v>
          </cell>
          <cell r="P636">
            <v>1</v>
          </cell>
          <cell r="Q636">
            <v>1</v>
          </cell>
          <cell r="R636">
            <v>4</v>
          </cell>
          <cell r="S636">
            <v>50</v>
          </cell>
          <cell r="T636">
            <v>143.47826086956522</v>
          </cell>
          <cell r="U636">
            <v>841</v>
          </cell>
          <cell r="V636">
            <v>143.47826086956522</v>
          </cell>
          <cell r="W636">
            <v>15</v>
          </cell>
          <cell r="X636">
            <v>181</v>
          </cell>
          <cell r="Y636">
            <v>18</v>
          </cell>
          <cell r="Z636">
            <v>6</v>
          </cell>
        </row>
        <row r="637">
          <cell r="A637">
            <v>9222223</v>
          </cell>
          <cell r="B637" t="str">
            <v>龙拳第2段</v>
          </cell>
          <cell r="C637" t="str">
            <v>龙拳第2段</v>
          </cell>
          <cell r="D637">
            <v>2</v>
          </cell>
          <cell r="E637">
            <v>39</v>
          </cell>
          <cell r="F637" t="str">
            <v>第23级，共造成176.5%点伤害</v>
          </cell>
          <cell r="G637">
            <v>2</v>
          </cell>
          <cell r="H637">
            <v>2</v>
          </cell>
          <cell r="I637">
            <v>23</v>
          </cell>
          <cell r="J637">
            <v>2</v>
          </cell>
          <cell r="K637">
            <v>176.47826086956522</v>
          </cell>
          <cell r="L637">
            <v>0</v>
          </cell>
          <cell r="M637">
            <v>6160</v>
          </cell>
          <cell r="N637">
            <v>15104</v>
          </cell>
          <cell r="O637">
            <v>2</v>
          </cell>
          <cell r="P637">
            <v>1</v>
          </cell>
          <cell r="Q637">
            <v>1</v>
          </cell>
          <cell r="R637">
            <v>4</v>
          </cell>
          <cell r="S637">
            <v>50</v>
          </cell>
          <cell r="T637">
            <v>143.47826086956522</v>
          </cell>
          <cell r="U637">
            <v>944</v>
          </cell>
          <cell r="V637">
            <v>143.47826086956522</v>
          </cell>
          <cell r="W637">
            <v>16</v>
          </cell>
          <cell r="X637">
            <v>197</v>
          </cell>
          <cell r="Y637">
            <v>18</v>
          </cell>
          <cell r="Z637">
            <v>7</v>
          </cell>
        </row>
        <row r="638">
          <cell r="A638">
            <v>9222224</v>
          </cell>
          <cell r="B638" t="str">
            <v>龙拳第2段</v>
          </cell>
          <cell r="C638" t="str">
            <v>龙拳第2段</v>
          </cell>
          <cell r="D638">
            <v>2</v>
          </cell>
          <cell r="E638">
            <v>40</v>
          </cell>
          <cell r="F638" t="str">
            <v>第24级，共造成177.9%点伤害</v>
          </cell>
          <cell r="G638">
            <v>2</v>
          </cell>
          <cell r="H638">
            <v>2</v>
          </cell>
          <cell r="I638">
            <v>24</v>
          </cell>
          <cell r="J638">
            <v>2</v>
          </cell>
          <cell r="K638">
            <v>177.91304347826087</v>
          </cell>
          <cell r="L638">
            <v>0</v>
          </cell>
          <cell r="M638">
            <v>6080</v>
          </cell>
          <cell r="N638">
            <v>16966</v>
          </cell>
          <cell r="O638">
            <v>2</v>
          </cell>
          <cell r="P638">
            <v>1</v>
          </cell>
          <cell r="Q638">
            <v>1</v>
          </cell>
          <cell r="R638">
            <v>4</v>
          </cell>
          <cell r="S638">
            <v>50</v>
          </cell>
          <cell r="T638">
            <v>143.47826086956522</v>
          </cell>
          <cell r="U638">
            <v>998</v>
          </cell>
          <cell r="V638">
            <v>143.47826086956522</v>
          </cell>
          <cell r="W638">
            <v>17</v>
          </cell>
          <cell r="X638">
            <v>214</v>
          </cell>
          <cell r="Y638">
            <v>18</v>
          </cell>
          <cell r="Z638">
            <v>7</v>
          </cell>
        </row>
        <row r="639">
          <cell r="A639">
            <v>9222225</v>
          </cell>
          <cell r="B639" t="str">
            <v>龙拳第2段</v>
          </cell>
          <cell r="C639" t="str">
            <v>龙拳第2段</v>
          </cell>
          <cell r="D639">
            <v>2</v>
          </cell>
          <cell r="E639">
            <v>42</v>
          </cell>
          <cell r="F639" t="str">
            <v>第25级，共造成179.3%点伤害</v>
          </cell>
          <cell r="G639">
            <v>2</v>
          </cell>
          <cell r="H639">
            <v>2</v>
          </cell>
          <cell r="I639">
            <v>25</v>
          </cell>
          <cell r="J639">
            <v>2</v>
          </cell>
          <cell r="K639">
            <v>179.34782608695653</v>
          </cell>
          <cell r="L639">
            <v>0</v>
          </cell>
          <cell r="M639">
            <v>6000</v>
          </cell>
          <cell r="N639">
            <v>21090</v>
          </cell>
          <cell r="O639">
            <v>2</v>
          </cell>
          <cell r="P639">
            <v>1</v>
          </cell>
          <cell r="Q639">
            <v>1</v>
          </cell>
          <cell r="R639">
            <v>4</v>
          </cell>
          <cell r="S639">
            <v>50</v>
          </cell>
          <cell r="T639">
            <v>143.47826086956522</v>
          </cell>
          <cell r="U639">
            <v>1110</v>
          </cell>
          <cell r="V639">
            <v>143.47826086956522</v>
          </cell>
          <cell r="W639">
            <v>19</v>
          </cell>
          <cell r="X639">
            <v>233</v>
          </cell>
          <cell r="Y639">
            <v>18</v>
          </cell>
          <cell r="Z639">
            <v>8</v>
          </cell>
        </row>
        <row r="640">
          <cell r="A640">
            <v>9222226</v>
          </cell>
          <cell r="B640" t="str">
            <v>龙拳第2段</v>
          </cell>
          <cell r="C640" t="str">
            <v>龙拳第2段</v>
          </cell>
          <cell r="D640">
            <v>2</v>
          </cell>
          <cell r="E640">
            <v>44</v>
          </cell>
          <cell r="F640" t="str">
            <v>第26级，共造成180.8%点伤害</v>
          </cell>
          <cell r="G640">
            <v>2</v>
          </cell>
          <cell r="H640">
            <v>2</v>
          </cell>
          <cell r="I640">
            <v>26</v>
          </cell>
          <cell r="J640">
            <v>2</v>
          </cell>
          <cell r="K640">
            <v>180.78260869565219</v>
          </cell>
          <cell r="L640">
            <v>0</v>
          </cell>
          <cell r="M640">
            <v>5920</v>
          </cell>
          <cell r="N640">
            <v>24520</v>
          </cell>
          <cell r="O640">
            <v>2</v>
          </cell>
          <cell r="P640">
            <v>1</v>
          </cell>
          <cell r="Q640">
            <v>1</v>
          </cell>
          <cell r="R640">
            <v>4</v>
          </cell>
          <cell r="S640">
            <v>50</v>
          </cell>
          <cell r="T640">
            <v>143.47826086956522</v>
          </cell>
          <cell r="U640">
            <v>1226</v>
          </cell>
          <cell r="V640">
            <v>143.47826086956522</v>
          </cell>
          <cell r="W640">
            <v>20</v>
          </cell>
          <cell r="X640">
            <v>253</v>
          </cell>
          <cell r="Y640">
            <v>18</v>
          </cell>
          <cell r="Z640">
            <v>8</v>
          </cell>
        </row>
        <row r="641">
          <cell r="A641">
            <v>9222227</v>
          </cell>
          <cell r="B641" t="str">
            <v>龙拳第2段</v>
          </cell>
          <cell r="C641" t="str">
            <v>龙拳第2段</v>
          </cell>
          <cell r="D641">
            <v>2</v>
          </cell>
          <cell r="E641">
            <v>45</v>
          </cell>
          <cell r="F641" t="str">
            <v>第27级，共造成182.2%点伤害</v>
          </cell>
          <cell r="G641">
            <v>2</v>
          </cell>
          <cell r="H641">
            <v>2</v>
          </cell>
          <cell r="I641">
            <v>27</v>
          </cell>
          <cell r="J641">
            <v>2</v>
          </cell>
          <cell r="K641">
            <v>182.21739130434781</v>
          </cell>
          <cell r="L641">
            <v>0</v>
          </cell>
          <cell r="M641">
            <v>5840</v>
          </cell>
          <cell r="N641">
            <v>27027</v>
          </cell>
          <cell r="O641">
            <v>2</v>
          </cell>
          <cell r="P641">
            <v>1</v>
          </cell>
          <cell r="Q641">
            <v>1</v>
          </cell>
          <cell r="R641">
            <v>4</v>
          </cell>
          <cell r="S641">
            <v>50</v>
          </cell>
          <cell r="T641">
            <v>143.47826086956522</v>
          </cell>
          <cell r="U641">
            <v>1287</v>
          </cell>
          <cell r="V641">
            <v>143.47826086956522</v>
          </cell>
          <cell r="W641">
            <v>21</v>
          </cell>
          <cell r="X641">
            <v>274</v>
          </cell>
          <cell r="Y641">
            <v>18</v>
          </cell>
          <cell r="Z641">
            <v>9</v>
          </cell>
        </row>
        <row r="642">
          <cell r="A642">
            <v>9222228</v>
          </cell>
          <cell r="B642" t="str">
            <v>龙拳第2段</v>
          </cell>
          <cell r="C642" t="str">
            <v>龙拳第2段</v>
          </cell>
          <cell r="D642">
            <v>2</v>
          </cell>
          <cell r="E642">
            <v>47</v>
          </cell>
          <cell r="F642" t="str">
            <v>第28级，共造成183.7%点伤害</v>
          </cell>
          <cell r="G642">
            <v>2</v>
          </cell>
          <cell r="H642">
            <v>2</v>
          </cell>
          <cell r="I642">
            <v>28</v>
          </cell>
          <cell r="J642">
            <v>2</v>
          </cell>
          <cell r="K642">
            <v>183.65217391304347</v>
          </cell>
          <cell r="L642">
            <v>0</v>
          </cell>
          <cell r="M642">
            <v>5760</v>
          </cell>
          <cell r="N642">
            <v>32476</v>
          </cell>
          <cell r="O642">
            <v>2</v>
          </cell>
          <cell r="P642">
            <v>1</v>
          </cell>
          <cell r="Q642">
            <v>1</v>
          </cell>
          <cell r="R642">
            <v>4</v>
          </cell>
          <cell r="S642">
            <v>50</v>
          </cell>
          <cell r="T642">
            <v>143.47826086956522</v>
          </cell>
          <cell r="U642">
            <v>1412</v>
          </cell>
          <cell r="V642">
            <v>143.47826086956522</v>
          </cell>
          <cell r="W642">
            <v>23</v>
          </cell>
          <cell r="X642">
            <v>297</v>
          </cell>
          <cell r="Y642">
            <v>18</v>
          </cell>
          <cell r="Z642">
            <v>10</v>
          </cell>
        </row>
        <row r="643">
          <cell r="A643">
            <v>9222229</v>
          </cell>
          <cell r="B643" t="str">
            <v>龙拳第2段</v>
          </cell>
          <cell r="C643" t="str">
            <v>龙拳第2段</v>
          </cell>
          <cell r="D643">
            <v>2</v>
          </cell>
          <cell r="E643">
            <v>48</v>
          </cell>
          <cell r="F643" t="str">
            <v>第29级，共造成185.1%点伤害</v>
          </cell>
          <cell r="G643">
            <v>2</v>
          </cell>
          <cell r="H643">
            <v>2</v>
          </cell>
          <cell r="I643">
            <v>29</v>
          </cell>
          <cell r="J643">
            <v>2</v>
          </cell>
          <cell r="K643">
            <v>185.08695652173913</v>
          </cell>
          <cell r="L643">
            <v>0</v>
          </cell>
          <cell r="M643">
            <v>5680</v>
          </cell>
          <cell r="N643">
            <v>36925</v>
          </cell>
          <cell r="O643">
            <v>2</v>
          </cell>
          <cell r="P643">
            <v>1</v>
          </cell>
          <cell r="Q643">
            <v>1</v>
          </cell>
          <cell r="R643">
            <v>4</v>
          </cell>
          <cell r="S643">
            <v>50</v>
          </cell>
          <cell r="T643">
            <v>143.47826086956522</v>
          </cell>
          <cell r="U643">
            <v>1477</v>
          </cell>
          <cell r="V643">
            <v>143.47826086956522</v>
          </cell>
          <cell r="W643">
            <v>25</v>
          </cell>
          <cell r="X643">
            <v>322</v>
          </cell>
          <cell r="Y643">
            <v>18</v>
          </cell>
          <cell r="Z643">
            <v>10</v>
          </cell>
        </row>
        <row r="644">
          <cell r="A644">
            <v>9222230</v>
          </cell>
          <cell r="B644" t="str">
            <v>龙拳第2段</v>
          </cell>
          <cell r="C644" t="str">
            <v>龙拳第2段</v>
          </cell>
          <cell r="D644">
            <v>2</v>
          </cell>
          <cell r="E644">
            <v>50</v>
          </cell>
          <cell r="F644" t="str">
            <v>第30级，共造成186.5%点伤害</v>
          </cell>
          <cell r="G644">
            <v>2</v>
          </cell>
          <cell r="H644">
            <v>2</v>
          </cell>
          <cell r="I644">
            <v>30</v>
          </cell>
          <cell r="J644">
            <v>2</v>
          </cell>
          <cell r="K644">
            <v>186.52173913043478</v>
          </cell>
          <cell r="L644">
            <v>0</v>
          </cell>
          <cell r="M644">
            <v>5600</v>
          </cell>
          <cell r="N644">
            <v>41860</v>
          </cell>
          <cell r="O644">
            <v>2</v>
          </cell>
          <cell r="P644">
            <v>1</v>
          </cell>
          <cell r="Q644">
            <v>1</v>
          </cell>
          <cell r="R644">
            <v>4</v>
          </cell>
          <cell r="S644">
            <v>50</v>
          </cell>
          <cell r="T644">
            <v>143.47826086956522</v>
          </cell>
          <cell r="U644">
            <v>1610</v>
          </cell>
          <cell r="V644">
            <v>143.47826086956522</v>
          </cell>
          <cell r="W644">
            <v>26</v>
          </cell>
          <cell r="X644">
            <v>348</v>
          </cell>
          <cell r="Y644">
            <v>18</v>
          </cell>
          <cell r="Z644">
            <v>11</v>
          </cell>
        </row>
        <row r="645">
          <cell r="A645">
            <v>9222231</v>
          </cell>
          <cell r="B645" t="str">
            <v>龙拳第2段</v>
          </cell>
          <cell r="C645" t="str">
            <v>龙拳第2段</v>
          </cell>
          <cell r="D645">
            <v>2</v>
          </cell>
          <cell r="E645">
            <v>51</v>
          </cell>
          <cell r="F645" t="str">
            <v>第31级，共造成188%点伤害</v>
          </cell>
          <cell r="G645">
            <v>2</v>
          </cell>
          <cell r="H645">
            <v>2</v>
          </cell>
          <cell r="I645">
            <v>31</v>
          </cell>
          <cell r="J645">
            <v>2</v>
          </cell>
          <cell r="K645">
            <v>187.95652173913044</v>
          </cell>
          <cell r="L645">
            <v>0</v>
          </cell>
          <cell r="M645">
            <v>5520</v>
          </cell>
          <cell r="N645">
            <v>47012</v>
          </cell>
          <cell r="O645">
            <v>2</v>
          </cell>
          <cell r="P645">
            <v>1</v>
          </cell>
          <cell r="Q645">
            <v>1</v>
          </cell>
          <cell r="R645">
            <v>4</v>
          </cell>
          <cell r="S645">
            <v>50</v>
          </cell>
          <cell r="T645">
            <v>143.47826086956522</v>
          </cell>
          <cell r="U645">
            <v>1679</v>
          </cell>
          <cell r="V645">
            <v>143.47826086956522</v>
          </cell>
          <cell r="W645">
            <v>28</v>
          </cell>
          <cell r="X645">
            <v>376</v>
          </cell>
          <cell r="Y645">
            <v>18</v>
          </cell>
          <cell r="Z645">
            <v>12</v>
          </cell>
        </row>
        <row r="646">
          <cell r="A646">
            <v>9222232</v>
          </cell>
          <cell r="B646" t="str">
            <v>龙拳第2段</v>
          </cell>
          <cell r="C646" t="str">
            <v>龙拳第2段</v>
          </cell>
          <cell r="D646">
            <v>2</v>
          </cell>
          <cell r="E646">
            <v>53</v>
          </cell>
          <cell r="F646" t="str">
            <v>第32级，共造成189.4%点伤害</v>
          </cell>
          <cell r="G646">
            <v>2</v>
          </cell>
          <cell r="H646">
            <v>2</v>
          </cell>
          <cell r="I646">
            <v>32</v>
          </cell>
          <cell r="J646">
            <v>2</v>
          </cell>
          <cell r="K646">
            <v>189.39130434782609</v>
          </cell>
          <cell r="L646">
            <v>0</v>
          </cell>
          <cell r="M646">
            <v>5440</v>
          </cell>
          <cell r="N646">
            <v>54600</v>
          </cell>
          <cell r="O646">
            <v>2</v>
          </cell>
          <cell r="P646">
            <v>1</v>
          </cell>
          <cell r="Q646">
            <v>1</v>
          </cell>
          <cell r="R646">
            <v>4</v>
          </cell>
          <cell r="S646">
            <v>50</v>
          </cell>
          <cell r="T646">
            <v>143.47826086956522</v>
          </cell>
          <cell r="U646">
            <v>1820</v>
          </cell>
          <cell r="V646">
            <v>143.47826086956522</v>
          </cell>
          <cell r="W646">
            <v>30</v>
          </cell>
          <cell r="X646">
            <v>406</v>
          </cell>
          <cell r="Y646">
            <v>18</v>
          </cell>
          <cell r="Z646">
            <v>12</v>
          </cell>
        </row>
        <row r="647">
          <cell r="A647">
            <v>9222233</v>
          </cell>
          <cell r="B647" t="str">
            <v>龙拳第2段</v>
          </cell>
          <cell r="C647" t="str">
            <v>龙拳第2段</v>
          </cell>
          <cell r="D647">
            <v>2</v>
          </cell>
          <cell r="E647">
            <v>54</v>
          </cell>
          <cell r="F647" t="str">
            <v>第33级，共造成190.8%点伤害</v>
          </cell>
          <cell r="G647">
            <v>2</v>
          </cell>
          <cell r="H647">
            <v>2</v>
          </cell>
          <cell r="I647">
            <v>33</v>
          </cell>
          <cell r="J647">
            <v>2</v>
          </cell>
          <cell r="K647">
            <v>190.82608695652175</v>
          </cell>
          <cell r="L647">
            <v>0</v>
          </cell>
          <cell r="M647">
            <v>5360</v>
          </cell>
          <cell r="N647">
            <v>60576</v>
          </cell>
          <cell r="O647">
            <v>2</v>
          </cell>
          <cell r="P647">
            <v>1</v>
          </cell>
          <cell r="Q647">
            <v>1</v>
          </cell>
          <cell r="R647">
            <v>4</v>
          </cell>
          <cell r="S647">
            <v>50</v>
          </cell>
          <cell r="T647">
            <v>143.47826086956522</v>
          </cell>
          <cell r="U647">
            <v>1893</v>
          </cell>
          <cell r="V647">
            <v>143.47826086956522</v>
          </cell>
          <cell r="W647">
            <v>32</v>
          </cell>
          <cell r="X647">
            <v>438</v>
          </cell>
          <cell r="Y647">
            <v>18</v>
          </cell>
          <cell r="Z647">
            <v>13</v>
          </cell>
        </row>
        <row r="648">
          <cell r="A648">
            <v>9222234</v>
          </cell>
          <cell r="B648" t="str">
            <v>龙拳第2段</v>
          </cell>
          <cell r="C648" t="str">
            <v>龙拳第2段</v>
          </cell>
          <cell r="D648">
            <v>2</v>
          </cell>
          <cell r="E648">
            <v>56</v>
          </cell>
          <cell r="F648" t="str">
            <v>第34级，共造成192.3%点伤害</v>
          </cell>
          <cell r="G648">
            <v>2</v>
          </cell>
          <cell r="H648">
            <v>2</v>
          </cell>
          <cell r="I648">
            <v>34</v>
          </cell>
          <cell r="J648">
            <v>2</v>
          </cell>
          <cell r="K648">
            <v>192.26086956521738</v>
          </cell>
          <cell r="L648">
            <v>0</v>
          </cell>
          <cell r="M648">
            <v>5280</v>
          </cell>
          <cell r="N648">
            <v>69428</v>
          </cell>
          <cell r="O648">
            <v>2</v>
          </cell>
          <cell r="P648">
            <v>1</v>
          </cell>
          <cell r="Q648">
            <v>1</v>
          </cell>
          <cell r="R648">
            <v>4</v>
          </cell>
          <cell r="S648">
            <v>50</v>
          </cell>
          <cell r="T648">
            <v>143.47826086956522</v>
          </cell>
          <cell r="U648">
            <v>2042</v>
          </cell>
          <cell r="V648">
            <v>143.47826086956522</v>
          </cell>
          <cell r="W648">
            <v>34</v>
          </cell>
          <cell r="X648">
            <v>472</v>
          </cell>
          <cell r="Y648">
            <v>18</v>
          </cell>
          <cell r="Z648">
            <v>14</v>
          </cell>
        </row>
        <row r="649">
          <cell r="A649">
            <v>9222235</v>
          </cell>
          <cell r="B649" t="str">
            <v>龙拳第2段</v>
          </cell>
          <cell r="C649" t="str">
            <v>龙拳第2段</v>
          </cell>
          <cell r="D649">
            <v>2</v>
          </cell>
          <cell r="E649">
            <v>57</v>
          </cell>
          <cell r="F649" t="str">
            <v>第35级，共造成193.7%点伤害</v>
          </cell>
          <cell r="G649">
            <v>2</v>
          </cell>
          <cell r="H649">
            <v>2</v>
          </cell>
          <cell r="I649">
            <v>35</v>
          </cell>
          <cell r="J649">
            <v>2</v>
          </cell>
          <cell r="K649">
            <v>193.69565217391303</v>
          </cell>
          <cell r="L649">
            <v>0</v>
          </cell>
          <cell r="M649">
            <v>5200</v>
          </cell>
          <cell r="N649">
            <v>76284</v>
          </cell>
          <cell r="O649">
            <v>2</v>
          </cell>
          <cell r="P649">
            <v>1</v>
          </cell>
          <cell r="Q649">
            <v>1</v>
          </cell>
          <cell r="R649">
            <v>4</v>
          </cell>
          <cell r="S649">
            <v>50</v>
          </cell>
          <cell r="T649">
            <v>143.47826086956522</v>
          </cell>
          <cell r="U649">
            <v>2119</v>
          </cell>
          <cell r="V649">
            <v>143.47826086956522</v>
          </cell>
          <cell r="W649">
            <v>36</v>
          </cell>
          <cell r="X649">
            <v>508</v>
          </cell>
          <cell r="Y649">
            <v>18</v>
          </cell>
          <cell r="Z649">
            <v>15</v>
          </cell>
        </row>
        <row r="650">
          <cell r="A650">
            <v>9222236</v>
          </cell>
          <cell r="B650" t="str">
            <v>龙拳第2段</v>
          </cell>
          <cell r="C650" t="str">
            <v>龙拳第2段</v>
          </cell>
          <cell r="D650">
            <v>2</v>
          </cell>
          <cell r="E650">
            <v>59</v>
          </cell>
          <cell r="F650" t="str">
            <v>第36级，共造成195.1%点伤害</v>
          </cell>
          <cell r="G650">
            <v>2</v>
          </cell>
          <cell r="H650">
            <v>2</v>
          </cell>
          <cell r="I650">
            <v>36</v>
          </cell>
          <cell r="J650">
            <v>2</v>
          </cell>
          <cell r="K650">
            <v>195.13043478260869</v>
          </cell>
          <cell r="L650">
            <v>0</v>
          </cell>
          <cell r="M650">
            <v>5120</v>
          </cell>
          <cell r="N650">
            <v>88803</v>
          </cell>
          <cell r="O650">
            <v>2</v>
          </cell>
          <cell r="P650">
            <v>1</v>
          </cell>
          <cell r="Q650">
            <v>1</v>
          </cell>
          <cell r="R650">
            <v>4</v>
          </cell>
          <cell r="S650">
            <v>50</v>
          </cell>
          <cell r="T650">
            <v>143.47826086956522</v>
          </cell>
          <cell r="U650">
            <v>2277</v>
          </cell>
          <cell r="V650">
            <v>143.47826086956522</v>
          </cell>
          <cell r="W650">
            <v>39</v>
          </cell>
          <cell r="X650">
            <v>547</v>
          </cell>
          <cell r="Y650">
            <v>18</v>
          </cell>
          <cell r="Z650">
            <v>16</v>
          </cell>
        </row>
        <row r="651">
          <cell r="A651">
            <v>9222237</v>
          </cell>
          <cell r="B651" t="str">
            <v>龙拳第2段</v>
          </cell>
          <cell r="C651" t="str">
            <v>龙拳第2段</v>
          </cell>
          <cell r="D651">
            <v>2</v>
          </cell>
          <cell r="E651">
            <v>60</v>
          </cell>
          <cell r="F651" t="str">
            <v>第37级，共造成196.6%点伤害</v>
          </cell>
          <cell r="G651">
            <v>2</v>
          </cell>
          <cell r="H651">
            <v>2</v>
          </cell>
          <cell r="I651">
            <v>37</v>
          </cell>
          <cell r="J651">
            <v>2</v>
          </cell>
          <cell r="K651">
            <v>196.56521739130434</v>
          </cell>
          <cell r="L651">
            <v>0</v>
          </cell>
          <cell r="M651">
            <v>5040</v>
          </cell>
          <cell r="N651">
            <v>99036</v>
          </cell>
          <cell r="O651">
            <v>2</v>
          </cell>
          <cell r="P651">
            <v>1</v>
          </cell>
          <cell r="Q651">
            <v>1</v>
          </cell>
          <cell r="R651">
            <v>4</v>
          </cell>
          <cell r="S651">
            <v>50</v>
          </cell>
          <cell r="T651">
            <v>143.47826086956522</v>
          </cell>
          <cell r="U651">
            <v>2358</v>
          </cell>
          <cell r="V651">
            <v>143.47826086956522</v>
          </cell>
          <cell r="W651">
            <v>42</v>
          </cell>
          <cell r="X651">
            <v>589</v>
          </cell>
          <cell r="Y651">
            <v>18</v>
          </cell>
          <cell r="Z651">
            <v>17</v>
          </cell>
        </row>
        <row r="652">
          <cell r="A652">
            <v>9222238</v>
          </cell>
          <cell r="B652" t="str">
            <v>龙拳第2段</v>
          </cell>
          <cell r="C652" t="str">
            <v>龙拳第2段</v>
          </cell>
          <cell r="D652">
            <v>2</v>
          </cell>
          <cell r="E652">
            <v>62</v>
          </cell>
          <cell r="F652" t="str">
            <v>第38级，共造成198%点伤害</v>
          </cell>
          <cell r="G652">
            <v>2</v>
          </cell>
          <cell r="H652">
            <v>2</v>
          </cell>
          <cell r="I652">
            <v>38</v>
          </cell>
          <cell r="J652">
            <v>2</v>
          </cell>
          <cell r="K652">
            <v>198</v>
          </cell>
          <cell r="L652">
            <v>0</v>
          </cell>
          <cell r="M652">
            <v>4960</v>
          </cell>
          <cell r="N652">
            <v>113580</v>
          </cell>
          <cell r="O652">
            <v>2</v>
          </cell>
          <cell r="P652">
            <v>1</v>
          </cell>
          <cell r="Q652">
            <v>1</v>
          </cell>
          <cell r="R652">
            <v>4</v>
          </cell>
          <cell r="S652">
            <v>50</v>
          </cell>
          <cell r="T652">
            <v>143.47826086956522</v>
          </cell>
          <cell r="U652">
            <v>2524</v>
          </cell>
          <cell r="V652">
            <v>143.47826086956522</v>
          </cell>
          <cell r="W652">
            <v>45</v>
          </cell>
          <cell r="X652">
            <v>634</v>
          </cell>
          <cell r="Y652">
            <v>18</v>
          </cell>
          <cell r="Z652">
            <v>18</v>
          </cell>
        </row>
        <row r="653">
          <cell r="A653">
            <v>9222239</v>
          </cell>
          <cell r="B653" t="str">
            <v>龙拳第2段</v>
          </cell>
          <cell r="C653" t="str">
            <v>龙拳第2段</v>
          </cell>
          <cell r="D653">
            <v>2</v>
          </cell>
          <cell r="E653">
            <v>63</v>
          </cell>
          <cell r="F653" t="str">
            <v>第39级，共造成199.4%点伤害</v>
          </cell>
          <cell r="G653">
            <v>2</v>
          </cell>
          <cell r="H653">
            <v>2</v>
          </cell>
          <cell r="I653">
            <v>39</v>
          </cell>
          <cell r="J653">
            <v>2</v>
          </cell>
          <cell r="K653">
            <v>199.43478260869566</v>
          </cell>
          <cell r="L653">
            <v>0</v>
          </cell>
          <cell r="M653">
            <v>4880</v>
          </cell>
          <cell r="N653">
            <v>125232</v>
          </cell>
          <cell r="O653">
            <v>2</v>
          </cell>
          <cell r="P653">
            <v>1</v>
          </cell>
          <cell r="Q653">
            <v>1</v>
          </cell>
          <cell r="R653">
            <v>4</v>
          </cell>
          <cell r="S653">
            <v>50</v>
          </cell>
          <cell r="T653">
            <v>143.47826086956522</v>
          </cell>
          <cell r="U653">
            <v>2609</v>
          </cell>
          <cell r="V653">
            <v>143.47826086956522</v>
          </cell>
          <cell r="W653">
            <v>48</v>
          </cell>
          <cell r="X653">
            <v>682</v>
          </cell>
          <cell r="Y653">
            <v>18</v>
          </cell>
          <cell r="Z653">
            <v>20</v>
          </cell>
        </row>
        <row r="654">
          <cell r="A654">
            <v>9222240</v>
          </cell>
          <cell r="B654" t="str">
            <v>龙拳第2段</v>
          </cell>
          <cell r="C654" t="str">
            <v>龙拳第2段</v>
          </cell>
          <cell r="D654">
            <v>2</v>
          </cell>
          <cell r="E654">
            <v>65</v>
          </cell>
          <cell r="F654" t="str">
            <v>第40级，共造成200.9%点伤害</v>
          </cell>
          <cell r="G654">
            <v>2</v>
          </cell>
          <cell r="H654">
            <v>2</v>
          </cell>
          <cell r="I654">
            <v>40</v>
          </cell>
          <cell r="J654">
            <v>2</v>
          </cell>
          <cell r="K654">
            <v>200.86956521739131</v>
          </cell>
          <cell r="L654">
            <v>0</v>
          </cell>
          <cell r="M654">
            <v>4800</v>
          </cell>
          <cell r="N654">
            <v>141933</v>
          </cell>
          <cell r="O654">
            <v>2</v>
          </cell>
          <cell r="P654">
            <v>1</v>
          </cell>
          <cell r="Q654">
            <v>1</v>
          </cell>
          <cell r="R654">
            <v>4</v>
          </cell>
          <cell r="S654">
            <v>50</v>
          </cell>
          <cell r="T654">
            <v>143.47826086956522</v>
          </cell>
          <cell r="U654">
            <v>2783</v>
          </cell>
          <cell r="V654">
            <v>143.47826086956522</v>
          </cell>
          <cell r="W654">
            <v>51</v>
          </cell>
          <cell r="X654">
            <v>733</v>
          </cell>
          <cell r="Y654">
            <v>18</v>
          </cell>
          <cell r="Z654">
            <v>21</v>
          </cell>
        </row>
        <row r="655">
          <cell r="A655">
            <v>9222241</v>
          </cell>
          <cell r="B655" t="str">
            <v>龙拳第2段</v>
          </cell>
          <cell r="C655" t="str">
            <v>龙拳第2段</v>
          </cell>
          <cell r="D655">
            <v>2</v>
          </cell>
          <cell r="E655">
            <v>66</v>
          </cell>
          <cell r="F655" t="str">
            <v>第41级，共造成202.3%点伤害</v>
          </cell>
          <cell r="G655">
            <v>2</v>
          </cell>
          <cell r="H655">
            <v>2</v>
          </cell>
          <cell r="I655">
            <v>41</v>
          </cell>
          <cell r="J655">
            <v>2</v>
          </cell>
          <cell r="K655">
            <v>202.30434782608694</v>
          </cell>
          <cell r="L655">
            <v>0</v>
          </cell>
          <cell r="M655">
            <v>4720</v>
          </cell>
          <cell r="N655">
            <v>157960</v>
          </cell>
          <cell r="O655">
            <v>2</v>
          </cell>
          <cell r="P655">
            <v>1</v>
          </cell>
          <cell r="Q655">
            <v>1</v>
          </cell>
          <cell r="R655">
            <v>4</v>
          </cell>
          <cell r="S655">
            <v>50</v>
          </cell>
          <cell r="T655">
            <v>143.47826086956522</v>
          </cell>
          <cell r="U655">
            <v>2872</v>
          </cell>
          <cell r="V655">
            <v>143.47826086956522</v>
          </cell>
          <cell r="W655">
            <v>55</v>
          </cell>
          <cell r="X655">
            <v>788</v>
          </cell>
          <cell r="Y655">
            <v>18</v>
          </cell>
          <cell r="Z655">
            <v>22</v>
          </cell>
        </row>
        <row r="656">
          <cell r="A656">
            <v>9222242</v>
          </cell>
          <cell r="B656" t="str">
            <v>龙拳第2段</v>
          </cell>
          <cell r="C656" t="str">
            <v>龙拳第2段</v>
          </cell>
          <cell r="D656">
            <v>2</v>
          </cell>
          <cell r="E656">
            <v>68</v>
          </cell>
          <cell r="F656" t="str">
            <v>第42级，共造成203.7%点伤害</v>
          </cell>
          <cell r="G656">
            <v>2</v>
          </cell>
          <cell r="H656">
            <v>2</v>
          </cell>
          <cell r="I656">
            <v>42</v>
          </cell>
          <cell r="J656">
            <v>2</v>
          </cell>
          <cell r="K656">
            <v>203.73913043478262</v>
          </cell>
          <cell r="L656">
            <v>0</v>
          </cell>
          <cell r="M656">
            <v>4640</v>
          </cell>
          <cell r="N656">
            <v>177132</v>
          </cell>
          <cell r="O656">
            <v>2</v>
          </cell>
          <cell r="P656">
            <v>1</v>
          </cell>
          <cell r="Q656">
            <v>1</v>
          </cell>
          <cell r="R656">
            <v>4</v>
          </cell>
          <cell r="S656">
            <v>50</v>
          </cell>
          <cell r="T656">
            <v>143.47826086956522</v>
          </cell>
          <cell r="U656">
            <v>3054</v>
          </cell>
          <cell r="V656">
            <v>143.47826086956522</v>
          </cell>
          <cell r="W656">
            <v>58</v>
          </cell>
          <cell r="X656">
            <v>846</v>
          </cell>
          <cell r="Y656">
            <v>18</v>
          </cell>
          <cell r="Z656">
            <v>24</v>
          </cell>
        </row>
        <row r="657">
          <cell r="A657">
            <v>9222243</v>
          </cell>
          <cell r="B657" t="str">
            <v>龙拳第2段</v>
          </cell>
          <cell r="C657" t="str">
            <v>龙拳第2段</v>
          </cell>
          <cell r="D657">
            <v>2</v>
          </cell>
          <cell r="E657">
            <v>69</v>
          </cell>
          <cell r="F657" t="str">
            <v>第43级，共造成205.2%点伤害</v>
          </cell>
          <cell r="G657">
            <v>2</v>
          </cell>
          <cell r="H657">
            <v>2</v>
          </cell>
          <cell r="I657">
            <v>43</v>
          </cell>
          <cell r="J657">
            <v>2</v>
          </cell>
          <cell r="K657">
            <v>205.17391304347825</v>
          </cell>
          <cell r="L657">
            <v>0</v>
          </cell>
          <cell r="M657">
            <v>4560</v>
          </cell>
          <cell r="N657">
            <v>198261</v>
          </cell>
          <cell r="O657">
            <v>2</v>
          </cell>
          <cell r="P657">
            <v>1</v>
          </cell>
          <cell r="Q657">
            <v>1</v>
          </cell>
          <cell r="R657">
            <v>4</v>
          </cell>
          <cell r="S657">
            <v>50</v>
          </cell>
          <cell r="T657">
            <v>143.47826086956522</v>
          </cell>
          <cell r="U657">
            <v>3147</v>
          </cell>
          <cell r="V657">
            <v>143.47826086956522</v>
          </cell>
          <cell r="W657">
            <v>63</v>
          </cell>
          <cell r="X657">
            <v>909</v>
          </cell>
          <cell r="Y657">
            <v>18</v>
          </cell>
          <cell r="Z657">
            <v>26</v>
          </cell>
        </row>
        <row r="658">
          <cell r="A658">
            <v>9222244</v>
          </cell>
          <cell r="B658" t="str">
            <v>龙拳第2段</v>
          </cell>
          <cell r="C658" t="str">
            <v>龙拳第2段</v>
          </cell>
          <cell r="D658">
            <v>2</v>
          </cell>
          <cell r="E658">
            <v>71</v>
          </cell>
          <cell r="F658" t="str">
            <v>第44级，共造成206.6%点伤害</v>
          </cell>
          <cell r="G658">
            <v>2</v>
          </cell>
          <cell r="H658">
            <v>2</v>
          </cell>
          <cell r="I658">
            <v>44</v>
          </cell>
          <cell r="J658">
            <v>2</v>
          </cell>
          <cell r="K658">
            <v>206.60869565217391</v>
          </cell>
          <cell r="L658">
            <v>0</v>
          </cell>
          <cell r="M658">
            <v>4480</v>
          </cell>
          <cell r="N658">
            <v>223646</v>
          </cell>
          <cell r="O658">
            <v>2</v>
          </cell>
          <cell r="P658">
            <v>1</v>
          </cell>
          <cell r="Q658">
            <v>1</v>
          </cell>
          <cell r="R658">
            <v>4</v>
          </cell>
          <cell r="S658">
            <v>50</v>
          </cell>
          <cell r="T658">
            <v>143.47826086956522</v>
          </cell>
          <cell r="U658">
            <v>3338</v>
          </cell>
          <cell r="V658">
            <v>143.47826086956522</v>
          </cell>
          <cell r="W658">
            <v>67</v>
          </cell>
          <cell r="X658">
            <v>976</v>
          </cell>
          <cell r="Y658">
            <v>18</v>
          </cell>
          <cell r="Z658">
            <v>27</v>
          </cell>
        </row>
        <row r="659">
          <cell r="A659">
            <v>9222245</v>
          </cell>
          <cell r="B659" t="str">
            <v>龙拳第2段</v>
          </cell>
          <cell r="C659" t="str">
            <v>龙拳第2段</v>
          </cell>
          <cell r="D659">
            <v>2</v>
          </cell>
          <cell r="E659">
            <v>72</v>
          </cell>
          <cell r="F659" t="str">
            <v>第45级，共造成208%点伤害</v>
          </cell>
          <cell r="G659">
            <v>2</v>
          </cell>
          <cell r="H659">
            <v>2</v>
          </cell>
          <cell r="I659">
            <v>45</v>
          </cell>
          <cell r="J659">
            <v>2</v>
          </cell>
          <cell r="K659">
            <v>208.04347826086956</v>
          </cell>
          <cell r="L659">
            <v>0</v>
          </cell>
          <cell r="M659">
            <v>4400</v>
          </cell>
          <cell r="N659">
            <v>247320</v>
          </cell>
          <cell r="O659">
            <v>2</v>
          </cell>
          <cell r="P659">
            <v>1</v>
          </cell>
          <cell r="Q659">
            <v>1</v>
          </cell>
          <cell r="R659">
            <v>4</v>
          </cell>
          <cell r="S659">
            <v>50</v>
          </cell>
          <cell r="T659">
            <v>143.47826086956522</v>
          </cell>
          <cell r="U659">
            <v>3435</v>
          </cell>
          <cell r="V659">
            <v>143.47826086956522</v>
          </cell>
          <cell r="W659">
            <v>72</v>
          </cell>
          <cell r="X659">
            <v>1048</v>
          </cell>
          <cell r="Y659">
            <v>18</v>
          </cell>
          <cell r="Z659">
            <v>29</v>
          </cell>
        </row>
        <row r="660">
          <cell r="A660">
            <v>9222246</v>
          </cell>
          <cell r="B660" t="str">
            <v>龙拳第2段</v>
          </cell>
          <cell r="C660" t="str">
            <v>龙拳第2段</v>
          </cell>
          <cell r="D660">
            <v>2</v>
          </cell>
          <cell r="E660">
            <v>74</v>
          </cell>
          <cell r="F660" t="str">
            <v>第46级，共造成209.5%点伤害</v>
          </cell>
          <cell r="G660">
            <v>2</v>
          </cell>
          <cell r="H660">
            <v>2</v>
          </cell>
          <cell r="I660">
            <v>46</v>
          </cell>
          <cell r="J660">
            <v>2</v>
          </cell>
          <cell r="K660">
            <v>209.47826086956522</v>
          </cell>
          <cell r="L660">
            <v>0</v>
          </cell>
          <cell r="M660">
            <v>4320</v>
          </cell>
          <cell r="N660">
            <v>279818</v>
          </cell>
          <cell r="O660">
            <v>2</v>
          </cell>
          <cell r="P660">
            <v>1</v>
          </cell>
          <cell r="Q660">
            <v>1</v>
          </cell>
          <cell r="R660">
            <v>4</v>
          </cell>
          <cell r="S660">
            <v>50</v>
          </cell>
          <cell r="T660">
            <v>143.47826086956522</v>
          </cell>
          <cell r="U660">
            <v>3634</v>
          </cell>
          <cell r="V660">
            <v>143.47826086956522</v>
          </cell>
          <cell r="W660">
            <v>77</v>
          </cell>
          <cell r="X660">
            <v>1125</v>
          </cell>
          <cell r="Y660">
            <v>18</v>
          </cell>
          <cell r="Z660">
            <v>31</v>
          </cell>
        </row>
        <row r="661">
          <cell r="A661">
            <v>9222247</v>
          </cell>
          <cell r="B661" t="str">
            <v>龙拳第2段</v>
          </cell>
          <cell r="C661" t="str">
            <v>龙拳第2段</v>
          </cell>
          <cell r="D661">
            <v>2</v>
          </cell>
          <cell r="E661">
            <v>75</v>
          </cell>
          <cell r="F661" t="str">
            <v>第47级，共造成210.9%点伤害</v>
          </cell>
          <cell r="G661">
            <v>2</v>
          </cell>
          <cell r="H661">
            <v>2</v>
          </cell>
          <cell r="I661">
            <v>47</v>
          </cell>
          <cell r="J661">
            <v>2</v>
          </cell>
          <cell r="K661">
            <v>210.91304347826087</v>
          </cell>
          <cell r="L661">
            <v>0</v>
          </cell>
          <cell r="M661">
            <v>4240</v>
          </cell>
          <cell r="N661">
            <v>306270</v>
          </cell>
          <cell r="O661">
            <v>2</v>
          </cell>
          <cell r="P661">
            <v>1</v>
          </cell>
          <cell r="Q661">
            <v>1</v>
          </cell>
          <cell r="R661">
            <v>4</v>
          </cell>
          <cell r="S661">
            <v>50</v>
          </cell>
          <cell r="T661">
            <v>143.47826086956522</v>
          </cell>
          <cell r="U661">
            <v>3735</v>
          </cell>
          <cell r="V661">
            <v>143.47826086956522</v>
          </cell>
          <cell r="W661">
            <v>82</v>
          </cell>
          <cell r="X661">
            <v>1207</v>
          </cell>
          <cell r="Y661">
            <v>18</v>
          </cell>
          <cell r="Z661">
            <v>33</v>
          </cell>
        </row>
        <row r="662">
          <cell r="A662">
            <v>9222248</v>
          </cell>
          <cell r="B662" t="str">
            <v>龙拳第2段</v>
          </cell>
          <cell r="C662" t="str">
            <v>龙拳第2段</v>
          </cell>
          <cell r="D662">
            <v>2</v>
          </cell>
          <cell r="E662">
            <v>77</v>
          </cell>
          <cell r="F662" t="str">
            <v>第48级，共造成212.3%点伤害</v>
          </cell>
          <cell r="G662">
            <v>2</v>
          </cell>
          <cell r="H662">
            <v>2</v>
          </cell>
          <cell r="I662">
            <v>48</v>
          </cell>
          <cell r="J662">
            <v>2</v>
          </cell>
          <cell r="K662">
            <v>212.3478260869565</v>
          </cell>
          <cell r="L662">
            <v>0</v>
          </cell>
          <cell r="M662">
            <v>4160</v>
          </cell>
          <cell r="N662">
            <v>346896</v>
          </cell>
          <cell r="O662">
            <v>2</v>
          </cell>
          <cell r="P662">
            <v>1</v>
          </cell>
          <cell r="Q662">
            <v>1</v>
          </cell>
          <cell r="R662">
            <v>4</v>
          </cell>
          <cell r="S662">
            <v>50</v>
          </cell>
          <cell r="T662">
            <v>143.47826086956522</v>
          </cell>
          <cell r="U662">
            <v>3942</v>
          </cell>
          <cell r="V662">
            <v>143.47826086956522</v>
          </cell>
          <cell r="W662">
            <v>88</v>
          </cell>
          <cell r="X662">
            <v>1295</v>
          </cell>
          <cell r="Y662">
            <v>18</v>
          </cell>
          <cell r="Z662">
            <v>36</v>
          </cell>
        </row>
        <row r="663">
          <cell r="A663">
            <v>9222249</v>
          </cell>
          <cell r="B663" t="str">
            <v>龙拳第2段</v>
          </cell>
          <cell r="C663" t="str">
            <v>龙拳第2段</v>
          </cell>
          <cell r="D663">
            <v>2</v>
          </cell>
          <cell r="E663">
            <v>78</v>
          </cell>
          <cell r="F663" t="str">
            <v>第49级，共造成213.8%点伤害</v>
          </cell>
          <cell r="G663">
            <v>2</v>
          </cell>
          <cell r="H663">
            <v>2</v>
          </cell>
          <cell r="I663">
            <v>49</v>
          </cell>
          <cell r="J663">
            <v>2</v>
          </cell>
          <cell r="K663">
            <v>213.78260869565219</v>
          </cell>
          <cell r="L663">
            <v>0</v>
          </cell>
          <cell r="M663">
            <v>4080</v>
          </cell>
          <cell r="N663">
            <v>380418</v>
          </cell>
          <cell r="O663">
            <v>2</v>
          </cell>
          <cell r="P663">
            <v>1</v>
          </cell>
          <cell r="Q663">
            <v>1</v>
          </cell>
          <cell r="R663">
            <v>4</v>
          </cell>
          <cell r="S663">
            <v>50</v>
          </cell>
          <cell r="T663">
            <v>143.47826086956522</v>
          </cell>
          <cell r="U663">
            <v>4047</v>
          </cell>
          <cell r="V663">
            <v>143.47826086956522</v>
          </cell>
          <cell r="W663">
            <v>94</v>
          </cell>
          <cell r="X663">
            <v>1389</v>
          </cell>
          <cell r="Y663">
            <v>18</v>
          </cell>
          <cell r="Z663">
            <v>38</v>
          </cell>
        </row>
        <row r="664">
          <cell r="A664">
            <v>9222250</v>
          </cell>
          <cell r="B664" t="str">
            <v>龙拳第2段</v>
          </cell>
          <cell r="C664" t="str">
            <v>龙拳第2段</v>
          </cell>
          <cell r="D664">
            <v>2</v>
          </cell>
          <cell r="E664">
            <v>80</v>
          </cell>
          <cell r="F664" t="str">
            <v>第50级，共造成215.2%点伤害</v>
          </cell>
          <cell r="G664">
            <v>2</v>
          </cell>
          <cell r="H664">
            <v>2</v>
          </cell>
          <cell r="I664">
            <v>50</v>
          </cell>
          <cell r="J664">
            <v>2</v>
          </cell>
          <cell r="K664">
            <v>215.21739130434781</v>
          </cell>
          <cell r="L664">
            <v>0</v>
          </cell>
          <cell r="M664">
            <v>4000</v>
          </cell>
          <cell r="N664">
            <v>430462</v>
          </cell>
          <cell r="O664">
            <v>2</v>
          </cell>
          <cell r="P664">
            <v>1</v>
          </cell>
          <cell r="Q664">
            <v>1</v>
          </cell>
          <cell r="R664">
            <v>4</v>
          </cell>
          <cell r="S664">
            <v>50</v>
          </cell>
          <cell r="T664">
            <v>143.47826086956522</v>
          </cell>
          <cell r="U664">
            <v>4262</v>
          </cell>
          <cell r="V664">
            <v>143.47826086956522</v>
          </cell>
          <cell r="W664">
            <v>101</v>
          </cell>
          <cell r="X664">
            <v>1490</v>
          </cell>
          <cell r="Y664">
            <v>18</v>
          </cell>
          <cell r="Z664">
            <v>41</v>
          </cell>
        </row>
        <row r="665">
          <cell r="A665">
            <v>1</v>
          </cell>
          <cell r="B665" t="str">
            <v>龙拳</v>
          </cell>
          <cell r="C665" t="str">
            <v>龙拳第3段</v>
          </cell>
          <cell r="D665">
            <v>2</v>
          </cell>
          <cell r="E665">
            <v>4</v>
          </cell>
          <cell r="F665" t="str">
            <v>第0级，共造成143.5%点伤害</v>
          </cell>
          <cell r="G665">
            <v>0</v>
          </cell>
          <cell r="H665">
            <v>3</v>
          </cell>
          <cell r="I665">
            <v>0</v>
          </cell>
          <cell r="J665">
            <v>2</v>
          </cell>
          <cell r="K665">
            <v>143.47826086956522</v>
          </cell>
          <cell r="L665">
            <v>0</v>
          </cell>
          <cell r="M665">
            <v>8000</v>
          </cell>
          <cell r="N665">
            <v>0</v>
          </cell>
          <cell r="O665">
            <v>2</v>
          </cell>
          <cell r="P665">
            <v>1</v>
          </cell>
          <cell r="Q665">
            <v>1</v>
          </cell>
          <cell r="R665">
            <v>7</v>
          </cell>
          <cell r="S665">
            <v>50</v>
          </cell>
          <cell r="T665">
            <v>143.47826086956522</v>
          </cell>
          <cell r="U665">
            <v>68</v>
          </cell>
          <cell r="V665">
            <v>143.47826086956522</v>
          </cell>
          <cell r="W665">
            <v>0</v>
          </cell>
          <cell r="X665">
            <v>0</v>
          </cell>
          <cell r="Y665">
            <v>18</v>
          </cell>
          <cell r="Z665">
            <v>0</v>
          </cell>
        </row>
        <row r="666">
          <cell r="A666">
            <v>9222301</v>
          </cell>
          <cell r="B666" t="str">
            <v>龙拳第3段</v>
          </cell>
          <cell r="C666" t="str">
            <v>龙拳第3段</v>
          </cell>
          <cell r="D666">
            <v>2</v>
          </cell>
          <cell r="E666">
            <v>4</v>
          </cell>
          <cell r="F666" t="str">
            <v>第1级，共造成143.5%点伤害</v>
          </cell>
          <cell r="G666">
            <v>3</v>
          </cell>
          <cell r="H666">
            <v>3</v>
          </cell>
          <cell r="I666">
            <v>1</v>
          </cell>
          <cell r="J666">
            <v>2</v>
          </cell>
          <cell r="K666">
            <v>143.47826086956522</v>
          </cell>
          <cell r="L666">
            <v>0</v>
          </cell>
          <cell r="M666">
            <v>8000</v>
          </cell>
          <cell r="N666">
            <v>272</v>
          </cell>
          <cell r="O666">
            <v>2</v>
          </cell>
          <cell r="P666">
            <v>1</v>
          </cell>
          <cell r="Q666">
            <v>1</v>
          </cell>
          <cell r="R666">
            <v>7</v>
          </cell>
          <cell r="S666">
            <v>50</v>
          </cell>
          <cell r="T666">
            <v>143.47826086956522</v>
          </cell>
          <cell r="U666">
            <v>68</v>
          </cell>
          <cell r="V666">
            <v>143.47826086956522</v>
          </cell>
          <cell r="W666">
            <v>4</v>
          </cell>
          <cell r="X666">
            <v>4</v>
          </cell>
          <cell r="Y666">
            <v>18</v>
          </cell>
          <cell r="Z666">
            <v>0</v>
          </cell>
        </row>
        <row r="667">
          <cell r="A667">
            <v>9222302</v>
          </cell>
          <cell r="B667" t="str">
            <v>龙拳第3段</v>
          </cell>
          <cell r="C667" t="str">
            <v>龙拳第3段</v>
          </cell>
          <cell r="D667">
            <v>2</v>
          </cell>
          <cell r="E667">
            <v>10</v>
          </cell>
          <cell r="F667" t="str">
            <v>第2级，共造成146.3%点伤害</v>
          </cell>
          <cell r="G667">
            <v>3</v>
          </cell>
          <cell r="H667">
            <v>3</v>
          </cell>
          <cell r="I667">
            <v>2</v>
          </cell>
          <cell r="J667">
            <v>2</v>
          </cell>
          <cell r="K667">
            <v>146.34782608695653</v>
          </cell>
          <cell r="L667">
            <v>0</v>
          </cell>
          <cell r="M667">
            <v>7840</v>
          </cell>
          <cell r="N667">
            <v>416</v>
          </cell>
          <cell r="O667">
            <v>2</v>
          </cell>
          <cell r="P667">
            <v>1</v>
          </cell>
          <cell r="Q667">
            <v>1</v>
          </cell>
          <cell r="R667">
            <v>7</v>
          </cell>
          <cell r="S667">
            <v>50</v>
          </cell>
          <cell r="T667">
            <v>143.47826086956522</v>
          </cell>
          <cell r="U667">
            <v>104</v>
          </cell>
          <cell r="V667">
            <v>143.47826086956522</v>
          </cell>
          <cell r="W667">
            <v>4</v>
          </cell>
          <cell r="X667">
            <v>8</v>
          </cell>
          <cell r="Y667">
            <v>18</v>
          </cell>
          <cell r="Z667">
            <v>0</v>
          </cell>
        </row>
        <row r="668">
          <cell r="A668">
            <v>9222303</v>
          </cell>
          <cell r="B668" t="str">
            <v>龙拳第3段</v>
          </cell>
          <cell r="C668" t="str">
            <v>龙拳第3段</v>
          </cell>
          <cell r="D668">
            <v>2</v>
          </cell>
          <cell r="E668">
            <v>11</v>
          </cell>
          <cell r="F668" t="str">
            <v>第3级，共造成147.8%点伤害</v>
          </cell>
          <cell r="G668">
            <v>3</v>
          </cell>
          <cell r="H668">
            <v>3</v>
          </cell>
          <cell r="I668">
            <v>3</v>
          </cell>
          <cell r="J668">
            <v>2</v>
          </cell>
          <cell r="K668">
            <v>147.78260869565219</v>
          </cell>
          <cell r="L668">
            <v>0</v>
          </cell>
          <cell r="M668">
            <v>7760</v>
          </cell>
          <cell r="N668">
            <v>440</v>
          </cell>
          <cell r="O668">
            <v>2</v>
          </cell>
          <cell r="P668">
            <v>1</v>
          </cell>
          <cell r="Q668">
            <v>1</v>
          </cell>
          <cell r="R668">
            <v>7</v>
          </cell>
          <cell r="S668">
            <v>50</v>
          </cell>
          <cell r="T668">
            <v>143.47826086956522</v>
          </cell>
          <cell r="U668">
            <v>110</v>
          </cell>
          <cell r="V668">
            <v>143.47826086956522</v>
          </cell>
          <cell r="W668">
            <v>4</v>
          </cell>
          <cell r="X668">
            <v>12</v>
          </cell>
          <cell r="Y668">
            <v>18</v>
          </cell>
          <cell r="Z668">
            <v>0</v>
          </cell>
        </row>
        <row r="669">
          <cell r="A669">
            <v>9222304</v>
          </cell>
          <cell r="B669" t="str">
            <v>龙拳第3段</v>
          </cell>
          <cell r="C669" t="str">
            <v>龙拳第3段</v>
          </cell>
          <cell r="D669">
            <v>2</v>
          </cell>
          <cell r="E669">
            <v>13</v>
          </cell>
          <cell r="F669" t="str">
            <v>第4级，共造成149.2%点伤害</v>
          </cell>
          <cell r="G669">
            <v>3</v>
          </cell>
          <cell r="H669">
            <v>3</v>
          </cell>
          <cell r="I669">
            <v>4</v>
          </cell>
          <cell r="J669">
            <v>2</v>
          </cell>
          <cell r="K669">
            <v>149.21739130434781</v>
          </cell>
          <cell r="L669">
            <v>0</v>
          </cell>
          <cell r="M669">
            <v>7680</v>
          </cell>
          <cell r="N669">
            <v>610</v>
          </cell>
          <cell r="O669">
            <v>2</v>
          </cell>
          <cell r="P669">
            <v>1</v>
          </cell>
          <cell r="Q669">
            <v>1</v>
          </cell>
          <cell r="R669">
            <v>7</v>
          </cell>
          <cell r="S669">
            <v>50</v>
          </cell>
          <cell r="T669">
            <v>143.47826086956522</v>
          </cell>
          <cell r="U669">
            <v>122</v>
          </cell>
          <cell r="V669">
            <v>143.47826086956522</v>
          </cell>
          <cell r="W669">
            <v>5</v>
          </cell>
          <cell r="X669">
            <v>17</v>
          </cell>
          <cell r="Y669">
            <v>18</v>
          </cell>
          <cell r="Z669">
            <v>0</v>
          </cell>
        </row>
        <row r="670">
          <cell r="A670">
            <v>9222305</v>
          </cell>
          <cell r="B670" t="str">
            <v>龙拳第3段</v>
          </cell>
          <cell r="C670" t="str">
            <v>龙拳第3段</v>
          </cell>
          <cell r="D670">
            <v>2</v>
          </cell>
          <cell r="E670">
            <v>14</v>
          </cell>
          <cell r="F670" t="str">
            <v>第5级，共造成150.7%点伤害</v>
          </cell>
          <cell r="G670">
            <v>3</v>
          </cell>
          <cell r="H670">
            <v>3</v>
          </cell>
          <cell r="I670">
            <v>5</v>
          </cell>
          <cell r="J670">
            <v>2</v>
          </cell>
          <cell r="K670">
            <v>150.65217391304347</v>
          </cell>
          <cell r="L670">
            <v>0</v>
          </cell>
          <cell r="M670">
            <v>7600</v>
          </cell>
          <cell r="N670">
            <v>640</v>
          </cell>
          <cell r="O670">
            <v>2</v>
          </cell>
          <cell r="P670">
            <v>1</v>
          </cell>
          <cell r="Q670">
            <v>1</v>
          </cell>
          <cell r="R670">
            <v>7</v>
          </cell>
          <cell r="S670">
            <v>50</v>
          </cell>
          <cell r="T670">
            <v>143.47826086956522</v>
          </cell>
          <cell r="U670">
            <v>128</v>
          </cell>
          <cell r="V670">
            <v>143.47826086956522</v>
          </cell>
          <cell r="W670">
            <v>5</v>
          </cell>
          <cell r="X670">
            <v>22</v>
          </cell>
          <cell r="Y670">
            <v>18</v>
          </cell>
          <cell r="Z670">
            <v>0</v>
          </cell>
        </row>
        <row r="671">
          <cell r="A671">
            <v>9222306</v>
          </cell>
          <cell r="B671" t="str">
            <v>龙拳第3段</v>
          </cell>
          <cell r="C671" t="str">
            <v>龙拳第3段</v>
          </cell>
          <cell r="D671">
            <v>2</v>
          </cell>
          <cell r="E671">
            <v>16</v>
          </cell>
          <cell r="F671" t="str">
            <v>第6级，共造成152.1%点伤害</v>
          </cell>
          <cell r="G671">
            <v>3</v>
          </cell>
          <cell r="H671">
            <v>3</v>
          </cell>
          <cell r="I671">
            <v>6</v>
          </cell>
          <cell r="J671">
            <v>2</v>
          </cell>
          <cell r="K671">
            <v>152.08695652173913</v>
          </cell>
          <cell r="L671">
            <v>0</v>
          </cell>
          <cell r="M671">
            <v>7520</v>
          </cell>
          <cell r="N671">
            <v>700</v>
          </cell>
          <cell r="O671">
            <v>2</v>
          </cell>
          <cell r="P671">
            <v>1</v>
          </cell>
          <cell r="Q671">
            <v>1</v>
          </cell>
          <cell r="R671">
            <v>7</v>
          </cell>
          <cell r="S671">
            <v>50</v>
          </cell>
          <cell r="T671">
            <v>143.47826086956522</v>
          </cell>
          <cell r="U671">
            <v>140</v>
          </cell>
          <cell r="V671">
            <v>143.47826086956522</v>
          </cell>
          <cell r="W671">
            <v>5</v>
          </cell>
          <cell r="X671">
            <v>27</v>
          </cell>
          <cell r="Y671">
            <v>18</v>
          </cell>
          <cell r="Z671">
            <v>0</v>
          </cell>
        </row>
        <row r="672">
          <cell r="A672">
            <v>9222307</v>
          </cell>
          <cell r="B672" t="str">
            <v>龙拳第3段</v>
          </cell>
          <cell r="C672" t="str">
            <v>龙拳第3段</v>
          </cell>
          <cell r="D672">
            <v>2</v>
          </cell>
          <cell r="E672">
            <v>17</v>
          </cell>
          <cell r="F672" t="str">
            <v>第7级，共造成153.5%点伤害</v>
          </cell>
          <cell r="G672">
            <v>3</v>
          </cell>
          <cell r="H672">
            <v>3</v>
          </cell>
          <cell r="I672">
            <v>7</v>
          </cell>
          <cell r="J672">
            <v>2</v>
          </cell>
          <cell r="K672">
            <v>153.52173913043478</v>
          </cell>
          <cell r="L672">
            <v>0</v>
          </cell>
          <cell r="M672">
            <v>7440</v>
          </cell>
          <cell r="N672">
            <v>730</v>
          </cell>
          <cell r="O672">
            <v>2</v>
          </cell>
          <cell r="P672">
            <v>1</v>
          </cell>
          <cell r="Q672">
            <v>1</v>
          </cell>
          <cell r="R672">
            <v>7</v>
          </cell>
          <cell r="S672">
            <v>50</v>
          </cell>
          <cell r="T672">
            <v>143.47826086956522</v>
          </cell>
          <cell r="U672">
            <v>146</v>
          </cell>
          <cell r="V672">
            <v>143.47826086956522</v>
          </cell>
          <cell r="W672">
            <v>5</v>
          </cell>
          <cell r="X672">
            <v>32</v>
          </cell>
          <cell r="Y672">
            <v>18</v>
          </cell>
          <cell r="Z672">
            <v>0</v>
          </cell>
        </row>
        <row r="673">
          <cell r="A673">
            <v>9222308</v>
          </cell>
          <cell r="B673" t="str">
            <v>龙拳第3段</v>
          </cell>
          <cell r="C673" t="str">
            <v>龙拳第3段</v>
          </cell>
          <cell r="D673">
            <v>2</v>
          </cell>
          <cell r="E673">
            <v>19</v>
          </cell>
          <cell r="F673" t="str">
            <v>第8级，共造成155%点伤害</v>
          </cell>
          <cell r="G673">
            <v>3</v>
          </cell>
          <cell r="H673">
            <v>3</v>
          </cell>
          <cell r="I673">
            <v>8</v>
          </cell>
          <cell r="J673">
            <v>2</v>
          </cell>
          <cell r="K673">
            <v>154.95652173913044</v>
          </cell>
          <cell r="L673">
            <v>0</v>
          </cell>
          <cell r="M673">
            <v>7360</v>
          </cell>
          <cell r="N673">
            <v>948</v>
          </cell>
          <cell r="O673">
            <v>2</v>
          </cell>
          <cell r="P673">
            <v>1</v>
          </cell>
          <cell r="Q673">
            <v>1</v>
          </cell>
          <cell r="R673">
            <v>7</v>
          </cell>
          <cell r="S673">
            <v>50</v>
          </cell>
          <cell r="T673">
            <v>143.47826086956522</v>
          </cell>
          <cell r="U673">
            <v>158</v>
          </cell>
          <cell r="V673">
            <v>143.47826086956522</v>
          </cell>
          <cell r="W673">
            <v>6</v>
          </cell>
          <cell r="X673">
            <v>38</v>
          </cell>
          <cell r="Y673">
            <v>18</v>
          </cell>
          <cell r="Z673">
            <v>0</v>
          </cell>
        </row>
        <row r="674">
          <cell r="A674">
            <v>9222309</v>
          </cell>
          <cell r="B674" t="str">
            <v>龙拳第3段</v>
          </cell>
          <cell r="C674" t="str">
            <v>龙拳第3段</v>
          </cell>
          <cell r="D674">
            <v>2</v>
          </cell>
          <cell r="E674">
            <v>20</v>
          </cell>
          <cell r="F674" t="str">
            <v>第9级，共造成156.4%点伤害</v>
          </cell>
          <cell r="G674">
            <v>3</v>
          </cell>
          <cell r="H674">
            <v>3</v>
          </cell>
          <cell r="I674">
            <v>9</v>
          </cell>
          <cell r="J674">
            <v>2</v>
          </cell>
          <cell r="K674">
            <v>156.39130434782609</v>
          </cell>
          <cell r="L674">
            <v>0</v>
          </cell>
          <cell r="M674">
            <v>7280</v>
          </cell>
          <cell r="N674">
            <v>1092</v>
          </cell>
          <cell r="O674">
            <v>2</v>
          </cell>
          <cell r="P674">
            <v>1</v>
          </cell>
          <cell r="Q674">
            <v>1</v>
          </cell>
          <cell r="R674">
            <v>7</v>
          </cell>
          <cell r="S674">
            <v>50</v>
          </cell>
          <cell r="T674">
            <v>143.47826086956522</v>
          </cell>
          <cell r="U674">
            <v>182</v>
          </cell>
          <cell r="V674">
            <v>143.47826086956522</v>
          </cell>
          <cell r="W674">
            <v>6</v>
          </cell>
          <cell r="X674">
            <v>44</v>
          </cell>
          <cell r="Y674">
            <v>18</v>
          </cell>
          <cell r="Z674">
            <v>0</v>
          </cell>
        </row>
        <row r="675">
          <cell r="A675">
            <v>9222310</v>
          </cell>
          <cell r="B675" t="str">
            <v>龙拳第3段</v>
          </cell>
          <cell r="C675" t="str">
            <v>龙拳第3段</v>
          </cell>
          <cell r="D675">
            <v>2</v>
          </cell>
          <cell r="E675">
            <v>22</v>
          </cell>
          <cell r="F675" t="str">
            <v>第10级，共造成157.8%点伤害</v>
          </cell>
          <cell r="G675">
            <v>3</v>
          </cell>
          <cell r="H675">
            <v>3</v>
          </cell>
          <cell r="I675">
            <v>10</v>
          </cell>
          <cell r="J675">
            <v>2</v>
          </cell>
          <cell r="K675">
            <v>157.82608695652175</v>
          </cell>
          <cell r="L675">
            <v>0</v>
          </cell>
          <cell r="M675">
            <v>7200</v>
          </cell>
          <cell r="N675">
            <v>1673</v>
          </cell>
          <cell r="O675">
            <v>2</v>
          </cell>
          <cell r="P675">
            <v>1</v>
          </cell>
          <cell r="Q675">
            <v>1</v>
          </cell>
          <cell r="R675">
            <v>7</v>
          </cell>
          <cell r="S675">
            <v>50</v>
          </cell>
          <cell r="T675">
            <v>143.47826086956522</v>
          </cell>
          <cell r="U675">
            <v>239</v>
          </cell>
          <cell r="V675">
            <v>143.47826086956522</v>
          </cell>
          <cell r="W675">
            <v>7</v>
          </cell>
          <cell r="X675">
            <v>51</v>
          </cell>
          <cell r="Y675">
            <v>18</v>
          </cell>
          <cell r="Z675">
            <v>0</v>
          </cell>
        </row>
        <row r="676">
          <cell r="A676">
            <v>9222311</v>
          </cell>
          <cell r="B676" t="str">
            <v>龙拳第3段</v>
          </cell>
          <cell r="C676" t="str">
            <v>龙拳第3段</v>
          </cell>
          <cell r="D676">
            <v>2</v>
          </cell>
          <cell r="E676">
            <v>23</v>
          </cell>
          <cell r="F676" t="str">
            <v>第11级，共造成159.3%点伤害</v>
          </cell>
          <cell r="G676">
            <v>3</v>
          </cell>
          <cell r="H676">
            <v>3</v>
          </cell>
          <cell r="I676">
            <v>11</v>
          </cell>
          <cell r="J676">
            <v>2</v>
          </cell>
          <cell r="K676">
            <v>159.2608695652174</v>
          </cell>
          <cell r="L676">
            <v>0</v>
          </cell>
          <cell r="M676">
            <v>7120</v>
          </cell>
          <cell r="N676">
            <v>1890</v>
          </cell>
          <cell r="O676">
            <v>2</v>
          </cell>
          <cell r="P676">
            <v>1</v>
          </cell>
          <cell r="Q676">
            <v>1</v>
          </cell>
          <cell r="R676">
            <v>7</v>
          </cell>
          <cell r="S676">
            <v>50</v>
          </cell>
          <cell r="T676">
            <v>143.47826086956522</v>
          </cell>
          <cell r="U676">
            <v>270</v>
          </cell>
          <cell r="V676">
            <v>143.47826086956522</v>
          </cell>
          <cell r="W676">
            <v>7</v>
          </cell>
          <cell r="X676">
            <v>58</v>
          </cell>
          <cell r="Y676">
            <v>18</v>
          </cell>
          <cell r="Z676">
            <v>0</v>
          </cell>
        </row>
        <row r="677">
          <cell r="A677">
            <v>9222312</v>
          </cell>
          <cell r="B677" t="str">
            <v>龙拳第3段</v>
          </cell>
          <cell r="C677" t="str">
            <v>龙拳第3段</v>
          </cell>
          <cell r="D677">
            <v>2</v>
          </cell>
          <cell r="E677">
            <v>25</v>
          </cell>
          <cell r="F677" t="str">
            <v>第12级，共造成160.7%点伤害</v>
          </cell>
          <cell r="G677">
            <v>3</v>
          </cell>
          <cell r="H677">
            <v>3</v>
          </cell>
          <cell r="I677">
            <v>12</v>
          </cell>
          <cell r="J677">
            <v>2</v>
          </cell>
          <cell r="K677">
            <v>160.69565217391303</v>
          </cell>
          <cell r="L677">
            <v>0</v>
          </cell>
          <cell r="M677">
            <v>7040</v>
          </cell>
          <cell r="N677">
            <v>2680</v>
          </cell>
          <cell r="O677">
            <v>2</v>
          </cell>
          <cell r="P677">
            <v>1</v>
          </cell>
          <cell r="Q677">
            <v>1</v>
          </cell>
          <cell r="R677">
            <v>7</v>
          </cell>
          <cell r="S677">
            <v>50</v>
          </cell>
          <cell r="T677">
            <v>143.47826086956522</v>
          </cell>
          <cell r="U677">
            <v>335</v>
          </cell>
          <cell r="V677">
            <v>143.47826086956522</v>
          </cell>
          <cell r="W677">
            <v>8</v>
          </cell>
          <cell r="X677">
            <v>66</v>
          </cell>
          <cell r="Y677">
            <v>18</v>
          </cell>
          <cell r="Z677">
            <v>0</v>
          </cell>
        </row>
        <row r="678">
          <cell r="A678">
            <v>9222313</v>
          </cell>
          <cell r="B678" t="str">
            <v>龙拳第3段</v>
          </cell>
          <cell r="C678" t="str">
            <v>龙拳第3段</v>
          </cell>
          <cell r="D678">
            <v>2</v>
          </cell>
          <cell r="E678">
            <v>26</v>
          </cell>
          <cell r="F678" t="str">
            <v>第13级，共造成162.1%点伤害</v>
          </cell>
          <cell r="G678">
            <v>3</v>
          </cell>
          <cell r="H678">
            <v>3</v>
          </cell>
          <cell r="I678">
            <v>13</v>
          </cell>
          <cell r="J678">
            <v>2</v>
          </cell>
          <cell r="K678">
            <v>162.13043478260869</v>
          </cell>
          <cell r="L678">
            <v>0</v>
          </cell>
          <cell r="M678">
            <v>6960</v>
          </cell>
          <cell r="N678">
            <v>2960</v>
          </cell>
          <cell r="O678">
            <v>2</v>
          </cell>
          <cell r="P678">
            <v>1</v>
          </cell>
          <cell r="Q678">
            <v>1</v>
          </cell>
          <cell r="R678">
            <v>7</v>
          </cell>
          <cell r="S678">
            <v>50</v>
          </cell>
          <cell r="T678">
            <v>143.47826086956522</v>
          </cell>
          <cell r="U678">
            <v>370</v>
          </cell>
          <cell r="V678">
            <v>143.47826086956522</v>
          </cell>
          <cell r="W678">
            <v>8</v>
          </cell>
          <cell r="X678">
            <v>74</v>
          </cell>
          <cell r="Y678">
            <v>18</v>
          </cell>
          <cell r="Z678">
            <v>0</v>
          </cell>
        </row>
        <row r="679">
          <cell r="A679">
            <v>9222314</v>
          </cell>
          <cell r="B679" t="str">
            <v>龙拳第3段</v>
          </cell>
          <cell r="C679" t="str">
            <v>龙拳第3段</v>
          </cell>
          <cell r="D679">
            <v>2</v>
          </cell>
          <cell r="E679">
            <v>27</v>
          </cell>
          <cell r="F679" t="str">
            <v>第14级，共造成163.6%点伤害</v>
          </cell>
          <cell r="G679">
            <v>3</v>
          </cell>
          <cell r="H679">
            <v>3</v>
          </cell>
          <cell r="I679">
            <v>14</v>
          </cell>
          <cell r="J679">
            <v>2</v>
          </cell>
          <cell r="K679">
            <v>163.56521739130434</v>
          </cell>
          <cell r="L679">
            <v>0</v>
          </cell>
          <cell r="M679">
            <v>6880</v>
          </cell>
          <cell r="N679">
            <v>3654</v>
          </cell>
          <cell r="O679">
            <v>2</v>
          </cell>
          <cell r="P679">
            <v>1</v>
          </cell>
          <cell r="Q679">
            <v>1</v>
          </cell>
          <cell r="R679">
            <v>7</v>
          </cell>
          <cell r="S679">
            <v>50</v>
          </cell>
          <cell r="T679">
            <v>143.47826086956522</v>
          </cell>
          <cell r="U679">
            <v>406</v>
          </cell>
          <cell r="V679">
            <v>143.47826086956522</v>
          </cell>
          <cell r="W679">
            <v>9</v>
          </cell>
          <cell r="X679">
            <v>83</v>
          </cell>
          <cell r="Y679">
            <v>18</v>
          </cell>
          <cell r="Z679">
            <v>0</v>
          </cell>
        </row>
        <row r="680">
          <cell r="A680">
            <v>9222315</v>
          </cell>
          <cell r="B680" t="str">
            <v>龙拳第3段</v>
          </cell>
          <cell r="C680" t="str">
            <v>龙拳第3段</v>
          </cell>
          <cell r="D680">
            <v>2</v>
          </cell>
          <cell r="E680">
            <v>29</v>
          </cell>
          <cell r="F680" t="str">
            <v>第15级，共造成165%点伤害</v>
          </cell>
          <cell r="G680">
            <v>3</v>
          </cell>
          <cell r="H680">
            <v>3</v>
          </cell>
          <cell r="I680">
            <v>15</v>
          </cell>
          <cell r="J680">
            <v>2</v>
          </cell>
          <cell r="K680">
            <v>165</v>
          </cell>
          <cell r="L680">
            <v>0</v>
          </cell>
          <cell r="M680">
            <v>6800</v>
          </cell>
          <cell r="N680">
            <v>4820</v>
          </cell>
          <cell r="O680">
            <v>2</v>
          </cell>
          <cell r="P680">
            <v>1</v>
          </cell>
          <cell r="Q680">
            <v>1</v>
          </cell>
          <cell r="R680">
            <v>7</v>
          </cell>
          <cell r="S680">
            <v>50</v>
          </cell>
          <cell r="T680">
            <v>143.47826086956522</v>
          </cell>
          <cell r="U680">
            <v>482</v>
          </cell>
          <cell r="V680">
            <v>143.47826086956522</v>
          </cell>
          <cell r="W680">
            <v>10</v>
          </cell>
          <cell r="X680">
            <v>93</v>
          </cell>
          <cell r="Y680">
            <v>18</v>
          </cell>
          <cell r="Z680">
            <v>0</v>
          </cell>
        </row>
        <row r="681">
          <cell r="A681">
            <v>9222316</v>
          </cell>
          <cell r="B681" t="str">
            <v>龙拳第3段</v>
          </cell>
          <cell r="C681" t="str">
            <v>龙拳第3段</v>
          </cell>
          <cell r="D681">
            <v>2</v>
          </cell>
          <cell r="E681">
            <v>30</v>
          </cell>
          <cell r="F681" t="str">
            <v>第16级，共造成166.4%点伤害</v>
          </cell>
          <cell r="G681">
            <v>3</v>
          </cell>
          <cell r="H681">
            <v>3</v>
          </cell>
          <cell r="I681">
            <v>16</v>
          </cell>
          <cell r="J681">
            <v>2</v>
          </cell>
          <cell r="K681">
            <v>166.43478260869566</v>
          </cell>
          <cell r="L681">
            <v>0</v>
          </cell>
          <cell r="M681">
            <v>6720</v>
          </cell>
          <cell r="N681">
            <v>5220</v>
          </cell>
          <cell r="O681">
            <v>2</v>
          </cell>
          <cell r="P681">
            <v>1</v>
          </cell>
          <cell r="Q681">
            <v>1</v>
          </cell>
          <cell r="R681">
            <v>7</v>
          </cell>
          <cell r="S681">
            <v>50</v>
          </cell>
          <cell r="T681">
            <v>143.47826086956522</v>
          </cell>
          <cell r="U681">
            <v>522</v>
          </cell>
          <cell r="V681">
            <v>143.47826086956522</v>
          </cell>
          <cell r="W681">
            <v>10</v>
          </cell>
          <cell r="X681">
            <v>103</v>
          </cell>
          <cell r="Y681">
            <v>18</v>
          </cell>
          <cell r="Z681">
            <v>0</v>
          </cell>
        </row>
        <row r="682">
          <cell r="A682">
            <v>9222317</v>
          </cell>
          <cell r="B682" t="str">
            <v>龙拳第3段</v>
          </cell>
          <cell r="C682" t="str">
            <v>龙拳第3段</v>
          </cell>
          <cell r="D682">
            <v>2</v>
          </cell>
          <cell r="E682">
            <v>32</v>
          </cell>
          <cell r="F682" t="str">
            <v>第17级，共造成167.9%点伤害</v>
          </cell>
          <cell r="G682">
            <v>3</v>
          </cell>
          <cell r="H682">
            <v>3</v>
          </cell>
          <cell r="I682">
            <v>17</v>
          </cell>
          <cell r="J682">
            <v>2</v>
          </cell>
          <cell r="K682">
            <v>167.86956521739131</v>
          </cell>
          <cell r="L682">
            <v>0</v>
          </cell>
          <cell r="M682">
            <v>6640</v>
          </cell>
          <cell r="N682">
            <v>6666</v>
          </cell>
          <cell r="O682">
            <v>2</v>
          </cell>
          <cell r="P682">
            <v>1</v>
          </cell>
          <cell r="Q682">
            <v>1</v>
          </cell>
          <cell r="R682">
            <v>7</v>
          </cell>
          <cell r="S682">
            <v>50</v>
          </cell>
          <cell r="T682">
            <v>143.47826086956522</v>
          </cell>
          <cell r="U682">
            <v>606</v>
          </cell>
          <cell r="V682">
            <v>143.47826086956522</v>
          </cell>
          <cell r="W682">
            <v>11</v>
          </cell>
          <cell r="X682">
            <v>114</v>
          </cell>
          <cell r="Y682">
            <v>18</v>
          </cell>
          <cell r="Z682">
            <v>0</v>
          </cell>
        </row>
        <row r="683">
          <cell r="A683">
            <v>9222318</v>
          </cell>
          <cell r="B683" t="str">
            <v>龙拳第3段</v>
          </cell>
          <cell r="C683" t="str">
            <v>龙拳第3段</v>
          </cell>
          <cell r="D683">
            <v>2</v>
          </cell>
          <cell r="E683">
            <v>33</v>
          </cell>
          <cell r="F683" t="str">
            <v>第18级，共造成169.3%点伤害</v>
          </cell>
          <cell r="G683">
            <v>3</v>
          </cell>
          <cell r="H683">
            <v>3</v>
          </cell>
          <cell r="I683">
            <v>18</v>
          </cell>
          <cell r="J683">
            <v>2</v>
          </cell>
          <cell r="K683">
            <v>169.30434782608697</v>
          </cell>
          <cell r="L683">
            <v>0</v>
          </cell>
          <cell r="M683">
            <v>6560</v>
          </cell>
          <cell r="N683">
            <v>7812</v>
          </cell>
          <cell r="O683">
            <v>2</v>
          </cell>
          <cell r="P683">
            <v>1</v>
          </cell>
          <cell r="Q683">
            <v>1</v>
          </cell>
          <cell r="R683">
            <v>7</v>
          </cell>
          <cell r="S683">
            <v>50</v>
          </cell>
          <cell r="T683">
            <v>143.47826086956522</v>
          </cell>
          <cell r="U683">
            <v>651</v>
          </cell>
          <cell r="V683">
            <v>143.47826086956522</v>
          </cell>
          <cell r="W683">
            <v>12</v>
          </cell>
          <cell r="X683">
            <v>126</v>
          </cell>
          <cell r="Y683">
            <v>18</v>
          </cell>
          <cell r="Z683">
            <v>5</v>
          </cell>
        </row>
        <row r="684">
          <cell r="A684">
            <v>9222319</v>
          </cell>
          <cell r="B684" t="str">
            <v>龙拳第3段</v>
          </cell>
          <cell r="C684" t="str">
            <v>龙拳第3段</v>
          </cell>
          <cell r="D684">
            <v>2</v>
          </cell>
          <cell r="E684">
            <v>35</v>
          </cell>
          <cell r="F684" t="str">
            <v>第19级，共造成170.7%点伤害</v>
          </cell>
          <cell r="G684">
            <v>3</v>
          </cell>
          <cell r="H684">
            <v>3</v>
          </cell>
          <cell r="I684">
            <v>19</v>
          </cell>
          <cell r="J684">
            <v>2</v>
          </cell>
          <cell r="K684">
            <v>170.73913043478262</v>
          </cell>
          <cell r="L684">
            <v>0</v>
          </cell>
          <cell r="M684">
            <v>6480</v>
          </cell>
          <cell r="N684">
            <v>9659</v>
          </cell>
          <cell r="O684">
            <v>2</v>
          </cell>
          <cell r="P684">
            <v>1</v>
          </cell>
          <cell r="Q684">
            <v>1</v>
          </cell>
          <cell r="R684">
            <v>7</v>
          </cell>
          <cell r="S684">
            <v>50</v>
          </cell>
          <cell r="T684">
            <v>143.47826086956522</v>
          </cell>
          <cell r="U684">
            <v>743</v>
          </cell>
          <cell r="V684">
            <v>143.47826086956522</v>
          </cell>
          <cell r="W684">
            <v>13</v>
          </cell>
          <cell r="X684">
            <v>139</v>
          </cell>
          <cell r="Y684">
            <v>18</v>
          </cell>
          <cell r="Z684">
            <v>6</v>
          </cell>
        </row>
        <row r="685">
          <cell r="A685">
            <v>9222320</v>
          </cell>
          <cell r="B685" t="str">
            <v>龙拳第3段</v>
          </cell>
          <cell r="C685" t="str">
            <v>龙拳第3段</v>
          </cell>
          <cell r="D685">
            <v>2</v>
          </cell>
          <cell r="E685">
            <v>36</v>
          </cell>
          <cell r="F685" t="str">
            <v>第20级，共造成172.2%点伤害</v>
          </cell>
          <cell r="G685">
            <v>3</v>
          </cell>
          <cell r="H685">
            <v>3</v>
          </cell>
          <cell r="I685">
            <v>20</v>
          </cell>
          <cell r="J685">
            <v>2</v>
          </cell>
          <cell r="K685">
            <v>172.17391304347825</v>
          </cell>
          <cell r="L685">
            <v>0</v>
          </cell>
          <cell r="M685">
            <v>6400</v>
          </cell>
          <cell r="N685">
            <v>10283</v>
          </cell>
          <cell r="O685">
            <v>2</v>
          </cell>
          <cell r="P685">
            <v>1</v>
          </cell>
          <cell r="Q685">
            <v>1</v>
          </cell>
          <cell r="R685">
            <v>7</v>
          </cell>
          <cell r="S685">
            <v>50</v>
          </cell>
          <cell r="T685">
            <v>143.47826086956522</v>
          </cell>
          <cell r="U685">
            <v>791</v>
          </cell>
          <cell r="V685">
            <v>143.47826086956522</v>
          </cell>
          <cell r="W685">
            <v>13</v>
          </cell>
          <cell r="X685">
            <v>152</v>
          </cell>
          <cell r="Y685">
            <v>18</v>
          </cell>
          <cell r="Z685">
            <v>6</v>
          </cell>
        </row>
        <row r="686">
          <cell r="A686">
            <v>9222321</v>
          </cell>
          <cell r="B686" t="str">
            <v>龙拳第3段</v>
          </cell>
          <cell r="C686" t="str">
            <v>龙拳第3段</v>
          </cell>
          <cell r="D686">
            <v>2</v>
          </cell>
          <cell r="E686">
            <v>38</v>
          </cell>
          <cell r="F686" t="str">
            <v>第21级，共造成173.6%点伤害</v>
          </cell>
          <cell r="G686">
            <v>3</v>
          </cell>
          <cell r="H686">
            <v>3</v>
          </cell>
          <cell r="I686">
            <v>21</v>
          </cell>
          <cell r="J686">
            <v>2</v>
          </cell>
          <cell r="K686">
            <v>173.60869565217391</v>
          </cell>
          <cell r="L686">
            <v>0</v>
          </cell>
          <cell r="M686">
            <v>6320</v>
          </cell>
          <cell r="N686">
            <v>12488</v>
          </cell>
          <cell r="O686">
            <v>2</v>
          </cell>
          <cell r="P686">
            <v>1</v>
          </cell>
          <cell r="Q686">
            <v>1</v>
          </cell>
          <cell r="R686">
            <v>7</v>
          </cell>
          <cell r="S686">
            <v>50</v>
          </cell>
          <cell r="T686">
            <v>143.47826086956522</v>
          </cell>
          <cell r="U686">
            <v>892</v>
          </cell>
          <cell r="V686">
            <v>143.47826086956522</v>
          </cell>
          <cell r="W686">
            <v>14</v>
          </cell>
          <cell r="X686">
            <v>166</v>
          </cell>
          <cell r="Y686">
            <v>18</v>
          </cell>
          <cell r="Z686">
            <v>6</v>
          </cell>
        </row>
        <row r="687">
          <cell r="A687">
            <v>9222322</v>
          </cell>
          <cell r="B687" t="str">
            <v>龙拳第3段</v>
          </cell>
          <cell r="C687" t="str">
            <v>龙拳第3段</v>
          </cell>
          <cell r="D687">
            <v>2</v>
          </cell>
          <cell r="E687">
            <v>39</v>
          </cell>
          <cell r="F687" t="str">
            <v>第22级，共造成175%点伤害</v>
          </cell>
          <cell r="G687">
            <v>3</v>
          </cell>
          <cell r="H687">
            <v>3</v>
          </cell>
          <cell r="I687">
            <v>22</v>
          </cell>
          <cell r="J687">
            <v>2</v>
          </cell>
          <cell r="K687">
            <v>175.04347826086956</v>
          </cell>
          <cell r="L687">
            <v>0</v>
          </cell>
          <cell r="M687">
            <v>6240</v>
          </cell>
          <cell r="N687">
            <v>14160</v>
          </cell>
          <cell r="O687">
            <v>2</v>
          </cell>
          <cell r="P687">
            <v>1</v>
          </cell>
          <cell r="Q687">
            <v>1</v>
          </cell>
          <cell r="R687">
            <v>7</v>
          </cell>
          <cell r="S687">
            <v>50</v>
          </cell>
          <cell r="T687">
            <v>143.47826086956522</v>
          </cell>
          <cell r="U687">
            <v>944</v>
          </cell>
          <cell r="V687">
            <v>143.47826086956522</v>
          </cell>
          <cell r="W687">
            <v>15</v>
          </cell>
          <cell r="X687">
            <v>181</v>
          </cell>
          <cell r="Y687">
            <v>18</v>
          </cell>
          <cell r="Z687">
            <v>6</v>
          </cell>
        </row>
        <row r="688">
          <cell r="A688">
            <v>9222323</v>
          </cell>
          <cell r="B688" t="str">
            <v>龙拳第3段</v>
          </cell>
          <cell r="C688" t="str">
            <v>龙拳第3段</v>
          </cell>
          <cell r="D688">
            <v>2</v>
          </cell>
          <cell r="E688">
            <v>41</v>
          </cell>
          <cell r="F688" t="str">
            <v>第23级，共造成176.5%点伤害</v>
          </cell>
          <cell r="G688">
            <v>3</v>
          </cell>
          <cell r="H688">
            <v>3</v>
          </cell>
          <cell r="I688">
            <v>23</v>
          </cell>
          <cell r="J688">
            <v>2</v>
          </cell>
          <cell r="K688">
            <v>176.47826086956522</v>
          </cell>
          <cell r="L688">
            <v>0</v>
          </cell>
          <cell r="M688">
            <v>6160</v>
          </cell>
          <cell r="N688">
            <v>16848</v>
          </cell>
          <cell r="O688">
            <v>2</v>
          </cell>
          <cell r="P688">
            <v>1</v>
          </cell>
          <cell r="Q688">
            <v>1</v>
          </cell>
          <cell r="R688">
            <v>7</v>
          </cell>
          <cell r="S688">
            <v>50</v>
          </cell>
          <cell r="T688">
            <v>143.47826086956522</v>
          </cell>
          <cell r="U688">
            <v>1053</v>
          </cell>
          <cell r="V688">
            <v>143.47826086956522</v>
          </cell>
          <cell r="W688">
            <v>16</v>
          </cell>
          <cell r="X688">
            <v>197</v>
          </cell>
          <cell r="Y688">
            <v>18</v>
          </cell>
          <cell r="Z688">
            <v>7</v>
          </cell>
        </row>
        <row r="689">
          <cell r="A689">
            <v>9222324</v>
          </cell>
          <cell r="B689" t="str">
            <v>龙拳第3段</v>
          </cell>
          <cell r="C689" t="str">
            <v>龙拳第3段</v>
          </cell>
          <cell r="D689">
            <v>2</v>
          </cell>
          <cell r="E689">
            <v>42</v>
          </cell>
          <cell r="F689" t="str">
            <v>第24级，共造成177.9%点伤害</v>
          </cell>
          <cell r="G689">
            <v>3</v>
          </cell>
          <cell r="H689">
            <v>3</v>
          </cell>
          <cell r="I689">
            <v>24</v>
          </cell>
          <cell r="J689">
            <v>2</v>
          </cell>
          <cell r="K689">
            <v>177.91304347826087</v>
          </cell>
          <cell r="L689">
            <v>0</v>
          </cell>
          <cell r="M689">
            <v>6080</v>
          </cell>
          <cell r="N689">
            <v>18870</v>
          </cell>
          <cell r="O689">
            <v>2</v>
          </cell>
          <cell r="P689">
            <v>1</v>
          </cell>
          <cell r="Q689">
            <v>1</v>
          </cell>
          <cell r="R689">
            <v>7</v>
          </cell>
          <cell r="S689">
            <v>50</v>
          </cell>
          <cell r="T689">
            <v>143.47826086956522</v>
          </cell>
          <cell r="U689">
            <v>1110</v>
          </cell>
          <cell r="V689">
            <v>143.47826086956522</v>
          </cell>
          <cell r="W689">
            <v>17</v>
          </cell>
          <cell r="X689">
            <v>214</v>
          </cell>
          <cell r="Y689">
            <v>18</v>
          </cell>
          <cell r="Z689">
            <v>7</v>
          </cell>
        </row>
        <row r="690">
          <cell r="A690">
            <v>9222325</v>
          </cell>
          <cell r="B690" t="str">
            <v>龙拳第3段</v>
          </cell>
          <cell r="C690" t="str">
            <v>龙拳第3段</v>
          </cell>
          <cell r="D690">
            <v>2</v>
          </cell>
          <cell r="E690">
            <v>44</v>
          </cell>
          <cell r="F690" t="str">
            <v>第25级，共造成179.3%点伤害</v>
          </cell>
          <cell r="G690">
            <v>3</v>
          </cell>
          <cell r="H690">
            <v>3</v>
          </cell>
          <cell r="I690">
            <v>25</v>
          </cell>
          <cell r="J690">
            <v>2</v>
          </cell>
          <cell r="K690">
            <v>179.34782608695653</v>
          </cell>
          <cell r="L690">
            <v>0</v>
          </cell>
          <cell r="M690">
            <v>6000</v>
          </cell>
          <cell r="N690">
            <v>23294</v>
          </cell>
          <cell r="O690">
            <v>2</v>
          </cell>
          <cell r="P690">
            <v>1</v>
          </cell>
          <cell r="Q690">
            <v>1</v>
          </cell>
          <cell r="R690">
            <v>7</v>
          </cell>
          <cell r="S690">
            <v>50</v>
          </cell>
          <cell r="T690">
            <v>143.47826086956522</v>
          </cell>
          <cell r="U690">
            <v>1226</v>
          </cell>
          <cell r="V690">
            <v>143.47826086956522</v>
          </cell>
          <cell r="W690">
            <v>19</v>
          </cell>
          <cell r="X690">
            <v>233</v>
          </cell>
          <cell r="Y690">
            <v>18</v>
          </cell>
          <cell r="Z690">
            <v>8</v>
          </cell>
        </row>
        <row r="691">
          <cell r="A691">
            <v>9222326</v>
          </cell>
          <cell r="B691" t="str">
            <v>龙拳第3段</v>
          </cell>
          <cell r="C691" t="str">
            <v>龙拳第3段</v>
          </cell>
          <cell r="D691">
            <v>2</v>
          </cell>
          <cell r="E691">
            <v>45</v>
          </cell>
          <cell r="F691" t="str">
            <v>第26级，共造成180.8%点伤害</v>
          </cell>
          <cell r="G691">
            <v>3</v>
          </cell>
          <cell r="H691">
            <v>3</v>
          </cell>
          <cell r="I691">
            <v>26</v>
          </cell>
          <cell r="J691">
            <v>2</v>
          </cell>
          <cell r="K691">
            <v>180.78260869565219</v>
          </cell>
          <cell r="L691">
            <v>0</v>
          </cell>
          <cell r="M691">
            <v>5920</v>
          </cell>
          <cell r="N691">
            <v>25740</v>
          </cell>
          <cell r="O691">
            <v>2</v>
          </cell>
          <cell r="P691">
            <v>1</v>
          </cell>
          <cell r="Q691">
            <v>1</v>
          </cell>
          <cell r="R691">
            <v>7</v>
          </cell>
          <cell r="S691">
            <v>50</v>
          </cell>
          <cell r="T691">
            <v>143.47826086956522</v>
          </cell>
          <cell r="U691">
            <v>1287</v>
          </cell>
          <cell r="V691">
            <v>143.47826086956522</v>
          </cell>
          <cell r="W691">
            <v>20</v>
          </cell>
          <cell r="X691">
            <v>253</v>
          </cell>
          <cell r="Y691">
            <v>18</v>
          </cell>
          <cell r="Z691">
            <v>8</v>
          </cell>
        </row>
        <row r="692">
          <cell r="A692">
            <v>9222327</v>
          </cell>
          <cell r="B692" t="str">
            <v>龙拳第3段</v>
          </cell>
          <cell r="C692" t="str">
            <v>龙拳第3段</v>
          </cell>
          <cell r="D692">
            <v>2</v>
          </cell>
          <cell r="E692">
            <v>46</v>
          </cell>
          <cell r="F692" t="str">
            <v>第27级，共造成182.2%点伤害</v>
          </cell>
          <cell r="G692">
            <v>3</v>
          </cell>
          <cell r="H692">
            <v>3</v>
          </cell>
          <cell r="I692">
            <v>27</v>
          </cell>
          <cell r="J692">
            <v>2</v>
          </cell>
          <cell r="K692">
            <v>182.21739130434781</v>
          </cell>
          <cell r="L692">
            <v>0</v>
          </cell>
          <cell r="M692">
            <v>5840</v>
          </cell>
          <cell r="N692">
            <v>28329</v>
          </cell>
          <cell r="O692">
            <v>2</v>
          </cell>
          <cell r="P692">
            <v>1</v>
          </cell>
          <cell r="Q692">
            <v>1</v>
          </cell>
          <cell r="R692">
            <v>7</v>
          </cell>
          <cell r="S692">
            <v>50</v>
          </cell>
          <cell r="T692">
            <v>143.47826086956522</v>
          </cell>
          <cell r="U692">
            <v>1349</v>
          </cell>
          <cell r="V692">
            <v>143.47826086956522</v>
          </cell>
          <cell r="W692">
            <v>21</v>
          </cell>
          <cell r="X692">
            <v>274</v>
          </cell>
          <cell r="Y692">
            <v>18</v>
          </cell>
          <cell r="Z692">
            <v>9</v>
          </cell>
        </row>
        <row r="693">
          <cell r="A693">
            <v>9222328</v>
          </cell>
          <cell r="B693" t="str">
            <v>龙拳第3段</v>
          </cell>
          <cell r="C693" t="str">
            <v>龙拳第3段</v>
          </cell>
          <cell r="D693">
            <v>2</v>
          </cell>
          <cell r="E693">
            <v>48</v>
          </cell>
          <cell r="F693" t="str">
            <v>第28级，共造成183.7%点伤害</v>
          </cell>
          <cell r="G693">
            <v>3</v>
          </cell>
          <cell r="H693">
            <v>3</v>
          </cell>
          <cell r="I693">
            <v>28</v>
          </cell>
          <cell r="J693">
            <v>2</v>
          </cell>
          <cell r="K693">
            <v>183.65217391304347</v>
          </cell>
          <cell r="L693">
            <v>0</v>
          </cell>
          <cell r="M693">
            <v>5760</v>
          </cell>
          <cell r="N693">
            <v>33971</v>
          </cell>
          <cell r="O693">
            <v>2</v>
          </cell>
          <cell r="P693">
            <v>1</v>
          </cell>
          <cell r="Q693">
            <v>1</v>
          </cell>
          <cell r="R693">
            <v>7</v>
          </cell>
          <cell r="S693">
            <v>50</v>
          </cell>
          <cell r="T693">
            <v>143.47826086956522</v>
          </cell>
          <cell r="U693">
            <v>1477</v>
          </cell>
          <cell r="V693">
            <v>143.47826086956522</v>
          </cell>
          <cell r="W693">
            <v>23</v>
          </cell>
          <cell r="X693">
            <v>297</v>
          </cell>
          <cell r="Y693">
            <v>18</v>
          </cell>
          <cell r="Z693">
            <v>10</v>
          </cell>
        </row>
        <row r="694">
          <cell r="A694">
            <v>9222329</v>
          </cell>
          <cell r="B694" t="str">
            <v>龙拳第3段</v>
          </cell>
          <cell r="C694" t="str">
            <v>龙拳第3段</v>
          </cell>
          <cell r="D694">
            <v>2</v>
          </cell>
          <cell r="E694">
            <v>49</v>
          </cell>
          <cell r="F694" t="str">
            <v>第29级，共造成185.1%点伤害</v>
          </cell>
          <cell r="G694">
            <v>3</v>
          </cell>
          <cell r="H694">
            <v>3</v>
          </cell>
          <cell r="I694">
            <v>29</v>
          </cell>
          <cell r="J694">
            <v>2</v>
          </cell>
          <cell r="K694">
            <v>185.08695652173913</v>
          </cell>
          <cell r="L694">
            <v>0</v>
          </cell>
          <cell r="M694">
            <v>5680</v>
          </cell>
          <cell r="N694">
            <v>38575</v>
          </cell>
          <cell r="O694">
            <v>2</v>
          </cell>
          <cell r="P694">
            <v>1</v>
          </cell>
          <cell r="Q694">
            <v>1</v>
          </cell>
          <cell r="R694">
            <v>7</v>
          </cell>
          <cell r="S694">
            <v>50</v>
          </cell>
          <cell r="T694">
            <v>143.47826086956522</v>
          </cell>
          <cell r="U694">
            <v>1543</v>
          </cell>
          <cell r="V694">
            <v>143.47826086956522</v>
          </cell>
          <cell r="W694">
            <v>25</v>
          </cell>
          <cell r="X694">
            <v>322</v>
          </cell>
          <cell r="Y694">
            <v>18</v>
          </cell>
          <cell r="Z694">
            <v>10</v>
          </cell>
        </row>
        <row r="695">
          <cell r="A695">
            <v>9222330</v>
          </cell>
          <cell r="B695" t="str">
            <v>龙拳第3段</v>
          </cell>
          <cell r="C695" t="str">
            <v>龙拳第3段</v>
          </cell>
          <cell r="D695">
            <v>2</v>
          </cell>
          <cell r="E695">
            <v>51</v>
          </cell>
          <cell r="F695" t="str">
            <v>第30级，共造成186.5%点伤害</v>
          </cell>
          <cell r="G695">
            <v>3</v>
          </cell>
          <cell r="H695">
            <v>3</v>
          </cell>
          <cell r="I695">
            <v>30</v>
          </cell>
          <cell r="J695">
            <v>2</v>
          </cell>
          <cell r="K695">
            <v>186.52173913043478</v>
          </cell>
          <cell r="L695">
            <v>0</v>
          </cell>
          <cell r="M695">
            <v>5600</v>
          </cell>
          <cell r="N695">
            <v>43654</v>
          </cell>
          <cell r="O695">
            <v>2</v>
          </cell>
          <cell r="P695">
            <v>1</v>
          </cell>
          <cell r="Q695">
            <v>1</v>
          </cell>
          <cell r="R695">
            <v>7</v>
          </cell>
          <cell r="S695">
            <v>50</v>
          </cell>
          <cell r="T695">
            <v>143.47826086956522</v>
          </cell>
          <cell r="U695">
            <v>1679</v>
          </cell>
          <cell r="V695">
            <v>143.47826086956522</v>
          </cell>
          <cell r="W695">
            <v>26</v>
          </cell>
          <cell r="X695">
            <v>348</v>
          </cell>
          <cell r="Y695">
            <v>18</v>
          </cell>
          <cell r="Z695">
            <v>11</v>
          </cell>
        </row>
        <row r="696">
          <cell r="A696">
            <v>9222331</v>
          </cell>
          <cell r="B696" t="str">
            <v>龙拳第3段</v>
          </cell>
          <cell r="C696" t="str">
            <v>龙拳第3段</v>
          </cell>
          <cell r="D696">
            <v>2</v>
          </cell>
          <cell r="E696">
            <v>52</v>
          </cell>
          <cell r="F696" t="str">
            <v>第31级，共造成188%点伤害</v>
          </cell>
          <cell r="G696">
            <v>3</v>
          </cell>
          <cell r="H696">
            <v>3</v>
          </cell>
          <cell r="I696">
            <v>31</v>
          </cell>
          <cell r="J696">
            <v>2</v>
          </cell>
          <cell r="K696">
            <v>187.95652173913044</v>
          </cell>
          <cell r="L696">
            <v>0</v>
          </cell>
          <cell r="M696">
            <v>5520</v>
          </cell>
          <cell r="N696">
            <v>48972</v>
          </cell>
          <cell r="O696">
            <v>2</v>
          </cell>
          <cell r="P696">
            <v>1</v>
          </cell>
          <cell r="Q696">
            <v>1</v>
          </cell>
          <cell r="R696">
            <v>7</v>
          </cell>
          <cell r="S696">
            <v>50</v>
          </cell>
          <cell r="T696">
            <v>143.47826086956522</v>
          </cell>
          <cell r="U696">
            <v>1749</v>
          </cell>
          <cell r="V696">
            <v>143.47826086956522</v>
          </cell>
          <cell r="W696">
            <v>28</v>
          </cell>
          <cell r="X696">
            <v>376</v>
          </cell>
          <cell r="Y696">
            <v>18</v>
          </cell>
          <cell r="Z696">
            <v>12</v>
          </cell>
        </row>
        <row r="697">
          <cell r="A697">
            <v>9222332</v>
          </cell>
          <cell r="B697" t="str">
            <v>龙拳第3段</v>
          </cell>
          <cell r="C697" t="str">
            <v>龙拳第3段</v>
          </cell>
          <cell r="D697">
            <v>2</v>
          </cell>
          <cell r="E697">
            <v>54</v>
          </cell>
          <cell r="F697" t="str">
            <v>第32级，共造成189.4%点伤害</v>
          </cell>
          <cell r="G697">
            <v>3</v>
          </cell>
          <cell r="H697">
            <v>3</v>
          </cell>
          <cell r="I697">
            <v>32</v>
          </cell>
          <cell r="J697">
            <v>2</v>
          </cell>
          <cell r="K697">
            <v>189.39130434782609</v>
          </cell>
          <cell r="L697">
            <v>0</v>
          </cell>
          <cell r="M697">
            <v>5440</v>
          </cell>
          <cell r="N697">
            <v>56790</v>
          </cell>
          <cell r="O697">
            <v>2</v>
          </cell>
          <cell r="P697">
            <v>1</v>
          </cell>
          <cell r="Q697">
            <v>1</v>
          </cell>
          <cell r="R697">
            <v>7</v>
          </cell>
          <cell r="S697">
            <v>50</v>
          </cell>
          <cell r="T697">
            <v>143.47826086956522</v>
          </cell>
          <cell r="U697">
            <v>1893</v>
          </cell>
          <cell r="V697">
            <v>143.47826086956522</v>
          </cell>
          <cell r="W697">
            <v>30</v>
          </cell>
          <cell r="X697">
            <v>406</v>
          </cell>
          <cell r="Y697">
            <v>18</v>
          </cell>
          <cell r="Z697">
            <v>12</v>
          </cell>
        </row>
        <row r="698">
          <cell r="A698">
            <v>9222333</v>
          </cell>
          <cell r="B698" t="str">
            <v>龙拳第3段</v>
          </cell>
          <cell r="C698" t="str">
            <v>龙拳第3段</v>
          </cell>
          <cell r="D698">
            <v>2</v>
          </cell>
          <cell r="E698">
            <v>55</v>
          </cell>
          <cell r="F698" t="str">
            <v>第33级，共造成190.8%点伤害</v>
          </cell>
          <cell r="G698">
            <v>3</v>
          </cell>
          <cell r="H698">
            <v>3</v>
          </cell>
          <cell r="I698">
            <v>33</v>
          </cell>
          <cell r="J698">
            <v>2</v>
          </cell>
          <cell r="K698">
            <v>190.82608695652175</v>
          </cell>
          <cell r="L698">
            <v>0</v>
          </cell>
          <cell r="M698">
            <v>5360</v>
          </cell>
          <cell r="N698">
            <v>62944</v>
          </cell>
          <cell r="O698">
            <v>2</v>
          </cell>
          <cell r="P698">
            <v>1</v>
          </cell>
          <cell r="Q698">
            <v>1</v>
          </cell>
          <cell r="R698">
            <v>7</v>
          </cell>
          <cell r="S698">
            <v>50</v>
          </cell>
          <cell r="T698">
            <v>143.47826086956522</v>
          </cell>
          <cell r="U698">
            <v>1967</v>
          </cell>
          <cell r="V698">
            <v>143.47826086956522</v>
          </cell>
          <cell r="W698">
            <v>32</v>
          </cell>
          <cell r="X698">
            <v>438</v>
          </cell>
          <cell r="Y698">
            <v>18</v>
          </cell>
          <cell r="Z698">
            <v>13</v>
          </cell>
        </row>
        <row r="699">
          <cell r="A699">
            <v>9222334</v>
          </cell>
          <cell r="B699" t="str">
            <v>龙拳第3段</v>
          </cell>
          <cell r="C699" t="str">
            <v>龙拳第3段</v>
          </cell>
          <cell r="D699">
            <v>2</v>
          </cell>
          <cell r="E699">
            <v>57</v>
          </cell>
          <cell r="F699" t="str">
            <v>第34级，共造成192.3%点伤害</v>
          </cell>
          <cell r="G699">
            <v>3</v>
          </cell>
          <cell r="H699">
            <v>3</v>
          </cell>
          <cell r="I699">
            <v>34</v>
          </cell>
          <cell r="J699">
            <v>2</v>
          </cell>
          <cell r="K699">
            <v>192.26086956521738</v>
          </cell>
          <cell r="L699">
            <v>0</v>
          </cell>
          <cell r="M699">
            <v>5280</v>
          </cell>
          <cell r="N699">
            <v>72046</v>
          </cell>
          <cell r="O699">
            <v>2</v>
          </cell>
          <cell r="P699">
            <v>1</v>
          </cell>
          <cell r="Q699">
            <v>1</v>
          </cell>
          <cell r="R699">
            <v>7</v>
          </cell>
          <cell r="S699">
            <v>50</v>
          </cell>
          <cell r="T699">
            <v>143.47826086956522</v>
          </cell>
          <cell r="U699">
            <v>2119</v>
          </cell>
          <cell r="V699">
            <v>143.47826086956522</v>
          </cell>
          <cell r="W699">
            <v>34</v>
          </cell>
          <cell r="X699">
            <v>472</v>
          </cell>
          <cell r="Y699">
            <v>18</v>
          </cell>
          <cell r="Z699">
            <v>14</v>
          </cell>
        </row>
        <row r="700">
          <cell r="A700">
            <v>9222335</v>
          </cell>
          <cell r="B700" t="str">
            <v>龙拳第3段</v>
          </cell>
          <cell r="C700" t="str">
            <v>龙拳第3段</v>
          </cell>
          <cell r="D700">
            <v>2</v>
          </cell>
          <cell r="E700">
            <v>58</v>
          </cell>
          <cell r="F700" t="str">
            <v>第35级，共造成193.7%点伤害</v>
          </cell>
          <cell r="G700">
            <v>3</v>
          </cell>
          <cell r="H700">
            <v>3</v>
          </cell>
          <cell r="I700">
            <v>35</v>
          </cell>
          <cell r="J700">
            <v>2</v>
          </cell>
          <cell r="K700">
            <v>193.69565217391303</v>
          </cell>
          <cell r="L700">
            <v>0</v>
          </cell>
          <cell r="M700">
            <v>5200</v>
          </cell>
          <cell r="N700">
            <v>79128</v>
          </cell>
          <cell r="O700">
            <v>2</v>
          </cell>
          <cell r="P700">
            <v>1</v>
          </cell>
          <cell r="Q700">
            <v>1</v>
          </cell>
          <cell r="R700">
            <v>7</v>
          </cell>
          <cell r="S700">
            <v>50</v>
          </cell>
          <cell r="T700">
            <v>143.47826086956522</v>
          </cell>
          <cell r="U700">
            <v>2198</v>
          </cell>
          <cell r="V700">
            <v>143.47826086956522</v>
          </cell>
          <cell r="W700">
            <v>36</v>
          </cell>
          <cell r="X700">
            <v>508</v>
          </cell>
          <cell r="Y700">
            <v>18</v>
          </cell>
          <cell r="Z700">
            <v>15</v>
          </cell>
        </row>
        <row r="701">
          <cell r="A701">
            <v>9222336</v>
          </cell>
          <cell r="B701" t="str">
            <v>龙拳第3段</v>
          </cell>
          <cell r="C701" t="str">
            <v>龙拳第3段</v>
          </cell>
          <cell r="D701">
            <v>2</v>
          </cell>
          <cell r="E701">
            <v>60</v>
          </cell>
          <cell r="F701" t="str">
            <v>第36级，共造成195.1%点伤害</v>
          </cell>
          <cell r="G701">
            <v>3</v>
          </cell>
          <cell r="H701">
            <v>3</v>
          </cell>
          <cell r="I701">
            <v>36</v>
          </cell>
          <cell r="J701">
            <v>2</v>
          </cell>
          <cell r="K701">
            <v>195.13043478260869</v>
          </cell>
          <cell r="L701">
            <v>0</v>
          </cell>
          <cell r="M701">
            <v>5120</v>
          </cell>
          <cell r="N701">
            <v>91962</v>
          </cell>
          <cell r="O701">
            <v>2</v>
          </cell>
          <cell r="P701">
            <v>1</v>
          </cell>
          <cell r="Q701">
            <v>1</v>
          </cell>
          <cell r="R701">
            <v>7</v>
          </cell>
          <cell r="S701">
            <v>50</v>
          </cell>
          <cell r="T701">
            <v>143.47826086956522</v>
          </cell>
          <cell r="U701">
            <v>2358</v>
          </cell>
          <cell r="V701">
            <v>143.47826086956522</v>
          </cell>
          <cell r="W701">
            <v>39</v>
          </cell>
          <cell r="X701">
            <v>547</v>
          </cell>
          <cell r="Y701">
            <v>18</v>
          </cell>
          <cell r="Z701">
            <v>16</v>
          </cell>
        </row>
        <row r="702">
          <cell r="A702">
            <v>9222337</v>
          </cell>
          <cell r="B702" t="str">
            <v>龙拳第3段</v>
          </cell>
          <cell r="C702" t="str">
            <v>龙拳第3段</v>
          </cell>
          <cell r="D702">
            <v>2</v>
          </cell>
          <cell r="E702">
            <v>61</v>
          </cell>
          <cell r="F702" t="str">
            <v>第37级，共造成196.6%点伤害</v>
          </cell>
          <cell r="G702">
            <v>3</v>
          </cell>
          <cell r="H702">
            <v>3</v>
          </cell>
          <cell r="I702">
            <v>37</v>
          </cell>
          <cell r="J702">
            <v>2</v>
          </cell>
          <cell r="K702">
            <v>196.56521739130434</v>
          </cell>
          <cell r="L702">
            <v>0</v>
          </cell>
          <cell r="M702">
            <v>5040</v>
          </cell>
          <cell r="N702">
            <v>102480</v>
          </cell>
          <cell r="O702">
            <v>2</v>
          </cell>
          <cell r="P702">
            <v>1</v>
          </cell>
          <cell r="Q702">
            <v>1</v>
          </cell>
          <cell r="R702">
            <v>7</v>
          </cell>
          <cell r="S702">
            <v>50</v>
          </cell>
          <cell r="T702">
            <v>143.47826086956522</v>
          </cell>
          <cell r="U702">
            <v>2440</v>
          </cell>
          <cell r="V702">
            <v>143.47826086956522</v>
          </cell>
          <cell r="W702">
            <v>42</v>
          </cell>
          <cell r="X702">
            <v>589</v>
          </cell>
          <cell r="Y702">
            <v>18</v>
          </cell>
          <cell r="Z702">
            <v>17</v>
          </cell>
        </row>
        <row r="703">
          <cell r="A703">
            <v>9222338</v>
          </cell>
          <cell r="B703" t="str">
            <v>龙拳第3段</v>
          </cell>
          <cell r="C703" t="str">
            <v>龙拳第3段</v>
          </cell>
          <cell r="D703">
            <v>2</v>
          </cell>
          <cell r="E703">
            <v>62</v>
          </cell>
          <cell r="F703" t="str">
            <v>第38级，共造成198%点伤害</v>
          </cell>
          <cell r="G703">
            <v>3</v>
          </cell>
          <cell r="H703">
            <v>3</v>
          </cell>
          <cell r="I703">
            <v>38</v>
          </cell>
          <cell r="J703">
            <v>2</v>
          </cell>
          <cell r="K703">
            <v>198</v>
          </cell>
          <cell r="L703">
            <v>0</v>
          </cell>
          <cell r="M703">
            <v>4960</v>
          </cell>
          <cell r="N703">
            <v>113580</v>
          </cell>
          <cell r="O703">
            <v>2</v>
          </cell>
          <cell r="P703">
            <v>1</v>
          </cell>
          <cell r="Q703">
            <v>1</v>
          </cell>
          <cell r="R703">
            <v>7</v>
          </cell>
          <cell r="S703">
            <v>50</v>
          </cell>
          <cell r="T703">
            <v>143.47826086956522</v>
          </cell>
          <cell r="U703">
            <v>2524</v>
          </cell>
          <cell r="V703">
            <v>143.47826086956522</v>
          </cell>
          <cell r="W703">
            <v>45</v>
          </cell>
          <cell r="X703">
            <v>634</v>
          </cell>
          <cell r="Y703">
            <v>18</v>
          </cell>
          <cell r="Z703">
            <v>18</v>
          </cell>
        </row>
        <row r="704">
          <cell r="A704">
            <v>9222339</v>
          </cell>
          <cell r="B704" t="str">
            <v>龙拳第3段</v>
          </cell>
          <cell r="C704" t="str">
            <v>龙拳第3段</v>
          </cell>
          <cell r="D704">
            <v>2</v>
          </cell>
          <cell r="E704">
            <v>64</v>
          </cell>
          <cell r="F704" t="str">
            <v>第39级，共造成199.4%点伤害</v>
          </cell>
          <cell r="G704">
            <v>3</v>
          </cell>
          <cell r="H704">
            <v>3</v>
          </cell>
          <cell r="I704">
            <v>39</v>
          </cell>
          <cell r="J704">
            <v>2</v>
          </cell>
          <cell r="K704">
            <v>199.43478260869566</v>
          </cell>
          <cell r="L704">
            <v>0</v>
          </cell>
          <cell r="M704">
            <v>4880</v>
          </cell>
          <cell r="N704">
            <v>129360</v>
          </cell>
          <cell r="O704">
            <v>2</v>
          </cell>
          <cell r="P704">
            <v>1</v>
          </cell>
          <cell r="Q704">
            <v>1</v>
          </cell>
          <cell r="R704">
            <v>7</v>
          </cell>
          <cell r="S704">
            <v>50</v>
          </cell>
          <cell r="T704">
            <v>143.47826086956522</v>
          </cell>
          <cell r="U704">
            <v>2695</v>
          </cell>
          <cell r="V704">
            <v>143.47826086956522</v>
          </cell>
          <cell r="W704">
            <v>48</v>
          </cell>
          <cell r="X704">
            <v>682</v>
          </cell>
          <cell r="Y704">
            <v>18</v>
          </cell>
          <cell r="Z704">
            <v>20</v>
          </cell>
        </row>
        <row r="705">
          <cell r="A705">
            <v>9222340</v>
          </cell>
          <cell r="B705" t="str">
            <v>龙拳第3段</v>
          </cell>
          <cell r="C705" t="str">
            <v>龙拳第3段</v>
          </cell>
          <cell r="D705">
            <v>2</v>
          </cell>
          <cell r="E705">
            <v>65</v>
          </cell>
          <cell r="F705" t="str">
            <v>第40级，共造成200.9%点伤害</v>
          </cell>
          <cell r="G705">
            <v>3</v>
          </cell>
          <cell r="H705">
            <v>3</v>
          </cell>
          <cell r="I705">
            <v>40</v>
          </cell>
          <cell r="J705">
            <v>2</v>
          </cell>
          <cell r="K705">
            <v>200.86956521739131</v>
          </cell>
          <cell r="L705">
            <v>0</v>
          </cell>
          <cell r="M705">
            <v>4800</v>
          </cell>
          <cell r="N705">
            <v>141933</v>
          </cell>
          <cell r="O705">
            <v>2</v>
          </cell>
          <cell r="P705">
            <v>1</v>
          </cell>
          <cell r="Q705">
            <v>1</v>
          </cell>
          <cell r="R705">
            <v>7</v>
          </cell>
          <cell r="S705">
            <v>50</v>
          </cell>
          <cell r="T705">
            <v>143.47826086956522</v>
          </cell>
          <cell r="U705">
            <v>2783</v>
          </cell>
          <cell r="V705">
            <v>143.47826086956522</v>
          </cell>
          <cell r="W705">
            <v>51</v>
          </cell>
          <cell r="X705">
            <v>733</v>
          </cell>
          <cell r="Y705">
            <v>18</v>
          </cell>
          <cell r="Z705">
            <v>21</v>
          </cell>
        </row>
        <row r="706">
          <cell r="A706">
            <v>9222341</v>
          </cell>
          <cell r="B706" t="str">
            <v>龙拳第3段</v>
          </cell>
          <cell r="C706" t="str">
            <v>龙拳第3段</v>
          </cell>
          <cell r="D706">
            <v>2</v>
          </cell>
          <cell r="E706">
            <v>67</v>
          </cell>
          <cell r="F706" t="str">
            <v>第41级，共造成202.3%点伤害</v>
          </cell>
          <cell r="G706">
            <v>3</v>
          </cell>
          <cell r="H706">
            <v>3</v>
          </cell>
          <cell r="I706">
            <v>41</v>
          </cell>
          <cell r="J706">
            <v>2</v>
          </cell>
          <cell r="K706">
            <v>202.30434782608694</v>
          </cell>
          <cell r="L706">
            <v>0</v>
          </cell>
          <cell r="M706">
            <v>4720</v>
          </cell>
          <cell r="N706">
            <v>162965</v>
          </cell>
          <cell r="O706">
            <v>2</v>
          </cell>
          <cell r="P706">
            <v>1</v>
          </cell>
          <cell r="Q706">
            <v>1</v>
          </cell>
          <cell r="R706">
            <v>7</v>
          </cell>
          <cell r="S706">
            <v>50</v>
          </cell>
          <cell r="T706">
            <v>143.47826086956522</v>
          </cell>
          <cell r="U706">
            <v>2963</v>
          </cell>
          <cell r="V706">
            <v>143.47826086956522</v>
          </cell>
          <cell r="W706">
            <v>55</v>
          </cell>
          <cell r="X706">
            <v>788</v>
          </cell>
          <cell r="Y706">
            <v>18</v>
          </cell>
          <cell r="Z706">
            <v>22</v>
          </cell>
        </row>
        <row r="707">
          <cell r="A707">
            <v>9222342</v>
          </cell>
          <cell r="B707" t="str">
            <v>龙拳第3段</v>
          </cell>
          <cell r="C707" t="str">
            <v>龙拳第3段</v>
          </cell>
          <cell r="D707">
            <v>2</v>
          </cell>
          <cell r="E707">
            <v>68</v>
          </cell>
          <cell r="F707" t="str">
            <v>第42级，共造成203.7%点伤害</v>
          </cell>
          <cell r="G707">
            <v>3</v>
          </cell>
          <cell r="H707">
            <v>3</v>
          </cell>
          <cell r="I707">
            <v>42</v>
          </cell>
          <cell r="J707">
            <v>2</v>
          </cell>
          <cell r="K707">
            <v>203.73913043478262</v>
          </cell>
          <cell r="L707">
            <v>0</v>
          </cell>
          <cell r="M707">
            <v>4640</v>
          </cell>
          <cell r="N707">
            <v>177132</v>
          </cell>
          <cell r="O707">
            <v>2</v>
          </cell>
          <cell r="P707">
            <v>1</v>
          </cell>
          <cell r="Q707">
            <v>1</v>
          </cell>
          <cell r="R707">
            <v>7</v>
          </cell>
          <cell r="S707">
            <v>50</v>
          </cell>
          <cell r="T707">
            <v>143.47826086956522</v>
          </cell>
          <cell r="U707">
            <v>3054</v>
          </cell>
          <cell r="V707">
            <v>143.47826086956522</v>
          </cell>
          <cell r="W707">
            <v>58</v>
          </cell>
          <cell r="X707">
            <v>846</v>
          </cell>
          <cell r="Y707">
            <v>18</v>
          </cell>
          <cell r="Z707">
            <v>24</v>
          </cell>
        </row>
        <row r="708">
          <cell r="A708">
            <v>9222343</v>
          </cell>
          <cell r="B708" t="str">
            <v>龙拳第3段</v>
          </cell>
          <cell r="C708" t="str">
            <v>龙拳第3段</v>
          </cell>
          <cell r="D708">
            <v>2</v>
          </cell>
          <cell r="E708">
            <v>70</v>
          </cell>
          <cell r="F708" t="str">
            <v>第43级，共造成205.2%点伤害</v>
          </cell>
          <cell r="G708">
            <v>3</v>
          </cell>
          <cell r="H708">
            <v>3</v>
          </cell>
          <cell r="I708">
            <v>43</v>
          </cell>
          <cell r="J708">
            <v>2</v>
          </cell>
          <cell r="K708">
            <v>205.17391304347825</v>
          </cell>
          <cell r="L708">
            <v>0</v>
          </cell>
          <cell r="M708">
            <v>4560</v>
          </cell>
          <cell r="N708">
            <v>204246</v>
          </cell>
          <cell r="O708">
            <v>2</v>
          </cell>
          <cell r="P708">
            <v>1</v>
          </cell>
          <cell r="Q708">
            <v>1</v>
          </cell>
          <cell r="R708">
            <v>7</v>
          </cell>
          <cell r="S708">
            <v>50</v>
          </cell>
          <cell r="T708">
            <v>143.47826086956522</v>
          </cell>
          <cell r="U708">
            <v>3242</v>
          </cell>
          <cell r="V708">
            <v>143.47826086956522</v>
          </cell>
          <cell r="W708">
            <v>63</v>
          </cell>
          <cell r="X708">
            <v>909</v>
          </cell>
          <cell r="Y708">
            <v>18</v>
          </cell>
          <cell r="Z708">
            <v>26</v>
          </cell>
        </row>
        <row r="709">
          <cell r="A709">
            <v>9222344</v>
          </cell>
          <cell r="B709" t="str">
            <v>龙拳第3段</v>
          </cell>
          <cell r="C709" t="str">
            <v>龙拳第3段</v>
          </cell>
          <cell r="D709">
            <v>2</v>
          </cell>
          <cell r="E709">
            <v>71</v>
          </cell>
          <cell r="F709" t="str">
            <v>第44级，共造成206.6%点伤害</v>
          </cell>
          <cell r="G709">
            <v>3</v>
          </cell>
          <cell r="H709">
            <v>3</v>
          </cell>
          <cell r="I709">
            <v>44</v>
          </cell>
          <cell r="J709">
            <v>2</v>
          </cell>
          <cell r="K709">
            <v>206.60869565217391</v>
          </cell>
          <cell r="L709">
            <v>0</v>
          </cell>
          <cell r="M709">
            <v>4480</v>
          </cell>
          <cell r="N709">
            <v>223646</v>
          </cell>
          <cell r="O709">
            <v>2</v>
          </cell>
          <cell r="P709">
            <v>1</v>
          </cell>
          <cell r="Q709">
            <v>1</v>
          </cell>
          <cell r="R709">
            <v>7</v>
          </cell>
          <cell r="S709">
            <v>50</v>
          </cell>
          <cell r="T709">
            <v>143.47826086956522</v>
          </cell>
          <cell r="U709">
            <v>3338</v>
          </cell>
          <cell r="V709">
            <v>143.47826086956522</v>
          </cell>
          <cell r="W709">
            <v>67</v>
          </cell>
          <cell r="X709">
            <v>976</v>
          </cell>
          <cell r="Y709">
            <v>18</v>
          </cell>
          <cell r="Z709">
            <v>27</v>
          </cell>
        </row>
        <row r="710">
          <cell r="A710">
            <v>9222345</v>
          </cell>
          <cell r="B710" t="str">
            <v>龙拳第3段</v>
          </cell>
          <cell r="C710" t="str">
            <v>龙拳第3段</v>
          </cell>
          <cell r="D710">
            <v>2</v>
          </cell>
          <cell r="E710">
            <v>73</v>
          </cell>
          <cell r="F710" t="str">
            <v>第45级，共造成208%点伤害</v>
          </cell>
          <cell r="G710">
            <v>3</v>
          </cell>
          <cell r="H710">
            <v>3</v>
          </cell>
          <cell r="I710">
            <v>45</v>
          </cell>
          <cell r="J710">
            <v>2</v>
          </cell>
          <cell r="K710">
            <v>208.04347826086956</v>
          </cell>
          <cell r="L710">
            <v>0</v>
          </cell>
          <cell r="M710">
            <v>4400</v>
          </cell>
          <cell r="N710">
            <v>254448</v>
          </cell>
          <cell r="O710">
            <v>2</v>
          </cell>
          <cell r="P710">
            <v>1</v>
          </cell>
          <cell r="Q710">
            <v>1</v>
          </cell>
          <cell r="R710">
            <v>7</v>
          </cell>
          <cell r="S710">
            <v>50</v>
          </cell>
          <cell r="T710">
            <v>143.47826086956522</v>
          </cell>
          <cell r="U710">
            <v>3534</v>
          </cell>
          <cell r="V710">
            <v>143.47826086956522</v>
          </cell>
          <cell r="W710">
            <v>72</v>
          </cell>
          <cell r="X710">
            <v>1048</v>
          </cell>
          <cell r="Y710">
            <v>18</v>
          </cell>
          <cell r="Z710">
            <v>29</v>
          </cell>
        </row>
        <row r="711">
          <cell r="A711">
            <v>9222346</v>
          </cell>
          <cell r="B711" t="str">
            <v>龙拳第3段</v>
          </cell>
          <cell r="C711" t="str">
            <v>龙拳第3段</v>
          </cell>
          <cell r="D711">
            <v>2</v>
          </cell>
          <cell r="E711">
            <v>74</v>
          </cell>
          <cell r="F711" t="str">
            <v>第46级，共造成209.5%点伤害</v>
          </cell>
          <cell r="G711">
            <v>3</v>
          </cell>
          <cell r="H711">
            <v>3</v>
          </cell>
          <cell r="I711">
            <v>46</v>
          </cell>
          <cell r="J711">
            <v>2</v>
          </cell>
          <cell r="K711">
            <v>209.47826086956522</v>
          </cell>
          <cell r="L711">
            <v>0</v>
          </cell>
          <cell r="M711">
            <v>4320</v>
          </cell>
          <cell r="N711">
            <v>279818</v>
          </cell>
          <cell r="O711">
            <v>2</v>
          </cell>
          <cell r="P711">
            <v>1</v>
          </cell>
          <cell r="Q711">
            <v>1</v>
          </cell>
          <cell r="R711">
            <v>7</v>
          </cell>
          <cell r="S711">
            <v>50</v>
          </cell>
          <cell r="T711">
            <v>143.47826086956522</v>
          </cell>
          <cell r="U711">
            <v>3634</v>
          </cell>
          <cell r="V711">
            <v>143.47826086956522</v>
          </cell>
          <cell r="W711">
            <v>77</v>
          </cell>
          <cell r="X711">
            <v>1125</v>
          </cell>
          <cell r="Y711">
            <v>18</v>
          </cell>
          <cell r="Z711">
            <v>31</v>
          </cell>
        </row>
        <row r="712">
          <cell r="A712">
            <v>9222347</v>
          </cell>
          <cell r="B712" t="str">
            <v>龙拳第3段</v>
          </cell>
          <cell r="C712" t="str">
            <v>龙拳第3段</v>
          </cell>
          <cell r="D712">
            <v>2</v>
          </cell>
          <cell r="E712">
            <v>76</v>
          </cell>
          <cell r="F712" t="str">
            <v>第47级，共造成210.9%点伤害</v>
          </cell>
          <cell r="G712">
            <v>3</v>
          </cell>
          <cell r="H712">
            <v>3</v>
          </cell>
          <cell r="I712">
            <v>47</v>
          </cell>
          <cell r="J712">
            <v>2</v>
          </cell>
          <cell r="K712">
            <v>210.91304347826087</v>
          </cell>
          <cell r="L712">
            <v>0</v>
          </cell>
          <cell r="M712">
            <v>4240</v>
          </cell>
          <cell r="N712">
            <v>314716</v>
          </cell>
          <cell r="O712">
            <v>2</v>
          </cell>
          <cell r="P712">
            <v>1</v>
          </cell>
          <cell r="Q712">
            <v>1</v>
          </cell>
          <cell r="R712">
            <v>7</v>
          </cell>
          <cell r="S712">
            <v>50</v>
          </cell>
          <cell r="T712">
            <v>143.47826086956522</v>
          </cell>
          <cell r="U712">
            <v>3838</v>
          </cell>
          <cell r="V712">
            <v>143.47826086956522</v>
          </cell>
          <cell r="W712">
            <v>82</v>
          </cell>
          <cell r="X712">
            <v>1207</v>
          </cell>
          <cell r="Y712">
            <v>18</v>
          </cell>
          <cell r="Z712">
            <v>33</v>
          </cell>
        </row>
        <row r="713">
          <cell r="A713">
            <v>9222348</v>
          </cell>
          <cell r="B713" t="str">
            <v>龙拳第3段</v>
          </cell>
          <cell r="C713" t="str">
            <v>龙拳第3段</v>
          </cell>
          <cell r="D713">
            <v>2</v>
          </cell>
          <cell r="E713">
            <v>77</v>
          </cell>
          <cell r="F713" t="str">
            <v>第48级，共造成212.3%点伤害</v>
          </cell>
          <cell r="G713">
            <v>3</v>
          </cell>
          <cell r="H713">
            <v>3</v>
          </cell>
          <cell r="I713">
            <v>48</v>
          </cell>
          <cell r="J713">
            <v>2</v>
          </cell>
          <cell r="K713">
            <v>212.3478260869565</v>
          </cell>
          <cell r="L713">
            <v>0</v>
          </cell>
          <cell r="M713">
            <v>4160</v>
          </cell>
          <cell r="N713">
            <v>346896</v>
          </cell>
          <cell r="O713">
            <v>2</v>
          </cell>
          <cell r="P713">
            <v>1</v>
          </cell>
          <cell r="Q713">
            <v>1</v>
          </cell>
          <cell r="R713">
            <v>7</v>
          </cell>
          <cell r="S713">
            <v>50</v>
          </cell>
          <cell r="T713">
            <v>143.47826086956522</v>
          </cell>
          <cell r="U713">
            <v>3942</v>
          </cell>
          <cell r="V713">
            <v>143.47826086956522</v>
          </cell>
          <cell r="W713">
            <v>88</v>
          </cell>
          <cell r="X713">
            <v>1295</v>
          </cell>
          <cell r="Y713">
            <v>18</v>
          </cell>
          <cell r="Z713">
            <v>36</v>
          </cell>
        </row>
        <row r="714">
          <cell r="A714">
            <v>9222349</v>
          </cell>
          <cell r="B714" t="str">
            <v>龙拳第3段</v>
          </cell>
          <cell r="C714" t="str">
            <v>龙拳第3段</v>
          </cell>
          <cell r="D714">
            <v>2</v>
          </cell>
          <cell r="E714">
            <v>79</v>
          </cell>
          <cell r="F714" t="str">
            <v>第49级，共造成213.8%点伤害</v>
          </cell>
          <cell r="G714">
            <v>3</v>
          </cell>
          <cell r="H714">
            <v>3</v>
          </cell>
          <cell r="I714">
            <v>49</v>
          </cell>
          <cell r="J714">
            <v>2</v>
          </cell>
          <cell r="K714">
            <v>213.78260869565219</v>
          </cell>
          <cell r="L714">
            <v>0</v>
          </cell>
          <cell r="M714">
            <v>4080</v>
          </cell>
          <cell r="N714">
            <v>390476</v>
          </cell>
          <cell r="O714">
            <v>2</v>
          </cell>
          <cell r="P714">
            <v>1</v>
          </cell>
          <cell r="Q714">
            <v>1</v>
          </cell>
          <cell r="R714">
            <v>7</v>
          </cell>
          <cell r="S714">
            <v>50</v>
          </cell>
          <cell r="T714">
            <v>143.47826086956522</v>
          </cell>
          <cell r="U714">
            <v>4154</v>
          </cell>
          <cell r="V714">
            <v>143.47826086956522</v>
          </cell>
          <cell r="W714">
            <v>94</v>
          </cell>
          <cell r="X714">
            <v>1389</v>
          </cell>
          <cell r="Y714">
            <v>18</v>
          </cell>
          <cell r="Z714">
            <v>38</v>
          </cell>
        </row>
        <row r="715">
          <cell r="A715">
            <v>9222350</v>
          </cell>
          <cell r="B715" t="str">
            <v>龙拳第3段</v>
          </cell>
          <cell r="C715" t="str">
            <v>龙拳第3段</v>
          </cell>
          <cell r="D715">
            <v>2</v>
          </cell>
          <cell r="E715">
            <v>80</v>
          </cell>
          <cell r="F715" t="str">
            <v>第50级，共造成215.2%点伤害</v>
          </cell>
          <cell r="G715">
            <v>3</v>
          </cell>
          <cell r="H715">
            <v>3</v>
          </cell>
          <cell r="I715">
            <v>50</v>
          </cell>
          <cell r="J715">
            <v>2</v>
          </cell>
          <cell r="K715">
            <v>215.21739130434781</v>
          </cell>
          <cell r="L715">
            <v>0</v>
          </cell>
          <cell r="M715">
            <v>4000</v>
          </cell>
          <cell r="N715">
            <v>430462</v>
          </cell>
          <cell r="O715">
            <v>2</v>
          </cell>
          <cell r="P715">
            <v>1</v>
          </cell>
          <cell r="Q715">
            <v>1</v>
          </cell>
          <cell r="R715">
            <v>7</v>
          </cell>
          <cell r="S715">
            <v>50</v>
          </cell>
          <cell r="T715">
            <v>143.47826086956522</v>
          </cell>
          <cell r="U715">
            <v>4262</v>
          </cell>
          <cell r="V715">
            <v>143.47826086956522</v>
          </cell>
          <cell r="W715">
            <v>101</v>
          </cell>
          <cell r="X715">
            <v>1490</v>
          </cell>
          <cell r="Y715">
            <v>18</v>
          </cell>
          <cell r="Z715">
            <v>41</v>
          </cell>
        </row>
        <row r="716">
          <cell r="A716">
            <v>1</v>
          </cell>
          <cell r="B716" t="str">
            <v>龙拳</v>
          </cell>
          <cell r="C716" t="str">
            <v>龙拳第4段</v>
          </cell>
          <cell r="D716">
            <v>2</v>
          </cell>
          <cell r="E716">
            <v>4</v>
          </cell>
          <cell r="F716" t="str">
            <v>第0级，共造成179.3%点伤害</v>
          </cell>
          <cell r="G716">
            <v>0</v>
          </cell>
          <cell r="H716">
            <v>4</v>
          </cell>
          <cell r="I716">
            <v>0</v>
          </cell>
          <cell r="J716">
            <v>2</v>
          </cell>
          <cell r="K716">
            <v>59.782608695652179</v>
          </cell>
          <cell r="L716">
            <v>0</v>
          </cell>
          <cell r="M716">
            <v>8000</v>
          </cell>
          <cell r="N716">
            <v>0</v>
          </cell>
          <cell r="O716">
            <v>2</v>
          </cell>
          <cell r="P716">
            <v>3</v>
          </cell>
          <cell r="Q716">
            <v>1</v>
          </cell>
          <cell r="R716">
            <v>9</v>
          </cell>
          <cell r="S716">
            <v>50</v>
          </cell>
          <cell r="T716">
            <v>59.782608695652179</v>
          </cell>
          <cell r="U716">
            <v>68</v>
          </cell>
          <cell r="V716">
            <v>179.34782608695653</v>
          </cell>
          <cell r="W716">
            <v>0</v>
          </cell>
          <cell r="X716">
            <v>0</v>
          </cell>
          <cell r="Y716">
            <v>18</v>
          </cell>
          <cell r="Z716">
            <v>0</v>
          </cell>
        </row>
        <row r="717">
          <cell r="A717">
            <v>9222401</v>
          </cell>
          <cell r="B717" t="str">
            <v>龙拳第4段</v>
          </cell>
          <cell r="C717" t="str">
            <v>龙拳第4段</v>
          </cell>
          <cell r="D717">
            <v>2</v>
          </cell>
          <cell r="E717">
            <v>4</v>
          </cell>
          <cell r="F717" t="str">
            <v>第1级，共造成179.3%点伤害</v>
          </cell>
          <cell r="G717">
            <v>4</v>
          </cell>
          <cell r="H717">
            <v>4</v>
          </cell>
          <cell r="I717">
            <v>1</v>
          </cell>
          <cell r="J717">
            <v>2</v>
          </cell>
          <cell r="K717">
            <v>59.782608695652179</v>
          </cell>
          <cell r="L717">
            <v>0</v>
          </cell>
          <cell r="M717">
            <v>8000</v>
          </cell>
          <cell r="N717">
            <v>408</v>
          </cell>
          <cell r="O717">
            <v>2</v>
          </cell>
          <cell r="P717">
            <v>3</v>
          </cell>
          <cell r="Q717">
            <v>1</v>
          </cell>
          <cell r="R717">
            <v>9</v>
          </cell>
          <cell r="S717">
            <v>50</v>
          </cell>
          <cell r="T717">
            <v>59.782608695652179</v>
          </cell>
          <cell r="U717">
            <v>68</v>
          </cell>
          <cell r="V717">
            <v>179.34782608695653</v>
          </cell>
          <cell r="W717">
            <v>6</v>
          </cell>
          <cell r="X717">
            <v>6</v>
          </cell>
          <cell r="Y717">
            <v>18</v>
          </cell>
          <cell r="Z717">
            <v>0</v>
          </cell>
        </row>
        <row r="718">
          <cell r="A718">
            <v>9222402</v>
          </cell>
          <cell r="B718" t="str">
            <v>龙拳第4段</v>
          </cell>
          <cell r="C718" t="str">
            <v>龙拳第4段</v>
          </cell>
          <cell r="D718">
            <v>2</v>
          </cell>
          <cell r="E718">
            <v>12</v>
          </cell>
          <cell r="F718" t="str">
            <v>第2级，共造成182.9%点伤害</v>
          </cell>
          <cell r="G718">
            <v>4</v>
          </cell>
          <cell r="H718">
            <v>4</v>
          </cell>
          <cell r="I718">
            <v>2</v>
          </cell>
          <cell r="J718">
            <v>2</v>
          </cell>
          <cell r="K718">
            <v>60.978260869565226</v>
          </cell>
          <cell r="L718">
            <v>0</v>
          </cell>
          <cell r="M718">
            <v>7840</v>
          </cell>
          <cell r="N718">
            <v>812</v>
          </cell>
          <cell r="O718">
            <v>2</v>
          </cell>
          <cell r="P718">
            <v>3</v>
          </cell>
          <cell r="Q718">
            <v>1</v>
          </cell>
          <cell r="R718">
            <v>9</v>
          </cell>
          <cell r="S718">
            <v>50</v>
          </cell>
          <cell r="T718">
            <v>59.782608695652179</v>
          </cell>
          <cell r="U718">
            <v>116</v>
          </cell>
          <cell r="V718">
            <v>179.34782608695653</v>
          </cell>
          <cell r="W718">
            <v>7</v>
          </cell>
          <cell r="X718">
            <v>13</v>
          </cell>
          <cell r="Y718">
            <v>18</v>
          </cell>
          <cell r="Z718">
            <v>0</v>
          </cell>
        </row>
        <row r="719">
          <cell r="A719">
            <v>9222403</v>
          </cell>
          <cell r="B719" t="str">
            <v>龙拳第4段</v>
          </cell>
          <cell r="C719" t="str">
            <v>龙拳第4段</v>
          </cell>
          <cell r="D719">
            <v>2</v>
          </cell>
          <cell r="E719">
            <v>13</v>
          </cell>
          <cell r="F719" t="str">
            <v>第3级，共造成184.7%点伤害</v>
          </cell>
          <cell r="G719">
            <v>4</v>
          </cell>
          <cell r="H719">
            <v>4</v>
          </cell>
          <cell r="I719">
            <v>3</v>
          </cell>
          <cell r="J719">
            <v>2</v>
          </cell>
          <cell r="K719">
            <v>61.576086956521742</v>
          </cell>
          <cell r="L719">
            <v>0</v>
          </cell>
          <cell r="M719">
            <v>7760</v>
          </cell>
          <cell r="N719">
            <v>854</v>
          </cell>
          <cell r="O719">
            <v>2</v>
          </cell>
          <cell r="P719">
            <v>3</v>
          </cell>
          <cell r="Q719">
            <v>1</v>
          </cell>
          <cell r="R719">
            <v>9</v>
          </cell>
          <cell r="S719">
            <v>50</v>
          </cell>
          <cell r="T719">
            <v>59.782608695652179</v>
          </cell>
          <cell r="U719">
            <v>122</v>
          </cell>
          <cell r="V719">
            <v>179.34782608695653</v>
          </cell>
          <cell r="W719">
            <v>7</v>
          </cell>
          <cell r="X719">
            <v>20</v>
          </cell>
          <cell r="Y719">
            <v>18</v>
          </cell>
          <cell r="Z719">
            <v>0</v>
          </cell>
        </row>
        <row r="720">
          <cell r="A720">
            <v>9222404</v>
          </cell>
          <cell r="B720" t="str">
            <v>龙拳第4段</v>
          </cell>
          <cell r="C720" t="str">
            <v>龙拳第4段</v>
          </cell>
          <cell r="D720">
            <v>2</v>
          </cell>
          <cell r="E720">
            <v>15</v>
          </cell>
          <cell r="F720" t="str">
            <v>第4级，共造成186.5%点伤害</v>
          </cell>
          <cell r="G720">
            <v>4</v>
          </cell>
          <cell r="H720">
            <v>4</v>
          </cell>
          <cell r="I720">
            <v>4</v>
          </cell>
          <cell r="J720">
            <v>2</v>
          </cell>
          <cell r="K720">
            <v>62.173913043478265</v>
          </cell>
          <cell r="L720">
            <v>0</v>
          </cell>
          <cell r="M720">
            <v>7680</v>
          </cell>
          <cell r="N720">
            <v>1072</v>
          </cell>
          <cell r="O720">
            <v>2</v>
          </cell>
          <cell r="P720">
            <v>3</v>
          </cell>
          <cell r="Q720">
            <v>1</v>
          </cell>
          <cell r="R720">
            <v>9</v>
          </cell>
          <cell r="S720">
            <v>50</v>
          </cell>
          <cell r="T720">
            <v>59.782608695652179</v>
          </cell>
          <cell r="U720">
            <v>134</v>
          </cell>
          <cell r="V720">
            <v>179.34782608695653</v>
          </cell>
          <cell r="W720">
            <v>8</v>
          </cell>
          <cell r="X720">
            <v>28</v>
          </cell>
          <cell r="Y720">
            <v>18</v>
          </cell>
          <cell r="Z720">
            <v>0</v>
          </cell>
        </row>
        <row r="721">
          <cell r="A721">
            <v>9222405</v>
          </cell>
          <cell r="B721" t="str">
            <v>龙拳第4段</v>
          </cell>
          <cell r="C721" t="str">
            <v>龙拳第4段</v>
          </cell>
          <cell r="D721">
            <v>2</v>
          </cell>
          <cell r="E721">
            <v>16</v>
          </cell>
          <cell r="F721" t="str">
            <v>第5级，共造成188.3%点伤害</v>
          </cell>
          <cell r="G721">
            <v>4</v>
          </cell>
          <cell r="H721">
            <v>4</v>
          </cell>
          <cell r="I721">
            <v>5</v>
          </cell>
          <cell r="J721">
            <v>2</v>
          </cell>
          <cell r="K721">
            <v>62.771739130434788</v>
          </cell>
          <cell r="L721">
            <v>0</v>
          </cell>
          <cell r="M721">
            <v>7600</v>
          </cell>
          <cell r="N721">
            <v>1120</v>
          </cell>
          <cell r="O721">
            <v>2</v>
          </cell>
          <cell r="P721">
            <v>3</v>
          </cell>
          <cell r="Q721">
            <v>1</v>
          </cell>
          <cell r="R721">
            <v>9</v>
          </cell>
          <cell r="S721">
            <v>50</v>
          </cell>
          <cell r="T721">
            <v>59.782608695652179</v>
          </cell>
          <cell r="U721">
            <v>140</v>
          </cell>
          <cell r="V721">
            <v>179.34782608695653</v>
          </cell>
          <cell r="W721">
            <v>8</v>
          </cell>
          <cell r="X721">
            <v>36</v>
          </cell>
          <cell r="Y721">
            <v>18</v>
          </cell>
          <cell r="Z721">
            <v>0</v>
          </cell>
        </row>
        <row r="722">
          <cell r="A722">
            <v>9222406</v>
          </cell>
          <cell r="B722" t="str">
            <v>龙拳第4段</v>
          </cell>
          <cell r="C722" t="str">
            <v>龙拳第4段</v>
          </cell>
          <cell r="D722">
            <v>2</v>
          </cell>
          <cell r="E722">
            <v>18</v>
          </cell>
          <cell r="F722" t="str">
            <v>第6级，共造成190.1%点伤害</v>
          </cell>
          <cell r="G722">
            <v>4</v>
          </cell>
          <cell r="H722">
            <v>4</v>
          </cell>
          <cell r="I722">
            <v>6</v>
          </cell>
          <cell r="J722">
            <v>2</v>
          </cell>
          <cell r="K722">
            <v>63.369565217391312</v>
          </cell>
          <cell r="L722">
            <v>0</v>
          </cell>
          <cell r="M722">
            <v>7520</v>
          </cell>
          <cell r="N722">
            <v>1368</v>
          </cell>
          <cell r="O722">
            <v>2</v>
          </cell>
          <cell r="P722">
            <v>3</v>
          </cell>
          <cell r="Q722">
            <v>1</v>
          </cell>
          <cell r="R722">
            <v>9</v>
          </cell>
          <cell r="S722">
            <v>50</v>
          </cell>
          <cell r="T722">
            <v>59.782608695652179</v>
          </cell>
          <cell r="U722">
            <v>152</v>
          </cell>
          <cell r="V722">
            <v>179.34782608695653</v>
          </cell>
          <cell r="W722">
            <v>9</v>
          </cell>
          <cell r="X722">
            <v>45</v>
          </cell>
          <cell r="Y722">
            <v>18</v>
          </cell>
          <cell r="Z722">
            <v>0</v>
          </cell>
        </row>
        <row r="723">
          <cell r="A723">
            <v>9222407</v>
          </cell>
          <cell r="B723" t="str">
            <v>龙拳第4段</v>
          </cell>
          <cell r="C723" t="str">
            <v>龙拳第4段</v>
          </cell>
          <cell r="D723">
            <v>2</v>
          </cell>
          <cell r="E723">
            <v>19</v>
          </cell>
          <cell r="F723" t="str">
            <v>第7级，共造成191.9%点伤害</v>
          </cell>
          <cell r="G723">
            <v>4</v>
          </cell>
          <cell r="H723">
            <v>4</v>
          </cell>
          <cell r="I723">
            <v>7</v>
          </cell>
          <cell r="J723">
            <v>2</v>
          </cell>
          <cell r="K723">
            <v>63.967391304347835</v>
          </cell>
          <cell r="L723">
            <v>0</v>
          </cell>
          <cell r="M723">
            <v>7440</v>
          </cell>
          <cell r="N723">
            <v>1422</v>
          </cell>
          <cell r="O723">
            <v>2</v>
          </cell>
          <cell r="P723">
            <v>3</v>
          </cell>
          <cell r="Q723">
            <v>1</v>
          </cell>
          <cell r="R723">
            <v>9</v>
          </cell>
          <cell r="S723">
            <v>50</v>
          </cell>
          <cell r="T723">
            <v>59.782608695652179</v>
          </cell>
          <cell r="U723">
            <v>158</v>
          </cell>
          <cell r="V723">
            <v>179.34782608695653</v>
          </cell>
          <cell r="W723">
            <v>9</v>
          </cell>
          <cell r="X723">
            <v>54</v>
          </cell>
          <cell r="Y723">
            <v>18</v>
          </cell>
          <cell r="Z723">
            <v>0</v>
          </cell>
        </row>
        <row r="724">
          <cell r="A724">
            <v>9222408</v>
          </cell>
          <cell r="B724" t="str">
            <v>龙拳第4段</v>
          </cell>
          <cell r="C724" t="str">
            <v>龙拳第4段</v>
          </cell>
          <cell r="D724">
            <v>2</v>
          </cell>
          <cell r="E724">
            <v>20</v>
          </cell>
          <cell r="F724" t="str">
            <v>第8级，共造成193.7%点伤害</v>
          </cell>
          <cell r="G724">
            <v>4</v>
          </cell>
          <cell r="H724">
            <v>4</v>
          </cell>
          <cell r="I724">
            <v>8</v>
          </cell>
          <cell r="J724">
            <v>2</v>
          </cell>
          <cell r="K724">
            <v>64.565217391304358</v>
          </cell>
          <cell r="L724">
            <v>0</v>
          </cell>
          <cell r="M724">
            <v>7360</v>
          </cell>
          <cell r="N724">
            <v>1820</v>
          </cell>
          <cell r="O724">
            <v>2</v>
          </cell>
          <cell r="P724">
            <v>3</v>
          </cell>
          <cell r="Q724">
            <v>1</v>
          </cell>
          <cell r="R724">
            <v>9</v>
          </cell>
          <cell r="S724">
            <v>50</v>
          </cell>
          <cell r="T724">
            <v>59.782608695652179</v>
          </cell>
          <cell r="U724">
            <v>182</v>
          </cell>
          <cell r="V724">
            <v>179.34782608695653</v>
          </cell>
          <cell r="W724">
            <v>10</v>
          </cell>
          <cell r="X724">
            <v>64</v>
          </cell>
          <cell r="Y724">
            <v>18</v>
          </cell>
          <cell r="Z724">
            <v>0</v>
          </cell>
        </row>
        <row r="725">
          <cell r="A725">
            <v>9222409</v>
          </cell>
          <cell r="B725" t="str">
            <v>龙拳第4段</v>
          </cell>
          <cell r="C725" t="str">
            <v>龙拳第4段</v>
          </cell>
          <cell r="D725">
            <v>2</v>
          </cell>
          <cell r="E725">
            <v>22</v>
          </cell>
          <cell r="F725" t="str">
            <v>第9级，共造成195.5%点伤害</v>
          </cell>
          <cell r="G725">
            <v>4</v>
          </cell>
          <cell r="H725">
            <v>4</v>
          </cell>
          <cell r="I725">
            <v>9</v>
          </cell>
          <cell r="J725">
            <v>2</v>
          </cell>
          <cell r="K725">
            <v>65.163043478260875</v>
          </cell>
          <cell r="L725">
            <v>0</v>
          </cell>
          <cell r="M725">
            <v>7280</v>
          </cell>
          <cell r="N725">
            <v>2629</v>
          </cell>
          <cell r="O725">
            <v>2</v>
          </cell>
          <cell r="P725">
            <v>3</v>
          </cell>
          <cell r="Q725">
            <v>1</v>
          </cell>
          <cell r="R725">
            <v>9</v>
          </cell>
          <cell r="S725">
            <v>50</v>
          </cell>
          <cell r="T725">
            <v>59.782608695652179</v>
          </cell>
          <cell r="U725">
            <v>239</v>
          </cell>
          <cell r="V725">
            <v>179.34782608695653</v>
          </cell>
          <cell r="W725">
            <v>11</v>
          </cell>
          <cell r="X725">
            <v>75</v>
          </cell>
          <cell r="Y725">
            <v>18</v>
          </cell>
          <cell r="Z725">
            <v>0</v>
          </cell>
        </row>
        <row r="726">
          <cell r="A726">
            <v>9222410</v>
          </cell>
          <cell r="B726" t="str">
            <v>龙拳第4段</v>
          </cell>
          <cell r="C726" t="str">
            <v>龙拳第4段</v>
          </cell>
          <cell r="D726">
            <v>2</v>
          </cell>
          <cell r="E726">
            <v>23</v>
          </cell>
          <cell r="F726" t="str">
            <v>第10级，共造成197.3%点伤害</v>
          </cell>
          <cell r="G726">
            <v>4</v>
          </cell>
          <cell r="H726">
            <v>4</v>
          </cell>
          <cell r="I726">
            <v>10</v>
          </cell>
          <cell r="J726">
            <v>2</v>
          </cell>
          <cell r="K726">
            <v>65.760869565217405</v>
          </cell>
          <cell r="L726">
            <v>0</v>
          </cell>
          <cell r="M726">
            <v>7200</v>
          </cell>
          <cell r="N726">
            <v>2970</v>
          </cell>
          <cell r="O726">
            <v>2</v>
          </cell>
          <cell r="P726">
            <v>3</v>
          </cell>
          <cell r="Q726">
            <v>1</v>
          </cell>
          <cell r="R726">
            <v>9</v>
          </cell>
          <cell r="S726">
            <v>50</v>
          </cell>
          <cell r="T726">
            <v>59.782608695652179</v>
          </cell>
          <cell r="U726">
            <v>270</v>
          </cell>
          <cell r="V726">
            <v>179.34782608695653</v>
          </cell>
          <cell r="W726">
            <v>11</v>
          </cell>
          <cell r="X726">
            <v>86</v>
          </cell>
          <cell r="Y726">
            <v>18</v>
          </cell>
          <cell r="Z726">
            <v>0</v>
          </cell>
        </row>
        <row r="727">
          <cell r="A727">
            <v>9222411</v>
          </cell>
          <cell r="B727" t="str">
            <v>龙拳第4段</v>
          </cell>
          <cell r="C727" t="str">
            <v>龙拳第4段</v>
          </cell>
          <cell r="D727">
            <v>2</v>
          </cell>
          <cell r="E727">
            <v>25</v>
          </cell>
          <cell r="F727" t="str">
            <v>第11级，共造成199.1%点伤害</v>
          </cell>
          <cell r="G727">
            <v>4</v>
          </cell>
          <cell r="H727">
            <v>4</v>
          </cell>
          <cell r="I727">
            <v>11</v>
          </cell>
          <cell r="J727">
            <v>2</v>
          </cell>
          <cell r="K727">
            <v>66.358695652173921</v>
          </cell>
          <cell r="L727">
            <v>0</v>
          </cell>
          <cell r="M727">
            <v>7120</v>
          </cell>
          <cell r="N727">
            <v>4020</v>
          </cell>
          <cell r="O727">
            <v>2</v>
          </cell>
          <cell r="P727">
            <v>3</v>
          </cell>
          <cell r="Q727">
            <v>1</v>
          </cell>
          <cell r="R727">
            <v>9</v>
          </cell>
          <cell r="S727">
            <v>50</v>
          </cell>
          <cell r="T727">
            <v>59.782608695652179</v>
          </cell>
          <cell r="U727">
            <v>335</v>
          </cell>
          <cell r="V727">
            <v>179.34782608695653</v>
          </cell>
          <cell r="W727">
            <v>12</v>
          </cell>
          <cell r="X727">
            <v>98</v>
          </cell>
          <cell r="Y727">
            <v>18</v>
          </cell>
          <cell r="Z727">
            <v>0</v>
          </cell>
        </row>
        <row r="728">
          <cell r="A728">
            <v>9222412</v>
          </cell>
          <cell r="B728" t="str">
            <v>龙拳第4段</v>
          </cell>
          <cell r="C728" t="str">
            <v>龙拳第4段</v>
          </cell>
          <cell r="D728">
            <v>2</v>
          </cell>
          <cell r="E728">
            <v>26</v>
          </cell>
          <cell r="F728" t="str">
            <v>第12级，共造成200.9%点伤害</v>
          </cell>
          <cell r="G728">
            <v>4</v>
          </cell>
          <cell r="H728">
            <v>4</v>
          </cell>
          <cell r="I728">
            <v>12</v>
          </cell>
          <cell r="J728">
            <v>2</v>
          </cell>
          <cell r="K728">
            <v>66.956521739130437</v>
          </cell>
          <cell r="L728">
            <v>0</v>
          </cell>
          <cell r="M728">
            <v>7040</v>
          </cell>
          <cell r="N728">
            <v>4810</v>
          </cell>
          <cell r="O728">
            <v>2</v>
          </cell>
          <cell r="P728">
            <v>3</v>
          </cell>
          <cell r="Q728">
            <v>1</v>
          </cell>
          <cell r="R728">
            <v>9</v>
          </cell>
          <cell r="S728">
            <v>50</v>
          </cell>
          <cell r="T728">
            <v>59.782608695652179</v>
          </cell>
          <cell r="U728">
            <v>370</v>
          </cell>
          <cell r="V728">
            <v>179.34782608695653</v>
          </cell>
          <cell r="W728">
            <v>13</v>
          </cell>
          <cell r="X728">
            <v>111</v>
          </cell>
          <cell r="Y728">
            <v>18</v>
          </cell>
          <cell r="Z728">
            <v>0</v>
          </cell>
        </row>
        <row r="729">
          <cell r="A729">
            <v>9222413</v>
          </cell>
          <cell r="B729" t="str">
            <v>龙拳第4段</v>
          </cell>
          <cell r="C729" t="str">
            <v>龙拳第4段</v>
          </cell>
          <cell r="D729">
            <v>2</v>
          </cell>
          <cell r="E729">
            <v>27</v>
          </cell>
          <cell r="F729" t="str">
            <v>第13级，共造成202.7%点伤害</v>
          </cell>
          <cell r="G729">
            <v>4</v>
          </cell>
          <cell r="H729">
            <v>4</v>
          </cell>
          <cell r="I729">
            <v>13</v>
          </cell>
          <cell r="J729">
            <v>2</v>
          </cell>
          <cell r="K729">
            <v>67.554347826086968</v>
          </cell>
          <cell r="L729">
            <v>0</v>
          </cell>
          <cell r="M729">
            <v>6960</v>
          </cell>
          <cell r="N729">
            <v>5684</v>
          </cell>
          <cell r="O729">
            <v>2</v>
          </cell>
          <cell r="P729">
            <v>3</v>
          </cell>
          <cell r="Q729">
            <v>1</v>
          </cell>
          <cell r="R729">
            <v>9</v>
          </cell>
          <cell r="S729">
            <v>50</v>
          </cell>
          <cell r="T729">
            <v>59.782608695652179</v>
          </cell>
          <cell r="U729">
            <v>406</v>
          </cell>
          <cell r="V729">
            <v>179.34782608695653</v>
          </cell>
          <cell r="W729">
            <v>14</v>
          </cell>
          <cell r="X729">
            <v>125</v>
          </cell>
          <cell r="Y729">
            <v>18</v>
          </cell>
          <cell r="Z729">
            <v>0</v>
          </cell>
        </row>
        <row r="730">
          <cell r="A730">
            <v>9222414</v>
          </cell>
          <cell r="B730" t="str">
            <v>龙拳第4段</v>
          </cell>
          <cell r="C730" t="str">
            <v>龙拳第4段</v>
          </cell>
          <cell r="D730">
            <v>2</v>
          </cell>
          <cell r="E730">
            <v>29</v>
          </cell>
          <cell r="F730" t="str">
            <v>第14级，共造成204.5%点伤害</v>
          </cell>
          <cell r="G730">
            <v>4</v>
          </cell>
          <cell r="H730">
            <v>4</v>
          </cell>
          <cell r="I730">
            <v>14</v>
          </cell>
          <cell r="J730">
            <v>2</v>
          </cell>
          <cell r="K730">
            <v>68.152173913043484</v>
          </cell>
          <cell r="L730">
            <v>0</v>
          </cell>
          <cell r="M730">
            <v>6880</v>
          </cell>
          <cell r="N730">
            <v>6748</v>
          </cell>
          <cell r="O730">
            <v>2</v>
          </cell>
          <cell r="P730">
            <v>3</v>
          </cell>
          <cell r="Q730">
            <v>1</v>
          </cell>
          <cell r="R730">
            <v>9</v>
          </cell>
          <cell r="S730">
            <v>50</v>
          </cell>
          <cell r="T730">
            <v>59.782608695652179</v>
          </cell>
          <cell r="U730">
            <v>482</v>
          </cell>
          <cell r="V730">
            <v>179.34782608695653</v>
          </cell>
          <cell r="W730">
            <v>14</v>
          </cell>
          <cell r="X730">
            <v>139</v>
          </cell>
          <cell r="Y730">
            <v>18</v>
          </cell>
          <cell r="Z730">
            <v>0</v>
          </cell>
        </row>
        <row r="731">
          <cell r="A731">
            <v>9222415</v>
          </cell>
          <cell r="B731" t="str">
            <v>龙拳第4段</v>
          </cell>
          <cell r="C731" t="str">
            <v>龙拳第4段</v>
          </cell>
          <cell r="D731">
            <v>2</v>
          </cell>
          <cell r="E731">
            <v>30</v>
          </cell>
          <cell r="F731" t="str">
            <v>第15级，共造成206.3%点伤害</v>
          </cell>
          <cell r="G731">
            <v>4</v>
          </cell>
          <cell r="H731">
            <v>4</v>
          </cell>
          <cell r="I731">
            <v>15</v>
          </cell>
          <cell r="J731">
            <v>2</v>
          </cell>
          <cell r="K731">
            <v>68.75</v>
          </cell>
          <cell r="L731">
            <v>0</v>
          </cell>
          <cell r="M731">
            <v>6800</v>
          </cell>
          <cell r="N731">
            <v>7830</v>
          </cell>
          <cell r="O731">
            <v>2</v>
          </cell>
          <cell r="P731">
            <v>3</v>
          </cell>
          <cell r="Q731">
            <v>1</v>
          </cell>
          <cell r="R731">
            <v>9</v>
          </cell>
          <cell r="S731">
            <v>50</v>
          </cell>
          <cell r="T731">
            <v>59.782608695652179</v>
          </cell>
          <cell r="U731">
            <v>522</v>
          </cell>
          <cell r="V731">
            <v>179.34782608695653</v>
          </cell>
          <cell r="W731">
            <v>15</v>
          </cell>
          <cell r="X731">
            <v>154</v>
          </cell>
          <cell r="Y731">
            <v>18</v>
          </cell>
          <cell r="Z731">
            <v>0</v>
          </cell>
        </row>
        <row r="732">
          <cell r="A732">
            <v>9222416</v>
          </cell>
          <cell r="B732" t="str">
            <v>龙拳第4段</v>
          </cell>
          <cell r="C732" t="str">
            <v>龙拳第4段</v>
          </cell>
          <cell r="D732">
            <v>2</v>
          </cell>
          <cell r="E732">
            <v>32</v>
          </cell>
          <cell r="F732" t="str">
            <v>第16级，共造成208%点伤害</v>
          </cell>
          <cell r="G732">
            <v>4</v>
          </cell>
          <cell r="H732">
            <v>4</v>
          </cell>
          <cell r="I732">
            <v>16</v>
          </cell>
          <cell r="J732">
            <v>2</v>
          </cell>
          <cell r="K732">
            <v>69.34782608695653</v>
          </cell>
          <cell r="L732">
            <v>0</v>
          </cell>
          <cell r="M732">
            <v>6720</v>
          </cell>
          <cell r="N732">
            <v>9696</v>
          </cell>
          <cell r="O732">
            <v>2</v>
          </cell>
          <cell r="P732">
            <v>3</v>
          </cell>
          <cell r="Q732">
            <v>1</v>
          </cell>
          <cell r="R732">
            <v>9</v>
          </cell>
          <cell r="S732">
            <v>50</v>
          </cell>
          <cell r="T732">
            <v>59.782608695652179</v>
          </cell>
          <cell r="U732">
            <v>606</v>
          </cell>
          <cell r="V732">
            <v>179.34782608695653</v>
          </cell>
          <cell r="W732">
            <v>16</v>
          </cell>
          <cell r="X732">
            <v>170</v>
          </cell>
          <cell r="Y732">
            <v>18</v>
          </cell>
          <cell r="Z732">
            <v>0</v>
          </cell>
        </row>
        <row r="733">
          <cell r="A733">
            <v>9222417</v>
          </cell>
          <cell r="B733" t="str">
            <v>龙拳第4段</v>
          </cell>
          <cell r="C733" t="str">
            <v>龙拳第4段</v>
          </cell>
          <cell r="D733">
            <v>2</v>
          </cell>
          <cell r="E733">
            <v>33</v>
          </cell>
          <cell r="F733" t="str">
            <v>第17级，共造成209.8%点伤害</v>
          </cell>
          <cell r="G733">
            <v>4</v>
          </cell>
          <cell r="H733">
            <v>4</v>
          </cell>
          <cell r="I733">
            <v>17</v>
          </cell>
          <cell r="J733">
            <v>2</v>
          </cell>
          <cell r="K733">
            <v>69.945652173913047</v>
          </cell>
          <cell r="L733">
            <v>0</v>
          </cell>
          <cell r="M733">
            <v>6640</v>
          </cell>
          <cell r="N733">
            <v>11718</v>
          </cell>
          <cell r="O733">
            <v>2</v>
          </cell>
          <cell r="P733">
            <v>3</v>
          </cell>
          <cell r="Q733">
            <v>1</v>
          </cell>
          <cell r="R733">
            <v>9</v>
          </cell>
          <cell r="S733">
            <v>50</v>
          </cell>
          <cell r="T733">
            <v>59.782608695652179</v>
          </cell>
          <cell r="U733">
            <v>651</v>
          </cell>
          <cell r="V733">
            <v>179.34782608695653</v>
          </cell>
          <cell r="W733">
            <v>18</v>
          </cell>
          <cell r="X733">
            <v>188</v>
          </cell>
          <cell r="Y733">
            <v>18</v>
          </cell>
          <cell r="Z733">
            <v>0</v>
          </cell>
        </row>
        <row r="734">
          <cell r="A734">
            <v>9222418</v>
          </cell>
          <cell r="B734" t="str">
            <v>龙拳第4段</v>
          </cell>
          <cell r="C734" t="str">
            <v>龙拳第4段</v>
          </cell>
          <cell r="D734">
            <v>2</v>
          </cell>
          <cell r="E734">
            <v>35</v>
          </cell>
          <cell r="F734" t="str">
            <v>第18级，共造成211.6%点伤害</v>
          </cell>
          <cell r="G734">
            <v>4</v>
          </cell>
          <cell r="H734">
            <v>4</v>
          </cell>
          <cell r="I734">
            <v>18</v>
          </cell>
          <cell r="J734">
            <v>2</v>
          </cell>
          <cell r="K734">
            <v>70.543478260869577</v>
          </cell>
          <cell r="L734">
            <v>0</v>
          </cell>
          <cell r="M734">
            <v>6560</v>
          </cell>
          <cell r="N734">
            <v>14117</v>
          </cell>
          <cell r="O734">
            <v>2</v>
          </cell>
          <cell r="P734">
            <v>3</v>
          </cell>
          <cell r="Q734">
            <v>1</v>
          </cell>
          <cell r="R734">
            <v>9</v>
          </cell>
          <cell r="S734">
            <v>50</v>
          </cell>
          <cell r="T734">
            <v>59.782608695652179</v>
          </cell>
          <cell r="U734">
            <v>743</v>
          </cell>
          <cell r="V734">
            <v>179.34782608695653</v>
          </cell>
          <cell r="W734">
            <v>19</v>
          </cell>
          <cell r="X734">
            <v>207</v>
          </cell>
          <cell r="Y734">
            <v>18</v>
          </cell>
          <cell r="Z734">
            <v>8</v>
          </cell>
        </row>
        <row r="735">
          <cell r="A735">
            <v>9222419</v>
          </cell>
          <cell r="B735" t="str">
            <v>龙拳第4段</v>
          </cell>
          <cell r="C735" t="str">
            <v>龙拳第4段</v>
          </cell>
          <cell r="D735">
            <v>2</v>
          </cell>
          <cell r="E735">
            <v>36</v>
          </cell>
          <cell r="F735" t="str">
            <v>第19级，共造成213.4%点伤害</v>
          </cell>
          <cell r="G735">
            <v>4</v>
          </cell>
          <cell r="H735">
            <v>4</v>
          </cell>
          <cell r="I735">
            <v>19</v>
          </cell>
          <cell r="J735">
            <v>2</v>
          </cell>
          <cell r="K735">
            <v>71.141304347826093</v>
          </cell>
          <cell r="L735">
            <v>0</v>
          </cell>
          <cell r="M735">
            <v>6480</v>
          </cell>
          <cell r="N735">
            <v>15820</v>
          </cell>
          <cell r="O735">
            <v>2</v>
          </cell>
          <cell r="P735">
            <v>3</v>
          </cell>
          <cell r="Q735">
            <v>1</v>
          </cell>
          <cell r="R735">
            <v>9</v>
          </cell>
          <cell r="S735">
            <v>50</v>
          </cell>
          <cell r="T735">
            <v>59.782608695652179</v>
          </cell>
          <cell r="U735">
            <v>791</v>
          </cell>
          <cell r="V735">
            <v>179.34782608695653</v>
          </cell>
          <cell r="W735">
            <v>20</v>
          </cell>
          <cell r="X735">
            <v>227</v>
          </cell>
          <cell r="Y735">
            <v>18</v>
          </cell>
          <cell r="Z735">
            <v>8</v>
          </cell>
        </row>
        <row r="736">
          <cell r="A736">
            <v>9222420</v>
          </cell>
          <cell r="B736" t="str">
            <v>龙拳第4段</v>
          </cell>
          <cell r="C736" t="str">
            <v>龙拳第4段</v>
          </cell>
          <cell r="D736">
            <v>2</v>
          </cell>
          <cell r="E736">
            <v>37</v>
          </cell>
          <cell r="F736" t="str">
            <v>第20级，共造成215.2%点伤害</v>
          </cell>
          <cell r="G736">
            <v>4</v>
          </cell>
          <cell r="H736">
            <v>4</v>
          </cell>
          <cell r="I736">
            <v>20</v>
          </cell>
          <cell r="J736">
            <v>2</v>
          </cell>
          <cell r="K736">
            <v>71.739130434782624</v>
          </cell>
          <cell r="L736">
            <v>0</v>
          </cell>
          <cell r="M736">
            <v>6400</v>
          </cell>
          <cell r="N736">
            <v>18502</v>
          </cell>
          <cell r="O736">
            <v>2</v>
          </cell>
          <cell r="P736">
            <v>3</v>
          </cell>
          <cell r="Q736">
            <v>1</v>
          </cell>
          <cell r="R736">
            <v>9</v>
          </cell>
          <cell r="S736">
            <v>50</v>
          </cell>
          <cell r="T736">
            <v>59.782608695652179</v>
          </cell>
          <cell r="U736">
            <v>841</v>
          </cell>
          <cell r="V736">
            <v>179.34782608695653</v>
          </cell>
          <cell r="W736">
            <v>22</v>
          </cell>
          <cell r="X736">
            <v>249</v>
          </cell>
          <cell r="Y736">
            <v>18</v>
          </cell>
          <cell r="Z736">
            <v>9</v>
          </cell>
        </row>
        <row r="737">
          <cell r="A737">
            <v>9222421</v>
          </cell>
          <cell r="B737" t="str">
            <v>龙拳第4段</v>
          </cell>
          <cell r="C737" t="str">
            <v>龙拳第4段</v>
          </cell>
          <cell r="D737">
            <v>2</v>
          </cell>
          <cell r="E737">
            <v>39</v>
          </cell>
          <cell r="F737" t="str">
            <v>第21级，共造成217%点伤害</v>
          </cell>
          <cell r="G737">
            <v>4</v>
          </cell>
          <cell r="H737">
            <v>4</v>
          </cell>
          <cell r="I737">
            <v>21</v>
          </cell>
          <cell r="J737">
            <v>2</v>
          </cell>
          <cell r="K737">
            <v>72.33695652173914</v>
          </cell>
          <cell r="L737">
            <v>0</v>
          </cell>
          <cell r="M737">
            <v>6320</v>
          </cell>
          <cell r="N737">
            <v>21712</v>
          </cell>
          <cell r="O737">
            <v>2</v>
          </cell>
          <cell r="P737">
            <v>3</v>
          </cell>
          <cell r="Q737">
            <v>1</v>
          </cell>
          <cell r="R737">
            <v>9</v>
          </cell>
          <cell r="S737">
            <v>50</v>
          </cell>
          <cell r="T737">
            <v>59.782608695652179</v>
          </cell>
          <cell r="U737">
            <v>944</v>
          </cell>
          <cell r="V737">
            <v>179.34782608695653</v>
          </cell>
          <cell r="W737">
            <v>23</v>
          </cell>
          <cell r="X737">
            <v>272</v>
          </cell>
          <cell r="Y737">
            <v>18</v>
          </cell>
          <cell r="Z737">
            <v>10</v>
          </cell>
        </row>
        <row r="738">
          <cell r="A738">
            <v>9222422</v>
          </cell>
          <cell r="B738" t="str">
            <v>龙拳第4段</v>
          </cell>
          <cell r="C738" t="str">
            <v>龙拳第4段</v>
          </cell>
          <cell r="D738">
            <v>2</v>
          </cell>
          <cell r="E738">
            <v>40</v>
          </cell>
          <cell r="F738" t="str">
            <v>第22级，共造成218.8%点伤害</v>
          </cell>
          <cell r="G738">
            <v>4</v>
          </cell>
          <cell r="H738">
            <v>4</v>
          </cell>
          <cell r="I738">
            <v>22</v>
          </cell>
          <cell r="J738">
            <v>2</v>
          </cell>
          <cell r="K738">
            <v>72.934782608695656</v>
          </cell>
          <cell r="L738">
            <v>0</v>
          </cell>
          <cell r="M738">
            <v>6240</v>
          </cell>
          <cell r="N738">
            <v>24950</v>
          </cell>
          <cell r="O738">
            <v>2</v>
          </cell>
          <cell r="P738">
            <v>3</v>
          </cell>
          <cell r="Q738">
            <v>1</v>
          </cell>
          <cell r="R738">
            <v>9</v>
          </cell>
          <cell r="S738">
            <v>50</v>
          </cell>
          <cell r="T738">
            <v>59.782608695652179</v>
          </cell>
          <cell r="U738">
            <v>998</v>
          </cell>
          <cell r="V738">
            <v>179.34782608695653</v>
          </cell>
          <cell r="W738">
            <v>25</v>
          </cell>
          <cell r="X738">
            <v>297</v>
          </cell>
          <cell r="Y738">
            <v>18</v>
          </cell>
          <cell r="Z738">
            <v>10</v>
          </cell>
        </row>
        <row r="739">
          <cell r="A739">
            <v>9222423</v>
          </cell>
          <cell r="B739" t="str">
            <v>龙拳第4段</v>
          </cell>
          <cell r="C739" t="str">
            <v>龙拳第4段</v>
          </cell>
          <cell r="D739">
            <v>2</v>
          </cell>
          <cell r="E739">
            <v>42</v>
          </cell>
          <cell r="F739" t="str">
            <v>第23级，共造成220.6%点伤害</v>
          </cell>
          <cell r="G739">
            <v>4</v>
          </cell>
          <cell r="H739">
            <v>4</v>
          </cell>
          <cell r="I739">
            <v>23</v>
          </cell>
          <cell r="J739">
            <v>2</v>
          </cell>
          <cell r="K739">
            <v>73.532608695652186</v>
          </cell>
          <cell r="L739">
            <v>0</v>
          </cell>
          <cell r="M739">
            <v>6160</v>
          </cell>
          <cell r="N739">
            <v>29970</v>
          </cell>
          <cell r="O739">
            <v>2</v>
          </cell>
          <cell r="P739">
            <v>3</v>
          </cell>
          <cell r="Q739">
            <v>1</v>
          </cell>
          <cell r="R739">
            <v>9</v>
          </cell>
          <cell r="S739">
            <v>50</v>
          </cell>
          <cell r="T739">
            <v>59.782608695652179</v>
          </cell>
          <cell r="U739">
            <v>1110</v>
          </cell>
          <cell r="V739">
            <v>179.34782608695653</v>
          </cell>
          <cell r="W739">
            <v>27</v>
          </cell>
          <cell r="X739">
            <v>324</v>
          </cell>
          <cell r="Y739">
            <v>18</v>
          </cell>
          <cell r="Z739">
            <v>11</v>
          </cell>
        </row>
        <row r="740">
          <cell r="A740">
            <v>9222424</v>
          </cell>
          <cell r="B740" t="str">
            <v>龙拳第4段</v>
          </cell>
          <cell r="C740" t="str">
            <v>龙拳第4段</v>
          </cell>
          <cell r="D740">
            <v>2</v>
          </cell>
          <cell r="E740">
            <v>43</v>
          </cell>
          <cell r="F740" t="str">
            <v>第24级，共造成222.4%点伤害</v>
          </cell>
          <cell r="G740">
            <v>4</v>
          </cell>
          <cell r="H740">
            <v>4</v>
          </cell>
          <cell r="I740">
            <v>24</v>
          </cell>
          <cell r="J740">
            <v>2</v>
          </cell>
          <cell r="K740">
            <v>74.130434782608702</v>
          </cell>
          <cell r="L740">
            <v>0</v>
          </cell>
          <cell r="M740">
            <v>6080</v>
          </cell>
          <cell r="N740">
            <v>33843</v>
          </cell>
          <cell r="O740">
            <v>2</v>
          </cell>
          <cell r="P740">
            <v>3</v>
          </cell>
          <cell r="Q740">
            <v>1</v>
          </cell>
          <cell r="R740">
            <v>9</v>
          </cell>
          <cell r="S740">
            <v>50</v>
          </cell>
          <cell r="T740">
            <v>59.782608695652179</v>
          </cell>
          <cell r="U740">
            <v>1167</v>
          </cell>
          <cell r="V740">
            <v>179.34782608695653</v>
          </cell>
          <cell r="W740">
            <v>29</v>
          </cell>
          <cell r="X740">
            <v>353</v>
          </cell>
          <cell r="Y740">
            <v>18</v>
          </cell>
          <cell r="Z740">
            <v>12</v>
          </cell>
        </row>
        <row r="741">
          <cell r="A741">
            <v>9222425</v>
          </cell>
          <cell r="B741" t="str">
            <v>龙拳第4段</v>
          </cell>
          <cell r="C741" t="str">
            <v>龙拳第4段</v>
          </cell>
          <cell r="D741">
            <v>2</v>
          </cell>
          <cell r="E741">
            <v>45</v>
          </cell>
          <cell r="F741" t="str">
            <v>第25级，共造成224.2%点伤害</v>
          </cell>
          <cell r="G741">
            <v>4</v>
          </cell>
          <cell r="H741">
            <v>4</v>
          </cell>
          <cell r="I741">
            <v>25</v>
          </cell>
          <cell r="J741">
            <v>2</v>
          </cell>
          <cell r="K741">
            <v>74.728260869565219</v>
          </cell>
          <cell r="L741">
            <v>0</v>
          </cell>
          <cell r="M741">
            <v>6000</v>
          </cell>
          <cell r="N741">
            <v>39897</v>
          </cell>
          <cell r="O741">
            <v>2</v>
          </cell>
          <cell r="P741">
            <v>3</v>
          </cell>
          <cell r="Q741">
            <v>1</v>
          </cell>
          <cell r="R741">
            <v>9</v>
          </cell>
          <cell r="S741">
            <v>50</v>
          </cell>
          <cell r="T741">
            <v>59.782608695652179</v>
          </cell>
          <cell r="U741">
            <v>1287</v>
          </cell>
          <cell r="V741">
            <v>179.34782608695653</v>
          </cell>
          <cell r="W741">
            <v>31</v>
          </cell>
          <cell r="X741">
            <v>384</v>
          </cell>
          <cell r="Y741">
            <v>18</v>
          </cell>
          <cell r="Z741">
            <v>13</v>
          </cell>
        </row>
        <row r="742">
          <cell r="A742">
            <v>9222426</v>
          </cell>
          <cell r="B742" t="str">
            <v>龙拳第4段</v>
          </cell>
          <cell r="C742" t="str">
            <v>龙拳第4段</v>
          </cell>
          <cell r="D742">
            <v>2</v>
          </cell>
          <cell r="E742">
            <v>46</v>
          </cell>
          <cell r="F742" t="str">
            <v>第26级，共造成226%点伤害</v>
          </cell>
          <cell r="G742">
            <v>4</v>
          </cell>
          <cell r="H742">
            <v>4</v>
          </cell>
          <cell r="I742">
            <v>26</v>
          </cell>
          <cell r="J742">
            <v>2</v>
          </cell>
          <cell r="K742">
            <v>75.326086956521749</v>
          </cell>
          <cell r="L742">
            <v>0</v>
          </cell>
          <cell r="M742">
            <v>5920</v>
          </cell>
          <cell r="N742">
            <v>44517</v>
          </cell>
          <cell r="O742">
            <v>2</v>
          </cell>
          <cell r="P742">
            <v>3</v>
          </cell>
          <cell r="Q742">
            <v>1</v>
          </cell>
          <cell r="R742">
            <v>9</v>
          </cell>
          <cell r="S742">
            <v>50</v>
          </cell>
          <cell r="T742">
            <v>59.782608695652179</v>
          </cell>
          <cell r="U742">
            <v>1349</v>
          </cell>
          <cell r="V742">
            <v>179.34782608695653</v>
          </cell>
          <cell r="W742">
            <v>33</v>
          </cell>
          <cell r="X742">
            <v>417</v>
          </cell>
          <cell r="Y742">
            <v>18</v>
          </cell>
          <cell r="Z742">
            <v>14</v>
          </cell>
        </row>
        <row r="743">
          <cell r="A743">
            <v>9222427</v>
          </cell>
          <cell r="B743" t="str">
            <v>龙拳第4段</v>
          </cell>
          <cell r="C743" t="str">
            <v>龙拳第4段</v>
          </cell>
          <cell r="D743">
            <v>2</v>
          </cell>
          <cell r="E743">
            <v>47</v>
          </cell>
          <cell r="F743" t="str">
            <v>第27级，共造成227.8%点伤害</v>
          </cell>
          <cell r="G743">
            <v>4</v>
          </cell>
          <cell r="H743">
            <v>4</v>
          </cell>
          <cell r="I743">
            <v>27</v>
          </cell>
          <cell r="J743">
            <v>2</v>
          </cell>
          <cell r="K743">
            <v>75.923913043478265</v>
          </cell>
          <cell r="L743">
            <v>0</v>
          </cell>
          <cell r="M743">
            <v>5840</v>
          </cell>
          <cell r="N743">
            <v>49420</v>
          </cell>
          <cell r="O743">
            <v>2</v>
          </cell>
          <cell r="P743">
            <v>3</v>
          </cell>
          <cell r="Q743">
            <v>1</v>
          </cell>
          <cell r="R743">
            <v>9</v>
          </cell>
          <cell r="S743">
            <v>50</v>
          </cell>
          <cell r="T743">
            <v>59.782608695652179</v>
          </cell>
          <cell r="U743">
            <v>1412</v>
          </cell>
          <cell r="V743">
            <v>179.34782608695653</v>
          </cell>
          <cell r="W743">
            <v>35</v>
          </cell>
          <cell r="X743">
            <v>452</v>
          </cell>
          <cell r="Y743">
            <v>18</v>
          </cell>
          <cell r="Z743">
            <v>14</v>
          </cell>
        </row>
        <row r="744">
          <cell r="A744">
            <v>9222428</v>
          </cell>
          <cell r="B744" t="str">
            <v>龙拳第4段</v>
          </cell>
          <cell r="C744" t="str">
            <v>龙拳第4段</v>
          </cell>
          <cell r="D744">
            <v>2</v>
          </cell>
          <cell r="E744">
            <v>49</v>
          </cell>
          <cell r="F744" t="str">
            <v>第28级，共造成229.6%点伤害</v>
          </cell>
          <cell r="G744">
            <v>4</v>
          </cell>
          <cell r="H744">
            <v>4</v>
          </cell>
          <cell r="I744">
            <v>28</v>
          </cell>
          <cell r="J744">
            <v>2</v>
          </cell>
          <cell r="K744">
            <v>76.521739130434796</v>
          </cell>
          <cell r="L744">
            <v>0</v>
          </cell>
          <cell r="M744">
            <v>5760</v>
          </cell>
          <cell r="N744">
            <v>58634</v>
          </cell>
          <cell r="O744">
            <v>2</v>
          </cell>
          <cell r="P744">
            <v>3</v>
          </cell>
          <cell r="Q744">
            <v>1</v>
          </cell>
          <cell r="R744">
            <v>9</v>
          </cell>
          <cell r="S744">
            <v>50</v>
          </cell>
          <cell r="T744">
            <v>59.782608695652179</v>
          </cell>
          <cell r="U744">
            <v>1543</v>
          </cell>
          <cell r="V744">
            <v>179.34782608695653</v>
          </cell>
          <cell r="W744">
            <v>38</v>
          </cell>
          <cell r="X744">
            <v>490</v>
          </cell>
          <cell r="Y744">
            <v>18</v>
          </cell>
          <cell r="Z744">
            <v>16</v>
          </cell>
        </row>
        <row r="745">
          <cell r="A745">
            <v>9222429</v>
          </cell>
          <cell r="B745" t="str">
            <v>龙拳第4段</v>
          </cell>
          <cell r="C745" t="str">
            <v>龙拳第4段</v>
          </cell>
          <cell r="D745">
            <v>2</v>
          </cell>
          <cell r="E745">
            <v>50</v>
          </cell>
          <cell r="F745" t="str">
            <v>第29级，共造成231.4%点伤害</v>
          </cell>
          <cell r="G745">
            <v>4</v>
          </cell>
          <cell r="H745">
            <v>4</v>
          </cell>
          <cell r="I745">
            <v>29</v>
          </cell>
          <cell r="J745">
            <v>2</v>
          </cell>
          <cell r="K745">
            <v>77.119565217391312</v>
          </cell>
          <cell r="L745">
            <v>0</v>
          </cell>
          <cell r="M745">
            <v>5680</v>
          </cell>
          <cell r="N745">
            <v>64400</v>
          </cell>
          <cell r="O745">
            <v>2</v>
          </cell>
          <cell r="P745">
            <v>3</v>
          </cell>
          <cell r="Q745">
            <v>1</v>
          </cell>
          <cell r="R745">
            <v>9</v>
          </cell>
          <cell r="S745">
            <v>50</v>
          </cell>
          <cell r="T745">
            <v>59.782608695652179</v>
          </cell>
          <cell r="U745">
            <v>1610</v>
          </cell>
          <cell r="V745">
            <v>179.34782608695653</v>
          </cell>
          <cell r="W745">
            <v>40</v>
          </cell>
          <cell r="X745">
            <v>530</v>
          </cell>
          <cell r="Y745">
            <v>18</v>
          </cell>
          <cell r="Z745">
            <v>16</v>
          </cell>
        </row>
        <row r="746">
          <cell r="A746">
            <v>9222430</v>
          </cell>
          <cell r="B746" t="str">
            <v>龙拳第4段</v>
          </cell>
          <cell r="C746" t="str">
            <v>龙拳第4段</v>
          </cell>
          <cell r="D746">
            <v>2</v>
          </cell>
          <cell r="E746">
            <v>52</v>
          </cell>
          <cell r="F746" t="str">
            <v>第30级，共造成233.2%点伤害</v>
          </cell>
          <cell r="G746">
            <v>4</v>
          </cell>
          <cell r="H746">
            <v>4</v>
          </cell>
          <cell r="I746">
            <v>30</v>
          </cell>
          <cell r="J746">
            <v>2</v>
          </cell>
          <cell r="K746">
            <v>77.717391304347842</v>
          </cell>
          <cell r="L746">
            <v>0</v>
          </cell>
          <cell r="M746">
            <v>5600</v>
          </cell>
          <cell r="N746">
            <v>75207</v>
          </cell>
          <cell r="O746">
            <v>2</v>
          </cell>
          <cell r="P746">
            <v>3</v>
          </cell>
          <cell r="Q746">
            <v>1</v>
          </cell>
          <cell r="R746">
            <v>9</v>
          </cell>
          <cell r="S746">
            <v>50</v>
          </cell>
          <cell r="T746">
            <v>59.782608695652179</v>
          </cell>
          <cell r="U746">
            <v>1749</v>
          </cell>
          <cell r="V746">
            <v>179.34782608695653</v>
          </cell>
          <cell r="W746">
            <v>43</v>
          </cell>
          <cell r="X746">
            <v>573</v>
          </cell>
          <cell r="Y746">
            <v>18</v>
          </cell>
          <cell r="Z746">
            <v>18</v>
          </cell>
        </row>
        <row r="747">
          <cell r="A747">
            <v>9222431</v>
          </cell>
          <cell r="B747" t="str">
            <v>龙拳第4段</v>
          </cell>
          <cell r="C747" t="str">
            <v>龙拳第4段</v>
          </cell>
          <cell r="D747">
            <v>2</v>
          </cell>
          <cell r="E747">
            <v>53</v>
          </cell>
          <cell r="F747" t="str">
            <v>第31级，共造成234.9%点伤害</v>
          </cell>
          <cell r="G747">
            <v>4</v>
          </cell>
          <cell r="H747">
            <v>4</v>
          </cell>
          <cell r="I747">
            <v>31</v>
          </cell>
          <cell r="J747">
            <v>2</v>
          </cell>
          <cell r="K747">
            <v>78.315217391304358</v>
          </cell>
          <cell r="L747">
            <v>0</v>
          </cell>
          <cell r="M747">
            <v>5520</v>
          </cell>
          <cell r="N747">
            <v>83720</v>
          </cell>
          <cell r="O747">
            <v>2</v>
          </cell>
          <cell r="P747">
            <v>3</v>
          </cell>
          <cell r="Q747">
            <v>1</v>
          </cell>
          <cell r="R747">
            <v>9</v>
          </cell>
          <cell r="S747">
            <v>50</v>
          </cell>
          <cell r="T747">
            <v>59.782608695652179</v>
          </cell>
          <cell r="U747">
            <v>1820</v>
          </cell>
          <cell r="V747">
            <v>179.34782608695653</v>
          </cell>
          <cell r="W747">
            <v>46</v>
          </cell>
          <cell r="X747">
            <v>619</v>
          </cell>
          <cell r="Y747">
            <v>18</v>
          </cell>
          <cell r="Z747">
            <v>19</v>
          </cell>
        </row>
        <row r="748">
          <cell r="A748">
            <v>9222432</v>
          </cell>
          <cell r="B748" t="str">
            <v>龙拳第4段</v>
          </cell>
          <cell r="C748" t="str">
            <v>龙拳第4段</v>
          </cell>
          <cell r="D748">
            <v>2</v>
          </cell>
          <cell r="E748">
            <v>54</v>
          </cell>
          <cell r="F748" t="str">
            <v>第32级，共造成236.7%点伤害</v>
          </cell>
          <cell r="G748">
            <v>4</v>
          </cell>
          <cell r="H748">
            <v>4</v>
          </cell>
          <cell r="I748">
            <v>32</v>
          </cell>
          <cell r="J748">
            <v>2</v>
          </cell>
          <cell r="K748">
            <v>78.913043478260875</v>
          </cell>
          <cell r="L748">
            <v>0</v>
          </cell>
          <cell r="M748">
            <v>5440</v>
          </cell>
          <cell r="N748">
            <v>92757</v>
          </cell>
          <cell r="O748">
            <v>2</v>
          </cell>
          <cell r="P748">
            <v>3</v>
          </cell>
          <cell r="Q748">
            <v>1</v>
          </cell>
          <cell r="R748">
            <v>9</v>
          </cell>
          <cell r="S748">
            <v>50</v>
          </cell>
          <cell r="T748">
            <v>59.782608695652179</v>
          </cell>
          <cell r="U748">
            <v>1893</v>
          </cell>
          <cell r="V748">
            <v>179.34782608695653</v>
          </cell>
          <cell r="W748">
            <v>49</v>
          </cell>
          <cell r="X748">
            <v>668</v>
          </cell>
          <cell r="Y748">
            <v>18</v>
          </cell>
          <cell r="Z748">
            <v>20</v>
          </cell>
        </row>
        <row r="749">
          <cell r="A749">
            <v>9222433</v>
          </cell>
          <cell r="B749" t="str">
            <v>龙拳第4段</v>
          </cell>
          <cell r="C749" t="str">
            <v>龙拳第4段</v>
          </cell>
          <cell r="D749">
            <v>2</v>
          </cell>
          <cell r="E749">
            <v>56</v>
          </cell>
          <cell r="F749" t="str">
            <v>第33级，共造成238.5%点伤害</v>
          </cell>
          <cell r="G749">
            <v>4</v>
          </cell>
          <cell r="H749">
            <v>4</v>
          </cell>
          <cell r="I749">
            <v>33</v>
          </cell>
          <cell r="J749">
            <v>2</v>
          </cell>
          <cell r="K749">
            <v>79.510869565217405</v>
          </cell>
          <cell r="L749">
            <v>0</v>
          </cell>
          <cell r="M749">
            <v>5360</v>
          </cell>
          <cell r="N749">
            <v>108226</v>
          </cell>
          <cell r="O749">
            <v>2</v>
          </cell>
          <cell r="P749">
            <v>3</v>
          </cell>
          <cell r="Q749">
            <v>1</v>
          </cell>
          <cell r="R749">
            <v>9</v>
          </cell>
          <cell r="S749">
            <v>50</v>
          </cell>
          <cell r="T749">
            <v>59.782608695652179</v>
          </cell>
          <cell r="U749">
            <v>2042</v>
          </cell>
          <cell r="V749">
            <v>179.34782608695653</v>
          </cell>
          <cell r="W749">
            <v>53</v>
          </cell>
          <cell r="X749">
            <v>721</v>
          </cell>
          <cell r="Y749">
            <v>18</v>
          </cell>
          <cell r="Z749">
            <v>22</v>
          </cell>
        </row>
        <row r="750">
          <cell r="A750">
            <v>9222434</v>
          </cell>
          <cell r="B750" t="str">
            <v>龙拳第4段</v>
          </cell>
          <cell r="C750" t="str">
            <v>龙拳第4段</v>
          </cell>
          <cell r="D750">
            <v>2</v>
          </cell>
          <cell r="E750">
            <v>57</v>
          </cell>
          <cell r="F750" t="str">
            <v>第34级，共造成240.3%点伤害</v>
          </cell>
          <cell r="G750">
            <v>4</v>
          </cell>
          <cell r="H750">
            <v>4</v>
          </cell>
          <cell r="I750">
            <v>34</v>
          </cell>
          <cell r="J750">
            <v>2</v>
          </cell>
          <cell r="K750">
            <v>80.108695652173921</v>
          </cell>
          <cell r="L750">
            <v>0</v>
          </cell>
          <cell r="M750">
            <v>5280</v>
          </cell>
          <cell r="N750">
            <v>120783</v>
          </cell>
          <cell r="O750">
            <v>2</v>
          </cell>
          <cell r="P750">
            <v>3</v>
          </cell>
          <cell r="Q750">
            <v>1</v>
          </cell>
          <cell r="R750">
            <v>9</v>
          </cell>
          <cell r="S750">
            <v>50</v>
          </cell>
          <cell r="T750">
            <v>59.782608695652179</v>
          </cell>
          <cell r="U750">
            <v>2119</v>
          </cell>
          <cell r="V750">
            <v>179.34782608695653</v>
          </cell>
          <cell r="W750">
            <v>57</v>
          </cell>
          <cell r="X750">
            <v>778</v>
          </cell>
          <cell r="Y750">
            <v>18</v>
          </cell>
          <cell r="Z750">
            <v>23</v>
          </cell>
        </row>
        <row r="751">
          <cell r="A751">
            <v>9222435</v>
          </cell>
          <cell r="B751" t="str">
            <v>龙拳第4段</v>
          </cell>
          <cell r="C751" t="str">
            <v>龙拳第4段</v>
          </cell>
          <cell r="D751">
            <v>2</v>
          </cell>
          <cell r="E751">
            <v>59</v>
          </cell>
          <cell r="F751" t="str">
            <v>第35级，共造成242.1%点伤害</v>
          </cell>
          <cell r="G751">
            <v>4</v>
          </cell>
          <cell r="H751">
            <v>4</v>
          </cell>
          <cell r="I751">
            <v>35</v>
          </cell>
          <cell r="J751">
            <v>2</v>
          </cell>
          <cell r="K751">
            <v>80.706521739130437</v>
          </cell>
          <cell r="L751">
            <v>0</v>
          </cell>
          <cell r="M751">
            <v>5200</v>
          </cell>
          <cell r="N751">
            <v>138897</v>
          </cell>
          <cell r="O751">
            <v>2</v>
          </cell>
          <cell r="P751">
            <v>3</v>
          </cell>
          <cell r="Q751">
            <v>1</v>
          </cell>
          <cell r="R751">
            <v>9</v>
          </cell>
          <cell r="S751">
            <v>50</v>
          </cell>
          <cell r="T751">
            <v>59.782608695652179</v>
          </cell>
          <cell r="U751">
            <v>2277</v>
          </cell>
          <cell r="V751">
            <v>179.34782608695653</v>
          </cell>
          <cell r="W751">
            <v>61</v>
          </cell>
          <cell r="X751">
            <v>839</v>
          </cell>
          <cell r="Y751">
            <v>18</v>
          </cell>
          <cell r="Z751">
            <v>25</v>
          </cell>
        </row>
        <row r="752">
          <cell r="A752">
            <v>9222436</v>
          </cell>
          <cell r="B752" t="str">
            <v>龙拳第4段</v>
          </cell>
          <cell r="C752" t="str">
            <v>龙拳第4段</v>
          </cell>
          <cell r="D752">
            <v>2</v>
          </cell>
          <cell r="E752">
            <v>60</v>
          </cell>
          <cell r="F752" t="str">
            <v>第36级，共造成243.9%点伤害</v>
          </cell>
          <cell r="G752">
            <v>4</v>
          </cell>
          <cell r="H752">
            <v>4</v>
          </cell>
          <cell r="I752">
            <v>36</v>
          </cell>
          <cell r="J752">
            <v>2</v>
          </cell>
          <cell r="K752">
            <v>81.304347826086968</v>
          </cell>
          <cell r="L752">
            <v>0</v>
          </cell>
          <cell r="M752">
            <v>5120</v>
          </cell>
          <cell r="N752">
            <v>150912</v>
          </cell>
          <cell r="O752">
            <v>2</v>
          </cell>
          <cell r="P752">
            <v>3</v>
          </cell>
          <cell r="Q752">
            <v>1</v>
          </cell>
          <cell r="R752">
            <v>9</v>
          </cell>
          <cell r="S752">
            <v>50</v>
          </cell>
          <cell r="T752">
            <v>59.782608695652179</v>
          </cell>
          <cell r="U752">
            <v>2358</v>
          </cell>
          <cell r="V752">
            <v>179.34782608695653</v>
          </cell>
          <cell r="W752">
            <v>64</v>
          </cell>
          <cell r="X752">
            <v>903</v>
          </cell>
          <cell r="Y752">
            <v>18</v>
          </cell>
          <cell r="Z752">
            <v>26</v>
          </cell>
        </row>
        <row r="753">
          <cell r="A753">
            <v>9222437</v>
          </cell>
          <cell r="B753" t="str">
            <v>龙拳第4段</v>
          </cell>
          <cell r="C753" t="str">
            <v>龙拳第4段</v>
          </cell>
          <cell r="D753">
            <v>2</v>
          </cell>
          <cell r="E753">
            <v>62</v>
          </cell>
          <cell r="F753" t="str">
            <v>第37级，共造成245.7%点伤害</v>
          </cell>
          <cell r="G753">
            <v>4</v>
          </cell>
          <cell r="H753">
            <v>4</v>
          </cell>
          <cell r="I753">
            <v>37</v>
          </cell>
          <cell r="J753">
            <v>2</v>
          </cell>
          <cell r="K753">
            <v>81.902173913043484</v>
          </cell>
          <cell r="L753">
            <v>0</v>
          </cell>
          <cell r="M753">
            <v>5040</v>
          </cell>
          <cell r="N753">
            <v>174156</v>
          </cell>
          <cell r="O753">
            <v>2</v>
          </cell>
          <cell r="P753">
            <v>3</v>
          </cell>
          <cell r="Q753">
            <v>1</v>
          </cell>
          <cell r="R753">
            <v>9</v>
          </cell>
          <cell r="S753">
            <v>50</v>
          </cell>
          <cell r="T753">
            <v>59.782608695652179</v>
          </cell>
          <cell r="U753">
            <v>2524</v>
          </cell>
          <cell r="V753">
            <v>179.34782608695653</v>
          </cell>
          <cell r="W753">
            <v>69</v>
          </cell>
          <cell r="X753">
            <v>972</v>
          </cell>
          <cell r="Y753">
            <v>18</v>
          </cell>
          <cell r="Z753">
            <v>28</v>
          </cell>
        </row>
        <row r="754">
          <cell r="A754">
            <v>9222438</v>
          </cell>
          <cell r="B754" t="str">
            <v>龙拳第4段</v>
          </cell>
          <cell r="C754" t="str">
            <v>龙拳第4段</v>
          </cell>
          <cell r="D754">
            <v>2</v>
          </cell>
          <cell r="E754">
            <v>63</v>
          </cell>
          <cell r="F754" t="str">
            <v>第38级，共造成247.5%点伤害</v>
          </cell>
          <cell r="G754">
            <v>4</v>
          </cell>
          <cell r="H754">
            <v>4</v>
          </cell>
          <cell r="I754">
            <v>38</v>
          </cell>
          <cell r="J754">
            <v>2</v>
          </cell>
          <cell r="K754">
            <v>82.500000000000014</v>
          </cell>
          <cell r="L754">
            <v>0</v>
          </cell>
          <cell r="M754">
            <v>4960</v>
          </cell>
          <cell r="N754">
            <v>193066</v>
          </cell>
          <cell r="O754">
            <v>2</v>
          </cell>
          <cell r="P754">
            <v>3</v>
          </cell>
          <cell r="Q754">
            <v>1</v>
          </cell>
          <cell r="R754">
            <v>9</v>
          </cell>
          <cell r="S754">
            <v>50</v>
          </cell>
          <cell r="T754">
            <v>59.782608695652179</v>
          </cell>
          <cell r="U754">
            <v>2609</v>
          </cell>
          <cell r="V754">
            <v>179.34782608695653</v>
          </cell>
          <cell r="W754">
            <v>74</v>
          </cell>
          <cell r="X754">
            <v>1046</v>
          </cell>
          <cell r="Y754">
            <v>18</v>
          </cell>
          <cell r="Z754">
            <v>30</v>
          </cell>
        </row>
        <row r="755">
          <cell r="A755">
            <v>9222439</v>
          </cell>
          <cell r="B755" t="str">
            <v>龙拳第4段</v>
          </cell>
          <cell r="C755" t="str">
            <v>龙拳第4段</v>
          </cell>
          <cell r="D755">
            <v>2</v>
          </cell>
          <cell r="E755">
            <v>64</v>
          </cell>
          <cell r="F755" t="str">
            <v>第39级，共造成249.3%点伤害</v>
          </cell>
          <cell r="G755">
            <v>4</v>
          </cell>
          <cell r="H755">
            <v>4</v>
          </cell>
          <cell r="I755">
            <v>39</v>
          </cell>
          <cell r="J755">
            <v>2</v>
          </cell>
          <cell r="K755">
            <v>83.09782608695653</v>
          </cell>
          <cell r="L755">
            <v>0</v>
          </cell>
          <cell r="M755">
            <v>4880</v>
          </cell>
          <cell r="N755">
            <v>212905</v>
          </cell>
          <cell r="O755">
            <v>2</v>
          </cell>
          <cell r="P755">
            <v>3</v>
          </cell>
          <cell r="Q755">
            <v>1</v>
          </cell>
          <cell r="R755">
            <v>9</v>
          </cell>
          <cell r="S755">
            <v>50</v>
          </cell>
          <cell r="T755">
            <v>59.782608695652179</v>
          </cell>
          <cell r="U755">
            <v>2695</v>
          </cell>
          <cell r="V755">
            <v>179.34782608695653</v>
          </cell>
          <cell r="W755">
            <v>79</v>
          </cell>
          <cell r="X755">
            <v>1125</v>
          </cell>
          <cell r="Y755">
            <v>18</v>
          </cell>
          <cell r="Z755">
            <v>32</v>
          </cell>
        </row>
        <row r="756">
          <cell r="A756">
            <v>9222440</v>
          </cell>
          <cell r="B756" t="str">
            <v>龙拳第4段</v>
          </cell>
          <cell r="C756" t="str">
            <v>龙拳第4段</v>
          </cell>
          <cell r="D756">
            <v>2</v>
          </cell>
          <cell r="E756">
            <v>66</v>
          </cell>
          <cell r="F756" t="str">
            <v>第40级，共造成251.1%点伤害</v>
          </cell>
          <cell r="G756">
            <v>4</v>
          </cell>
          <cell r="H756">
            <v>4</v>
          </cell>
          <cell r="I756">
            <v>40</v>
          </cell>
          <cell r="J756">
            <v>2</v>
          </cell>
          <cell r="K756">
            <v>83.695652173913061</v>
          </cell>
          <cell r="L756">
            <v>0</v>
          </cell>
          <cell r="M756">
            <v>4800</v>
          </cell>
          <cell r="N756">
            <v>244120</v>
          </cell>
          <cell r="O756">
            <v>2</v>
          </cell>
          <cell r="P756">
            <v>3</v>
          </cell>
          <cell r="Q756">
            <v>1</v>
          </cell>
          <cell r="R756">
            <v>9</v>
          </cell>
          <cell r="S756">
            <v>50</v>
          </cell>
          <cell r="T756">
            <v>59.782608695652179</v>
          </cell>
          <cell r="U756">
            <v>2872</v>
          </cell>
          <cell r="V756">
            <v>179.34782608695653</v>
          </cell>
          <cell r="W756">
            <v>85</v>
          </cell>
          <cell r="X756">
            <v>1210</v>
          </cell>
          <cell r="Y756">
            <v>18</v>
          </cell>
          <cell r="Z756">
            <v>34</v>
          </cell>
        </row>
        <row r="757">
          <cell r="A757">
            <v>9222441</v>
          </cell>
          <cell r="B757" t="str">
            <v>龙拳第4段</v>
          </cell>
          <cell r="C757" t="str">
            <v>龙拳第4段</v>
          </cell>
          <cell r="D757">
            <v>2</v>
          </cell>
          <cell r="E757">
            <v>67</v>
          </cell>
          <cell r="F757" t="str">
            <v>第41级，共造成252.9%点伤害</v>
          </cell>
          <cell r="G757">
            <v>4</v>
          </cell>
          <cell r="H757">
            <v>4</v>
          </cell>
          <cell r="I757">
            <v>41</v>
          </cell>
          <cell r="J757">
            <v>2</v>
          </cell>
          <cell r="K757">
            <v>84.293478260869577</v>
          </cell>
          <cell r="L757">
            <v>0</v>
          </cell>
          <cell r="M757">
            <v>4720</v>
          </cell>
          <cell r="N757">
            <v>269633</v>
          </cell>
          <cell r="O757">
            <v>2</v>
          </cell>
          <cell r="P757">
            <v>3</v>
          </cell>
          <cell r="Q757">
            <v>1</v>
          </cell>
          <cell r="R757">
            <v>9</v>
          </cell>
          <cell r="S757">
            <v>50</v>
          </cell>
          <cell r="T757">
            <v>59.782608695652179</v>
          </cell>
          <cell r="U757">
            <v>2963</v>
          </cell>
          <cell r="V757">
            <v>179.34782608695653</v>
          </cell>
          <cell r="W757">
            <v>91</v>
          </cell>
          <cell r="X757">
            <v>1301</v>
          </cell>
          <cell r="Y757">
            <v>18</v>
          </cell>
          <cell r="Z757">
            <v>37</v>
          </cell>
        </row>
        <row r="758">
          <cell r="A758">
            <v>9222442</v>
          </cell>
          <cell r="B758" t="str">
            <v>龙拳第4段</v>
          </cell>
          <cell r="C758" t="str">
            <v>龙拳第4段</v>
          </cell>
          <cell r="D758">
            <v>2</v>
          </cell>
          <cell r="E758">
            <v>69</v>
          </cell>
          <cell r="F758" t="str">
            <v>第42级，共造成254.7%点伤害</v>
          </cell>
          <cell r="G758">
            <v>4</v>
          </cell>
          <cell r="H758">
            <v>4</v>
          </cell>
          <cell r="I758">
            <v>42</v>
          </cell>
          <cell r="J758">
            <v>2</v>
          </cell>
          <cell r="K758">
            <v>84.891304347826093</v>
          </cell>
          <cell r="L758">
            <v>0</v>
          </cell>
          <cell r="M758">
            <v>4640</v>
          </cell>
          <cell r="N758">
            <v>305259</v>
          </cell>
          <cell r="O758">
            <v>2</v>
          </cell>
          <cell r="P758">
            <v>3</v>
          </cell>
          <cell r="Q758">
            <v>1</v>
          </cell>
          <cell r="R758">
            <v>9</v>
          </cell>
          <cell r="S758">
            <v>50</v>
          </cell>
          <cell r="T758">
            <v>59.782608695652179</v>
          </cell>
          <cell r="U758">
            <v>3147</v>
          </cell>
          <cell r="V758">
            <v>179.34782608695653</v>
          </cell>
          <cell r="W758">
            <v>97</v>
          </cell>
          <cell r="X758">
            <v>1398</v>
          </cell>
          <cell r="Y758">
            <v>18</v>
          </cell>
          <cell r="Z758">
            <v>39</v>
          </cell>
        </row>
        <row r="759">
          <cell r="A759">
            <v>9222443</v>
          </cell>
          <cell r="B759" t="str">
            <v>龙拳第4段</v>
          </cell>
          <cell r="C759" t="str">
            <v>龙拳第4段</v>
          </cell>
          <cell r="D759">
            <v>2</v>
          </cell>
          <cell r="E759">
            <v>70</v>
          </cell>
          <cell r="F759" t="str">
            <v>第43级，共造成256.5%点伤害</v>
          </cell>
          <cell r="G759">
            <v>4</v>
          </cell>
          <cell r="H759">
            <v>4</v>
          </cell>
          <cell r="I759">
            <v>43</v>
          </cell>
          <cell r="J759">
            <v>2</v>
          </cell>
          <cell r="K759">
            <v>85.489130434782624</v>
          </cell>
          <cell r="L759">
            <v>0</v>
          </cell>
          <cell r="M759">
            <v>4560</v>
          </cell>
          <cell r="N759">
            <v>337168</v>
          </cell>
          <cell r="O759">
            <v>2</v>
          </cell>
          <cell r="P759">
            <v>3</v>
          </cell>
          <cell r="Q759">
            <v>1</v>
          </cell>
          <cell r="R759">
            <v>9</v>
          </cell>
          <cell r="S759">
            <v>50</v>
          </cell>
          <cell r="T759">
            <v>59.782608695652179</v>
          </cell>
          <cell r="U759">
            <v>3242</v>
          </cell>
          <cell r="V759">
            <v>179.34782608695653</v>
          </cell>
          <cell r="W759">
            <v>104</v>
          </cell>
          <cell r="X759">
            <v>1502</v>
          </cell>
          <cell r="Y759">
            <v>18</v>
          </cell>
          <cell r="Z759">
            <v>42</v>
          </cell>
        </row>
        <row r="760">
          <cell r="A760">
            <v>9222444</v>
          </cell>
          <cell r="B760" t="str">
            <v>龙拳第4段</v>
          </cell>
          <cell r="C760" t="str">
            <v>龙拳第4段</v>
          </cell>
          <cell r="D760">
            <v>2</v>
          </cell>
          <cell r="E760">
            <v>71</v>
          </cell>
          <cell r="F760" t="str">
            <v>第44级，共造成258.3%点伤害</v>
          </cell>
          <cell r="G760">
            <v>4</v>
          </cell>
          <cell r="H760">
            <v>4</v>
          </cell>
          <cell r="I760">
            <v>44</v>
          </cell>
          <cell r="J760">
            <v>2</v>
          </cell>
          <cell r="K760">
            <v>86.08695652173914</v>
          </cell>
          <cell r="L760">
            <v>0</v>
          </cell>
          <cell r="M760">
            <v>4480</v>
          </cell>
          <cell r="N760">
            <v>370518</v>
          </cell>
          <cell r="O760">
            <v>2</v>
          </cell>
          <cell r="P760">
            <v>3</v>
          </cell>
          <cell r="Q760">
            <v>1</v>
          </cell>
          <cell r="R760">
            <v>9</v>
          </cell>
          <cell r="S760">
            <v>50</v>
          </cell>
          <cell r="T760">
            <v>59.782608695652179</v>
          </cell>
          <cell r="U760">
            <v>3338</v>
          </cell>
          <cell r="V760">
            <v>179.34782608695653</v>
          </cell>
          <cell r="W760">
            <v>111</v>
          </cell>
          <cell r="X760">
            <v>1613</v>
          </cell>
          <cell r="Y760">
            <v>18</v>
          </cell>
          <cell r="Z760">
            <v>45</v>
          </cell>
        </row>
        <row r="761">
          <cell r="A761">
            <v>9222445</v>
          </cell>
          <cell r="B761" t="str">
            <v>龙拳第4段</v>
          </cell>
          <cell r="C761" t="str">
            <v>龙拳第4段</v>
          </cell>
          <cell r="D761">
            <v>2</v>
          </cell>
          <cell r="E761">
            <v>73</v>
          </cell>
          <cell r="F761" t="str">
            <v>第45级，共造成260.1%点伤害</v>
          </cell>
          <cell r="G761">
            <v>4</v>
          </cell>
          <cell r="H761">
            <v>4</v>
          </cell>
          <cell r="I761">
            <v>45</v>
          </cell>
          <cell r="J761">
            <v>2</v>
          </cell>
          <cell r="K761">
            <v>86.684782608695656</v>
          </cell>
          <cell r="L761">
            <v>0</v>
          </cell>
          <cell r="M761">
            <v>4400</v>
          </cell>
          <cell r="N761">
            <v>420546</v>
          </cell>
          <cell r="O761">
            <v>2</v>
          </cell>
          <cell r="P761">
            <v>3</v>
          </cell>
          <cell r="Q761">
            <v>1</v>
          </cell>
          <cell r="R761">
            <v>9</v>
          </cell>
          <cell r="S761">
            <v>50</v>
          </cell>
          <cell r="T761">
            <v>59.782608695652179</v>
          </cell>
          <cell r="U761">
            <v>3534</v>
          </cell>
          <cell r="V761">
            <v>179.34782608695653</v>
          </cell>
          <cell r="W761">
            <v>119</v>
          </cell>
          <cell r="X761">
            <v>1732</v>
          </cell>
          <cell r="Y761">
            <v>18</v>
          </cell>
          <cell r="Z761">
            <v>48</v>
          </cell>
        </row>
        <row r="762">
          <cell r="A762">
            <v>9222446</v>
          </cell>
          <cell r="B762" t="str">
            <v>龙拳第4段</v>
          </cell>
          <cell r="C762" t="str">
            <v>龙拳第4段</v>
          </cell>
          <cell r="D762">
            <v>2</v>
          </cell>
          <cell r="E762">
            <v>74</v>
          </cell>
          <cell r="F762" t="str">
            <v>第46级，共造成261.8%点伤害</v>
          </cell>
          <cell r="G762">
            <v>4</v>
          </cell>
          <cell r="H762">
            <v>4</v>
          </cell>
          <cell r="I762">
            <v>46</v>
          </cell>
          <cell r="J762">
            <v>2</v>
          </cell>
          <cell r="K762">
            <v>87.282608695652186</v>
          </cell>
          <cell r="L762">
            <v>0</v>
          </cell>
          <cell r="M762">
            <v>4320</v>
          </cell>
          <cell r="N762">
            <v>461518</v>
          </cell>
          <cell r="O762">
            <v>2</v>
          </cell>
          <cell r="P762">
            <v>3</v>
          </cell>
          <cell r="Q762">
            <v>1</v>
          </cell>
          <cell r="R762">
            <v>9</v>
          </cell>
          <cell r="S762">
            <v>50</v>
          </cell>
          <cell r="T762">
            <v>59.782608695652179</v>
          </cell>
          <cell r="U762">
            <v>3634</v>
          </cell>
          <cell r="V762">
            <v>179.34782608695653</v>
          </cell>
          <cell r="W762">
            <v>127</v>
          </cell>
          <cell r="X762">
            <v>1859</v>
          </cell>
          <cell r="Y762">
            <v>18</v>
          </cell>
          <cell r="Z762">
            <v>51</v>
          </cell>
        </row>
        <row r="763">
          <cell r="A763">
            <v>9222447</v>
          </cell>
          <cell r="B763" t="str">
            <v>龙拳第4段</v>
          </cell>
          <cell r="C763" t="str">
            <v>龙拳第4段</v>
          </cell>
          <cell r="D763">
            <v>2</v>
          </cell>
          <cell r="E763">
            <v>76</v>
          </cell>
          <cell r="F763" t="str">
            <v>第47级，共造成263.6%点伤害</v>
          </cell>
          <cell r="G763">
            <v>4</v>
          </cell>
          <cell r="H763">
            <v>4</v>
          </cell>
          <cell r="I763">
            <v>47</v>
          </cell>
          <cell r="J763">
            <v>2</v>
          </cell>
          <cell r="K763">
            <v>87.880434782608702</v>
          </cell>
          <cell r="L763">
            <v>0</v>
          </cell>
          <cell r="M763">
            <v>4240</v>
          </cell>
          <cell r="N763">
            <v>521968</v>
          </cell>
          <cell r="O763">
            <v>2</v>
          </cell>
          <cell r="P763">
            <v>3</v>
          </cell>
          <cell r="Q763">
            <v>1</v>
          </cell>
          <cell r="R763">
            <v>9</v>
          </cell>
          <cell r="S763">
            <v>50</v>
          </cell>
          <cell r="T763">
            <v>59.782608695652179</v>
          </cell>
          <cell r="U763">
            <v>3838</v>
          </cell>
          <cell r="V763">
            <v>179.34782608695653</v>
          </cell>
          <cell r="W763">
            <v>136</v>
          </cell>
          <cell r="X763">
            <v>1995</v>
          </cell>
          <cell r="Y763">
            <v>18</v>
          </cell>
          <cell r="Z763">
            <v>55</v>
          </cell>
        </row>
        <row r="764">
          <cell r="A764">
            <v>9222448</v>
          </cell>
          <cell r="B764" t="str">
            <v>龙拳第4段</v>
          </cell>
          <cell r="C764" t="str">
            <v>龙拳第4段</v>
          </cell>
          <cell r="D764">
            <v>2</v>
          </cell>
          <cell r="E764">
            <v>77</v>
          </cell>
          <cell r="F764" t="str">
            <v>第48级，共造成265.4%点伤害</v>
          </cell>
          <cell r="G764">
            <v>4</v>
          </cell>
          <cell r="H764">
            <v>4</v>
          </cell>
          <cell r="I764">
            <v>48</v>
          </cell>
          <cell r="J764">
            <v>2</v>
          </cell>
          <cell r="K764">
            <v>88.478260869565219</v>
          </cell>
          <cell r="L764">
            <v>0</v>
          </cell>
          <cell r="M764">
            <v>4160</v>
          </cell>
          <cell r="N764">
            <v>575532</v>
          </cell>
          <cell r="O764">
            <v>2</v>
          </cell>
          <cell r="P764">
            <v>3</v>
          </cell>
          <cell r="Q764">
            <v>1</v>
          </cell>
          <cell r="R764">
            <v>9</v>
          </cell>
          <cell r="S764">
            <v>50</v>
          </cell>
          <cell r="T764">
            <v>59.782608695652179</v>
          </cell>
          <cell r="U764">
            <v>3942</v>
          </cell>
          <cell r="V764">
            <v>179.34782608695653</v>
          </cell>
          <cell r="W764">
            <v>146</v>
          </cell>
          <cell r="X764">
            <v>2141</v>
          </cell>
          <cell r="Y764">
            <v>18</v>
          </cell>
          <cell r="Z764">
            <v>59</v>
          </cell>
        </row>
        <row r="765">
          <cell r="A765">
            <v>9222449</v>
          </cell>
          <cell r="B765" t="str">
            <v>龙拳第4段</v>
          </cell>
          <cell r="C765" t="str">
            <v>龙拳第4段</v>
          </cell>
          <cell r="D765">
            <v>2</v>
          </cell>
          <cell r="E765">
            <v>79</v>
          </cell>
          <cell r="F765" t="str">
            <v>第49级，共造成267.2%点伤害</v>
          </cell>
          <cell r="G765">
            <v>4</v>
          </cell>
          <cell r="H765">
            <v>4</v>
          </cell>
          <cell r="I765">
            <v>49</v>
          </cell>
          <cell r="J765">
            <v>2</v>
          </cell>
          <cell r="K765">
            <v>89.076086956521749</v>
          </cell>
          <cell r="L765">
            <v>0</v>
          </cell>
          <cell r="M765">
            <v>4080</v>
          </cell>
          <cell r="N765">
            <v>648024</v>
          </cell>
          <cell r="O765">
            <v>2</v>
          </cell>
          <cell r="P765">
            <v>3</v>
          </cell>
          <cell r="Q765">
            <v>1</v>
          </cell>
          <cell r="R765">
            <v>9</v>
          </cell>
          <cell r="S765">
            <v>50</v>
          </cell>
          <cell r="T765">
            <v>59.782608695652179</v>
          </cell>
          <cell r="U765">
            <v>4154</v>
          </cell>
          <cell r="V765">
            <v>179.34782608695653</v>
          </cell>
          <cell r="W765">
            <v>156</v>
          </cell>
          <cell r="X765">
            <v>2297</v>
          </cell>
          <cell r="Y765">
            <v>18</v>
          </cell>
          <cell r="Z765">
            <v>63</v>
          </cell>
        </row>
        <row r="766">
          <cell r="A766">
            <v>9222450</v>
          </cell>
          <cell r="B766" t="str">
            <v>龙拳第4段</v>
          </cell>
          <cell r="C766" t="str">
            <v>龙拳第4段</v>
          </cell>
          <cell r="D766">
            <v>2</v>
          </cell>
          <cell r="E766">
            <v>80</v>
          </cell>
          <cell r="F766" t="str">
            <v>第50级，共造成269%点伤害</v>
          </cell>
          <cell r="G766">
            <v>4</v>
          </cell>
          <cell r="H766">
            <v>4</v>
          </cell>
          <cell r="I766">
            <v>50</v>
          </cell>
          <cell r="J766">
            <v>2</v>
          </cell>
          <cell r="K766">
            <v>89.673913043478279</v>
          </cell>
          <cell r="L766">
            <v>0</v>
          </cell>
          <cell r="M766">
            <v>4000</v>
          </cell>
          <cell r="N766">
            <v>711754</v>
          </cell>
          <cell r="O766">
            <v>2</v>
          </cell>
          <cell r="P766">
            <v>3</v>
          </cell>
          <cell r="Q766">
            <v>1</v>
          </cell>
          <cell r="R766">
            <v>9</v>
          </cell>
          <cell r="S766">
            <v>50</v>
          </cell>
          <cell r="T766">
            <v>59.782608695652179</v>
          </cell>
          <cell r="U766">
            <v>4262</v>
          </cell>
          <cell r="V766">
            <v>179.34782608695653</v>
          </cell>
          <cell r="W766">
            <v>167</v>
          </cell>
          <cell r="X766">
            <v>2464</v>
          </cell>
          <cell r="Y766">
            <v>18</v>
          </cell>
          <cell r="Z766">
            <v>67</v>
          </cell>
        </row>
        <row r="767">
          <cell r="A767">
            <v>9213000</v>
          </cell>
          <cell r="B767" t="str">
            <v>裂地诀</v>
          </cell>
          <cell r="C767" t="str">
            <v>裂地诀</v>
          </cell>
          <cell r="D767">
            <v>2</v>
          </cell>
          <cell r="E767">
            <v>5</v>
          </cell>
          <cell r="F767" t="str">
            <v>第0级，共造成215.2%点伤害</v>
          </cell>
          <cell r="G767">
            <v>0</v>
          </cell>
          <cell r="H767">
            <v>1</v>
          </cell>
          <cell r="I767">
            <v>0</v>
          </cell>
          <cell r="J767">
            <v>1</v>
          </cell>
          <cell r="K767">
            <v>215.21739130434784</v>
          </cell>
          <cell r="L767">
            <v>0</v>
          </cell>
          <cell r="M767">
            <v>10000</v>
          </cell>
          <cell r="N767">
            <v>0</v>
          </cell>
          <cell r="O767">
            <v>3</v>
          </cell>
          <cell r="P767">
            <v>1</v>
          </cell>
          <cell r="Q767">
            <v>1</v>
          </cell>
          <cell r="R767">
            <v>5</v>
          </cell>
          <cell r="S767">
            <v>50</v>
          </cell>
          <cell r="T767">
            <v>215.21739130434784</v>
          </cell>
          <cell r="U767">
            <v>74</v>
          </cell>
          <cell r="V767">
            <v>215.21739130434784</v>
          </cell>
          <cell r="W767">
            <v>0</v>
          </cell>
          <cell r="X767">
            <v>0</v>
          </cell>
          <cell r="Y767">
            <v>18</v>
          </cell>
          <cell r="Z767">
            <v>0</v>
          </cell>
        </row>
        <row r="768">
          <cell r="A768">
            <v>9213101</v>
          </cell>
          <cell r="B768" t="str">
            <v>裂地诀</v>
          </cell>
          <cell r="C768" t="str">
            <v>裂地诀</v>
          </cell>
          <cell r="D768">
            <v>2</v>
          </cell>
          <cell r="E768">
            <v>5</v>
          </cell>
          <cell r="F768" t="str">
            <v>第1级，共造成215.2%点伤害</v>
          </cell>
          <cell r="G768">
            <v>1</v>
          </cell>
          <cell r="H768">
            <v>1</v>
          </cell>
          <cell r="I768">
            <v>1</v>
          </cell>
          <cell r="J768">
            <v>1</v>
          </cell>
          <cell r="K768">
            <v>215.21739130434784</v>
          </cell>
          <cell r="L768">
            <v>0</v>
          </cell>
          <cell r="M768">
            <v>10000</v>
          </cell>
          <cell r="N768">
            <v>592</v>
          </cell>
          <cell r="O768">
            <v>3</v>
          </cell>
          <cell r="P768">
            <v>1</v>
          </cell>
          <cell r="Q768">
            <v>1</v>
          </cell>
          <cell r="R768">
            <v>5</v>
          </cell>
          <cell r="S768">
            <v>50</v>
          </cell>
          <cell r="T768">
            <v>215.21739130434784</v>
          </cell>
          <cell r="U768">
            <v>74</v>
          </cell>
          <cell r="V768">
            <v>215.21739130434784</v>
          </cell>
          <cell r="W768">
            <v>8</v>
          </cell>
          <cell r="X768">
            <v>8</v>
          </cell>
          <cell r="Y768">
            <v>18</v>
          </cell>
          <cell r="Z768">
            <v>0</v>
          </cell>
        </row>
        <row r="769">
          <cell r="A769">
            <v>9213102</v>
          </cell>
          <cell r="B769" t="str">
            <v>裂地诀</v>
          </cell>
          <cell r="C769" t="str">
            <v>裂地诀</v>
          </cell>
          <cell r="D769">
            <v>2</v>
          </cell>
          <cell r="E769">
            <v>8</v>
          </cell>
          <cell r="F769" t="str">
            <v>第2级，共造成219.5%点伤害</v>
          </cell>
          <cell r="G769">
            <v>1</v>
          </cell>
          <cell r="H769">
            <v>1</v>
          </cell>
          <cell r="I769">
            <v>2</v>
          </cell>
          <cell r="J769">
            <v>1</v>
          </cell>
          <cell r="K769">
            <v>219.52173913043481</v>
          </cell>
          <cell r="L769">
            <v>0</v>
          </cell>
          <cell r="M769">
            <v>9800</v>
          </cell>
          <cell r="N769">
            <v>828</v>
          </cell>
          <cell r="O769">
            <v>3</v>
          </cell>
          <cell r="P769">
            <v>1</v>
          </cell>
          <cell r="Q769">
            <v>1</v>
          </cell>
          <cell r="R769">
            <v>5</v>
          </cell>
          <cell r="S769">
            <v>50</v>
          </cell>
          <cell r="T769">
            <v>215.21739130434784</v>
          </cell>
          <cell r="U769">
            <v>92</v>
          </cell>
          <cell r="V769">
            <v>215.21739130434784</v>
          </cell>
          <cell r="W769">
            <v>9</v>
          </cell>
          <cell r="X769">
            <v>17</v>
          </cell>
          <cell r="Y769">
            <v>18</v>
          </cell>
          <cell r="Z769">
            <v>0</v>
          </cell>
        </row>
        <row r="770">
          <cell r="A770">
            <v>9213103</v>
          </cell>
          <cell r="B770" t="str">
            <v>裂地诀</v>
          </cell>
          <cell r="C770" t="str">
            <v>裂地诀</v>
          </cell>
          <cell r="D770">
            <v>2</v>
          </cell>
          <cell r="E770">
            <v>10</v>
          </cell>
          <cell r="F770" t="str">
            <v>第3级，共造成221.7%点伤害</v>
          </cell>
          <cell r="G770">
            <v>1</v>
          </cell>
          <cell r="H770">
            <v>1</v>
          </cell>
          <cell r="I770">
            <v>3</v>
          </cell>
          <cell r="J770">
            <v>1</v>
          </cell>
          <cell r="K770">
            <v>221.67391304347828</v>
          </cell>
          <cell r="L770">
            <v>0</v>
          </cell>
          <cell r="M770">
            <v>9700</v>
          </cell>
          <cell r="N770">
            <v>936</v>
          </cell>
          <cell r="O770">
            <v>3</v>
          </cell>
          <cell r="P770">
            <v>1</v>
          </cell>
          <cell r="Q770">
            <v>1</v>
          </cell>
          <cell r="R770">
            <v>5</v>
          </cell>
          <cell r="S770">
            <v>50</v>
          </cell>
          <cell r="T770">
            <v>215.21739130434784</v>
          </cell>
          <cell r="U770">
            <v>104</v>
          </cell>
          <cell r="V770">
            <v>215.21739130434784</v>
          </cell>
          <cell r="W770">
            <v>9</v>
          </cell>
          <cell r="X770">
            <v>26</v>
          </cell>
          <cell r="Y770">
            <v>18</v>
          </cell>
          <cell r="Z770">
            <v>0</v>
          </cell>
        </row>
        <row r="771">
          <cell r="A771">
            <v>9213104</v>
          </cell>
          <cell r="B771" t="str">
            <v>裂地诀</v>
          </cell>
          <cell r="C771" t="str">
            <v>裂地诀</v>
          </cell>
          <cell r="D771">
            <v>2</v>
          </cell>
          <cell r="E771">
            <v>11</v>
          </cell>
          <cell r="F771" t="str">
            <v>第4级，共造成223.8%点伤害</v>
          </cell>
          <cell r="G771">
            <v>1</v>
          </cell>
          <cell r="H771">
            <v>1</v>
          </cell>
          <cell r="I771">
            <v>4</v>
          </cell>
          <cell r="J771">
            <v>1</v>
          </cell>
          <cell r="K771">
            <v>223.82608695652175</v>
          </cell>
          <cell r="L771">
            <v>0</v>
          </cell>
          <cell r="M771">
            <v>9600</v>
          </cell>
          <cell r="N771">
            <v>1100</v>
          </cell>
          <cell r="O771">
            <v>3</v>
          </cell>
          <cell r="P771">
            <v>1</v>
          </cell>
          <cell r="Q771">
            <v>1</v>
          </cell>
          <cell r="R771">
            <v>5</v>
          </cell>
          <cell r="S771">
            <v>50</v>
          </cell>
          <cell r="T771">
            <v>215.21739130434784</v>
          </cell>
          <cell r="U771">
            <v>110</v>
          </cell>
          <cell r="V771">
            <v>215.21739130434784</v>
          </cell>
          <cell r="W771">
            <v>10</v>
          </cell>
          <cell r="X771">
            <v>36</v>
          </cell>
          <cell r="Y771">
            <v>18</v>
          </cell>
          <cell r="Z771">
            <v>0</v>
          </cell>
        </row>
        <row r="772">
          <cell r="A772">
            <v>9213105</v>
          </cell>
          <cell r="B772" t="str">
            <v>裂地诀</v>
          </cell>
          <cell r="C772" t="str">
            <v>裂地诀</v>
          </cell>
          <cell r="D772">
            <v>2</v>
          </cell>
          <cell r="E772">
            <v>13</v>
          </cell>
          <cell r="F772" t="str">
            <v>第5级，共造成226%点伤害</v>
          </cell>
          <cell r="G772">
            <v>1</v>
          </cell>
          <cell r="H772">
            <v>1</v>
          </cell>
          <cell r="I772">
            <v>5</v>
          </cell>
          <cell r="J772">
            <v>1</v>
          </cell>
          <cell r="K772">
            <v>225.97826086956525</v>
          </cell>
          <cell r="L772">
            <v>0</v>
          </cell>
          <cell r="M772">
            <v>9500</v>
          </cell>
          <cell r="N772">
            <v>1342</v>
          </cell>
          <cell r="O772">
            <v>3</v>
          </cell>
          <cell r="P772">
            <v>1</v>
          </cell>
          <cell r="Q772">
            <v>1</v>
          </cell>
          <cell r="R772">
            <v>5</v>
          </cell>
          <cell r="S772">
            <v>50</v>
          </cell>
          <cell r="T772">
            <v>215.21739130434784</v>
          </cell>
          <cell r="U772">
            <v>122</v>
          </cell>
          <cell r="V772">
            <v>215.21739130434784</v>
          </cell>
          <cell r="W772">
            <v>11</v>
          </cell>
          <cell r="X772">
            <v>47</v>
          </cell>
          <cell r="Y772">
            <v>18</v>
          </cell>
          <cell r="Z772">
            <v>0</v>
          </cell>
        </row>
        <row r="773">
          <cell r="A773">
            <v>9213106</v>
          </cell>
          <cell r="B773" t="str">
            <v>裂地诀</v>
          </cell>
          <cell r="C773" t="str">
            <v>裂地诀</v>
          </cell>
          <cell r="D773">
            <v>2</v>
          </cell>
          <cell r="E773">
            <v>14</v>
          </cell>
          <cell r="F773" t="str">
            <v>第6级，共造成228.1%点伤害</v>
          </cell>
          <cell r="G773">
            <v>1</v>
          </cell>
          <cell r="H773">
            <v>1</v>
          </cell>
          <cell r="I773">
            <v>6</v>
          </cell>
          <cell r="J773">
            <v>1</v>
          </cell>
          <cell r="K773">
            <v>228.13043478260872</v>
          </cell>
          <cell r="L773">
            <v>0</v>
          </cell>
          <cell r="M773">
            <v>9400</v>
          </cell>
          <cell r="N773">
            <v>1408</v>
          </cell>
          <cell r="O773">
            <v>3</v>
          </cell>
          <cell r="P773">
            <v>1</v>
          </cell>
          <cell r="Q773">
            <v>1</v>
          </cell>
          <cell r="R773">
            <v>5</v>
          </cell>
          <cell r="S773">
            <v>50</v>
          </cell>
          <cell r="T773">
            <v>215.21739130434784</v>
          </cell>
          <cell r="U773">
            <v>128</v>
          </cell>
          <cell r="V773">
            <v>215.21739130434784</v>
          </cell>
          <cell r="W773">
            <v>11</v>
          </cell>
          <cell r="X773">
            <v>58</v>
          </cell>
          <cell r="Y773">
            <v>18</v>
          </cell>
          <cell r="Z773">
            <v>0</v>
          </cell>
        </row>
        <row r="774">
          <cell r="A774">
            <v>9213107</v>
          </cell>
          <cell r="B774" t="str">
            <v>裂地诀</v>
          </cell>
          <cell r="C774" t="str">
            <v>裂地诀</v>
          </cell>
          <cell r="D774">
            <v>2</v>
          </cell>
          <cell r="E774">
            <v>16</v>
          </cell>
          <cell r="F774" t="str">
            <v>第7级，共造成230.3%点伤害</v>
          </cell>
          <cell r="G774">
            <v>1</v>
          </cell>
          <cell r="H774">
            <v>1</v>
          </cell>
          <cell r="I774">
            <v>7</v>
          </cell>
          <cell r="J774">
            <v>1</v>
          </cell>
          <cell r="K774">
            <v>230.28260869565219</v>
          </cell>
          <cell r="L774">
            <v>0</v>
          </cell>
          <cell r="M774">
            <v>9300</v>
          </cell>
          <cell r="N774">
            <v>1680</v>
          </cell>
          <cell r="O774">
            <v>3</v>
          </cell>
          <cell r="P774">
            <v>1</v>
          </cell>
          <cell r="Q774">
            <v>1</v>
          </cell>
          <cell r="R774">
            <v>5</v>
          </cell>
          <cell r="S774">
            <v>50</v>
          </cell>
          <cell r="T774">
            <v>215.21739130434784</v>
          </cell>
          <cell r="U774">
            <v>140</v>
          </cell>
          <cell r="V774">
            <v>215.21739130434784</v>
          </cell>
          <cell r="W774">
            <v>12</v>
          </cell>
          <cell r="X774">
            <v>70</v>
          </cell>
          <cell r="Y774">
            <v>18</v>
          </cell>
          <cell r="Z774">
            <v>0</v>
          </cell>
        </row>
        <row r="775">
          <cell r="A775">
            <v>9213108</v>
          </cell>
          <cell r="B775" t="str">
            <v>裂地诀</v>
          </cell>
          <cell r="C775" t="str">
            <v>裂地诀</v>
          </cell>
          <cell r="D775">
            <v>2</v>
          </cell>
          <cell r="E775">
            <v>17</v>
          </cell>
          <cell r="F775" t="str">
            <v>第8级，共造成232.4%点伤害</v>
          </cell>
          <cell r="G775">
            <v>1</v>
          </cell>
          <cell r="H775">
            <v>1</v>
          </cell>
          <cell r="I775">
            <v>8</v>
          </cell>
          <cell r="J775">
            <v>1</v>
          </cell>
          <cell r="K775">
            <v>232.43478260869568</v>
          </cell>
          <cell r="L775">
            <v>0</v>
          </cell>
          <cell r="M775">
            <v>9200</v>
          </cell>
          <cell r="N775">
            <v>1898</v>
          </cell>
          <cell r="O775">
            <v>3</v>
          </cell>
          <cell r="P775">
            <v>1</v>
          </cell>
          <cell r="Q775">
            <v>1</v>
          </cell>
          <cell r="R775">
            <v>5</v>
          </cell>
          <cell r="S775">
            <v>50</v>
          </cell>
          <cell r="T775">
            <v>215.21739130434784</v>
          </cell>
          <cell r="U775">
            <v>146</v>
          </cell>
          <cell r="V775">
            <v>215.21739130434784</v>
          </cell>
          <cell r="W775">
            <v>13</v>
          </cell>
          <cell r="X775">
            <v>83</v>
          </cell>
          <cell r="Y775">
            <v>18</v>
          </cell>
          <cell r="Z775">
            <v>0</v>
          </cell>
        </row>
        <row r="776">
          <cell r="A776">
            <v>9213109</v>
          </cell>
          <cell r="B776" t="str">
            <v>裂地诀</v>
          </cell>
          <cell r="C776" t="str">
            <v>裂地诀</v>
          </cell>
          <cell r="D776">
            <v>2</v>
          </cell>
          <cell r="E776">
            <v>19</v>
          </cell>
          <cell r="F776" t="str">
            <v>第9级，共造成234.6%点伤害</v>
          </cell>
          <cell r="G776">
            <v>1</v>
          </cell>
          <cell r="H776">
            <v>1</v>
          </cell>
          <cell r="I776">
            <v>9</v>
          </cell>
          <cell r="J776">
            <v>1</v>
          </cell>
          <cell r="K776">
            <v>234.58695652173915</v>
          </cell>
          <cell r="L776">
            <v>0</v>
          </cell>
          <cell r="M776">
            <v>9100</v>
          </cell>
          <cell r="N776">
            <v>2212</v>
          </cell>
          <cell r="O776">
            <v>3</v>
          </cell>
          <cell r="P776">
            <v>1</v>
          </cell>
          <cell r="Q776">
            <v>1</v>
          </cell>
          <cell r="R776">
            <v>5</v>
          </cell>
          <cell r="S776">
            <v>50</v>
          </cell>
          <cell r="T776">
            <v>215.21739130434784</v>
          </cell>
          <cell r="U776">
            <v>158</v>
          </cell>
          <cell r="V776">
            <v>215.21739130434784</v>
          </cell>
          <cell r="W776">
            <v>14</v>
          </cell>
          <cell r="X776">
            <v>97</v>
          </cell>
          <cell r="Y776">
            <v>18</v>
          </cell>
          <cell r="Z776">
            <v>0</v>
          </cell>
        </row>
        <row r="777">
          <cell r="A777">
            <v>9213110</v>
          </cell>
          <cell r="B777" t="str">
            <v>裂地诀</v>
          </cell>
          <cell r="C777" t="str">
            <v>裂地诀</v>
          </cell>
          <cell r="D777">
            <v>2</v>
          </cell>
          <cell r="E777">
            <v>20</v>
          </cell>
          <cell r="F777" t="str">
            <v>第10级，共造成236.7%点伤害</v>
          </cell>
          <cell r="G777">
            <v>1</v>
          </cell>
          <cell r="H777">
            <v>1</v>
          </cell>
          <cell r="I777">
            <v>10</v>
          </cell>
          <cell r="J777">
            <v>1</v>
          </cell>
          <cell r="K777">
            <v>236.73913043478262</v>
          </cell>
          <cell r="L777">
            <v>0</v>
          </cell>
          <cell r="M777">
            <v>9000</v>
          </cell>
          <cell r="N777">
            <v>2730</v>
          </cell>
          <cell r="O777">
            <v>3</v>
          </cell>
          <cell r="P777">
            <v>1</v>
          </cell>
          <cell r="Q777">
            <v>1</v>
          </cell>
          <cell r="R777">
            <v>5</v>
          </cell>
          <cell r="S777">
            <v>50</v>
          </cell>
          <cell r="T777">
            <v>215.21739130434784</v>
          </cell>
          <cell r="U777">
            <v>182</v>
          </cell>
          <cell r="V777">
            <v>215.21739130434784</v>
          </cell>
          <cell r="W777">
            <v>15</v>
          </cell>
          <cell r="X777">
            <v>112</v>
          </cell>
          <cell r="Y777">
            <v>18</v>
          </cell>
          <cell r="Z777">
            <v>0</v>
          </cell>
        </row>
        <row r="778">
          <cell r="A778">
            <v>9213111</v>
          </cell>
          <cell r="B778" t="str">
            <v>裂地诀</v>
          </cell>
          <cell r="C778" t="str">
            <v>裂地诀</v>
          </cell>
          <cell r="D778">
            <v>2</v>
          </cell>
          <cell r="E778">
            <v>22</v>
          </cell>
          <cell r="F778" t="str">
            <v>第11级，共造成238.9%点伤害</v>
          </cell>
          <cell r="G778">
            <v>1</v>
          </cell>
          <cell r="H778">
            <v>1</v>
          </cell>
          <cell r="I778">
            <v>11</v>
          </cell>
          <cell r="J778">
            <v>1</v>
          </cell>
          <cell r="K778">
            <v>238.89130434782612</v>
          </cell>
          <cell r="L778">
            <v>0</v>
          </cell>
          <cell r="M778">
            <v>8900</v>
          </cell>
          <cell r="N778">
            <v>3824</v>
          </cell>
          <cell r="O778">
            <v>3</v>
          </cell>
          <cell r="P778">
            <v>1</v>
          </cell>
          <cell r="Q778">
            <v>1</v>
          </cell>
          <cell r="R778">
            <v>5</v>
          </cell>
          <cell r="S778">
            <v>50</v>
          </cell>
          <cell r="T778">
            <v>215.21739130434784</v>
          </cell>
          <cell r="U778">
            <v>239</v>
          </cell>
          <cell r="V778">
            <v>215.21739130434784</v>
          </cell>
          <cell r="W778">
            <v>16</v>
          </cell>
          <cell r="X778">
            <v>128</v>
          </cell>
          <cell r="Y778">
            <v>18</v>
          </cell>
          <cell r="Z778">
            <v>0</v>
          </cell>
        </row>
        <row r="779">
          <cell r="A779">
            <v>9213112</v>
          </cell>
          <cell r="B779" t="str">
            <v>裂地诀</v>
          </cell>
          <cell r="C779" t="str">
            <v>裂地诀</v>
          </cell>
          <cell r="D779">
            <v>2</v>
          </cell>
          <cell r="E779">
            <v>23</v>
          </cell>
          <cell r="F779" t="str">
            <v>第12级，共造成241%点伤害</v>
          </cell>
          <cell r="G779">
            <v>1</v>
          </cell>
          <cell r="H779">
            <v>1</v>
          </cell>
          <cell r="I779">
            <v>12</v>
          </cell>
          <cell r="J779">
            <v>1</v>
          </cell>
          <cell r="K779">
            <v>241.04347826086959</v>
          </cell>
          <cell r="L779">
            <v>0</v>
          </cell>
          <cell r="M779">
            <v>8800</v>
          </cell>
          <cell r="N779">
            <v>4590</v>
          </cell>
          <cell r="O779">
            <v>3</v>
          </cell>
          <cell r="P779">
            <v>1</v>
          </cell>
          <cell r="Q779">
            <v>1</v>
          </cell>
          <cell r="R779">
            <v>5</v>
          </cell>
          <cell r="S779">
            <v>50</v>
          </cell>
          <cell r="T779">
            <v>215.21739130434784</v>
          </cell>
          <cell r="U779">
            <v>270</v>
          </cell>
          <cell r="V779">
            <v>215.21739130434784</v>
          </cell>
          <cell r="W779">
            <v>17</v>
          </cell>
          <cell r="X779">
            <v>145</v>
          </cell>
          <cell r="Y779">
            <v>18</v>
          </cell>
          <cell r="Z779">
            <v>0</v>
          </cell>
        </row>
        <row r="780">
          <cell r="A780">
            <v>9213113</v>
          </cell>
          <cell r="B780" t="str">
            <v>裂地诀</v>
          </cell>
          <cell r="C780" t="str">
            <v>裂地诀</v>
          </cell>
          <cell r="D780">
            <v>2</v>
          </cell>
          <cell r="E780">
            <v>25</v>
          </cell>
          <cell r="F780" t="str">
            <v>第13级，共造成243.2%点伤害</v>
          </cell>
          <cell r="G780">
            <v>1</v>
          </cell>
          <cell r="H780">
            <v>1</v>
          </cell>
          <cell r="I780">
            <v>13</v>
          </cell>
          <cell r="J780">
            <v>1</v>
          </cell>
          <cell r="K780">
            <v>243.19565217391306</v>
          </cell>
          <cell r="L780">
            <v>0</v>
          </cell>
          <cell r="M780">
            <v>8700</v>
          </cell>
          <cell r="N780">
            <v>6030</v>
          </cell>
          <cell r="O780">
            <v>3</v>
          </cell>
          <cell r="P780">
            <v>1</v>
          </cell>
          <cell r="Q780">
            <v>1</v>
          </cell>
          <cell r="R780">
            <v>5</v>
          </cell>
          <cell r="S780">
            <v>50</v>
          </cell>
          <cell r="T780">
            <v>215.21739130434784</v>
          </cell>
          <cell r="U780">
            <v>335</v>
          </cell>
          <cell r="V780">
            <v>215.21739130434784</v>
          </cell>
          <cell r="W780">
            <v>18</v>
          </cell>
          <cell r="X780">
            <v>163</v>
          </cell>
          <cell r="Y780">
            <v>18</v>
          </cell>
          <cell r="Z780">
            <v>0</v>
          </cell>
        </row>
        <row r="781">
          <cell r="A781">
            <v>9213114</v>
          </cell>
          <cell r="B781" t="str">
            <v>裂地诀</v>
          </cell>
          <cell r="C781" t="str">
            <v>裂地诀</v>
          </cell>
          <cell r="D781">
            <v>2</v>
          </cell>
          <cell r="E781">
            <v>26</v>
          </cell>
          <cell r="F781" t="str">
            <v>第14级，共造成245.3%点伤害</v>
          </cell>
          <cell r="G781">
            <v>1</v>
          </cell>
          <cell r="H781">
            <v>1</v>
          </cell>
          <cell r="I781">
            <v>14</v>
          </cell>
          <cell r="J781">
            <v>1</v>
          </cell>
          <cell r="K781">
            <v>245.34782608695653</v>
          </cell>
          <cell r="L781">
            <v>0</v>
          </cell>
          <cell r="M781">
            <v>8600</v>
          </cell>
          <cell r="N781">
            <v>7030</v>
          </cell>
          <cell r="O781">
            <v>3</v>
          </cell>
          <cell r="P781">
            <v>1</v>
          </cell>
          <cell r="Q781">
            <v>1</v>
          </cell>
          <cell r="R781">
            <v>5</v>
          </cell>
          <cell r="S781">
            <v>50</v>
          </cell>
          <cell r="T781">
            <v>215.21739130434784</v>
          </cell>
          <cell r="U781">
            <v>370</v>
          </cell>
          <cell r="V781">
            <v>215.21739130434784</v>
          </cell>
          <cell r="W781">
            <v>19</v>
          </cell>
          <cell r="X781">
            <v>182</v>
          </cell>
          <cell r="Y781">
            <v>18</v>
          </cell>
          <cell r="Z781">
            <v>0</v>
          </cell>
        </row>
        <row r="782">
          <cell r="A782">
            <v>9213115</v>
          </cell>
          <cell r="B782" t="str">
            <v>裂地诀</v>
          </cell>
          <cell r="C782" t="str">
            <v>裂地诀</v>
          </cell>
          <cell r="D782">
            <v>2</v>
          </cell>
          <cell r="E782">
            <v>28</v>
          </cell>
          <cell r="F782" t="str">
            <v>第15级，共造成247.5%点伤害</v>
          </cell>
          <cell r="G782">
            <v>1</v>
          </cell>
          <cell r="H782">
            <v>1</v>
          </cell>
          <cell r="I782">
            <v>15</v>
          </cell>
          <cell r="J782">
            <v>1</v>
          </cell>
          <cell r="K782">
            <v>247.50000000000003</v>
          </cell>
          <cell r="L782">
            <v>0</v>
          </cell>
          <cell r="M782">
            <v>8500</v>
          </cell>
          <cell r="N782">
            <v>8860</v>
          </cell>
          <cell r="O782">
            <v>3</v>
          </cell>
          <cell r="P782">
            <v>1</v>
          </cell>
          <cell r="Q782">
            <v>1</v>
          </cell>
          <cell r="R782">
            <v>5</v>
          </cell>
          <cell r="S782">
            <v>50</v>
          </cell>
          <cell r="T782">
            <v>215.21739130434784</v>
          </cell>
          <cell r="U782">
            <v>443</v>
          </cell>
          <cell r="V782">
            <v>215.21739130434784</v>
          </cell>
          <cell r="W782">
            <v>20</v>
          </cell>
          <cell r="X782">
            <v>202</v>
          </cell>
          <cell r="Y782">
            <v>18</v>
          </cell>
          <cell r="Z782">
            <v>0</v>
          </cell>
        </row>
        <row r="783">
          <cell r="A783">
            <v>9213116</v>
          </cell>
          <cell r="B783" t="str">
            <v>裂地诀</v>
          </cell>
          <cell r="C783" t="str">
            <v>裂地诀</v>
          </cell>
          <cell r="D783">
            <v>2</v>
          </cell>
          <cell r="E783">
            <v>29</v>
          </cell>
          <cell r="F783" t="str">
            <v>第16级，共造成249.7%点伤害</v>
          </cell>
          <cell r="G783">
            <v>1</v>
          </cell>
          <cell r="H783">
            <v>1</v>
          </cell>
          <cell r="I783">
            <v>16</v>
          </cell>
          <cell r="J783">
            <v>1</v>
          </cell>
          <cell r="K783">
            <v>249.6521739130435</v>
          </cell>
          <cell r="L783">
            <v>0</v>
          </cell>
          <cell r="M783">
            <v>8400</v>
          </cell>
          <cell r="N783">
            <v>10604</v>
          </cell>
          <cell r="O783">
            <v>3</v>
          </cell>
          <cell r="P783">
            <v>1</v>
          </cell>
          <cell r="Q783">
            <v>1</v>
          </cell>
          <cell r="R783">
            <v>5</v>
          </cell>
          <cell r="S783">
            <v>50</v>
          </cell>
          <cell r="T783">
            <v>215.21739130434784</v>
          </cell>
          <cell r="U783">
            <v>482</v>
          </cell>
          <cell r="V783">
            <v>215.21739130434784</v>
          </cell>
          <cell r="W783">
            <v>22</v>
          </cell>
          <cell r="X783">
            <v>224</v>
          </cell>
          <cell r="Y783">
            <v>18</v>
          </cell>
          <cell r="Z783">
            <v>0</v>
          </cell>
        </row>
        <row r="784">
          <cell r="A784">
            <v>9213117</v>
          </cell>
          <cell r="B784" t="str">
            <v>裂地诀</v>
          </cell>
          <cell r="C784" t="str">
            <v>裂地诀</v>
          </cell>
          <cell r="D784">
            <v>2</v>
          </cell>
          <cell r="E784">
            <v>31</v>
          </cell>
          <cell r="F784" t="str">
            <v>第17级，共造成251.8%点伤害</v>
          </cell>
          <cell r="G784">
            <v>1</v>
          </cell>
          <cell r="H784">
            <v>1</v>
          </cell>
          <cell r="I784">
            <v>17</v>
          </cell>
          <cell r="J784">
            <v>1</v>
          </cell>
          <cell r="K784">
            <v>251.80434782608697</v>
          </cell>
          <cell r="L784">
            <v>0</v>
          </cell>
          <cell r="M784">
            <v>8300</v>
          </cell>
          <cell r="N784">
            <v>13512</v>
          </cell>
          <cell r="O784">
            <v>3</v>
          </cell>
          <cell r="P784">
            <v>1</v>
          </cell>
          <cell r="Q784">
            <v>1</v>
          </cell>
          <cell r="R784">
            <v>5</v>
          </cell>
          <cell r="S784">
            <v>50</v>
          </cell>
          <cell r="T784">
            <v>215.21739130434784</v>
          </cell>
          <cell r="U784">
            <v>563</v>
          </cell>
          <cell r="V784">
            <v>215.21739130434784</v>
          </cell>
          <cell r="W784">
            <v>24</v>
          </cell>
          <cell r="X784">
            <v>248</v>
          </cell>
          <cell r="Y784">
            <v>18</v>
          </cell>
          <cell r="Z784">
            <v>0</v>
          </cell>
        </row>
        <row r="785">
          <cell r="A785">
            <v>9213118</v>
          </cell>
          <cell r="B785" t="str">
            <v>裂地诀</v>
          </cell>
          <cell r="C785" t="str">
            <v>裂地诀</v>
          </cell>
          <cell r="D785">
            <v>2</v>
          </cell>
          <cell r="E785">
            <v>32</v>
          </cell>
          <cell r="F785" t="str">
            <v>第18级，共造成254%点伤害</v>
          </cell>
          <cell r="G785">
            <v>1</v>
          </cell>
          <cell r="H785">
            <v>1</v>
          </cell>
          <cell r="I785">
            <v>18</v>
          </cell>
          <cell r="J785">
            <v>1</v>
          </cell>
          <cell r="K785">
            <v>253.95652173913044</v>
          </cell>
          <cell r="L785">
            <v>0</v>
          </cell>
          <cell r="M785">
            <v>8200</v>
          </cell>
          <cell r="N785">
            <v>15150</v>
          </cell>
          <cell r="O785">
            <v>3</v>
          </cell>
          <cell r="P785">
            <v>1</v>
          </cell>
          <cell r="Q785">
            <v>1</v>
          </cell>
          <cell r="R785">
            <v>5</v>
          </cell>
          <cell r="S785">
            <v>50</v>
          </cell>
          <cell r="T785">
            <v>215.21739130434784</v>
          </cell>
          <cell r="U785">
            <v>606</v>
          </cell>
          <cell r="V785">
            <v>215.21739130434784</v>
          </cell>
          <cell r="W785">
            <v>25</v>
          </cell>
          <cell r="X785">
            <v>273</v>
          </cell>
          <cell r="Y785">
            <v>18</v>
          </cell>
          <cell r="Z785">
            <v>10</v>
          </cell>
        </row>
        <row r="786">
          <cell r="A786">
            <v>9213119</v>
          </cell>
          <cell r="B786" t="str">
            <v>裂地诀</v>
          </cell>
          <cell r="C786" t="str">
            <v>裂地诀</v>
          </cell>
          <cell r="D786">
            <v>2</v>
          </cell>
          <cell r="E786">
            <v>34</v>
          </cell>
          <cell r="F786" t="str">
            <v>第19级，共造成256.1%点伤害</v>
          </cell>
          <cell r="G786">
            <v>1</v>
          </cell>
          <cell r="H786">
            <v>1</v>
          </cell>
          <cell r="I786">
            <v>19</v>
          </cell>
          <cell r="J786">
            <v>1</v>
          </cell>
          <cell r="K786">
            <v>256.10869565217394</v>
          </cell>
          <cell r="L786">
            <v>0</v>
          </cell>
          <cell r="M786">
            <v>8100</v>
          </cell>
          <cell r="N786">
            <v>18792</v>
          </cell>
          <cell r="O786">
            <v>3</v>
          </cell>
          <cell r="P786">
            <v>1</v>
          </cell>
          <cell r="Q786">
            <v>1</v>
          </cell>
          <cell r="R786">
            <v>5</v>
          </cell>
          <cell r="S786">
            <v>50</v>
          </cell>
          <cell r="T786">
            <v>215.21739130434784</v>
          </cell>
          <cell r="U786">
            <v>696</v>
          </cell>
          <cell r="V786">
            <v>215.21739130434784</v>
          </cell>
          <cell r="W786">
            <v>27</v>
          </cell>
          <cell r="X786">
            <v>300</v>
          </cell>
          <cell r="Y786">
            <v>18</v>
          </cell>
          <cell r="Z786">
            <v>11</v>
          </cell>
        </row>
        <row r="787">
          <cell r="A787">
            <v>9213120</v>
          </cell>
          <cell r="B787" t="str">
            <v>裂地诀</v>
          </cell>
          <cell r="C787" t="str">
            <v>裂地诀</v>
          </cell>
          <cell r="D787">
            <v>2</v>
          </cell>
          <cell r="E787">
            <v>35</v>
          </cell>
          <cell r="F787" t="str">
            <v>第20级，共造成258.3%点伤害</v>
          </cell>
          <cell r="G787">
            <v>1</v>
          </cell>
          <cell r="H787">
            <v>1</v>
          </cell>
          <cell r="I787">
            <v>20</v>
          </cell>
          <cell r="J787">
            <v>1</v>
          </cell>
          <cell r="K787">
            <v>258.26086956521743</v>
          </cell>
          <cell r="L787">
            <v>0</v>
          </cell>
          <cell r="M787">
            <v>8000</v>
          </cell>
          <cell r="N787">
            <v>21547</v>
          </cell>
          <cell r="O787">
            <v>3</v>
          </cell>
          <cell r="P787">
            <v>1</v>
          </cell>
          <cell r="Q787">
            <v>1</v>
          </cell>
          <cell r="R787">
            <v>5</v>
          </cell>
          <cell r="S787">
            <v>50</v>
          </cell>
          <cell r="T787">
            <v>215.21739130434784</v>
          </cell>
          <cell r="U787">
            <v>743</v>
          </cell>
          <cell r="V787">
            <v>215.21739130434784</v>
          </cell>
          <cell r="W787">
            <v>29</v>
          </cell>
          <cell r="X787">
            <v>329</v>
          </cell>
          <cell r="Y787">
            <v>18</v>
          </cell>
          <cell r="Z787">
            <v>12</v>
          </cell>
        </row>
        <row r="788">
          <cell r="A788">
            <v>9213121</v>
          </cell>
          <cell r="B788" t="str">
            <v>裂地诀</v>
          </cell>
          <cell r="C788" t="str">
            <v>裂地诀</v>
          </cell>
          <cell r="D788">
            <v>2</v>
          </cell>
          <cell r="E788">
            <v>37</v>
          </cell>
          <cell r="F788" t="str">
            <v>第21级，共造成260.4%点伤害</v>
          </cell>
          <cell r="G788">
            <v>1</v>
          </cell>
          <cell r="H788">
            <v>1</v>
          </cell>
          <cell r="I788">
            <v>21</v>
          </cell>
          <cell r="J788">
            <v>1</v>
          </cell>
          <cell r="K788">
            <v>260.41304347826087</v>
          </cell>
          <cell r="L788">
            <v>0</v>
          </cell>
          <cell r="M788">
            <v>7900</v>
          </cell>
          <cell r="N788">
            <v>26071</v>
          </cell>
          <cell r="O788">
            <v>3</v>
          </cell>
          <cell r="P788">
            <v>1</v>
          </cell>
          <cell r="Q788">
            <v>1</v>
          </cell>
          <cell r="R788">
            <v>5</v>
          </cell>
          <cell r="S788">
            <v>50</v>
          </cell>
          <cell r="T788">
            <v>215.21739130434784</v>
          </cell>
          <cell r="U788">
            <v>841</v>
          </cell>
          <cell r="V788">
            <v>215.21739130434784</v>
          </cell>
          <cell r="W788">
            <v>31</v>
          </cell>
          <cell r="X788">
            <v>360</v>
          </cell>
          <cell r="Y788">
            <v>18</v>
          </cell>
          <cell r="Z788">
            <v>13</v>
          </cell>
        </row>
        <row r="789">
          <cell r="A789">
            <v>9213122</v>
          </cell>
          <cell r="B789" t="str">
            <v>裂地诀</v>
          </cell>
          <cell r="C789" t="str">
            <v>裂地诀</v>
          </cell>
          <cell r="D789">
            <v>2</v>
          </cell>
          <cell r="E789">
            <v>38</v>
          </cell>
          <cell r="F789" t="str">
            <v>第22级，共造成262.6%点伤害</v>
          </cell>
          <cell r="G789">
            <v>1</v>
          </cell>
          <cell r="H789">
            <v>1</v>
          </cell>
          <cell r="I789">
            <v>22</v>
          </cell>
          <cell r="J789">
            <v>1</v>
          </cell>
          <cell r="K789">
            <v>262.56521739130437</v>
          </cell>
          <cell r="L789">
            <v>0</v>
          </cell>
          <cell r="M789">
            <v>7800</v>
          </cell>
          <cell r="N789">
            <v>29436</v>
          </cell>
          <cell r="O789">
            <v>3</v>
          </cell>
          <cell r="P789">
            <v>1</v>
          </cell>
          <cell r="Q789">
            <v>1</v>
          </cell>
          <cell r="R789">
            <v>5</v>
          </cell>
          <cell r="S789">
            <v>50</v>
          </cell>
          <cell r="T789">
            <v>215.21739130434784</v>
          </cell>
          <cell r="U789">
            <v>892</v>
          </cell>
          <cell r="V789">
            <v>215.21739130434784</v>
          </cell>
          <cell r="W789">
            <v>33</v>
          </cell>
          <cell r="X789">
            <v>393</v>
          </cell>
          <cell r="Y789">
            <v>18</v>
          </cell>
          <cell r="Z789">
            <v>14</v>
          </cell>
        </row>
        <row r="790">
          <cell r="A790">
            <v>9213123</v>
          </cell>
          <cell r="B790" t="str">
            <v>裂地诀</v>
          </cell>
          <cell r="C790" t="str">
            <v>裂地诀</v>
          </cell>
          <cell r="D790">
            <v>2</v>
          </cell>
          <cell r="E790">
            <v>40</v>
          </cell>
          <cell r="F790" t="str">
            <v>第23级，共造成264.7%点伤害</v>
          </cell>
          <cell r="G790">
            <v>1</v>
          </cell>
          <cell r="H790">
            <v>1</v>
          </cell>
          <cell r="I790">
            <v>23</v>
          </cell>
          <cell r="J790">
            <v>1</v>
          </cell>
          <cell r="K790">
            <v>264.71739130434787</v>
          </cell>
          <cell r="L790">
            <v>0</v>
          </cell>
          <cell r="M790">
            <v>7700</v>
          </cell>
          <cell r="N790">
            <v>35928</v>
          </cell>
          <cell r="O790">
            <v>3</v>
          </cell>
          <cell r="P790">
            <v>1</v>
          </cell>
          <cell r="Q790">
            <v>1</v>
          </cell>
          <cell r="R790">
            <v>5</v>
          </cell>
          <cell r="S790">
            <v>50</v>
          </cell>
          <cell r="T790">
            <v>215.21739130434784</v>
          </cell>
          <cell r="U790">
            <v>998</v>
          </cell>
          <cell r="V790">
            <v>215.21739130434784</v>
          </cell>
          <cell r="W790">
            <v>36</v>
          </cell>
          <cell r="X790">
            <v>429</v>
          </cell>
          <cell r="Y790">
            <v>18</v>
          </cell>
          <cell r="Z790">
            <v>15</v>
          </cell>
        </row>
        <row r="791">
          <cell r="A791">
            <v>9213124</v>
          </cell>
          <cell r="B791" t="str">
            <v>裂地诀</v>
          </cell>
          <cell r="C791" t="str">
            <v>裂地诀</v>
          </cell>
          <cell r="D791">
            <v>2</v>
          </cell>
          <cell r="E791">
            <v>41</v>
          </cell>
          <cell r="F791" t="str">
            <v>第24级，共造成266.9%点伤害</v>
          </cell>
          <cell r="G791">
            <v>1</v>
          </cell>
          <cell r="H791">
            <v>1</v>
          </cell>
          <cell r="I791">
            <v>24</v>
          </cell>
          <cell r="J791">
            <v>1</v>
          </cell>
          <cell r="K791">
            <v>266.86956521739131</v>
          </cell>
          <cell r="L791">
            <v>0</v>
          </cell>
          <cell r="M791">
            <v>7600</v>
          </cell>
          <cell r="N791">
            <v>40014</v>
          </cell>
          <cell r="O791">
            <v>3</v>
          </cell>
          <cell r="P791">
            <v>1</v>
          </cell>
          <cell r="Q791">
            <v>1</v>
          </cell>
          <cell r="R791">
            <v>5</v>
          </cell>
          <cell r="S791">
            <v>50</v>
          </cell>
          <cell r="T791">
            <v>215.21739130434784</v>
          </cell>
          <cell r="U791">
            <v>1053</v>
          </cell>
          <cell r="V791">
            <v>215.21739130434784</v>
          </cell>
          <cell r="W791">
            <v>38</v>
          </cell>
          <cell r="X791">
            <v>467</v>
          </cell>
          <cell r="Y791">
            <v>18</v>
          </cell>
          <cell r="Z791">
            <v>16</v>
          </cell>
        </row>
        <row r="792">
          <cell r="A792">
            <v>9213125</v>
          </cell>
          <cell r="B792" t="str">
            <v>裂地诀</v>
          </cell>
          <cell r="C792" t="str">
            <v>裂地诀</v>
          </cell>
          <cell r="D792">
            <v>2</v>
          </cell>
          <cell r="E792">
            <v>43</v>
          </cell>
          <cell r="F792" t="str">
            <v>第25级，共造成269%点伤害</v>
          </cell>
          <cell r="G792">
            <v>1</v>
          </cell>
          <cell r="H792">
            <v>1</v>
          </cell>
          <cell r="I792">
            <v>25</v>
          </cell>
          <cell r="J792">
            <v>1</v>
          </cell>
          <cell r="K792">
            <v>269.02173913043481</v>
          </cell>
          <cell r="L792">
            <v>0</v>
          </cell>
          <cell r="M792">
            <v>7500</v>
          </cell>
          <cell r="N792">
            <v>47847</v>
          </cell>
          <cell r="O792">
            <v>3</v>
          </cell>
          <cell r="P792">
            <v>1</v>
          </cell>
          <cell r="Q792">
            <v>1</v>
          </cell>
          <cell r="R792">
            <v>5</v>
          </cell>
          <cell r="S792">
            <v>50</v>
          </cell>
          <cell r="T792">
            <v>215.21739130434784</v>
          </cell>
          <cell r="U792">
            <v>1167</v>
          </cell>
          <cell r="V792">
            <v>215.21739130434784</v>
          </cell>
          <cell r="W792">
            <v>41</v>
          </cell>
          <cell r="X792">
            <v>508</v>
          </cell>
          <cell r="Y792">
            <v>18</v>
          </cell>
          <cell r="Z792">
            <v>17</v>
          </cell>
        </row>
        <row r="793">
          <cell r="A793">
            <v>9213126</v>
          </cell>
          <cell r="B793" t="str">
            <v>裂地诀</v>
          </cell>
          <cell r="C793" t="str">
            <v>裂地诀</v>
          </cell>
          <cell r="D793">
            <v>2</v>
          </cell>
          <cell r="E793">
            <v>44</v>
          </cell>
          <cell r="F793" t="str">
            <v>第26级，共造成271.2%点伤害</v>
          </cell>
          <cell r="G793">
            <v>1</v>
          </cell>
          <cell r="H793">
            <v>1</v>
          </cell>
          <cell r="I793">
            <v>26</v>
          </cell>
          <cell r="J793">
            <v>1</v>
          </cell>
          <cell r="K793">
            <v>271.17391304347825</v>
          </cell>
          <cell r="L793">
            <v>0</v>
          </cell>
          <cell r="M793">
            <v>7400</v>
          </cell>
          <cell r="N793">
            <v>52718</v>
          </cell>
          <cell r="O793">
            <v>3</v>
          </cell>
          <cell r="P793">
            <v>1</v>
          </cell>
          <cell r="Q793">
            <v>1</v>
          </cell>
          <cell r="R793">
            <v>5</v>
          </cell>
          <cell r="S793">
            <v>50</v>
          </cell>
          <cell r="T793">
            <v>215.21739130434784</v>
          </cell>
          <cell r="U793">
            <v>1226</v>
          </cell>
          <cell r="V793">
            <v>215.21739130434784</v>
          </cell>
          <cell r="W793">
            <v>43</v>
          </cell>
          <cell r="X793">
            <v>551</v>
          </cell>
          <cell r="Y793">
            <v>18</v>
          </cell>
          <cell r="Z793">
            <v>18</v>
          </cell>
        </row>
        <row r="794">
          <cell r="A794">
            <v>9213127</v>
          </cell>
          <cell r="B794" t="str">
            <v>裂地诀</v>
          </cell>
          <cell r="C794" t="str">
            <v>裂地诀</v>
          </cell>
          <cell r="D794">
            <v>2</v>
          </cell>
          <cell r="E794">
            <v>46</v>
          </cell>
          <cell r="F794" t="str">
            <v>第27级，共造成273.3%点伤害</v>
          </cell>
          <cell r="G794">
            <v>1</v>
          </cell>
          <cell r="H794">
            <v>1</v>
          </cell>
          <cell r="I794">
            <v>27</v>
          </cell>
          <cell r="J794">
            <v>1</v>
          </cell>
          <cell r="K794">
            <v>273.32608695652175</v>
          </cell>
          <cell r="L794">
            <v>0</v>
          </cell>
          <cell r="M794">
            <v>7300</v>
          </cell>
          <cell r="N794">
            <v>62054</v>
          </cell>
          <cell r="O794">
            <v>3</v>
          </cell>
          <cell r="P794">
            <v>1</v>
          </cell>
          <cell r="Q794">
            <v>1</v>
          </cell>
          <cell r="R794">
            <v>5</v>
          </cell>
          <cell r="S794">
            <v>50</v>
          </cell>
          <cell r="T794">
            <v>215.21739130434784</v>
          </cell>
          <cell r="U794">
            <v>1349</v>
          </cell>
          <cell r="V794">
            <v>215.21739130434784</v>
          </cell>
          <cell r="W794">
            <v>46</v>
          </cell>
          <cell r="X794">
            <v>597</v>
          </cell>
          <cell r="Y794">
            <v>18</v>
          </cell>
          <cell r="Z794">
            <v>19</v>
          </cell>
        </row>
        <row r="795">
          <cell r="A795">
            <v>9213128</v>
          </cell>
          <cell r="B795" t="str">
            <v>裂地诀</v>
          </cell>
          <cell r="C795" t="str">
            <v>裂地诀</v>
          </cell>
          <cell r="D795">
            <v>2</v>
          </cell>
          <cell r="E795">
            <v>47</v>
          </cell>
          <cell r="F795" t="str">
            <v>第28级，共造成275.5%点伤害</v>
          </cell>
          <cell r="G795">
            <v>1</v>
          </cell>
          <cell r="H795">
            <v>1</v>
          </cell>
          <cell r="I795">
            <v>28</v>
          </cell>
          <cell r="J795">
            <v>1</v>
          </cell>
          <cell r="K795">
            <v>275.47826086956525</v>
          </cell>
          <cell r="L795">
            <v>0</v>
          </cell>
          <cell r="M795">
            <v>7200</v>
          </cell>
          <cell r="N795">
            <v>70600</v>
          </cell>
          <cell r="O795">
            <v>3</v>
          </cell>
          <cell r="P795">
            <v>1</v>
          </cell>
          <cell r="Q795">
            <v>1</v>
          </cell>
          <cell r="R795">
            <v>5</v>
          </cell>
          <cell r="S795">
            <v>50</v>
          </cell>
          <cell r="T795">
            <v>215.21739130434784</v>
          </cell>
          <cell r="U795">
            <v>1412</v>
          </cell>
          <cell r="V795">
            <v>215.21739130434784</v>
          </cell>
          <cell r="W795">
            <v>50</v>
          </cell>
          <cell r="X795">
            <v>647</v>
          </cell>
          <cell r="Y795">
            <v>18</v>
          </cell>
          <cell r="Z795">
            <v>20</v>
          </cell>
        </row>
        <row r="796">
          <cell r="A796">
            <v>9213129</v>
          </cell>
          <cell r="B796" t="str">
            <v>裂地诀</v>
          </cell>
          <cell r="C796" t="str">
            <v>裂地诀</v>
          </cell>
          <cell r="D796">
            <v>2</v>
          </cell>
          <cell r="E796">
            <v>49</v>
          </cell>
          <cell r="F796" t="str">
            <v>第29级，共造成277.6%点伤害</v>
          </cell>
          <cell r="G796">
            <v>1</v>
          </cell>
          <cell r="H796">
            <v>1</v>
          </cell>
          <cell r="I796">
            <v>29</v>
          </cell>
          <cell r="J796">
            <v>1</v>
          </cell>
          <cell r="K796">
            <v>277.63043478260875</v>
          </cell>
          <cell r="L796">
            <v>0</v>
          </cell>
          <cell r="M796">
            <v>7100</v>
          </cell>
          <cell r="N796">
            <v>81779</v>
          </cell>
          <cell r="O796">
            <v>3</v>
          </cell>
          <cell r="P796">
            <v>1</v>
          </cell>
          <cell r="Q796">
            <v>1</v>
          </cell>
          <cell r="R796">
            <v>5</v>
          </cell>
          <cell r="S796">
            <v>50</v>
          </cell>
          <cell r="T796">
            <v>215.21739130434784</v>
          </cell>
          <cell r="U796">
            <v>1543</v>
          </cell>
          <cell r="V796">
            <v>215.21739130434784</v>
          </cell>
          <cell r="W796">
            <v>53</v>
          </cell>
          <cell r="X796">
            <v>700</v>
          </cell>
          <cell r="Y796">
            <v>18</v>
          </cell>
          <cell r="Z796">
            <v>22</v>
          </cell>
        </row>
        <row r="797">
          <cell r="A797">
            <v>9213130</v>
          </cell>
          <cell r="B797" t="str">
            <v>裂地诀</v>
          </cell>
          <cell r="C797" t="str">
            <v>裂地诀</v>
          </cell>
          <cell r="D797">
            <v>2</v>
          </cell>
          <cell r="E797">
            <v>50</v>
          </cell>
          <cell r="F797" t="str">
            <v>第30级，共造成279.8%点伤害</v>
          </cell>
          <cell r="G797">
            <v>1</v>
          </cell>
          <cell r="H797">
            <v>1</v>
          </cell>
          <cell r="I797">
            <v>30</v>
          </cell>
          <cell r="J797">
            <v>1</v>
          </cell>
          <cell r="K797">
            <v>279.78260869565219</v>
          </cell>
          <cell r="L797">
            <v>0</v>
          </cell>
          <cell r="M797">
            <v>7000</v>
          </cell>
          <cell r="N797">
            <v>91770</v>
          </cell>
          <cell r="O797">
            <v>3</v>
          </cell>
          <cell r="P797">
            <v>1</v>
          </cell>
          <cell r="Q797">
            <v>1</v>
          </cell>
          <cell r="R797">
            <v>5</v>
          </cell>
          <cell r="S797">
            <v>50</v>
          </cell>
          <cell r="T797">
            <v>215.21739130434784</v>
          </cell>
          <cell r="U797">
            <v>1610</v>
          </cell>
          <cell r="V797">
            <v>215.21739130434784</v>
          </cell>
          <cell r="W797">
            <v>57</v>
          </cell>
          <cell r="X797">
            <v>757</v>
          </cell>
          <cell r="Y797">
            <v>18</v>
          </cell>
          <cell r="Z797">
            <v>23</v>
          </cell>
        </row>
        <row r="798">
          <cell r="A798">
            <v>9213131</v>
          </cell>
          <cell r="B798" t="str">
            <v>裂地诀</v>
          </cell>
          <cell r="C798" t="str">
            <v>裂地诀</v>
          </cell>
          <cell r="D798">
            <v>2</v>
          </cell>
          <cell r="E798">
            <v>52</v>
          </cell>
          <cell r="F798" t="str">
            <v>第31级，共造成281.9%点伤害</v>
          </cell>
          <cell r="G798">
            <v>1</v>
          </cell>
          <cell r="H798">
            <v>1</v>
          </cell>
          <cell r="I798">
            <v>31</v>
          </cell>
          <cell r="J798">
            <v>1</v>
          </cell>
          <cell r="K798">
            <v>281.93478260869568</v>
          </cell>
          <cell r="L798">
            <v>0</v>
          </cell>
          <cell r="M798">
            <v>6900</v>
          </cell>
          <cell r="N798">
            <v>106689</v>
          </cell>
          <cell r="O798">
            <v>3</v>
          </cell>
          <cell r="P798">
            <v>1</v>
          </cell>
          <cell r="Q798">
            <v>1</v>
          </cell>
          <cell r="R798">
            <v>5</v>
          </cell>
          <cell r="S798">
            <v>50</v>
          </cell>
          <cell r="T798">
            <v>215.21739130434784</v>
          </cell>
          <cell r="U798">
            <v>1749</v>
          </cell>
          <cell r="V798">
            <v>215.21739130434784</v>
          </cell>
          <cell r="W798">
            <v>61</v>
          </cell>
          <cell r="X798">
            <v>818</v>
          </cell>
          <cell r="Y798">
            <v>18</v>
          </cell>
          <cell r="Z798">
            <v>25</v>
          </cell>
        </row>
        <row r="799">
          <cell r="A799">
            <v>9213132</v>
          </cell>
          <cell r="B799" t="str">
            <v>裂地诀</v>
          </cell>
          <cell r="C799" t="str">
            <v>裂地诀</v>
          </cell>
          <cell r="D799">
            <v>2</v>
          </cell>
          <cell r="E799">
            <v>53</v>
          </cell>
          <cell r="F799" t="str">
            <v>第32级，共造成284.1%点伤害</v>
          </cell>
          <cell r="G799">
            <v>1</v>
          </cell>
          <cell r="H799">
            <v>1</v>
          </cell>
          <cell r="I799">
            <v>32</v>
          </cell>
          <cell r="J799">
            <v>1</v>
          </cell>
          <cell r="K799">
            <v>284.08695652173913</v>
          </cell>
          <cell r="L799">
            <v>0</v>
          </cell>
          <cell r="M799">
            <v>6800</v>
          </cell>
          <cell r="N799">
            <v>118300</v>
          </cell>
          <cell r="O799">
            <v>3</v>
          </cell>
          <cell r="P799">
            <v>1</v>
          </cell>
          <cell r="Q799">
            <v>1</v>
          </cell>
          <cell r="R799">
            <v>5</v>
          </cell>
          <cell r="S799">
            <v>50</v>
          </cell>
          <cell r="T799">
            <v>215.21739130434784</v>
          </cell>
          <cell r="U799">
            <v>1820</v>
          </cell>
          <cell r="V799">
            <v>215.21739130434784</v>
          </cell>
          <cell r="W799">
            <v>65</v>
          </cell>
          <cell r="X799">
            <v>883</v>
          </cell>
          <cell r="Y799">
            <v>18</v>
          </cell>
          <cell r="Z799">
            <v>26</v>
          </cell>
        </row>
        <row r="800">
          <cell r="A800">
            <v>9213133</v>
          </cell>
          <cell r="B800" t="str">
            <v>裂地诀</v>
          </cell>
          <cell r="C800" t="str">
            <v>裂地诀</v>
          </cell>
          <cell r="D800">
            <v>2</v>
          </cell>
          <cell r="E800">
            <v>55</v>
          </cell>
          <cell r="F800" t="str">
            <v>第33级，共造成286.2%点伤害</v>
          </cell>
          <cell r="G800">
            <v>1</v>
          </cell>
          <cell r="H800">
            <v>1</v>
          </cell>
          <cell r="I800">
            <v>33</v>
          </cell>
          <cell r="J800">
            <v>1</v>
          </cell>
          <cell r="K800">
            <v>286.23913043478262</v>
          </cell>
          <cell r="L800">
            <v>0</v>
          </cell>
          <cell r="M800">
            <v>6700</v>
          </cell>
          <cell r="N800">
            <v>137690</v>
          </cell>
          <cell r="O800">
            <v>3</v>
          </cell>
          <cell r="P800">
            <v>1</v>
          </cell>
          <cell r="Q800">
            <v>1</v>
          </cell>
          <cell r="R800">
            <v>5</v>
          </cell>
          <cell r="S800">
            <v>50</v>
          </cell>
          <cell r="T800">
            <v>215.21739130434784</v>
          </cell>
          <cell r="U800">
            <v>1967</v>
          </cell>
          <cell r="V800">
            <v>215.21739130434784</v>
          </cell>
          <cell r="W800">
            <v>70</v>
          </cell>
          <cell r="X800">
            <v>953</v>
          </cell>
          <cell r="Y800">
            <v>18</v>
          </cell>
          <cell r="Z800">
            <v>28</v>
          </cell>
        </row>
        <row r="801">
          <cell r="A801">
            <v>9213134</v>
          </cell>
          <cell r="B801" t="str">
            <v>裂地诀</v>
          </cell>
          <cell r="C801" t="str">
            <v>裂地诀</v>
          </cell>
          <cell r="D801">
            <v>2</v>
          </cell>
          <cell r="E801">
            <v>56</v>
          </cell>
          <cell r="F801" t="str">
            <v>第34级，共造成288.4%点伤害</v>
          </cell>
          <cell r="G801">
            <v>1</v>
          </cell>
          <cell r="H801">
            <v>1</v>
          </cell>
          <cell r="I801">
            <v>34</v>
          </cell>
          <cell r="J801">
            <v>1</v>
          </cell>
          <cell r="K801">
            <v>288.39130434782612</v>
          </cell>
          <cell r="L801">
            <v>0</v>
          </cell>
          <cell r="M801">
            <v>6600</v>
          </cell>
          <cell r="N801">
            <v>153150</v>
          </cell>
          <cell r="O801">
            <v>3</v>
          </cell>
          <cell r="P801">
            <v>1</v>
          </cell>
          <cell r="Q801">
            <v>1</v>
          </cell>
          <cell r="R801">
            <v>5</v>
          </cell>
          <cell r="S801">
            <v>50</v>
          </cell>
          <cell r="T801">
            <v>215.21739130434784</v>
          </cell>
          <cell r="U801">
            <v>2042</v>
          </cell>
          <cell r="V801">
            <v>215.21739130434784</v>
          </cell>
          <cell r="W801">
            <v>75</v>
          </cell>
          <cell r="X801">
            <v>1028</v>
          </cell>
          <cell r="Y801">
            <v>18</v>
          </cell>
          <cell r="Z801">
            <v>30</v>
          </cell>
        </row>
        <row r="802">
          <cell r="A802">
            <v>9213135</v>
          </cell>
          <cell r="B802" t="str">
            <v>裂地诀</v>
          </cell>
          <cell r="C802" t="str">
            <v>裂地诀</v>
          </cell>
          <cell r="D802">
            <v>2</v>
          </cell>
          <cell r="E802">
            <v>58</v>
          </cell>
          <cell r="F802" t="str">
            <v>第35级，共造成290.5%点伤害</v>
          </cell>
          <cell r="G802">
            <v>1</v>
          </cell>
          <cell r="H802">
            <v>1</v>
          </cell>
          <cell r="I802">
            <v>35</v>
          </cell>
          <cell r="J802">
            <v>1</v>
          </cell>
          <cell r="K802">
            <v>290.54347826086962</v>
          </cell>
          <cell r="L802">
            <v>0</v>
          </cell>
          <cell r="M802">
            <v>6500</v>
          </cell>
          <cell r="N802">
            <v>175840</v>
          </cell>
          <cell r="O802">
            <v>3</v>
          </cell>
          <cell r="P802">
            <v>1</v>
          </cell>
          <cell r="Q802">
            <v>1</v>
          </cell>
          <cell r="R802">
            <v>5</v>
          </cell>
          <cell r="S802">
            <v>50</v>
          </cell>
          <cell r="T802">
            <v>215.21739130434784</v>
          </cell>
          <cell r="U802">
            <v>2198</v>
          </cell>
          <cell r="V802">
            <v>215.21739130434784</v>
          </cell>
          <cell r="W802">
            <v>80</v>
          </cell>
          <cell r="X802">
            <v>1108</v>
          </cell>
          <cell r="Y802">
            <v>18</v>
          </cell>
          <cell r="Z802">
            <v>32</v>
          </cell>
        </row>
        <row r="803">
          <cell r="A803">
            <v>9213136</v>
          </cell>
          <cell r="B803" t="str">
            <v>裂地诀</v>
          </cell>
          <cell r="C803" t="str">
            <v>裂地诀</v>
          </cell>
          <cell r="D803">
            <v>2</v>
          </cell>
          <cell r="E803">
            <v>59</v>
          </cell>
          <cell r="F803" t="str">
            <v>第36级，共造成292.7%点伤害</v>
          </cell>
          <cell r="G803">
            <v>1</v>
          </cell>
          <cell r="H803">
            <v>1</v>
          </cell>
          <cell r="I803">
            <v>36</v>
          </cell>
          <cell r="J803">
            <v>1</v>
          </cell>
          <cell r="K803">
            <v>292.69565217391306</v>
          </cell>
          <cell r="L803">
            <v>0</v>
          </cell>
          <cell r="M803">
            <v>6400</v>
          </cell>
          <cell r="N803">
            <v>193545</v>
          </cell>
          <cell r="O803">
            <v>3</v>
          </cell>
          <cell r="P803">
            <v>1</v>
          </cell>
          <cell r="Q803">
            <v>1</v>
          </cell>
          <cell r="R803">
            <v>5</v>
          </cell>
          <cell r="S803">
            <v>50</v>
          </cell>
          <cell r="T803">
            <v>215.21739130434784</v>
          </cell>
          <cell r="U803">
            <v>2277</v>
          </cell>
          <cell r="V803">
            <v>215.21739130434784</v>
          </cell>
          <cell r="W803">
            <v>85</v>
          </cell>
          <cell r="X803">
            <v>1193</v>
          </cell>
          <cell r="Y803">
            <v>18</v>
          </cell>
          <cell r="Z803">
            <v>34</v>
          </cell>
        </row>
        <row r="804">
          <cell r="A804">
            <v>9213137</v>
          </cell>
          <cell r="B804" t="str">
            <v>裂地诀</v>
          </cell>
          <cell r="C804" t="str">
            <v>裂地诀</v>
          </cell>
          <cell r="D804">
            <v>2</v>
          </cell>
          <cell r="E804">
            <v>61</v>
          </cell>
          <cell r="F804" t="str">
            <v>第37级，共造成294.8%点伤害</v>
          </cell>
          <cell r="G804">
            <v>1</v>
          </cell>
          <cell r="H804">
            <v>1</v>
          </cell>
          <cell r="I804">
            <v>37</v>
          </cell>
          <cell r="J804">
            <v>1</v>
          </cell>
          <cell r="K804">
            <v>294.84782608695656</v>
          </cell>
          <cell r="L804">
            <v>0</v>
          </cell>
          <cell r="M804">
            <v>6300</v>
          </cell>
          <cell r="N804">
            <v>224480</v>
          </cell>
          <cell r="O804">
            <v>3</v>
          </cell>
          <cell r="P804">
            <v>1</v>
          </cell>
          <cell r="Q804">
            <v>1</v>
          </cell>
          <cell r="R804">
            <v>5</v>
          </cell>
          <cell r="S804">
            <v>50</v>
          </cell>
          <cell r="T804">
            <v>215.21739130434784</v>
          </cell>
          <cell r="U804">
            <v>2440</v>
          </cell>
          <cell r="V804">
            <v>215.21739130434784</v>
          </cell>
          <cell r="W804">
            <v>92</v>
          </cell>
          <cell r="X804">
            <v>1285</v>
          </cell>
          <cell r="Y804">
            <v>18</v>
          </cell>
          <cell r="Z804">
            <v>37</v>
          </cell>
        </row>
        <row r="805">
          <cell r="A805">
            <v>9213138</v>
          </cell>
          <cell r="B805" t="str">
            <v>裂地诀</v>
          </cell>
          <cell r="C805" t="str">
            <v>裂地诀</v>
          </cell>
          <cell r="D805">
            <v>2</v>
          </cell>
          <cell r="E805">
            <v>62</v>
          </cell>
          <cell r="F805" t="str">
            <v>第38级，共造成297%点伤害</v>
          </cell>
          <cell r="G805">
            <v>1</v>
          </cell>
          <cell r="H805">
            <v>1</v>
          </cell>
          <cell r="I805">
            <v>38</v>
          </cell>
          <cell r="J805">
            <v>1</v>
          </cell>
          <cell r="K805">
            <v>297</v>
          </cell>
          <cell r="L805">
            <v>0</v>
          </cell>
          <cell r="M805">
            <v>6200</v>
          </cell>
          <cell r="N805">
            <v>247352</v>
          </cell>
          <cell r="O805">
            <v>3</v>
          </cell>
          <cell r="P805">
            <v>1</v>
          </cell>
          <cell r="Q805">
            <v>1</v>
          </cell>
          <cell r="R805">
            <v>5</v>
          </cell>
          <cell r="S805">
            <v>50</v>
          </cell>
          <cell r="T805">
            <v>215.21739130434784</v>
          </cell>
          <cell r="U805">
            <v>2524</v>
          </cell>
          <cell r="V805">
            <v>215.21739130434784</v>
          </cell>
          <cell r="W805">
            <v>98</v>
          </cell>
          <cell r="X805">
            <v>1383</v>
          </cell>
          <cell r="Y805">
            <v>18</v>
          </cell>
          <cell r="Z805">
            <v>40</v>
          </cell>
        </row>
        <row r="806">
          <cell r="A806">
            <v>9213139</v>
          </cell>
          <cell r="B806" t="str">
            <v>裂地诀</v>
          </cell>
          <cell r="C806" t="str">
            <v>裂地诀</v>
          </cell>
          <cell r="D806">
            <v>2</v>
          </cell>
          <cell r="E806">
            <v>64</v>
          </cell>
          <cell r="F806" t="str">
            <v>第39级，共造成299.2%点伤害</v>
          </cell>
          <cell r="G806">
            <v>1</v>
          </cell>
          <cell r="H806">
            <v>1</v>
          </cell>
          <cell r="I806">
            <v>39</v>
          </cell>
          <cell r="J806">
            <v>1</v>
          </cell>
          <cell r="K806">
            <v>299.1521739130435</v>
          </cell>
          <cell r="L806">
            <v>0</v>
          </cell>
          <cell r="M806">
            <v>6100</v>
          </cell>
          <cell r="N806">
            <v>282975</v>
          </cell>
          <cell r="O806">
            <v>3</v>
          </cell>
          <cell r="P806">
            <v>1</v>
          </cell>
          <cell r="Q806">
            <v>1</v>
          </cell>
          <cell r="R806">
            <v>5</v>
          </cell>
          <cell r="S806">
            <v>50</v>
          </cell>
          <cell r="T806">
            <v>215.21739130434784</v>
          </cell>
          <cell r="U806">
            <v>2695</v>
          </cell>
          <cell r="V806">
            <v>215.21739130434784</v>
          </cell>
          <cell r="W806">
            <v>105</v>
          </cell>
          <cell r="X806">
            <v>1488</v>
          </cell>
          <cell r="Y806">
            <v>18</v>
          </cell>
          <cell r="Z806">
            <v>42</v>
          </cell>
        </row>
        <row r="807">
          <cell r="A807">
            <v>9213140</v>
          </cell>
          <cell r="B807" t="str">
            <v>裂地诀</v>
          </cell>
          <cell r="C807" t="str">
            <v>裂地诀</v>
          </cell>
          <cell r="D807">
            <v>2</v>
          </cell>
          <cell r="E807">
            <v>65</v>
          </cell>
          <cell r="F807" t="str">
            <v>第40级，共造成301.3%点伤害</v>
          </cell>
          <cell r="G807">
            <v>1</v>
          </cell>
          <cell r="H807">
            <v>1</v>
          </cell>
          <cell r="I807">
            <v>40</v>
          </cell>
          <cell r="J807">
            <v>1</v>
          </cell>
          <cell r="K807">
            <v>301.304347826087</v>
          </cell>
          <cell r="L807">
            <v>0</v>
          </cell>
          <cell r="M807">
            <v>6000</v>
          </cell>
          <cell r="N807">
            <v>311696</v>
          </cell>
          <cell r="O807">
            <v>3</v>
          </cell>
          <cell r="P807">
            <v>1</v>
          </cell>
          <cell r="Q807">
            <v>1</v>
          </cell>
          <cell r="R807">
            <v>5</v>
          </cell>
          <cell r="S807">
            <v>50</v>
          </cell>
          <cell r="T807">
            <v>215.21739130434784</v>
          </cell>
          <cell r="U807">
            <v>2783</v>
          </cell>
          <cell r="V807">
            <v>215.21739130434784</v>
          </cell>
          <cell r="W807">
            <v>112</v>
          </cell>
          <cell r="X807">
            <v>1600</v>
          </cell>
          <cell r="Y807">
            <v>18</v>
          </cell>
          <cell r="Z807">
            <v>45</v>
          </cell>
        </row>
        <row r="808">
          <cell r="A808">
            <v>9213141</v>
          </cell>
          <cell r="B808" t="str">
            <v>裂地诀</v>
          </cell>
          <cell r="C808" t="str">
            <v>裂地诀</v>
          </cell>
          <cell r="D808">
            <v>2</v>
          </cell>
          <cell r="E808">
            <v>67</v>
          </cell>
          <cell r="F808" t="str">
            <v>第41级，共造成303.5%点伤害</v>
          </cell>
          <cell r="G808">
            <v>1</v>
          </cell>
          <cell r="H808">
            <v>1</v>
          </cell>
          <cell r="I808">
            <v>41</v>
          </cell>
          <cell r="J808">
            <v>1</v>
          </cell>
          <cell r="K808">
            <v>303.45652173913049</v>
          </cell>
          <cell r="L808">
            <v>0</v>
          </cell>
          <cell r="M808">
            <v>5900</v>
          </cell>
          <cell r="N808">
            <v>355560</v>
          </cell>
          <cell r="O808">
            <v>3</v>
          </cell>
          <cell r="P808">
            <v>1</v>
          </cell>
          <cell r="Q808">
            <v>1</v>
          </cell>
          <cell r="R808">
            <v>5</v>
          </cell>
          <cell r="S808">
            <v>50</v>
          </cell>
          <cell r="T808">
            <v>215.21739130434784</v>
          </cell>
          <cell r="U808">
            <v>2963</v>
          </cell>
          <cell r="V808">
            <v>215.21739130434784</v>
          </cell>
          <cell r="W808">
            <v>120</v>
          </cell>
          <cell r="X808">
            <v>1720</v>
          </cell>
          <cell r="Y808">
            <v>18</v>
          </cell>
          <cell r="Z808">
            <v>48</v>
          </cell>
        </row>
        <row r="809">
          <cell r="A809">
            <v>9213142</v>
          </cell>
          <cell r="B809" t="str">
            <v>裂地诀</v>
          </cell>
          <cell r="C809" t="str">
            <v>裂地诀</v>
          </cell>
          <cell r="D809">
            <v>2</v>
          </cell>
          <cell r="E809">
            <v>68</v>
          </cell>
          <cell r="F809" t="str">
            <v>第42级，共造成305.6%点伤害</v>
          </cell>
          <cell r="G809">
            <v>1</v>
          </cell>
          <cell r="H809">
            <v>1</v>
          </cell>
          <cell r="I809">
            <v>42</v>
          </cell>
          <cell r="J809">
            <v>1</v>
          </cell>
          <cell r="K809">
            <v>305.60869565217394</v>
          </cell>
          <cell r="L809">
            <v>0</v>
          </cell>
          <cell r="M809">
            <v>5800</v>
          </cell>
          <cell r="N809">
            <v>390912</v>
          </cell>
          <cell r="O809">
            <v>3</v>
          </cell>
          <cell r="P809">
            <v>1</v>
          </cell>
          <cell r="Q809">
            <v>1</v>
          </cell>
          <cell r="R809">
            <v>5</v>
          </cell>
          <cell r="S809">
            <v>50</v>
          </cell>
          <cell r="T809">
            <v>215.21739130434784</v>
          </cell>
          <cell r="U809">
            <v>3054</v>
          </cell>
          <cell r="V809">
            <v>215.21739130434784</v>
          </cell>
          <cell r="W809">
            <v>128</v>
          </cell>
          <cell r="X809">
            <v>1848</v>
          </cell>
          <cell r="Y809">
            <v>18</v>
          </cell>
          <cell r="Z809">
            <v>52</v>
          </cell>
        </row>
        <row r="810">
          <cell r="A810">
            <v>9213143</v>
          </cell>
          <cell r="B810" t="str">
            <v>裂地诀</v>
          </cell>
          <cell r="C810" t="str">
            <v>裂地诀</v>
          </cell>
          <cell r="D810">
            <v>2</v>
          </cell>
          <cell r="E810">
            <v>70</v>
          </cell>
          <cell r="F810" t="str">
            <v>第43级，共造成307.8%点伤害</v>
          </cell>
          <cell r="G810">
            <v>1</v>
          </cell>
          <cell r="H810">
            <v>1</v>
          </cell>
          <cell r="I810">
            <v>43</v>
          </cell>
          <cell r="J810">
            <v>1</v>
          </cell>
          <cell r="K810">
            <v>307.76086956521743</v>
          </cell>
          <cell r="L810">
            <v>0</v>
          </cell>
          <cell r="M810">
            <v>5700</v>
          </cell>
          <cell r="N810">
            <v>444154</v>
          </cell>
          <cell r="O810">
            <v>3</v>
          </cell>
          <cell r="P810">
            <v>1</v>
          </cell>
          <cell r="Q810">
            <v>1</v>
          </cell>
          <cell r="R810">
            <v>5</v>
          </cell>
          <cell r="S810">
            <v>50</v>
          </cell>
          <cell r="T810">
            <v>215.21739130434784</v>
          </cell>
          <cell r="U810">
            <v>3242</v>
          </cell>
          <cell r="V810">
            <v>215.21739130434784</v>
          </cell>
          <cell r="W810">
            <v>137</v>
          </cell>
          <cell r="X810">
            <v>1985</v>
          </cell>
          <cell r="Y810">
            <v>18</v>
          </cell>
          <cell r="Z810">
            <v>55</v>
          </cell>
        </row>
        <row r="811">
          <cell r="A811">
            <v>9213144</v>
          </cell>
          <cell r="B811" t="str">
            <v>裂地诀</v>
          </cell>
          <cell r="C811" t="str">
            <v>裂地诀</v>
          </cell>
          <cell r="D811">
            <v>2</v>
          </cell>
          <cell r="E811">
            <v>71</v>
          </cell>
          <cell r="F811" t="str">
            <v>第44级，共造成309.9%点伤害</v>
          </cell>
          <cell r="G811">
            <v>1</v>
          </cell>
          <cell r="H811">
            <v>1</v>
          </cell>
          <cell r="I811">
            <v>44</v>
          </cell>
          <cell r="J811">
            <v>1</v>
          </cell>
          <cell r="K811">
            <v>309.91304347826087</v>
          </cell>
          <cell r="L811">
            <v>0</v>
          </cell>
          <cell r="M811">
            <v>5600</v>
          </cell>
          <cell r="N811">
            <v>490686</v>
          </cell>
          <cell r="O811">
            <v>3</v>
          </cell>
          <cell r="P811">
            <v>1</v>
          </cell>
          <cell r="Q811">
            <v>1</v>
          </cell>
          <cell r="R811">
            <v>5</v>
          </cell>
          <cell r="S811">
            <v>50</v>
          </cell>
          <cell r="T811">
            <v>215.21739130434784</v>
          </cell>
          <cell r="U811">
            <v>3338</v>
          </cell>
          <cell r="V811">
            <v>215.21739130434784</v>
          </cell>
          <cell r="W811">
            <v>147</v>
          </cell>
          <cell r="X811">
            <v>2132</v>
          </cell>
          <cell r="Y811">
            <v>18</v>
          </cell>
          <cell r="Z811">
            <v>59</v>
          </cell>
        </row>
        <row r="812">
          <cell r="A812">
            <v>9213145</v>
          </cell>
          <cell r="B812" t="str">
            <v>裂地诀</v>
          </cell>
          <cell r="C812" t="str">
            <v>裂地诀</v>
          </cell>
          <cell r="D812">
            <v>2</v>
          </cell>
          <cell r="E812">
            <v>73</v>
          </cell>
          <cell r="F812" t="str">
            <v>第45级，共造成312.1%点伤害</v>
          </cell>
          <cell r="G812">
            <v>1</v>
          </cell>
          <cell r="H812">
            <v>1</v>
          </cell>
          <cell r="I812">
            <v>45</v>
          </cell>
          <cell r="J812">
            <v>1</v>
          </cell>
          <cell r="K812">
            <v>312.06521739130437</v>
          </cell>
          <cell r="L812">
            <v>0</v>
          </cell>
          <cell r="M812">
            <v>5500</v>
          </cell>
          <cell r="N812">
            <v>554838</v>
          </cell>
          <cell r="O812">
            <v>3</v>
          </cell>
          <cell r="P812">
            <v>1</v>
          </cell>
          <cell r="Q812">
            <v>1</v>
          </cell>
          <cell r="R812">
            <v>5</v>
          </cell>
          <cell r="S812">
            <v>50</v>
          </cell>
          <cell r="T812">
            <v>215.21739130434784</v>
          </cell>
          <cell r="U812">
            <v>3534</v>
          </cell>
          <cell r="V812">
            <v>215.21739130434784</v>
          </cell>
          <cell r="W812">
            <v>157</v>
          </cell>
          <cell r="X812">
            <v>2289</v>
          </cell>
          <cell r="Y812">
            <v>18</v>
          </cell>
          <cell r="Z812">
            <v>63</v>
          </cell>
        </row>
        <row r="813">
          <cell r="A813">
            <v>9213146</v>
          </cell>
          <cell r="B813" t="str">
            <v>裂地诀</v>
          </cell>
          <cell r="C813" t="str">
            <v>裂地诀</v>
          </cell>
          <cell r="D813">
            <v>2</v>
          </cell>
          <cell r="E813">
            <v>74</v>
          </cell>
          <cell r="F813" t="str">
            <v>第46级，共造成314.2%点伤害</v>
          </cell>
          <cell r="G813">
            <v>1</v>
          </cell>
          <cell r="H813">
            <v>1</v>
          </cell>
          <cell r="I813">
            <v>46</v>
          </cell>
          <cell r="J813">
            <v>1</v>
          </cell>
          <cell r="K813">
            <v>314.21739130434787</v>
          </cell>
          <cell r="L813">
            <v>0</v>
          </cell>
          <cell r="M813">
            <v>5400</v>
          </cell>
          <cell r="N813">
            <v>610512</v>
          </cell>
          <cell r="O813">
            <v>3</v>
          </cell>
          <cell r="P813">
            <v>1</v>
          </cell>
          <cell r="Q813">
            <v>1</v>
          </cell>
          <cell r="R813">
            <v>5</v>
          </cell>
          <cell r="S813">
            <v>50</v>
          </cell>
          <cell r="T813">
            <v>215.21739130434784</v>
          </cell>
          <cell r="U813">
            <v>3634</v>
          </cell>
          <cell r="V813">
            <v>215.21739130434784</v>
          </cell>
          <cell r="W813">
            <v>168</v>
          </cell>
          <cell r="X813">
            <v>2457</v>
          </cell>
          <cell r="Y813">
            <v>18</v>
          </cell>
          <cell r="Z813">
            <v>68</v>
          </cell>
        </row>
        <row r="814">
          <cell r="A814">
            <v>9213147</v>
          </cell>
          <cell r="B814" t="str">
            <v>裂地诀</v>
          </cell>
          <cell r="C814" t="str">
            <v>裂地诀</v>
          </cell>
          <cell r="D814">
            <v>2</v>
          </cell>
          <cell r="E814">
            <v>76</v>
          </cell>
          <cell r="F814" t="str">
            <v>第47级，共造成316.4%点伤害</v>
          </cell>
          <cell r="G814">
            <v>1</v>
          </cell>
          <cell r="H814">
            <v>1</v>
          </cell>
          <cell r="I814">
            <v>47</v>
          </cell>
          <cell r="J814">
            <v>1</v>
          </cell>
          <cell r="K814">
            <v>316.36956521739131</v>
          </cell>
          <cell r="L814">
            <v>0</v>
          </cell>
          <cell r="M814">
            <v>5300</v>
          </cell>
          <cell r="N814">
            <v>690840</v>
          </cell>
          <cell r="O814">
            <v>3</v>
          </cell>
          <cell r="P814">
            <v>1</v>
          </cell>
          <cell r="Q814">
            <v>1</v>
          </cell>
          <cell r="R814">
            <v>5</v>
          </cell>
          <cell r="S814">
            <v>50</v>
          </cell>
          <cell r="T814">
            <v>215.21739130434784</v>
          </cell>
          <cell r="U814">
            <v>3838</v>
          </cell>
          <cell r="V814">
            <v>215.21739130434784</v>
          </cell>
          <cell r="W814">
            <v>180</v>
          </cell>
          <cell r="X814">
            <v>2637</v>
          </cell>
          <cell r="Y814">
            <v>18</v>
          </cell>
          <cell r="Z814">
            <v>72</v>
          </cell>
        </row>
        <row r="815">
          <cell r="A815">
            <v>9213148</v>
          </cell>
          <cell r="B815" t="str">
            <v>裂地诀</v>
          </cell>
          <cell r="C815" t="str">
            <v>裂地诀</v>
          </cell>
          <cell r="D815">
            <v>2</v>
          </cell>
          <cell r="E815">
            <v>77</v>
          </cell>
          <cell r="F815" t="str">
            <v>第48级，共造成318.5%点伤害</v>
          </cell>
          <cell r="G815">
            <v>1</v>
          </cell>
          <cell r="H815">
            <v>1</v>
          </cell>
          <cell r="I815">
            <v>48</v>
          </cell>
          <cell r="J815">
            <v>1</v>
          </cell>
          <cell r="K815">
            <v>318.52173913043481</v>
          </cell>
          <cell r="L815">
            <v>0</v>
          </cell>
          <cell r="M815">
            <v>5200</v>
          </cell>
          <cell r="N815">
            <v>760806</v>
          </cell>
          <cell r="O815">
            <v>3</v>
          </cell>
          <cell r="P815">
            <v>1</v>
          </cell>
          <cell r="Q815">
            <v>1</v>
          </cell>
          <cell r="R815">
            <v>5</v>
          </cell>
          <cell r="S815">
            <v>50</v>
          </cell>
          <cell r="T815">
            <v>215.21739130434784</v>
          </cell>
          <cell r="U815">
            <v>3942</v>
          </cell>
          <cell r="V815">
            <v>215.21739130434784</v>
          </cell>
          <cell r="W815">
            <v>193</v>
          </cell>
          <cell r="X815">
            <v>2830</v>
          </cell>
          <cell r="Y815">
            <v>18</v>
          </cell>
          <cell r="Z815">
            <v>78</v>
          </cell>
        </row>
        <row r="816">
          <cell r="A816">
            <v>9213149</v>
          </cell>
          <cell r="B816" t="str">
            <v>裂地诀</v>
          </cell>
          <cell r="C816" t="str">
            <v>裂地诀</v>
          </cell>
          <cell r="D816">
            <v>2</v>
          </cell>
          <cell r="E816">
            <v>79</v>
          </cell>
          <cell r="F816" t="str">
            <v>第49级，共造成320.7%点伤害</v>
          </cell>
          <cell r="G816">
            <v>1</v>
          </cell>
          <cell r="H816">
            <v>1</v>
          </cell>
          <cell r="I816">
            <v>49</v>
          </cell>
          <cell r="J816">
            <v>1</v>
          </cell>
          <cell r="K816">
            <v>320.67391304347831</v>
          </cell>
          <cell r="L816">
            <v>0</v>
          </cell>
          <cell r="M816">
            <v>5100</v>
          </cell>
          <cell r="N816">
            <v>855724</v>
          </cell>
          <cell r="O816">
            <v>3</v>
          </cell>
          <cell r="P816">
            <v>1</v>
          </cell>
          <cell r="Q816">
            <v>1</v>
          </cell>
          <cell r="R816">
            <v>5</v>
          </cell>
          <cell r="S816">
            <v>50</v>
          </cell>
          <cell r="T816">
            <v>215.21739130434784</v>
          </cell>
          <cell r="U816">
            <v>4154</v>
          </cell>
          <cell r="V816">
            <v>215.21739130434784</v>
          </cell>
          <cell r="W816">
            <v>206</v>
          </cell>
          <cell r="X816">
            <v>3036</v>
          </cell>
          <cell r="Y816">
            <v>18</v>
          </cell>
          <cell r="Z816">
            <v>83</v>
          </cell>
        </row>
        <row r="817">
          <cell r="A817">
            <v>9213150</v>
          </cell>
          <cell r="B817" t="str">
            <v>裂地诀</v>
          </cell>
          <cell r="C817" t="str">
            <v>裂地诀</v>
          </cell>
          <cell r="D817">
            <v>2</v>
          </cell>
          <cell r="E817">
            <v>80</v>
          </cell>
          <cell r="F817" t="str">
            <v>第50级，共造成322.8%点伤害</v>
          </cell>
          <cell r="G817">
            <v>1</v>
          </cell>
          <cell r="H817">
            <v>1</v>
          </cell>
          <cell r="I817">
            <v>50</v>
          </cell>
          <cell r="J817">
            <v>1</v>
          </cell>
          <cell r="K817">
            <v>322.82608695652175</v>
          </cell>
          <cell r="L817">
            <v>0</v>
          </cell>
          <cell r="M817">
            <v>5000</v>
          </cell>
          <cell r="N817">
            <v>941902</v>
          </cell>
          <cell r="O817">
            <v>3</v>
          </cell>
          <cell r="P817">
            <v>1</v>
          </cell>
          <cell r="Q817">
            <v>1</v>
          </cell>
          <cell r="R817">
            <v>5</v>
          </cell>
          <cell r="S817">
            <v>50</v>
          </cell>
          <cell r="T817">
            <v>215.21739130434784</v>
          </cell>
          <cell r="U817">
            <v>4262</v>
          </cell>
          <cell r="V817">
            <v>215.21739130434784</v>
          </cell>
          <cell r="W817">
            <v>221</v>
          </cell>
          <cell r="X817">
            <v>3257</v>
          </cell>
          <cell r="Y817">
            <v>18</v>
          </cell>
          <cell r="Z817">
            <v>89</v>
          </cell>
        </row>
        <row r="818">
          <cell r="A818">
            <v>9224000</v>
          </cell>
          <cell r="B818" t="str">
            <v>幻影脚</v>
          </cell>
          <cell r="C818" t="str">
            <v>幻影脚第1段</v>
          </cell>
          <cell r="D818">
            <v>2</v>
          </cell>
          <cell r="E818">
            <v>6</v>
          </cell>
          <cell r="F818" t="str">
            <v>第0级，共造成143.5%点伤害</v>
          </cell>
          <cell r="G818">
            <v>0</v>
          </cell>
          <cell r="H818">
            <v>1</v>
          </cell>
          <cell r="I818">
            <v>0</v>
          </cell>
          <cell r="J818">
            <v>2</v>
          </cell>
          <cell r="K818">
            <v>71.739130434782609</v>
          </cell>
          <cell r="L818">
            <v>0</v>
          </cell>
          <cell r="M818">
            <v>8000</v>
          </cell>
          <cell r="N818">
            <v>0</v>
          </cell>
          <cell r="O818">
            <v>4</v>
          </cell>
          <cell r="P818">
            <v>2</v>
          </cell>
          <cell r="Q818">
            <v>1</v>
          </cell>
          <cell r="R818">
            <v>6</v>
          </cell>
          <cell r="S818">
            <v>50</v>
          </cell>
          <cell r="T818">
            <v>71.739130434782609</v>
          </cell>
          <cell r="U818">
            <v>80</v>
          </cell>
          <cell r="V818">
            <v>143.47826086956522</v>
          </cell>
          <cell r="W818">
            <v>0</v>
          </cell>
          <cell r="X818">
            <v>0</v>
          </cell>
          <cell r="Y818">
            <v>18</v>
          </cell>
          <cell r="Z818">
            <v>0</v>
          </cell>
        </row>
        <row r="819">
          <cell r="A819">
            <v>9224101</v>
          </cell>
          <cell r="B819" t="str">
            <v>幻影脚第1段</v>
          </cell>
          <cell r="C819" t="str">
            <v>幻影脚第1段</v>
          </cell>
          <cell r="D819">
            <v>2</v>
          </cell>
          <cell r="E819">
            <v>6</v>
          </cell>
          <cell r="F819" t="str">
            <v>第1级，共造成143.5%点伤害</v>
          </cell>
          <cell r="G819">
            <v>1</v>
          </cell>
          <cell r="H819">
            <v>1</v>
          </cell>
          <cell r="I819">
            <v>1</v>
          </cell>
          <cell r="J819">
            <v>2</v>
          </cell>
          <cell r="K819">
            <v>71.739130434782609</v>
          </cell>
          <cell r="L819">
            <v>0</v>
          </cell>
          <cell r="M819">
            <v>8000</v>
          </cell>
          <cell r="N819">
            <v>320</v>
          </cell>
          <cell r="O819">
            <v>4</v>
          </cell>
          <cell r="P819">
            <v>2</v>
          </cell>
          <cell r="Q819">
            <v>1</v>
          </cell>
          <cell r="R819">
            <v>6</v>
          </cell>
          <cell r="S819">
            <v>50</v>
          </cell>
          <cell r="T819">
            <v>71.739130434782609</v>
          </cell>
          <cell r="U819">
            <v>80</v>
          </cell>
          <cell r="V819">
            <v>143.47826086956522</v>
          </cell>
          <cell r="W819">
            <v>4</v>
          </cell>
          <cell r="X819">
            <v>4</v>
          </cell>
          <cell r="Y819">
            <v>18</v>
          </cell>
          <cell r="Z819">
            <v>0</v>
          </cell>
        </row>
        <row r="820">
          <cell r="A820">
            <v>9224102</v>
          </cell>
          <cell r="B820" t="str">
            <v>幻影脚第1段</v>
          </cell>
          <cell r="C820" t="str">
            <v>幻影脚第1段</v>
          </cell>
          <cell r="D820">
            <v>2</v>
          </cell>
          <cell r="E820">
            <v>9</v>
          </cell>
          <cell r="F820" t="str">
            <v>第2级，共造成146.3%点伤害</v>
          </cell>
          <cell r="G820">
            <v>1</v>
          </cell>
          <cell r="H820">
            <v>1</v>
          </cell>
          <cell r="I820">
            <v>2</v>
          </cell>
          <cell r="J820">
            <v>2</v>
          </cell>
          <cell r="K820">
            <v>73.173913043478265</v>
          </cell>
          <cell r="L820">
            <v>0</v>
          </cell>
          <cell r="M820">
            <v>7840</v>
          </cell>
          <cell r="N820">
            <v>392</v>
          </cell>
          <cell r="O820">
            <v>4</v>
          </cell>
          <cell r="P820">
            <v>2</v>
          </cell>
          <cell r="Q820">
            <v>1</v>
          </cell>
          <cell r="R820">
            <v>6</v>
          </cell>
          <cell r="S820">
            <v>50</v>
          </cell>
          <cell r="T820">
            <v>71.739130434782609</v>
          </cell>
          <cell r="U820">
            <v>98</v>
          </cell>
          <cell r="V820">
            <v>143.47826086956522</v>
          </cell>
          <cell r="W820">
            <v>4</v>
          </cell>
          <cell r="X820">
            <v>8</v>
          </cell>
          <cell r="Y820">
            <v>18</v>
          </cell>
          <cell r="Z820">
            <v>0</v>
          </cell>
        </row>
        <row r="821">
          <cell r="A821">
            <v>9224103</v>
          </cell>
          <cell r="B821" t="str">
            <v>幻影脚第1段</v>
          </cell>
          <cell r="C821" t="str">
            <v>幻影脚第1段</v>
          </cell>
          <cell r="D821">
            <v>2</v>
          </cell>
          <cell r="E821">
            <v>10</v>
          </cell>
          <cell r="F821" t="str">
            <v>第3级，共造成147.8%点伤害</v>
          </cell>
          <cell r="G821">
            <v>1</v>
          </cell>
          <cell r="H821">
            <v>1</v>
          </cell>
          <cell r="I821">
            <v>3</v>
          </cell>
          <cell r="J821">
            <v>2</v>
          </cell>
          <cell r="K821">
            <v>73.891304347826093</v>
          </cell>
          <cell r="L821">
            <v>0</v>
          </cell>
          <cell r="M821">
            <v>7760</v>
          </cell>
          <cell r="N821">
            <v>416</v>
          </cell>
          <cell r="O821">
            <v>4</v>
          </cell>
          <cell r="P821">
            <v>2</v>
          </cell>
          <cell r="Q821">
            <v>1</v>
          </cell>
          <cell r="R821">
            <v>6</v>
          </cell>
          <cell r="S821">
            <v>50</v>
          </cell>
          <cell r="T821">
            <v>71.739130434782609</v>
          </cell>
          <cell r="U821">
            <v>104</v>
          </cell>
          <cell r="V821">
            <v>143.47826086956522</v>
          </cell>
          <cell r="W821">
            <v>4</v>
          </cell>
          <cell r="X821">
            <v>12</v>
          </cell>
          <cell r="Y821">
            <v>18</v>
          </cell>
          <cell r="Z821">
            <v>0</v>
          </cell>
        </row>
        <row r="822">
          <cell r="A822">
            <v>9224104</v>
          </cell>
          <cell r="B822" t="str">
            <v>幻影脚第1段</v>
          </cell>
          <cell r="C822" t="str">
            <v>幻影脚第1段</v>
          </cell>
          <cell r="D822">
            <v>2</v>
          </cell>
          <cell r="E822">
            <v>12</v>
          </cell>
          <cell r="F822" t="str">
            <v>第4级，共造成149.2%点伤害</v>
          </cell>
          <cell r="G822">
            <v>1</v>
          </cell>
          <cell r="H822">
            <v>1</v>
          </cell>
          <cell r="I822">
            <v>4</v>
          </cell>
          <cell r="J822">
            <v>2</v>
          </cell>
          <cell r="K822">
            <v>74.608695652173907</v>
          </cell>
          <cell r="L822">
            <v>0</v>
          </cell>
          <cell r="M822">
            <v>7680</v>
          </cell>
          <cell r="N822">
            <v>580</v>
          </cell>
          <cell r="O822">
            <v>4</v>
          </cell>
          <cell r="P822">
            <v>2</v>
          </cell>
          <cell r="Q822">
            <v>1</v>
          </cell>
          <cell r="R822">
            <v>6</v>
          </cell>
          <cell r="S822">
            <v>50</v>
          </cell>
          <cell r="T822">
            <v>71.739130434782609</v>
          </cell>
          <cell r="U822">
            <v>116</v>
          </cell>
          <cell r="V822">
            <v>143.47826086956522</v>
          </cell>
          <cell r="W822">
            <v>5</v>
          </cell>
          <cell r="X822">
            <v>17</v>
          </cell>
          <cell r="Y822">
            <v>18</v>
          </cell>
          <cell r="Z822">
            <v>0</v>
          </cell>
        </row>
        <row r="823">
          <cell r="A823">
            <v>9224105</v>
          </cell>
          <cell r="B823" t="str">
            <v>幻影脚第1段</v>
          </cell>
          <cell r="C823" t="str">
            <v>幻影脚第1段</v>
          </cell>
          <cell r="D823">
            <v>2</v>
          </cell>
          <cell r="E823">
            <v>13</v>
          </cell>
          <cell r="F823" t="str">
            <v>第5级，共造成150.7%点伤害</v>
          </cell>
          <cell r="G823">
            <v>1</v>
          </cell>
          <cell r="H823">
            <v>1</v>
          </cell>
          <cell r="I823">
            <v>5</v>
          </cell>
          <cell r="J823">
            <v>2</v>
          </cell>
          <cell r="K823">
            <v>75.326086956521735</v>
          </cell>
          <cell r="L823">
            <v>0</v>
          </cell>
          <cell r="M823">
            <v>7600</v>
          </cell>
          <cell r="N823">
            <v>610</v>
          </cell>
          <cell r="O823">
            <v>4</v>
          </cell>
          <cell r="P823">
            <v>2</v>
          </cell>
          <cell r="Q823">
            <v>1</v>
          </cell>
          <cell r="R823">
            <v>6</v>
          </cell>
          <cell r="S823">
            <v>50</v>
          </cell>
          <cell r="T823">
            <v>71.739130434782609</v>
          </cell>
          <cell r="U823">
            <v>122</v>
          </cell>
          <cell r="V823">
            <v>143.47826086956522</v>
          </cell>
          <cell r="W823">
            <v>5</v>
          </cell>
          <cell r="X823">
            <v>22</v>
          </cell>
          <cell r="Y823">
            <v>18</v>
          </cell>
          <cell r="Z823">
            <v>0</v>
          </cell>
        </row>
        <row r="824">
          <cell r="A824">
            <v>9224106</v>
          </cell>
          <cell r="B824" t="str">
            <v>幻影脚第1段</v>
          </cell>
          <cell r="C824" t="str">
            <v>幻影脚第1段</v>
          </cell>
          <cell r="D824">
            <v>2</v>
          </cell>
          <cell r="E824">
            <v>15</v>
          </cell>
          <cell r="F824" t="str">
            <v>第6级，共造成152.1%点伤害</v>
          </cell>
          <cell r="G824">
            <v>1</v>
          </cell>
          <cell r="H824">
            <v>1</v>
          </cell>
          <cell r="I824">
            <v>6</v>
          </cell>
          <cell r="J824">
            <v>2</v>
          </cell>
          <cell r="K824">
            <v>76.043478260869563</v>
          </cell>
          <cell r="L824">
            <v>0</v>
          </cell>
          <cell r="M824">
            <v>7520</v>
          </cell>
          <cell r="N824">
            <v>670</v>
          </cell>
          <cell r="O824">
            <v>4</v>
          </cell>
          <cell r="P824">
            <v>2</v>
          </cell>
          <cell r="Q824">
            <v>1</v>
          </cell>
          <cell r="R824">
            <v>6</v>
          </cell>
          <cell r="S824">
            <v>50</v>
          </cell>
          <cell r="T824">
            <v>71.739130434782609</v>
          </cell>
          <cell r="U824">
            <v>134</v>
          </cell>
          <cell r="V824">
            <v>143.47826086956522</v>
          </cell>
          <cell r="W824">
            <v>5</v>
          </cell>
          <cell r="X824">
            <v>27</v>
          </cell>
          <cell r="Y824">
            <v>18</v>
          </cell>
          <cell r="Z824">
            <v>0</v>
          </cell>
        </row>
        <row r="825">
          <cell r="A825">
            <v>9224107</v>
          </cell>
          <cell r="B825" t="str">
            <v>幻影脚第1段</v>
          </cell>
          <cell r="C825" t="str">
            <v>幻影脚第1段</v>
          </cell>
          <cell r="D825">
            <v>2</v>
          </cell>
          <cell r="E825">
            <v>16</v>
          </cell>
          <cell r="F825" t="str">
            <v>第7级，共造成153.5%点伤害</v>
          </cell>
          <cell r="G825">
            <v>1</v>
          </cell>
          <cell r="H825">
            <v>1</v>
          </cell>
          <cell r="I825">
            <v>7</v>
          </cell>
          <cell r="J825">
            <v>2</v>
          </cell>
          <cell r="K825">
            <v>76.760869565217391</v>
          </cell>
          <cell r="L825">
            <v>0</v>
          </cell>
          <cell r="M825">
            <v>7440</v>
          </cell>
          <cell r="N825">
            <v>840</v>
          </cell>
          <cell r="O825">
            <v>4</v>
          </cell>
          <cell r="P825">
            <v>2</v>
          </cell>
          <cell r="Q825">
            <v>1</v>
          </cell>
          <cell r="R825">
            <v>6</v>
          </cell>
          <cell r="S825">
            <v>50</v>
          </cell>
          <cell r="T825">
            <v>71.739130434782609</v>
          </cell>
          <cell r="U825">
            <v>140</v>
          </cell>
          <cell r="V825">
            <v>143.47826086956522</v>
          </cell>
          <cell r="W825">
            <v>6</v>
          </cell>
          <cell r="X825">
            <v>33</v>
          </cell>
          <cell r="Y825">
            <v>18</v>
          </cell>
          <cell r="Z825">
            <v>0</v>
          </cell>
        </row>
        <row r="826">
          <cell r="A826">
            <v>9224108</v>
          </cell>
          <cell r="B826" t="str">
            <v>幻影脚第1段</v>
          </cell>
          <cell r="C826" t="str">
            <v>幻影脚第1段</v>
          </cell>
          <cell r="D826">
            <v>2</v>
          </cell>
          <cell r="E826">
            <v>18</v>
          </cell>
          <cell r="F826" t="str">
            <v>第8级，共造成155%点伤害</v>
          </cell>
          <cell r="G826">
            <v>1</v>
          </cell>
          <cell r="H826">
            <v>1</v>
          </cell>
          <cell r="I826">
            <v>8</v>
          </cell>
          <cell r="J826">
            <v>2</v>
          </cell>
          <cell r="K826">
            <v>77.478260869565219</v>
          </cell>
          <cell r="L826">
            <v>0</v>
          </cell>
          <cell r="M826">
            <v>7360</v>
          </cell>
          <cell r="N826">
            <v>912</v>
          </cell>
          <cell r="O826">
            <v>4</v>
          </cell>
          <cell r="P826">
            <v>2</v>
          </cell>
          <cell r="Q826">
            <v>1</v>
          </cell>
          <cell r="R826">
            <v>6</v>
          </cell>
          <cell r="S826">
            <v>50</v>
          </cell>
          <cell r="T826">
            <v>71.739130434782609</v>
          </cell>
          <cell r="U826">
            <v>152</v>
          </cell>
          <cell r="V826">
            <v>143.47826086956522</v>
          </cell>
          <cell r="W826">
            <v>6</v>
          </cell>
          <cell r="X826">
            <v>39</v>
          </cell>
          <cell r="Y826">
            <v>18</v>
          </cell>
          <cell r="Z826">
            <v>0</v>
          </cell>
        </row>
        <row r="827">
          <cell r="A827">
            <v>9224109</v>
          </cell>
          <cell r="B827" t="str">
            <v>幻影脚第1段</v>
          </cell>
          <cell r="C827" t="str">
            <v>幻影脚第1段</v>
          </cell>
          <cell r="D827">
            <v>2</v>
          </cell>
          <cell r="E827">
            <v>19</v>
          </cell>
          <cell r="F827" t="str">
            <v>第9级，共造成156.4%点伤害</v>
          </cell>
          <cell r="G827">
            <v>1</v>
          </cell>
          <cell r="H827">
            <v>1</v>
          </cell>
          <cell r="I827">
            <v>9</v>
          </cell>
          <cell r="J827">
            <v>2</v>
          </cell>
          <cell r="K827">
            <v>78.195652173913047</v>
          </cell>
          <cell r="L827">
            <v>0</v>
          </cell>
          <cell r="M827">
            <v>7280</v>
          </cell>
          <cell r="N827">
            <v>948</v>
          </cell>
          <cell r="O827">
            <v>4</v>
          </cell>
          <cell r="P827">
            <v>2</v>
          </cell>
          <cell r="Q827">
            <v>1</v>
          </cell>
          <cell r="R827">
            <v>6</v>
          </cell>
          <cell r="S827">
            <v>50</v>
          </cell>
          <cell r="T827">
            <v>71.739130434782609</v>
          </cell>
          <cell r="U827">
            <v>158</v>
          </cell>
          <cell r="V827">
            <v>143.47826086956522</v>
          </cell>
          <cell r="W827">
            <v>6</v>
          </cell>
          <cell r="X827">
            <v>45</v>
          </cell>
          <cell r="Y827">
            <v>18</v>
          </cell>
          <cell r="Z827">
            <v>0</v>
          </cell>
        </row>
        <row r="828">
          <cell r="A828">
            <v>9224110</v>
          </cell>
          <cell r="B828" t="str">
            <v>幻影脚第1段</v>
          </cell>
          <cell r="C828" t="str">
            <v>幻影脚第1段</v>
          </cell>
          <cell r="D828">
            <v>2</v>
          </cell>
          <cell r="E828">
            <v>21</v>
          </cell>
          <cell r="F828" t="str">
            <v>第10级，共造成157.8%点伤害</v>
          </cell>
          <cell r="G828">
            <v>1</v>
          </cell>
          <cell r="H828">
            <v>1</v>
          </cell>
          <cell r="I828">
            <v>10</v>
          </cell>
          <cell r="J828">
            <v>2</v>
          </cell>
          <cell r="K828">
            <v>78.913043478260875</v>
          </cell>
          <cell r="L828">
            <v>0</v>
          </cell>
          <cell r="M828">
            <v>7200</v>
          </cell>
          <cell r="N828">
            <v>1470</v>
          </cell>
          <cell r="O828">
            <v>4</v>
          </cell>
          <cell r="P828">
            <v>2</v>
          </cell>
          <cell r="Q828">
            <v>1</v>
          </cell>
          <cell r="R828">
            <v>6</v>
          </cell>
          <cell r="S828">
            <v>50</v>
          </cell>
          <cell r="T828">
            <v>71.739130434782609</v>
          </cell>
          <cell r="U828">
            <v>210</v>
          </cell>
          <cell r="V828">
            <v>143.47826086956522</v>
          </cell>
          <cell r="W828">
            <v>7</v>
          </cell>
          <cell r="X828">
            <v>52</v>
          </cell>
          <cell r="Y828">
            <v>18</v>
          </cell>
          <cell r="Z828">
            <v>0</v>
          </cell>
        </row>
        <row r="829">
          <cell r="A829">
            <v>9224111</v>
          </cell>
          <cell r="B829" t="str">
            <v>幻影脚第1段</v>
          </cell>
          <cell r="C829" t="str">
            <v>幻影脚第1段</v>
          </cell>
          <cell r="D829">
            <v>2</v>
          </cell>
          <cell r="E829">
            <v>22</v>
          </cell>
          <cell r="F829" t="str">
            <v>第11级，共造成159.3%点伤害</v>
          </cell>
          <cell r="G829">
            <v>1</v>
          </cell>
          <cell r="H829">
            <v>1</v>
          </cell>
          <cell r="I829">
            <v>11</v>
          </cell>
          <cell r="J829">
            <v>2</v>
          </cell>
          <cell r="K829">
            <v>79.630434782608702</v>
          </cell>
          <cell r="L829">
            <v>0</v>
          </cell>
          <cell r="M829">
            <v>7120</v>
          </cell>
          <cell r="N829">
            <v>1912</v>
          </cell>
          <cell r="O829">
            <v>4</v>
          </cell>
          <cell r="P829">
            <v>2</v>
          </cell>
          <cell r="Q829">
            <v>1</v>
          </cell>
          <cell r="R829">
            <v>6</v>
          </cell>
          <cell r="S829">
            <v>50</v>
          </cell>
          <cell r="T829">
            <v>71.739130434782609</v>
          </cell>
          <cell r="U829">
            <v>239</v>
          </cell>
          <cell r="V829">
            <v>143.47826086956522</v>
          </cell>
          <cell r="W829">
            <v>8</v>
          </cell>
          <cell r="X829">
            <v>60</v>
          </cell>
          <cell r="Y829">
            <v>18</v>
          </cell>
          <cell r="Z829">
            <v>0</v>
          </cell>
        </row>
        <row r="830">
          <cell r="A830">
            <v>9224112</v>
          </cell>
          <cell r="B830" t="str">
            <v>幻影脚第1段</v>
          </cell>
          <cell r="C830" t="str">
            <v>幻影脚第1段</v>
          </cell>
          <cell r="D830">
            <v>2</v>
          </cell>
          <cell r="E830">
            <v>24</v>
          </cell>
          <cell r="F830" t="str">
            <v>第12级，共造成160.7%点伤害</v>
          </cell>
          <cell r="G830">
            <v>1</v>
          </cell>
          <cell r="H830">
            <v>1</v>
          </cell>
          <cell r="I830">
            <v>12</v>
          </cell>
          <cell r="J830">
            <v>2</v>
          </cell>
          <cell r="K830">
            <v>80.347826086956516</v>
          </cell>
          <cell r="L830">
            <v>0</v>
          </cell>
          <cell r="M830">
            <v>7040</v>
          </cell>
          <cell r="N830">
            <v>2416</v>
          </cell>
          <cell r="O830">
            <v>4</v>
          </cell>
          <cell r="P830">
            <v>2</v>
          </cell>
          <cell r="Q830">
            <v>1</v>
          </cell>
          <cell r="R830">
            <v>6</v>
          </cell>
          <cell r="S830">
            <v>50</v>
          </cell>
          <cell r="T830">
            <v>71.739130434782609</v>
          </cell>
          <cell r="U830">
            <v>302</v>
          </cell>
          <cell r="V830">
            <v>143.47826086956522</v>
          </cell>
          <cell r="W830">
            <v>8</v>
          </cell>
          <cell r="X830">
            <v>68</v>
          </cell>
          <cell r="Y830">
            <v>18</v>
          </cell>
          <cell r="Z830">
            <v>0</v>
          </cell>
        </row>
        <row r="831">
          <cell r="A831">
            <v>9224113</v>
          </cell>
          <cell r="B831" t="str">
            <v>幻影脚第1段</v>
          </cell>
          <cell r="C831" t="str">
            <v>幻影脚第1段</v>
          </cell>
          <cell r="D831">
            <v>2</v>
          </cell>
          <cell r="E831">
            <v>25</v>
          </cell>
          <cell r="F831" t="str">
            <v>第13级，共造成162.1%点伤害</v>
          </cell>
          <cell r="G831">
            <v>1</v>
          </cell>
          <cell r="H831">
            <v>1</v>
          </cell>
          <cell r="I831">
            <v>13</v>
          </cell>
          <cell r="J831">
            <v>2</v>
          </cell>
          <cell r="K831">
            <v>81.065217391304344</v>
          </cell>
          <cell r="L831">
            <v>0</v>
          </cell>
          <cell r="M831">
            <v>6960</v>
          </cell>
          <cell r="N831">
            <v>3015</v>
          </cell>
          <cell r="O831">
            <v>4</v>
          </cell>
          <cell r="P831">
            <v>2</v>
          </cell>
          <cell r="Q831">
            <v>1</v>
          </cell>
          <cell r="R831">
            <v>6</v>
          </cell>
          <cell r="S831">
            <v>50</v>
          </cell>
          <cell r="T831">
            <v>71.739130434782609</v>
          </cell>
          <cell r="U831">
            <v>335</v>
          </cell>
          <cell r="V831">
            <v>143.47826086956522</v>
          </cell>
          <cell r="W831">
            <v>9</v>
          </cell>
          <cell r="X831">
            <v>77</v>
          </cell>
          <cell r="Y831">
            <v>18</v>
          </cell>
          <cell r="Z831">
            <v>0</v>
          </cell>
        </row>
        <row r="832">
          <cell r="A832">
            <v>9224114</v>
          </cell>
          <cell r="B832" t="str">
            <v>幻影脚第1段</v>
          </cell>
          <cell r="C832" t="str">
            <v>幻影脚第1段</v>
          </cell>
          <cell r="D832">
            <v>2</v>
          </cell>
          <cell r="E832">
            <v>27</v>
          </cell>
          <cell r="F832" t="str">
            <v>第14级，共造成163.6%点伤害</v>
          </cell>
          <cell r="G832">
            <v>1</v>
          </cell>
          <cell r="H832">
            <v>1</v>
          </cell>
          <cell r="I832">
            <v>14</v>
          </cell>
          <cell r="J832">
            <v>2</v>
          </cell>
          <cell r="K832">
            <v>81.782608695652172</v>
          </cell>
          <cell r="L832">
            <v>0</v>
          </cell>
          <cell r="M832">
            <v>6880</v>
          </cell>
          <cell r="N832">
            <v>3654</v>
          </cell>
          <cell r="O832">
            <v>4</v>
          </cell>
          <cell r="P832">
            <v>2</v>
          </cell>
          <cell r="Q832">
            <v>1</v>
          </cell>
          <cell r="R832">
            <v>6</v>
          </cell>
          <cell r="S832">
            <v>50</v>
          </cell>
          <cell r="T832">
            <v>71.739130434782609</v>
          </cell>
          <cell r="U832">
            <v>406</v>
          </cell>
          <cell r="V832">
            <v>143.47826086956522</v>
          </cell>
          <cell r="W832">
            <v>9</v>
          </cell>
          <cell r="X832">
            <v>86</v>
          </cell>
          <cell r="Y832">
            <v>18</v>
          </cell>
          <cell r="Z832">
            <v>0</v>
          </cell>
        </row>
        <row r="833">
          <cell r="A833">
            <v>9224115</v>
          </cell>
          <cell r="B833" t="str">
            <v>幻影脚第1段</v>
          </cell>
          <cell r="C833" t="str">
            <v>幻影脚第1段</v>
          </cell>
          <cell r="D833">
            <v>2</v>
          </cell>
          <cell r="E833">
            <v>28</v>
          </cell>
          <cell r="F833" t="str">
            <v>第15级，共造成165%点伤害</v>
          </cell>
          <cell r="G833">
            <v>1</v>
          </cell>
          <cell r="H833">
            <v>1</v>
          </cell>
          <cell r="I833">
            <v>15</v>
          </cell>
          <cell r="J833">
            <v>2</v>
          </cell>
          <cell r="K833">
            <v>82.5</v>
          </cell>
          <cell r="L833">
            <v>0</v>
          </cell>
          <cell r="M833">
            <v>6800</v>
          </cell>
          <cell r="N833">
            <v>4430</v>
          </cell>
          <cell r="O833">
            <v>4</v>
          </cell>
          <cell r="P833">
            <v>2</v>
          </cell>
          <cell r="Q833">
            <v>1</v>
          </cell>
          <cell r="R833">
            <v>6</v>
          </cell>
          <cell r="S833">
            <v>50</v>
          </cell>
          <cell r="T833">
            <v>71.739130434782609</v>
          </cell>
          <cell r="U833">
            <v>443</v>
          </cell>
          <cell r="V833">
            <v>143.47826086956522</v>
          </cell>
          <cell r="W833">
            <v>10</v>
          </cell>
          <cell r="X833">
            <v>96</v>
          </cell>
          <cell r="Y833">
            <v>18</v>
          </cell>
          <cell r="Z833">
            <v>0</v>
          </cell>
        </row>
        <row r="834">
          <cell r="A834">
            <v>9224116</v>
          </cell>
          <cell r="B834" t="str">
            <v>幻影脚第1段</v>
          </cell>
          <cell r="C834" t="str">
            <v>幻影脚第1段</v>
          </cell>
          <cell r="D834">
            <v>2</v>
          </cell>
          <cell r="E834">
            <v>30</v>
          </cell>
          <cell r="F834" t="str">
            <v>第16级，共造成166.4%点伤害</v>
          </cell>
          <cell r="G834">
            <v>1</v>
          </cell>
          <cell r="H834">
            <v>1</v>
          </cell>
          <cell r="I834">
            <v>16</v>
          </cell>
          <cell r="J834">
            <v>2</v>
          </cell>
          <cell r="K834">
            <v>83.217391304347828</v>
          </cell>
          <cell r="L834">
            <v>0</v>
          </cell>
          <cell r="M834">
            <v>6720</v>
          </cell>
          <cell r="N834">
            <v>5742</v>
          </cell>
          <cell r="O834">
            <v>4</v>
          </cell>
          <cell r="P834">
            <v>2</v>
          </cell>
          <cell r="Q834">
            <v>1</v>
          </cell>
          <cell r="R834">
            <v>6</v>
          </cell>
          <cell r="S834">
            <v>50</v>
          </cell>
          <cell r="T834">
            <v>71.739130434782609</v>
          </cell>
          <cell r="U834">
            <v>522</v>
          </cell>
          <cell r="V834">
            <v>143.47826086956522</v>
          </cell>
          <cell r="W834">
            <v>11</v>
          </cell>
          <cell r="X834">
            <v>107</v>
          </cell>
          <cell r="Y834">
            <v>18</v>
          </cell>
          <cell r="Z834">
            <v>0</v>
          </cell>
        </row>
        <row r="835">
          <cell r="A835">
            <v>9224117</v>
          </cell>
          <cell r="B835" t="str">
            <v>幻影脚第1段</v>
          </cell>
          <cell r="C835" t="str">
            <v>幻影脚第1段</v>
          </cell>
          <cell r="D835">
            <v>2</v>
          </cell>
          <cell r="E835">
            <v>31</v>
          </cell>
          <cell r="F835" t="str">
            <v>第17级，共造成167.9%点伤害</v>
          </cell>
          <cell r="G835">
            <v>1</v>
          </cell>
          <cell r="H835">
            <v>1</v>
          </cell>
          <cell r="I835">
            <v>17</v>
          </cell>
          <cell r="J835">
            <v>2</v>
          </cell>
          <cell r="K835">
            <v>83.934782608695656</v>
          </cell>
          <cell r="L835">
            <v>0</v>
          </cell>
          <cell r="M835">
            <v>6640</v>
          </cell>
          <cell r="N835">
            <v>6756</v>
          </cell>
          <cell r="O835">
            <v>4</v>
          </cell>
          <cell r="P835">
            <v>2</v>
          </cell>
          <cell r="Q835">
            <v>1</v>
          </cell>
          <cell r="R835">
            <v>6</v>
          </cell>
          <cell r="S835">
            <v>50</v>
          </cell>
          <cell r="T835">
            <v>71.739130434782609</v>
          </cell>
          <cell r="U835">
            <v>563</v>
          </cell>
          <cell r="V835">
            <v>143.47826086956522</v>
          </cell>
          <cell r="W835">
            <v>12</v>
          </cell>
          <cell r="X835">
            <v>119</v>
          </cell>
          <cell r="Y835">
            <v>18</v>
          </cell>
          <cell r="Z835">
            <v>0</v>
          </cell>
        </row>
        <row r="836">
          <cell r="A836">
            <v>9224118</v>
          </cell>
          <cell r="B836" t="str">
            <v>幻影脚第1段</v>
          </cell>
          <cell r="C836" t="str">
            <v>幻影脚第1段</v>
          </cell>
          <cell r="D836">
            <v>2</v>
          </cell>
          <cell r="E836">
            <v>33</v>
          </cell>
          <cell r="F836" t="str">
            <v>第18级，共造成169.3%点伤害</v>
          </cell>
          <cell r="G836">
            <v>1</v>
          </cell>
          <cell r="H836">
            <v>1</v>
          </cell>
          <cell r="I836">
            <v>18</v>
          </cell>
          <cell r="J836">
            <v>2</v>
          </cell>
          <cell r="K836">
            <v>84.652173913043484</v>
          </cell>
          <cell r="L836">
            <v>0</v>
          </cell>
          <cell r="M836">
            <v>6560</v>
          </cell>
          <cell r="N836">
            <v>7812</v>
          </cell>
          <cell r="O836">
            <v>4</v>
          </cell>
          <cell r="P836">
            <v>2</v>
          </cell>
          <cell r="Q836">
            <v>1</v>
          </cell>
          <cell r="R836">
            <v>6</v>
          </cell>
          <cell r="S836">
            <v>50</v>
          </cell>
          <cell r="T836">
            <v>71.739130434782609</v>
          </cell>
          <cell r="U836">
            <v>651</v>
          </cell>
          <cell r="V836">
            <v>143.47826086956522</v>
          </cell>
          <cell r="W836">
            <v>12</v>
          </cell>
          <cell r="X836">
            <v>131</v>
          </cell>
          <cell r="Y836">
            <v>18</v>
          </cell>
          <cell r="Z836">
            <v>5</v>
          </cell>
        </row>
        <row r="837">
          <cell r="A837">
            <v>9224119</v>
          </cell>
          <cell r="B837" t="str">
            <v>幻影脚第1段</v>
          </cell>
          <cell r="C837" t="str">
            <v>幻影脚第1段</v>
          </cell>
          <cell r="D837">
            <v>2</v>
          </cell>
          <cell r="E837">
            <v>34</v>
          </cell>
          <cell r="F837" t="str">
            <v>第19级，共造成170.7%点伤害</v>
          </cell>
          <cell r="G837">
            <v>1</v>
          </cell>
          <cell r="H837">
            <v>1</v>
          </cell>
          <cell r="I837">
            <v>19</v>
          </cell>
          <cell r="J837">
            <v>2</v>
          </cell>
          <cell r="K837">
            <v>85.369565217391312</v>
          </cell>
          <cell r="L837">
            <v>0</v>
          </cell>
          <cell r="M837">
            <v>6480</v>
          </cell>
          <cell r="N837">
            <v>9048</v>
          </cell>
          <cell r="O837">
            <v>4</v>
          </cell>
          <cell r="P837">
            <v>2</v>
          </cell>
          <cell r="Q837">
            <v>1</v>
          </cell>
          <cell r="R837">
            <v>6</v>
          </cell>
          <cell r="S837">
            <v>50</v>
          </cell>
          <cell r="T837">
            <v>71.739130434782609</v>
          </cell>
          <cell r="U837">
            <v>696</v>
          </cell>
          <cell r="V837">
            <v>143.47826086956522</v>
          </cell>
          <cell r="W837">
            <v>13</v>
          </cell>
          <cell r="X837">
            <v>144</v>
          </cell>
          <cell r="Y837">
            <v>18</v>
          </cell>
          <cell r="Z837">
            <v>6</v>
          </cell>
        </row>
        <row r="838">
          <cell r="A838">
            <v>9224120</v>
          </cell>
          <cell r="B838" t="str">
            <v>幻影脚第1段</v>
          </cell>
          <cell r="C838" t="str">
            <v>幻影脚第1段</v>
          </cell>
          <cell r="D838">
            <v>2</v>
          </cell>
          <cell r="E838">
            <v>36</v>
          </cell>
          <cell r="F838" t="str">
            <v>第20级，共造成172.2%点伤害</v>
          </cell>
          <cell r="G838">
            <v>1</v>
          </cell>
          <cell r="H838">
            <v>1</v>
          </cell>
          <cell r="I838">
            <v>20</v>
          </cell>
          <cell r="J838">
            <v>2</v>
          </cell>
          <cell r="K838">
            <v>86.086956521739125</v>
          </cell>
          <cell r="L838">
            <v>0</v>
          </cell>
          <cell r="M838">
            <v>6400</v>
          </cell>
          <cell r="N838">
            <v>11074</v>
          </cell>
          <cell r="O838">
            <v>4</v>
          </cell>
          <cell r="P838">
            <v>2</v>
          </cell>
          <cell r="Q838">
            <v>1</v>
          </cell>
          <cell r="R838">
            <v>6</v>
          </cell>
          <cell r="S838">
            <v>50</v>
          </cell>
          <cell r="T838">
            <v>71.739130434782609</v>
          </cell>
          <cell r="U838">
            <v>791</v>
          </cell>
          <cell r="V838">
            <v>143.47826086956522</v>
          </cell>
          <cell r="W838">
            <v>14</v>
          </cell>
          <cell r="X838">
            <v>158</v>
          </cell>
          <cell r="Y838">
            <v>18</v>
          </cell>
          <cell r="Z838">
            <v>6</v>
          </cell>
        </row>
        <row r="839">
          <cell r="A839">
            <v>9224121</v>
          </cell>
          <cell r="B839" t="str">
            <v>幻影脚第1段</v>
          </cell>
          <cell r="C839" t="str">
            <v>幻影脚第1段</v>
          </cell>
          <cell r="D839">
            <v>2</v>
          </cell>
          <cell r="E839">
            <v>37</v>
          </cell>
          <cell r="F839" t="str">
            <v>第21级，共造成173.6%点伤害</v>
          </cell>
          <cell r="G839">
            <v>1</v>
          </cell>
          <cell r="H839">
            <v>1</v>
          </cell>
          <cell r="I839">
            <v>21</v>
          </cell>
          <cell r="J839">
            <v>2</v>
          </cell>
          <cell r="K839">
            <v>86.804347826086953</v>
          </cell>
          <cell r="L839">
            <v>0</v>
          </cell>
          <cell r="M839">
            <v>6320</v>
          </cell>
          <cell r="N839">
            <v>12615</v>
          </cell>
          <cell r="O839">
            <v>4</v>
          </cell>
          <cell r="P839">
            <v>2</v>
          </cell>
          <cell r="Q839">
            <v>1</v>
          </cell>
          <cell r="R839">
            <v>6</v>
          </cell>
          <cell r="S839">
            <v>50</v>
          </cell>
          <cell r="T839">
            <v>71.739130434782609</v>
          </cell>
          <cell r="U839">
            <v>841</v>
          </cell>
          <cell r="V839">
            <v>143.47826086956522</v>
          </cell>
          <cell r="W839">
            <v>15</v>
          </cell>
          <cell r="X839">
            <v>173</v>
          </cell>
          <cell r="Y839">
            <v>18</v>
          </cell>
          <cell r="Z839">
            <v>6</v>
          </cell>
        </row>
        <row r="840">
          <cell r="A840">
            <v>9224122</v>
          </cell>
          <cell r="B840" t="str">
            <v>幻影脚第1段</v>
          </cell>
          <cell r="C840" t="str">
            <v>幻影脚第1段</v>
          </cell>
          <cell r="D840">
            <v>2</v>
          </cell>
          <cell r="E840">
            <v>39</v>
          </cell>
          <cell r="F840" t="str">
            <v>第22级，共造成175%点伤害</v>
          </cell>
          <cell r="G840">
            <v>1</v>
          </cell>
          <cell r="H840">
            <v>1</v>
          </cell>
          <cell r="I840">
            <v>22</v>
          </cell>
          <cell r="J840">
            <v>2</v>
          </cell>
          <cell r="K840">
            <v>87.521739130434781</v>
          </cell>
          <cell r="L840">
            <v>0</v>
          </cell>
          <cell r="M840">
            <v>6240</v>
          </cell>
          <cell r="N840">
            <v>15104</v>
          </cell>
          <cell r="O840">
            <v>4</v>
          </cell>
          <cell r="P840">
            <v>2</v>
          </cell>
          <cell r="Q840">
            <v>1</v>
          </cell>
          <cell r="R840">
            <v>6</v>
          </cell>
          <cell r="S840">
            <v>50</v>
          </cell>
          <cell r="T840">
            <v>71.739130434782609</v>
          </cell>
          <cell r="U840">
            <v>944</v>
          </cell>
          <cell r="V840">
            <v>143.47826086956522</v>
          </cell>
          <cell r="W840">
            <v>16</v>
          </cell>
          <cell r="X840">
            <v>189</v>
          </cell>
          <cell r="Y840">
            <v>18</v>
          </cell>
          <cell r="Z840">
            <v>7</v>
          </cell>
        </row>
        <row r="841">
          <cell r="A841">
            <v>9224123</v>
          </cell>
          <cell r="B841" t="str">
            <v>幻影脚第1段</v>
          </cell>
          <cell r="C841" t="str">
            <v>幻影脚第1段</v>
          </cell>
          <cell r="D841">
            <v>2</v>
          </cell>
          <cell r="E841">
            <v>40</v>
          </cell>
          <cell r="F841" t="str">
            <v>第23级，共造成176.5%点伤害</v>
          </cell>
          <cell r="G841">
            <v>1</v>
          </cell>
          <cell r="H841">
            <v>1</v>
          </cell>
          <cell r="I841">
            <v>23</v>
          </cell>
          <cell r="J841">
            <v>2</v>
          </cell>
          <cell r="K841">
            <v>88.239130434782609</v>
          </cell>
          <cell r="L841">
            <v>0</v>
          </cell>
          <cell r="M841">
            <v>6160</v>
          </cell>
          <cell r="N841">
            <v>16966</v>
          </cell>
          <cell r="O841">
            <v>4</v>
          </cell>
          <cell r="P841">
            <v>2</v>
          </cell>
          <cell r="Q841">
            <v>1</v>
          </cell>
          <cell r="R841">
            <v>6</v>
          </cell>
          <cell r="S841">
            <v>50</v>
          </cell>
          <cell r="T841">
            <v>71.739130434782609</v>
          </cell>
          <cell r="U841">
            <v>998</v>
          </cell>
          <cell r="V841">
            <v>143.47826086956522</v>
          </cell>
          <cell r="W841">
            <v>17</v>
          </cell>
          <cell r="X841">
            <v>206</v>
          </cell>
          <cell r="Y841">
            <v>18</v>
          </cell>
          <cell r="Z841">
            <v>7</v>
          </cell>
        </row>
        <row r="842">
          <cell r="A842">
            <v>9224124</v>
          </cell>
          <cell r="B842" t="str">
            <v>幻影脚第1段</v>
          </cell>
          <cell r="C842" t="str">
            <v>幻影脚第1段</v>
          </cell>
          <cell r="D842">
            <v>2</v>
          </cell>
          <cell r="E842">
            <v>42</v>
          </cell>
          <cell r="F842" t="str">
            <v>第24级，共造成177.9%点伤害</v>
          </cell>
          <cell r="G842">
            <v>1</v>
          </cell>
          <cell r="H842">
            <v>1</v>
          </cell>
          <cell r="I842">
            <v>24</v>
          </cell>
          <cell r="J842">
            <v>2</v>
          </cell>
          <cell r="K842">
            <v>88.956521739130437</v>
          </cell>
          <cell r="L842">
            <v>0</v>
          </cell>
          <cell r="M842">
            <v>6080</v>
          </cell>
          <cell r="N842">
            <v>19980</v>
          </cell>
          <cell r="O842">
            <v>4</v>
          </cell>
          <cell r="P842">
            <v>2</v>
          </cell>
          <cell r="Q842">
            <v>1</v>
          </cell>
          <cell r="R842">
            <v>6</v>
          </cell>
          <cell r="S842">
            <v>50</v>
          </cell>
          <cell r="T842">
            <v>71.739130434782609</v>
          </cell>
          <cell r="U842">
            <v>1110</v>
          </cell>
          <cell r="V842">
            <v>143.47826086956522</v>
          </cell>
          <cell r="W842">
            <v>18</v>
          </cell>
          <cell r="X842">
            <v>224</v>
          </cell>
          <cell r="Y842">
            <v>18</v>
          </cell>
          <cell r="Z842">
            <v>8</v>
          </cell>
        </row>
        <row r="843">
          <cell r="A843">
            <v>9224125</v>
          </cell>
          <cell r="B843" t="str">
            <v>幻影脚第1段</v>
          </cell>
          <cell r="C843" t="str">
            <v>幻影脚第1段</v>
          </cell>
          <cell r="D843">
            <v>2</v>
          </cell>
          <cell r="E843">
            <v>43</v>
          </cell>
          <cell r="F843" t="str">
            <v>第25级，共造成179.3%点伤害</v>
          </cell>
          <cell r="G843">
            <v>1</v>
          </cell>
          <cell r="H843">
            <v>1</v>
          </cell>
          <cell r="I843">
            <v>25</v>
          </cell>
          <cell r="J843">
            <v>2</v>
          </cell>
          <cell r="K843">
            <v>89.673913043478265</v>
          </cell>
          <cell r="L843">
            <v>0</v>
          </cell>
          <cell r="M843">
            <v>6000</v>
          </cell>
          <cell r="N843">
            <v>23340</v>
          </cell>
          <cell r="O843">
            <v>4</v>
          </cell>
          <cell r="P843">
            <v>2</v>
          </cell>
          <cell r="Q843">
            <v>1</v>
          </cell>
          <cell r="R843">
            <v>6</v>
          </cell>
          <cell r="S843">
            <v>50</v>
          </cell>
          <cell r="T843">
            <v>71.739130434782609</v>
          </cell>
          <cell r="U843">
            <v>1167</v>
          </cell>
          <cell r="V843">
            <v>143.47826086956522</v>
          </cell>
          <cell r="W843">
            <v>20</v>
          </cell>
          <cell r="X843">
            <v>244</v>
          </cell>
          <cell r="Y843">
            <v>18</v>
          </cell>
          <cell r="Z843">
            <v>8</v>
          </cell>
        </row>
        <row r="844">
          <cell r="A844">
            <v>9224126</v>
          </cell>
          <cell r="B844" t="str">
            <v>幻影脚第1段</v>
          </cell>
          <cell r="C844" t="str">
            <v>幻影脚第1段</v>
          </cell>
          <cell r="D844">
            <v>2</v>
          </cell>
          <cell r="E844">
            <v>44</v>
          </cell>
          <cell r="F844" t="str">
            <v>第26级，共造成180.8%点伤害</v>
          </cell>
          <cell r="G844">
            <v>1</v>
          </cell>
          <cell r="H844">
            <v>1</v>
          </cell>
          <cell r="I844">
            <v>26</v>
          </cell>
          <cell r="J844">
            <v>2</v>
          </cell>
          <cell r="K844">
            <v>90.391304347826093</v>
          </cell>
          <cell r="L844">
            <v>0</v>
          </cell>
          <cell r="M844">
            <v>5920</v>
          </cell>
          <cell r="N844">
            <v>25746</v>
          </cell>
          <cell r="O844">
            <v>4</v>
          </cell>
          <cell r="P844">
            <v>2</v>
          </cell>
          <cell r="Q844">
            <v>1</v>
          </cell>
          <cell r="R844">
            <v>6</v>
          </cell>
          <cell r="S844">
            <v>50</v>
          </cell>
          <cell r="T844">
            <v>71.739130434782609</v>
          </cell>
          <cell r="U844">
            <v>1226</v>
          </cell>
          <cell r="V844">
            <v>143.47826086956522</v>
          </cell>
          <cell r="W844">
            <v>21</v>
          </cell>
          <cell r="X844">
            <v>265</v>
          </cell>
          <cell r="Y844">
            <v>18</v>
          </cell>
          <cell r="Z844">
            <v>9</v>
          </cell>
        </row>
        <row r="845">
          <cell r="A845">
            <v>9224127</v>
          </cell>
          <cell r="B845" t="str">
            <v>幻影脚第1段</v>
          </cell>
          <cell r="C845" t="str">
            <v>幻影脚第1段</v>
          </cell>
          <cell r="D845">
            <v>2</v>
          </cell>
          <cell r="E845">
            <v>46</v>
          </cell>
          <cell r="F845" t="str">
            <v>第27级，共造成182.2%点伤害</v>
          </cell>
          <cell r="G845">
            <v>1</v>
          </cell>
          <cell r="H845">
            <v>1</v>
          </cell>
          <cell r="I845">
            <v>27</v>
          </cell>
          <cell r="J845">
            <v>2</v>
          </cell>
          <cell r="K845">
            <v>91.108695652173907</v>
          </cell>
          <cell r="L845">
            <v>0</v>
          </cell>
          <cell r="M845">
            <v>5840</v>
          </cell>
          <cell r="N845">
            <v>29678</v>
          </cell>
          <cell r="O845">
            <v>4</v>
          </cell>
          <cell r="P845">
            <v>2</v>
          </cell>
          <cell r="Q845">
            <v>1</v>
          </cell>
          <cell r="R845">
            <v>6</v>
          </cell>
          <cell r="S845">
            <v>50</v>
          </cell>
          <cell r="T845">
            <v>71.739130434782609</v>
          </cell>
          <cell r="U845">
            <v>1349</v>
          </cell>
          <cell r="V845">
            <v>143.47826086956522</v>
          </cell>
          <cell r="W845">
            <v>22</v>
          </cell>
          <cell r="X845">
            <v>287</v>
          </cell>
          <cell r="Y845">
            <v>18</v>
          </cell>
          <cell r="Z845">
            <v>9</v>
          </cell>
        </row>
        <row r="846">
          <cell r="A846">
            <v>9224128</v>
          </cell>
          <cell r="B846" t="str">
            <v>幻影脚第1段</v>
          </cell>
          <cell r="C846" t="str">
            <v>幻影脚第1段</v>
          </cell>
          <cell r="D846">
            <v>2</v>
          </cell>
          <cell r="E846">
            <v>47</v>
          </cell>
          <cell r="F846" t="str">
            <v>第28级，共造成183.7%点伤害</v>
          </cell>
          <cell r="G846">
            <v>1</v>
          </cell>
          <cell r="H846">
            <v>1</v>
          </cell>
          <cell r="I846">
            <v>28</v>
          </cell>
          <cell r="J846">
            <v>2</v>
          </cell>
          <cell r="K846">
            <v>91.826086956521735</v>
          </cell>
          <cell r="L846">
            <v>0</v>
          </cell>
          <cell r="M846">
            <v>5760</v>
          </cell>
          <cell r="N846">
            <v>33888</v>
          </cell>
          <cell r="O846">
            <v>4</v>
          </cell>
          <cell r="P846">
            <v>2</v>
          </cell>
          <cell r="Q846">
            <v>1</v>
          </cell>
          <cell r="R846">
            <v>6</v>
          </cell>
          <cell r="S846">
            <v>50</v>
          </cell>
          <cell r="T846">
            <v>71.739130434782609</v>
          </cell>
          <cell r="U846">
            <v>1412</v>
          </cell>
          <cell r="V846">
            <v>143.47826086956522</v>
          </cell>
          <cell r="W846">
            <v>24</v>
          </cell>
          <cell r="X846">
            <v>311</v>
          </cell>
          <cell r="Y846">
            <v>18</v>
          </cell>
          <cell r="Z846">
            <v>10</v>
          </cell>
        </row>
        <row r="847">
          <cell r="A847">
            <v>9224129</v>
          </cell>
          <cell r="B847" t="str">
            <v>幻影脚第1段</v>
          </cell>
          <cell r="C847" t="str">
            <v>幻影脚第1段</v>
          </cell>
          <cell r="D847">
            <v>2</v>
          </cell>
          <cell r="E847">
            <v>49</v>
          </cell>
          <cell r="F847" t="str">
            <v>第29级，共造成185.1%点伤害</v>
          </cell>
          <cell r="G847">
            <v>1</v>
          </cell>
          <cell r="H847">
            <v>1</v>
          </cell>
          <cell r="I847">
            <v>29</v>
          </cell>
          <cell r="J847">
            <v>2</v>
          </cell>
          <cell r="K847">
            <v>92.543478260869563</v>
          </cell>
          <cell r="L847">
            <v>0</v>
          </cell>
          <cell r="M847">
            <v>5680</v>
          </cell>
          <cell r="N847">
            <v>40118</v>
          </cell>
          <cell r="O847">
            <v>4</v>
          </cell>
          <cell r="P847">
            <v>2</v>
          </cell>
          <cell r="Q847">
            <v>1</v>
          </cell>
          <cell r="R847">
            <v>6</v>
          </cell>
          <cell r="S847">
            <v>50</v>
          </cell>
          <cell r="T847">
            <v>71.739130434782609</v>
          </cell>
          <cell r="U847">
            <v>1543</v>
          </cell>
          <cell r="V847">
            <v>143.47826086956522</v>
          </cell>
          <cell r="W847">
            <v>26</v>
          </cell>
          <cell r="X847">
            <v>337</v>
          </cell>
          <cell r="Y847">
            <v>18</v>
          </cell>
          <cell r="Z847">
            <v>11</v>
          </cell>
        </row>
        <row r="848">
          <cell r="A848">
            <v>9224130</v>
          </cell>
          <cell r="B848" t="str">
            <v>幻影脚第1段</v>
          </cell>
          <cell r="C848" t="str">
            <v>幻影脚第1段</v>
          </cell>
          <cell r="D848">
            <v>2</v>
          </cell>
          <cell r="E848">
            <v>50</v>
          </cell>
          <cell r="F848" t="str">
            <v>第30级，共造成186.5%点伤害</v>
          </cell>
          <cell r="G848">
            <v>1</v>
          </cell>
          <cell r="H848">
            <v>1</v>
          </cell>
          <cell r="I848">
            <v>30</v>
          </cell>
          <cell r="J848">
            <v>2</v>
          </cell>
          <cell r="K848">
            <v>93.260869565217391</v>
          </cell>
          <cell r="L848">
            <v>0</v>
          </cell>
          <cell r="M848">
            <v>5600</v>
          </cell>
          <cell r="N848">
            <v>45080</v>
          </cell>
          <cell r="O848">
            <v>4</v>
          </cell>
          <cell r="P848">
            <v>2</v>
          </cell>
          <cell r="Q848">
            <v>1</v>
          </cell>
          <cell r="R848">
            <v>6</v>
          </cell>
          <cell r="S848">
            <v>50</v>
          </cell>
          <cell r="T848">
            <v>71.739130434782609</v>
          </cell>
          <cell r="U848">
            <v>1610</v>
          </cell>
          <cell r="V848">
            <v>143.47826086956522</v>
          </cell>
          <cell r="W848">
            <v>28</v>
          </cell>
          <cell r="X848">
            <v>365</v>
          </cell>
          <cell r="Y848">
            <v>18</v>
          </cell>
          <cell r="Z848">
            <v>12</v>
          </cell>
        </row>
        <row r="849">
          <cell r="A849">
            <v>9224131</v>
          </cell>
          <cell r="B849" t="str">
            <v>幻影脚第1段</v>
          </cell>
          <cell r="C849" t="str">
            <v>幻影脚第1段</v>
          </cell>
          <cell r="D849">
            <v>2</v>
          </cell>
          <cell r="E849">
            <v>52</v>
          </cell>
          <cell r="F849" t="str">
            <v>第31级，共造成188%点伤害</v>
          </cell>
          <cell r="G849">
            <v>1</v>
          </cell>
          <cell r="H849">
            <v>1</v>
          </cell>
          <cell r="I849">
            <v>31</v>
          </cell>
          <cell r="J849">
            <v>2</v>
          </cell>
          <cell r="K849">
            <v>93.978260869565219</v>
          </cell>
          <cell r="L849">
            <v>0</v>
          </cell>
          <cell r="M849">
            <v>5520</v>
          </cell>
          <cell r="N849">
            <v>50721</v>
          </cell>
          <cell r="O849">
            <v>4</v>
          </cell>
          <cell r="P849">
            <v>2</v>
          </cell>
          <cell r="Q849">
            <v>1</v>
          </cell>
          <cell r="R849">
            <v>6</v>
          </cell>
          <cell r="S849">
            <v>50</v>
          </cell>
          <cell r="T849">
            <v>71.739130434782609</v>
          </cell>
          <cell r="U849">
            <v>1749</v>
          </cell>
          <cell r="V849">
            <v>143.47826086956522</v>
          </cell>
          <cell r="W849">
            <v>29</v>
          </cell>
          <cell r="X849">
            <v>394</v>
          </cell>
          <cell r="Y849">
            <v>18</v>
          </cell>
          <cell r="Z849">
            <v>12</v>
          </cell>
        </row>
        <row r="850">
          <cell r="A850">
            <v>9224132</v>
          </cell>
          <cell r="B850" t="str">
            <v>幻影脚第1段</v>
          </cell>
          <cell r="C850" t="str">
            <v>幻影脚第1段</v>
          </cell>
          <cell r="D850">
            <v>2</v>
          </cell>
          <cell r="E850">
            <v>53</v>
          </cell>
          <cell r="F850" t="str">
            <v>第32级，共造成189.4%点伤害</v>
          </cell>
          <cell r="G850">
            <v>1</v>
          </cell>
          <cell r="H850">
            <v>1</v>
          </cell>
          <cell r="I850">
            <v>32</v>
          </cell>
          <cell r="J850">
            <v>2</v>
          </cell>
          <cell r="K850">
            <v>94.695652173913047</v>
          </cell>
          <cell r="L850">
            <v>0</v>
          </cell>
          <cell r="M850">
            <v>5440</v>
          </cell>
          <cell r="N850">
            <v>56420</v>
          </cell>
          <cell r="O850">
            <v>4</v>
          </cell>
          <cell r="P850">
            <v>2</v>
          </cell>
          <cell r="Q850">
            <v>1</v>
          </cell>
          <cell r="R850">
            <v>6</v>
          </cell>
          <cell r="S850">
            <v>50</v>
          </cell>
          <cell r="T850">
            <v>71.739130434782609</v>
          </cell>
          <cell r="U850">
            <v>1820</v>
          </cell>
          <cell r="V850">
            <v>143.47826086956522</v>
          </cell>
          <cell r="W850">
            <v>31</v>
          </cell>
          <cell r="X850">
            <v>425</v>
          </cell>
          <cell r="Y850">
            <v>18</v>
          </cell>
          <cell r="Z850">
            <v>13</v>
          </cell>
        </row>
        <row r="851">
          <cell r="A851">
            <v>9224133</v>
          </cell>
          <cell r="B851" t="str">
            <v>幻影脚第1段</v>
          </cell>
          <cell r="C851" t="str">
            <v>幻影脚第1段</v>
          </cell>
          <cell r="D851">
            <v>2</v>
          </cell>
          <cell r="E851">
            <v>55</v>
          </cell>
          <cell r="F851" t="str">
            <v>第33级，共造成190.8%点伤害</v>
          </cell>
          <cell r="G851">
            <v>1</v>
          </cell>
          <cell r="H851">
            <v>1</v>
          </cell>
          <cell r="I851">
            <v>33</v>
          </cell>
          <cell r="J851">
            <v>2</v>
          </cell>
          <cell r="K851">
            <v>95.413043478260875</v>
          </cell>
          <cell r="L851">
            <v>0</v>
          </cell>
          <cell r="M851">
            <v>5360</v>
          </cell>
          <cell r="N851">
            <v>66878</v>
          </cell>
          <cell r="O851">
            <v>4</v>
          </cell>
          <cell r="P851">
            <v>2</v>
          </cell>
          <cell r="Q851">
            <v>1</v>
          </cell>
          <cell r="R851">
            <v>6</v>
          </cell>
          <cell r="S851">
            <v>50</v>
          </cell>
          <cell r="T851">
            <v>71.739130434782609</v>
          </cell>
          <cell r="U851">
            <v>1967</v>
          </cell>
          <cell r="V851">
            <v>143.47826086956522</v>
          </cell>
          <cell r="W851">
            <v>34</v>
          </cell>
          <cell r="X851">
            <v>459</v>
          </cell>
          <cell r="Y851">
            <v>18</v>
          </cell>
          <cell r="Z851">
            <v>14</v>
          </cell>
        </row>
        <row r="852">
          <cell r="A852">
            <v>9224134</v>
          </cell>
          <cell r="B852" t="str">
            <v>幻影脚第1段</v>
          </cell>
          <cell r="C852" t="str">
            <v>幻影脚第1段</v>
          </cell>
          <cell r="D852">
            <v>2</v>
          </cell>
          <cell r="E852">
            <v>56</v>
          </cell>
          <cell r="F852" t="str">
            <v>第34级，共造成192.3%点伤害</v>
          </cell>
          <cell r="G852">
            <v>1</v>
          </cell>
          <cell r="H852">
            <v>1</v>
          </cell>
          <cell r="I852">
            <v>34</v>
          </cell>
          <cell r="J852">
            <v>2</v>
          </cell>
          <cell r="K852">
            <v>96.130434782608688</v>
          </cell>
          <cell r="L852">
            <v>0</v>
          </cell>
          <cell r="M852">
            <v>5280</v>
          </cell>
          <cell r="N852">
            <v>73512</v>
          </cell>
          <cell r="O852">
            <v>4</v>
          </cell>
          <cell r="P852">
            <v>2</v>
          </cell>
          <cell r="Q852">
            <v>1</v>
          </cell>
          <cell r="R852">
            <v>6</v>
          </cell>
          <cell r="S852">
            <v>50</v>
          </cell>
          <cell r="T852">
            <v>71.739130434782609</v>
          </cell>
          <cell r="U852">
            <v>2042</v>
          </cell>
          <cell r="V852">
            <v>143.47826086956522</v>
          </cell>
          <cell r="W852">
            <v>36</v>
          </cell>
          <cell r="X852">
            <v>495</v>
          </cell>
          <cell r="Y852">
            <v>18</v>
          </cell>
          <cell r="Z852">
            <v>15</v>
          </cell>
        </row>
        <row r="853">
          <cell r="A853">
            <v>9224135</v>
          </cell>
          <cell r="B853" t="str">
            <v>幻影脚第1段</v>
          </cell>
          <cell r="C853" t="str">
            <v>幻影脚第1段</v>
          </cell>
          <cell r="D853">
            <v>2</v>
          </cell>
          <cell r="E853">
            <v>58</v>
          </cell>
          <cell r="F853" t="str">
            <v>第35级，共造成193.7%点伤害</v>
          </cell>
          <cell r="G853">
            <v>1</v>
          </cell>
          <cell r="H853">
            <v>1</v>
          </cell>
          <cell r="I853">
            <v>35</v>
          </cell>
          <cell r="J853">
            <v>2</v>
          </cell>
          <cell r="K853">
            <v>96.847826086956516</v>
          </cell>
          <cell r="L853">
            <v>0</v>
          </cell>
          <cell r="M853">
            <v>5200</v>
          </cell>
          <cell r="N853">
            <v>83524</v>
          </cell>
          <cell r="O853">
            <v>4</v>
          </cell>
          <cell r="P853">
            <v>2</v>
          </cell>
          <cell r="Q853">
            <v>1</v>
          </cell>
          <cell r="R853">
            <v>6</v>
          </cell>
          <cell r="S853">
            <v>50</v>
          </cell>
          <cell r="T853">
            <v>71.739130434782609</v>
          </cell>
          <cell r="U853">
            <v>2198</v>
          </cell>
          <cell r="V853">
            <v>143.47826086956522</v>
          </cell>
          <cell r="W853">
            <v>38</v>
          </cell>
          <cell r="X853">
            <v>533</v>
          </cell>
          <cell r="Y853">
            <v>18</v>
          </cell>
          <cell r="Z853">
            <v>16</v>
          </cell>
        </row>
        <row r="854">
          <cell r="A854">
            <v>9224136</v>
          </cell>
          <cell r="B854" t="str">
            <v>幻影脚第1段</v>
          </cell>
          <cell r="C854" t="str">
            <v>幻影脚第1段</v>
          </cell>
          <cell r="D854">
            <v>2</v>
          </cell>
          <cell r="E854">
            <v>59</v>
          </cell>
          <cell r="F854" t="str">
            <v>第36级，共造成195.1%点伤害</v>
          </cell>
          <cell r="G854">
            <v>1</v>
          </cell>
          <cell r="H854">
            <v>1</v>
          </cell>
          <cell r="I854">
            <v>36</v>
          </cell>
          <cell r="J854">
            <v>2</v>
          </cell>
          <cell r="K854">
            <v>97.565217391304344</v>
          </cell>
          <cell r="L854">
            <v>0</v>
          </cell>
          <cell r="M854">
            <v>5120</v>
          </cell>
          <cell r="N854">
            <v>93357</v>
          </cell>
          <cell r="O854">
            <v>4</v>
          </cell>
          <cell r="P854">
            <v>2</v>
          </cell>
          <cell r="Q854">
            <v>1</v>
          </cell>
          <cell r="R854">
            <v>6</v>
          </cell>
          <cell r="S854">
            <v>50</v>
          </cell>
          <cell r="T854">
            <v>71.739130434782609</v>
          </cell>
          <cell r="U854">
            <v>2277</v>
          </cell>
          <cell r="V854">
            <v>143.47826086956522</v>
          </cell>
          <cell r="W854">
            <v>41</v>
          </cell>
          <cell r="X854">
            <v>574</v>
          </cell>
          <cell r="Y854">
            <v>18</v>
          </cell>
          <cell r="Z854">
            <v>17</v>
          </cell>
        </row>
        <row r="855">
          <cell r="A855">
            <v>9224137</v>
          </cell>
          <cell r="B855" t="str">
            <v>幻影脚第1段</v>
          </cell>
          <cell r="C855" t="str">
            <v>幻影脚第1段</v>
          </cell>
          <cell r="D855">
            <v>2</v>
          </cell>
          <cell r="E855">
            <v>61</v>
          </cell>
          <cell r="F855" t="str">
            <v>第37级，共造成196.6%点伤害</v>
          </cell>
          <cell r="G855">
            <v>1</v>
          </cell>
          <cell r="H855">
            <v>1</v>
          </cell>
          <cell r="I855">
            <v>37</v>
          </cell>
          <cell r="J855">
            <v>2</v>
          </cell>
          <cell r="K855">
            <v>98.282608695652172</v>
          </cell>
          <cell r="L855">
            <v>0</v>
          </cell>
          <cell r="M855">
            <v>5040</v>
          </cell>
          <cell r="N855">
            <v>107360</v>
          </cell>
          <cell r="O855">
            <v>4</v>
          </cell>
          <cell r="P855">
            <v>2</v>
          </cell>
          <cell r="Q855">
            <v>1</v>
          </cell>
          <cell r="R855">
            <v>6</v>
          </cell>
          <cell r="S855">
            <v>50</v>
          </cell>
          <cell r="T855">
            <v>71.739130434782609</v>
          </cell>
          <cell r="U855">
            <v>2440</v>
          </cell>
          <cell r="V855">
            <v>143.47826086956522</v>
          </cell>
          <cell r="W855">
            <v>44</v>
          </cell>
          <cell r="X855">
            <v>618</v>
          </cell>
          <cell r="Y855">
            <v>18</v>
          </cell>
          <cell r="Z855">
            <v>18</v>
          </cell>
        </row>
        <row r="856">
          <cell r="A856">
            <v>9224138</v>
          </cell>
          <cell r="B856" t="str">
            <v>幻影脚第1段</v>
          </cell>
          <cell r="C856" t="str">
            <v>幻影脚第1段</v>
          </cell>
          <cell r="D856">
            <v>2</v>
          </cell>
          <cell r="E856">
            <v>62</v>
          </cell>
          <cell r="F856" t="str">
            <v>第38级，共造成198%点伤害</v>
          </cell>
          <cell r="G856">
            <v>1</v>
          </cell>
          <cell r="H856">
            <v>1</v>
          </cell>
          <cell r="I856">
            <v>38</v>
          </cell>
          <cell r="J856">
            <v>2</v>
          </cell>
          <cell r="K856">
            <v>99</v>
          </cell>
          <cell r="L856">
            <v>0</v>
          </cell>
          <cell r="M856">
            <v>4960</v>
          </cell>
          <cell r="N856">
            <v>118628</v>
          </cell>
          <cell r="O856">
            <v>4</v>
          </cell>
          <cell r="P856">
            <v>2</v>
          </cell>
          <cell r="Q856">
            <v>1</v>
          </cell>
          <cell r="R856">
            <v>6</v>
          </cell>
          <cell r="S856">
            <v>50</v>
          </cell>
          <cell r="T856">
            <v>71.739130434782609</v>
          </cell>
          <cell r="U856">
            <v>2524</v>
          </cell>
          <cell r="V856">
            <v>143.47826086956522</v>
          </cell>
          <cell r="W856">
            <v>47</v>
          </cell>
          <cell r="X856">
            <v>665</v>
          </cell>
          <cell r="Y856">
            <v>18</v>
          </cell>
          <cell r="Z856">
            <v>19</v>
          </cell>
        </row>
        <row r="857">
          <cell r="A857">
            <v>9224139</v>
          </cell>
          <cell r="B857" t="str">
            <v>幻影脚第1段</v>
          </cell>
          <cell r="C857" t="str">
            <v>幻影脚第1段</v>
          </cell>
          <cell r="D857">
            <v>2</v>
          </cell>
          <cell r="E857">
            <v>64</v>
          </cell>
          <cell r="F857" t="str">
            <v>第39级，共造成199.4%点伤害</v>
          </cell>
          <cell r="G857">
            <v>1</v>
          </cell>
          <cell r="H857">
            <v>1</v>
          </cell>
          <cell r="I857">
            <v>39</v>
          </cell>
          <cell r="J857">
            <v>2</v>
          </cell>
          <cell r="K857">
            <v>99.717391304347828</v>
          </cell>
          <cell r="L857">
            <v>0</v>
          </cell>
          <cell r="M857">
            <v>4880</v>
          </cell>
          <cell r="N857">
            <v>134750</v>
          </cell>
          <cell r="O857">
            <v>4</v>
          </cell>
          <cell r="P857">
            <v>2</v>
          </cell>
          <cell r="Q857">
            <v>1</v>
          </cell>
          <cell r="R857">
            <v>6</v>
          </cell>
          <cell r="S857">
            <v>50</v>
          </cell>
          <cell r="T857">
            <v>71.739130434782609</v>
          </cell>
          <cell r="U857">
            <v>2695</v>
          </cell>
          <cell r="V857">
            <v>143.47826086956522</v>
          </cell>
          <cell r="W857">
            <v>50</v>
          </cell>
          <cell r="X857">
            <v>715</v>
          </cell>
          <cell r="Y857">
            <v>18</v>
          </cell>
          <cell r="Z857">
            <v>20</v>
          </cell>
        </row>
        <row r="858">
          <cell r="A858">
            <v>9224140</v>
          </cell>
          <cell r="B858" t="str">
            <v>幻影脚第1段</v>
          </cell>
          <cell r="C858" t="str">
            <v>幻影脚第1段</v>
          </cell>
          <cell r="D858">
            <v>2</v>
          </cell>
          <cell r="E858">
            <v>65</v>
          </cell>
          <cell r="F858" t="str">
            <v>第40级，共造成200.9%点伤害</v>
          </cell>
          <cell r="G858">
            <v>1</v>
          </cell>
          <cell r="H858">
            <v>1</v>
          </cell>
          <cell r="I858">
            <v>40</v>
          </cell>
          <cell r="J858">
            <v>2</v>
          </cell>
          <cell r="K858">
            <v>100.43478260869566</v>
          </cell>
          <cell r="L858">
            <v>0</v>
          </cell>
          <cell r="M858">
            <v>4800</v>
          </cell>
          <cell r="N858">
            <v>150282</v>
          </cell>
          <cell r="O858">
            <v>4</v>
          </cell>
          <cell r="P858">
            <v>2</v>
          </cell>
          <cell r="Q858">
            <v>1</v>
          </cell>
          <cell r="R858">
            <v>6</v>
          </cell>
          <cell r="S858">
            <v>50</v>
          </cell>
          <cell r="T858">
            <v>71.739130434782609</v>
          </cell>
          <cell r="U858">
            <v>2783</v>
          </cell>
          <cell r="V858">
            <v>143.47826086956522</v>
          </cell>
          <cell r="W858">
            <v>54</v>
          </cell>
          <cell r="X858">
            <v>769</v>
          </cell>
          <cell r="Y858">
            <v>18</v>
          </cell>
          <cell r="Z858">
            <v>22</v>
          </cell>
        </row>
        <row r="859">
          <cell r="A859">
            <v>9224141</v>
          </cell>
          <cell r="B859" t="str">
            <v>幻影脚第1段</v>
          </cell>
          <cell r="C859" t="str">
            <v>幻影脚第1段</v>
          </cell>
          <cell r="D859">
            <v>2</v>
          </cell>
          <cell r="E859">
            <v>67</v>
          </cell>
          <cell r="F859" t="str">
            <v>第41级，共造成202.3%点伤害</v>
          </cell>
          <cell r="G859">
            <v>1</v>
          </cell>
          <cell r="H859">
            <v>1</v>
          </cell>
          <cell r="I859">
            <v>41</v>
          </cell>
          <cell r="J859">
            <v>2</v>
          </cell>
          <cell r="K859">
            <v>101.15217391304347</v>
          </cell>
          <cell r="L859">
            <v>0</v>
          </cell>
          <cell r="M859">
            <v>4720</v>
          </cell>
          <cell r="N859">
            <v>171854</v>
          </cell>
          <cell r="O859">
            <v>4</v>
          </cell>
          <cell r="P859">
            <v>2</v>
          </cell>
          <cell r="Q859">
            <v>1</v>
          </cell>
          <cell r="R859">
            <v>6</v>
          </cell>
          <cell r="S859">
            <v>50</v>
          </cell>
          <cell r="T859">
            <v>71.739130434782609</v>
          </cell>
          <cell r="U859">
            <v>2963</v>
          </cell>
          <cell r="V859">
            <v>143.47826086956522</v>
          </cell>
          <cell r="W859">
            <v>58</v>
          </cell>
          <cell r="X859">
            <v>827</v>
          </cell>
          <cell r="Y859">
            <v>18</v>
          </cell>
          <cell r="Z859">
            <v>24</v>
          </cell>
        </row>
        <row r="860">
          <cell r="A860">
            <v>9224142</v>
          </cell>
          <cell r="B860" t="str">
            <v>幻影脚第1段</v>
          </cell>
          <cell r="C860" t="str">
            <v>幻影脚第1段</v>
          </cell>
          <cell r="D860">
            <v>2</v>
          </cell>
          <cell r="E860">
            <v>68</v>
          </cell>
          <cell r="F860" t="str">
            <v>第42级，共造成203.7%点伤害</v>
          </cell>
          <cell r="G860">
            <v>1</v>
          </cell>
          <cell r="H860">
            <v>1</v>
          </cell>
          <cell r="I860">
            <v>42</v>
          </cell>
          <cell r="J860">
            <v>2</v>
          </cell>
          <cell r="K860">
            <v>101.86956521739131</v>
          </cell>
          <cell r="L860">
            <v>0</v>
          </cell>
          <cell r="M860">
            <v>4640</v>
          </cell>
          <cell r="N860">
            <v>189348</v>
          </cell>
          <cell r="O860">
            <v>4</v>
          </cell>
          <cell r="P860">
            <v>2</v>
          </cell>
          <cell r="Q860">
            <v>1</v>
          </cell>
          <cell r="R860">
            <v>6</v>
          </cell>
          <cell r="S860">
            <v>50</v>
          </cell>
          <cell r="T860">
            <v>71.739130434782609</v>
          </cell>
          <cell r="U860">
            <v>3054</v>
          </cell>
          <cell r="V860">
            <v>143.47826086956522</v>
          </cell>
          <cell r="W860">
            <v>62</v>
          </cell>
          <cell r="X860">
            <v>889</v>
          </cell>
          <cell r="Y860">
            <v>18</v>
          </cell>
          <cell r="Z860">
            <v>25</v>
          </cell>
        </row>
        <row r="861">
          <cell r="A861">
            <v>9224143</v>
          </cell>
          <cell r="B861" t="str">
            <v>幻影脚第1段</v>
          </cell>
          <cell r="C861" t="str">
            <v>幻影脚第1段</v>
          </cell>
          <cell r="D861">
            <v>2</v>
          </cell>
          <cell r="E861">
            <v>70</v>
          </cell>
          <cell r="F861" t="str">
            <v>第43级，共造成205.2%点伤害</v>
          </cell>
          <cell r="G861">
            <v>1</v>
          </cell>
          <cell r="H861">
            <v>1</v>
          </cell>
          <cell r="I861">
            <v>43</v>
          </cell>
          <cell r="J861">
            <v>2</v>
          </cell>
          <cell r="K861">
            <v>102.58695652173913</v>
          </cell>
          <cell r="L861">
            <v>0</v>
          </cell>
          <cell r="M861">
            <v>4560</v>
          </cell>
          <cell r="N861">
            <v>213972</v>
          </cell>
          <cell r="O861">
            <v>4</v>
          </cell>
          <cell r="P861">
            <v>2</v>
          </cell>
          <cell r="Q861">
            <v>1</v>
          </cell>
          <cell r="R861">
            <v>6</v>
          </cell>
          <cell r="S861">
            <v>50</v>
          </cell>
          <cell r="T861">
            <v>71.739130434782609</v>
          </cell>
          <cell r="U861">
            <v>3242</v>
          </cell>
          <cell r="V861">
            <v>143.47826086956522</v>
          </cell>
          <cell r="W861">
            <v>66</v>
          </cell>
          <cell r="X861">
            <v>955</v>
          </cell>
          <cell r="Y861">
            <v>18</v>
          </cell>
          <cell r="Z861">
            <v>27</v>
          </cell>
        </row>
        <row r="862">
          <cell r="A862">
            <v>9224144</v>
          </cell>
          <cell r="B862" t="str">
            <v>幻影脚第1段</v>
          </cell>
          <cell r="C862" t="str">
            <v>幻影脚第1段</v>
          </cell>
          <cell r="D862">
            <v>2</v>
          </cell>
          <cell r="E862">
            <v>71</v>
          </cell>
          <cell r="F862" t="str">
            <v>第44级，共造成206.6%点伤害</v>
          </cell>
          <cell r="G862">
            <v>1</v>
          </cell>
          <cell r="H862">
            <v>1</v>
          </cell>
          <cell r="I862">
            <v>44</v>
          </cell>
          <cell r="J862">
            <v>2</v>
          </cell>
          <cell r="K862">
            <v>103.30434782608695</v>
          </cell>
          <cell r="L862">
            <v>0</v>
          </cell>
          <cell r="M862">
            <v>4480</v>
          </cell>
          <cell r="N862">
            <v>236998</v>
          </cell>
          <cell r="O862">
            <v>4</v>
          </cell>
          <cell r="P862">
            <v>2</v>
          </cell>
          <cell r="Q862">
            <v>1</v>
          </cell>
          <cell r="R862">
            <v>6</v>
          </cell>
          <cell r="S862">
            <v>50</v>
          </cell>
          <cell r="T862">
            <v>71.739130434782609</v>
          </cell>
          <cell r="U862">
            <v>3338</v>
          </cell>
          <cell r="V862">
            <v>143.47826086956522</v>
          </cell>
          <cell r="W862">
            <v>71</v>
          </cell>
          <cell r="X862">
            <v>1026</v>
          </cell>
          <cell r="Y862">
            <v>18</v>
          </cell>
          <cell r="Z862">
            <v>29</v>
          </cell>
        </row>
        <row r="863">
          <cell r="A863">
            <v>9224145</v>
          </cell>
          <cell r="B863" t="str">
            <v>幻影脚第1段</v>
          </cell>
          <cell r="C863" t="str">
            <v>幻影脚第1段</v>
          </cell>
          <cell r="D863">
            <v>2</v>
          </cell>
          <cell r="E863">
            <v>73</v>
          </cell>
          <cell r="F863" t="str">
            <v>第45级，共造成208%点伤害</v>
          </cell>
          <cell r="G863">
            <v>1</v>
          </cell>
          <cell r="H863">
            <v>1</v>
          </cell>
          <cell r="I863">
            <v>45</v>
          </cell>
          <cell r="J863">
            <v>2</v>
          </cell>
          <cell r="K863">
            <v>104.02173913043478</v>
          </cell>
          <cell r="L863">
            <v>0</v>
          </cell>
          <cell r="M863">
            <v>4400</v>
          </cell>
          <cell r="N863">
            <v>268584</v>
          </cell>
          <cell r="O863">
            <v>4</v>
          </cell>
          <cell r="P863">
            <v>2</v>
          </cell>
          <cell r="Q863">
            <v>1</v>
          </cell>
          <cell r="R863">
            <v>6</v>
          </cell>
          <cell r="S863">
            <v>50</v>
          </cell>
          <cell r="T863">
            <v>71.739130434782609</v>
          </cell>
          <cell r="U863">
            <v>3534</v>
          </cell>
          <cell r="V863">
            <v>143.47826086956522</v>
          </cell>
          <cell r="W863">
            <v>76</v>
          </cell>
          <cell r="X863">
            <v>1102</v>
          </cell>
          <cell r="Y863">
            <v>18</v>
          </cell>
          <cell r="Z863">
            <v>31</v>
          </cell>
        </row>
        <row r="864">
          <cell r="A864">
            <v>9224146</v>
          </cell>
          <cell r="B864" t="str">
            <v>幻影脚第1段</v>
          </cell>
          <cell r="C864" t="str">
            <v>幻影脚第1段</v>
          </cell>
          <cell r="D864">
            <v>2</v>
          </cell>
          <cell r="E864">
            <v>74</v>
          </cell>
          <cell r="F864" t="str">
            <v>第46级，共造成209.5%点伤害</v>
          </cell>
          <cell r="G864">
            <v>1</v>
          </cell>
          <cell r="H864">
            <v>1</v>
          </cell>
          <cell r="I864">
            <v>46</v>
          </cell>
          <cell r="J864">
            <v>2</v>
          </cell>
          <cell r="K864">
            <v>104.73913043478261</v>
          </cell>
          <cell r="L864">
            <v>0</v>
          </cell>
          <cell r="M864">
            <v>4320</v>
          </cell>
          <cell r="N864">
            <v>294354</v>
          </cell>
          <cell r="O864">
            <v>4</v>
          </cell>
          <cell r="P864">
            <v>2</v>
          </cell>
          <cell r="Q864">
            <v>1</v>
          </cell>
          <cell r="R864">
            <v>6</v>
          </cell>
          <cell r="S864">
            <v>50</v>
          </cell>
          <cell r="T864">
            <v>71.739130434782609</v>
          </cell>
          <cell r="U864">
            <v>3634</v>
          </cell>
          <cell r="V864">
            <v>143.47826086956522</v>
          </cell>
          <cell r="W864">
            <v>81</v>
          </cell>
          <cell r="X864">
            <v>1183</v>
          </cell>
          <cell r="Y864">
            <v>18</v>
          </cell>
          <cell r="Z864">
            <v>33</v>
          </cell>
        </row>
        <row r="865">
          <cell r="A865">
            <v>9224147</v>
          </cell>
          <cell r="B865" t="str">
            <v>幻影脚第1段</v>
          </cell>
          <cell r="C865" t="str">
            <v>幻影脚第1段</v>
          </cell>
          <cell r="D865">
            <v>2</v>
          </cell>
          <cell r="E865">
            <v>76</v>
          </cell>
          <cell r="F865" t="str">
            <v>第47级，共造成210.9%点伤害</v>
          </cell>
          <cell r="G865">
            <v>1</v>
          </cell>
          <cell r="H865">
            <v>1</v>
          </cell>
          <cell r="I865">
            <v>47</v>
          </cell>
          <cell r="J865">
            <v>2</v>
          </cell>
          <cell r="K865">
            <v>105.45652173913044</v>
          </cell>
          <cell r="L865">
            <v>0</v>
          </cell>
          <cell r="M865">
            <v>4240</v>
          </cell>
          <cell r="N865">
            <v>333906</v>
          </cell>
          <cell r="O865">
            <v>4</v>
          </cell>
          <cell r="P865">
            <v>2</v>
          </cell>
          <cell r="Q865">
            <v>1</v>
          </cell>
          <cell r="R865">
            <v>6</v>
          </cell>
          <cell r="S865">
            <v>50</v>
          </cell>
          <cell r="T865">
            <v>71.739130434782609</v>
          </cell>
          <cell r="U865">
            <v>3838</v>
          </cell>
          <cell r="V865">
            <v>143.47826086956522</v>
          </cell>
          <cell r="W865">
            <v>87</v>
          </cell>
          <cell r="X865">
            <v>1270</v>
          </cell>
          <cell r="Y865">
            <v>18</v>
          </cell>
          <cell r="Z865">
            <v>35</v>
          </cell>
        </row>
        <row r="866">
          <cell r="A866">
            <v>9224148</v>
          </cell>
          <cell r="B866" t="str">
            <v>幻影脚第1段</v>
          </cell>
          <cell r="C866" t="str">
            <v>幻影脚第1段</v>
          </cell>
          <cell r="D866">
            <v>2</v>
          </cell>
          <cell r="E866">
            <v>77</v>
          </cell>
          <cell r="F866" t="str">
            <v>第48级，共造成212.3%点伤害</v>
          </cell>
          <cell r="G866">
            <v>1</v>
          </cell>
          <cell r="H866">
            <v>1</v>
          </cell>
          <cell r="I866">
            <v>48</v>
          </cell>
          <cell r="J866">
            <v>2</v>
          </cell>
          <cell r="K866">
            <v>106.17391304347825</v>
          </cell>
          <cell r="L866">
            <v>0</v>
          </cell>
          <cell r="M866">
            <v>4160</v>
          </cell>
          <cell r="N866">
            <v>366606</v>
          </cell>
          <cell r="O866">
            <v>4</v>
          </cell>
          <cell r="P866">
            <v>2</v>
          </cell>
          <cell r="Q866">
            <v>1</v>
          </cell>
          <cell r="R866">
            <v>6</v>
          </cell>
          <cell r="S866">
            <v>50</v>
          </cell>
          <cell r="T866">
            <v>71.739130434782609</v>
          </cell>
          <cell r="U866">
            <v>3942</v>
          </cell>
          <cell r="V866">
            <v>143.47826086956522</v>
          </cell>
          <cell r="W866">
            <v>93</v>
          </cell>
          <cell r="X866">
            <v>1363</v>
          </cell>
          <cell r="Y866">
            <v>18</v>
          </cell>
          <cell r="Z866">
            <v>38</v>
          </cell>
        </row>
        <row r="867">
          <cell r="A867">
            <v>9224149</v>
          </cell>
          <cell r="B867" t="str">
            <v>幻影脚第1段</v>
          </cell>
          <cell r="C867" t="str">
            <v>幻影脚第1段</v>
          </cell>
          <cell r="D867">
            <v>2</v>
          </cell>
          <cell r="E867">
            <v>79</v>
          </cell>
          <cell r="F867" t="str">
            <v>第49级，共造成213.8%点伤害</v>
          </cell>
          <cell r="G867">
            <v>1</v>
          </cell>
          <cell r="H867">
            <v>1</v>
          </cell>
          <cell r="I867">
            <v>49</v>
          </cell>
          <cell r="J867">
            <v>2</v>
          </cell>
          <cell r="K867">
            <v>106.89130434782609</v>
          </cell>
          <cell r="L867">
            <v>0</v>
          </cell>
          <cell r="M867">
            <v>4080</v>
          </cell>
          <cell r="N867">
            <v>411246</v>
          </cell>
          <cell r="O867">
            <v>4</v>
          </cell>
          <cell r="P867">
            <v>2</v>
          </cell>
          <cell r="Q867">
            <v>1</v>
          </cell>
          <cell r="R867">
            <v>6</v>
          </cell>
          <cell r="S867">
            <v>50</v>
          </cell>
          <cell r="T867">
            <v>71.739130434782609</v>
          </cell>
          <cell r="U867">
            <v>4154</v>
          </cell>
          <cell r="V867">
            <v>143.47826086956522</v>
          </cell>
          <cell r="W867">
            <v>99</v>
          </cell>
          <cell r="X867">
            <v>1462</v>
          </cell>
          <cell r="Y867">
            <v>18</v>
          </cell>
          <cell r="Z867">
            <v>40</v>
          </cell>
        </row>
        <row r="868">
          <cell r="A868">
            <v>9224150</v>
          </cell>
          <cell r="B868" t="str">
            <v>幻影脚第1段</v>
          </cell>
          <cell r="C868" t="str">
            <v>幻影脚第1段</v>
          </cell>
          <cell r="D868">
            <v>2</v>
          </cell>
          <cell r="E868">
            <v>80</v>
          </cell>
          <cell r="F868" t="str">
            <v>第50级，共造成215.2%点伤害</v>
          </cell>
          <cell r="G868">
            <v>1</v>
          </cell>
          <cell r="H868">
            <v>1</v>
          </cell>
          <cell r="I868">
            <v>50</v>
          </cell>
          <cell r="J868">
            <v>2</v>
          </cell>
          <cell r="K868">
            <v>107.60869565217391</v>
          </cell>
          <cell r="L868">
            <v>0</v>
          </cell>
          <cell r="M868">
            <v>4000</v>
          </cell>
          <cell r="N868">
            <v>451772</v>
          </cell>
          <cell r="O868">
            <v>4</v>
          </cell>
          <cell r="P868">
            <v>2</v>
          </cell>
          <cell r="Q868">
            <v>1</v>
          </cell>
          <cell r="R868">
            <v>6</v>
          </cell>
          <cell r="S868">
            <v>50</v>
          </cell>
          <cell r="T868">
            <v>71.739130434782609</v>
          </cell>
          <cell r="U868">
            <v>4262</v>
          </cell>
          <cell r="V868">
            <v>143.47826086956522</v>
          </cell>
          <cell r="W868">
            <v>106</v>
          </cell>
          <cell r="X868">
            <v>1568</v>
          </cell>
          <cell r="Y868">
            <v>18</v>
          </cell>
          <cell r="Z868">
            <v>43</v>
          </cell>
        </row>
        <row r="869">
          <cell r="A869">
            <v>1</v>
          </cell>
          <cell r="B869" t="str">
            <v>幻影脚</v>
          </cell>
          <cell r="C869" t="str">
            <v>幻影脚第2段</v>
          </cell>
          <cell r="D869">
            <v>2</v>
          </cell>
          <cell r="E869">
            <v>6</v>
          </cell>
          <cell r="F869" t="str">
            <v>第0级，共造成143.5%点伤害</v>
          </cell>
          <cell r="G869">
            <v>0</v>
          </cell>
          <cell r="H869">
            <v>2</v>
          </cell>
          <cell r="I869">
            <v>0</v>
          </cell>
          <cell r="J869">
            <v>2</v>
          </cell>
          <cell r="K869">
            <v>47.826086956521742</v>
          </cell>
          <cell r="L869">
            <v>0</v>
          </cell>
          <cell r="M869">
            <v>8000</v>
          </cell>
          <cell r="N869">
            <v>0</v>
          </cell>
          <cell r="O869">
            <v>4</v>
          </cell>
          <cell r="P869">
            <v>3</v>
          </cell>
          <cell r="Q869">
            <v>1</v>
          </cell>
          <cell r="R869">
            <v>8</v>
          </cell>
          <cell r="S869">
            <v>50</v>
          </cell>
          <cell r="T869">
            <v>47.826086956521742</v>
          </cell>
          <cell r="U869">
            <v>80</v>
          </cell>
          <cell r="V869">
            <v>143.47826086956522</v>
          </cell>
          <cell r="W869">
            <v>0</v>
          </cell>
          <cell r="X869">
            <v>0</v>
          </cell>
          <cell r="Y869">
            <v>18</v>
          </cell>
          <cell r="Z869">
            <v>0</v>
          </cell>
        </row>
        <row r="870">
          <cell r="A870">
            <v>9224201</v>
          </cell>
          <cell r="B870" t="str">
            <v>幻影脚第2段</v>
          </cell>
          <cell r="C870" t="str">
            <v>幻影脚第2段</v>
          </cell>
          <cell r="D870">
            <v>2</v>
          </cell>
          <cell r="E870">
            <v>6</v>
          </cell>
          <cell r="F870" t="str">
            <v>第1级，共造成143.5%点伤害</v>
          </cell>
          <cell r="G870">
            <v>2</v>
          </cell>
          <cell r="H870">
            <v>2</v>
          </cell>
          <cell r="I870">
            <v>1</v>
          </cell>
          <cell r="J870">
            <v>2</v>
          </cell>
          <cell r="K870">
            <v>47.826086956521742</v>
          </cell>
          <cell r="L870">
            <v>0</v>
          </cell>
          <cell r="M870">
            <v>8000</v>
          </cell>
          <cell r="N870">
            <v>240</v>
          </cell>
          <cell r="O870">
            <v>4</v>
          </cell>
          <cell r="P870">
            <v>3</v>
          </cell>
          <cell r="Q870">
            <v>1</v>
          </cell>
          <cell r="R870">
            <v>8</v>
          </cell>
          <cell r="S870">
            <v>50</v>
          </cell>
          <cell r="T870">
            <v>47.826086956521742</v>
          </cell>
          <cell r="U870">
            <v>80</v>
          </cell>
          <cell r="V870">
            <v>143.47826086956522</v>
          </cell>
          <cell r="W870">
            <v>3</v>
          </cell>
          <cell r="X870">
            <v>3</v>
          </cell>
          <cell r="Y870">
            <v>18</v>
          </cell>
          <cell r="Z870">
            <v>0</v>
          </cell>
        </row>
        <row r="871">
          <cell r="A871">
            <v>9224202</v>
          </cell>
          <cell r="B871" t="str">
            <v>幻影脚第2段</v>
          </cell>
          <cell r="C871" t="str">
            <v>幻影脚第2段</v>
          </cell>
          <cell r="D871">
            <v>2</v>
          </cell>
          <cell r="E871">
            <v>11</v>
          </cell>
          <cell r="F871" t="str">
            <v>第2级，共造成146.3%点伤害</v>
          </cell>
          <cell r="G871">
            <v>2</v>
          </cell>
          <cell r="H871">
            <v>2</v>
          </cell>
          <cell r="I871">
            <v>2</v>
          </cell>
          <cell r="J871">
            <v>2</v>
          </cell>
          <cell r="K871">
            <v>48.782608695652179</v>
          </cell>
          <cell r="L871">
            <v>0</v>
          </cell>
          <cell r="M871">
            <v>7840</v>
          </cell>
          <cell r="N871">
            <v>440</v>
          </cell>
          <cell r="O871">
            <v>4</v>
          </cell>
          <cell r="P871">
            <v>3</v>
          </cell>
          <cell r="Q871">
            <v>1</v>
          </cell>
          <cell r="R871">
            <v>8</v>
          </cell>
          <cell r="S871">
            <v>50</v>
          </cell>
          <cell r="T871">
            <v>47.826086956521742</v>
          </cell>
          <cell r="U871">
            <v>110</v>
          </cell>
          <cell r="V871">
            <v>143.47826086956522</v>
          </cell>
          <cell r="W871">
            <v>4</v>
          </cell>
          <cell r="X871">
            <v>7</v>
          </cell>
          <cell r="Y871">
            <v>18</v>
          </cell>
          <cell r="Z871">
            <v>0</v>
          </cell>
        </row>
        <row r="872">
          <cell r="A872">
            <v>9224203</v>
          </cell>
          <cell r="B872" t="str">
            <v>幻影脚第2段</v>
          </cell>
          <cell r="C872" t="str">
            <v>幻影脚第2段</v>
          </cell>
          <cell r="D872">
            <v>2</v>
          </cell>
          <cell r="E872">
            <v>12</v>
          </cell>
          <cell r="F872" t="str">
            <v>第3级，共造成147.8%点伤害</v>
          </cell>
          <cell r="G872">
            <v>2</v>
          </cell>
          <cell r="H872">
            <v>2</v>
          </cell>
          <cell r="I872">
            <v>3</v>
          </cell>
          <cell r="J872">
            <v>2</v>
          </cell>
          <cell r="K872">
            <v>49.260869565217391</v>
          </cell>
          <cell r="L872">
            <v>0</v>
          </cell>
          <cell r="M872">
            <v>7760</v>
          </cell>
          <cell r="N872">
            <v>464</v>
          </cell>
          <cell r="O872">
            <v>4</v>
          </cell>
          <cell r="P872">
            <v>3</v>
          </cell>
          <cell r="Q872">
            <v>1</v>
          </cell>
          <cell r="R872">
            <v>8</v>
          </cell>
          <cell r="S872">
            <v>50</v>
          </cell>
          <cell r="T872">
            <v>47.826086956521742</v>
          </cell>
          <cell r="U872">
            <v>116</v>
          </cell>
          <cell r="V872">
            <v>143.47826086956522</v>
          </cell>
          <cell r="W872">
            <v>4</v>
          </cell>
          <cell r="X872">
            <v>11</v>
          </cell>
          <cell r="Y872">
            <v>18</v>
          </cell>
          <cell r="Z872">
            <v>0</v>
          </cell>
        </row>
        <row r="873">
          <cell r="A873">
            <v>9224204</v>
          </cell>
          <cell r="B873" t="str">
            <v>幻影脚第2段</v>
          </cell>
          <cell r="C873" t="str">
            <v>幻影脚第2段</v>
          </cell>
          <cell r="D873">
            <v>2</v>
          </cell>
          <cell r="E873">
            <v>14</v>
          </cell>
          <cell r="F873" t="str">
            <v>第4级，共造成149.2%点伤害</v>
          </cell>
          <cell r="G873">
            <v>2</v>
          </cell>
          <cell r="H873">
            <v>2</v>
          </cell>
          <cell r="I873">
            <v>4</v>
          </cell>
          <cell r="J873">
            <v>2</v>
          </cell>
          <cell r="K873">
            <v>49.739130434782609</v>
          </cell>
          <cell r="L873">
            <v>0</v>
          </cell>
          <cell r="M873">
            <v>7680</v>
          </cell>
          <cell r="N873">
            <v>512</v>
          </cell>
          <cell r="O873">
            <v>4</v>
          </cell>
          <cell r="P873">
            <v>3</v>
          </cell>
          <cell r="Q873">
            <v>1</v>
          </cell>
          <cell r="R873">
            <v>8</v>
          </cell>
          <cell r="S873">
            <v>50</v>
          </cell>
          <cell r="T873">
            <v>47.826086956521742</v>
          </cell>
          <cell r="U873">
            <v>128</v>
          </cell>
          <cell r="V873">
            <v>143.47826086956522</v>
          </cell>
          <cell r="W873">
            <v>4</v>
          </cell>
          <cell r="X873">
            <v>15</v>
          </cell>
          <cell r="Y873">
            <v>18</v>
          </cell>
          <cell r="Z873">
            <v>0</v>
          </cell>
        </row>
        <row r="874">
          <cell r="A874">
            <v>9224205</v>
          </cell>
          <cell r="B874" t="str">
            <v>幻影脚第2段</v>
          </cell>
          <cell r="C874" t="str">
            <v>幻影脚第2段</v>
          </cell>
          <cell r="D874">
            <v>2</v>
          </cell>
          <cell r="E874">
            <v>15</v>
          </cell>
          <cell r="F874" t="str">
            <v>第5级，共造成150.7%点伤害</v>
          </cell>
          <cell r="G874">
            <v>2</v>
          </cell>
          <cell r="H874">
            <v>2</v>
          </cell>
          <cell r="I874">
            <v>5</v>
          </cell>
          <cell r="J874">
            <v>2</v>
          </cell>
          <cell r="K874">
            <v>50.217391304347828</v>
          </cell>
          <cell r="L874">
            <v>0</v>
          </cell>
          <cell r="M874">
            <v>7600</v>
          </cell>
          <cell r="N874">
            <v>670</v>
          </cell>
          <cell r="O874">
            <v>4</v>
          </cell>
          <cell r="P874">
            <v>3</v>
          </cell>
          <cell r="Q874">
            <v>1</v>
          </cell>
          <cell r="R874">
            <v>8</v>
          </cell>
          <cell r="S874">
            <v>50</v>
          </cell>
          <cell r="T874">
            <v>47.826086956521742</v>
          </cell>
          <cell r="U874">
            <v>134</v>
          </cell>
          <cell r="V874">
            <v>143.47826086956522</v>
          </cell>
          <cell r="W874">
            <v>5</v>
          </cell>
          <cell r="X874">
            <v>20</v>
          </cell>
          <cell r="Y874">
            <v>18</v>
          </cell>
          <cell r="Z874">
            <v>0</v>
          </cell>
        </row>
        <row r="875">
          <cell r="A875">
            <v>9224206</v>
          </cell>
          <cell r="B875" t="str">
            <v>幻影脚第2段</v>
          </cell>
          <cell r="C875" t="str">
            <v>幻影脚第2段</v>
          </cell>
          <cell r="D875">
            <v>2</v>
          </cell>
          <cell r="E875">
            <v>17</v>
          </cell>
          <cell r="F875" t="str">
            <v>第6级，共造成152.1%点伤害</v>
          </cell>
          <cell r="G875">
            <v>2</v>
          </cell>
          <cell r="H875">
            <v>2</v>
          </cell>
          <cell r="I875">
            <v>6</v>
          </cell>
          <cell r="J875">
            <v>2</v>
          </cell>
          <cell r="K875">
            <v>50.695652173913047</v>
          </cell>
          <cell r="L875">
            <v>0</v>
          </cell>
          <cell r="M875">
            <v>7520</v>
          </cell>
          <cell r="N875">
            <v>730</v>
          </cell>
          <cell r="O875">
            <v>4</v>
          </cell>
          <cell r="P875">
            <v>3</v>
          </cell>
          <cell r="Q875">
            <v>1</v>
          </cell>
          <cell r="R875">
            <v>8</v>
          </cell>
          <cell r="S875">
            <v>50</v>
          </cell>
          <cell r="T875">
            <v>47.826086956521742</v>
          </cell>
          <cell r="U875">
            <v>146</v>
          </cell>
          <cell r="V875">
            <v>143.47826086956522</v>
          </cell>
          <cell r="W875">
            <v>5</v>
          </cell>
          <cell r="X875">
            <v>25</v>
          </cell>
          <cell r="Y875">
            <v>18</v>
          </cell>
          <cell r="Z875">
            <v>0</v>
          </cell>
        </row>
        <row r="876">
          <cell r="A876">
            <v>9224207</v>
          </cell>
          <cell r="B876" t="str">
            <v>幻影脚第2段</v>
          </cell>
          <cell r="C876" t="str">
            <v>幻影脚第2段</v>
          </cell>
          <cell r="D876">
            <v>2</v>
          </cell>
          <cell r="E876">
            <v>18</v>
          </cell>
          <cell r="F876" t="str">
            <v>第7级，共造成153.5%点伤害</v>
          </cell>
          <cell r="G876">
            <v>2</v>
          </cell>
          <cell r="H876">
            <v>2</v>
          </cell>
          <cell r="I876">
            <v>7</v>
          </cell>
          <cell r="J876">
            <v>2</v>
          </cell>
          <cell r="K876">
            <v>51.173913043478265</v>
          </cell>
          <cell r="L876">
            <v>0</v>
          </cell>
          <cell r="M876">
            <v>7440</v>
          </cell>
          <cell r="N876">
            <v>760</v>
          </cell>
          <cell r="O876">
            <v>4</v>
          </cell>
          <cell r="P876">
            <v>3</v>
          </cell>
          <cell r="Q876">
            <v>1</v>
          </cell>
          <cell r="R876">
            <v>8</v>
          </cell>
          <cell r="S876">
            <v>50</v>
          </cell>
          <cell r="T876">
            <v>47.826086956521742</v>
          </cell>
          <cell r="U876">
            <v>152</v>
          </cell>
          <cell r="V876">
            <v>143.47826086956522</v>
          </cell>
          <cell r="W876">
            <v>5</v>
          </cell>
          <cell r="X876">
            <v>30</v>
          </cell>
          <cell r="Y876">
            <v>18</v>
          </cell>
          <cell r="Z876">
            <v>0</v>
          </cell>
        </row>
        <row r="877">
          <cell r="A877">
            <v>9224208</v>
          </cell>
          <cell r="B877" t="str">
            <v>幻影脚第2段</v>
          </cell>
          <cell r="C877" t="str">
            <v>幻影脚第2段</v>
          </cell>
          <cell r="D877">
            <v>2</v>
          </cell>
          <cell r="E877">
            <v>20</v>
          </cell>
          <cell r="F877" t="str">
            <v>第8级，共造成155%点伤害</v>
          </cell>
          <cell r="G877">
            <v>2</v>
          </cell>
          <cell r="H877">
            <v>2</v>
          </cell>
          <cell r="I877">
            <v>8</v>
          </cell>
          <cell r="J877">
            <v>2</v>
          </cell>
          <cell r="K877">
            <v>51.652173913043484</v>
          </cell>
          <cell r="L877">
            <v>0</v>
          </cell>
          <cell r="M877">
            <v>7360</v>
          </cell>
          <cell r="N877">
            <v>1092</v>
          </cell>
          <cell r="O877">
            <v>4</v>
          </cell>
          <cell r="P877">
            <v>3</v>
          </cell>
          <cell r="Q877">
            <v>1</v>
          </cell>
          <cell r="R877">
            <v>8</v>
          </cell>
          <cell r="S877">
            <v>50</v>
          </cell>
          <cell r="T877">
            <v>47.826086956521742</v>
          </cell>
          <cell r="U877">
            <v>182</v>
          </cell>
          <cell r="V877">
            <v>143.47826086956522</v>
          </cell>
          <cell r="W877">
            <v>6</v>
          </cell>
          <cell r="X877">
            <v>36</v>
          </cell>
          <cell r="Y877">
            <v>18</v>
          </cell>
          <cell r="Z877">
            <v>0</v>
          </cell>
        </row>
        <row r="878">
          <cell r="A878">
            <v>9224209</v>
          </cell>
          <cell r="B878" t="str">
            <v>幻影脚第2段</v>
          </cell>
          <cell r="C878" t="str">
            <v>幻影脚第2段</v>
          </cell>
          <cell r="D878">
            <v>2</v>
          </cell>
          <cell r="E878">
            <v>21</v>
          </cell>
          <cell r="F878" t="str">
            <v>第9级，共造成156.4%点伤害</v>
          </cell>
          <cell r="G878">
            <v>2</v>
          </cell>
          <cell r="H878">
            <v>2</v>
          </cell>
          <cell r="I878">
            <v>9</v>
          </cell>
          <cell r="J878">
            <v>2</v>
          </cell>
          <cell r="K878">
            <v>52.130434782608702</v>
          </cell>
          <cell r="L878">
            <v>0</v>
          </cell>
          <cell r="M878">
            <v>7280</v>
          </cell>
          <cell r="N878">
            <v>1260</v>
          </cell>
          <cell r="O878">
            <v>4</v>
          </cell>
          <cell r="P878">
            <v>3</v>
          </cell>
          <cell r="Q878">
            <v>1</v>
          </cell>
          <cell r="R878">
            <v>8</v>
          </cell>
          <cell r="S878">
            <v>50</v>
          </cell>
          <cell r="T878">
            <v>47.826086956521742</v>
          </cell>
          <cell r="U878">
            <v>210</v>
          </cell>
          <cell r="V878">
            <v>143.47826086956522</v>
          </cell>
          <cell r="W878">
            <v>6</v>
          </cell>
          <cell r="X878">
            <v>42</v>
          </cell>
          <cell r="Y878">
            <v>18</v>
          </cell>
          <cell r="Z878">
            <v>0</v>
          </cell>
        </row>
        <row r="879">
          <cell r="A879">
            <v>9224210</v>
          </cell>
          <cell r="B879" t="str">
            <v>幻影脚第2段</v>
          </cell>
          <cell r="C879" t="str">
            <v>幻影脚第2段</v>
          </cell>
          <cell r="D879">
            <v>2</v>
          </cell>
          <cell r="E879">
            <v>22</v>
          </cell>
          <cell r="F879" t="str">
            <v>第10级，共造成157.8%点伤害</v>
          </cell>
          <cell r="G879">
            <v>2</v>
          </cell>
          <cell r="H879">
            <v>2</v>
          </cell>
          <cell r="I879">
            <v>10</v>
          </cell>
          <cell r="J879">
            <v>2</v>
          </cell>
          <cell r="K879">
            <v>52.608695652173914</v>
          </cell>
          <cell r="L879">
            <v>0</v>
          </cell>
          <cell r="M879">
            <v>7200</v>
          </cell>
          <cell r="N879">
            <v>1434</v>
          </cell>
          <cell r="O879">
            <v>4</v>
          </cell>
          <cell r="P879">
            <v>3</v>
          </cell>
          <cell r="Q879">
            <v>1</v>
          </cell>
          <cell r="R879">
            <v>8</v>
          </cell>
          <cell r="S879">
            <v>50</v>
          </cell>
          <cell r="T879">
            <v>47.826086956521742</v>
          </cell>
          <cell r="U879">
            <v>239</v>
          </cell>
          <cell r="V879">
            <v>143.47826086956522</v>
          </cell>
          <cell r="W879">
            <v>6</v>
          </cell>
          <cell r="X879">
            <v>48</v>
          </cell>
          <cell r="Y879">
            <v>18</v>
          </cell>
          <cell r="Z879">
            <v>0</v>
          </cell>
        </row>
        <row r="880">
          <cell r="A880">
            <v>9224211</v>
          </cell>
          <cell r="B880" t="str">
            <v>幻影脚第2段</v>
          </cell>
          <cell r="C880" t="str">
            <v>幻影脚第2段</v>
          </cell>
          <cell r="D880">
            <v>2</v>
          </cell>
          <cell r="E880">
            <v>24</v>
          </cell>
          <cell r="F880" t="str">
            <v>第11级，共造成159.3%点伤害</v>
          </cell>
          <cell r="G880">
            <v>2</v>
          </cell>
          <cell r="H880">
            <v>2</v>
          </cell>
          <cell r="I880">
            <v>11</v>
          </cell>
          <cell r="J880">
            <v>2</v>
          </cell>
          <cell r="K880">
            <v>53.086956521739133</v>
          </cell>
          <cell r="L880">
            <v>0</v>
          </cell>
          <cell r="M880">
            <v>7120</v>
          </cell>
          <cell r="N880">
            <v>2114</v>
          </cell>
          <cell r="O880">
            <v>4</v>
          </cell>
          <cell r="P880">
            <v>3</v>
          </cell>
          <cell r="Q880">
            <v>1</v>
          </cell>
          <cell r="R880">
            <v>8</v>
          </cell>
          <cell r="S880">
            <v>50</v>
          </cell>
          <cell r="T880">
            <v>47.826086956521742</v>
          </cell>
          <cell r="U880">
            <v>302</v>
          </cell>
          <cell r="V880">
            <v>143.47826086956522</v>
          </cell>
          <cell r="W880">
            <v>7</v>
          </cell>
          <cell r="X880">
            <v>55</v>
          </cell>
          <cell r="Y880">
            <v>18</v>
          </cell>
          <cell r="Z880">
            <v>0</v>
          </cell>
        </row>
        <row r="881">
          <cell r="A881">
            <v>9224212</v>
          </cell>
          <cell r="B881" t="str">
            <v>幻影脚第2段</v>
          </cell>
          <cell r="C881" t="str">
            <v>幻影脚第2段</v>
          </cell>
          <cell r="D881">
            <v>2</v>
          </cell>
          <cell r="E881">
            <v>25</v>
          </cell>
          <cell r="F881" t="str">
            <v>第12级，共造成160.7%点伤害</v>
          </cell>
          <cell r="G881">
            <v>2</v>
          </cell>
          <cell r="H881">
            <v>2</v>
          </cell>
          <cell r="I881">
            <v>12</v>
          </cell>
          <cell r="J881">
            <v>2</v>
          </cell>
          <cell r="K881">
            <v>53.565217391304351</v>
          </cell>
          <cell r="L881">
            <v>0</v>
          </cell>
          <cell r="M881">
            <v>7040</v>
          </cell>
          <cell r="N881">
            <v>2345</v>
          </cell>
          <cell r="O881">
            <v>4</v>
          </cell>
          <cell r="P881">
            <v>3</v>
          </cell>
          <cell r="Q881">
            <v>1</v>
          </cell>
          <cell r="R881">
            <v>8</v>
          </cell>
          <cell r="S881">
            <v>50</v>
          </cell>
          <cell r="T881">
            <v>47.826086956521742</v>
          </cell>
          <cell r="U881">
            <v>335</v>
          </cell>
          <cell r="V881">
            <v>143.47826086956522</v>
          </cell>
          <cell r="W881">
            <v>7</v>
          </cell>
          <cell r="X881">
            <v>62</v>
          </cell>
          <cell r="Y881">
            <v>18</v>
          </cell>
          <cell r="Z881">
            <v>0</v>
          </cell>
        </row>
        <row r="882">
          <cell r="A882">
            <v>9224213</v>
          </cell>
          <cell r="B882" t="str">
            <v>幻影脚第2段</v>
          </cell>
          <cell r="C882" t="str">
            <v>幻影脚第2段</v>
          </cell>
          <cell r="D882">
            <v>2</v>
          </cell>
          <cell r="E882">
            <v>27</v>
          </cell>
          <cell r="F882" t="str">
            <v>第13级，共造成162.1%点伤害</v>
          </cell>
          <cell r="G882">
            <v>2</v>
          </cell>
          <cell r="H882">
            <v>2</v>
          </cell>
          <cell r="I882">
            <v>13</v>
          </cell>
          <cell r="J882">
            <v>2</v>
          </cell>
          <cell r="K882">
            <v>54.04347826086957</v>
          </cell>
          <cell r="L882">
            <v>0</v>
          </cell>
          <cell r="M882">
            <v>6960</v>
          </cell>
          <cell r="N882">
            <v>3248</v>
          </cell>
          <cell r="O882">
            <v>4</v>
          </cell>
          <cell r="P882">
            <v>3</v>
          </cell>
          <cell r="Q882">
            <v>1</v>
          </cell>
          <cell r="R882">
            <v>8</v>
          </cell>
          <cell r="S882">
            <v>50</v>
          </cell>
          <cell r="T882">
            <v>47.826086956521742</v>
          </cell>
          <cell r="U882">
            <v>406</v>
          </cell>
          <cell r="V882">
            <v>143.47826086956522</v>
          </cell>
          <cell r="W882">
            <v>8</v>
          </cell>
          <cell r="X882">
            <v>70</v>
          </cell>
          <cell r="Y882">
            <v>18</v>
          </cell>
          <cell r="Z882">
            <v>0</v>
          </cell>
        </row>
        <row r="883">
          <cell r="A883">
            <v>9224214</v>
          </cell>
          <cell r="B883" t="str">
            <v>幻影脚第2段</v>
          </cell>
          <cell r="C883" t="str">
            <v>幻影脚第2段</v>
          </cell>
          <cell r="D883">
            <v>2</v>
          </cell>
          <cell r="E883">
            <v>28</v>
          </cell>
          <cell r="F883" t="str">
            <v>第14级，共造成163.6%点伤害</v>
          </cell>
          <cell r="G883">
            <v>2</v>
          </cell>
          <cell r="H883">
            <v>2</v>
          </cell>
          <cell r="I883">
            <v>14</v>
          </cell>
          <cell r="J883">
            <v>2</v>
          </cell>
          <cell r="K883">
            <v>54.521739130434788</v>
          </cell>
          <cell r="L883">
            <v>0</v>
          </cell>
          <cell r="M883">
            <v>6880</v>
          </cell>
          <cell r="N883">
            <v>3544</v>
          </cell>
          <cell r="O883">
            <v>4</v>
          </cell>
          <cell r="P883">
            <v>3</v>
          </cell>
          <cell r="Q883">
            <v>1</v>
          </cell>
          <cell r="R883">
            <v>8</v>
          </cell>
          <cell r="S883">
            <v>50</v>
          </cell>
          <cell r="T883">
            <v>47.826086956521742</v>
          </cell>
          <cell r="U883">
            <v>443</v>
          </cell>
          <cell r="V883">
            <v>143.47826086956522</v>
          </cell>
          <cell r="W883">
            <v>8</v>
          </cell>
          <cell r="X883">
            <v>78</v>
          </cell>
          <cell r="Y883">
            <v>18</v>
          </cell>
          <cell r="Z883">
            <v>0</v>
          </cell>
        </row>
        <row r="884">
          <cell r="A884">
            <v>9224215</v>
          </cell>
          <cell r="B884" t="str">
            <v>幻影脚第2段</v>
          </cell>
          <cell r="C884" t="str">
            <v>幻影脚第2段</v>
          </cell>
          <cell r="D884">
            <v>2</v>
          </cell>
          <cell r="E884">
            <v>30</v>
          </cell>
          <cell r="F884" t="str">
            <v>第15级，共造成165%点伤害</v>
          </cell>
          <cell r="G884">
            <v>2</v>
          </cell>
          <cell r="H884">
            <v>2</v>
          </cell>
          <cell r="I884">
            <v>15</v>
          </cell>
          <cell r="J884">
            <v>2</v>
          </cell>
          <cell r="K884">
            <v>55</v>
          </cell>
          <cell r="L884">
            <v>0</v>
          </cell>
          <cell r="M884">
            <v>6800</v>
          </cell>
          <cell r="N884">
            <v>4698</v>
          </cell>
          <cell r="O884">
            <v>4</v>
          </cell>
          <cell r="P884">
            <v>3</v>
          </cell>
          <cell r="Q884">
            <v>1</v>
          </cell>
          <cell r="R884">
            <v>8</v>
          </cell>
          <cell r="S884">
            <v>50</v>
          </cell>
          <cell r="T884">
            <v>47.826086956521742</v>
          </cell>
          <cell r="U884">
            <v>522</v>
          </cell>
          <cell r="V884">
            <v>143.47826086956522</v>
          </cell>
          <cell r="W884">
            <v>9</v>
          </cell>
          <cell r="X884">
            <v>87</v>
          </cell>
          <cell r="Y884">
            <v>18</v>
          </cell>
          <cell r="Z884">
            <v>0</v>
          </cell>
        </row>
        <row r="885">
          <cell r="A885">
            <v>9224216</v>
          </cell>
          <cell r="B885" t="str">
            <v>幻影脚第2段</v>
          </cell>
          <cell r="C885" t="str">
            <v>幻影脚第2段</v>
          </cell>
          <cell r="D885">
            <v>2</v>
          </cell>
          <cell r="E885">
            <v>31</v>
          </cell>
          <cell r="F885" t="str">
            <v>第16级，共造成166.4%点伤害</v>
          </cell>
          <cell r="G885">
            <v>2</v>
          </cell>
          <cell r="H885">
            <v>2</v>
          </cell>
          <cell r="I885">
            <v>16</v>
          </cell>
          <cell r="J885">
            <v>2</v>
          </cell>
          <cell r="K885">
            <v>55.478260869565219</v>
          </cell>
          <cell r="L885">
            <v>0</v>
          </cell>
          <cell r="M885">
            <v>6720</v>
          </cell>
          <cell r="N885">
            <v>5630</v>
          </cell>
          <cell r="O885">
            <v>4</v>
          </cell>
          <cell r="P885">
            <v>3</v>
          </cell>
          <cell r="Q885">
            <v>1</v>
          </cell>
          <cell r="R885">
            <v>8</v>
          </cell>
          <cell r="S885">
            <v>50</v>
          </cell>
          <cell r="T885">
            <v>47.826086956521742</v>
          </cell>
          <cell r="U885">
            <v>563</v>
          </cell>
          <cell r="V885">
            <v>143.47826086956522</v>
          </cell>
          <cell r="W885">
            <v>10</v>
          </cell>
          <cell r="X885">
            <v>97</v>
          </cell>
          <cell r="Y885">
            <v>18</v>
          </cell>
          <cell r="Z885">
            <v>0</v>
          </cell>
        </row>
        <row r="886">
          <cell r="A886">
            <v>9224217</v>
          </cell>
          <cell r="B886" t="str">
            <v>幻影脚第2段</v>
          </cell>
          <cell r="C886" t="str">
            <v>幻影脚第2段</v>
          </cell>
          <cell r="D886">
            <v>2</v>
          </cell>
          <cell r="E886">
            <v>32</v>
          </cell>
          <cell r="F886" t="str">
            <v>第17级，共造成167.9%点伤害</v>
          </cell>
          <cell r="G886">
            <v>2</v>
          </cell>
          <cell r="H886">
            <v>2</v>
          </cell>
          <cell r="I886">
            <v>17</v>
          </cell>
          <cell r="J886">
            <v>2</v>
          </cell>
          <cell r="K886">
            <v>55.956521739130437</v>
          </cell>
          <cell r="L886">
            <v>0</v>
          </cell>
          <cell r="M886">
            <v>6640</v>
          </cell>
          <cell r="N886">
            <v>6060</v>
          </cell>
          <cell r="O886">
            <v>4</v>
          </cell>
          <cell r="P886">
            <v>3</v>
          </cell>
          <cell r="Q886">
            <v>1</v>
          </cell>
          <cell r="R886">
            <v>8</v>
          </cell>
          <cell r="S886">
            <v>50</v>
          </cell>
          <cell r="T886">
            <v>47.826086956521742</v>
          </cell>
          <cell r="U886">
            <v>606</v>
          </cell>
          <cell r="V886">
            <v>143.47826086956522</v>
          </cell>
          <cell r="W886">
            <v>10</v>
          </cell>
          <cell r="X886">
            <v>107</v>
          </cell>
          <cell r="Y886">
            <v>18</v>
          </cell>
          <cell r="Z886">
            <v>0</v>
          </cell>
        </row>
        <row r="887">
          <cell r="A887">
            <v>9224218</v>
          </cell>
          <cell r="B887" t="str">
            <v>幻影脚第2段</v>
          </cell>
          <cell r="C887" t="str">
            <v>幻影脚第2段</v>
          </cell>
          <cell r="D887">
            <v>2</v>
          </cell>
          <cell r="E887">
            <v>34</v>
          </cell>
          <cell r="F887" t="str">
            <v>第18级，共造成169.3%点伤害</v>
          </cell>
          <cell r="G887">
            <v>2</v>
          </cell>
          <cell r="H887">
            <v>2</v>
          </cell>
          <cell r="I887">
            <v>18</v>
          </cell>
          <cell r="J887">
            <v>2</v>
          </cell>
          <cell r="K887">
            <v>56.434782608695656</v>
          </cell>
          <cell r="L887">
            <v>0</v>
          </cell>
          <cell r="M887">
            <v>6560</v>
          </cell>
          <cell r="N887">
            <v>7656</v>
          </cell>
          <cell r="O887">
            <v>4</v>
          </cell>
          <cell r="P887">
            <v>3</v>
          </cell>
          <cell r="Q887">
            <v>1</v>
          </cell>
          <cell r="R887">
            <v>8</v>
          </cell>
          <cell r="S887">
            <v>50</v>
          </cell>
          <cell r="T887">
            <v>47.826086956521742</v>
          </cell>
          <cell r="U887">
            <v>696</v>
          </cell>
          <cell r="V887">
            <v>143.47826086956522</v>
          </cell>
          <cell r="W887">
            <v>11</v>
          </cell>
          <cell r="X887">
            <v>118</v>
          </cell>
          <cell r="Y887">
            <v>18</v>
          </cell>
          <cell r="Z887">
            <v>5</v>
          </cell>
        </row>
        <row r="888">
          <cell r="A888">
            <v>9224219</v>
          </cell>
          <cell r="B888" t="str">
            <v>幻影脚第2段</v>
          </cell>
          <cell r="C888" t="str">
            <v>幻影脚第2段</v>
          </cell>
          <cell r="D888">
            <v>2</v>
          </cell>
          <cell r="E888">
            <v>35</v>
          </cell>
          <cell r="F888" t="str">
            <v>第19级，共造成170.7%点伤害</v>
          </cell>
          <cell r="G888">
            <v>2</v>
          </cell>
          <cell r="H888">
            <v>2</v>
          </cell>
          <cell r="I888">
            <v>19</v>
          </cell>
          <cell r="J888">
            <v>2</v>
          </cell>
          <cell r="K888">
            <v>56.913043478260875</v>
          </cell>
          <cell r="L888">
            <v>0</v>
          </cell>
          <cell r="M888">
            <v>6480</v>
          </cell>
          <cell r="N888">
            <v>8916</v>
          </cell>
          <cell r="O888">
            <v>4</v>
          </cell>
          <cell r="P888">
            <v>3</v>
          </cell>
          <cell r="Q888">
            <v>1</v>
          </cell>
          <cell r="R888">
            <v>8</v>
          </cell>
          <cell r="S888">
            <v>50</v>
          </cell>
          <cell r="T888">
            <v>47.826086956521742</v>
          </cell>
          <cell r="U888">
            <v>743</v>
          </cell>
          <cell r="V888">
            <v>143.47826086956522</v>
          </cell>
          <cell r="W888">
            <v>12</v>
          </cell>
          <cell r="X888">
            <v>130</v>
          </cell>
          <cell r="Y888">
            <v>18</v>
          </cell>
          <cell r="Z888">
            <v>5</v>
          </cell>
        </row>
        <row r="889">
          <cell r="A889">
            <v>9224220</v>
          </cell>
          <cell r="B889" t="str">
            <v>幻影脚第2段</v>
          </cell>
          <cell r="C889" t="str">
            <v>幻影脚第2段</v>
          </cell>
          <cell r="D889">
            <v>2</v>
          </cell>
          <cell r="E889">
            <v>37</v>
          </cell>
          <cell r="F889" t="str">
            <v>第20级，共造成172.2%点伤害</v>
          </cell>
          <cell r="G889">
            <v>2</v>
          </cell>
          <cell r="H889">
            <v>2</v>
          </cell>
          <cell r="I889">
            <v>20</v>
          </cell>
          <cell r="J889">
            <v>2</v>
          </cell>
          <cell r="K889">
            <v>57.391304347826093</v>
          </cell>
          <cell r="L889">
            <v>0</v>
          </cell>
          <cell r="M889">
            <v>6400</v>
          </cell>
          <cell r="N889">
            <v>10933</v>
          </cell>
          <cell r="O889">
            <v>4</v>
          </cell>
          <cell r="P889">
            <v>3</v>
          </cell>
          <cell r="Q889">
            <v>1</v>
          </cell>
          <cell r="R889">
            <v>8</v>
          </cell>
          <cell r="S889">
            <v>50</v>
          </cell>
          <cell r="T889">
            <v>47.826086956521742</v>
          </cell>
          <cell r="U889">
            <v>841</v>
          </cell>
          <cell r="V889">
            <v>143.47826086956522</v>
          </cell>
          <cell r="W889">
            <v>13</v>
          </cell>
          <cell r="X889">
            <v>143</v>
          </cell>
          <cell r="Y889">
            <v>18</v>
          </cell>
          <cell r="Z889">
            <v>6</v>
          </cell>
        </row>
        <row r="890">
          <cell r="A890">
            <v>9224221</v>
          </cell>
          <cell r="B890" t="str">
            <v>幻影脚第2段</v>
          </cell>
          <cell r="C890" t="str">
            <v>幻影脚第2段</v>
          </cell>
          <cell r="D890">
            <v>2</v>
          </cell>
          <cell r="E890">
            <v>38</v>
          </cell>
          <cell r="F890" t="str">
            <v>第21级，共造成173.6%点伤害</v>
          </cell>
          <cell r="G890">
            <v>2</v>
          </cell>
          <cell r="H890">
            <v>2</v>
          </cell>
          <cell r="I890">
            <v>21</v>
          </cell>
          <cell r="J890">
            <v>2</v>
          </cell>
          <cell r="K890">
            <v>57.869565217391312</v>
          </cell>
          <cell r="L890">
            <v>0</v>
          </cell>
          <cell r="M890">
            <v>6320</v>
          </cell>
          <cell r="N890">
            <v>11596</v>
          </cell>
          <cell r="O890">
            <v>4</v>
          </cell>
          <cell r="P890">
            <v>3</v>
          </cell>
          <cell r="Q890">
            <v>1</v>
          </cell>
          <cell r="R890">
            <v>8</v>
          </cell>
          <cell r="S890">
            <v>50</v>
          </cell>
          <cell r="T890">
            <v>47.826086956521742</v>
          </cell>
          <cell r="U890">
            <v>892</v>
          </cell>
          <cell r="V890">
            <v>143.47826086956522</v>
          </cell>
          <cell r="W890">
            <v>13</v>
          </cell>
          <cell r="X890">
            <v>156</v>
          </cell>
          <cell r="Y890">
            <v>18</v>
          </cell>
          <cell r="Z890">
            <v>6</v>
          </cell>
        </row>
        <row r="891">
          <cell r="A891">
            <v>9224222</v>
          </cell>
          <cell r="B891" t="str">
            <v>幻影脚第2段</v>
          </cell>
          <cell r="C891" t="str">
            <v>幻影脚第2段</v>
          </cell>
          <cell r="D891">
            <v>2</v>
          </cell>
          <cell r="E891">
            <v>40</v>
          </cell>
          <cell r="F891" t="str">
            <v>第22级，共造成175%点伤害</v>
          </cell>
          <cell r="G891">
            <v>2</v>
          </cell>
          <cell r="H891">
            <v>2</v>
          </cell>
          <cell r="I891">
            <v>22</v>
          </cell>
          <cell r="J891">
            <v>2</v>
          </cell>
          <cell r="K891">
            <v>58.347826086956523</v>
          </cell>
          <cell r="L891">
            <v>0</v>
          </cell>
          <cell r="M891">
            <v>6240</v>
          </cell>
          <cell r="N891">
            <v>13972</v>
          </cell>
          <cell r="O891">
            <v>4</v>
          </cell>
          <cell r="P891">
            <v>3</v>
          </cell>
          <cell r="Q891">
            <v>1</v>
          </cell>
          <cell r="R891">
            <v>8</v>
          </cell>
          <cell r="S891">
            <v>50</v>
          </cell>
          <cell r="T891">
            <v>47.826086956521742</v>
          </cell>
          <cell r="U891">
            <v>998</v>
          </cell>
          <cell r="V891">
            <v>143.47826086956522</v>
          </cell>
          <cell r="W891">
            <v>14</v>
          </cell>
          <cell r="X891">
            <v>170</v>
          </cell>
          <cell r="Y891">
            <v>18</v>
          </cell>
          <cell r="Z891">
            <v>6</v>
          </cell>
        </row>
        <row r="892">
          <cell r="A892">
            <v>9224223</v>
          </cell>
          <cell r="B892" t="str">
            <v>幻影脚第2段</v>
          </cell>
          <cell r="C892" t="str">
            <v>幻影脚第2段</v>
          </cell>
          <cell r="D892">
            <v>2</v>
          </cell>
          <cell r="E892">
            <v>41</v>
          </cell>
          <cell r="F892" t="str">
            <v>第23级，共造成176.5%点伤害</v>
          </cell>
          <cell r="G892">
            <v>2</v>
          </cell>
          <cell r="H892">
            <v>2</v>
          </cell>
          <cell r="I892">
            <v>23</v>
          </cell>
          <cell r="J892">
            <v>2</v>
          </cell>
          <cell r="K892">
            <v>58.826086956521742</v>
          </cell>
          <cell r="L892">
            <v>0</v>
          </cell>
          <cell r="M892">
            <v>6160</v>
          </cell>
          <cell r="N892">
            <v>15795</v>
          </cell>
          <cell r="O892">
            <v>4</v>
          </cell>
          <cell r="P892">
            <v>3</v>
          </cell>
          <cell r="Q892">
            <v>1</v>
          </cell>
          <cell r="R892">
            <v>8</v>
          </cell>
          <cell r="S892">
            <v>50</v>
          </cell>
          <cell r="T892">
            <v>47.826086956521742</v>
          </cell>
          <cell r="U892">
            <v>1053</v>
          </cell>
          <cell r="V892">
            <v>143.47826086956522</v>
          </cell>
          <cell r="W892">
            <v>15</v>
          </cell>
          <cell r="X892">
            <v>185</v>
          </cell>
          <cell r="Y892">
            <v>18</v>
          </cell>
          <cell r="Z892">
            <v>6</v>
          </cell>
        </row>
        <row r="893">
          <cell r="A893">
            <v>9224224</v>
          </cell>
          <cell r="B893" t="str">
            <v>幻影脚第2段</v>
          </cell>
          <cell r="C893" t="str">
            <v>幻影脚第2段</v>
          </cell>
          <cell r="D893">
            <v>2</v>
          </cell>
          <cell r="E893">
            <v>43</v>
          </cell>
          <cell r="F893" t="str">
            <v>第24级，共造成177.9%点伤害</v>
          </cell>
          <cell r="G893">
            <v>2</v>
          </cell>
          <cell r="H893">
            <v>2</v>
          </cell>
          <cell r="I893">
            <v>24</v>
          </cell>
          <cell r="J893">
            <v>2</v>
          </cell>
          <cell r="K893">
            <v>59.304347826086961</v>
          </cell>
          <cell r="L893">
            <v>0</v>
          </cell>
          <cell r="M893">
            <v>6080</v>
          </cell>
          <cell r="N893">
            <v>18672</v>
          </cell>
          <cell r="O893">
            <v>4</v>
          </cell>
          <cell r="P893">
            <v>3</v>
          </cell>
          <cell r="Q893">
            <v>1</v>
          </cell>
          <cell r="R893">
            <v>8</v>
          </cell>
          <cell r="S893">
            <v>50</v>
          </cell>
          <cell r="T893">
            <v>47.826086956521742</v>
          </cell>
          <cell r="U893">
            <v>1167</v>
          </cell>
          <cell r="V893">
            <v>143.47826086956522</v>
          </cell>
          <cell r="W893">
            <v>16</v>
          </cell>
          <cell r="X893">
            <v>201</v>
          </cell>
          <cell r="Y893">
            <v>18</v>
          </cell>
          <cell r="Z893">
            <v>7</v>
          </cell>
        </row>
        <row r="894">
          <cell r="A894">
            <v>9224225</v>
          </cell>
          <cell r="B894" t="str">
            <v>幻影脚第2段</v>
          </cell>
          <cell r="C894" t="str">
            <v>幻影脚第2段</v>
          </cell>
          <cell r="D894">
            <v>2</v>
          </cell>
          <cell r="E894">
            <v>44</v>
          </cell>
          <cell r="F894" t="str">
            <v>第25级，共造成179.3%点伤害</v>
          </cell>
          <cell r="G894">
            <v>2</v>
          </cell>
          <cell r="H894">
            <v>2</v>
          </cell>
          <cell r="I894">
            <v>25</v>
          </cell>
          <cell r="J894">
            <v>2</v>
          </cell>
          <cell r="K894">
            <v>59.782608695652179</v>
          </cell>
          <cell r="L894">
            <v>0</v>
          </cell>
          <cell r="M894">
            <v>6000</v>
          </cell>
          <cell r="N894">
            <v>22068</v>
          </cell>
          <cell r="O894">
            <v>4</v>
          </cell>
          <cell r="P894">
            <v>3</v>
          </cell>
          <cell r="Q894">
            <v>1</v>
          </cell>
          <cell r="R894">
            <v>8</v>
          </cell>
          <cell r="S894">
            <v>50</v>
          </cell>
          <cell r="T894">
            <v>47.826086956521742</v>
          </cell>
          <cell r="U894">
            <v>1226</v>
          </cell>
          <cell r="V894">
            <v>143.47826086956522</v>
          </cell>
          <cell r="W894">
            <v>18</v>
          </cell>
          <cell r="X894">
            <v>219</v>
          </cell>
          <cell r="Y894">
            <v>18</v>
          </cell>
          <cell r="Z894">
            <v>8</v>
          </cell>
        </row>
        <row r="895">
          <cell r="A895">
            <v>9224226</v>
          </cell>
          <cell r="B895" t="str">
            <v>幻影脚第2段</v>
          </cell>
          <cell r="C895" t="str">
            <v>幻影脚第2段</v>
          </cell>
          <cell r="D895">
            <v>2</v>
          </cell>
          <cell r="E895">
            <v>45</v>
          </cell>
          <cell r="F895" t="str">
            <v>第26级，共造成180.8%点伤害</v>
          </cell>
          <cell r="G895">
            <v>2</v>
          </cell>
          <cell r="H895">
            <v>2</v>
          </cell>
          <cell r="I895">
            <v>26</v>
          </cell>
          <cell r="J895">
            <v>2</v>
          </cell>
          <cell r="K895">
            <v>60.260869565217391</v>
          </cell>
          <cell r="L895">
            <v>0</v>
          </cell>
          <cell r="M895">
            <v>5920</v>
          </cell>
          <cell r="N895">
            <v>24453</v>
          </cell>
          <cell r="O895">
            <v>4</v>
          </cell>
          <cell r="P895">
            <v>3</v>
          </cell>
          <cell r="Q895">
            <v>1</v>
          </cell>
          <cell r="R895">
            <v>8</v>
          </cell>
          <cell r="S895">
            <v>50</v>
          </cell>
          <cell r="T895">
            <v>47.826086956521742</v>
          </cell>
          <cell r="U895">
            <v>1287</v>
          </cell>
          <cell r="V895">
            <v>143.47826086956522</v>
          </cell>
          <cell r="W895">
            <v>19</v>
          </cell>
          <cell r="X895">
            <v>238</v>
          </cell>
          <cell r="Y895">
            <v>18</v>
          </cell>
          <cell r="Z895">
            <v>8</v>
          </cell>
        </row>
        <row r="896">
          <cell r="A896">
            <v>9224227</v>
          </cell>
          <cell r="B896" t="str">
            <v>幻影脚第2段</v>
          </cell>
          <cell r="C896" t="str">
            <v>幻影脚第2段</v>
          </cell>
          <cell r="D896">
            <v>2</v>
          </cell>
          <cell r="E896">
            <v>47</v>
          </cell>
          <cell r="F896" t="str">
            <v>第27级，共造成182.2%点伤害</v>
          </cell>
          <cell r="G896">
            <v>2</v>
          </cell>
          <cell r="H896">
            <v>2</v>
          </cell>
          <cell r="I896">
            <v>27</v>
          </cell>
          <cell r="J896">
            <v>2</v>
          </cell>
          <cell r="K896">
            <v>60.739130434782609</v>
          </cell>
          <cell r="L896">
            <v>0</v>
          </cell>
          <cell r="M896">
            <v>5840</v>
          </cell>
          <cell r="N896">
            <v>28240</v>
          </cell>
          <cell r="O896">
            <v>4</v>
          </cell>
          <cell r="P896">
            <v>3</v>
          </cell>
          <cell r="Q896">
            <v>1</v>
          </cell>
          <cell r="R896">
            <v>8</v>
          </cell>
          <cell r="S896">
            <v>50</v>
          </cell>
          <cell r="T896">
            <v>47.826086956521742</v>
          </cell>
          <cell r="U896">
            <v>1412</v>
          </cell>
          <cell r="V896">
            <v>143.47826086956522</v>
          </cell>
          <cell r="W896">
            <v>20</v>
          </cell>
          <cell r="X896">
            <v>258</v>
          </cell>
          <cell r="Y896">
            <v>18</v>
          </cell>
          <cell r="Z896">
            <v>8</v>
          </cell>
        </row>
        <row r="897">
          <cell r="A897">
            <v>9224228</v>
          </cell>
          <cell r="B897" t="str">
            <v>幻影脚第2段</v>
          </cell>
          <cell r="C897" t="str">
            <v>幻影脚第2段</v>
          </cell>
          <cell r="D897">
            <v>2</v>
          </cell>
          <cell r="E897">
            <v>48</v>
          </cell>
          <cell r="F897" t="str">
            <v>第28级，共造成183.7%点伤害</v>
          </cell>
          <cell r="G897">
            <v>2</v>
          </cell>
          <cell r="H897">
            <v>2</v>
          </cell>
          <cell r="I897">
            <v>28</v>
          </cell>
          <cell r="J897">
            <v>2</v>
          </cell>
          <cell r="K897">
            <v>61.217391304347828</v>
          </cell>
          <cell r="L897">
            <v>0</v>
          </cell>
          <cell r="M897">
            <v>5760</v>
          </cell>
          <cell r="N897">
            <v>31017</v>
          </cell>
          <cell r="O897">
            <v>4</v>
          </cell>
          <cell r="P897">
            <v>3</v>
          </cell>
          <cell r="Q897">
            <v>1</v>
          </cell>
          <cell r="R897">
            <v>8</v>
          </cell>
          <cell r="S897">
            <v>50</v>
          </cell>
          <cell r="T897">
            <v>47.826086956521742</v>
          </cell>
          <cell r="U897">
            <v>1477</v>
          </cell>
          <cell r="V897">
            <v>143.47826086956522</v>
          </cell>
          <cell r="W897">
            <v>21</v>
          </cell>
          <cell r="X897">
            <v>279</v>
          </cell>
          <cell r="Y897">
            <v>18</v>
          </cell>
          <cell r="Z897">
            <v>9</v>
          </cell>
        </row>
        <row r="898">
          <cell r="A898">
            <v>9224229</v>
          </cell>
          <cell r="B898" t="str">
            <v>幻影脚第2段</v>
          </cell>
          <cell r="C898" t="str">
            <v>幻影脚第2段</v>
          </cell>
          <cell r="D898">
            <v>2</v>
          </cell>
          <cell r="E898">
            <v>50</v>
          </cell>
          <cell r="F898" t="str">
            <v>第29级，共造成185.1%点伤害</v>
          </cell>
          <cell r="G898">
            <v>2</v>
          </cell>
          <cell r="H898">
            <v>2</v>
          </cell>
          <cell r="I898">
            <v>29</v>
          </cell>
          <cell r="J898">
            <v>2</v>
          </cell>
          <cell r="K898">
            <v>61.695652173913047</v>
          </cell>
          <cell r="L898">
            <v>0</v>
          </cell>
          <cell r="M898">
            <v>5680</v>
          </cell>
          <cell r="N898">
            <v>37030</v>
          </cell>
          <cell r="O898">
            <v>4</v>
          </cell>
          <cell r="P898">
            <v>3</v>
          </cell>
          <cell r="Q898">
            <v>1</v>
          </cell>
          <cell r="R898">
            <v>8</v>
          </cell>
          <cell r="S898">
            <v>50</v>
          </cell>
          <cell r="T898">
            <v>47.826086956521742</v>
          </cell>
          <cell r="U898">
            <v>1610</v>
          </cell>
          <cell r="V898">
            <v>143.47826086956522</v>
          </cell>
          <cell r="W898">
            <v>23</v>
          </cell>
          <cell r="X898">
            <v>302</v>
          </cell>
          <cell r="Y898">
            <v>18</v>
          </cell>
          <cell r="Z898">
            <v>10</v>
          </cell>
        </row>
        <row r="899">
          <cell r="A899">
            <v>9224230</v>
          </cell>
          <cell r="B899" t="str">
            <v>幻影脚第2段</v>
          </cell>
          <cell r="C899" t="str">
            <v>幻影脚第2段</v>
          </cell>
          <cell r="D899">
            <v>2</v>
          </cell>
          <cell r="E899">
            <v>51</v>
          </cell>
          <cell r="F899" t="str">
            <v>第30级，共造成186.5%点伤害</v>
          </cell>
          <cell r="G899">
            <v>2</v>
          </cell>
          <cell r="H899">
            <v>2</v>
          </cell>
          <cell r="I899">
            <v>30</v>
          </cell>
          <cell r="J899">
            <v>2</v>
          </cell>
          <cell r="K899">
            <v>62.173913043478265</v>
          </cell>
          <cell r="L899">
            <v>0</v>
          </cell>
          <cell r="M899">
            <v>5600</v>
          </cell>
          <cell r="N899">
            <v>41975</v>
          </cell>
          <cell r="O899">
            <v>4</v>
          </cell>
          <cell r="P899">
            <v>3</v>
          </cell>
          <cell r="Q899">
            <v>1</v>
          </cell>
          <cell r="R899">
            <v>8</v>
          </cell>
          <cell r="S899">
            <v>50</v>
          </cell>
          <cell r="T899">
            <v>47.826086956521742</v>
          </cell>
          <cell r="U899">
            <v>1679</v>
          </cell>
          <cell r="V899">
            <v>143.47826086956522</v>
          </cell>
          <cell r="W899">
            <v>25</v>
          </cell>
          <cell r="X899">
            <v>327</v>
          </cell>
          <cell r="Y899">
            <v>18</v>
          </cell>
          <cell r="Z899">
            <v>10</v>
          </cell>
        </row>
        <row r="900">
          <cell r="A900">
            <v>9224231</v>
          </cell>
          <cell r="B900" t="str">
            <v>幻影脚第2段</v>
          </cell>
          <cell r="C900" t="str">
            <v>幻影脚第2段</v>
          </cell>
          <cell r="D900">
            <v>2</v>
          </cell>
          <cell r="E900">
            <v>53</v>
          </cell>
          <cell r="F900" t="str">
            <v>第31级，共造成188%点伤害</v>
          </cell>
          <cell r="G900">
            <v>2</v>
          </cell>
          <cell r="H900">
            <v>2</v>
          </cell>
          <cell r="I900">
            <v>31</v>
          </cell>
          <cell r="J900">
            <v>2</v>
          </cell>
          <cell r="K900">
            <v>62.652173913043484</v>
          </cell>
          <cell r="L900">
            <v>0</v>
          </cell>
          <cell r="M900">
            <v>5520</v>
          </cell>
          <cell r="N900">
            <v>47320</v>
          </cell>
          <cell r="O900">
            <v>4</v>
          </cell>
          <cell r="P900">
            <v>3</v>
          </cell>
          <cell r="Q900">
            <v>1</v>
          </cell>
          <cell r="R900">
            <v>8</v>
          </cell>
          <cell r="S900">
            <v>50</v>
          </cell>
          <cell r="T900">
            <v>47.826086956521742</v>
          </cell>
          <cell r="U900">
            <v>1820</v>
          </cell>
          <cell r="V900">
            <v>143.47826086956522</v>
          </cell>
          <cell r="W900">
            <v>26</v>
          </cell>
          <cell r="X900">
            <v>353</v>
          </cell>
          <cell r="Y900">
            <v>18</v>
          </cell>
          <cell r="Z900">
            <v>11</v>
          </cell>
        </row>
        <row r="901">
          <cell r="A901">
            <v>9224232</v>
          </cell>
          <cell r="B901" t="str">
            <v>幻影脚第2段</v>
          </cell>
          <cell r="C901" t="str">
            <v>幻影脚第2段</v>
          </cell>
          <cell r="D901">
            <v>2</v>
          </cell>
          <cell r="E901">
            <v>54</v>
          </cell>
          <cell r="F901" t="str">
            <v>第32级，共造成189.4%点伤害</v>
          </cell>
          <cell r="G901">
            <v>2</v>
          </cell>
          <cell r="H901">
            <v>2</v>
          </cell>
          <cell r="I901">
            <v>32</v>
          </cell>
          <cell r="J901">
            <v>2</v>
          </cell>
          <cell r="K901">
            <v>63.130434782608702</v>
          </cell>
          <cell r="L901">
            <v>0</v>
          </cell>
          <cell r="M901">
            <v>5440</v>
          </cell>
          <cell r="N901">
            <v>53004</v>
          </cell>
          <cell r="O901">
            <v>4</v>
          </cell>
          <cell r="P901">
            <v>3</v>
          </cell>
          <cell r="Q901">
            <v>1</v>
          </cell>
          <cell r="R901">
            <v>8</v>
          </cell>
          <cell r="S901">
            <v>50</v>
          </cell>
          <cell r="T901">
            <v>47.826086956521742</v>
          </cell>
          <cell r="U901">
            <v>1893</v>
          </cell>
          <cell r="V901">
            <v>143.47826086956522</v>
          </cell>
          <cell r="W901">
            <v>28</v>
          </cell>
          <cell r="X901">
            <v>381</v>
          </cell>
          <cell r="Y901">
            <v>18</v>
          </cell>
          <cell r="Z901">
            <v>12</v>
          </cell>
        </row>
        <row r="902">
          <cell r="A902">
            <v>9224233</v>
          </cell>
          <cell r="B902" t="str">
            <v>幻影脚第2段</v>
          </cell>
          <cell r="C902" t="str">
            <v>幻影脚第2段</v>
          </cell>
          <cell r="D902">
            <v>2</v>
          </cell>
          <cell r="E902">
            <v>56</v>
          </cell>
          <cell r="F902" t="str">
            <v>第33级，共造成190.8%点伤害</v>
          </cell>
          <cell r="G902">
            <v>2</v>
          </cell>
          <cell r="H902">
            <v>2</v>
          </cell>
          <cell r="I902">
            <v>33</v>
          </cell>
          <cell r="J902">
            <v>2</v>
          </cell>
          <cell r="K902">
            <v>63.608695652173914</v>
          </cell>
          <cell r="L902">
            <v>0</v>
          </cell>
          <cell r="M902">
            <v>5360</v>
          </cell>
          <cell r="N902">
            <v>61260</v>
          </cell>
          <cell r="O902">
            <v>4</v>
          </cell>
          <cell r="P902">
            <v>3</v>
          </cell>
          <cell r="Q902">
            <v>1</v>
          </cell>
          <cell r="R902">
            <v>8</v>
          </cell>
          <cell r="S902">
            <v>50</v>
          </cell>
          <cell r="T902">
            <v>47.826086956521742</v>
          </cell>
          <cell r="U902">
            <v>2042</v>
          </cell>
          <cell r="V902">
            <v>143.47826086956522</v>
          </cell>
          <cell r="W902">
            <v>30</v>
          </cell>
          <cell r="X902">
            <v>411</v>
          </cell>
          <cell r="Y902">
            <v>18</v>
          </cell>
          <cell r="Z902">
            <v>12</v>
          </cell>
        </row>
        <row r="903">
          <cell r="A903">
            <v>9224234</v>
          </cell>
          <cell r="B903" t="str">
            <v>幻影脚第2段</v>
          </cell>
          <cell r="C903" t="str">
            <v>幻影脚第2段</v>
          </cell>
          <cell r="D903">
            <v>2</v>
          </cell>
          <cell r="E903">
            <v>57</v>
          </cell>
          <cell r="F903" t="str">
            <v>第34级，共造成192.3%点伤害</v>
          </cell>
          <cell r="G903">
            <v>2</v>
          </cell>
          <cell r="H903">
            <v>2</v>
          </cell>
          <cell r="I903">
            <v>34</v>
          </cell>
          <cell r="J903">
            <v>2</v>
          </cell>
          <cell r="K903">
            <v>64.086956521739125</v>
          </cell>
          <cell r="L903">
            <v>0</v>
          </cell>
          <cell r="M903">
            <v>5280</v>
          </cell>
          <cell r="N903">
            <v>67808</v>
          </cell>
          <cell r="O903">
            <v>4</v>
          </cell>
          <cell r="P903">
            <v>3</v>
          </cell>
          <cell r="Q903">
            <v>1</v>
          </cell>
          <cell r="R903">
            <v>8</v>
          </cell>
          <cell r="S903">
            <v>50</v>
          </cell>
          <cell r="T903">
            <v>47.826086956521742</v>
          </cell>
          <cell r="U903">
            <v>2119</v>
          </cell>
          <cell r="V903">
            <v>143.47826086956522</v>
          </cell>
          <cell r="W903">
            <v>32</v>
          </cell>
          <cell r="X903">
            <v>443</v>
          </cell>
          <cell r="Y903">
            <v>18</v>
          </cell>
          <cell r="Z903">
            <v>13</v>
          </cell>
        </row>
        <row r="904">
          <cell r="A904">
            <v>9224235</v>
          </cell>
          <cell r="B904" t="str">
            <v>幻影脚第2段</v>
          </cell>
          <cell r="C904" t="str">
            <v>幻影脚第2段</v>
          </cell>
          <cell r="D904">
            <v>2</v>
          </cell>
          <cell r="E904">
            <v>58</v>
          </cell>
          <cell r="F904" t="str">
            <v>第35级，共造成193.7%点伤害</v>
          </cell>
          <cell r="G904">
            <v>2</v>
          </cell>
          <cell r="H904">
            <v>2</v>
          </cell>
          <cell r="I904">
            <v>35</v>
          </cell>
          <cell r="J904">
            <v>2</v>
          </cell>
          <cell r="K904">
            <v>64.565217391304344</v>
          </cell>
          <cell r="L904">
            <v>0</v>
          </cell>
          <cell r="M904">
            <v>5200</v>
          </cell>
          <cell r="N904">
            <v>74732</v>
          </cell>
          <cell r="O904">
            <v>4</v>
          </cell>
          <cell r="P904">
            <v>3</v>
          </cell>
          <cell r="Q904">
            <v>1</v>
          </cell>
          <cell r="R904">
            <v>8</v>
          </cell>
          <cell r="S904">
            <v>50</v>
          </cell>
          <cell r="T904">
            <v>47.826086956521742</v>
          </cell>
          <cell r="U904">
            <v>2198</v>
          </cell>
          <cell r="V904">
            <v>143.47826086956522</v>
          </cell>
          <cell r="W904">
            <v>34</v>
          </cell>
          <cell r="X904">
            <v>477</v>
          </cell>
          <cell r="Y904">
            <v>18</v>
          </cell>
          <cell r="Z904">
            <v>14</v>
          </cell>
        </row>
        <row r="905">
          <cell r="A905">
            <v>9224236</v>
          </cell>
          <cell r="B905" t="str">
            <v>幻影脚第2段</v>
          </cell>
          <cell r="C905" t="str">
            <v>幻影脚第2段</v>
          </cell>
          <cell r="D905">
            <v>2</v>
          </cell>
          <cell r="E905">
            <v>60</v>
          </cell>
          <cell r="F905" t="str">
            <v>第36级，共造成195.1%点伤害</v>
          </cell>
          <cell r="G905">
            <v>2</v>
          </cell>
          <cell r="H905">
            <v>2</v>
          </cell>
          <cell r="I905">
            <v>36</v>
          </cell>
          <cell r="J905">
            <v>2</v>
          </cell>
          <cell r="K905">
            <v>65.043478260869563</v>
          </cell>
          <cell r="L905">
            <v>0</v>
          </cell>
          <cell r="M905">
            <v>5120</v>
          </cell>
          <cell r="N905">
            <v>87246</v>
          </cell>
          <cell r="O905">
            <v>4</v>
          </cell>
          <cell r="P905">
            <v>3</v>
          </cell>
          <cell r="Q905">
            <v>1</v>
          </cell>
          <cell r="R905">
            <v>8</v>
          </cell>
          <cell r="S905">
            <v>50</v>
          </cell>
          <cell r="T905">
            <v>47.826086956521742</v>
          </cell>
          <cell r="U905">
            <v>2358</v>
          </cell>
          <cell r="V905">
            <v>143.47826086956522</v>
          </cell>
          <cell r="W905">
            <v>37</v>
          </cell>
          <cell r="X905">
            <v>514</v>
          </cell>
          <cell r="Y905">
            <v>18</v>
          </cell>
          <cell r="Z905">
            <v>15</v>
          </cell>
        </row>
        <row r="906">
          <cell r="A906">
            <v>9224237</v>
          </cell>
          <cell r="B906" t="str">
            <v>幻影脚第2段</v>
          </cell>
          <cell r="C906" t="str">
            <v>幻影脚第2段</v>
          </cell>
          <cell r="D906">
            <v>2</v>
          </cell>
          <cell r="E906">
            <v>61</v>
          </cell>
          <cell r="F906" t="str">
            <v>第37级，共造成196.6%点伤害</v>
          </cell>
          <cell r="G906">
            <v>2</v>
          </cell>
          <cell r="H906">
            <v>2</v>
          </cell>
          <cell r="I906">
            <v>37</v>
          </cell>
          <cell r="J906">
            <v>2</v>
          </cell>
          <cell r="K906">
            <v>65.521739130434781</v>
          </cell>
          <cell r="L906">
            <v>0</v>
          </cell>
          <cell r="M906">
            <v>5040</v>
          </cell>
          <cell r="N906">
            <v>95160</v>
          </cell>
          <cell r="O906">
            <v>4</v>
          </cell>
          <cell r="P906">
            <v>3</v>
          </cell>
          <cell r="Q906">
            <v>1</v>
          </cell>
          <cell r="R906">
            <v>8</v>
          </cell>
          <cell r="S906">
            <v>50</v>
          </cell>
          <cell r="T906">
            <v>47.826086956521742</v>
          </cell>
          <cell r="U906">
            <v>2440</v>
          </cell>
          <cell r="V906">
            <v>143.47826086956522</v>
          </cell>
          <cell r="W906">
            <v>39</v>
          </cell>
          <cell r="X906">
            <v>553</v>
          </cell>
          <cell r="Y906">
            <v>18</v>
          </cell>
          <cell r="Z906">
            <v>16</v>
          </cell>
        </row>
        <row r="907">
          <cell r="A907">
            <v>9224238</v>
          </cell>
          <cell r="B907" t="str">
            <v>幻影脚第2段</v>
          </cell>
          <cell r="C907" t="str">
            <v>幻影脚第2段</v>
          </cell>
          <cell r="D907">
            <v>2</v>
          </cell>
          <cell r="E907">
            <v>63</v>
          </cell>
          <cell r="F907" t="str">
            <v>第38级，共造成198%点伤害</v>
          </cell>
          <cell r="G907">
            <v>2</v>
          </cell>
          <cell r="H907">
            <v>2</v>
          </cell>
          <cell r="I907">
            <v>38</v>
          </cell>
          <cell r="J907">
            <v>2</v>
          </cell>
          <cell r="K907">
            <v>66</v>
          </cell>
          <cell r="L907">
            <v>0</v>
          </cell>
          <cell r="M907">
            <v>4960</v>
          </cell>
          <cell r="N907">
            <v>109578</v>
          </cell>
          <cell r="O907">
            <v>4</v>
          </cell>
          <cell r="P907">
            <v>3</v>
          </cell>
          <cell r="Q907">
            <v>1</v>
          </cell>
          <cell r="R907">
            <v>8</v>
          </cell>
          <cell r="S907">
            <v>50</v>
          </cell>
          <cell r="T907">
            <v>47.826086956521742</v>
          </cell>
          <cell r="U907">
            <v>2609</v>
          </cell>
          <cell r="V907">
            <v>143.47826086956522</v>
          </cell>
          <cell r="W907">
            <v>42</v>
          </cell>
          <cell r="X907">
            <v>595</v>
          </cell>
          <cell r="Y907">
            <v>18</v>
          </cell>
          <cell r="Z907">
            <v>17</v>
          </cell>
        </row>
        <row r="908">
          <cell r="A908">
            <v>9224239</v>
          </cell>
          <cell r="B908" t="str">
            <v>幻影脚第2段</v>
          </cell>
          <cell r="C908" t="str">
            <v>幻影脚第2段</v>
          </cell>
          <cell r="D908">
            <v>2</v>
          </cell>
          <cell r="E908">
            <v>64</v>
          </cell>
          <cell r="F908" t="str">
            <v>第39级，共造成199.4%点伤害</v>
          </cell>
          <cell r="G908">
            <v>2</v>
          </cell>
          <cell r="H908">
            <v>2</v>
          </cell>
          <cell r="I908">
            <v>39</v>
          </cell>
          <cell r="J908">
            <v>2</v>
          </cell>
          <cell r="K908">
            <v>66.478260869565219</v>
          </cell>
          <cell r="L908">
            <v>0</v>
          </cell>
          <cell r="M908">
            <v>4880</v>
          </cell>
          <cell r="N908">
            <v>121275</v>
          </cell>
          <cell r="O908">
            <v>4</v>
          </cell>
          <cell r="P908">
            <v>3</v>
          </cell>
          <cell r="Q908">
            <v>1</v>
          </cell>
          <cell r="R908">
            <v>8</v>
          </cell>
          <cell r="S908">
            <v>50</v>
          </cell>
          <cell r="T908">
            <v>47.826086956521742</v>
          </cell>
          <cell r="U908">
            <v>2695</v>
          </cell>
          <cell r="V908">
            <v>143.47826086956522</v>
          </cell>
          <cell r="W908">
            <v>45</v>
          </cell>
          <cell r="X908">
            <v>640</v>
          </cell>
          <cell r="Y908">
            <v>18</v>
          </cell>
          <cell r="Z908">
            <v>18</v>
          </cell>
        </row>
        <row r="909">
          <cell r="A909">
            <v>9224240</v>
          </cell>
          <cell r="B909" t="str">
            <v>幻影脚第2段</v>
          </cell>
          <cell r="C909" t="str">
            <v>幻影脚第2段</v>
          </cell>
          <cell r="D909">
            <v>2</v>
          </cell>
          <cell r="E909">
            <v>66</v>
          </cell>
          <cell r="F909" t="str">
            <v>第40级，共造成200.9%点伤害</v>
          </cell>
          <cell r="G909">
            <v>2</v>
          </cell>
          <cell r="H909">
            <v>2</v>
          </cell>
          <cell r="I909">
            <v>40</v>
          </cell>
          <cell r="J909">
            <v>2</v>
          </cell>
          <cell r="K909">
            <v>66.956521739130437</v>
          </cell>
          <cell r="L909">
            <v>0</v>
          </cell>
          <cell r="M909">
            <v>4800</v>
          </cell>
          <cell r="N909">
            <v>137856</v>
          </cell>
          <cell r="O909">
            <v>4</v>
          </cell>
          <cell r="P909">
            <v>3</v>
          </cell>
          <cell r="Q909">
            <v>1</v>
          </cell>
          <cell r="R909">
            <v>8</v>
          </cell>
          <cell r="S909">
            <v>50</v>
          </cell>
          <cell r="T909">
            <v>47.826086956521742</v>
          </cell>
          <cell r="U909">
            <v>2872</v>
          </cell>
          <cell r="V909">
            <v>143.47826086956522</v>
          </cell>
          <cell r="W909">
            <v>48</v>
          </cell>
          <cell r="X909">
            <v>688</v>
          </cell>
          <cell r="Y909">
            <v>18</v>
          </cell>
          <cell r="Z909">
            <v>20</v>
          </cell>
        </row>
        <row r="910">
          <cell r="A910">
            <v>9224241</v>
          </cell>
          <cell r="B910" t="str">
            <v>幻影脚第2段</v>
          </cell>
          <cell r="C910" t="str">
            <v>幻影脚第2段</v>
          </cell>
          <cell r="D910">
            <v>2</v>
          </cell>
          <cell r="E910">
            <v>67</v>
          </cell>
          <cell r="F910" t="str">
            <v>第41级，共造成202.3%点伤害</v>
          </cell>
          <cell r="G910">
            <v>2</v>
          </cell>
          <cell r="H910">
            <v>2</v>
          </cell>
          <cell r="I910">
            <v>41</v>
          </cell>
          <cell r="J910">
            <v>2</v>
          </cell>
          <cell r="K910">
            <v>67.434782608695656</v>
          </cell>
          <cell r="L910">
            <v>0</v>
          </cell>
          <cell r="M910">
            <v>4720</v>
          </cell>
          <cell r="N910">
            <v>151113</v>
          </cell>
          <cell r="O910">
            <v>4</v>
          </cell>
          <cell r="P910">
            <v>3</v>
          </cell>
          <cell r="Q910">
            <v>1</v>
          </cell>
          <cell r="R910">
            <v>8</v>
          </cell>
          <cell r="S910">
            <v>50</v>
          </cell>
          <cell r="T910">
            <v>47.826086956521742</v>
          </cell>
          <cell r="U910">
            <v>2963</v>
          </cell>
          <cell r="V910">
            <v>143.47826086956522</v>
          </cell>
          <cell r="W910">
            <v>51</v>
          </cell>
          <cell r="X910">
            <v>739</v>
          </cell>
          <cell r="Y910">
            <v>18</v>
          </cell>
          <cell r="Z910">
            <v>21</v>
          </cell>
        </row>
        <row r="911">
          <cell r="A911">
            <v>9224242</v>
          </cell>
          <cell r="B911" t="str">
            <v>幻影脚第2段</v>
          </cell>
          <cell r="C911" t="str">
            <v>幻影脚第2段</v>
          </cell>
          <cell r="D911">
            <v>2</v>
          </cell>
          <cell r="E911">
            <v>68</v>
          </cell>
          <cell r="F911" t="str">
            <v>第42级，共造成203.7%点伤害</v>
          </cell>
          <cell r="G911">
            <v>2</v>
          </cell>
          <cell r="H911">
            <v>2</v>
          </cell>
          <cell r="I911">
            <v>42</v>
          </cell>
          <cell r="J911">
            <v>2</v>
          </cell>
          <cell r="K911">
            <v>67.913043478260875</v>
          </cell>
          <cell r="L911">
            <v>0</v>
          </cell>
          <cell r="M911">
            <v>4640</v>
          </cell>
          <cell r="N911">
            <v>167970</v>
          </cell>
          <cell r="O911">
            <v>4</v>
          </cell>
          <cell r="P911">
            <v>3</v>
          </cell>
          <cell r="Q911">
            <v>1</v>
          </cell>
          <cell r="R911">
            <v>8</v>
          </cell>
          <cell r="S911">
            <v>50</v>
          </cell>
          <cell r="T911">
            <v>47.826086956521742</v>
          </cell>
          <cell r="U911">
            <v>3054</v>
          </cell>
          <cell r="V911">
            <v>143.47826086956522</v>
          </cell>
          <cell r="W911">
            <v>55</v>
          </cell>
          <cell r="X911">
            <v>794</v>
          </cell>
          <cell r="Y911">
            <v>18</v>
          </cell>
          <cell r="Z911">
            <v>22</v>
          </cell>
        </row>
        <row r="912">
          <cell r="A912">
            <v>9224243</v>
          </cell>
          <cell r="B912" t="str">
            <v>幻影脚第2段</v>
          </cell>
          <cell r="C912" t="str">
            <v>幻影脚第2段</v>
          </cell>
          <cell r="D912">
            <v>2</v>
          </cell>
          <cell r="E912">
            <v>70</v>
          </cell>
          <cell r="F912" t="str">
            <v>第43级，共造成205.2%点伤害</v>
          </cell>
          <cell r="G912">
            <v>2</v>
          </cell>
          <cell r="H912">
            <v>2</v>
          </cell>
          <cell r="I912">
            <v>43</v>
          </cell>
          <cell r="J912">
            <v>2</v>
          </cell>
          <cell r="K912">
            <v>68.391304347826093</v>
          </cell>
          <cell r="L912">
            <v>0</v>
          </cell>
          <cell r="M912">
            <v>4560</v>
          </cell>
          <cell r="N912">
            <v>191278</v>
          </cell>
          <cell r="O912">
            <v>4</v>
          </cell>
          <cell r="P912">
            <v>3</v>
          </cell>
          <cell r="Q912">
            <v>1</v>
          </cell>
          <cell r="R912">
            <v>8</v>
          </cell>
          <cell r="S912">
            <v>50</v>
          </cell>
          <cell r="T912">
            <v>47.826086956521742</v>
          </cell>
          <cell r="U912">
            <v>3242</v>
          </cell>
          <cell r="V912">
            <v>143.47826086956522</v>
          </cell>
          <cell r="W912">
            <v>59</v>
          </cell>
          <cell r="X912">
            <v>853</v>
          </cell>
          <cell r="Y912">
            <v>18</v>
          </cell>
          <cell r="Z912">
            <v>24</v>
          </cell>
        </row>
        <row r="913">
          <cell r="A913">
            <v>9224244</v>
          </cell>
          <cell r="B913" t="str">
            <v>幻影脚第2段</v>
          </cell>
          <cell r="C913" t="str">
            <v>幻影脚第2段</v>
          </cell>
          <cell r="D913">
            <v>2</v>
          </cell>
          <cell r="E913">
            <v>71</v>
          </cell>
          <cell r="F913" t="str">
            <v>第44级，共造成206.6%点伤害</v>
          </cell>
          <cell r="G913">
            <v>2</v>
          </cell>
          <cell r="H913">
            <v>2</v>
          </cell>
          <cell r="I913">
            <v>44</v>
          </cell>
          <cell r="J913">
            <v>2</v>
          </cell>
          <cell r="K913">
            <v>68.869565217391312</v>
          </cell>
          <cell r="L913">
            <v>0</v>
          </cell>
          <cell r="M913">
            <v>4480</v>
          </cell>
          <cell r="N913">
            <v>210294</v>
          </cell>
          <cell r="O913">
            <v>4</v>
          </cell>
          <cell r="P913">
            <v>3</v>
          </cell>
          <cell r="Q913">
            <v>1</v>
          </cell>
          <cell r="R913">
            <v>8</v>
          </cell>
          <cell r="S913">
            <v>50</v>
          </cell>
          <cell r="T913">
            <v>47.826086956521742</v>
          </cell>
          <cell r="U913">
            <v>3338</v>
          </cell>
          <cell r="V913">
            <v>143.47826086956522</v>
          </cell>
          <cell r="W913">
            <v>63</v>
          </cell>
          <cell r="X913">
            <v>916</v>
          </cell>
          <cell r="Y913">
            <v>18</v>
          </cell>
          <cell r="Z913">
            <v>26</v>
          </cell>
        </row>
        <row r="914">
          <cell r="A914">
            <v>9224245</v>
          </cell>
          <cell r="B914" t="str">
            <v>幻影脚第2段</v>
          </cell>
          <cell r="C914" t="str">
            <v>幻影脚第2段</v>
          </cell>
          <cell r="D914">
            <v>2</v>
          </cell>
          <cell r="E914">
            <v>73</v>
          </cell>
          <cell r="F914" t="str">
            <v>第45级，共造成208%点伤害</v>
          </cell>
          <cell r="G914">
            <v>2</v>
          </cell>
          <cell r="H914">
            <v>2</v>
          </cell>
          <cell r="I914">
            <v>45</v>
          </cell>
          <cell r="J914">
            <v>2</v>
          </cell>
          <cell r="K914">
            <v>69.34782608695653</v>
          </cell>
          <cell r="L914">
            <v>0</v>
          </cell>
          <cell r="M914">
            <v>4400</v>
          </cell>
          <cell r="N914">
            <v>240312</v>
          </cell>
          <cell r="O914">
            <v>4</v>
          </cell>
          <cell r="P914">
            <v>3</v>
          </cell>
          <cell r="Q914">
            <v>1</v>
          </cell>
          <cell r="R914">
            <v>8</v>
          </cell>
          <cell r="S914">
            <v>50</v>
          </cell>
          <cell r="T914">
            <v>47.826086956521742</v>
          </cell>
          <cell r="U914">
            <v>3534</v>
          </cell>
          <cell r="V914">
            <v>143.47826086956522</v>
          </cell>
          <cell r="W914">
            <v>68</v>
          </cell>
          <cell r="X914">
            <v>984</v>
          </cell>
          <cell r="Y914">
            <v>18</v>
          </cell>
          <cell r="Z914">
            <v>28</v>
          </cell>
        </row>
        <row r="915">
          <cell r="A915">
            <v>9224246</v>
          </cell>
          <cell r="B915" t="str">
            <v>幻影脚第2段</v>
          </cell>
          <cell r="C915" t="str">
            <v>幻影脚第2段</v>
          </cell>
          <cell r="D915">
            <v>2</v>
          </cell>
          <cell r="E915">
            <v>74</v>
          </cell>
          <cell r="F915" t="str">
            <v>第46级，共造成209.5%点伤害</v>
          </cell>
          <cell r="G915">
            <v>2</v>
          </cell>
          <cell r="H915">
            <v>2</v>
          </cell>
          <cell r="I915">
            <v>46</v>
          </cell>
          <cell r="J915">
            <v>2</v>
          </cell>
          <cell r="K915">
            <v>69.826086956521749</v>
          </cell>
          <cell r="L915">
            <v>0</v>
          </cell>
          <cell r="M915">
            <v>4320</v>
          </cell>
          <cell r="N915">
            <v>261648</v>
          </cell>
          <cell r="O915">
            <v>4</v>
          </cell>
          <cell r="P915">
            <v>3</v>
          </cell>
          <cell r="Q915">
            <v>1</v>
          </cell>
          <cell r="R915">
            <v>8</v>
          </cell>
          <cell r="S915">
            <v>50</v>
          </cell>
          <cell r="T915">
            <v>47.826086956521742</v>
          </cell>
          <cell r="U915">
            <v>3634</v>
          </cell>
          <cell r="V915">
            <v>143.47826086956522</v>
          </cell>
          <cell r="W915">
            <v>72</v>
          </cell>
          <cell r="X915">
            <v>1056</v>
          </cell>
          <cell r="Y915">
            <v>18</v>
          </cell>
          <cell r="Z915">
            <v>29</v>
          </cell>
        </row>
        <row r="916">
          <cell r="A916">
            <v>9224247</v>
          </cell>
          <cell r="B916" t="str">
            <v>幻影脚第2段</v>
          </cell>
          <cell r="C916" t="str">
            <v>幻影脚第2段</v>
          </cell>
          <cell r="D916">
            <v>2</v>
          </cell>
          <cell r="E916">
            <v>76</v>
          </cell>
          <cell r="F916" t="str">
            <v>第47级，共造成210.9%点伤害</v>
          </cell>
          <cell r="G916">
            <v>2</v>
          </cell>
          <cell r="H916">
            <v>2</v>
          </cell>
          <cell r="I916">
            <v>47</v>
          </cell>
          <cell r="J916">
            <v>2</v>
          </cell>
          <cell r="K916">
            <v>70.304347826086968</v>
          </cell>
          <cell r="L916">
            <v>0</v>
          </cell>
          <cell r="M916">
            <v>4240</v>
          </cell>
          <cell r="N916">
            <v>295526</v>
          </cell>
          <cell r="O916">
            <v>4</v>
          </cell>
          <cell r="P916">
            <v>3</v>
          </cell>
          <cell r="Q916">
            <v>1</v>
          </cell>
          <cell r="R916">
            <v>8</v>
          </cell>
          <cell r="S916">
            <v>50</v>
          </cell>
          <cell r="T916">
            <v>47.826086956521742</v>
          </cell>
          <cell r="U916">
            <v>3838</v>
          </cell>
          <cell r="V916">
            <v>143.47826086956522</v>
          </cell>
          <cell r="W916">
            <v>77</v>
          </cell>
          <cell r="X916">
            <v>1133</v>
          </cell>
          <cell r="Y916">
            <v>18</v>
          </cell>
          <cell r="Z916">
            <v>31</v>
          </cell>
        </row>
        <row r="917">
          <cell r="A917">
            <v>9224248</v>
          </cell>
          <cell r="B917" t="str">
            <v>幻影脚第2段</v>
          </cell>
          <cell r="C917" t="str">
            <v>幻影脚第2段</v>
          </cell>
          <cell r="D917">
            <v>2</v>
          </cell>
          <cell r="E917">
            <v>77</v>
          </cell>
          <cell r="F917" t="str">
            <v>第48级，共造成212.3%点伤害</v>
          </cell>
          <cell r="G917">
            <v>2</v>
          </cell>
          <cell r="H917">
            <v>2</v>
          </cell>
          <cell r="I917">
            <v>48</v>
          </cell>
          <cell r="J917">
            <v>2</v>
          </cell>
          <cell r="K917">
            <v>70.782608695652186</v>
          </cell>
          <cell r="L917">
            <v>0</v>
          </cell>
          <cell r="M917">
            <v>4160</v>
          </cell>
          <cell r="N917">
            <v>327186</v>
          </cell>
          <cell r="O917">
            <v>4</v>
          </cell>
          <cell r="P917">
            <v>3</v>
          </cell>
          <cell r="Q917">
            <v>1</v>
          </cell>
          <cell r="R917">
            <v>8</v>
          </cell>
          <cell r="S917">
            <v>50</v>
          </cell>
          <cell r="T917">
            <v>47.826086956521742</v>
          </cell>
          <cell r="U917">
            <v>3942</v>
          </cell>
          <cell r="V917">
            <v>143.47826086956522</v>
          </cell>
          <cell r="W917">
            <v>83</v>
          </cell>
          <cell r="X917">
            <v>1216</v>
          </cell>
          <cell r="Y917">
            <v>18</v>
          </cell>
          <cell r="Z917">
            <v>34</v>
          </cell>
        </row>
        <row r="918">
          <cell r="A918">
            <v>9224249</v>
          </cell>
          <cell r="B918" t="str">
            <v>幻影脚第2段</v>
          </cell>
          <cell r="C918" t="str">
            <v>幻影脚第2段</v>
          </cell>
          <cell r="D918">
            <v>2</v>
          </cell>
          <cell r="E918">
            <v>79</v>
          </cell>
          <cell r="F918" t="str">
            <v>第49级，共造成213.8%点伤害</v>
          </cell>
          <cell r="G918">
            <v>2</v>
          </cell>
          <cell r="H918">
            <v>2</v>
          </cell>
          <cell r="I918">
            <v>49</v>
          </cell>
          <cell r="J918">
            <v>2</v>
          </cell>
          <cell r="K918">
            <v>71.260869565217391</v>
          </cell>
          <cell r="L918">
            <v>0</v>
          </cell>
          <cell r="M918">
            <v>4080</v>
          </cell>
          <cell r="N918">
            <v>369706</v>
          </cell>
          <cell r="O918">
            <v>4</v>
          </cell>
          <cell r="P918">
            <v>3</v>
          </cell>
          <cell r="Q918">
            <v>1</v>
          </cell>
          <cell r="R918">
            <v>8</v>
          </cell>
          <cell r="S918">
            <v>50</v>
          </cell>
          <cell r="T918">
            <v>47.826086956521742</v>
          </cell>
          <cell r="U918">
            <v>4154</v>
          </cell>
          <cell r="V918">
            <v>143.47826086956522</v>
          </cell>
          <cell r="W918">
            <v>89</v>
          </cell>
          <cell r="X918">
            <v>1305</v>
          </cell>
          <cell r="Y918">
            <v>18</v>
          </cell>
          <cell r="Z918">
            <v>36</v>
          </cell>
        </row>
        <row r="919">
          <cell r="A919">
            <v>9224250</v>
          </cell>
          <cell r="B919" t="str">
            <v>幻影脚第2段</v>
          </cell>
          <cell r="C919" t="str">
            <v>幻影脚第2段</v>
          </cell>
          <cell r="D919">
            <v>2</v>
          </cell>
          <cell r="E919">
            <v>80</v>
          </cell>
          <cell r="F919" t="str">
            <v>第50级，共造成215.2%点伤害</v>
          </cell>
          <cell r="G919">
            <v>2</v>
          </cell>
          <cell r="H919">
            <v>2</v>
          </cell>
          <cell r="I919">
            <v>50</v>
          </cell>
          <cell r="J919">
            <v>2</v>
          </cell>
          <cell r="K919">
            <v>71.739130434782609</v>
          </cell>
          <cell r="L919">
            <v>0</v>
          </cell>
          <cell r="M919">
            <v>4000</v>
          </cell>
          <cell r="N919">
            <v>404890</v>
          </cell>
          <cell r="O919">
            <v>4</v>
          </cell>
          <cell r="P919">
            <v>3</v>
          </cell>
          <cell r="Q919">
            <v>1</v>
          </cell>
          <cell r="R919">
            <v>8</v>
          </cell>
          <cell r="S919">
            <v>50</v>
          </cell>
          <cell r="T919">
            <v>47.826086956521742</v>
          </cell>
          <cell r="U919">
            <v>4262</v>
          </cell>
          <cell r="V919">
            <v>143.47826086956522</v>
          </cell>
          <cell r="W919">
            <v>95</v>
          </cell>
          <cell r="X919">
            <v>1400</v>
          </cell>
          <cell r="Y919">
            <v>18</v>
          </cell>
          <cell r="Z919">
            <v>38</v>
          </cell>
        </row>
        <row r="920">
          <cell r="A920">
            <v>1</v>
          </cell>
          <cell r="B920" t="str">
            <v>幻影脚</v>
          </cell>
          <cell r="C920" t="str">
            <v>幻影脚第3段</v>
          </cell>
          <cell r="D920">
            <v>2</v>
          </cell>
          <cell r="E920">
            <v>6</v>
          </cell>
          <cell r="F920" t="str">
            <v>第0级，共造成143.5%点伤害</v>
          </cell>
          <cell r="G920">
            <v>0</v>
          </cell>
          <cell r="H920">
            <v>3</v>
          </cell>
          <cell r="I920">
            <v>0</v>
          </cell>
          <cell r="J920">
            <v>2</v>
          </cell>
          <cell r="K920">
            <v>143.47826086956522</v>
          </cell>
          <cell r="L920">
            <v>0</v>
          </cell>
          <cell r="M920">
            <v>8000</v>
          </cell>
          <cell r="N920">
            <v>0</v>
          </cell>
          <cell r="O920">
            <v>4</v>
          </cell>
          <cell r="P920">
            <v>1</v>
          </cell>
          <cell r="Q920">
            <v>1</v>
          </cell>
          <cell r="R920">
            <v>10</v>
          </cell>
          <cell r="S920">
            <v>50</v>
          </cell>
          <cell r="T920">
            <v>143.47826086956522</v>
          </cell>
          <cell r="U920">
            <v>80</v>
          </cell>
          <cell r="V920">
            <v>143.47826086956522</v>
          </cell>
          <cell r="W920">
            <v>0</v>
          </cell>
          <cell r="X920">
            <v>0</v>
          </cell>
          <cell r="Y920">
            <v>18</v>
          </cell>
          <cell r="Z920">
            <v>0</v>
          </cell>
        </row>
        <row r="921">
          <cell r="A921">
            <v>9224301</v>
          </cell>
          <cell r="B921" t="str">
            <v>幻影脚第3段</v>
          </cell>
          <cell r="C921" t="str">
            <v>幻影脚第3段</v>
          </cell>
          <cell r="D921">
            <v>2</v>
          </cell>
          <cell r="E921">
            <v>6</v>
          </cell>
          <cell r="F921" t="str">
            <v>第1级，共造成143.5%点伤害</v>
          </cell>
          <cell r="G921">
            <v>3</v>
          </cell>
          <cell r="H921">
            <v>3</v>
          </cell>
          <cell r="I921">
            <v>1</v>
          </cell>
          <cell r="J921">
            <v>2</v>
          </cell>
          <cell r="K921">
            <v>143.47826086956522</v>
          </cell>
          <cell r="L921">
            <v>0</v>
          </cell>
          <cell r="M921">
            <v>8000</v>
          </cell>
          <cell r="N921">
            <v>240</v>
          </cell>
          <cell r="O921">
            <v>4</v>
          </cell>
          <cell r="P921">
            <v>1</v>
          </cell>
          <cell r="Q921">
            <v>1</v>
          </cell>
          <cell r="R921">
            <v>10</v>
          </cell>
          <cell r="S921">
            <v>50</v>
          </cell>
          <cell r="T921">
            <v>143.47826086956522</v>
          </cell>
          <cell r="U921">
            <v>80</v>
          </cell>
          <cell r="V921">
            <v>143.47826086956522</v>
          </cell>
          <cell r="W921">
            <v>3</v>
          </cell>
          <cell r="X921">
            <v>3</v>
          </cell>
          <cell r="Y921">
            <v>18</v>
          </cell>
          <cell r="Z921">
            <v>0</v>
          </cell>
        </row>
        <row r="922">
          <cell r="A922">
            <v>9224302</v>
          </cell>
          <cell r="B922" t="str">
            <v>幻影脚第3段</v>
          </cell>
          <cell r="C922" t="str">
            <v>幻影脚第3段</v>
          </cell>
          <cell r="D922">
            <v>2</v>
          </cell>
          <cell r="E922">
            <v>13</v>
          </cell>
          <cell r="F922" t="str">
            <v>第2级，共造成146.3%点伤害</v>
          </cell>
          <cell r="G922">
            <v>3</v>
          </cell>
          <cell r="H922">
            <v>3</v>
          </cell>
          <cell r="I922">
            <v>2</v>
          </cell>
          <cell r="J922">
            <v>2</v>
          </cell>
          <cell r="K922">
            <v>146.34782608695653</v>
          </cell>
          <cell r="L922">
            <v>0</v>
          </cell>
          <cell r="M922">
            <v>7840</v>
          </cell>
          <cell r="N922">
            <v>488</v>
          </cell>
          <cell r="O922">
            <v>4</v>
          </cell>
          <cell r="P922">
            <v>1</v>
          </cell>
          <cell r="Q922">
            <v>1</v>
          </cell>
          <cell r="R922">
            <v>10</v>
          </cell>
          <cell r="S922">
            <v>50</v>
          </cell>
          <cell r="T922">
            <v>143.47826086956522</v>
          </cell>
          <cell r="U922">
            <v>122</v>
          </cell>
          <cell r="V922">
            <v>143.47826086956522</v>
          </cell>
          <cell r="W922">
            <v>4</v>
          </cell>
          <cell r="X922">
            <v>7</v>
          </cell>
          <cell r="Y922">
            <v>18</v>
          </cell>
          <cell r="Z922">
            <v>0</v>
          </cell>
        </row>
        <row r="923">
          <cell r="A923">
            <v>9224303</v>
          </cell>
          <cell r="B923" t="str">
            <v>幻影脚第3段</v>
          </cell>
          <cell r="C923" t="str">
            <v>幻影脚第3段</v>
          </cell>
          <cell r="D923">
            <v>2</v>
          </cell>
          <cell r="E923">
            <v>14</v>
          </cell>
          <cell r="F923" t="str">
            <v>第3级，共造成147.8%点伤害</v>
          </cell>
          <cell r="G923">
            <v>3</v>
          </cell>
          <cell r="H923">
            <v>3</v>
          </cell>
          <cell r="I923">
            <v>3</v>
          </cell>
          <cell r="J923">
            <v>2</v>
          </cell>
          <cell r="K923">
            <v>147.78260869565219</v>
          </cell>
          <cell r="L923">
            <v>0</v>
          </cell>
          <cell r="M923">
            <v>7760</v>
          </cell>
          <cell r="N923">
            <v>512</v>
          </cell>
          <cell r="O923">
            <v>4</v>
          </cell>
          <cell r="P923">
            <v>1</v>
          </cell>
          <cell r="Q923">
            <v>1</v>
          </cell>
          <cell r="R923">
            <v>10</v>
          </cell>
          <cell r="S923">
            <v>50</v>
          </cell>
          <cell r="T923">
            <v>143.47826086956522</v>
          </cell>
          <cell r="U923">
            <v>128</v>
          </cell>
          <cell r="V923">
            <v>143.47826086956522</v>
          </cell>
          <cell r="W923">
            <v>4</v>
          </cell>
          <cell r="X923">
            <v>11</v>
          </cell>
          <cell r="Y923">
            <v>18</v>
          </cell>
          <cell r="Z923">
            <v>0</v>
          </cell>
        </row>
        <row r="924">
          <cell r="A924">
            <v>9224304</v>
          </cell>
          <cell r="B924" t="str">
            <v>幻影脚第3段</v>
          </cell>
          <cell r="C924" t="str">
            <v>幻影脚第3段</v>
          </cell>
          <cell r="D924">
            <v>2</v>
          </cell>
          <cell r="E924">
            <v>16</v>
          </cell>
          <cell r="F924" t="str">
            <v>第4级，共造成149.2%点伤害</v>
          </cell>
          <cell r="G924">
            <v>3</v>
          </cell>
          <cell r="H924">
            <v>3</v>
          </cell>
          <cell r="I924">
            <v>4</v>
          </cell>
          <cell r="J924">
            <v>2</v>
          </cell>
          <cell r="K924">
            <v>149.21739130434781</v>
          </cell>
          <cell r="L924">
            <v>0</v>
          </cell>
          <cell r="M924">
            <v>7680</v>
          </cell>
          <cell r="N924">
            <v>560</v>
          </cell>
          <cell r="O924">
            <v>4</v>
          </cell>
          <cell r="P924">
            <v>1</v>
          </cell>
          <cell r="Q924">
            <v>1</v>
          </cell>
          <cell r="R924">
            <v>10</v>
          </cell>
          <cell r="S924">
            <v>50</v>
          </cell>
          <cell r="T924">
            <v>143.47826086956522</v>
          </cell>
          <cell r="U924">
            <v>140</v>
          </cell>
          <cell r="V924">
            <v>143.47826086956522</v>
          </cell>
          <cell r="W924">
            <v>4</v>
          </cell>
          <cell r="X924">
            <v>15</v>
          </cell>
          <cell r="Y924">
            <v>18</v>
          </cell>
          <cell r="Z924">
            <v>0</v>
          </cell>
        </row>
        <row r="925">
          <cell r="A925">
            <v>9224305</v>
          </cell>
          <cell r="B925" t="str">
            <v>幻影脚第3段</v>
          </cell>
          <cell r="C925" t="str">
            <v>幻影脚第3段</v>
          </cell>
          <cell r="D925">
            <v>2</v>
          </cell>
          <cell r="E925">
            <v>17</v>
          </cell>
          <cell r="F925" t="str">
            <v>第5级，共造成150.7%点伤害</v>
          </cell>
          <cell r="G925">
            <v>3</v>
          </cell>
          <cell r="H925">
            <v>3</v>
          </cell>
          <cell r="I925">
            <v>5</v>
          </cell>
          <cell r="J925">
            <v>2</v>
          </cell>
          <cell r="K925">
            <v>150.65217391304347</v>
          </cell>
          <cell r="L925">
            <v>0</v>
          </cell>
          <cell r="M925">
            <v>7600</v>
          </cell>
          <cell r="N925">
            <v>730</v>
          </cell>
          <cell r="O925">
            <v>4</v>
          </cell>
          <cell r="P925">
            <v>1</v>
          </cell>
          <cell r="Q925">
            <v>1</v>
          </cell>
          <cell r="R925">
            <v>10</v>
          </cell>
          <cell r="S925">
            <v>50</v>
          </cell>
          <cell r="T925">
            <v>143.47826086956522</v>
          </cell>
          <cell r="U925">
            <v>146</v>
          </cell>
          <cell r="V925">
            <v>143.47826086956522</v>
          </cell>
          <cell r="W925">
            <v>5</v>
          </cell>
          <cell r="X925">
            <v>20</v>
          </cell>
          <cell r="Y925">
            <v>18</v>
          </cell>
          <cell r="Z925">
            <v>0</v>
          </cell>
        </row>
        <row r="926">
          <cell r="A926">
            <v>9224306</v>
          </cell>
          <cell r="B926" t="str">
            <v>幻影脚第3段</v>
          </cell>
          <cell r="C926" t="str">
            <v>幻影脚第3段</v>
          </cell>
          <cell r="D926">
            <v>2</v>
          </cell>
          <cell r="E926">
            <v>18</v>
          </cell>
          <cell r="F926" t="str">
            <v>第6级，共造成152.1%点伤害</v>
          </cell>
          <cell r="G926">
            <v>3</v>
          </cell>
          <cell r="H926">
            <v>3</v>
          </cell>
          <cell r="I926">
            <v>6</v>
          </cell>
          <cell r="J926">
            <v>2</v>
          </cell>
          <cell r="K926">
            <v>152.08695652173913</v>
          </cell>
          <cell r="L926">
            <v>0</v>
          </cell>
          <cell r="M926">
            <v>7520</v>
          </cell>
          <cell r="N926">
            <v>760</v>
          </cell>
          <cell r="O926">
            <v>4</v>
          </cell>
          <cell r="P926">
            <v>1</v>
          </cell>
          <cell r="Q926">
            <v>1</v>
          </cell>
          <cell r="R926">
            <v>10</v>
          </cell>
          <cell r="S926">
            <v>50</v>
          </cell>
          <cell r="T926">
            <v>143.47826086956522</v>
          </cell>
          <cell r="U926">
            <v>152</v>
          </cell>
          <cell r="V926">
            <v>143.47826086956522</v>
          </cell>
          <cell r="W926">
            <v>5</v>
          </cell>
          <cell r="X926">
            <v>25</v>
          </cell>
          <cell r="Y926">
            <v>18</v>
          </cell>
          <cell r="Z926">
            <v>0</v>
          </cell>
        </row>
        <row r="927">
          <cell r="A927">
            <v>9224307</v>
          </cell>
          <cell r="B927" t="str">
            <v>幻影脚第3段</v>
          </cell>
          <cell r="C927" t="str">
            <v>幻影脚第3段</v>
          </cell>
          <cell r="D927">
            <v>2</v>
          </cell>
          <cell r="E927">
            <v>20</v>
          </cell>
          <cell r="F927" t="str">
            <v>第7级，共造成153.5%点伤害</v>
          </cell>
          <cell r="G927">
            <v>3</v>
          </cell>
          <cell r="H927">
            <v>3</v>
          </cell>
          <cell r="I927">
            <v>7</v>
          </cell>
          <cell r="J927">
            <v>2</v>
          </cell>
          <cell r="K927">
            <v>153.52173913043478</v>
          </cell>
          <cell r="L927">
            <v>0</v>
          </cell>
          <cell r="M927">
            <v>7440</v>
          </cell>
          <cell r="N927">
            <v>910</v>
          </cell>
          <cell r="O927">
            <v>4</v>
          </cell>
          <cell r="P927">
            <v>1</v>
          </cell>
          <cell r="Q927">
            <v>1</v>
          </cell>
          <cell r="R927">
            <v>10</v>
          </cell>
          <cell r="S927">
            <v>50</v>
          </cell>
          <cell r="T927">
            <v>143.47826086956522</v>
          </cell>
          <cell r="U927">
            <v>182</v>
          </cell>
          <cell r="V927">
            <v>143.47826086956522</v>
          </cell>
          <cell r="W927">
            <v>5</v>
          </cell>
          <cell r="X927">
            <v>30</v>
          </cell>
          <cell r="Y927">
            <v>18</v>
          </cell>
          <cell r="Z927">
            <v>0</v>
          </cell>
        </row>
        <row r="928">
          <cell r="A928">
            <v>9224308</v>
          </cell>
          <cell r="B928" t="str">
            <v>幻影脚第3段</v>
          </cell>
          <cell r="C928" t="str">
            <v>幻影脚第3段</v>
          </cell>
          <cell r="D928">
            <v>2</v>
          </cell>
          <cell r="E928">
            <v>21</v>
          </cell>
          <cell r="F928" t="str">
            <v>第8级，共造成155%点伤害</v>
          </cell>
          <cell r="G928">
            <v>3</v>
          </cell>
          <cell r="H928">
            <v>3</v>
          </cell>
          <cell r="I928">
            <v>8</v>
          </cell>
          <cell r="J928">
            <v>2</v>
          </cell>
          <cell r="K928">
            <v>154.95652173913044</v>
          </cell>
          <cell r="L928">
            <v>0</v>
          </cell>
          <cell r="M928">
            <v>7360</v>
          </cell>
          <cell r="N928">
            <v>1260</v>
          </cell>
          <cell r="O928">
            <v>4</v>
          </cell>
          <cell r="P928">
            <v>1</v>
          </cell>
          <cell r="Q928">
            <v>1</v>
          </cell>
          <cell r="R928">
            <v>10</v>
          </cell>
          <cell r="S928">
            <v>50</v>
          </cell>
          <cell r="T928">
            <v>143.47826086956522</v>
          </cell>
          <cell r="U928">
            <v>210</v>
          </cell>
          <cell r="V928">
            <v>143.47826086956522</v>
          </cell>
          <cell r="W928">
            <v>6</v>
          </cell>
          <cell r="X928">
            <v>36</v>
          </cell>
          <cell r="Y928">
            <v>18</v>
          </cell>
          <cell r="Z928">
            <v>0</v>
          </cell>
        </row>
        <row r="929">
          <cell r="A929">
            <v>9224309</v>
          </cell>
          <cell r="B929" t="str">
            <v>幻影脚第3段</v>
          </cell>
          <cell r="C929" t="str">
            <v>幻影脚第3段</v>
          </cell>
          <cell r="D929">
            <v>2</v>
          </cell>
          <cell r="E929">
            <v>23</v>
          </cell>
          <cell r="F929" t="str">
            <v>第9级，共造成156.4%点伤害</v>
          </cell>
          <cell r="G929">
            <v>3</v>
          </cell>
          <cell r="H929">
            <v>3</v>
          </cell>
          <cell r="I929">
            <v>9</v>
          </cell>
          <cell r="J929">
            <v>2</v>
          </cell>
          <cell r="K929">
            <v>156.39130434782609</v>
          </cell>
          <cell r="L929">
            <v>0</v>
          </cell>
          <cell r="M929">
            <v>7280</v>
          </cell>
          <cell r="N929">
            <v>1620</v>
          </cell>
          <cell r="O929">
            <v>4</v>
          </cell>
          <cell r="P929">
            <v>1</v>
          </cell>
          <cell r="Q929">
            <v>1</v>
          </cell>
          <cell r="R929">
            <v>10</v>
          </cell>
          <cell r="S929">
            <v>50</v>
          </cell>
          <cell r="T929">
            <v>143.47826086956522</v>
          </cell>
          <cell r="U929">
            <v>270</v>
          </cell>
          <cell r="V929">
            <v>143.47826086956522</v>
          </cell>
          <cell r="W929">
            <v>6</v>
          </cell>
          <cell r="X929">
            <v>42</v>
          </cell>
          <cell r="Y929">
            <v>18</v>
          </cell>
          <cell r="Z929">
            <v>0</v>
          </cell>
        </row>
        <row r="930">
          <cell r="A930">
            <v>9224310</v>
          </cell>
          <cell r="B930" t="str">
            <v>幻影脚第3段</v>
          </cell>
          <cell r="C930" t="str">
            <v>幻影脚第3段</v>
          </cell>
          <cell r="D930">
            <v>2</v>
          </cell>
          <cell r="E930">
            <v>24</v>
          </cell>
          <cell r="F930" t="str">
            <v>第10级，共造成157.8%点伤害</v>
          </cell>
          <cell r="G930">
            <v>3</v>
          </cell>
          <cell r="H930">
            <v>3</v>
          </cell>
          <cell r="I930">
            <v>10</v>
          </cell>
          <cell r="J930">
            <v>2</v>
          </cell>
          <cell r="K930">
            <v>157.82608695652175</v>
          </cell>
          <cell r="L930">
            <v>0</v>
          </cell>
          <cell r="M930">
            <v>7200</v>
          </cell>
          <cell r="N930">
            <v>1812</v>
          </cell>
          <cell r="O930">
            <v>4</v>
          </cell>
          <cell r="P930">
            <v>1</v>
          </cell>
          <cell r="Q930">
            <v>1</v>
          </cell>
          <cell r="R930">
            <v>10</v>
          </cell>
          <cell r="S930">
            <v>50</v>
          </cell>
          <cell r="T930">
            <v>143.47826086956522</v>
          </cell>
          <cell r="U930">
            <v>302</v>
          </cell>
          <cell r="V930">
            <v>143.47826086956522</v>
          </cell>
          <cell r="W930">
            <v>6</v>
          </cell>
          <cell r="X930">
            <v>48</v>
          </cell>
          <cell r="Y930">
            <v>18</v>
          </cell>
          <cell r="Z930">
            <v>0</v>
          </cell>
        </row>
        <row r="931">
          <cell r="A931">
            <v>9224311</v>
          </cell>
          <cell r="B931" t="str">
            <v>幻影脚第3段</v>
          </cell>
          <cell r="C931" t="str">
            <v>幻影脚第3段</v>
          </cell>
          <cell r="D931">
            <v>2</v>
          </cell>
          <cell r="E931">
            <v>25</v>
          </cell>
          <cell r="F931" t="str">
            <v>第11级，共造成159.3%点伤害</v>
          </cell>
          <cell r="G931">
            <v>3</v>
          </cell>
          <cell r="H931">
            <v>3</v>
          </cell>
          <cell r="I931">
            <v>11</v>
          </cell>
          <cell r="J931">
            <v>2</v>
          </cell>
          <cell r="K931">
            <v>159.2608695652174</v>
          </cell>
          <cell r="L931">
            <v>0</v>
          </cell>
          <cell r="M931">
            <v>7120</v>
          </cell>
          <cell r="N931">
            <v>2345</v>
          </cell>
          <cell r="O931">
            <v>4</v>
          </cell>
          <cell r="P931">
            <v>1</v>
          </cell>
          <cell r="Q931">
            <v>1</v>
          </cell>
          <cell r="R931">
            <v>10</v>
          </cell>
          <cell r="S931">
            <v>50</v>
          </cell>
          <cell r="T931">
            <v>143.47826086956522</v>
          </cell>
          <cell r="U931">
            <v>335</v>
          </cell>
          <cell r="V931">
            <v>143.47826086956522</v>
          </cell>
          <cell r="W931">
            <v>7</v>
          </cell>
          <cell r="X931">
            <v>55</v>
          </cell>
          <cell r="Y931">
            <v>18</v>
          </cell>
          <cell r="Z931">
            <v>0</v>
          </cell>
        </row>
        <row r="932">
          <cell r="A932">
            <v>9224312</v>
          </cell>
          <cell r="B932" t="str">
            <v>幻影脚第3段</v>
          </cell>
          <cell r="C932" t="str">
            <v>幻影脚第3段</v>
          </cell>
          <cell r="D932">
            <v>2</v>
          </cell>
          <cell r="E932">
            <v>27</v>
          </cell>
          <cell r="F932" t="str">
            <v>第12级，共造成160.7%点伤害</v>
          </cell>
          <cell r="G932">
            <v>3</v>
          </cell>
          <cell r="H932">
            <v>3</v>
          </cell>
          <cell r="I932">
            <v>12</v>
          </cell>
          <cell r="J932">
            <v>2</v>
          </cell>
          <cell r="K932">
            <v>160.69565217391303</v>
          </cell>
          <cell r="L932">
            <v>0</v>
          </cell>
          <cell r="M932">
            <v>7040</v>
          </cell>
          <cell r="N932">
            <v>2842</v>
          </cell>
          <cell r="O932">
            <v>4</v>
          </cell>
          <cell r="P932">
            <v>1</v>
          </cell>
          <cell r="Q932">
            <v>1</v>
          </cell>
          <cell r="R932">
            <v>10</v>
          </cell>
          <cell r="S932">
            <v>50</v>
          </cell>
          <cell r="T932">
            <v>143.47826086956522</v>
          </cell>
          <cell r="U932">
            <v>406</v>
          </cell>
          <cell r="V932">
            <v>143.47826086956522</v>
          </cell>
          <cell r="W932">
            <v>7</v>
          </cell>
          <cell r="X932">
            <v>62</v>
          </cell>
          <cell r="Y932">
            <v>18</v>
          </cell>
          <cell r="Z932">
            <v>0</v>
          </cell>
        </row>
        <row r="933">
          <cell r="A933">
            <v>9224313</v>
          </cell>
          <cell r="B933" t="str">
            <v>幻影脚第3段</v>
          </cell>
          <cell r="C933" t="str">
            <v>幻影脚第3段</v>
          </cell>
          <cell r="D933">
            <v>2</v>
          </cell>
          <cell r="E933">
            <v>28</v>
          </cell>
          <cell r="F933" t="str">
            <v>第13级，共造成162.1%点伤害</v>
          </cell>
          <cell r="G933">
            <v>3</v>
          </cell>
          <cell r="H933">
            <v>3</v>
          </cell>
          <cell r="I933">
            <v>13</v>
          </cell>
          <cell r="J933">
            <v>2</v>
          </cell>
          <cell r="K933">
            <v>162.13043478260869</v>
          </cell>
          <cell r="L933">
            <v>0</v>
          </cell>
          <cell r="M933">
            <v>6960</v>
          </cell>
          <cell r="N933">
            <v>3544</v>
          </cell>
          <cell r="O933">
            <v>4</v>
          </cell>
          <cell r="P933">
            <v>1</v>
          </cell>
          <cell r="Q933">
            <v>1</v>
          </cell>
          <cell r="R933">
            <v>10</v>
          </cell>
          <cell r="S933">
            <v>50</v>
          </cell>
          <cell r="T933">
            <v>143.47826086956522</v>
          </cell>
          <cell r="U933">
            <v>443</v>
          </cell>
          <cell r="V933">
            <v>143.47826086956522</v>
          </cell>
          <cell r="W933">
            <v>8</v>
          </cell>
          <cell r="X933">
            <v>70</v>
          </cell>
          <cell r="Y933">
            <v>18</v>
          </cell>
          <cell r="Z933">
            <v>0</v>
          </cell>
        </row>
        <row r="934">
          <cell r="A934">
            <v>9224314</v>
          </cell>
          <cell r="B934" t="str">
            <v>幻影脚第3段</v>
          </cell>
          <cell r="C934" t="str">
            <v>幻影脚第3段</v>
          </cell>
          <cell r="D934">
            <v>2</v>
          </cell>
          <cell r="E934">
            <v>30</v>
          </cell>
          <cell r="F934" t="str">
            <v>第14级，共造成163.6%点伤害</v>
          </cell>
          <cell r="G934">
            <v>3</v>
          </cell>
          <cell r="H934">
            <v>3</v>
          </cell>
          <cell r="I934">
            <v>14</v>
          </cell>
          <cell r="J934">
            <v>2</v>
          </cell>
          <cell r="K934">
            <v>163.56521739130434</v>
          </cell>
          <cell r="L934">
            <v>0</v>
          </cell>
          <cell r="M934">
            <v>6880</v>
          </cell>
          <cell r="N934">
            <v>4176</v>
          </cell>
          <cell r="O934">
            <v>4</v>
          </cell>
          <cell r="P934">
            <v>1</v>
          </cell>
          <cell r="Q934">
            <v>1</v>
          </cell>
          <cell r="R934">
            <v>10</v>
          </cell>
          <cell r="S934">
            <v>50</v>
          </cell>
          <cell r="T934">
            <v>143.47826086956522</v>
          </cell>
          <cell r="U934">
            <v>522</v>
          </cell>
          <cell r="V934">
            <v>143.47826086956522</v>
          </cell>
          <cell r="W934">
            <v>8</v>
          </cell>
          <cell r="X934">
            <v>78</v>
          </cell>
          <cell r="Y934">
            <v>18</v>
          </cell>
          <cell r="Z934">
            <v>0</v>
          </cell>
        </row>
        <row r="935">
          <cell r="A935">
            <v>9224315</v>
          </cell>
          <cell r="B935" t="str">
            <v>幻影脚第3段</v>
          </cell>
          <cell r="C935" t="str">
            <v>幻影脚第3段</v>
          </cell>
          <cell r="D935">
            <v>2</v>
          </cell>
          <cell r="E935">
            <v>31</v>
          </cell>
          <cell r="F935" t="str">
            <v>第15级，共造成165%点伤害</v>
          </cell>
          <cell r="G935">
            <v>3</v>
          </cell>
          <cell r="H935">
            <v>3</v>
          </cell>
          <cell r="I935">
            <v>15</v>
          </cell>
          <cell r="J935">
            <v>2</v>
          </cell>
          <cell r="K935">
            <v>165</v>
          </cell>
          <cell r="L935">
            <v>0</v>
          </cell>
          <cell r="M935">
            <v>6800</v>
          </cell>
          <cell r="N935">
            <v>5067</v>
          </cell>
          <cell r="O935">
            <v>4</v>
          </cell>
          <cell r="P935">
            <v>1</v>
          </cell>
          <cell r="Q935">
            <v>1</v>
          </cell>
          <cell r="R935">
            <v>10</v>
          </cell>
          <cell r="S935">
            <v>50</v>
          </cell>
          <cell r="T935">
            <v>143.47826086956522</v>
          </cell>
          <cell r="U935">
            <v>563</v>
          </cell>
          <cell r="V935">
            <v>143.47826086956522</v>
          </cell>
          <cell r="W935">
            <v>9</v>
          </cell>
          <cell r="X935">
            <v>87</v>
          </cell>
          <cell r="Y935">
            <v>18</v>
          </cell>
          <cell r="Z935">
            <v>0</v>
          </cell>
        </row>
        <row r="936">
          <cell r="A936">
            <v>9224316</v>
          </cell>
          <cell r="B936" t="str">
            <v>幻影脚第3段</v>
          </cell>
          <cell r="C936" t="str">
            <v>幻影脚第3段</v>
          </cell>
          <cell r="D936">
            <v>2</v>
          </cell>
          <cell r="E936">
            <v>32</v>
          </cell>
          <cell r="F936" t="str">
            <v>第16级，共造成166.4%点伤害</v>
          </cell>
          <cell r="G936">
            <v>3</v>
          </cell>
          <cell r="H936">
            <v>3</v>
          </cell>
          <cell r="I936">
            <v>16</v>
          </cell>
          <cell r="J936">
            <v>2</v>
          </cell>
          <cell r="K936">
            <v>166.43478260869566</v>
          </cell>
          <cell r="L936">
            <v>0</v>
          </cell>
          <cell r="M936">
            <v>6720</v>
          </cell>
          <cell r="N936">
            <v>6060</v>
          </cell>
          <cell r="O936">
            <v>4</v>
          </cell>
          <cell r="P936">
            <v>1</v>
          </cell>
          <cell r="Q936">
            <v>1</v>
          </cell>
          <cell r="R936">
            <v>10</v>
          </cell>
          <cell r="S936">
            <v>50</v>
          </cell>
          <cell r="T936">
            <v>143.47826086956522</v>
          </cell>
          <cell r="U936">
            <v>606</v>
          </cell>
          <cell r="V936">
            <v>143.47826086956522</v>
          </cell>
          <cell r="W936">
            <v>10</v>
          </cell>
          <cell r="X936">
            <v>97</v>
          </cell>
          <cell r="Y936">
            <v>18</v>
          </cell>
          <cell r="Z936">
            <v>0</v>
          </cell>
        </row>
        <row r="937">
          <cell r="A937">
            <v>9224317</v>
          </cell>
          <cell r="B937" t="str">
            <v>幻影脚第3段</v>
          </cell>
          <cell r="C937" t="str">
            <v>幻影脚第3段</v>
          </cell>
          <cell r="D937">
            <v>2</v>
          </cell>
          <cell r="E937">
            <v>34</v>
          </cell>
          <cell r="F937" t="str">
            <v>第17级，共造成167.9%点伤害</v>
          </cell>
          <cell r="G937">
            <v>3</v>
          </cell>
          <cell r="H937">
            <v>3</v>
          </cell>
          <cell r="I937">
            <v>17</v>
          </cell>
          <cell r="J937">
            <v>2</v>
          </cell>
          <cell r="K937">
            <v>167.86956521739131</v>
          </cell>
          <cell r="L937">
            <v>0</v>
          </cell>
          <cell r="M937">
            <v>6640</v>
          </cell>
          <cell r="N937">
            <v>6960</v>
          </cell>
          <cell r="O937">
            <v>4</v>
          </cell>
          <cell r="P937">
            <v>1</v>
          </cell>
          <cell r="Q937">
            <v>1</v>
          </cell>
          <cell r="R937">
            <v>10</v>
          </cell>
          <cell r="S937">
            <v>50</v>
          </cell>
          <cell r="T937">
            <v>143.47826086956522</v>
          </cell>
          <cell r="U937">
            <v>696</v>
          </cell>
          <cell r="V937">
            <v>143.47826086956522</v>
          </cell>
          <cell r="W937">
            <v>10</v>
          </cell>
          <cell r="X937">
            <v>107</v>
          </cell>
          <cell r="Y937">
            <v>18</v>
          </cell>
          <cell r="Z937">
            <v>0</v>
          </cell>
        </row>
        <row r="938">
          <cell r="A938">
            <v>9224318</v>
          </cell>
          <cell r="B938" t="str">
            <v>幻影脚第3段</v>
          </cell>
          <cell r="C938" t="str">
            <v>幻影脚第3段</v>
          </cell>
          <cell r="D938">
            <v>2</v>
          </cell>
          <cell r="E938">
            <v>35</v>
          </cell>
          <cell r="F938" t="str">
            <v>第18级，共造成169.3%点伤害</v>
          </cell>
          <cell r="G938">
            <v>3</v>
          </cell>
          <cell r="H938">
            <v>3</v>
          </cell>
          <cell r="I938">
            <v>18</v>
          </cell>
          <cell r="J938">
            <v>2</v>
          </cell>
          <cell r="K938">
            <v>169.30434782608697</v>
          </cell>
          <cell r="L938">
            <v>0</v>
          </cell>
          <cell r="M938">
            <v>6560</v>
          </cell>
          <cell r="N938">
            <v>8173</v>
          </cell>
          <cell r="O938">
            <v>4</v>
          </cell>
          <cell r="P938">
            <v>1</v>
          </cell>
          <cell r="Q938">
            <v>1</v>
          </cell>
          <cell r="R938">
            <v>10</v>
          </cell>
          <cell r="S938">
            <v>50</v>
          </cell>
          <cell r="T938">
            <v>143.47826086956522</v>
          </cell>
          <cell r="U938">
            <v>743</v>
          </cell>
          <cell r="V938">
            <v>143.47826086956522</v>
          </cell>
          <cell r="W938">
            <v>11</v>
          </cell>
          <cell r="X938">
            <v>118</v>
          </cell>
          <cell r="Y938">
            <v>18</v>
          </cell>
          <cell r="Z938">
            <v>5</v>
          </cell>
        </row>
        <row r="939">
          <cell r="A939">
            <v>9224319</v>
          </cell>
          <cell r="B939" t="str">
            <v>幻影脚第3段</v>
          </cell>
          <cell r="C939" t="str">
            <v>幻影脚第3段</v>
          </cell>
          <cell r="D939">
            <v>2</v>
          </cell>
          <cell r="E939">
            <v>37</v>
          </cell>
          <cell r="F939" t="str">
            <v>第19级，共造成170.7%点伤害</v>
          </cell>
          <cell r="G939">
            <v>3</v>
          </cell>
          <cell r="H939">
            <v>3</v>
          </cell>
          <cell r="I939">
            <v>19</v>
          </cell>
          <cell r="J939">
            <v>2</v>
          </cell>
          <cell r="K939">
            <v>170.73913043478262</v>
          </cell>
          <cell r="L939">
            <v>0</v>
          </cell>
          <cell r="M939">
            <v>6480</v>
          </cell>
          <cell r="N939">
            <v>10092</v>
          </cell>
          <cell r="O939">
            <v>4</v>
          </cell>
          <cell r="P939">
            <v>1</v>
          </cell>
          <cell r="Q939">
            <v>1</v>
          </cell>
          <cell r="R939">
            <v>10</v>
          </cell>
          <cell r="S939">
            <v>50</v>
          </cell>
          <cell r="T939">
            <v>143.47826086956522</v>
          </cell>
          <cell r="U939">
            <v>841</v>
          </cell>
          <cell r="V939">
            <v>143.47826086956522</v>
          </cell>
          <cell r="W939">
            <v>12</v>
          </cell>
          <cell r="X939">
            <v>130</v>
          </cell>
          <cell r="Y939">
            <v>18</v>
          </cell>
          <cell r="Z939">
            <v>5</v>
          </cell>
        </row>
        <row r="940">
          <cell r="A940">
            <v>9224320</v>
          </cell>
          <cell r="B940" t="str">
            <v>幻影脚第3段</v>
          </cell>
          <cell r="C940" t="str">
            <v>幻影脚第3段</v>
          </cell>
          <cell r="D940">
            <v>2</v>
          </cell>
          <cell r="E940">
            <v>38</v>
          </cell>
          <cell r="F940" t="str">
            <v>第20级，共造成172.2%点伤害</v>
          </cell>
          <cell r="G940">
            <v>3</v>
          </cell>
          <cell r="H940">
            <v>3</v>
          </cell>
          <cell r="I940">
            <v>20</v>
          </cell>
          <cell r="J940">
            <v>2</v>
          </cell>
          <cell r="K940">
            <v>172.17391304347825</v>
          </cell>
          <cell r="L940">
            <v>0</v>
          </cell>
          <cell r="M940">
            <v>6400</v>
          </cell>
          <cell r="N940">
            <v>11596</v>
          </cell>
          <cell r="O940">
            <v>4</v>
          </cell>
          <cell r="P940">
            <v>1</v>
          </cell>
          <cell r="Q940">
            <v>1</v>
          </cell>
          <cell r="R940">
            <v>10</v>
          </cell>
          <cell r="S940">
            <v>50</v>
          </cell>
          <cell r="T940">
            <v>143.47826086956522</v>
          </cell>
          <cell r="U940">
            <v>892</v>
          </cell>
          <cell r="V940">
            <v>143.47826086956522</v>
          </cell>
          <cell r="W940">
            <v>13</v>
          </cell>
          <cell r="X940">
            <v>143</v>
          </cell>
          <cell r="Y940">
            <v>18</v>
          </cell>
          <cell r="Z940">
            <v>6</v>
          </cell>
        </row>
        <row r="941">
          <cell r="A941">
            <v>9224321</v>
          </cell>
          <cell r="B941" t="str">
            <v>幻影脚第3段</v>
          </cell>
          <cell r="C941" t="str">
            <v>幻影脚第3段</v>
          </cell>
          <cell r="D941">
            <v>2</v>
          </cell>
          <cell r="E941">
            <v>39</v>
          </cell>
          <cell r="F941" t="str">
            <v>第21级，共造成173.6%点伤害</v>
          </cell>
          <cell r="G941">
            <v>3</v>
          </cell>
          <cell r="H941">
            <v>3</v>
          </cell>
          <cell r="I941">
            <v>21</v>
          </cell>
          <cell r="J941">
            <v>2</v>
          </cell>
          <cell r="K941">
            <v>173.60869565217391</v>
          </cell>
          <cell r="L941">
            <v>0</v>
          </cell>
          <cell r="M941">
            <v>6320</v>
          </cell>
          <cell r="N941">
            <v>12272</v>
          </cell>
          <cell r="O941">
            <v>4</v>
          </cell>
          <cell r="P941">
            <v>1</v>
          </cell>
          <cell r="Q941">
            <v>1</v>
          </cell>
          <cell r="R941">
            <v>10</v>
          </cell>
          <cell r="S941">
            <v>50</v>
          </cell>
          <cell r="T941">
            <v>143.47826086956522</v>
          </cell>
          <cell r="U941">
            <v>944</v>
          </cell>
          <cell r="V941">
            <v>143.47826086956522</v>
          </cell>
          <cell r="W941">
            <v>13</v>
          </cell>
          <cell r="X941">
            <v>156</v>
          </cell>
          <cell r="Y941">
            <v>18</v>
          </cell>
          <cell r="Z941">
            <v>6</v>
          </cell>
        </row>
        <row r="942">
          <cell r="A942">
            <v>9224322</v>
          </cell>
          <cell r="B942" t="str">
            <v>幻影脚第3段</v>
          </cell>
          <cell r="C942" t="str">
            <v>幻影脚第3段</v>
          </cell>
          <cell r="D942">
            <v>2</v>
          </cell>
          <cell r="E942">
            <v>41</v>
          </cell>
          <cell r="F942" t="str">
            <v>第22级，共造成175%点伤害</v>
          </cell>
          <cell r="G942">
            <v>3</v>
          </cell>
          <cell r="H942">
            <v>3</v>
          </cell>
          <cell r="I942">
            <v>22</v>
          </cell>
          <cell r="J942">
            <v>2</v>
          </cell>
          <cell r="K942">
            <v>175.04347826086956</v>
          </cell>
          <cell r="L942">
            <v>0</v>
          </cell>
          <cell r="M942">
            <v>6240</v>
          </cell>
          <cell r="N942">
            <v>14742</v>
          </cell>
          <cell r="O942">
            <v>4</v>
          </cell>
          <cell r="P942">
            <v>1</v>
          </cell>
          <cell r="Q942">
            <v>1</v>
          </cell>
          <cell r="R942">
            <v>10</v>
          </cell>
          <cell r="S942">
            <v>50</v>
          </cell>
          <cell r="T942">
            <v>143.47826086956522</v>
          </cell>
          <cell r="U942">
            <v>1053</v>
          </cell>
          <cell r="V942">
            <v>143.47826086956522</v>
          </cell>
          <cell r="W942">
            <v>14</v>
          </cell>
          <cell r="X942">
            <v>170</v>
          </cell>
          <cell r="Y942">
            <v>18</v>
          </cell>
          <cell r="Z942">
            <v>6</v>
          </cell>
        </row>
        <row r="943">
          <cell r="A943">
            <v>9224323</v>
          </cell>
          <cell r="B943" t="str">
            <v>幻影脚第3段</v>
          </cell>
          <cell r="C943" t="str">
            <v>幻影脚第3段</v>
          </cell>
          <cell r="D943">
            <v>2</v>
          </cell>
          <cell r="E943">
            <v>42</v>
          </cell>
          <cell r="F943" t="str">
            <v>第23级，共造成176.5%点伤害</v>
          </cell>
          <cell r="G943">
            <v>3</v>
          </cell>
          <cell r="H943">
            <v>3</v>
          </cell>
          <cell r="I943">
            <v>23</v>
          </cell>
          <cell r="J943">
            <v>2</v>
          </cell>
          <cell r="K943">
            <v>176.47826086956522</v>
          </cell>
          <cell r="L943">
            <v>0</v>
          </cell>
          <cell r="M943">
            <v>6160</v>
          </cell>
          <cell r="N943">
            <v>16650</v>
          </cell>
          <cell r="O943">
            <v>4</v>
          </cell>
          <cell r="P943">
            <v>1</v>
          </cell>
          <cell r="Q943">
            <v>1</v>
          </cell>
          <cell r="R943">
            <v>10</v>
          </cell>
          <cell r="S943">
            <v>50</v>
          </cell>
          <cell r="T943">
            <v>143.47826086956522</v>
          </cell>
          <cell r="U943">
            <v>1110</v>
          </cell>
          <cell r="V943">
            <v>143.47826086956522</v>
          </cell>
          <cell r="W943">
            <v>15</v>
          </cell>
          <cell r="X943">
            <v>185</v>
          </cell>
          <cell r="Y943">
            <v>18</v>
          </cell>
          <cell r="Z943">
            <v>6</v>
          </cell>
        </row>
        <row r="944">
          <cell r="A944">
            <v>9224324</v>
          </cell>
          <cell r="B944" t="str">
            <v>幻影脚第3段</v>
          </cell>
          <cell r="C944" t="str">
            <v>幻影脚第3段</v>
          </cell>
          <cell r="D944">
            <v>2</v>
          </cell>
          <cell r="E944">
            <v>44</v>
          </cell>
          <cell r="F944" t="str">
            <v>第24级，共造成177.9%点伤害</v>
          </cell>
          <cell r="G944">
            <v>3</v>
          </cell>
          <cell r="H944">
            <v>3</v>
          </cell>
          <cell r="I944">
            <v>24</v>
          </cell>
          <cell r="J944">
            <v>2</v>
          </cell>
          <cell r="K944">
            <v>177.91304347826087</v>
          </cell>
          <cell r="L944">
            <v>0</v>
          </cell>
          <cell r="M944">
            <v>6080</v>
          </cell>
          <cell r="N944">
            <v>19616</v>
          </cell>
          <cell r="O944">
            <v>4</v>
          </cell>
          <cell r="P944">
            <v>1</v>
          </cell>
          <cell r="Q944">
            <v>1</v>
          </cell>
          <cell r="R944">
            <v>10</v>
          </cell>
          <cell r="S944">
            <v>50</v>
          </cell>
          <cell r="T944">
            <v>143.47826086956522</v>
          </cell>
          <cell r="U944">
            <v>1226</v>
          </cell>
          <cell r="V944">
            <v>143.47826086956522</v>
          </cell>
          <cell r="W944">
            <v>16</v>
          </cell>
          <cell r="X944">
            <v>201</v>
          </cell>
          <cell r="Y944">
            <v>18</v>
          </cell>
          <cell r="Z944">
            <v>7</v>
          </cell>
        </row>
        <row r="945">
          <cell r="A945">
            <v>9224325</v>
          </cell>
          <cell r="B945" t="str">
            <v>幻影脚第3段</v>
          </cell>
          <cell r="C945" t="str">
            <v>幻影脚第3段</v>
          </cell>
          <cell r="D945">
            <v>2</v>
          </cell>
          <cell r="E945">
            <v>45</v>
          </cell>
          <cell r="F945" t="str">
            <v>第25级，共造成179.3%点伤害</v>
          </cell>
          <cell r="G945">
            <v>3</v>
          </cell>
          <cell r="H945">
            <v>3</v>
          </cell>
          <cell r="I945">
            <v>25</v>
          </cell>
          <cell r="J945">
            <v>2</v>
          </cell>
          <cell r="K945">
            <v>179.34782608695653</v>
          </cell>
          <cell r="L945">
            <v>0</v>
          </cell>
          <cell r="M945">
            <v>6000</v>
          </cell>
          <cell r="N945">
            <v>23166</v>
          </cell>
          <cell r="O945">
            <v>4</v>
          </cell>
          <cell r="P945">
            <v>1</v>
          </cell>
          <cell r="Q945">
            <v>1</v>
          </cell>
          <cell r="R945">
            <v>10</v>
          </cell>
          <cell r="S945">
            <v>50</v>
          </cell>
          <cell r="T945">
            <v>143.47826086956522</v>
          </cell>
          <cell r="U945">
            <v>1287</v>
          </cell>
          <cell r="V945">
            <v>143.47826086956522</v>
          </cell>
          <cell r="W945">
            <v>18</v>
          </cell>
          <cell r="X945">
            <v>219</v>
          </cell>
          <cell r="Y945">
            <v>18</v>
          </cell>
          <cell r="Z945">
            <v>8</v>
          </cell>
        </row>
        <row r="946">
          <cell r="A946">
            <v>9224326</v>
          </cell>
          <cell r="B946" t="str">
            <v>幻影脚第3段</v>
          </cell>
          <cell r="C946" t="str">
            <v>幻影脚第3段</v>
          </cell>
          <cell r="D946">
            <v>2</v>
          </cell>
          <cell r="E946">
            <v>46</v>
          </cell>
          <cell r="F946" t="str">
            <v>第26级，共造成180.8%点伤害</v>
          </cell>
          <cell r="G946">
            <v>3</v>
          </cell>
          <cell r="H946">
            <v>3</v>
          </cell>
          <cell r="I946">
            <v>26</v>
          </cell>
          <cell r="J946">
            <v>2</v>
          </cell>
          <cell r="K946">
            <v>180.78260869565219</v>
          </cell>
          <cell r="L946">
            <v>0</v>
          </cell>
          <cell r="M946">
            <v>5920</v>
          </cell>
          <cell r="N946">
            <v>25631</v>
          </cell>
          <cell r="O946">
            <v>4</v>
          </cell>
          <cell r="P946">
            <v>1</v>
          </cell>
          <cell r="Q946">
            <v>1</v>
          </cell>
          <cell r="R946">
            <v>10</v>
          </cell>
          <cell r="S946">
            <v>50</v>
          </cell>
          <cell r="T946">
            <v>143.47826086956522</v>
          </cell>
          <cell r="U946">
            <v>1349</v>
          </cell>
          <cell r="V946">
            <v>143.47826086956522</v>
          </cell>
          <cell r="W946">
            <v>19</v>
          </cell>
          <cell r="X946">
            <v>238</v>
          </cell>
          <cell r="Y946">
            <v>18</v>
          </cell>
          <cell r="Z946">
            <v>8</v>
          </cell>
        </row>
        <row r="947">
          <cell r="A947">
            <v>9224327</v>
          </cell>
          <cell r="B947" t="str">
            <v>幻影脚第3段</v>
          </cell>
          <cell r="C947" t="str">
            <v>幻影脚第3段</v>
          </cell>
          <cell r="D947">
            <v>2</v>
          </cell>
          <cell r="E947">
            <v>48</v>
          </cell>
          <cell r="F947" t="str">
            <v>第27级，共造成182.2%点伤害</v>
          </cell>
          <cell r="G947">
            <v>3</v>
          </cell>
          <cell r="H947">
            <v>3</v>
          </cell>
          <cell r="I947">
            <v>27</v>
          </cell>
          <cell r="J947">
            <v>2</v>
          </cell>
          <cell r="K947">
            <v>182.21739130434781</v>
          </cell>
          <cell r="L947">
            <v>0</v>
          </cell>
          <cell r="M947">
            <v>5840</v>
          </cell>
          <cell r="N947">
            <v>29540</v>
          </cell>
          <cell r="O947">
            <v>4</v>
          </cell>
          <cell r="P947">
            <v>1</v>
          </cell>
          <cell r="Q947">
            <v>1</v>
          </cell>
          <cell r="R947">
            <v>10</v>
          </cell>
          <cell r="S947">
            <v>50</v>
          </cell>
          <cell r="T947">
            <v>143.47826086956522</v>
          </cell>
          <cell r="U947">
            <v>1477</v>
          </cell>
          <cell r="V947">
            <v>143.47826086956522</v>
          </cell>
          <cell r="W947">
            <v>20</v>
          </cell>
          <cell r="X947">
            <v>258</v>
          </cell>
          <cell r="Y947">
            <v>18</v>
          </cell>
          <cell r="Z947">
            <v>8</v>
          </cell>
        </row>
        <row r="948">
          <cell r="A948">
            <v>9224328</v>
          </cell>
          <cell r="B948" t="str">
            <v>幻影脚第3段</v>
          </cell>
          <cell r="C948" t="str">
            <v>幻影脚第3段</v>
          </cell>
          <cell r="D948">
            <v>2</v>
          </cell>
          <cell r="E948">
            <v>49</v>
          </cell>
          <cell r="F948" t="str">
            <v>第28级，共造成183.7%点伤害</v>
          </cell>
          <cell r="G948">
            <v>3</v>
          </cell>
          <cell r="H948">
            <v>3</v>
          </cell>
          <cell r="I948">
            <v>28</v>
          </cell>
          <cell r="J948">
            <v>2</v>
          </cell>
          <cell r="K948">
            <v>183.65217391304347</v>
          </cell>
          <cell r="L948">
            <v>0</v>
          </cell>
          <cell r="M948">
            <v>5760</v>
          </cell>
          <cell r="N948">
            <v>32403</v>
          </cell>
          <cell r="O948">
            <v>4</v>
          </cell>
          <cell r="P948">
            <v>1</v>
          </cell>
          <cell r="Q948">
            <v>1</v>
          </cell>
          <cell r="R948">
            <v>10</v>
          </cell>
          <cell r="S948">
            <v>50</v>
          </cell>
          <cell r="T948">
            <v>143.47826086956522</v>
          </cell>
          <cell r="U948">
            <v>1543</v>
          </cell>
          <cell r="V948">
            <v>143.47826086956522</v>
          </cell>
          <cell r="W948">
            <v>21</v>
          </cell>
          <cell r="X948">
            <v>279</v>
          </cell>
          <cell r="Y948">
            <v>18</v>
          </cell>
          <cell r="Z948">
            <v>9</v>
          </cell>
        </row>
        <row r="949">
          <cell r="A949">
            <v>9224329</v>
          </cell>
          <cell r="B949" t="str">
            <v>幻影脚第3段</v>
          </cell>
          <cell r="C949" t="str">
            <v>幻影脚第3段</v>
          </cell>
          <cell r="D949">
            <v>2</v>
          </cell>
          <cell r="E949">
            <v>51</v>
          </cell>
          <cell r="F949" t="str">
            <v>第29级，共造成185.1%点伤害</v>
          </cell>
          <cell r="G949">
            <v>3</v>
          </cell>
          <cell r="H949">
            <v>3</v>
          </cell>
          <cell r="I949">
            <v>29</v>
          </cell>
          <cell r="J949">
            <v>2</v>
          </cell>
          <cell r="K949">
            <v>185.08695652173913</v>
          </cell>
          <cell r="L949">
            <v>0</v>
          </cell>
          <cell r="M949">
            <v>5680</v>
          </cell>
          <cell r="N949">
            <v>38617</v>
          </cell>
          <cell r="O949">
            <v>4</v>
          </cell>
          <cell r="P949">
            <v>1</v>
          </cell>
          <cell r="Q949">
            <v>1</v>
          </cell>
          <cell r="R949">
            <v>10</v>
          </cell>
          <cell r="S949">
            <v>50</v>
          </cell>
          <cell r="T949">
            <v>143.47826086956522</v>
          </cell>
          <cell r="U949">
            <v>1679</v>
          </cell>
          <cell r="V949">
            <v>143.47826086956522</v>
          </cell>
          <cell r="W949">
            <v>23</v>
          </cell>
          <cell r="X949">
            <v>302</v>
          </cell>
          <cell r="Y949">
            <v>18</v>
          </cell>
          <cell r="Z949">
            <v>10</v>
          </cell>
        </row>
        <row r="950">
          <cell r="A950">
            <v>9224330</v>
          </cell>
          <cell r="B950" t="str">
            <v>幻影脚第3段</v>
          </cell>
          <cell r="C950" t="str">
            <v>幻影脚第3段</v>
          </cell>
          <cell r="D950">
            <v>2</v>
          </cell>
          <cell r="E950">
            <v>52</v>
          </cell>
          <cell r="F950" t="str">
            <v>第30级，共造成186.5%点伤害</v>
          </cell>
          <cell r="G950">
            <v>3</v>
          </cell>
          <cell r="H950">
            <v>3</v>
          </cell>
          <cell r="I950">
            <v>30</v>
          </cell>
          <cell r="J950">
            <v>2</v>
          </cell>
          <cell r="K950">
            <v>186.52173913043478</v>
          </cell>
          <cell r="L950">
            <v>0</v>
          </cell>
          <cell r="M950">
            <v>5600</v>
          </cell>
          <cell r="N950">
            <v>43725</v>
          </cell>
          <cell r="O950">
            <v>4</v>
          </cell>
          <cell r="P950">
            <v>1</v>
          </cell>
          <cell r="Q950">
            <v>1</v>
          </cell>
          <cell r="R950">
            <v>10</v>
          </cell>
          <cell r="S950">
            <v>50</v>
          </cell>
          <cell r="T950">
            <v>143.47826086956522</v>
          </cell>
          <cell r="U950">
            <v>1749</v>
          </cell>
          <cell r="V950">
            <v>143.47826086956522</v>
          </cell>
          <cell r="W950">
            <v>25</v>
          </cell>
          <cell r="X950">
            <v>327</v>
          </cell>
          <cell r="Y950">
            <v>18</v>
          </cell>
          <cell r="Z950">
            <v>10</v>
          </cell>
        </row>
        <row r="951">
          <cell r="A951">
            <v>9224331</v>
          </cell>
          <cell r="B951" t="str">
            <v>幻影脚第3段</v>
          </cell>
          <cell r="C951" t="str">
            <v>幻影脚第3段</v>
          </cell>
          <cell r="D951">
            <v>2</v>
          </cell>
          <cell r="E951">
            <v>53</v>
          </cell>
          <cell r="F951" t="str">
            <v>第31级，共造成188%点伤害</v>
          </cell>
          <cell r="G951">
            <v>3</v>
          </cell>
          <cell r="H951">
            <v>3</v>
          </cell>
          <cell r="I951">
            <v>31</v>
          </cell>
          <cell r="J951">
            <v>2</v>
          </cell>
          <cell r="K951">
            <v>187.95652173913044</v>
          </cell>
          <cell r="L951">
            <v>0</v>
          </cell>
          <cell r="M951">
            <v>5520</v>
          </cell>
          <cell r="N951">
            <v>47320</v>
          </cell>
          <cell r="O951">
            <v>4</v>
          </cell>
          <cell r="P951">
            <v>1</v>
          </cell>
          <cell r="Q951">
            <v>1</v>
          </cell>
          <cell r="R951">
            <v>10</v>
          </cell>
          <cell r="S951">
            <v>50</v>
          </cell>
          <cell r="T951">
            <v>143.47826086956522</v>
          </cell>
          <cell r="U951">
            <v>1820</v>
          </cell>
          <cell r="V951">
            <v>143.47826086956522</v>
          </cell>
          <cell r="W951">
            <v>26</v>
          </cell>
          <cell r="X951">
            <v>353</v>
          </cell>
          <cell r="Y951">
            <v>18</v>
          </cell>
          <cell r="Z951">
            <v>11</v>
          </cell>
        </row>
        <row r="952">
          <cell r="A952">
            <v>9224332</v>
          </cell>
          <cell r="B952" t="str">
            <v>幻影脚第3段</v>
          </cell>
          <cell r="C952" t="str">
            <v>幻影脚第3段</v>
          </cell>
          <cell r="D952">
            <v>2</v>
          </cell>
          <cell r="E952">
            <v>55</v>
          </cell>
          <cell r="F952" t="str">
            <v>第32级，共造成189.4%点伤害</v>
          </cell>
          <cell r="G952">
            <v>3</v>
          </cell>
          <cell r="H952">
            <v>3</v>
          </cell>
          <cell r="I952">
            <v>32</v>
          </cell>
          <cell r="J952">
            <v>2</v>
          </cell>
          <cell r="K952">
            <v>189.39130434782609</v>
          </cell>
          <cell r="L952">
            <v>0</v>
          </cell>
          <cell r="M952">
            <v>5440</v>
          </cell>
          <cell r="N952">
            <v>55076</v>
          </cell>
          <cell r="O952">
            <v>4</v>
          </cell>
          <cell r="P952">
            <v>1</v>
          </cell>
          <cell r="Q952">
            <v>1</v>
          </cell>
          <cell r="R952">
            <v>10</v>
          </cell>
          <cell r="S952">
            <v>50</v>
          </cell>
          <cell r="T952">
            <v>143.47826086956522</v>
          </cell>
          <cell r="U952">
            <v>1967</v>
          </cell>
          <cell r="V952">
            <v>143.47826086956522</v>
          </cell>
          <cell r="W952">
            <v>28</v>
          </cell>
          <cell r="X952">
            <v>381</v>
          </cell>
          <cell r="Y952">
            <v>18</v>
          </cell>
          <cell r="Z952">
            <v>12</v>
          </cell>
        </row>
        <row r="953">
          <cell r="A953">
            <v>9224333</v>
          </cell>
          <cell r="B953" t="str">
            <v>幻影脚第3段</v>
          </cell>
          <cell r="C953" t="str">
            <v>幻影脚第3段</v>
          </cell>
          <cell r="D953">
            <v>2</v>
          </cell>
          <cell r="E953">
            <v>56</v>
          </cell>
          <cell r="F953" t="str">
            <v>第33级，共造成190.8%点伤害</v>
          </cell>
          <cell r="G953">
            <v>3</v>
          </cell>
          <cell r="H953">
            <v>3</v>
          </cell>
          <cell r="I953">
            <v>33</v>
          </cell>
          <cell r="J953">
            <v>2</v>
          </cell>
          <cell r="K953">
            <v>190.82608695652175</v>
          </cell>
          <cell r="L953">
            <v>0</v>
          </cell>
          <cell r="M953">
            <v>5360</v>
          </cell>
          <cell r="N953">
            <v>61260</v>
          </cell>
          <cell r="O953">
            <v>4</v>
          </cell>
          <cell r="P953">
            <v>1</v>
          </cell>
          <cell r="Q953">
            <v>1</v>
          </cell>
          <cell r="R953">
            <v>10</v>
          </cell>
          <cell r="S953">
            <v>50</v>
          </cell>
          <cell r="T953">
            <v>143.47826086956522</v>
          </cell>
          <cell r="U953">
            <v>2042</v>
          </cell>
          <cell r="V953">
            <v>143.47826086956522</v>
          </cell>
          <cell r="W953">
            <v>30</v>
          </cell>
          <cell r="X953">
            <v>411</v>
          </cell>
          <cell r="Y953">
            <v>18</v>
          </cell>
          <cell r="Z953">
            <v>12</v>
          </cell>
        </row>
        <row r="954">
          <cell r="A954">
            <v>9224334</v>
          </cell>
          <cell r="B954" t="str">
            <v>幻影脚第3段</v>
          </cell>
          <cell r="C954" t="str">
            <v>幻影脚第3段</v>
          </cell>
          <cell r="D954">
            <v>2</v>
          </cell>
          <cell r="E954">
            <v>58</v>
          </cell>
          <cell r="F954" t="str">
            <v>第34级，共造成192.3%点伤害</v>
          </cell>
          <cell r="G954">
            <v>3</v>
          </cell>
          <cell r="H954">
            <v>3</v>
          </cell>
          <cell r="I954">
            <v>34</v>
          </cell>
          <cell r="J954">
            <v>2</v>
          </cell>
          <cell r="K954">
            <v>192.26086956521738</v>
          </cell>
          <cell r="L954">
            <v>0</v>
          </cell>
          <cell r="M954">
            <v>5280</v>
          </cell>
          <cell r="N954">
            <v>70336</v>
          </cell>
          <cell r="O954">
            <v>4</v>
          </cell>
          <cell r="P954">
            <v>1</v>
          </cell>
          <cell r="Q954">
            <v>1</v>
          </cell>
          <cell r="R954">
            <v>10</v>
          </cell>
          <cell r="S954">
            <v>50</v>
          </cell>
          <cell r="T954">
            <v>143.47826086956522</v>
          </cell>
          <cell r="U954">
            <v>2198</v>
          </cell>
          <cell r="V954">
            <v>143.47826086956522</v>
          </cell>
          <cell r="W954">
            <v>32</v>
          </cell>
          <cell r="X954">
            <v>443</v>
          </cell>
          <cell r="Y954">
            <v>18</v>
          </cell>
          <cell r="Z954">
            <v>13</v>
          </cell>
        </row>
        <row r="955">
          <cell r="A955">
            <v>9224335</v>
          </cell>
          <cell r="B955" t="str">
            <v>幻影脚第3段</v>
          </cell>
          <cell r="C955" t="str">
            <v>幻影脚第3段</v>
          </cell>
          <cell r="D955">
            <v>2</v>
          </cell>
          <cell r="E955">
            <v>59</v>
          </cell>
          <cell r="F955" t="str">
            <v>第35级，共造成193.7%点伤害</v>
          </cell>
          <cell r="G955">
            <v>3</v>
          </cell>
          <cell r="H955">
            <v>3</v>
          </cell>
          <cell r="I955">
            <v>35</v>
          </cell>
          <cell r="J955">
            <v>2</v>
          </cell>
          <cell r="K955">
            <v>193.69565217391303</v>
          </cell>
          <cell r="L955">
            <v>0</v>
          </cell>
          <cell r="M955">
            <v>5200</v>
          </cell>
          <cell r="N955">
            <v>77418</v>
          </cell>
          <cell r="O955">
            <v>4</v>
          </cell>
          <cell r="P955">
            <v>1</v>
          </cell>
          <cell r="Q955">
            <v>1</v>
          </cell>
          <cell r="R955">
            <v>10</v>
          </cell>
          <cell r="S955">
            <v>50</v>
          </cell>
          <cell r="T955">
            <v>143.47826086956522</v>
          </cell>
          <cell r="U955">
            <v>2277</v>
          </cell>
          <cell r="V955">
            <v>143.47826086956522</v>
          </cell>
          <cell r="W955">
            <v>34</v>
          </cell>
          <cell r="X955">
            <v>477</v>
          </cell>
          <cell r="Y955">
            <v>18</v>
          </cell>
          <cell r="Z955">
            <v>14</v>
          </cell>
        </row>
        <row r="956">
          <cell r="A956">
            <v>9224336</v>
          </cell>
          <cell r="B956" t="str">
            <v>幻影脚第3段</v>
          </cell>
          <cell r="C956" t="str">
            <v>幻影脚第3段</v>
          </cell>
          <cell r="D956">
            <v>2</v>
          </cell>
          <cell r="E956">
            <v>60</v>
          </cell>
          <cell r="F956" t="str">
            <v>第36级，共造成195.1%点伤害</v>
          </cell>
          <cell r="G956">
            <v>3</v>
          </cell>
          <cell r="H956">
            <v>3</v>
          </cell>
          <cell r="I956">
            <v>36</v>
          </cell>
          <cell r="J956">
            <v>2</v>
          </cell>
          <cell r="K956">
            <v>195.13043478260869</v>
          </cell>
          <cell r="L956">
            <v>0</v>
          </cell>
          <cell r="M956">
            <v>5120</v>
          </cell>
          <cell r="N956">
            <v>87246</v>
          </cell>
          <cell r="O956">
            <v>4</v>
          </cell>
          <cell r="P956">
            <v>1</v>
          </cell>
          <cell r="Q956">
            <v>1</v>
          </cell>
          <cell r="R956">
            <v>10</v>
          </cell>
          <cell r="S956">
            <v>50</v>
          </cell>
          <cell r="T956">
            <v>143.47826086956522</v>
          </cell>
          <cell r="U956">
            <v>2358</v>
          </cell>
          <cell r="V956">
            <v>143.47826086956522</v>
          </cell>
          <cell r="W956">
            <v>37</v>
          </cell>
          <cell r="X956">
            <v>514</v>
          </cell>
          <cell r="Y956">
            <v>18</v>
          </cell>
          <cell r="Z956">
            <v>15</v>
          </cell>
        </row>
        <row r="957">
          <cell r="A957">
            <v>9224337</v>
          </cell>
          <cell r="B957" t="str">
            <v>幻影脚第3段</v>
          </cell>
          <cell r="C957" t="str">
            <v>幻影脚第3段</v>
          </cell>
          <cell r="D957">
            <v>2</v>
          </cell>
          <cell r="E957">
            <v>62</v>
          </cell>
          <cell r="F957" t="str">
            <v>第37级，共造成196.6%点伤害</v>
          </cell>
          <cell r="G957">
            <v>3</v>
          </cell>
          <cell r="H957">
            <v>3</v>
          </cell>
          <cell r="I957">
            <v>37</v>
          </cell>
          <cell r="J957">
            <v>2</v>
          </cell>
          <cell r="K957">
            <v>196.56521739130434</v>
          </cell>
          <cell r="L957">
            <v>0</v>
          </cell>
          <cell r="M957">
            <v>5040</v>
          </cell>
          <cell r="N957">
            <v>98436</v>
          </cell>
          <cell r="O957">
            <v>4</v>
          </cell>
          <cell r="P957">
            <v>1</v>
          </cell>
          <cell r="Q957">
            <v>1</v>
          </cell>
          <cell r="R957">
            <v>10</v>
          </cell>
          <cell r="S957">
            <v>50</v>
          </cell>
          <cell r="T957">
            <v>143.47826086956522</v>
          </cell>
          <cell r="U957">
            <v>2524</v>
          </cell>
          <cell r="V957">
            <v>143.47826086956522</v>
          </cell>
          <cell r="W957">
            <v>39</v>
          </cell>
          <cell r="X957">
            <v>553</v>
          </cell>
          <cell r="Y957">
            <v>18</v>
          </cell>
          <cell r="Z957">
            <v>16</v>
          </cell>
        </row>
        <row r="958">
          <cell r="A958">
            <v>9224338</v>
          </cell>
          <cell r="B958" t="str">
            <v>幻影脚第3段</v>
          </cell>
          <cell r="C958" t="str">
            <v>幻影脚第3段</v>
          </cell>
          <cell r="D958">
            <v>2</v>
          </cell>
          <cell r="E958">
            <v>63</v>
          </cell>
          <cell r="F958" t="str">
            <v>第38级，共造成198%点伤害</v>
          </cell>
          <cell r="G958">
            <v>3</v>
          </cell>
          <cell r="H958">
            <v>3</v>
          </cell>
          <cell r="I958">
            <v>38</v>
          </cell>
          <cell r="J958">
            <v>2</v>
          </cell>
          <cell r="K958">
            <v>198</v>
          </cell>
          <cell r="L958">
            <v>0</v>
          </cell>
          <cell r="M958">
            <v>4960</v>
          </cell>
          <cell r="N958">
            <v>109578</v>
          </cell>
          <cell r="O958">
            <v>4</v>
          </cell>
          <cell r="P958">
            <v>1</v>
          </cell>
          <cell r="Q958">
            <v>1</v>
          </cell>
          <cell r="R958">
            <v>10</v>
          </cell>
          <cell r="S958">
            <v>50</v>
          </cell>
          <cell r="T958">
            <v>143.47826086956522</v>
          </cell>
          <cell r="U958">
            <v>2609</v>
          </cell>
          <cell r="V958">
            <v>143.47826086956522</v>
          </cell>
          <cell r="W958">
            <v>42</v>
          </cell>
          <cell r="X958">
            <v>595</v>
          </cell>
          <cell r="Y958">
            <v>18</v>
          </cell>
          <cell r="Z958">
            <v>17</v>
          </cell>
        </row>
        <row r="959">
          <cell r="A959">
            <v>9224339</v>
          </cell>
          <cell r="B959" t="str">
            <v>幻影脚第3段</v>
          </cell>
          <cell r="C959" t="str">
            <v>幻影脚第3段</v>
          </cell>
          <cell r="D959">
            <v>2</v>
          </cell>
          <cell r="E959">
            <v>65</v>
          </cell>
          <cell r="F959" t="str">
            <v>第39级，共造成199.4%点伤害</v>
          </cell>
          <cell r="G959">
            <v>3</v>
          </cell>
          <cell r="H959">
            <v>3</v>
          </cell>
          <cell r="I959">
            <v>39</v>
          </cell>
          <cell r="J959">
            <v>2</v>
          </cell>
          <cell r="K959">
            <v>199.43478260869566</v>
          </cell>
          <cell r="L959">
            <v>0</v>
          </cell>
          <cell r="M959">
            <v>4880</v>
          </cell>
          <cell r="N959">
            <v>125235</v>
          </cell>
          <cell r="O959">
            <v>4</v>
          </cell>
          <cell r="P959">
            <v>1</v>
          </cell>
          <cell r="Q959">
            <v>1</v>
          </cell>
          <cell r="R959">
            <v>10</v>
          </cell>
          <cell r="S959">
            <v>50</v>
          </cell>
          <cell r="T959">
            <v>143.47826086956522</v>
          </cell>
          <cell r="U959">
            <v>2783</v>
          </cell>
          <cell r="V959">
            <v>143.47826086956522</v>
          </cell>
          <cell r="W959">
            <v>45</v>
          </cell>
          <cell r="X959">
            <v>640</v>
          </cell>
          <cell r="Y959">
            <v>18</v>
          </cell>
          <cell r="Z959">
            <v>18</v>
          </cell>
        </row>
        <row r="960">
          <cell r="A960">
            <v>9224340</v>
          </cell>
          <cell r="B960" t="str">
            <v>幻影脚第3段</v>
          </cell>
          <cell r="C960" t="str">
            <v>幻影脚第3段</v>
          </cell>
          <cell r="D960">
            <v>2</v>
          </cell>
          <cell r="E960">
            <v>66</v>
          </cell>
          <cell r="F960" t="str">
            <v>第40级，共造成200.9%点伤害</v>
          </cell>
          <cell r="G960">
            <v>3</v>
          </cell>
          <cell r="H960">
            <v>3</v>
          </cell>
          <cell r="I960">
            <v>40</v>
          </cell>
          <cell r="J960">
            <v>2</v>
          </cell>
          <cell r="K960">
            <v>200.86956521739131</v>
          </cell>
          <cell r="L960">
            <v>0</v>
          </cell>
          <cell r="M960">
            <v>4800</v>
          </cell>
          <cell r="N960">
            <v>137856</v>
          </cell>
          <cell r="O960">
            <v>4</v>
          </cell>
          <cell r="P960">
            <v>1</v>
          </cell>
          <cell r="Q960">
            <v>1</v>
          </cell>
          <cell r="R960">
            <v>10</v>
          </cell>
          <cell r="S960">
            <v>50</v>
          </cell>
          <cell r="T960">
            <v>143.47826086956522</v>
          </cell>
          <cell r="U960">
            <v>2872</v>
          </cell>
          <cell r="V960">
            <v>143.47826086956522</v>
          </cell>
          <cell r="W960">
            <v>48</v>
          </cell>
          <cell r="X960">
            <v>688</v>
          </cell>
          <cell r="Y960">
            <v>18</v>
          </cell>
          <cell r="Z960">
            <v>20</v>
          </cell>
        </row>
        <row r="961">
          <cell r="A961">
            <v>9224341</v>
          </cell>
          <cell r="B961" t="str">
            <v>幻影脚第3段</v>
          </cell>
          <cell r="C961" t="str">
            <v>幻影脚第3段</v>
          </cell>
          <cell r="D961">
            <v>2</v>
          </cell>
          <cell r="E961">
            <v>67</v>
          </cell>
          <cell r="F961" t="str">
            <v>第41级，共造成202.3%点伤害</v>
          </cell>
          <cell r="G961">
            <v>3</v>
          </cell>
          <cell r="H961">
            <v>3</v>
          </cell>
          <cell r="I961">
            <v>41</v>
          </cell>
          <cell r="J961">
            <v>2</v>
          </cell>
          <cell r="K961">
            <v>202.30434782608694</v>
          </cell>
          <cell r="L961">
            <v>0</v>
          </cell>
          <cell r="M961">
            <v>4720</v>
          </cell>
          <cell r="N961">
            <v>151113</v>
          </cell>
          <cell r="O961">
            <v>4</v>
          </cell>
          <cell r="P961">
            <v>1</v>
          </cell>
          <cell r="Q961">
            <v>1</v>
          </cell>
          <cell r="R961">
            <v>10</v>
          </cell>
          <cell r="S961">
            <v>50</v>
          </cell>
          <cell r="T961">
            <v>143.47826086956522</v>
          </cell>
          <cell r="U961">
            <v>2963</v>
          </cell>
          <cell r="V961">
            <v>143.47826086956522</v>
          </cell>
          <cell r="W961">
            <v>51</v>
          </cell>
          <cell r="X961">
            <v>739</v>
          </cell>
          <cell r="Y961">
            <v>18</v>
          </cell>
          <cell r="Z961">
            <v>21</v>
          </cell>
        </row>
        <row r="962">
          <cell r="A962">
            <v>9224342</v>
          </cell>
          <cell r="B962" t="str">
            <v>幻影脚第3段</v>
          </cell>
          <cell r="C962" t="str">
            <v>幻影脚第3段</v>
          </cell>
          <cell r="D962">
            <v>2</v>
          </cell>
          <cell r="E962">
            <v>69</v>
          </cell>
          <cell r="F962" t="str">
            <v>第42级，共造成203.7%点伤害</v>
          </cell>
          <cell r="G962">
            <v>3</v>
          </cell>
          <cell r="H962">
            <v>3</v>
          </cell>
          <cell r="I962">
            <v>42</v>
          </cell>
          <cell r="J962">
            <v>2</v>
          </cell>
          <cell r="K962">
            <v>203.73913043478262</v>
          </cell>
          <cell r="L962">
            <v>0</v>
          </cell>
          <cell r="M962">
            <v>4640</v>
          </cell>
          <cell r="N962">
            <v>173085</v>
          </cell>
          <cell r="O962">
            <v>4</v>
          </cell>
          <cell r="P962">
            <v>1</v>
          </cell>
          <cell r="Q962">
            <v>1</v>
          </cell>
          <cell r="R962">
            <v>10</v>
          </cell>
          <cell r="S962">
            <v>50</v>
          </cell>
          <cell r="T962">
            <v>143.47826086956522</v>
          </cell>
          <cell r="U962">
            <v>3147</v>
          </cell>
          <cell r="V962">
            <v>143.47826086956522</v>
          </cell>
          <cell r="W962">
            <v>55</v>
          </cell>
          <cell r="X962">
            <v>794</v>
          </cell>
          <cell r="Y962">
            <v>18</v>
          </cell>
          <cell r="Z962">
            <v>22</v>
          </cell>
        </row>
        <row r="963">
          <cell r="A963">
            <v>9224343</v>
          </cell>
          <cell r="B963" t="str">
            <v>幻影脚第3段</v>
          </cell>
          <cell r="C963" t="str">
            <v>幻影脚第3段</v>
          </cell>
          <cell r="D963">
            <v>2</v>
          </cell>
          <cell r="E963">
            <v>70</v>
          </cell>
          <cell r="F963" t="str">
            <v>第43级，共造成205.2%点伤害</v>
          </cell>
          <cell r="G963">
            <v>3</v>
          </cell>
          <cell r="H963">
            <v>3</v>
          </cell>
          <cell r="I963">
            <v>43</v>
          </cell>
          <cell r="J963">
            <v>2</v>
          </cell>
          <cell r="K963">
            <v>205.17391304347825</v>
          </cell>
          <cell r="L963">
            <v>0</v>
          </cell>
          <cell r="M963">
            <v>4560</v>
          </cell>
          <cell r="N963">
            <v>191278</v>
          </cell>
          <cell r="O963">
            <v>4</v>
          </cell>
          <cell r="P963">
            <v>1</v>
          </cell>
          <cell r="Q963">
            <v>1</v>
          </cell>
          <cell r="R963">
            <v>10</v>
          </cell>
          <cell r="S963">
            <v>50</v>
          </cell>
          <cell r="T963">
            <v>143.47826086956522</v>
          </cell>
          <cell r="U963">
            <v>3242</v>
          </cell>
          <cell r="V963">
            <v>143.47826086956522</v>
          </cell>
          <cell r="W963">
            <v>59</v>
          </cell>
          <cell r="X963">
            <v>853</v>
          </cell>
          <cell r="Y963">
            <v>18</v>
          </cell>
          <cell r="Z963">
            <v>24</v>
          </cell>
        </row>
        <row r="964">
          <cell r="A964">
            <v>9224344</v>
          </cell>
          <cell r="B964" t="str">
            <v>幻影脚第3段</v>
          </cell>
          <cell r="C964" t="str">
            <v>幻影脚第3段</v>
          </cell>
          <cell r="D964">
            <v>2</v>
          </cell>
          <cell r="E964">
            <v>72</v>
          </cell>
          <cell r="F964" t="str">
            <v>第44级，共造成206.6%点伤害</v>
          </cell>
          <cell r="G964">
            <v>3</v>
          </cell>
          <cell r="H964">
            <v>3</v>
          </cell>
          <cell r="I964">
            <v>44</v>
          </cell>
          <cell r="J964">
            <v>2</v>
          </cell>
          <cell r="K964">
            <v>206.60869565217391</v>
          </cell>
          <cell r="L964">
            <v>0</v>
          </cell>
          <cell r="M964">
            <v>4480</v>
          </cell>
          <cell r="N964">
            <v>216405</v>
          </cell>
          <cell r="O964">
            <v>4</v>
          </cell>
          <cell r="P964">
            <v>1</v>
          </cell>
          <cell r="Q964">
            <v>1</v>
          </cell>
          <cell r="R964">
            <v>10</v>
          </cell>
          <cell r="S964">
            <v>50</v>
          </cell>
          <cell r="T964">
            <v>143.47826086956522</v>
          </cell>
          <cell r="U964">
            <v>3435</v>
          </cell>
          <cell r="V964">
            <v>143.47826086956522</v>
          </cell>
          <cell r="W964">
            <v>63</v>
          </cell>
          <cell r="X964">
            <v>916</v>
          </cell>
          <cell r="Y964">
            <v>18</v>
          </cell>
          <cell r="Z964">
            <v>26</v>
          </cell>
        </row>
        <row r="965">
          <cell r="A965">
            <v>9224345</v>
          </cell>
          <cell r="B965" t="str">
            <v>幻影脚第3段</v>
          </cell>
          <cell r="C965" t="str">
            <v>幻影脚第3段</v>
          </cell>
          <cell r="D965">
            <v>2</v>
          </cell>
          <cell r="E965">
            <v>73</v>
          </cell>
          <cell r="F965" t="str">
            <v>第45级，共造成208%点伤害</v>
          </cell>
          <cell r="G965">
            <v>3</v>
          </cell>
          <cell r="H965">
            <v>3</v>
          </cell>
          <cell r="I965">
            <v>45</v>
          </cell>
          <cell r="J965">
            <v>2</v>
          </cell>
          <cell r="K965">
            <v>208.04347826086956</v>
          </cell>
          <cell r="L965">
            <v>0</v>
          </cell>
          <cell r="M965">
            <v>4400</v>
          </cell>
          <cell r="N965">
            <v>240312</v>
          </cell>
          <cell r="O965">
            <v>4</v>
          </cell>
          <cell r="P965">
            <v>1</v>
          </cell>
          <cell r="Q965">
            <v>1</v>
          </cell>
          <cell r="R965">
            <v>10</v>
          </cell>
          <cell r="S965">
            <v>50</v>
          </cell>
          <cell r="T965">
            <v>143.47826086956522</v>
          </cell>
          <cell r="U965">
            <v>3534</v>
          </cell>
          <cell r="V965">
            <v>143.47826086956522</v>
          </cell>
          <cell r="W965">
            <v>68</v>
          </cell>
          <cell r="X965">
            <v>984</v>
          </cell>
          <cell r="Y965">
            <v>18</v>
          </cell>
          <cell r="Z965">
            <v>28</v>
          </cell>
        </row>
        <row r="966">
          <cell r="A966">
            <v>9224346</v>
          </cell>
          <cell r="B966" t="str">
            <v>幻影脚第3段</v>
          </cell>
          <cell r="C966" t="str">
            <v>幻影脚第3段</v>
          </cell>
          <cell r="D966">
            <v>2</v>
          </cell>
          <cell r="E966">
            <v>74</v>
          </cell>
          <cell r="F966" t="str">
            <v>第46级，共造成209.5%点伤害</v>
          </cell>
          <cell r="G966">
            <v>3</v>
          </cell>
          <cell r="H966">
            <v>3</v>
          </cell>
          <cell r="I966">
            <v>46</v>
          </cell>
          <cell r="J966">
            <v>2</v>
          </cell>
          <cell r="K966">
            <v>209.47826086956522</v>
          </cell>
          <cell r="L966">
            <v>0</v>
          </cell>
          <cell r="M966">
            <v>4320</v>
          </cell>
          <cell r="N966">
            <v>261648</v>
          </cell>
          <cell r="O966">
            <v>4</v>
          </cell>
          <cell r="P966">
            <v>1</v>
          </cell>
          <cell r="Q966">
            <v>1</v>
          </cell>
          <cell r="R966">
            <v>10</v>
          </cell>
          <cell r="S966">
            <v>50</v>
          </cell>
          <cell r="T966">
            <v>143.47826086956522</v>
          </cell>
          <cell r="U966">
            <v>3634</v>
          </cell>
          <cell r="V966">
            <v>143.47826086956522</v>
          </cell>
          <cell r="W966">
            <v>72</v>
          </cell>
          <cell r="X966">
            <v>1056</v>
          </cell>
          <cell r="Y966">
            <v>18</v>
          </cell>
          <cell r="Z966">
            <v>29</v>
          </cell>
        </row>
        <row r="967">
          <cell r="A967">
            <v>9224347</v>
          </cell>
          <cell r="B967" t="str">
            <v>幻影脚第3段</v>
          </cell>
          <cell r="C967" t="str">
            <v>幻影脚第3段</v>
          </cell>
          <cell r="D967">
            <v>2</v>
          </cell>
          <cell r="E967">
            <v>76</v>
          </cell>
          <cell r="F967" t="str">
            <v>第47级，共造成210.9%点伤害</v>
          </cell>
          <cell r="G967">
            <v>3</v>
          </cell>
          <cell r="H967">
            <v>3</v>
          </cell>
          <cell r="I967">
            <v>47</v>
          </cell>
          <cell r="J967">
            <v>2</v>
          </cell>
          <cell r="K967">
            <v>210.91304347826087</v>
          </cell>
          <cell r="L967">
            <v>0</v>
          </cell>
          <cell r="M967">
            <v>4240</v>
          </cell>
          <cell r="N967">
            <v>295526</v>
          </cell>
          <cell r="O967">
            <v>4</v>
          </cell>
          <cell r="P967">
            <v>1</v>
          </cell>
          <cell r="Q967">
            <v>1</v>
          </cell>
          <cell r="R967">
            <v>10</v>
          </cell>
          <cell r="S967">
            <v>50</v>
          </cell>
          <cell r="T967">
            <v>143.47826086956522</v>
          </cell>
          <cell r="U967">
            <v>3838</v>
          </cell>
          <cell r="V967">
            <v>143.47826086956522</v>
          </cell>
          <cell r="W967">
            <v>77</v>
          </cell>
          <cell r="X967">
            <v>1133</v>
          </cell>
          <cell r="Y967">
            <v>18</v>
          </cell>
          <cell r="Z967">
            <v>31</v>
          </cell>
        </row>
        <row r="968">
          <cell r="A968">
            <v>9224348</v>
          </cell>
          <cell r="B968" t="str">
            <v>幻影脚第3段</v>
          </cell>
          <cell r="C968" t="str">
            <v>幻影脚第3段</v>
          </cell>
          <cell r="D968">
            <v>2</v>
          </cell>
          <cell r="E968">
            <v>77</v>
          </cell>
          <cell r="F968" t="str">
            <v>第48级，共造成212.3%点伤害</v>
          </cell>
          <cell r="G968">
            <v>3</v>
          </cell>
          <cell r="H968">
            <v>3</v>
          </cell>
          <cell r="I968">
            <v>48</v>
          </cell>
          <cell r="J968">
            <v>2</v>
          </cell>
          <cell r="K968">
            <v>212.3478260869565</v>
          </cell>
          <cell r="L968">
            <v>0</v>
          </cell>
          <cell r="M968">
            <v>4160</v>
          </cell>
          <cell r="N968">
            <v>327186</v>
          </cell>
          <cell r="O968">
            <v>4</v>
          </cell>
          <cell r="P968">
            <v>1</v>
          </cell>
          <cell r="Q968">
            <v>1</v>
          </cell>
          <cell r="R968">
            <v>10</v>
          </cell>
          <cell r="S968">
            <v>50</v>
          </cell>
          <cell r="T968">
            <v>143.47826086956522</v>
          </cell>
          <cell r="U968">
            <v>3942</v>
          </cell>
          <cell r="V968">
            <v>143.47826086956522</v>
          </cell>
          <cell r="W968">
            <v>83</v>
          </cell>
          <cell r="X968">
            <v>1216</v>
          </cell>
          <cell r="Y968">
            <v>18</v>
          </cell>
          <cell r="Z968">
            <v>34</v>
          </cell>
        </row>
        <row r="969">
          <cell r="A969">
            <v>9224349</v>
          </cell>
          <cell r="B969" t="str">
            <v>幻影脚第3段</v>
          </cell>
          <cell r="C969" t="str">
            <v>幻影脚第3段</v>
          </cell>
          <cell r="D969">
            <v>2</v>
          </cell>
          <cell r="E969">
            <v>79</v>
          </cell>
          <cell r="F969" t="str">
            <v>第49级，共造成213.8%点伤害</v>
          </cell>
          <cell r="G969">
            <v>3</v>
          </cell>
          <cell r="H969">
            <v>3</v>
          </cell>
          <cell r="I969">
            <v>49</v>
          </cell>
          <cell r="J969">
            <v>2</v>
          </cell>
          <cell r="K969">
            <v>213.78260869565219</v>
          </cell>
          <cell r="L969">
            <v>0</v>
          </cell>
          <cell r="M969">
            <v>4080</v>
          </cell>
          <cell r="N969">
            <v>369706</v>
          </cell>
          <cell r="O969">
            <v>4</v>
          </cell>
          <cell r="P969">
            <v>1</v>
          </cell>
          <cell r="Q969">
            <v>1</v>
          </cell>
          <cell r="R969">
            <v>10</v>
          </cell>
          <cell r="S969">
            <v>50</v>
          </cell>
          <cell r="T969">
            <v>143.47826086956522</v>
          </cell>
          <cell r="U969">
            <v>4154</v>
          </cell>
          <cell r="V969">
            <v>143.47826086956522</v>
          </cell>
          <cell r="W969">
            <v>89</v>
          </cell>
          <cell r="X969">
            <v>1305</v>
          </cell>
          <cell r="Y969">
            <v>18</v>
          </cell>
          <cell r="Z969">
            <v>36</v>
          </cell>
        </row>
        <row r="970">
          <cell r="A970">
            <v>9224350</v>
          </cell>
          <cell r="B970" t="str">
            <v>幻影脚第3段</v>
          </cell>
          <cell r="C970" t="str">
            <v>幻影脚第3段</v>
          </cell>
          <cell r="D970">
            <v>2</v>
          </cell>
          <cell r="E970">
            <v>80</v>
          </cell>
          <cell r="F970" t="str">
            <v>第50级，共造成215.2%点伤害</v>
          </cell>
          <cell r="G970">
            <v>3</v>
          </cell>
          <cell r="H970">
            <v>3</v>
          </cell>
          <cell r="I970">
            <v>50</v>
          </cell>
          <cell r="J970">
            <v>2</v>
          </cell>
          <cell r="K970">
            <v>215.21739130434781</v>
          </cell>
          <cell r="L970">
            <v>0</v>
          </cell>
          <cell r="M970">
            <v>4000</v>
          </cell>
          <cell r="N970">
            <v>404890</v>
          </cell>
          <cell r="O970">
            <v>4</v>
          </cell>
          <cell r="P970">
            <v>1</v>
          </cell>
          <cell r="Q970">
            <v>1</v>
          </cell>
          <cell r="R970">
            <v>10</v>
          </cell>
          <cell r="S970">
            <v>50</v>
          </cell>
          <cell r="T970">
            <v>143.47826086956522</v>
          </cell>
          <cell r="U970">
            <v>4262</v>
          </cell>
          <cell r="V970">
            <v>143.47826086956522</v>
          </cell>
          <cell r="W970">
            <v>95</v>
          </cell>
          <cell r="X970">
            <v>1400</v>
          </cell>
          <cell r="Y970">
            <v>18</v>
          </cell>
          <cell r="Z970">
            <v>38</v>
          </cell>
        </row>
        <row r="971">
          <cell r="A971">
            <v>1</v>
          </cell>
          <cell r="B971" t="str">
            <v>幻影脚</v>
          </cell>
          <cell r="C971" t="str">
            <v>幻影脚第4段</v>
          </cell>
          <cell r="D971">
            <v>2</v>
          </cell>
          <cell r="E971">
            <v>6</v>
          </cell>
          <cell r="F971" t="str">
            <v>第0级，共造成179.3%点伤害</v>
          </cell>
          <cell r="G971">
            <v>0</v>
          </cell>
          <cell r="H971">
            <v>4</v>
          </cell>
          <cell r="I971">
            <v>0</v>
          </cell>
          <cell r="J971">
            <v>2</v>
          </cell>
          <cell r="K971">
            <v>179.34782608695653</v>
          </cell>
          <cell r="L971">
            <v>0</v>
          </cell>
          <cell r="M971">
            <v>8000</v>
          </cell>
          <cell r="N971">
            <v>0</v>
          </cell>
          <cell r="O971">
            <v>4</v>
          </cell>
          <cell r="P971">
            <v>1</v>
          </cell>
          <cell r="Q971">
            <v>1</v>
          </cell>
          <cell r="R971">
            <v>12</v>
          </cell>
          <cell r="S971">
            <v>50</v>
          </cell>
          <cell r="T971">
            <v>179.34782608695653</v>
          </cell>
          <cell r="U971">
            <v>80</v>
          </cell>
          <cell r="V971">
            <v>179.34782608695653</v>
          </cell>
          <cell r="W971">
            <v>0</v>
          </cell>
          <cell r="X971">
            <v>0</v>
          </cell>
          <cell r="Y971">
            <v>18</v>
          </cell>
          <cell r="Z971">
            <v>0</v>
          </cell>
        </row>
        <row r="972">
          <cell r="A972">
            <v>9224401</v>
          </cell>
          <cell r="B972" t="str">
            <v>幻影脚第4段</v>
          </cell>
          <cell r="C972" t="str">
            <v>幻影脚第4段</v>
          </cell>
          <cell r="D972">
            <v>2</v>
          </cell>
          <cell r="E972">
            <v>6</v>
          </cell>
          <cell r="F972" t="str">
            <v>第1级，共造成179.3%点伤害</v>
          </cell>
          <cell r="G972">
            <v>4</v>
          </cell>
          <cell r="H972">
            <v>4</v>
          </cell>
          <cell r="I972">
            <v>1</v>
          </cell>
          <cell r="J972">
            <v>2</v>
          </cell>
          <cell r="K972">
            <v>179.34782608695653</v>
          </cell>
          <cell r="L972">
            <v>0</v>
          </cell>
          <cell r="M972">
            <v>8000</v>
          </cell>
          <cell r="N972">
            <v>480</v>
          </cell>
          <cell r="O972">
            <v>4</v>
          </cell>
          <cell r="P972">
            <v>1</v>
          </cell>
          <cell r="Q972">
            <v>1</v>
          </cell>
          <cell r="R972">
            <v>12</v>
          </cell>
          <cell r="S972">
            <v>50</v>
          </cell>
          <cell r="T972">
            <v>179.34782608695653</v>
          </cell>
          <cell r="U972">
            <v>80</v>
          </cell>
          <cell r="V972">
            <v>179.34782608695653</v>
          </cell>
          <cell r="W972">
            <v>6</v>
          </cell>
          <cell r="X972">
            <v>6</v>
          </cell>
          <cell r="Y972">
            <v>18</v>
          </cell>
          <cell r="Z972">
            <v>0</v>
          </cell>
        </row>
        <row r="973">
          <cell r="A973">
            <v>9224402</v>
          </cell>
          <cell r="B973" t="str">
            <v>幻影脚第4段</v>
          </cell>
          <cell r="C973" t="str">
            <v>幻影脚第4段</v>
          </cell>
          <cell r="D973">
            <v>2</v>
          </cell>
          <cell r="E973">
            <v>15</v>
          </cell>
          <cell r="F973" t="str">
            <v>第2级，共造成182.9%点伤害</v>
          </cell>
          <cell r="G973">
            <v>4</v>
          </cell>
          <cell r="H973">
            <v>4</v>
          </cell>
          <cell r="I973">
            <v>2</v>
          </cell>
          <cell r="J973">
            <v>2</v>
          </cell>
          <cell r="K973">
            <v>182.93478260869566</v>
          </cell>
          <cell r="L973">
            <v>0</v>
          </cell>
          <cell r="M973">
            <v>7840</v>
          </cell>
          <cell r="N973">
            <v>938</v>
          </cell>
          <cell r="O973">
            <v>4</v>
          </cell>
          <cell r="P973">
            <v>1</v>
          </cell>
          <cell r="Q973">
            <v>1</v>
          </cell>
          <cell r="R973">
            <v>12</v>
          </cell>
          <cell r="S973">
            <v>50</v>
          </cell>
          <cell r="T973">
            <v>179.34782608695653</v>
          </cell>
          <cell r="U973">
            <v>134</v>
          </cell>
          <cell r="V973">
            <v>179.34782608695653</v>
          </cell>
          <cell r="W973">
            <v>7</v>
          </cell>
          <cell r="X973">
            <v>13</v>
          </cell>
          <cell r="Y973">
            <v>18</v>
          </cell>
          <cell r="Z973">
            <v>0</v>
          </cell>
        </row>
        <row r="974">
          <cell r="A974">
            <v>9224403</v>
          </cell>
          <cell r="B974" t="str">
            <v>幻影脚第4段</v>
          </cell>
          <cell r="C974" t="str">
            <v>幻影脚第4段</v>
          </cell>
          <cell r="D974">
            <v>2</v>
          </cell>
          <cell r="E974">
            <v>16</v>
          </cell>
          <cell r="F974" t="str">
            <v>第3级，共造成184.7%点伤害</v>
          </cell>
          <cell r="G974">
            <v>4</v>
          </cell>
          <cell r="H974">
            <v>4</v>
          </cell>
          <cell r="I974">
            <v>3</v>
          </cell>
          <cell r="J974">
            <v>2</v>
          </cell>
          <cell r="K974">
            <v>184.72826086956522</v>
          </cell>
          <cell r="L974">
            <v>0</v>
          </cell>
          <cell r="M974">
            <v>7760</v>
          </cell>
          <cell r="N974">
            <v>980</v>
          </cell>
          <cell r="O974">
            <v>4</v>
          </cell>
          <cell r="P974">
            <v>1</v>
          </cell>
          <cell r="Q974">
            <v>1</v>
          </cell>
          <cell r="R974">
            <v>12</v>
          </cell>
          <cell r="S974">
            <v>50</v>
          </cell>
          <cell r="T974">
            <v>179.34782608695653</v>
          </cell>
          <cell r="U974">
            <v>140</v>
          </cell>
          <cell r="V974">
            <v>179.34782608695653</v>
          </cell>
          <cell r="W974">
            <v>7</v>
          </cell>
          <cell r="X974">
            <v>20</v>
          </cell>
          <cell r="Y974">
            <v>18</v>
          </cell>
          <cell r="Z974">
            <v>0</v>
          </cell>
        </row>
        <row r="975">
          <cell r="A975">
            <v>9224404</v>
          </cell>
          <cell r="B975" t="str">
            <v>幻影脚第4段</v>
          </cell>
          <cell r="C975" t="str">
            <v>幻影脚第4段</v>
          </cell>
          <cell r="D975">
            <v>2</v>
          </cell>
          <cell r="E975">
            <v>17</v>
          </cell>
          <cell r="F975" t="str">
            <v>第4级，共造成186.5%点伤害</v>
          </cell>
          <cell r="G975">
            <v>4</v>
          </cell>
          <cell r="H975">
            <v>4</v>
          </cell>
          <cell r="I975">
            <v>4</v>
          </cell>
          <cell r="J975">
            <v>2</v>
          </cell>
          <cell r="K975">
            <v>186.52173913043478</v>
          </cell>
          <cell r="L975">
            <v>0</v>
          </cell>
          <cell r="M975">
            <v>7680</v>
          </cell>
          <cell r="N975">
            <v>1168</v>
          </cell>
          <cell r="O975">
            <v>4</v>
          </cell>
          <cell r="P975">
            <v>1</v>
          </cell>
          <cell r="Q975">
            <v>1</v>
          </cell>
          <cell r="R975">
            <v>12</v>
          </cell>
          <cell r="S975">
            <v>50</v>
          </cell>
          <cell r="T975">
            <v>179.34782608695653</v>
          </cell>
          <cell r="U975">
            <v>146</v>
          </cell>
          <cell r="V975">
            <v>179.34782608695653</v>
          </cell>
          <cell r="W975">
            <v>8</v>
          </cell>
          <cell r="X975">
            <v>28</v>
          </cell>
          <cell r="Y975">
            <v>18</v>
          </cell>
          <cell r="Z975">
            <v>0</v>
          </cell>
        </row>
        <row r="976">
          <cell r="A976">
            <v>9224405</v>
          </cell>
          <cell r="B976" t="str">
            <v>幻影脚第4段</v>
          </cell>
          <cell r="C976" t="str">
            <v>幻影脚第4段</v>
          </cell>
          <cell r="D976">
            <v>2</v>
          </cell>
          <cell r="E976">
            <v>19</v>
          </cell>
          <cell r="F976" t="str">
            <v>第5级，共造成188.3%点伤害</v>
          </cell>
          <cell r="G976">
            <v>4</v>
          </cell>
          <cell r="H976">
            <v>4</v>
          </cell>
          <cell r="I976">
            <v>5</v>
          </cell>
          <cell r="J976">
            <v>2</v>
          </cell>
          <cell r="K976">
            <v>188.31521739130437</v>
          </cell>
          <cell r="L976">
            <v>0</v>
          </cell>
          <cell r="M976">
            <v>7600</v>
          </cell>
          <cell r="N976">
            <v>1264</v>
          </cell>
          <cell r="O976">
            <v>4</v>
          </cell>
          <cell r="P976">
            <v>1</v>
          </cell>
          <cell r="Q976">
            <v>1</v>
          </cell>
          <cell r="R976">
            <v>12</v>
          </cell>
          <cell r="S976">
            <v>50</v>
          </cell>
          <cell r="T976">
            <v>179.34782608695653</v>
          </cell>
          <cell r="U976">
            <v>158</v>
          </cell>
          <cell r="V976">
            <v>179.34782608695653</v>
          </cell>
          <cell r="W976">
            <v>8</v>
          </cell>
          <cell r="X976">
            <v>36</v>
          </cell>
          <cell r="Y976">
            <v>18</v>
          </cell>
          <cell r="Z976">
            <v>0</v>
          </cell>
        </row>
        <row r="977">
          <cell r="A977">
            <v>9224406</v>
          </cell>
          <cell r="B977" t="str">
            <v>幻影脚第4段</v>
          </cell>
          <cell r="C977" t="str">
            <v>幻影脚第4段</v>
          </cell>
          <cell r="D977">
            <v>2</v>
          </cell>
          <cell r="E977">
            <v>20</v>
          </cell>
          <cell r="F977" t="str">
            <v>第6级，共造成190.1%点伤害</v>
          </cell>
          <cell r="G977">
            <v>4</v>
          </cell>
          <cell r="H977">
            <v>4</v>
          </cell>
          <cell r="I977">
            <v>6</v>
          </cell>
          <cell r="J977">
            <v>2</v>
          </cell>
          <cell r="K977">
            <v>190.10869565217394</v>
          </cell>
          <cell r="L977">
            <v>0</v>
          </cell>
          <cell r="M977">
            <v>7520</v>
          </cell>
          <cell r="N977">
            <v>1638</v>
          </cell>
          <cell r="O977">
            <v>4</v>
          </cell>
          <cell r="P977">
            <v>1</v>
          </cell>
          <cell r="Q977">
            <v>1</v>
          </cell>
          <cell r="R977">
            <v>12</v>
          </cell>
          <cell r="S977">
            <v>50</v>
          </cell>
          <cell r="T977">
            <v>179.34782608695653</v>
          </cell>
          <cell r="U977">
            <v>182</v>
          </cell>
          <cell r="V977">
            <v>179.34782608695653</v>
          </cell>
          <cell r="W977">
            <v>9</v>
          </cell>
          <cell r="X977">
            <v>45</v>
          </cell>
          <cell r="Y977">
            <v>18</v>
          </cell>
          <cell r="Z977">
            <v>0</v>
          </cell>
        </row>
        <row r="978">
          <cell r="A978">
            <v>9224407</v>
          </cell>
          <cell r="B978" t="str">
            <v>幻影脚第4段</v>
          </cell>
          <cell r="C978" t="str">
            <v>幻影脚第4段</v>
          </cell>
          <cell r="D978">
            <v>2</v>
          </cell>
          <cell r="E978">
            <v>22</v>
          </cell>
          <cell r="F978" t="str">
            <v>第7级，共造成191.9%点伤害</v>
          </cell>
          <cell r="G978">
            <v>4</v>
          </cell>
          <cell r="H978">
            <v>4</v>
          </cell>
          <cell r="I978">
            <v>7</v>
          </cell>
          <cell r="J978">
            <v>2</v>
          </cell>
          <cell r="K978">
            <v>191.9021739130435</v>
          </cell>
          <cell r="L978">
            <v>0</v>
          </cell>
          <cell r="M978">
            <v>7440</v>
          </cell>
          <cell r="N978">
            <v>2151</v>
          </cell>
          <cell r="O978">
            <v>4</v>
          </cell>
          <cell r="P978">
            <v>1</v>
          </cell>
          <cell r="Q978">
            <v>1</v>
          </cell>
          <cell r="R978">
            <v>12</v>
          </cell>
          <cell r="S978">
            <v>50</v>
          </cell>
          <cell r="T978">
            <v>179.34782608695653</v>
          </cell>
          <cell r="U978">
            <v>239</v>
          </cell>
          <cell r="V978">
            <v>179.34782608695653</v>
          </cell>
          <cell r="W978">
            <v>9</v>
          </cell>
          <cell r="X978">
            <v>54</v>
          </cell>
          <cell r="Y978">
            <v>18</v>
          </cell>
          <cell r="Z978">
            <v>0</v>
          </cell>
        </row>
        <row r="979">
          <cell r="A979">
            <v>9224408</v>
          </cell>
          <cell r="B979" t="str">
            <v>幻影脚第4段</v>
          </cell>
          <cell r="C979" t="str">
            <v>幻影脚第4段</v>
          </cell>
          <cell r="D979">
            <v>2</v>
          </cell>
          <cell r="E979">
            <v>23</v>
          </cell>
          <cell r="F979" t="str">
            <v>第8级，共造成193.7%点伤害</v>
          </cell>
          <cell r="G979">
            <v>4</v>
          </cell>
          <cell r="H979">
            <v>4</v>
          </cell>
          <cell r="I979">
            <v>8</v>
          </cell>
          <cell r="J979">
            <v>2</v>
          </cell>
          <cell r="K979">
            <v>193.69565217391306</v>
          </cell>
          <cell r="L979">
            <v>0</v>
          </cell>
          <cell r="M979">
            <v>7360</v>
          </cell>
          <cell r="N979">
            <v>2700</v>
          </cell>
          <cell r="O979">
            <v>4</v>
          </cell>
          <cell r="P979">
            <v>1</v>
          </cell>
          <cell r="Q979">
            <v>1</v>
          </cell>
          <cell r="R979">
            <v>12</v>
          </cell>
          <cell r="S979">
            <v>50</v>
          </cell>
          <cell r="T979">
            <v>179.34782608695653</v>
          </cell>
          <cell r="U979">
            <v>270</v>
          </cell>
          <cell r="V979">
            <v>179.34782608695653</v>
          </cell>
          <cell r="W979">
            <v>10</v>
          </cell>
          <cell r="X979">
            <v>64</v>
          </cell>
          <cell r="Y979">
            <v>18</v>
          </cell>
          <cell r="Z979">
            <v>0</v>
          </cell>
        </row>
        <row r="980">
          <cell r="A980">
            <v>9224409</v>
          </cell>
          <cell r="B980" t="str">
            <v>幻影脚第4段</v>
          </cell>
          <cell r="C980" t="str">
            <v>幻影脚第4段</v>
          </cell>
          <cell r="D980">
            <v>2</v>
          </cell>
          <cell r="E980">
            <v>24</v>
          </cell>
          <cell r="F980" t="str">
            <v>第9级，共造成195.5%点伤害</v>
          </cell>
          <cell r="G980">
            <v>4</v>
          </cell>
          <cell r="H980">
            <v>4</v>
          </cell>
          <cell r="I980">
            <v>9</v>
          </cell>
          <cell r="J980">
            <v>2</v>
          </cell>
          <cell r="K980">
            <v>195.48913043478262</v>
          </cell>
          <cell r="L980">
            <v>0</v>
          </cell>
          <cell r="M980">
            <v>7280</v>
          </cell>
          <cell r="N980">
            <v>3322</v>
          </cell>
          <cell r="O980">
            <v>4</v>
          </cell>
          <cell r="P980">
            <v>1</v>
          </cell>
          <cell r="Q980">
            <v>1</v>
          </cell>
          <cell r="R980">
            <v>12</v>
          </cell>
          <cell r="S980">
            <v>50</v>
          </cell>
          <cell r="T980">
            <v>179.34782608695653</v>
          </cell>
          <cell r="U980">
            <v>302</v>
          </cell>
          <cell r="V980">
            <v>179.34782608695653</v>
          </cell>
          <cell r="W980">
            <v>11</v>
          </cell>
          <cell r="X980">
            <v>75</v>
          </cell>
          <cell r="Y980">
            <v>18</v>
          </cell>
          <cell r="Z980">
            <v>0</v>
          </cell>
        </row>
        <row r="981">
          <cell r="A981">
            <v>9224410</v>
          </cell>
          <cell r="B981" t="str">
            <v>幻影脚第4段</v>
          </cell>
          <cell r="C981" t="str">
            <v>幻影脚第4段</v>
          </cell>
          <cell r="D981">
            <v>2</v>
          </cell>
          <cell r="E981">
            <v>26</v>
          </cell>
          <cell r="F981" t="str">
            <v>第10级，共造成197.3%点伤害</v>
          </cell>
          <cell r="G981">
            <v>4</v>
          </cell>
          <cell r="H981">
            <v>4</v>
          </cell>
          <cell r="I981">
            <v>10</v>
          </cell>
          <cell r="J981">
            <v>2</v>
          </cell>
          <cell r="K981">
            <v>197.28260869565219</v>
          </cell>
          <cell r="L981">
            <v>0</v>
          </cell>
          <cell r="M981">
            <v>7200</v>
          </cell>
          <cell r="N981">
            <v>4440</v>
          </cell>
          <cell r="O981">
            <v>4</v>
          </cell>
          <cell r="P981">
            <v>1</v>
          </cell>
          <cell r="Q981">
            <v>1</v>
          </cell>
          <cell r="R981">
            <v>12</v>
          </cell>
          <cell r="S981">
            <v>50</v>
          </cell>
          <cell r="T981">
            <v>179.34782608695653</v>
          </cell>
          <cell r="U981">
            <v>370</v>
          </cell>
          <cell r="V981">
            <v>179.34782608695653</v>
          </cell>
          <cell r="W981">
            <v>12</v>
          </cell>
          <cell r="X981">
            <v>87</v>
          </cell>
          <cell r="Y981">
            <v>18</v>
          </cell>
          <cell r="Z981">
            <v>0</v>
          </cell>
        </row>
        <row r="982">
          <cell r="A982">
            <v>9224411</v>
          </cell>
          <cell r="B982" t="str">
            <v>幻影脚第4段</v>
          </cell>
          <cell r="C982" t="str">
            <v>幻影脚第4段</v>
          </cell>
          <cell r="D982">
            <v>2</v>
          </cell>
          <cell r="E982">
            <v>27</v>
          </cell>
          <cell r="F982" t="str">
            <v>第11级，共造成199.1%点伤害</v>
          </cell>
          <cell r="G982">
            <v>4</v>
          </cell>
          <cell r="H982">
            <v>4</v>
          </cell>
          <cell r="I982">
            <v>11</v>
          </cell>
          <cell r="J982">
            <v>2</v>
          </cell>
          <cell r="K982">
            <v>199.07608695652175</v>
          </cell>
          <cell r="L982">
            <v>0</v>
          </cell>
          <cell r="M982">
            <v>7120</v>
          </cell>
          <cell r="N982">
            <v>4872</v>
          </cell>
          <cell r="O982">
            <v>4</v>
          </cell>
          <cell r="P982">
            <v>1</v>
          </cell>
          <cell r="Q982">
            <v>1</v>
          </cell>
          <cell r="R982">
            <v>12</v>
          </cell>
          <cell r="S982">
            <v>50</v>
          </cell>
          <cell r="T982">
            <v>179.34782608695653</v>
          </cell>
          <cell r="U982">
            <v>406</v>
          </cell>
          <cell r="V982">
            <v>179.34782608695653</v>
          </cell>
          <cell r="W982">
            <v>12</v>
          </cell>
          <cell r="X982">
            <v>99</v>
          </cell>
          <cell r="Y982">
            <v>18</v>
          </cell>
          <cell r="Z982">
            <v>0</v>
          </cell>
        </row>
        <row r="983">
          <cell r="A983">
            <v>9224412</v>
          </cell>
          <cell r="B983" t="str">
            <v>幻影脚第4段</v>
          </cell>
          <cell r="C983" t="str">
            <v>幻影脚第4段</v>
          </cell>
          <cell r="D983">
            <v>2</v>
          </cell>
          <cell r="E983">
            <v>28</v>
          </cell>
          <cell r="F983" t="str">
            <v>第12级，共造成200.9%点伤害</v>
          </cell>
          <cell r="G983">
            <v>4</v>
          </cell>
          <cell r="H983">
            <v>4</v>
          </cell>
          <cell r="I983">
            <v>12</v>
          </cell>
          <cell r="J983">
            <v>2</v>
          </cell>
          <cell r="K983">
            <v>200.86956521739131</v>
          </cell>
          <cell r="L983">
            <v>0</v>
          </cell>
          <cell r="M983">
            <v>7040</v>
          </cell>
          <cell r="N983">
            <v>5759</v>
          </cell>
          <cell r="O983">
            <v>4</v>
          </cell>
          <cell r="P983">
            <v>1</v>
          </cell>
          <cell r="Q983">
            <v>1</v>
          </cell>
          <cell r="R983">
            <v>12</v>
          </cell>
          <cell r="S983">
            <v>50</v>
          </cell>
          <cell r="T983">
            <v>179.34782608695653</v>
          </cell>
          <cell r="U983">
            <v>443</v>
          </cell>
          <cell r="V983">
            <v>179.34782608695653</v>
          </cell>
          <cell r="W983">
            <v>13</v>
          </cell>
          <cell r="X983">
            <v>112</v>
          </cell>
          <cell r="Y983">
            <v>18</v>
          </cell>
          <cell r="Z983">
            <v>0</v>
          </cell>
        </row>
        <row r="984">
          <cell r="A984">
            <v>9224413</v>
          </cell>
          <cell r="B984" t="str">
            <v>幻影脚第4段</v>
          </cell>
          <cell r="C984" t="str">
            <v>幻影脚第4段</v>
          </cell>
          <cell r="D984">
            <v>2</v>
          </cell>
          <cell r="E984">
            <v>30</v>
          </cell>
          <cell r="F984" t="str">
            <v>第13级，共造成202.7%点伤害</v>
          </cell>
          <cell r="G984">
            <v>4</v>
          </cell>
          <cell r="H984">
            <v>4</v>
          </cell>
          <cell r="I984">
            <v>13</v>
          </cell>
          <cell r="J984">
            <v>2</v>
          </cell>
          <cell r="K984">
            <v>202.66304347826087</v>
          </cell>
          <cell r="L984">
            <v>0</v>
          </cell>
          <cell r="M984">
            <v>6960</v>
          </cell>
          <cell r="N984">
            <v>7308</v>
          </cell>
          <cell r="O984">
            <v>4</v>
          </cell>
          <cell r="P984">
            <v>1</v>
          </cell>
          <cell r="Q984">
            <v>1</v>
          </cell>
          <cell r="R984">
            <v>12</v>
          </cell>
          <cell r="S984">
            <v>50</v>
          </cell>
          <cell r="T984">
            <v>179.34782608695653</v>
          </cell>
          <cell r="U984">
            <v>522</v>
          </cell>
          <cell r="V984">
            <v>179.34782608695653</v>
          </cell>
          <cell r="W984">
            <v>14</v>
          </cell>
          <cell r="X984">
            <v>126</v>
          </cell>
          <cell r="Y984">
            <v>18</v>
          </cell>
          <cell r="Z984">
            <v>0</v>
          </cell>
        </row>
        <row r="985">
          <cell r="A985">
            <v>9224414</v>
          </cell>
          <cell r="B985" t="str">
            <v>幻影脚第4段</v>
          </cell>
          <cell r="C985" t="str">
            <v>幻影脚第4段</v>
          </cell>
          <cell r="D985">
            <v>2</v>
          </cell>
          <cell r="E985">
            <v>31</v>
          </cell>
          <cell r="F985" t="str">
            <v>第14级，共造成204.5%点伤害</v>
          </cell>
          <cell r="G985">
            <v>4</v>
          </cell>
          <cell r="H985">
            <v>4</v>
          </cell>
          <cell r="I985">
            <v>14</v>
          </cell>
          <cell r="J985">
            <v>2</v>
          </cell>
          <cell r="K985">
            <v>204.45652173913044</v>
          </cell>
          <cell r="L985">
            <v>0</v>
          </cell>
          <cell r="M985">
            <v>6880</v>
          </cell>
          <cell r="N985">
            <v>8445</v>
          </cell>
          <cell r="O985">
            <v>4</v>
          </cell>
          <cell r="P985">
            <v>1</v>
          </cell>
          <cell r="Q985">
            <v>1</v>
          </cell>
          <cell r="R985">
            <v>12</v>
          </cell>
          <cell r="S985">
            <v>50</v>
          </cell>
          <cell r="T985">
            <v>179.34782608695653</v>
          </cell>
          <cell r="U985">
            <v>563</v>
          </cell>
          <cell r="V985">
            <v>179.34782608695653</v>
          </cell>
          <cell r="W985">
            <v>15</v>
          </cell>
          <cell r="X985">
            <v>141</v>
          </cell>
          <cell r="Y985">
            <v>18</v>
          </cell>
          <cell r="Z985">
            <v>0</v>
          </cell>
        </row>
        <row r="986">
          <cell r="A986">
            <v>9224415</v>
          </cell>
          <cell r="B986" t="str">
            <v>幻影脚第4段</v>
          </cell>
          <cell r="C986" t="str">
            <v>幻影脚第4段</v>
          </cell>
          <cell r="D986">
            <v>2</v>
          </cell>
          <cell r="E986">
            <v>32</v>
          </cell>
          <cell r="F986" t="str">
            <v>第15级，共造成206.3%点伤害</v>
          </cell>
          <cell r="G986">
            <v>4</v>
          </cell>
          <cell r="H986">
            <v>4</v>
          </cell>
          <cell r="I986">
            <v>15</v>
          </cell>
          <cell r="J986">
            <v>2</v>
          </cell>
          <cell r="K986">
            <v>206.25</v>
          </cell>
          <cell r="L986">
            <v>0</v>
          </cell>
          <cell r="M986">
            <v>6800</v>
          </cell>
          <cell r="N986">
            <v>9696</v>
          </cell>
          <cell r="O986">
            <v>4</v>
          </cell>
          <cell r="P986">
            <v>1</v>
          </cell>
          <cell r="Q986">
            <v>1</v>
          </cell>
          <cell r="R986">
            <v>12</v>
          </cell>
          <cell r="S986">
            <v>50</v>
          </cell>
          <cell r="T986">
            <v>179.34782608695653</v>
          </cell>
          <cell r="U986">
            <v>606</v>
          </cell>
          <cell r="V986">
            <v>179.34782608695653</v>
          </cell>
          <cell r="W986">
            <v>16</v>
          </cell>
          <cell r="X986">
            <v>157</v>
          </cell>
          <cell r="Y986">
            <v>18</v>
          </cell>
          <cell r="Z986">
            <v>0</v>
          </cell>
        </row>
        <row r="987">
          <cell r="A987">
            <v>9224416</v>
          </cell>
          <cell r="B987" t="str">
            <v>幻影脚第4段</v>
          </cell>
          <cell r="C987" t="str">
            <v>幻影脚第4段</v>
          </cell>
          <cell r="D987">
            <v>2</v>
          </cell>
          <cell r="E987">
            <v>34</v>
          </cell>
          <cell r="F987" t="str">
            <v>第16级，共造成208%点伤害</v>
          </cell>
          <cell r="G987">
            <v>4</v>
          </cell>
          <cell r="H987">
            <v>4</v>
          </cell>
          <cell r="I987">
            <v>16</v>
          </cell>
          <cell r="J987">
            <v>2</v>
          </cell>
          <cell r="K987">
            <v>208.04347826086956</v>
          </cell>
          <cell r="L987">
            <v>0</v>
          </cell>
          <cell r="M987">
            <v>6720</v>
          </cell>
          <cell r="N987">
            <v>11832</v>
          </cell>
          <cell r="O987">
            <v>4</v>
          </cell>
          <cell r="P987">
            <v>1</v>
          </cell>
          <cell r="Q987">
            <v>1</v>
          </cell>
          <cell r="R987">
            <v>12</v>
          </cell>
          <cell r="S987">
            <v>50</v>
          </cell>
          <cell r="T987">
            <v>179.34782608695653</v>
          </cell>
          <cell r="U987">
            <v>696</v>
          </cell>
          <cell r="V987">
            <v>179.34782608695653</v>
          </cell>
          <cell r="W987">
            <v>17</v>
          </cell>
          <cell r="X987">
            <v>174</v>
          </cell>
          <cell r="Y987">
            <v>18</v>
          </cell>
          <cell r="Z987">
            <v>0</v>
          </cell>
        </row>
        <row r="988">
          <cell r="A988">
            <v>9224417</v>
          </cell>
          <cell r="B988" t="str">
            <v>幻影脚第4段</v>
          </cell>
          <cell r="C988" t="str">
            <v>幻影脚第4段</v>
          </cell>
          <cell r="D988">
            <v>2</v>
          </cell>
          <cell r="E988">
            <v>35</v>
          </cell>
          <cell r="F988" t="str">
            <v>第17级，共造成209.8%点伤害</v>
          </cell>
          <cell r="G988">
            <v>4</v>
          </cell>
          <cell r="H988">
            <v>4</v>
          </cell>
          <cell r="I988">
            <v>17</v>
          </cell>
          <cell r="J988">
            <v>2</v>
          </cell>
          <cell r="K988">
            <v>209.83695652173915</v>
          </cell>
          <cell r="L988">
            <v>0</v>
          </cell>
          <cell r="M988">
            <v>6640</v>
          </cell>
          <cell r="N988">
            <v>14117</v>
          </cell>
          <cell r="O988">
            <v>4</v>
          </cell>
          <cell r="P988">
            <v>1</v>
          </cell>
          <cell r="Q988">
            <v>1</v>
          </cell>
          <cell r="R988">
            <v>12</v>
          </cell>
          <cell r="S988">
            <v>50</v>
          </cell>
          <cell r="T988">
            <v>179.34782608695653</v>
          </cell>
          <cell r="U988">
            <v>743</v>
          </cell>
          <cell r="V988">
            <v>179.34782608695653</v>
          </cell>
          <cell r="W988">
            <v>19</v>
          </cell>
          <cell r="X988">
            <v>193</v>
          </cell>
          <cell r="Y988">
            <v>18</v>
          </cell>
          <cell r="Z988">
            <v>0</v>
          </cell>
        </row>
        <row r="989">
          <cell r="A989">
            <v>9224418</v>
          </cell>
          <cell r="B989" t="str">
            <v>幻影脚第4段</v>
          </cell>
          <cell r="C989" t="str">
            <v>幻影脚第4段</v>
          </cell>
          <cell r="D989">
            <v>2</v>
          </cell>
          <cell r="E989">
            <v>36</v>
          </cell>
          <cell r="F989" t="str">
            <v>第18级，共造成211.6%点伤害</v>
          </cell>
          <cell r="G989">
            <v>4</v>
          </cell>
          <cell r="H989">
            <v>4</v>
          </cell>
          <cell r="I989">
            <v>18</v>
          </cell>
          <cell r="J989">
            <v>2</v>
          </cell>
          <cell r="K989">
            <v>211.63043478260872</v>
          </cell>
          <cell r="L989">
            <v>0</v>
          </cell>
          <cell r="M989">
            <v>6560</v>
          </cell>
          <cell r="N989">
            <v>15820</v>
          </cell>
          <cell r="O989">
            <v>4</v>
          </cell>
          <cell r="P989">
            <v>1</v>
          </cell>
          <cell r="Q989">
            <v>1</v>
          </cell>
          <cell r="R989">
            <v>12</v>
          </cell>
          <cell r="S989">
            <v>50</v>
          </cell>
          <cell r="T989">
            <v>179.34782608695653</v>
          </cell>
          <cell r="U989">
            <v>791</v>
          </cell>
          <cell r="V989">
            <v>179.34782608695653</v>
          </cell>
          <cell r="W989">
            <v>20</v>
          </cell>
          <cell r="X989">
            <v>213</v>
          </cell>
          <cell r="Y989">
            <v>18</v>
          </cell>
          <cell r="Z989">
            <v>8</v>
          </cell>
        </row>
        <row r="990">
          <cell r="A990">
            <v>9224419</v>
          </cell>
          <cell r="B990" t="str">
            <v>幻影脚第4段</v>
          </cell>
          <cell r="C990" t="str">
            <v>幻影脚第4段</v>
          </cell>
          <cell r="D990">
            <v>2</v>
          </cell>
          <cell r="E990">
            <v>38</v>
          </cell>
          <cell r="F990" t="str">
            <v>第19级，共造成213.4%点伤害</v>
          </cell>
          <cell r="G990">
            <v>4</v>
          </cell>
          <cell r="H990">
            <v>4</v>
          </cell>
          <cell r="I990">
            <v>19</v>
          </cell>
          <cell r="J990">
            <v>2</v>
          </cell>
          <cell r="K990">
            <v>213.42391304347828</v>
          </cell>
          <cell r="L990">
            <v>0</v>
          </cell>
          <cell r="M990">
            <v>6480</v>
          </cell>
          <cell r="N990">
            <v>18732</v>
          </cell>
          <cell r="O990">
            <v>4</v>
          </cell>
          <cell r="P990">
            <v>1</v>
          </cell>
          <cell r="Q990">
            <v>1</v>
          </cell>
          <cell r="R990">
            <v>12</v>
          </cell>
          <cell r="S990">
            <v>50</v>
          </cell>
          <cell r="T990">
            <v>179.34782608695653</v>
          </cell>
          <cell r="U990">
            <v>892</v>
          </cell>
          <cell r="V990">
            <v>179.34782608695653</v>
          </cell>
          <cell r="W990">
            <v>21</v>
          </cell>
          <cell r="X990">
            <v>234</v>
          </cell>
          <cell r="Y990">
            <v>18</v>
          </cell>
          <cell r="Z990">
            <v>9</v>
          </cell>
        </row>
        <row r="991">
          <cell r="A991">
            <v>9224420</v>
          </cell>
          <cell r="B991" t="str">
            <v>幻影脚第4段</v>
          </cell>
          <cell r="C991" t="str">
            <v>幻影脚第4段</v>
          </cell>
          <cell r="D991">
            <v>2</v>
          </cell>
          <cell r="E991">
            <v>39</v>
          </cell>
          <cell r="F991" t="str">
            <v>第20级，共造成215.2%点伤害</v>
          </cell>
          <cell r="G991">
            <v>4</v>
          </cell>
          <cell r="H991">
            <v>4</v>
          </cell>
          <cell r="I991">
            <v>20</v>
          </cell>
          <cell r="J991">
            <v>2</v>
          </cell>
          <cell r="K991">
            <v>215.21739130434784</v>
          </cell>
          <cell r="L991">
            <v>0</v>
          </cell>
          <cell r="M991">
            <v>6400</v>
          </cell>
          <cell r="N991">
            <v>21712</v>
          </cell>
          <cell r="O991">
            <v>4</v>
          </cell>
          <cell r="P991">
            <v>1</v>
          </cell>
          <cell r="Q991">
            <v>1</v>
          </cell>
          <cell r="R991">
            <v>12</v>
          </cell>
          <cell r="S991">
            <v>50</v>
          </cell>
          <cell r="T991">
            <v>179.34782608695653</v>
          </cell>
          <cell r="U991">
            <v>944</v>
          </cell>
          <cell r="V991">
            <v>179.34782608695653</v>
          </cell>
          <cell r="W991">
            <v>23</v>
          </cell>
          <cell r="X991">
            <v>257</v>
          </cell>
          <cell r="Y991">
            <v>18</v>
          </cell>
          <cell r="Z991">
            <v>10</v>
          </cell>
        </row>
        <row r="992">
          <cell r="A992">
            <v>9224421</v>
          </cell>
          <cell r="B992" t="str">
            <v>幻影脚第4段</v>
          </cell>
          <cell r="C992" t="str">
            <v>幻影脚第4段</v>
          </cell>
          <cell r="D992">
            <v>2</v>
          </cell>
          <cell r="E992">
            <v>41</v>
          </cell>
          <cell r="F992" t="str">
            <v>第21级，共造成217%点伤害</v>
          </cell>
          <cell r="G992">
            <v>4</v>
          </cell>
          <cell r="H992">
            <v>4</v>
          </cell>
          <cell r="I992">
            <v>21</v>
          </cell>
          <cell r="J992">
            <v>2</v>
          </cell>
          <cell r="K992">
            <v>217.0108695652174</v>
          </cell>
          <cell r="L992">
            <v>0</v>
          </cell>
          <cell r="M992">
            <v>6320</v>
          </cell>
          <cell r="N992">
            <v>25272</v>
          </cell>
          <cell r="O992">
            <v>4</v>
          </cell>
          <cell r="P992">
            <v>1</v>
          </cell>
          <cell r="Q992">
            <v>1</v>
          </cell>
          <cell r="R992">
            <v>12</v>
          </cell>
          <cell r="S992">
            <v>50</v>
          </cell>
          <cell r="T992">
            <v>179.34782608695653</v>
          </cell>
          <cell r="U992">
            <v>1053</v>
          </cell>
          <cell r="V992">
            <v>179.34782608695653</v>
          </cell>
          <cell r="W992">
            <v>24</v>
          </cell>
          <cell r="X992">
            <v>281</v>
          </cell>
          <cell r="Y992">
            <v>18</v>
          </cell>
          <cell r="Z992">
            <v>10</v>
          </cell>
        </row>
        <row r="993">
          <cell r="A993">
            <v>9224422</v>
          </cell>
          <cell r="B993" t="str">
            <v>幻影脚第4段</v>
          </cell>
          <cell r="C993" t="str">
            <v>幻影脚第4段</v>
          </cell>
          <cell r="D993">
            <v>2</v>
          </cell>
          <cell r="E993">
            <v>42</v>
          </cell>
          <cell r="F993" t="str">
            <v>第22级，共造成218.8%点伤害</v>
          </cell>
          <cell r="G993">
            <v>4</v>
          </cell>
          <cell r="H993">
            <v>4</v>
          </cell>
          <cell r="I993">
            <v>22</v>
          </cell>
          <cell r="J993">
            <v>2</v>
          </cell>
          <cell r="K993">
            <v>218.80434782608697</v>
          </cell>
          <cell r="L993">
            <v>0</v>
          </cell>
          <cell r="M993">
            <v>6240</v>
          </cell>
          <cell r="N993">
            <v>28860</v>
          </cell>
          <cell r="O993">
            <v>4</v>
          </cell>
          <cell r="P993">
            <v>1</v>
          </cell>
          <cell r="Q993">
            <v>1</v>
          </cell>
          <cell r="R993">
            <v>12</v>
          </cell>
          <cell r="S993">
            <v>50</v>
          </cell>
          <cell r="T993">
            <v>179.34782608695653</v>
          </cell>
          <cell r="U993">
            <v>1110</v>
          </cell>
          <cell r="V993">
            <v>179.34782608695653</v>
          </cell>
          <cell r="W993">
            <v>26</v>
          </cell>
          <cell r="X993">
            <v>307</v>
          </cell>
          <cell r="Y993">
            <v>18</v>
          </cell>
          <cell r="Z993">
            <v>11</v>
          </cell>
        </row>
        <row r="994">
          <cell r="A994">
            <v>9224423</v>
          </cell>
          <cell r="B994" t="str">
            <v>幻影脚第4段</v>
          </cell>
          <cell r="C994" t="str">
            <v>幻影脚第4段</v>
          </cell>
          <cell r="D994">
            <v>2</v>
          </cell>
          <cell r="E994">
            <v>43</v>
          </cell>
          <cell r="F994" t="str">
            <v>第23级，共造成220.6%点伤害</v>
          </cell>
          <cell r="G994">
            <v>4</v>
          </cell>
          <cell r="H994">
            <v>4</v>
          </cell>
          <cell r="I994">
            <v>23</v>
          </cell>
          <cell r="J994">
            <v>2</v>
          </cell>
          <cell r="K994">
            <v>220.59782608695653</v>
          </cell>
          <cell r="L994">
            <v>0</v>
          </cell>
          <cell r="M994">
            <v>6160</v>
          </cell>
          <cell r="N994">
            <v>32676</v>
          </cell>
          <cell r="O994">
            <v>4</v>
          </cell>
          <cell r="P994">
            <v>1</v>
          </cell>
          <cell r="Q994">
            <v>1</v>
          </cell>
          <cell r="R994">
            <v>12</v>
          </cell>
          <cell r="S994">
            <v>50</v>
          </cell>
          <cell r="T994">
            <v>179.34782608695653</v>
          </cell>
          <cell r="U994">
            <v>1167</v>
          </cell>
          <cell r="V994">
            <v>179.34782608695653</v>
          </cell>
          <cell r="W994">
            <v>28</v>
          </cell>
          <cell r="X994">
            <v>335</v>
          </cell>
          <cell r="Y994">
            <v>18</v>
          </cell>
          <cell r="Z994">
            <v>12</v>
          </cell>
        </row>
        <row r="995">
          <cell r="A995">
            <v>9224424</v>
          </cell>
          <cell r="B995" t="str">
            <v>幻影脚第4段</v>
          </cell>
          <cell r="C995" t="str">
            <v>幻影脚第4段</v>
          </cell>
          <cell r="D995">
            <v>2</v>
          </cell>
          <cell r="E995">
            <v>45</v>
          </cell>
          <cell r="F995" t="str">
            <v>第24级，共造成222.4%点伤害</v>
          </cell>
          <cell r="G995">
            <v>4</v>
          </cell>
          <cell r="H995">
            <v>4</v>
          </cell>
          <cell r="I995">
            <v>24</v>
          </cell>
          <cell r="J995">
            <v>2</v>
          </cell>
          <cell r="K995">
            <v>222.39130434782609</v>
          </cell>
          <cell r="L995">
            <v>0</v>
          </cell>
          <cell r="M995">
            <v>6080</v>
          </cell>
          <cell r="N995">
            <v>38610</v>
          </cell>
          <cell r="O995">
            <v>4</v>
          </cell>
          <cell r="P995">
            <v>1</v>
          </cell>
          <cell r="Q995">
            <v>1</v>
          </cell>
          <cell r="R995">
            <v>12</v>
          </cell>
          <cell r="S995">
            <v>50</v>
          </cell>
          <cell r="T995">
            <v>179.34782608695653</v>
          </cell>
          <cell r="U995">
            <v>1287</v>
          </cell>
          <cell r="V995">
            <v>179.34782608695653</v>
          </cell>
          <cell r="W995">
            <v>30</v>
          </cell>
          <cell r="X995">
            <v>365</v>
          </cell>
          <cell r="Y995">
            <v>18</v>
          </cell>
          <cell r="Z995">
            <v>12</v>
          </cell>
        </row>
        <row r="996">
          <cell r="A996">
            <v>9224425</v>
          </cell>
          <cell r="B996" t="str">
            <v>幻影脚第4段</v>
          </cell>
          <cell r="C996" t="str">
            <v>幻影脚第4段</v>
          </cell>
          <cell r="D996">
            <v>2</v>
          </cell>
          <cell r="E996">
            <v>46</v>
          </cell>
          <cell r="F996" t="str">
            <v>第25级，共造成224.2%点伤害</v>
          </cell>
          <cell r="G996">
            <v>4</v>
          </cell>
          <cell r="H996">
            <v>4</v>
          </cell>
          <cell r="I996">
            <v>25</v>
          </cell>
          <cell r="J996">
            <v>2</v>
          </cell>
          <cell r="K996">
            <v>224.18478260869566</v>
          </cell>
          <cell r="L996">
            <v>0</v>
          </cell>
          <cell r="M996">
            <v>6000</v>
          </cell>
          <cell r="N996">
            <v>43168</v>
          </cell>
          <cell r="O996">
            <v>4</v>
          </cell>
          <cell r="P996">
            <v>1</v>
          </cell>
          <cell r="Q996">
            <v>1</v>
          </cell>
          <cell r="R996">
            <v>12</v>
          </cell>
          <cell r="S996">
            <v>50</v>
          </cell>
          <cell r="T996">
            <v>179.34782608695653</v>
          </cell>
          <cell r="U996">
            <v>1349</v>
          </cell>
          <cell r="V996">
            <v>179.34782608695653</v>
          </cell>
          <cell r="W996">
            <v>32</v>
          </cell>
          <cell r="X996">
            <v>397</v>
          </cell>
          <cell r="Y996">
            <v>18</v>
          </cell>
          <cell r="Z996">
            <v>13</v>
          </cell>
        </row>
        <row r="997">
          <cell r="A997">
            <v>9224426</v>
          </cell>
          <cell r="B997" t="str">
            <v>幻影脚第4段</v>
          </cell>
          <cell r="C997" t="str">
            <v>幻影脚第4段</v>
          </cell>
          <cell r="D997">
            <v>2</v>
          </cell>
          <cell r="E997">
            <v>47</v>
          </cell>
          <cell r="F997" t="str">
            <v>第26级，共造成226%点伤害</v>
          </cell>
          <cell r="G997">
            <v>4</v>
          </cell>
          <cell r="H997">
            <v>4</v>
          </cell>
          <cell r="I997">
            <v>26</v>
          </cell>
          <cell r="J997">
            <v>2</v>
          </cell>
          <cell r="K997">
            <v>225.97826086956525</v>
          </cell>
          <cell r="L997">
            <v>0</v>
          </cell>
          <cell r="M997">
            <v>5920</v>
          </cell>
          <cell r="N997">
            <v>48008</v>
          </cell>
          <cell r="O997">
            <v>4</v>
          </cell>
          <cell r="P997">
            <v>1</v>
          </cell>
          <cell r="Q997">
            <v>1</v>
          </cell>
          <cell r="R997">
            <v>12</v>
          </cell>
          <cell r="S997">
            <v>50</v>
          </cell>
          <cell r="T997">
            <v>179.34782608695653</v>
          </cell>
          <cell r="U997">
            <v>1412</v>
          </cell>
          <cell r="V997">
            <v>179.34782608695653</v>
          </cell>
          <cell r="W997">
            <v>34</v>
          </cell>
          <cell r="X997">
            <v>431</v>
          </cell>
          <cell r="Y997">
            <v>18</v>
          </cell>
          <cell r="Z997">
            <v>14</v>
          </cell>
        </row>
        <row r="998">
          <cell r="A998">
            <v>9224427</v>
          </cell>
          <cell r="B998" t="str">
            <v>幻影脚第4段</v>
          </cell>
          <cell r="C998" t="str">
            <v>幻影脚第4段</v>
          </cell>
          <cell r="D998">
            <v>2</v>
          </cell>
          <cell r="E998">
            <v>49</v>
          </cell>
          <cell r="F998" t="str">
            <v>第27级，共造成227.8%点伤害</v>
          </cell>
          <cell r="G998">
            <v>4</v>
          </cell>
          <cell r="H998">
            <v>4</v>
          </cell>
          <cell r="I998">
            <v>27</v>
          </cell>
          <cell r="J998">
            <v>2</v>
          </cell>
          <cell r="K998">
            <v>227.77173913043481</v>
          </cell>
          <cell r="L998">
            <v>0</v>
          </cell>
          <cell r="M998">
            <v>5840</v>
          </cell>
          <cell r="N998">
            <v>55548</v>
          </cell>
          <cell r="O998">
            <v>4</v>
          </cell>
          <cell r="P998">
            <v>1</v>
          </cell>
          <cell r="Q998">
            <v>1</v>
          </cell>
          <cell r="R998">
            <v>12</v>
          </cell>
          <cell r="S998">
            <v>50</v>
          </cell>
          <cell r="T998">
            <v>179.34782608695653</v>
          </cell>
          <cell r="U998">
            <v>1543</v>
          </cell>
          <cell r="V998">
            <v>179.34782608695653</v>
          </cell>
          <cell r="W998">
            <v>36</v>
          </cell>
          <cell r="X998">
            <v>467</v>
          </cell>
          <cell r="Y998">
            <v>18</v>
          </cell>
          <cell r="Z998">
            <v>15</v>
          </cell>
        </row>
        <row r="999">
          <cell r="A999">
            <v>9224428</v>
          </cell>
          <cell r="B999" t="str">
            <v>幻影脚第4段</v>
          </cell>
          <cell r="C999" t="str">
            <v>幻影脚第4段</v>
          </cell>
          <cell r="D999">
            <v>2</v>
          </cell>
          <cell r="E999">
            <v>50</v>
          </cell>
          <cell r="F999" t="str">
            <v>第28级，共造成229.6%点伤害</v>
          </cell>
          <cell r="G999">
            <v>4</v>
          </cell>
          <cell r="H999">
            <v>4</v>
          </cell>
          <cell r="I999">
            <v>28</v>
          </cell>
          <cell r="J999">
            <v>2</v>
          </cell>
          <cell r="K999">
            <v>229.56521739130437</v>
          </cell>
          <cell r="L999">
            <v>0</v>
          </cell>
          <cell r="M999">
            <v>5760</v>
          </cell>
          <cell r="N999">
            <v>62790</v>
          </cell>
          <cell r="O999">
            <v>4</v>
          </cell>
          <cell r="P999">
            <v>1</v>
          </cell>
          <cell r="Q999">
            <v>1</v>
          </cell>
          <cell r="R999">
            <v>12</v>
          </cell>
          <cell r="S999">
            <v>50</v>
          </cell>
          <cell r="T999">
            <v>179.34782608695653</v>
          </cell>
          <cell r="U999">
            <v>1610</v>
          </cell>
          <cell r="V999">
            <v>179.34782608695653</v>
          </cell>
          <cell r="W999">
            <v>39</v>
          </cell>
          <cell r="X999">
            <v>506</v>
          </cell>
          <cell r="Y999">
            <v>18</v>
          </cell>
          <cell r="Z999">
            <v>16</v>
          </cell>
        </row>
        <row r="1000">
          <cell r="A1000">
            <v>9224429</v>
          </cell>
          <cell r="B1000" t="str">
            <v>幻影脚第4段</v>
          </cell>
          <cell r="C1000" t="str">
            <v>幻影脚第4段</v>
          </cell>
          <cell r="D1000">
            <v>2</v>
          </cell>
          <cell r="E1000">
            <v>51</v>
          </cell>
          <cell r="F1000" t="str">
            <v>第29级，共造成231.4%点伤害</v>
          </cell>
          <cell r="G1000">
            <v>4</v>
          </cell>
          <cell r="H1000">
            <v>4</v>
          </cell>
          <cell r="I1000">
            <v>29</v>
          </cell>
          <cell r="J1000">
            <v>2</v>
          </cell>
          <cell r="K1000">
            <v>231.35869565217394</v>
          </cell>
          <cell r="L1000">
            <v>0</v>
          </cell>
          <cell r="M1000">
            <v>5680</v>
          </cell>
          <cell r="N1000">
            <v>70518</v>
          </cell>
          <cell r="O1000">
            <v>4</v>
          </cell>
          <cell r="P1000">
            <v>1</v>
          </cell>
          <cell r="Q1000">
            <v>1</v>
          </cell>
          <cell r="R1000">
            <v>12</v>
          </cell>
          <cell r="S1000">
            <v>50</v>
          </cell>
          <cell r="T1000">
            <v>179.34782608695653</v>
          </cell>
          <cell r="U1000">
            <v>1679</v>
          </cell>
          <cell r="V1000">
            <v>179.34782608695653</v>
          </cell>
          <cell r="W1000">
            <v>42</v>
          </cell>
          <cell r="X1000">
            <v>548</v>
          </cell>
          <cell r="Y1000">
            <v>18</v>
          </cell>
          <cell r="Z1000">
            <v>17</v>
          </cell>
        </row>
        <row r="1001">
          <cell r="A1001">
            <v>9224430</v>
          </cell>
          <cell r="B1001" t="str">
            <v>幻影脚第4段</v>
          </cell>
          <cell r="C1001" t="str">
            <v>幻影脚第4段</v>
          </cell>
          <cell r="D1001">
            <v>2</v>
          </cell>
          <cell r="E1001">
            <v>53</v>
          </cell>
          <cell r="F1001" t="str">
            <v>第30级，共造成233.2%点伤害</v>
          </cell>
          <cell r="G1001">
            <v>4</v>
          </cell>
          <cell r="H1001">
            <v>4</v>
          </cell>
          <cell r="I1001">
            <v>30</v>
          </cell>
          <cell r="J1001">
            <v>2</v>
          </cell>
          <cell r="K1001">
            <v>233.1521739130435</v>
          </cell>
          <cell r="L1001">
            <v>0</v>
          </cell>
          <cell r="M1001">
            <v>5600</v>
          </cell>
          <cell r="N1001">
            <v>81900</v>
          </cell>
          <cell r="O1001">
            <v>4</v>
          </cell>
          <cell r="P1001">
            <v>1</v>
          </cell>
          <cell r="Q1001">
            <v>1</v>
          </cell>
          <cell r="R1001">
            <v>12</v>
          </cell>
          <cell r="S1001">
            <v>50</v>
          </cell>
          <cell r="T1001">
            <v>179.34782608695653</v>
          </cell>
          <cell r="U1001">
            <v>1820</v>
          </cell>
          <cell r="V1001">
            <v>179.34782608695653</v>
          </cell>
          <cell r="W1001">
            <v>45</v>
          </cell>
          <cell r="X1001">
            <v>593</v>
          </cell>
          <cell r="Y1001">
            <v>18</v>
          </cell>
          <cell r="Z1001">
            <v>18</v>
          </cell>
        </row>
        <row r="1002">
          <cell r="A1002">
            <v>9224431</v>
          </cell>
          <cell r="B1002" t="str">
            <v>幻影脚第4段</v>
          </cell>
          <cell r="C1002" t="str">
            <v>幻影脚第4段</v>
          </cell>
          <cell r="D1002">
            <v>2</v>
          </cell>
          <cell r="E1002">
            <v>54</v>
          </cell>
          <cell r="F1002" t="str">
            <v>第31级，共造成234.9%点伤害</v>
          </cell>
          <cell r="G1002">
            <v>4</v>
          </cell>
          <cell r="H1002">
            <v>4</v>
          </cell>
          <cell r="I1002">
            <v>31</v>
          </cell>
          <cell r="J1002">
            <v>2</v>
          </cell>
          <cell r="K1002">
            <v>234.94565217391306</v>
          </cell>
          <cell r="L1002">
            <v>0</v>
          </cell>
          <cell r="M1002">
            <v>5520</v>
          </cell>
          <cell r="N1002">
            <v>90864</v>
          </cell>
          <cell r="O1002">
            <v>4</v>
          </cell>
          <cell r="P1002">
            <v>1</v>
          </cell>
          <cell r="Q1002">
            <v>1</v>
          </cell>
          <cell r="R1002">
            <v>12</v>
          </cell>
          <cell r="S1002">
            <v>50</v>
          </cell>
          <cell r="T1002">
            <v>179.34782608695653</v>
          </cell>
          <cell r="U1002">
            <v>1893</v>
          </cell>
          <cell r="V1002">
            <v>179.34782608695653</v>
          </cell>
          <cell r="W1002">
            <v>48</v>
          </cell>
          <cell r="X1002">
            <v>641</v>
          </cell>
          <cell r="Y1002">
            <v>18</v>
          </cell>
          <cell r="Z1002">
            <v>20</v>
          </cell>
        </row>
        <row r="1003">
          <cell r="A1003">
            <v>9224432</v>
          </cell>
          <cell r="B1003" t="str">
            <v>幻影脚第4段</v>
          </cell>
          <cell r="C1003" t="str">
            <v>幻影脚第4段</v>
          </cell>
          <cell r="D1003">
            <v>2</v>
          </cell>
          <cell r="E1003">
            <v>56</v>
          </cell>
          <cell r="F1003" t="str">
            <v>第32级，共造成236.7%点伤害</v>
          </cell>
          <cell r="G1003">
            <v>4</v>
          </cell>
          <cell r="H1003">
            <v>4</v>
          </cell>
          <cell r="I1003">
            <v>32</v>
          </cell>
          <cell r="J1003">
            <v>2</v>
          </cell>
          <cell r="K1003">
            <v>236.73913043478262</v>
          </cell>
          <cell r="L1003">
            <v>0</v>
          </cell>
          <cell r="M1003">
            <v>5440</v>
          </cell>
          <cell r="N1003">
            <v>104142</v>
          </cell>
          <cell r="O1003">
            <v>4</v>
          </cell>
          <cell r="P1003">
            <v>1</v>
          </cell>
          <cell r="Q1003">
            <v>1</v>
          </cell>
          <cell r="R1003">
            <v>12</v>
          </cell>
          <cell r="S1003">
            <v>50</v>
          </cell>
          <cell r="T1003">
            <v>179.34782608695653</v>
          </cell>
          <cell r="U1003">
            <v>2042</v>
          </cell>
          <cell r="V1003">
            <v>179.34782608695653</v>
          </cell>
          <cell r="W1003">
            <v>51</v>
          </cell>
          <cell r="X1003">
            <v>692</v>
          </cell>
          <cell r="Y1003">
            <v>18</v>
          </cell>
          <cell r="Z1003">
            <v>21</v>
          </cell>
        </row>
        <row r="1004">
          <cell r="A1004">
            <v>9224433</v>
          </cell>
          <cell r="B1004" t="str">
            <v>幻影脚第4段</v>
          </cell>
          <cell r="C1004" t="str">
            <v>幻影脚第4段</v>
          </cell>
          <cell r="D1004">
            <v>2</v>
          </cell>
          <cell r="E1004">
            <v>57</v>
          </cell>
          <cell r="F1004" t="str">
            <v>第33级，共造成238.5%点伤害</v>
          </cell>
          <cell r="G1004">
            <v>4</v>
          </cell>
          <cell r="H1004">
            <v>4</v>
          </cell>
          <cell r="I1004">
            <v>33</v>
          </cell>
          <cell r="J1004">
            <v>2</v>
          </cell>
          <cell r="K1004">
            <v>238.53260869565219</v>
          </cell>
          <cell r="L1004">
            <v>0</v>
          </cell>
          <cell r="M1004">
            <v>5360</v>
          </cell>
          <cell r="N1004">
            <v>116545</v>
          </cell>
          <cell r="O1004">
            <v>4</v>
          </cell>
          <cell r="P1004">
            <v>1</v>
          </cell>
          <cell r="Q1004">
            <v>1</v>
          </cell>
          <cell r="R1004">
            <v>12</v>
          </cell>
          <cell r="S1004">
            <v>50</v>
          </cell>
          <cell r="T1004">
            <v>179.34782608695653</v>
          </cell>
          <cell r="U1004">
            <v>2119</v>
          </cell>
          <cell r="V1004">
            <v>179.34782608695653</v>
          </cell>
          <cell r="W1004">
            <v>55</v>
          </cell>
          <cell r="X1004">
            <v>747</v>
          </cell>
          <cell r="Y1004">
            <v>18</v>
          </cell>
          <cell r="Z1004">
            <v>22</v>
          </cell>
        </row>
        <row r="1005">
          <cell r="A1005">
            <v>9224434</v>
          </cell>
          <cell r="B1005" t="str">
            <v>幻影脚第4段</v>
          </cell>
          <cell r="C1005" t="str">
            <v>幻影脚第4段</v>
          </cell>
          <cell r="D1005">
            <v>2</v>
          </cell>
          <cell r="E1005">
            <v>58</v>
          </cell>
          <cell r="F1005" t="str">
            <v>第34级，共造成240.3%点伤害</v>
          </cell>
          <cell r="G1005">
            <v>4</v>
          </cell>
          <cell r="H1005">
            <v>4</v>
          </cell>
          <cell r="I1005">
            <v>34</v>
          </cell>
          <cell r="J1005">
            <v>2</v>
          </cell>
          <cell r="K1005">
            <v>240.32608695652175</v>
          </cell>
          <cell r="L1005">
            <v>0</v>
          </cell>
          <cell r="M1005">
            <v>5280</v>
          </cell>
          <cell r="N1005">
            <v>129682</v>
          </cell>
          <cell r="O1005">
            <v>4</v>
          </cell>
          <cell r="P1005">
            <v>1</v>
          </cell>
          <cell r="Q1005">
            <v>1</v>
          </cell>
          <cell r="R1005">
            <v>12</v>
          </cell>
          <cell r="S1005">
            <v>50</v>
          </cell>
          <cell r="T1005">
            <v>179.34782608695653</v>
          </cell>
          <cell r="U1005">
            <v>2198</v>
          </cell>
          <cell r="V1005">
            <v>179.34782608695653</v>
          </cell>
          <cell r="W1005">
            <v>59</v>
          </cell>
          <cell r="X1005">
            <v>806</v>
          </cell>
          <cell r="Y1005">
            <v>18</v>
          </cell>
          <cell r="Z1005">
            <v>24</v>
          </cell>
        </row>
        <row r="1006">
          <cell r="A1006">
            <v>9224435</v>
          </cell>
          <cell r="B1006" t="str">
            <v>幻影脚第4段</v>
          </cell>
          <cell r="C1006" t="str">
            <v>幻影脚第4段</v>
          </cell>
          <cell r="D1006">
            <v>2</v>
          </cell>
          <cell r="E1006">
            <v>60</v>
          </cell>
          <cell r="F1006" t="str">
            <v>第35级，共造成242.1%点伤害</v>
          </cell>
          <cell r="G1006">
            <v>4</v>
          </cell>
          <cell r="H1006">
            <v>4</v>
          </cell>
          <cell r="I1006">
            <v>35</v>
          </cell>
          <cell r="J1006">
            <v>2</v>
          </cell>
          <cell r="K1006">
            <v>242.11956521739131</v>
          </cell>
          <cell r="L1006">
            <v>0</v>
          </cell>
          <cell r="M1006">
            <v>5200</v>
          </cell>
          <cell r="N1006">
            <v>148554</v>
          </cell>
          <cell r="O1006">
            <v>4</v>
          </cell>
          <cell r="P1006">
            <v>1</v>
          </cell>
          <cell r="Q1006">
            <v>1</v>
          </cell>
          <cell r="R1006">
            <v>12</v>
          </cell>
          <cell r="S1006">
            <v>50</v>
          </cell>
          <cell r="T1006">
            <v>179.34782608695653</v>
          </cell>
          <cell r="U1006">
            <v>2358</v>
          </cell>
          <cell r="V1006">
            <v>179.34782608695653</v>
          </cell>
          <cell r="W1006">
            <v>63</v>
          </cell>
          <cell r="X1006">
            <v>869</v>
          </cell>
          <cell r="Y1006">
            <v>18</v>
          </cell>
          <cell r="Z1006">
            <v>26</v>
          </cell>
        </row>
        <row r="1007">
          <cell r="A1007">
            <v>9224436</v>
          </cell>
          <cell r="B1007" t="str">
            <v>幻影脚第4段</v>
          </cell>
          <cell r="C1007" t="str">
            <v>幻影脚第4段</v>
          </cell>
          <cell r="D1007">
            <v>2</v>
          </cell>
          <cell r="E1007">
            <v>61</v>
          </cell>
          <cell r="F1007" t="str">
            <v>第36级，共造成243.9%点伤害</v>
          </cell>
          <cell r="G1007">
            <v>4</v>
          </cell>
          <cell r="H1007">
            <v>4</v>
          </cell>
          <cell r="I1007">
            <v>36</v>
          </cell>
          <cell r="J1007">
            <v>2</v>
          </cell>
          <cell r="K1007">
            <v>243.91304347826087</v>
          </cell>
          <cell r="L1007">
            <v>0</v>
          </cell>
          <cell r="M1007">
            <v>5120</v>
          </cell>
          <cell r="N1007">
            <v>163480</v>
          </cell>
          <cell r="O1007">
            <v>4</v>
          </cell>
          <cell r="P1007">
            <v>1</v>
          </cell>
          <cell r="Q1007">
            <v>1</v>
          </cell>
          <cell r="R1007">
            <v>12</v>
          </cell>
          <cell r="S1007">
            <v>50</v>
          </cell>
          <cell r="T1007">
            <v>179.34782608695653</v>
          </cell>
          <cell r="U1007">
            <v>2440</v>
          </cell>
          <cell r="V1007">
            <v>179.34782608695653</v>
          </cell>
          <cell r="W1007">
            <v>67</v>
          </cell>
          <cell r="X1007">
            <v>936</v>
          </cell>
          <cell r="Y1007">
            <v>18</v>
          </cell>
          <cell r="Z1007">
            <v>27</v>
          </cell>
        </row>
        <row r="1008">
          <cell r="A1008">
            <v>9224437</v>
          </cell>
          <cell r="B1008" t="str">
            <v>幻影脚第4段</v>
          </cell>
          <cell r="C1008" t="str">
            <v>幻影脚第4段</v>
          </cell>
          <cell r="D1008">
            <v>2</v>
          </cell>
          <cell r="E1008">
            <v>62</v>
          </cell>
          <cell r="F1008" t="str">
            <v>第37级，共造成245.7%点伤害</v>
          </cell>
          <cell r="G1008">
            <v>4</v>
          </cell>
          <cell r="H1008">
            <v>4</v>
          </cell>
          <cell r="I1008">
            <v>37</v>
          </cell>
          <cell r="J1008">
            <v>2</v>
          </cell>
          <cell r="K1008">
            <v>245.70652173913044</v>
          </cell>
          <cell r="L1008">
            <v>0</v>
          </cell>
          <cell r="M1008">
            <v>5040</v>
          </cell>
          <cell r="N1008">
            <v>181728</v>
          </cell>
          <cell r="O1008">
            <v>4</v>
          </cell>
          <cell r="P1008">
            <v>1</v>
          </cell>
          <cell r="Q1008">
            <v>1</v>
          </cell>
          <cell r="R1008">
            <v>12</v>
          </cell>
          <cell r="S1008">
            <v>50</v>
          </cell>
          <cell r="T1008">
            <v>179.34782608695653</v>
          </cell>
          <cell r="U1008">
            <v>2524</v>
          </cell>
          <cell r="V1008">
            <v>179.34782608695653</v>
          </cell>
          <cell r="W1008">
            <v>72</v>
          </cell>
          <cell r="X1008">
            <v>1008</v>
          </cell>
          <cell r="Y1008">
            <v>18</v>
          </cell>
          <cell r="Z1008">
            <v>29</v>
          </cell>
        </row>
        <row r="1009">
          <cell r="A1009">
            <v>9224438</v>
          </cell>
          <cell r="B1009" t="str">
            <v>幻影脚第4段</v>
          </cell>
          <cell r="C1009" t="str">
            <v>幻影脚第4段</v>
          </cell>
          <cell r="D1009">
            <v>2</v>
          </cell>
          <cell r="E1009">
            <v>64</v>
          </cell>
          <cell r="F1009" t="str">
            <v>第38级，共造成247.5%点伤害</v>
          </cell>
          <cell r="G1009">
            <v>4</v>
          </cell>
          <cell r="H1009">
            <v>4</v>
          </cell>
          <cell r="I1009">
            <v>38</v>
          </cell>
          <cell r="J1009">
            <v>2</v>
          </cell>
          <cell r="K1009">
            <v>247.5</v>
          </cell>
          <cell r="L1009">
            <v>0</v>
          </cell>
          <cell r="M1009">
            <v>4960</v>
          </cell>
          <cell r="N1009">
            <v>207515</v>
          </cell>
          <cell r="O1009">
            <v>4</v>
          </cell>
          <cell r="P1009">
            <v>1</v>
          </cell>
          <cell r="Q1009">
            <v>1</v>
          </cell>
          <cell r="R1009">
            <v>12</v>
          </cell>
          <cell r="S1009">
            <v>50</v>
          </cell>
          <cell r="T1009">
            <v>179.34782608695653</v>
          </cell>
          <cell r="U1009">
            <v>2695</v>
          </cell>
          <cell r="V1009">
            <v>179.34782608695653</v>
          </cell>
          <cell r="W1009">
            <v>77</v>
          </cell>
          <cell r="X1009">
            <v>1085</v>
          </cell>
          <cell r="Y1009">
            <v>18</v>
          </cell>
          <cell r="Z1009">
            <v>31</v>
          </cell>
        </row>
        <row r="1010">
          <cell r="A1010">
            <v>9224439</v>
          </cell>
          <cell r="B1010" t="str">
            <v>幻影脚第4段</v>
          </cell>
          <cell r="C1010" t="str">
            <v>幻影脚第4段</v>
          </cell>
          <cell r="D1010">
            <v>2</v>
          </cell>
          <cell r="E1010">
            <v>65</v>
          </cell>
          <cell r="F1010" t="str">
            <v>第39级，共造成249.3%点伤害</v>
          </cell>
          <cell r="G1010">
            <v>4</v>
          </cell>
          <cell r="H1010">
            <v>4</v>
          </cell>
          <cell r="I1010">
            <v>39</v>
          </cell>
          <cell r="J1010">
            <v>2</v>
          </cell>
          <cell r="K1010">
            <v>249.29347826086956</v>
          </cell>
          <cell r="L1010">
            <v>0</v>
          </cell>
          <cell r="M1010">
            <v>4880</v>
          </cell>
          <cell r="N1010">
            <v>228206</v>
          </cell>
          <cell r="O1010">
            <v>4</v>
          </cell>
          <cell r="P1010">
            <v>1</v>
          </cell>
          <cell r="Q1010">
            <v>1</v>
          </cell>
          <cell r="R1010">
            <v>12</v>
          </cell>
          <cell r="S1010">
            <v>50</v>
          </cell>
          <cell r="T1010">
            <v>179.34782608695653</v>
          </cell>
          <cell r="U1010">
            <v>2783</v>
          </cell>
          <cell r="V1010">
            <v>179.34782608695653</v>
          </cell>
          <cell r="W1010">
            <v>82</v>
          </cell>
          <cell r="X1010">
            <v>1167</v>
          </cell>
          <cell r="Y1010">
            <v>18</v>
          </cell>
          <cell r="Z1010">
            <v>33</v>
          </cell>
        </row>
        <row r="1011">
          <cell r="A1011">
            <v>9224440</v>
          </cell>
          <cell r="B1011" t="str">
            <v>幻影脚第4段</v>
          </cell>
          <cell r="C1011" t="str">
            <v>幻影脚第4段</v>
          </cell>
          <cell r="D1011">
            <v>2</v>
          </cell>
          <cell r="E1011">
            <v>66</v>
          </cell>
          <cell r="F1011" t="str">
            <v>第40级，共造成251.1%点伤害</v>
          </cell>
          <cell r="G1011">
            <v>4</v>
          </cell>
          <cell r="H1011">
            <v>4</v>
          </cell>
          <cell r="I1011">
            <v>40</v>
          </cell>
          <cell r="J1011">
            <v>2</v>
          </cell>
          <cell r="K1011">
            <v>251.08695652173915</v>
          </cell>
          <cell r="L1011">
            <v>0</v>
          </cell>
          <cell r="M1011">
            <v>4800</v>
          </cell>
          <cell r="N1011">
            <v>252736</v>
          </cell>
          <cell r="O1011">
            <v>4</v>
          </cell>
          <cell r="P1011">
            <v>1</v>
          </cell>
          <cell r="Q1011">
            <v>1</v>
          </cell>
          <cell r="R1011">
            <v>12</v>
          </cell>
          <cell r="S1011">
            <v>50</v>
          </cell>
          <cell r="T1011">
            <v>179.34782608695653</v>
          </cell>
          <cell r="U1011">
            <v>2872</v>
          </cell>
          <cell r="V1011">
            <v>179.34782608695653</v>
          </cell>
          <cell r="W1011">
            <v>88</v>
          </cell>
          <cell r="X1011">
            <v>1255</v>
          </cell>
          <cell r="Y1011">
            <v>18</v>
          </cell>
          <cell r="Z1011">
            <v>36</v>
          </cell>
        </row>
        <row r="1012">
          <cell r="A1012">
            <v>9224441</v>
          </cell>
          <cell r="B1012" t="str">
            <v>幻影脚第4段</v>
          </cell>
          <cell r="C1012" t="str">
            <v>幻影脚第4段</v>
          </cell>
          <cell r="D1012">
            <v>2</v>
          </cell>
          <cell r="E1012">
            <v>68</v>
          </cell>
          <cell r="F1012" t="str">
            <v>第41级，共造成252.9%点伤害</v>
          </cell>
          <cell r="G1012">
            <v>4</v>
          </cell>
          <cell r="H1012">
            <v>4</v>
          </cell>
          <cell r="I1012">
            <v>41</v>
          </cell>
          <cell r="J1012">
            <v>2</v>
          </cell>
          <cell r="K1012">
            <v>252.88043478260872</v>
          </cell>
          <cell r="L1012">
            <v>0</v>
          </cell>
          <cell r="M1012">
            <v>4720</v>
          </cell>
          <cell r="N1012">
            <v>287076</v>
          </cell>
          <cell r="O1012">
            <v>4</v>
          </cell>
          <cell r="P1012">
            <v>1</v>
          </cell>
          <cell r="Q1012">
            <v>1</v>
          </cell>
          <cell r="R1012">
            <v>12</v>
          </cell>
          <cell r="S1012">
            <v>50</v>
          </cell>
          <cell r="T1012">
            <v>179.34782608695653</v>
          </cell>
          <cell r="U1012">
            <v>3054</v>
          </cell>
          <cell r="V1012">
            <v>179.34782608695653</v>
          </cell>
          <cell r="W1012">
            <v>94</v>
          </cell>
          <cell r="X1012">
            <v>1349</v>
          </cell>
          <cell r="Y1012">
            <v>18</v>
          </cell>
          <cell r="Z1012">
            <v>38</v>
          </cell>
        </row>
        <row r="1013">
          <cell r="A1013">
            <v>9224442</v>
          </cell>
          <cell r="B1013" t="str">
            <v>幻影脚第4段</v>
          </cell>
          <cell r="C1013" t="str">
            <v>幻影脚第4段</v>
          </cell>
          <cell r="D1013">
            <v>2</v>
          </cell>
          <cell r="E1013">
            <v>69</v>
          </cell>
          <cell r="F1013" t="str">
            <v>第42级，共造成254.7%点伤害</v>
          </cell>
          <cell r="G1013">
            <v>4</v>
          </cell>
          <cell r="H1013">
            <v>4</v>
          </cell>
          <cell r="I1013">
            <v>42</v>
          </cell>
          <cell r="J1013">
            <v>2</v>
          </cell>
          <cell r="K1013">
            <v>254.67391304347828</v>
          </cell>
          <cell r="L1013">
            <v>0</v>
          </cell>
          <cell r="M1013">
            <v>4640</v>
          </cell>
          <cell r="N1013">
            <v>314700</v>
          </cell>
          <cell r="O1013">
            <v>4</v>
          </cell>
          <cell r="P1013">
            <v>1</v>
          </cell>
          <cell r="Q1013">
            <v>1</v>
          </cell>
          <cell r="R1013">
            <v>12</v>
          </cell>
          <cell r="S1013">
            <v>50</v>
          </cell>
          <cell r="T1013">
            <v>179.34782608695653</v>
          </cell>
          <cell r="U1013">
            <v>3147</v>
          </cell>
          <cell r="V1013">
            <v>179.34782608695653</v>
          </cell>
          <cell r="W1013">
            <v>100</v>
          </cell>
          <cell r="X1013">
            <v>1449</v>
          </cell>
          <cell r="Y1013">
            <v>18</v>
          </cell>
          <cell r="Z1013">
            <v>40</v>
          </cell>
        </row>
        <row r="1014">
          <cell r="A1014">
            <v>9224443</v>
          </cell>
          <cell r="B1014" t="str">
            <v>幻影脚第4段</v>
          </cell>
          <cell r="C1014" t="str">
            <v>幻影脚第4段</v>
          </cell>
          <cell r="D1014">
            <v>2</v>
          </cell>
          <cell r="E1014">
            <v>70</v>
          </cell>
          <cell r="F1014" t="str">
            <v>第43级，共造成256.5%点伤害</v>
          </cell>
          <cell r="G1014">
            <v>4</v>
          </cell>
          <cell r="H1014">
            <v>4</v>
          </cell>
          <cell r="I1014">
            <v>43</v>
          </cell>
          <cell r="J1014">
            <v>2</v>
          </cell>
          <cell r="K1014">
            <v>256.46739130434787</v>
          </cell>
          <cell r="L1014">
            <v>0</v>
          </cell>
          <cell r="M1014">
            <v>4560</v>
          </cell>
          <cell r="N1014">
            <v>346894</v>
          </cell>
          <cell r="O1014">
            <v>4</v>
          </cell>
          <cell r="P1014">
            <v>1</v>
          </cell>
          <cell r="Q1014">
            <v>1</v>
          </cell>
          <cell r="R1014">
            <v>12</v>
          </cell>
          <cell r="S1014">
            <v>50</v>
          </cell>
          <cell r="T1014">
            <v>179.34782608695653</v>
          </cell>
          <cell r="U1014">
            <v>3242</v>
          </cell>
          <cell r="V1014">
            <v>179.34782608695653</v>
          </cell>
          <cell r="W1014">
            <v>107</v>
          </cell>
          <cell r="X1014">
            <v>1556</v>
          </cell>
          <cell r="Y1014">
            <v>18</v>
          </cell>
          <cell r="Z1014">
            <v>43</v>
          </cell>
        </row>
        <row r="1015">
          <cell r="A1015">
            <v>9224444</v>
          </cell>
          <cell r="B1015" t="str">
            <v>幻影脚第4段</v>
          </cell>
          <cell r="C1015" t="str">
            <v>幻影脚第4段</v>
          </cell>
          <cell r="D1015">
            <v>2</v>
          </cell>
          <cell r="E1015">
            <v>72</v>
          </cell>
          <cell r="F1015" t="str">
            <v>第44级，共造成258.3%点伤害</v>
          </cell>
          <cell r="G1015">
            <v>4</v>
          </cell>
          <cell r="H1015">
            <v>4</v>
          </cell>
          <cell r="I1015">
            <v>44</v>
          </cell>
          <cell r="J1015">
            <v>2</v>
          </cell>
          <cell r="K1015">
            <v>258.26086956521738</v>
          </cell>
          <cell r="L1015">
            <v>0</v>
          </cell>
          <cell r="M1015">
            <v>4480</v>
          </cell>
          <cell r="N1015">
            <v>395025</v>
          </cell>
          <cell r="O1015">
            <v>4</v>
          </cell>
          <cell r="P1015">
            <v>1</v>
          </cell>
          <cell r="Q1015">
            <v>1</v>
          </cell>
          <cell r="R1015">
            <v>12</v>
          </cell>
          <cell r="S1015">
            <v>50</v>
          </cell>
          <cell r="T1015">
            <v>179.34782608695653</v>
          </cell>
          <cell r="U1015">
            <v>3435</v>
          </cell>
          <cell r="V1015">
            <v>179.34782608695653</v>
          </cell>
          <cell r="W1015">
            <v>115</v>
          </cell>
          <cell r="X1015">
            <v>1671</v>
          </cell>
          <cell r="Y1015">
            <v>18</v>
          </cell>
          <cell r="Z1015">
            <v>46</v>
          </cell>
        </row>
        <row r="1016">
          <cell r="A1016">
            <v>9224445</v>
          </cell>
          <cell r="B1016" t="str">
            <v>幻影脚第4段</v>
          </cell>
          <cell r="C1016" t="str">
            <v>幻影脚第4段</v>
          </cell>
          <cell r="D1016">
            <v>2</v>
          </cell>
          <cell r="E1016">
            <v>73</v>
          </cell>
          <cell r="F1016" t="str">
            <v>第45级，共造成260.1%点伤害</v>
          </cell>
          <cell r="G1016">
            <v>4</v>
          </cell>
          <cell r="H1016">
            <v>4</v>
          </cell>
          <cell r="I1016">
            <v>45</v>
          </cell>
          <cell r="J1016">
            <v>2</v>
          </cell>
          <cell r="K1016">
            <v>260.054347826087</v>
          </cell>
          <cell r="L1016">
            <v>0</v>
          </cell>
          <cell r="M1016">
            <v>4400</v>
          </cell>
          <cell r="N1016">
            <v>434682</v>
          </cell>
          <cell r="O1016">
            <v>4</v>
          </cell>
          <cell r="P1016">
            <v>1</v>
          </cell>
          <cell r="Q1016">
            <v>1</v>
          </cell>
          <cell r="R1016">
            <v>12</v>
          </cell>
          <cell r="S1016">
            <v>50</v>
          </cell>
          <cell r="T1016">
            <v>179.34782608695653</v>
          </cell>
          <cell r="U1016">
            <v>3534</v>
          </cell>
          <cell r="V1016">
            <v>179.34782608695653</v>
          </cell>
          <cell r="W1016">
            <v>123</v>
          </cell>
          <cell r="X1016">
            <v>1794</v>
          </cell>
          <cell r="Y1016">
            <v>18</v>
          </cell>
          <cell r="Z1016">
            <v>50</v>
          </cell>
        </row>
        <row r="1017">
          <cell r="A1017">
            <v>9224446</v>
          </cell>
          <cell r="B1017" t="str">
            <v>幻影脚第4段</v>
          </cell>
          <cell r="C1017" t="str">
            <v>幻影脚第4段</v>
          </cell>
          <cell r="D1017">
            <v>2</v>
          </cell>
          <cell r="E1017">
            <v>75</v>
          </cell>
          <cell r="F1017" t="str">
            <v>第46级，共造成261.8%点伤害</v>
          </cell>
          <cell r="G1017">
            <v>4</v>
          </cell>
          <cell r="H1017">
            <v>4</v>
          </cell>
          <cell r="I1017">
            <v>46</v>
          </cell>
          <cell r="J1017">
            <v>2</v>
          </cell>
          <cell r="K1017">
            <v>261.84782608695656</v>
          </cell>
          <cell r="L1017">
            <v>0</v>
          </cell>
          <cell r="M1017">
            <v>4320</v>
          </cell>
          <cell r="N1017">
            <v>493020</v>
          </cell>
          <cell r="O1017">
            <v>4</v>
          </cell>
          <cell r="P1017">
            <v>1</v>
          </cell>
          <cell r="Q1017">
            <v>1</v>
          </cell>
          <cell r="R1017">
            <v>12</v>
          </cell>
          <cell r="S1017">
            <v>50</v>
          </cell>
          <cell r="T1017">
            <v>179.34782608695653</v>
          </cell>
          <cell r="U1017">
            <v>3735</v>
          </cell>
          <cell r="V1017">
            <v>179.34782608695653</v>
          </cell>
          <cell r="W1017">
            <v>132</v>
          </cell>
          <cell r="X1017">
            <v>1926</v>
          </cell>
          <cell r="Y1017">
            <v>18</v>
          </cell>
          <cell r="Z1017">
            <v>53</v>
          </cell>
        </row>
        <row r="1018">
          <cell r="A1018">
            <v>9224447</v>
          </cell>
          <cell r="B1018" t="str">
            <v>幻影脚第4段</v>
          </cell>
          <cell r="C1018" t="str">
            <v>幻影脚第4段</v>
          </cell>
          <cell r="D1018">
            <v>2</v>
          </cell>
          <cell r="E1018">
            <v>76</v>
          </cell>
          <cell r="F1018" t="str">
            <v>第47级，共造成263.6%点伤害</v>
          </cell>
          <cell r="G1018">
            <v>4</v>
          </cell>
          <cell r="H1018">
            <v>4</v>
          </cell>
          <cell r="I1018">
            <v>47</v>
          </cell>
          <cell r="J1018">
            <v>2</v>
          </cell>
          <cell r="K1018">
            <v>263.64130434782612</v>
          </cell>
          <cell r="L1018">
            <v>0</v>
          </cell>
          <cell r="M1018">
            <v>4240</v>
          </cell>
          <cell r="N1018">
            <v>541158</v>
          </cell>
          <cell r="O1018">
            <v>4</v>
          </cell>
          <cell r="P1018">
            <v>1</v>
          </cell>
          <cell r="Q1018">
            <v>1</v>
          </cell>
          <cell r="R1018">
            <v>12</v>
          </cell>
          <cell r="S1018">
            <v>50</v>
          </cell>
          <cell r="T1018">
            <v>179.34782608695653</v>
          </cell>
          <cell r="U1018">
            <v>3838</v>
          </cell>
          <cell r="V1018">
            <v>179.34782608695653</v>
          </cell>
          <cell r="W1018">
            <v>141</v>
          </cell>
          <cell r="X1018">
            <v>2067</v>
          </cell>
          <cell r="Y1018">
            <v>18</v>
          </cell>
          <cell r="Z1018">
            <v>57</v>
          </cell>
        </row>
        <row r="1019">
          <cell r="A1019">
            <v>9224448</v>
          </cell>
          <cell r="B1019" t="str">
            <v>幻影脚第4段</v>
          </cell>
          <cell r="C1019" t="str">
            <v>幻影脚第4段</v>
          </cell>
          <cell r="D1019">
            <v>2</v>
          </cell>
          <cell r="E1019">
            <v>77</v>
          </cell>
          <cell r="F1019" t="str">
            <v>第48级，共造成265.4%点伤害</v>
          </cell>
          <cell r="G1019">
            <v>4</v>
          </cell>
          <cell r="H1019">
            <v>4</v>
          </cell>
          <cell r="I1019">
            <v>48</v>
          </cell>
          <cell r="J1019">
            <v>2</v>
          </cell>
          <cell r="K1019">
            <v>265.43478260869568</v>
          </cell>
          <cell r="L1019">
            <v>0</v>
          </cell>
          <cell r="M1019">
            <v>4160</v>
          </cell>
          <cell r="N1019">
            <v>595242</v>
          </cell>
          <cell r="O1019">
            <v>4</v>
          </cell>
          <cell r="P1019">
            <v>1</v>
          </cell>
          <cell r="Q1019">
            <v>1</v>
          </cell>
          <cell r="R1019">
            <v>12</v>
          </cell>
          <cell r="S1019">
            <v>50</v>
          </cell>
          <cell r="T1019">
            <v>179.34782608695653</v>
          </cell>
          <cell r="U1019">
            <v>3942</v>
          </cell>
          <cell r="V1019">
            <v>179.34782608695653</v>
          </cell>
          <cell r="W1019">
            <v>151</v>
          </cell>
          <cell r="X1019">
            <v>2218</v>
          </cell>
          <cell r="Y1019">
            <v>18</v>
          </cell>
          <cell r="Z1019">
            <v>61</v>
          </cell>
        </row>
        <row r="1020">
          <cell r="A1020">
            <v>9224449</v>
          </cell>
          <cell r="B1020" t="str">
            <v>幻影脚第4段</v>
          </cell>
          <cell r="C1020" t="str">
            <v>幻影脚第4段</v>
          </cell>
          <cell r="D1020">
            <v>2</v>
          </cell>
          <cell r="E1020">
            <v>79</v>
          </cell>
          <cell r="F1020" t="str">
            <v>第49级，共造成267.2%点伤害</v>
          </cell>
          <cell r="G1020">
            <v>4</v>
          </cell>
          <cell r="H1020">
            <v>4</v>
          </cell>
          <cell r="I1020">
            <v>49</v>
          </cell>
          <cell r="J1020">
            <v>2</v>
          </cell>
          <cell r="K1020">
            <v>267.22826086956525</v>
          </cell>
          <cell r="L1020">
            <v>0</v>
          </cell>
          <cell r="M1020">
            <v>4080</v>
          </cell>
          <cell r="N1020">
            <v>668794</v>
          </cell>
          <cell r="O1020">
            <v>4</v>
          </cell>
          <cell r="P1020">
            <v>1</v>
          </cell>
          <cell r="Q1020">
            <v>1</v>
          </cell>
          <cell r="R1020">
            <v>12</v>
          </cell>
          <cell r="S1020">
            <v>50</v>
          </cell>
          <cell r="T1020">
            <v>179.34782608695653</v>
          </cell>
          <cell r="U1020">
            <v>4154</v>
          </cell>
          <cell r="V1020">
            <v>179.34782608695653</v>
          </cell>
          <cell r="W1020">
            <v>161</v>
          </cell>
          <cell r="X1020">
            <v>2379</v>
          </cell>
          <cell r="Y1020">
            <v>18</v>
          </cell>
          <cell r="Z1020">
            <v>65</v>
          </cell>
        </row>
        <row r="1021">
          <cell r="A1021">
            <v>9224450</v>
          </cell>
          <cell r="B1021" t="str">
            <v>幻影脚第4段</v>
          </cell>
          <cell r="C1021" t="str">
            <v>幻影脚第4段</v>
          </cell>
          <cell r="D1021">
            <v>2</v>
          </cell>
          <cell r="E1021">
            <v>80</v>
          </cell>
          <cell r="F1021" t="str">
            <v>第50级，共造成269%点伤害</v>
          </cell>
          <cell r="G1021">
            <v>4</v>
          </cell>
          <cell r="H1021">
            <v>4</v>
          </cell>
          <cell r="I1021">
            <v>50</v>
          </cell>
          <cell r="J1021">
            <v>2</v>
          </cell>
          <cell r="K1021">
            <v>269.02173913043481</v>
          </cell>
          <cell r="L1021">
            <v>0</v>
          </cell>
          <cell r="M1021">
            <v>4000</v>
          </cell>
          <cell r="N1021">
            <v>737326</v>
          </cell>
          <cell r="O1021">
            <v>4</v>
          </cell>
          <cell r="P1021">
            <v>1</v>
          </cell>
          <cell r="Q1021">
            <v>1</v>
          </cell>
          <cell r="R1021">
            <v>12</v>
          </cell>
          <cell r="S1021">
            <v>50</v>
          </cell>
          <cell r="T1021">
            <v>179.34782608695653</v>
          </cell>
          <cell r="U1021">
            <v>4262</v>
          </cell>
          <cell r="V1021">
            <v>179.34782608695653</v>
          </cell>
          <cell r="W1021">
            <v>173</v>
          </cell>
          <cell r="X1021">
            <v>2552</v>
          </cell>
          <cell r="Y1021">
            <v>18</v>
          </cell>
          <cell r="Z1021">
            <v>70</v>
          </cell>
        </row>
        <row r="1022">
          <cell r="A1022">
            <v>9311000</v>
          </cell>
          <cell r="B1022" t="str">
            <v>激光轰击</v>
          </cell>
          <cell r="C1022" t="str">
            <v>激光轰击</v>
          </cell>
          <cell r="D1022">
            <v>3</v>
          </cell>
          <cell r="E1022">
            <v>2</v>
          </cell>
          <cell r="F1022" t="str">
            <v>第0级，共造成221.4%点伤害</v>
          </cell>
          <cell r="G1022">
            <v>0</v>
          </cell>
          <cell r="H1022">
            <v>1</v>
          </cell>
          <cell r="I1022">
            <v>0</v>
          </cell>
          <cell r="J1022">
            <v>1</v>
          </cell>
          <cell r="K1022">
            <v>17.032967032967033</v>
          </cell>
          <cell r="L1022">
            <v>0</v>
          </cell>
          <cell r="M1022">
            <v>10000</v>
          </cell>
          <cell r="N1022">
            <v>0</v>
          </cell>
          <cell r="O1022">
            <v>1</v>
          </cell>
          <cell r="P1022">
            <v>13</v>
          </cell>
          <cell r="Q1022">
            <v>1</v>
          </cell>
          <cell r="R1022">
            <v>2</v>
          </cell>
          <cell r="S1022">
            <v>50</v>
          </cell>
          <cell r="T1022">
            <v>17.032967032967033</v>
          </cell>
          <cell r="U1022">
            <v>56</v>
          </cell>
          <cell r="V1022">
            <v>221.42857142857142</v>
          </cell>
          <cell r="W1022">
            <v>0</v>
          </cell>
          <cell r="X1022">
            <v>0</v>
          </cell>
          <cell r="Y1022">
            <v>18</v>
          </cell>
          <cell r="Z1022">
            <v>0</v>
          </cell>
        </row>
        <row r="1023">
          <cell r="A1023">
            <v>9311101</v>
          </cell>
          <cell r="B1023" t="str">
            <v>激光轰击</v>
          </cell>
          <cell r="C1023" t="str">
            <v>激光轰击</v>
          </cell>
          <cell r="D1023">
            <v>3</v>
          </cell>
          <cell r="E1023">
            <v>2</v>
          </cell>
          <cell r="F1023" t="str">
            <v>第1级，共造成221.4%点伤害</v>
          </cell>
          <cell r="G1023">
            <v>1</v>
          </cell>
          <cell r="H1023">
            <v>1</v>
          </cell>
          <cell r="I1023">
            <v>1</v>
          </cell>
          <cell r="J1023">
            <v>1</v>
          </cell>
          <cell r="K1023">
            <v>17.032967032967033</v>
          </cell>
          <cell r="L1023">
            <v>0</v>
          </cell>
          <cell r="M1023">
            <v>10000</v>
          </cell>
          <cell r="N1023">
            <v>448</v>
          </cell>
          <cell r="O1023">
            <v>1</v>
          </cell>
          <cell r="P1023">
            <v>13</v>
          </cell>
          <cell r="Q1023">
            <v>1</v>
          </cell>
          <cell r="R1023">
            <v>2</v>
          </cell>
          <cell r="S1023">
            <v>50</v>
          </cell>
          <cell r="T1023">
            <v>17.032967032967033</v>
          </cell>
          <cell r="U1023">
            <v>56</v>
          </cell>
          <cell r="V1023">
            <v>221.42857142857142</v>
          </cell>
          <cell r="W1023">
            <v>8</v>
          </cell>
          <cell r="X1023">
            <v>8</v>
          </cell>
          <cell r="Y1023">
            <v>18</v>
          </cell>
          <cell r="Z1023">
            <v>0</v>
          </cell>
        </row>
        <row r="1024">
          <cell r="A1024">
            <v>9311102</v>
          </cell>
          <cell r="B1024" t="str">
            <v>激光轰击</v>
          </cell>
          <cell r="C1024" t="str">
            <v>激光轰击</v>
          </cell>
          <cell r="D1024">
            <v>3</v>
          </cell>
          <cell r="E1024">
            <v>2</v>
          </cell>
          <cell r="F1024" t="str">
            <v>第2级，共造成225.9%点伤害</v>
          </cell>
          <cell r="G1024">
            <v>1</v>
          </cell>
          <cell r="H1024">
            <v>1</v>
          </cell>
          <cell r="I1024">
            <v>2</v>
          </cell>
          <cell r="J1024">
            <v>1</v>
          </cell>
          <cell r="K1024">
            <v>17.373626373626372</v>
          </cell>
          <cell r="L1024">
            <v>0</v>
          </cell>
          <cell r="M1024">
            <v>9800</v>
          </cell>
          <cell r="N1024">
            <v>504</v>
          </cell>
          <cell r="O1024">
            <v>1</v>
          </cell>
          <cell r="P1024">
            <v>13</v>
          </cell>
          <cell r="Q1024">
            <v>1</v>
          </cell>
          <cell r="R1024">
            <v>2</v>
          </cell>
          <cell r="S1024">
            <v>50</v>
          </cell>
          <cell r="T1024">
            <v>17.032967032967033</v>
          </cell>
          <cell r="U1024">
            <v>56</v>
          </cell>
          <cell r="V1024">
            <v>221.42857142857142</v>
          </cell>
          <cell r="W1024">
            <v>9</v>
          </cell>
          <cell r="X1024">
            <v>17</v>
          </cell>
          <cell r="Y1024">
            <v>18</v>
          </cell>
          <cell r="Z1024">
            <v>0</v>
          </cell>
        </row>
        <row r="1025">
          <cell r="A1025">
            <v>9311103</v>
          </cell>
          <cell r="B1025" t="str">
            <v>激光轰击</v>
          </cell>
          <cell r="C1025" t="str">
            <v>激光轰击</v>
          </cell>
          <cell r="D1025">
            <v>3</v>
          </cell>
          <cell r="E1025">
            <v>7</v>
          </cell>
          <cell r="F1025" t="str">
            <v>第3级，共造成228.1%点伤害</v>
          </cell>
          <cell r="G1025">
            <v>1</v>
          </cell>
          <cell r="H1025">
            <v>1</v>
          </cell>
          <cell r="I1025">
            <v>3</v>
          </cell>
          <cell r="J1025">
            <v>1</v>
          </cell>
          <cell r="K1025">
            <v>17.543956043956044</v>
          </cell>
          <cell r="L1025">
            <v>0</v>
          </cell>
          <cell r="M1025">
            <v>9700</v>
          </cell>
          <cell r="N1025">
            <v>860</v>
          </cell>
          <cell r="O1025">
            <v>1</v>
          </cell>
          <cell r="P1025">
            <v>13</v>
          </cell>
          <cell r="Q1025">
            <v>1</v>
          </cell>
          <cell r="R1025">
            <v>2</v>
          </cell>
          <cell r="S1025">
            <v>50</v>
          </cell>
          <cell r="T1025">
            <v>17.032967032967033</v>
          </cell>
          <cell r="U1025">
            <v>86</v>
          </cell>
          <cell r="V1025">
            <v>221.42857142857142</v>
          </cell>
          <cell r="W1025">
            <v>10</v>
          </cell>
          <cell r="X1025">
            <v>27</v>
          </cell>
          <cell r="Y1025">
            <v>18</v>
          </cell>
          <cell r="Z1025">
            <v>0</v>
          </cell>
        </row>
        <row r="1026">
          <cell r="A1026">
            <v>9311104</v>
          </cell>
          <cell r="B1026" t="str">
            <v>激光轰击</v>
          </cell>
          <cell r="C1026" t="str">
            <v>激光轰击</v>
          </cell>
          <cell r="D1026">
            <v>3</v>
          </cell>
          <cell r="E1026">
            <v>8</v>
          </cell>
          <cell r="F1026" t="str">
            <v>第4级，共造成230.3%点伤害</v>
          </cell>
          <cell r="G1026">
            <v>1</v>
          </cell>
          <cell r="H1026">
            <v>1</v>
          </cell>
          <cell r="I1026">
            <v>4</v>
          </cell>
          <cell r="J1026">
            <v>1</v>
          </cell>
          <cell r="K1026">
            <v>17.714285714285715</v>
          </cell>
          <cell r="L1026">
            <v>0</v>
          </cell>
          <cell r="M1026">
            <v>9600</v>
          </cell>
          <cell r="N1026">
            <v>920</v>
          </cell>
          <cell r="O1026">
            <v>1</v>
          </cell>
          <cell r="P1026">
            <v>13</v>
          </cell>
          <cell r="Q1026">
            <v>1</v>
          </cell>
          <cell r="R1026">
            <v>2</v>
          </cell>
          <cell r="S1026">
            <v>50</v>
          </cell>
          <cell r="T1026">
            <v>17.032967032967033</v>
          </cell>
          <cell r="U1026">
            <v>92</v>
          </cell>
          <cell r="V1026">
            <v>221.42857142857142</v>
          </cell>
          <cell r="W1026">
            <v>10</v>
          </cell>
          <cell r="X1026">
            <v>37</v>
          </cell>
          <cell r="Y1026">
            <v>18</v>
          </cell>
          <cell r="Z1026">
            <v>0</v>
          </cell>
        </row>
        <row r="1027">
          <cell r="A1027">
            <v>9311105</v>
          </cell>
          <cell r="B1027" t="str">
            <v>激光轰击</v>
          </cell>
          <cell r="C1027" t="str">
            <v>激光轰击</v>
          </cell>
          <cell r="D1027">
            <v>3</v>
          </cell>
          <cell r="E1027">
            <v>10</v>
          </cell>
          <cell r="F1027" t="str">
            <v>第5级，共造成232.5%点伤害</v>
          </cell>
          <cell r="G1027">
            <v>1</v>
          </cell>
          <cell r="H1027">
            <v>1</v>
          </cell>
          <cell r="I1027">
            <v>5</v>
          </cell>
          <cell r="J1027">
            <v>1</v>
          </cell>
          <cell r="K1027">
            <v>17.884615384615383</v>
          </cell>
          <cell r="L1027">
            <v>0</v>
          </cell>
          <cell r="M1027">
            <v>9500</v>
          </cell>
          <cell r="N1027">
            <v>1144</v>
          </cell>
          <cell r="O1027">
            <v>1</v>
          </cell>
          <cell r="P1027">
            <v>13</v>
          </cell>
          <cell r="Q1027">
            <v>1</v>
          </cell>
          <cell r="R1027">
            <v>2</v>
          </cell>
          <cell r="S1027">
            <v>50</v>
          </cell>
          <cell r="T1027">
            <v>17.032967032967033</v>
          </cell>
          <cell r="U1027">
            <v>104</v>
          </cell>
          <cell r="V1027">
            <v>221.42857142857142</v>
          </cell>
          <cell r="W1027">
            <v>11</v>
          </cell>
          <cell r="X1027">
            <v>48</v>
          </cell>
          <cell r="Y1027">
            <v>18</v>
          </cell>
          <cell r="Z1027">
            <v>0</v>
          </cell>
        </row>
        <row r="1028">
          <cell r="A1028">
            <v>9311106</v>
          </cell>
          <cell r="B1028" t="str">
            <v>激光轰击</v>
          </cell>
          <cell r="C1028" t="str">
            <v>激光轰击</v>
          </cell>
          <cell r="D1028">
            <v>3</v>
          </cell>
          <cell r="E1028">
            <v>11</v>
          </cell>
          <cell r="F1028" t="str">
            <v>第6级，共造成234.7%点伤害</v>
          </cell>
          <cell r="G1028">
            <v>1</v>
          </cell>
          <cell r="H1028">
            <v>1</v>
          </cell>
          <cell r="I1028">
            <v>6</v>
          </cell>
          <cell r="J1028">
            <v>1</v>
          </cell>
          <cell r="K1028">
            <v>18.054945054945055</v>
          </cell>
          <cell r="L1028">
            <v>0</v>
          </cell>
          <cell r="M1028">
            <v>9400</v>
          </cell>
          <cell r="N1028">
            <v>1320</v>
          </cell>
          <cell r="O1028">
            <v>1</v>
          </cell>
          <cell r="P1028">
            <v>13</v>
          </cell>
          <cell r="Q1028">
            <v>1</v>
          </cell>
          <cell r="R1028">
            <v>2</v>
          </cell>
          <cell r="S1028">
            <v>50</v>
          </cell>
          <cell r="T1028">
            <v>17.032967032967033</v>
          </cell>
          <cell r="U1028">
            <v>110</v>
          </cell>
          <cell r="V1028">
            <v>221.42857142857142</v>
          </cell>
          <cell r="W1028">
            <v>12</v>
          </cell>
          <cell r="X1028">
            <v>60</v>
          </cell>
          <cell r="Y1028">
            <v>18</v>
          </cell>
          <cell r="Z1028">
            <v>0</v>
          </cell>
        </row>
        <row r="1029">
          <cell r="A1029">
            <v>9311107</v>
          </cell>
          <cell r="B1029" t="str">
            <v>激光轰击</v>
          </cell>
          <cell r="C1029" t="str">
            <v>激光轰击</v>
          </cell>
          <cell r="D1029">
            <v>3</v>
          </cell>
          <cell r="E1029">
            <v>13</v>
          </cell>
          <cell r="F1029" t="str">
            <v>第7级，共造成236.9%点伤害</v>
          </cell>
          <cell r="G1029">
            <v>1</v>
          </cell>
          <cell r="H1029">
            <v>1</v>
          </cell>
          <cell r="I1029">
            <v>7</v>
          </cell>
          <cell r="J1029">
            <v>1</v>
          </cell>
          <cell r="K1029">
            <v>18.225274725274726</v>
          </cell>
          <cell r="L1029">
            <v>0</v>
          </cell>
          <cell r="M1029">
            <v>9300</v>
          </cell>
          <cell r="N1029">
            <v>1464</v>
          </cell>
          <cell r="O1029">
            <v>1</v>
          </cell>
          <cell r="P1029">
            <v>13</v>
          </cell>
          <cell r="Q1029">
            <v>1</v>
          </cell>
          <cell r="R1029">
            <v>2</v>
          </cell>
          <cell r="S1029">
            <v>50</v>
          </cell>
          <cell r="T1029">
            <v>17.032967032967033</v>
          </cell>
          <cell r="U1029">
            <v>122</v>
          </cell>
          <cell r="V1029">
            <v>221.42857142857142</v>
          </cell>
          <cell r="W1029">
            <v>12</v>
          </cell>
          <cell r="X1029">
            <v>72</v>
          </cell>
          <cell r="Y1029">
            <v>18</v>
          </cell>
          <cell r="Z1029">
            <v>0</v>
          </cell>
        </row>
        <row r="1030">
          <cell r="A1030">
            <v>9311108</v>
          </cell>
          <cell r="B1030" t="str">
            <v>激光轰击</v>
          </cell>
          <cell r="C1030" t="str">
            <v>激光轰击</v>
          </cell>
          <cell r="D1030">
            <v>3</v>
          </cell>
          <cell r="E1030">
            <v>14</v>
          </cell>
          <cell r="F1030" t="str">
            <v>第8级，共造成239.1%点伤害</v>
          </cell>
          <cell r="G1030">
            <v>1</v>
          </cell>
          <cell r="H1030">
            <v>1</v>
          </cell>
          <cell r="I1030">
            <v>8</v>
          </cell>
          <cell r="J1030">
            <v>1</v>
          </cell>
          <cell r="K1030">
            <v>18.395604395604394</v>
          </cell>
          <cell r="L1030">
            <v>0</v>
          </cell>
          <cell r="M1030">
            <v>9200</v>
          </cell>
          <cell r="N1030">
            <v>1664</v>
          </cell>
          <cell r="O1030">
            <v>1</v>
          </cell>
          <cell r="P1030">
            <v>13</v>
          </cell>
          <cell r="Q1030">
            <v>1</v>
          </cell>
          <cell r="R1030">
            <v>2</v>
          </cell>
          <cell r="S1030">
            <v>50</v>
          </cell>
          <cell r="T1030">
            <v>17.032967032967033</v>
          </cell>
          <cell r="U1030">
            <v>128</v>
          </cell>
          <cell r="V1030">
            <v>221.42857142857142</v>
          </cell>
          <cell r="W1030">
            <v>13</v>
          </cell>
          <cell r="X1030">
            <v>85</v>
          </cell>
          <cell r="Y1030">
            <v>18</v>
          </cell>
          <cell r="Z1030">
            <v>0</v>
          </cell>
        </row>
        <row r="1031">
          <cell r="A1031">
            <v>9311109</v>
          </cell>
          <cell r="B1031" t="str">
            <v>激光轰击</v>
          </cell>
          <cell r="C1031" t="str">
            <v>激光轰击</v>
          </cell>
          <cell r="D1031">
            <v>3</v>
          </cell>
          <cell r="E1031">
            <v>16</v>
          </cell>
          <cell r="F1031" t="str">
            <v>第9级，共造成241.4%点伤害</v>
          </cell>
          <cell r="G1031">
            <v>1</v>
          </cell>
          <cell r="H1031">
            <v>1</v>
          </cell>
          <cell r="I1031">
            <v>9</v>
          </cell>
          <cell r="J1031">
            <v>1</v>
          </cell>
          <cell r="K1031">
            <v>18.565934065934066</v>
          </cell>
          <cell r="L1031">
            <v>0</v>
          </cell>
          <cell r="M1031">
            <v>9100</v>
          </cell>
          <cell r="N1031">
            <v>1960</v>
          </cell>
          <cell r="O1031">
            <v>1</v>
          </cell>
          <cell r="P1031">
            <v>13</v>
          </cell>
          <cell r="Q1031">
            <v>1</v>
          </cell>
          <cell r="R1031">
            <v>2</v>
          </cell>
          <cell r="S1031">
            <v>50</v>
          </cell>
          <cell r="T1031">
            <v>17.032967032967033</v>
          </cell>
          <cell r="U1031">
            <v>140</v>
          </cell>
          <cell r="V1031">
            <v>221.42857142857142</v>
          </cell>
          <cell r="W1031">
            <v>14</v>
          </cell>
          <cell r="X1031">
            <v>99</v>
          </cell>
          <cell r="Y1031">
            <v>18</v>
          </cell>
          <cell r="Z1031">
            <v>0</v>
          </cell>
        </row>
        <row r="1032">
          <cell r="A1032">
            <v>9311110</v>
          </cell>
          <cell r="B1032" t="str">
            <v>激光轰击</v>
          </cell>
          <cell r="C1032" t="str">
            <v>激光轰击</v>
          </cell>
          <cell r="D1032">
            <v>3</v>
          </cell>
          <cell r="E1032">
            <v>18</v>
          </cell>
          <cell r="F1032" t="str">
            <v>第10级，共造成243.6%点伤害</v>
          </cell>
          <cell r="G1032">
            <v>1</v>
          </cell>
          <cell r="H1032">
            <v>1</v>
          </cell>
          <cell r="I1032">
            <v>10</v>
          </cell>
          <cell r="J1032">
            <v>1</v>
          </cell>
          <cell r="K1032">
            <v>18.736263736263737</v>
          </cell>
          <cell r="L1032">
            <v>0</v>
          </cell>
          <cell r="M1032">
            <v>9000</v>
          </cell>
          <cell r="N1032">
            <v>2280</v>
          </cell>
          <cell r="O1032">
            <v>1</v>
          </cell>
          <cell r="P1032">
            <v>13</v>
          </cell>
          <cell r="Q1032">
            <v>1</v>
          </cell>
          <cell r="R1032">
            <v>2</v>
          </cell>
          <cell r="S1032">
            <v>50</v>
          </cell>
          <cell r="T1032">
            <v>17.032967032967033</v>
          </cell>
          <cell r="U1032">
            <v>152</v>
          </cell>
          <cell r="V1032">
            <v>221.42857142857142</v>
          </cell>
          <cell r="W1032">
            <v>15</v>
          </cell>
          <cell r="X1032">
            <v>114</v>
          </cell>
          <cell r="Y1032">
            <v>18</v>
          </cell>
          <cell r="Z1032">
            <v>0</v>
          </cell>
        </row>
        <row r="1033">
          <cell r="A1033">
            <v>9311111</v>
          </cell>
          <cell r="B1033" t="str">
            <v>激光轰击</v>
          </cell>
          <cell r="C1033" t="str">
            <v>激光轰击</v>
          </cell>
          <cell r="D1033">
            <v>3</v>
          </cell>
          <cell r="E1033">
            <v>19</v>
          </cell>
          <cell r="F1033" t="str">
            <v>第11级，共造成245.8%点伤害</v>
          </cell>
          <cell r="G1033">
            <v>1</v>
          </cell>
          <cell r="H1033">
            <v>1</v>
          </cell>
          <cell r="I1033">
            <v>11</v>
          </cell>
          <cell r="J1033">
            <v>1</v>
          </cell>
          <cell r="K1033">
            <v>18.906593406593405</v>
          </cell>
          <cell r="L1033">
            <v>0</v>
          </cell>
          <cell r="M1033">
            <v>8900</v>
          </cell>
          <cell r="N1033">
            <v>2528</v>
          </cell>
          <cell r="O1033">
            <v>1</v>
          </cell>
          <cell r="P1033">
            <v>13</v>
          </cell>
          <cell r="Q1033">
            <v>1</v>
          </cell>
          <cell r="R1033">
            <v>2</v>
          </cell>
          <cell r="S1033">
            <v>50</v>
          </cell>
          <cell r="T1033">
            <v>17.032967032967033</v>
          </cell>
          <cell r="U1033">
            <v>158</v>
          </cell>
          <cell r="V1033">
            <v>221.42857142857142</v>
          </cell>
          <cell r="W1033">
            <v>16</v>
          </cell>
          <cell r="X1033">
            <v>130</v>
          </cell>
          <cell r="Y1033">
            <v>18</v>
          </cell>
          <cell r="Z1033">
            <v>0</v>
          </cell>
        </row>
        <row r="1034">
          <cell r="A1034">
            <v>9311112</v>
          </cell>
          <cell r="B1034" t="str">
            <v>激光轰击</v>
          </cell>
          <cell r="C1034" t="str">
            <v>激光轰击</v>
          </cell>
          <cell r="D1034">
            <v>3</v>
          </cell>
          <cell r="E1034">
            <v>21</v>
          </cell>
          <cell r="F1034" t="str">
            <v>第12级，共造成248%点伤害</v>
          </cell>
          <cell r="G1034">
            <v>1</v>
          </cell>
          <cell r="H1034">
            <v>1</v>
          </cell>
          <cell r="I1034">
            <v>12</v>
          </cell>
          <cell r="J1034">
            <v>1</v>
          </cell>
          <cell r="K1034">
            <v>19.076923076923077</v>
          </cell>
          <cell r="L1034">
            <v>0</v>
          </cell>
          <cell r="M1034">
            <v>8800</v>
          </cell>
          <cell r="N1034">
            <v>3780</v>
          </cell>
          <cell r="O1034">
            <v>1</v>
          </cell>
          <cell r="P1034">
            <v>13</v>
          </cell>
          <cell r="Q1034">
            <v>1</v>
          </cell>
          <cell r="R1034">
            <v>2</v>
          </cell>
          <cell r="S1034">
            <v>50</v>
          </cell>
          <cell r="T1034">
            <v>17.032967032967033</v>
          </cell>
          <cell r="U1034">
            <v>210</v>
          </cell>
          <cell r="V1034">
            <v>221.42857142857142</v>
          </cell>
          <cell r="W1034">
            <v>18</v>
          </cell>
          <cell r="X1034">
            <v>148</v>
          </cell>
          <cell r="Y1034">
            <v>18</v>
          </cell>
          <cell r="Z1034">
            <v>0</v>
          </cell>
        </row>
        <row r="1035">
          <cell r="A1035">
            <v>9311113</v>
          </cell>
          <cell r="B1035" t="str">
            <v>激光轰击</v>
          </cell>
          <cell r="C1035" t="str">
            <v>激光轰击</v>
          </cell>
          <cell r="D1035">
            <v>3</v>
          </cell>
          <cell r="E1035">
            <v>22</v>
          </cell>
          <cell r="F1035" t="str">
            <v>第13级，共造成250.2%点伤害</v>
          </cell>
          <cell r="G1035">
            <v>1</v>
          </cell>
          <cell r="H1035">
            <v>1</v>
          </cell>
          <cell r="I1035">
            <v>13</v>
          </cell>
          <cell r="J1035">
            <v>1</v>
          </cell>
          <cell r="K1035">
            <v>19.247252747252748</v>
          </cell>
          <cell r="L1035">
            <v>0</v>
          </cell>
          <cell r="M1035">
            <v>8700</v>
          </cell>
          <cell r="N1035">
            <v>4541</v>
          </cell>
          <cell r="O1035">
            <v>1</v>
          </cell>
          <cell r="P1035">
            <v>13</v>
          </cell>
          <cell r="Q1035">
            <v>1</v>
          </cell>
          <cell r="R1035">
            <v>2</v>
          </cell>
          <cell r="S1035">
            <v>50</v>
          </cell>
          <cell r="T1035">
            <v>17.032967032967033</v>
          </cell>
          <cell r="U1035">
            <v>239</v>
          </cell>
          <cell r="V1035">
            <v>221.42857142857142</v>
          </cell>
          <cell r="W1035">
            <v>19</v>
          </cell>
          <cell r="X1035">
            <v>167</v>
          </cell>
          <cell r="Y1035">
            <v>18</v>
          </cell>
          <cell r="Z1035">
            <v>0</v>
          </cell>
        </row>
        <row r="1036">
          <cell r="A1036">
            <v>9311114</v>
          </cell>
          <cell r="B1036" t="str">
            <v>激光轰击</v>
          </cell>
          <cell r="C1036" t="str">
            <v>激光轰击</v>
          </cell>
          <cell r="D1036">
            <v>3</v>
          </cell>
          <cell r="E1036">
            <v>24</v>
          </cell>
          <cell r="F1036" t="str">
            <v>第14级，共造成252.4%点伤害</v>
          </cell>
          <cell r="G1036">
            <v>1</v>
          </cell>
          <cell r="H1036">
            <v>1</v>
          </cell>
          <cell r="I1036">
            <v>14</v>
          </cell>
          <cell r="J1036">
            <v>1</v>
          </cell>
          <cell r="K1036">
            <v>19.417582417582416</v>
          </cell>
          <cell r="L1036">
            <v>0</v>
          </cell>
          <cell r="M1036">
            <v>8600</v>
          </cell>
          <cell r="N1036">
            <v>6040</v>
          </cell>
          <cell r="O1036">
            <v>1</v>
          </cell>
          <cell r="P1036">
            <v>13</v>
          </cell>
          <cell r="Q1036">
            <v>1</v>
          </cell>
          <cell r="R1036">
            <v>2</v>
          </cell>
          <cell r="S1036">
            <v>50</v>
          </cell>
          <cell r="T1036">
            <v>17.032967032967033</v>
          </cell>
          <cell r="U1036">
            <v>302</v>
          </cell>
          <cell r="V1036">
            <v>221.42857142857142</v>
          </cell>
          <cell r="W1036">
            <v>20</v>
          </cell>
          <cell r="X1036">
            <v>187</v>
          </cell>
          <cell r="Y1036">
            <v>18</v>
          </cell>
          <cell r="Z1036">
            <v>0</v>
          </cell>
        </row>
        <row r="1037">
          <cell r="A1037">
            <v>9311115</v>
          </cell>
          <cell r="B1037" t="str">
            <v>激光轰击</v>
          </cell>
          <cell r="C1037" t="str">
            <v>激光轰击</v>
          </cell>
          <cell r="D1037">
            <v>3</v>
          </cell>
          <cell r="E1037">
            <v>25</v>
          </cell>
          <cell r="F1037" t="str">
            <v>第15级，共造成254.6%点伤害</v>
          </cell>
          <cell r="G1037">
            <v>1</v>
          </cell>
          <cell r="H1037">
            <v>1</v>
          </cell>
          <cell r="I1037">
            <v>15</v>
          </cell>
          <cell r="J1037">
            <v>1</v>
          </cell>
          <cell r="K1037">
            <v>19.587912087912088</v>
          </cell>
          <cell r="L1037">
            <v>0</v>
          </cell>
          <cell r="M1037">
            <v>8500</v>
          </cell>
          <cell r="N1037">
            <v>7035</v>
          </cell>
          <cell r="O1037">
            <v>1</v>
          </cell>
          <cell r="P1037">
            <v>13</v>
          </cell>
          <cell r="Q1037">
            <v>1</v>
          </cell>
          <cell r="R1037">
            <v>2</v>
          </cell>
          <cell r="S1037">
            <v>50</v>
          </cell>
          <cell r="T1037">
            <v>17.032967032967033</v>
          </cell>
          <cell r="U1037">
            <v>335</v>
          </cell>
          <cell r="V1037">
            <v>221.42857142857142</v>
          </cell>
          <cell r="W1037">
            <v>21</v>
          </cell>
          <cell r="X1037">
            <v>208</v>
          </cell>
          <cell r="Y1037">
            <v>18</v>
          </cell>
          <cell r="Z1037">
            <v>0</v>
          </cell>
        </row>
        <row r="1038">
          <cell r="A1038">
            <v>9311116</v>
          </cell>
          <cell r="B1038" t="str">
            <v>激光轰击</v>
          </cell>
          <cell r="C1038" t="str">
            <v>激光轰击</v>
          </cell>
          <cell r="D1038">
            <v>3</v>
          </cell>
          <cell r="E1038">
            <v>27</v>
          </cell>
          <cell r="F1038" t="str">
            <v>第16级，共造成256.9%点伤害</v>
          </cell>
          <cell r="G1038">
            <v>1</v>
          </cell>
          <cell r="H1038">
            <v>1</v>
          </cell>
          <cell r="I1038">
            <v>16</v>
          </cell>
          <cell r="J1038">
            <v>1</v>
          </cell>
          <cell r="K1038">
            <v>19.758241758241759</v>
          </cell>
          <cell r="L1038">
            <v>0</v>
          </cell>
          <cell r="M1038">
            <v>8400</v>
          </cell>
          <cell r="N1038">
            <v>9338</v>
          </cell>
          <cell r="O1038">
            <v>1</v>
          </cell>
          <cell r="P1038">
            <v>13</v>
          </cell>
          <cell r="Q1038">
            <v>1</v>
          </cell>
          <cell r="R1038">
            <v>2</v>
          </cell>
          <cell r="S1038">
            <v>50</v>
          </cell>
          <cell r="T1038">
            <v>17.032967032967033</v>
          </cell>
          <cell r="U1038">
            <v>406</v>
          </cell>
          <cell r="V1038">
            <v>221.42857142857142</v>
          </cell>
          <cell r="W1038">
            <v>23</v>
          </cell>
          <cell r="X1038">
            <v>231</v>
          </cell>
          <cell r="Y1038">
            <v>18</v>
          </cell>
          <cell r="Z1038">
            <v>0</v>
          </cell>
        </row>
        <row r="1039">
          <cell r="A1039">
            <v>9311117</v>
          </cell>
          <cell r="B1039" t="str">
            <v>激光轰击</v>
          </cell>
          <cell r="C1039" t="str">
            <v>激光轰击</v>
          </cell>
          <cell r="D1039">
            <v>3</v>
          </cell>
          <cell r="E1039">
            <v>29</v>
          </cell>
          <cell r="F1039" t="str">
            <v>第17级，共造成259.1%点伤害</v>
          </cell>
          <cell r="G1039">
            <v>1</v>
          </cell>
          <cell r="H1039">
            <v>1</v>
          </cell>
          <cell r="I1039">
            <v>17</v>
          </cell>
          <cell r="J1039">
            <v>1</v>
          </cell>
          <cell r="K1039">
            <v>19.928571428571427</v>
          </cell>
          <cell r="L1039">
            <v>0</v>
          </cell>
          <cell r="M1039">
            <v>8300</v>
          </cell>
          <cell r="N1039">
            <v>12050</v>
          </cell>
          <cell r="O1039">
            <v>1</v>
          </cell>
          <cell r="P1039">
            <v>13</v>
          </cell>
          <cell r="Q1039">
            <v>1</v>
          </cell>
          <cell r="R1039">
            <v>2</v>
          </cell>
          <cell r="S1039">
            <v>50</v>
          </cell>
          <cell r="T1039">
            <v>17.032967032967033</v>
          </cell>
          <cell r="U1039">
            <v>482</v>
          </cell>
          <cell r="V1039">
            <v>221.42857142857142</v>
          </cell>
          <cell r="W1039">
            <v>25</v>
          </cell>
          <cell r="X1039">
            <v>256</v>
          </cell>
          <cell r="Y1039">
            <v>18</v>
          </cell>
          <cell r="Z1039">
            <v>0</v>
          </cell>
        </row>
        <row r="1040">
          <cell r="A1040">
            <v>9311118</v>
          </cell>
          <cell r="B1040" t="str">
            <v>激光轰击</v>
          </cell>
          <cell r="C1040" t="str">
            <v>激光轰击</v>
          </cell>
          <cell r="D1040">
            <v>3</v>
          </cell>
          <cell r="E1040">
            <v>30</v>
          </cell>
          <cell r="F1040" t="str">
            <v>第18级，共造成261.3%点伤害</v>
          </cell>
          <cell r="G1040">
            <v>1</v>
          </cell>
          <cell r="H1040">
            <v>1</v>
          </cell>
          <cell r="I1040">
            <v>18</v>
          </cell>
          <cell r="J1040">
            <v>1</v>
          </cell>
          <cell r="K1040">
            <v>20.098901098901099</v>
          </cell>
          <cell r="L1040">
            <v>0</v>
          </cell>
          <cell r="M1040">
            <v>8200</v>
          </cell>
          <cell r="N1040">
            <v>13572</v>
          </cell>
          <cell r="O1040">
            <v>1</v>
          </cell>
          <cell r="P1040">
            <v>13</v>
          </cell>
          <cell r="Q1040">
            <v>1</v>
          </cell>
          <cell r="R1040">
            <v>2</v>
          </cell>
          <cell r="S1040">
            <v>50</v>
          </cell>
          <cell r="T1040">
            <v>17.032967032967033</v>
          </cell>
          <cell r="U1040">
            <v>522</v>
          </cell>
          <cell r="V1040">
            <v>221.42857142857142</v>
          </cell>
          <cell r="W1040">
            <v>26</v>
          </cell>
          <cell r="X1040">
            <v>282</v>
          </cell>
          <cell r="Y1040">
            <v>18</v>
          </cell>
          <cell r="Z1040">
            <v>11</v>
          </cell>
        </row>
        <row r="1041">
          <cell r="A1041">
            <v>9311119</v>
          </cell>
          <cell r="B1041" t="str">
            <v>激光轰击</v>
          </cell>
          <cell r="C1041" t="str">
            <v>激光轰击</v>
          </cell>
          <cell r="D1041">
            <v>3</v>
          </cell>
          <cell r="E1041">
            <v>32</v>
          </cell>
          <cell r="F1041" t="str">
            <v>第19级，共造成263.5%点伤害</v>
          </cell>
          <cell r="G1041">
            <v>1</v>
          </cell>
          <cell r="H1041">
            <v>1</v>
          </cell>
          <cell r="I1041">
            <v>19</v>
          </cell>
          <cell r="J1041">
            <v>1</v>
          </cell>
          <cell r="K1041">
            <v>20.26923076923077</v>
          </cell>
          <cell r="L1041">
            <v>0</v>
          </cell>
          <cell r="M1041">
            <v>8100</v>
          </cell>
          <cell r="N1041">
            <v>16968</v>
          </cell>
          <cell r="O1041">
            <v>1</v>
          </cell>
          <cell r="P1041">
            <v>13</v>
          </cell>
          <cell r="Q1041">
            <v>1</v>
          </cell>
          <cell r="R1041">
            <v>2</v>
          </cell>
          <cell r="S1041">
            <v>50</v>
          </cell>
          <cell r="T1041">
            <v>17.032967032967033</v>
          </cell>
          <cell r="U1041">
            <v>606</v>
          </cell>
          <cell r="V1041">
            <v>221.42857142857142</v>
          </cell>
          <cell r="W1041">
            <v>28</v>
          </cell>
          <cell r="X1041">
            <v>310</v>
          </cell>
          <cell r="Y1041">
            <v>18</v>
          </cell>
          <cell r="Z1041">
            <v>12</v>
          </cell>
        </row>
        <row r="1042">
          <cell r="A1042">
            <v>9311120</v>
          </cell>
          <cell r="B1042" t="str">
            <v>激光轰击</v>
          </cell>
          <cell r="C1042" t="str">
            <v>激光轰击</v>
          </cell>
          <cell r="D1042">
            <v>3</v>
          </cell>
          <cell r="E1042">
            <v>33</v>
          </cell>
          <cell r="F1042" t="str">
            <v>第20级，共造成265.7%点伤害</v>
          </cell>
          <cell r="G1042">
            <v>1</v>
          </cell>
          <cell r="H1042">
            <v>1</v>
          </cell>
          <cell r="I1042">
            <v>20</v>
          </cell>
          <cell r="J1042">
            <v>1</v>
          </cell>
          <cell r="K1042">
            <v>20.439560439560438</v>
          </cell>
          <cell r="L1042">
            <v>0</v>
          </cell>
          <cell r="M1042">
            <v>8000</v>
          </cell>
          <cell r="N1042">
            <v>19530</v>
          </cell>
          <cell r="O1042">
            <v>1</v>
          </cell>
          <cell r="P1042">
            <v>13</v>
          </cell>
          <cell r="Q1042">
            <v>1</v>
          </cell>
          <cell r="R1042">
            <v>2</v>
          </cell>
          <cell r="S1042">
            <v>50</v>
          </cell>
          <cell r="T1042">
            <v>17.032967032967033</v>
          </cell>
          <cell r="U1042">
            <v>651</v>
          </cell>
          <cell r="V1042">
            <v>221.42857142857142</v>
          </cell>
          <cell r="W1042">
            <v>30</v>
          </cell>
          <cell r="X1042">
            <v>340</v>
          </cell>
          <cell r="Y1042">
            <v>18</v>
          </cell>
          <cell r="Z1042">
            <v>12</v>
          </cell>
        </row>
        <row r="1043">
          <cell r="A1043">
            <v>9311121</v>
          </cell>
          <cell r="B1043" t="str">
            <v>激光轰击</v>
          </cell>
          <cell r="C1043" t="str">
            <v>激光轰击</v>
          </cell>
          <cell r="D1043">
            <v>3</v>
          </cell>
          <cell r="E1043">
            <v>35</v>
          </cell>
          <cell r="F1043" t="str">
            <v>第21级，共造成267.9%点伤害</v>
          </cell>
          <cell r="G1043">
            <v>1</v>
          </cell>
          <cell r="H1043">
            <v>1</v>
          </cell>
          <cell r="I1043">
            <v>21</v>
          </cell>
          <cell r="J1043">
            <v>1</v>
          </cell>
          <cell r="K1043">
            <v>20.609890109890109</v>
          </cell>
          <cell r="L1043">
            <v>0</v>
          </cell>
          <cell r="M1043">
            <v>7900</v>
          </cell>
          <cell r="N1043">
            <v>24519</v>
          </cell>
          <cell r="O1043">
            <v>1</v>
          </cell>
          <cell r="P1043">
            <v>13</v>
          </cell>
          <cell r="Q1043">
            <v>1</v>
          </cell>
          <cell r="R1043">
            <v>2</v>
          </cell>
          <cell r="S1043">
            <v>50</v>
          </cell>
          <cell r="T1043">
            <v>17.032967032967033</v>
          </cell>
          <cell r="U1043">
            <v>743</v>
          </cell>
          <cell r="V1043">
            <v>221.42857142857142</v>
          </cell>
          <cell r="W1043">
            <v>33</v>
          </cell>
          <cell r="X1043">
            <v>373</v>
          </cell>
          <cell r="Y1043">
            <v>18</v>
          </cell>
          <cell r="Z1043">
            <v>14</v>
          </cell>
        </row>
        <row r="1044">
          <cell r="A1044">
            <v>9311122</v>
          </cell>
          <cell r="B1044" t="str">
            <v>激光轰击</v>
          </cell>
          <cell r="C1044" t="str">
            <v>激光轰击</v>
          </cell>
          <cell r="D1044">
            <v>3</v>
          </cell>
          <cell r="E1044">
            <v>36</v>
          </cell>
          <cell r="F1044" t="str">
            <v>第22级，共造成270.1%点伤害</v>
          </cell>
          <cell r="G1044">
            <v>1</v>
          </cell>
          <cell r="H1044">
            <v>1</v>
          </cell>
          <cell r="I1044">
            <v>22</v>
          </cell>
          <cell r="J1044">
            <v>1</v>
          </cell>
          <cell r="K1044">
            <v>20.780219780219781</v>
          </cell>
          <cell r="L1044">
            <v>0</v>
          </cell>
          <cell r="M1044">
            <v>7800</v>
          </cell>
          <cell r="N1044">
            <v>27685</v>
          </cell>
          <cell r="O1044">
            <v>1</v>
          </cell>
          <cell r="P1044">
            <v>13</v>
          </cell>
          <cell r="Q1044">
            <v>1</v>
          </cell>
          <cell r="R1044">
            <v>2</v>
          </cell>
          <cell r="S1044">
            <v>50</v>
          </cell>
          <cell r="T1044">
            <v>17.032967032967033</v>
          </cell>
          <cell r="U1044">
            <v>791</v>
          </cell>
          <cell r="V1044">
            <v>221.42857142857142</v>
          </cell>
          <cell r="W1044">
            <v>35</v>
          </cell>
          <cell r="X1044">
            <v>408</v>
          </cell>
          <cell r="Y1044">
            <v>18</v>
          </cell>
          <cell r="Z1044">
            <v>14</v>
          </cell>
        </row>
        <row r="1045">
          <cell r="A1045">
            <v>9311123</v>
          </cell>
          <cell r="B1045" t="str">
            <v>激光轰击</v>
          </cell>
          <cell r="C1045" t="str">
            <v>激光轰击</v>
          </cell>
          <cell r="D1045">
            <v>3</v>
          </cell>
          <cell r="E1045">
            <v>38</v>
          </cell>
          <cell r="F1045" t="str">
            <v>第23级，共造成272.4%点伤害</v>
          </cell>
          <cell r="G1045">
            <v>1</v>
          </cell>
          <cell r="H1045">
            <v>1</v>
          </cell>
          <cell r="I1045">
            <v>23</v>
          </cell>
          <cell r="J1045">
            <v>1</v>
          </cell>
          <cell r="K1045">
            <v>20.950549450549453</v>
          </cell>
          <cell r="L1045">
            <v>0</v>
          </cell>
          <cell r="M1045">
            <v>7700</v>
          </cell>
          <cell r="N1045">
            <v>33004</v>
          </cell>
          <cell r="O1045">
            <v>1</v>
          </cell>
          <cell r="P1045">
            <v>13</v>
          </cell>
          <cell r="Q1045">
            <v>1</v>
          </cell>
          <cell r="R1045">
            <v>2</v>
          </cell>
          <cell r="S1045">
            <v>50</v>
          </cell>
          <cell r="T1045">
            <v>17.032967032967033</v>
          </cell>
          <cell r="U1045">
            <v>892</v>
          </cell>
          <cell r="V1045">
            <v>221.42857142857142</v>
          </cell>
          <cell r="W1045">
            <v>37</v>
          </cell>
          <cell r="X1045">
            <v>445</v>
          </cell>
          <cell r="Y1045">
            <v>18</v>
          </cell>
          <cell r="Z1045">
            <v>15</v>
          </cell>
        </row>
        <row r="1046">
          <cell r="A1046">
            <v>9311124</v>
          </cell>
          <cell r="B1046" t="str">
            <v>激光轰击</v>
          </cell>
          <cell r="C1046" t="str">
            <v>激光轰击</v>
          </cell>
          <cell r="D1046">
            <v>3</v>
          </cell>
          <cell r="E1046">
            <v>39</v>
          </cell>
          <cell r="F1046" t="str">
            <v>第24级，共造成274.6%点伤害</v>
          </cell>
          <cell r="G1046">
            <v>1</v>
          </cell>
          <cell r="H1046">
            <v>1</v>
          </cell>
          <cell r="I1046">
            <v>24</v>
          </cell>
          <cell r="J1046">
            <v>1</v>
          </cell>
          <cell r="K1046">
            <v>21.12087912087912</v>
          </cell>
          <cell r="L1046">
            <v>0</v>
          </cell>
          <cell r="M1046">
            <v>7600</v>
          </cell>
          <cell r="N1046">
            <v>37760</v>
          </cell>
          <cell r="O1046">
            <v>1</v>
          </cell>
          <cell r="P1046">
            <v>13</v>
          </cell>
          <cell r="Q1046">
            <v>1</v>
          </cell>
          <cell r="R1046">
            <v>2</v>
          </cell>
          <cell r="S1046">
            <v>50</v>
          </cell>
          <cell r="T1046">
            <v>17.032967032967033</v>
          </cell>
          <cell r="U1046">
            <v>944</v>
          </cell>
          <cell r="V1046">
            <v>221.42857142857142</v>
          </cell>
          <cell r="W1046">
            <v>40</v>
          </cell>
          <cell r="X1046">
            <v>485</v>
          </cell>
          <cell r="Y1046">
            <v>18</v>
          </cell>
          <cell r="Z1046">
            <v>16</v>
          </cell>
        </row>
        <row r="1047">
          <cell r="A1047">
            <v>9311125</v>
          </cell>
          <cell r="B1047" t="str">
            <v>激光轰击</v>
          </cell>
          <cell r="C1047" t="str">
            <v>激光轰击</v>
          </cell>
          <cell r="D1047">
            <v>3</v>
          </cell>
          <cell r="E1047">
            <v>41</v>
          </cell>
          <cell r="F1047" t="str">
            <v>第25级，共造成276.8%点伤害</v>
          </cell>
          <cell r="G1047">
            <v>1</v>
          </cell>
          <cell r="H1047">
            <v>1</v>
          </cell>
          <cell r="I1047">
            <v>25</v>
          </cell>
          <cell r="J1047">
            <v>1</v>
          </cell>
          <cell r="K1047">
            <v>21.291208791208792</v>
          </cell>
          <cell r="L1047">
            <v>0</v>
          </cell>
          <cell r="M1047">
            <v>7500</v>
          </cell>
          <cell r="N1047">
            <v>45279</v>
          </cell>
          <cell r="O1047">
            <v>1</v>
          </cell>
          <cell r="P1047">
            <v>13</v>
          </cell>
          <cell r="Q1047">
            <v>1</v>
          </cell>
          <cell r="R1047">
            <v>2</v>
          </cell>
          <cell r="S1047">
            <v>50</v>
          </cell>
          <cell r="T1047">
            <v>17.032967032967033</v>
          </cell>
          <cell r="U1047">
            <v>1053</v>
          </cell>
          <cell r="V1047">
            <v>221.42857142857142</v>
          </cell>
          <cell r="W1047">
            <v>43</v>
          </cell>
          <cell r="X1047">
            <v>528</v>
          </cell>
          <cell r="Y1047">
            <v>18</v>
          </cell>
          <cell r="Z1047">
            <v>18</v>
          </cell>
        </row>
        <row r="1048">
          <cell r="A1048">
            <v>9311126</v>
          </cell>
          <cell r="B1048" t="str">
            <v>激光轰击</v>
          </cell>
          <cell r="C1048" t="str">
            <v>激光轰击</v>
          </cell>
          <cell r="D1048">
            <v>3</v>
          </cell>
          <cell r="E1048">
            <v>43</v>
          </cell>
          <cell r="F1048" t="str">
            <v>第26级，共造成279%点伤害</v>
          </cell>
          <cell r="G1048">
            <v>1</v>
          </cell>
          <cell r="H1048">
            <v>1</v>
          </cell>
          <cell r="I1048">
            <v>26</v>
          </cell>
          <cell r="J1048">
            <v>1</v>
          </cell>
          <cell r="K1048">
            <v>21.46153846153846</v>
          </cell>
          <cell r="L1048">
            <v>0</v>
          </cell>
          <cell r="M1048">
            <v>7400</v>
          </cell>
          <cell r="N1048">
            <v>53682</v>
          </cell>
          <cell r="O1048">
            <v>1</v>
          </cell>
          <cell r="P1048">
            <v>13</v>
          </cell>
          <cell r="Q1048">
            <v>1</v>
          </cell>
          <cell r="R1048">
            <v>2</v>
          </cell>
          <cell r="S1048">
            <v>50</v>
          </cell>
          <cell r="T1048">
            <v>17.032967032967033</v>
          </cell>
          <cell r="U1048">
            <v>1167</v>
          </cell>
          <cell r="V1048">
            <v>221.42857142857142</v>
          </cell>
          <cell r="W1048">
            <v>46</v>
          </cell>
          <cell r="X1048">
            <v>574</v>
          </cell>
          <cell r="Y1048">
            <v>18</v>
          </cell>
          <cell r="Z1048">
            <v>19</v>
          </cell>
        </row>
        <row r="1049">
          <cell r="A1049">
            <v>9311127</v>
          </cell>
          <cell r="B1049" t="str">
            <v>激光轰击</v>
          </cell>
          <cell r="C1049" t="str">
            <v>激光轰击</v>
          </cell>
          <cell r="D1049">
            <v>3</v>
          </cell>
          <cell r="E1049">
            <v>44</v>
          </cell>
          <cell r="F1049" t="str">
            <v>第27级，共造成281.2%点伤害</v>
          </cell>
          <cell r="G1049">
            <v>1</v>
          </cell>
          <cell r="H1049">
            <v>1</v>
          </cell>
          <cell r="I1049">
            <v>27</v>
          </cell>
          <cell r="J1049">
            <v>1</v>
          </cell>
          <cell r="K1049">
            <v>21.631868131868131</v>
          </cell>
          <cell r="L1049">
            <v>0</v>
          </cell>
          <cell r="M1049">
            <v>7300</v>
          </cell>
          <cell r="N1049">
            <v>60074</v>
          </cell>
          <cell r="O1049">
            <v>1</v>
          </cell>
          <cell r="P1049">
            <v>13</v>
          </cell>
          <cell r="Q1049">
            <v>1</v>
          </cell>
          <cell r="R1049">
            <v>2</v>
          </cell>
          <cell r="S1049">
            <v>50</v>
          </cell>
          <cell r="T1049">
            <v>17.032967032967033</v>
          </cell>
          <cell r="U1049">
            <v>1226</v>
          </cell>
          <cell r="V1049">
            <v>221.42857142857142</v>
          </cell>
          <cell r="W1049">
            <v>49</v>
          </cell>
          <cell r="X1049">
            <v>623</v>
          </cell>
          <cell r="Y1049">
            <v>18</v>
          </cell>
          <cell r="Z1049">
            <v>20</v>
          </cell>
        </row>
        <row r="1050">
          <cell r="A1050">
            <v>9311128</v>
          </cell>
          <cell r="B1050" t="str">
            <v>激光轰击</v>
          </cell>
          <cell r="C1050" t="str">
            <v>激光轰击</v>
          </cell>
          <cell r="D1050">
            <v>3</v>
          </cell>
          <cell r="E1050">
            <v>46</v>
          </cell>
          <cell r="F1050" t="str">
            <v>第28级，共造成283.4%点伤害</v>
          </cell>
          <cell r="G1050">
            <v>1</v>
          </cell>
          <cell r="H1050">
            <v>1</v>
          </cell>
          <cell r="I1050">
            <v>28</v>
          </cell>
          <cell r="J1050">
            <v>1</v>
          </cell>
          <cell r="K1050">
            <v>21.802197802197803</v>
          </cell>
          <cell r="L1050">
            <v>0</v>
          </cell>
          <cell r="M1050">
            <v>7200</v>
          </cell>
          <cell r="N1050">
            <v>70148</v>
          </cell>
          <cell r="O1050">
            <v>1</v>
          </cell>
          <cell r="P1050">
            <v>13</v>
          </cell>
          <cell r="Q1050">
            <v>1</v>
          </cell>
          <cell r="R1050">
            <v>2</v>
          </cell>
          <cell r="S1050">
            <v>50</v>
          </cell>
          <cell r="T1050">
            <v>17.032967032967033</v>
          </cell>
          <cell r="U1050">
            <v>1349</v>
          </cell>
          <cell r="V1050">
            <v>221.42857142857142</v>
          </cell>
          <cell r="W1050">
            <v>52</v>
          </cell>
          <cell r="X1050">
            <v>675</v>
          </cell>
          <cell r="Y1050">
            <v>18</v>
          </cell>
          <cell r="Z1050">
            <v>21</v>
          </cell>
        </row>
        <row r="1051">
          <cell r="A1051">
            <v>9311129</v>
          </cell>
          <cell r="B1051" t="str">
            <v>激光轰击</v>
          </cell>
          <cell r="C1051" t="str">
            <v>激光轰击</v>
          </cell>
          <cell r="D1051">
            <v>3</v>
          </cell>
          <cell r="E1051">
            <v>47</v>
          </cell>
          <cell r="F1051" t="str">
            <v>第29级，共造成285.6%点伤害</v>
          </cell>
          <cell r="G1051">
            <v>1</v>
          </cell>
          <cell r="H1051">
            <v>1</v>
          </cell>
          <cell r="I1051">
            <v>29</v>
          </cell>
          <cell r="J1051">
            <v>1</v>
          </cell>
          <cell r="K1051">
            <v>21.972527472527474</v>
          </cell>
          <cell r="L1051">
            <v>0</v>
          </cell>
          <cell r="M1051">
            <v>7100</v>
          </cell>
          <cell r="N1051">
            <v>79072</v>
          </cell>
          <cell r="O1051">
            <v>1</v>
          </cell>
          <cell r="P1051">
            <v>13</v>
          </cell>
          <cell r="Q1051">
            <v>1</v>
          </cell>
          <cell r="R1051">
            <v>2</v>
          </cell>
          <cell r="S1051">
            <v>50</v>
          </cell>
          <cell r="T1051">
            <v>17.032967032967033</v>
          </cell>
          <cell r="U1051">
            <v>1412</v>
          </cell>
          <cell r="V1051">
            <v>221.42857142857142</v>
          </cell>
          <cell r="W1051">
            <v>56</v>
          </cell>
          <cell r="X1051">
            <v>731</v>
          </cell>
          <cell r="Y1051">
            <v>18</v>
          </cell>
          <cell r="Z1051">
            <v>23</v>
          </cell>
        </row>
        <row r="1052">
          <cell r="A1052">
            <v>9311130</v>
          </cell>
          <cell r="B1052" t="str">
            <v>激光轰击</v>
          </cell>
          <cell r="C1052" t="str">
            <v>激光轰击</v>
          </cell>
          <cell r="D1052">
            <v>3</v>
          </cell>
          <cell r="E1052">
            <v>49</v>
          </cell>
          <cell r="F1052" t="str">
            <v>第30级，共造成287.9%点伤害</v>
          </cell>
          <cell r="G1052">
            <v>1</v>
          </cell>
          <cell r="H1052">
            <v>1</v>
          </cell>
          <cell r="I1052">
            <v>30</v>
          </cell>
          <cell r="J1052">
            <v>1</v>
          </cell>
          <cell r="K1052">
            <v>22.142857142857142</v>
          </cell>
          <cell r="L1052">
            <v>0</v>
          </cell>
          <cell r="M1052">
            <v>7000</v>
          </cell>
          <cell r="N1052">
            <v>92580</v>
          </cell>
          <cell r="O1052">
            <v>1</v>
          </cell>
          <cell r="P1052">
            <v>13</v>
          </cell>
          <cell r="Q1052">
            <v>1</v>
          </cell>
          <cell r="R1052">
            <v>2</v>
          </cell>
          <cell r="S1052">
            <v>50</v>
          </cell>
          <cell r="T1052">
            <v>17.032967032967033</v>
          </cell>
          <cell r="U1052">
            <v>1543</v>
          </cell>
          <cell r="V1052">
            <v>221.42857142857142</v>
          </cell>
          <cell r="W1052">
            <v>60</v>
          </cell>
          <cell r="X1052">
            <v>791</v>
          </cell>
          <cell r="Y1052">
            <v>18</v>
          </cell>
          <cell r="Z1052">
            <v>24</v>
          </cell>
        </row>
        <row r="1053">
          <cell r="A1053">
            <v>9311131</v>
          </cell>
          <cell r="B1053" t="str">
            <v>激光轰击</v>
          </cell>
          <cell r="C1053" t="str">
            <v>激光轰击</v>
          </cell>
          <cell r="D1053">
            <v>3</v>
          </cell>
          <cell r="E1053">
            <v>50</v>
          </cell>
          <cell r="F1053" t="str">
            <v>第31级，共造成290.1%点伤害</v>
          </cell>
          <cell r="G1053">
            <v>1</v>
          </cell>
          <cell r="H1053">
            <v>1</v>
          </cell>
          <cell r="I1053">
            <v>31</v>
          </cell>
          <cell r="J1053">
            <v>1</v>
          </cell>
          <cell r="K1053">
            <v>22.313186813186814</v>
          </cell>
          <cell r="L1053">
            <v>0</v>
          </cell>
          <cell r="M1053">
            <v>6900</v>
          </cell>
          <cell r="N1053">
            <v>103040</v>
          </cell>
          <cell r="O1053">
            <v>1</v>
          </cell>
          <cell r="P1053">
            <v>13</v>
          </cell>
          <cell r="Q1053">
            <v>1</v>
          </cell>
          <cell r="R1053">
            <v>2</v>
          </cell>
          <cell r="S1053">
            <v>50</v>
          </cell>
          <cell r="T1053">
            <v>17.032967032967033</v>
          </cell>
          <cell r="U1053">
            <v>1610</v>
          </cell>
          <cell r="V1053">
            <v>221.42857142857142</v>
          </cell>
          <cell r="W1053">
            <v>64</v>
          </cell>
          <cell r="X1053">
            <v>855</v>
          </cell>
          <cell r="Y1053">
            <v>18</v>
          </cell>
          <cell r="Z1053">
            <v>26</v>
          </cell>
        </row>
        <row r="1054">
          <cell r="A1054">
            <v>9311132</v>
          </cell>
          <cell r="B1054" t="str">
            <v>激光轰击</v>
          </cell>
          <cell r="C1054" t="str">
            <v>激光轰击</v>
          </cell>
          <cell r="D1054">
            <v>3</v>
          </cell>
          <cell r="E1054">
            <v>52</v>
          </cell>
          <cell r="F1054" t="str">
            <v>第32级，共造成292.3%点伤害</v>
          </cell>
          <cell r="G1054">
            <v>1</v>
          </cell>
          <cell r="H1054">
            <v>1</v>
          </cell>
          <cell r="I1054">
            <v>32</v>
          </cell>
          <cell r="J1054">
            <v>1</v>
          </cell>
          <cell r="K1054">
            <v>22.483516483516482</v>
          </cell>
          <cell r="L1054">
            <v>0</v>
          </cell>
          <cell r="M1054">
            <v>6800</v>
          </cell>
          <cell r="N1054">
            <v>120681</v>
          </cell>
          <cell r="O1054">
            <v>1</v>
          </cell>
          <cell r="P1054">
            <v>13</v>
          </cell>
          <cell r="Q1054">
            <v>1</v>
          </cell>
          <cell r="R1054">
            <v>2</v>
          </cell>
          <cell r="S1054">
            <v>50</v>
          </cell>
          <cell r="T1054">
            <v>17.032967032967033</v>
          </cell>
          <cell r="U1054">
            <v>1749</v>
          </cell>
          <cell r="V1054">
            <v>221.42857142857142</v>
          </cell>
          <cell r="W1054">
            <v>69</v>
          </cell>
          <cell r="X1054">
            <v>924</v>
          </cell>
          <cell r="Y1054">
            <v>18</v>
          </cell>
          <cell r="Z1054">
            <v>28</v>
          </cell>
        </row>
        <row r="1055">
          <cell r="A1055">
            <v>9311133</v>
          </cell>
          <cell r="B1055" t="str">
            <v>激光轰击</v>
          </cell>
          <cell r="C1055" t="str">
            <v>激光轰击</v>
          </cell>
          <cell r="D1055">
            <v>3</v>
          </cell>
          <cell r="E1055">
            <v>53</v>
          </cell>
          <cell r="F1055" t="str">
            <v>第33级，共造成294.5%点伤害</v>
          </cell>
          <cell r="G1055">
            <v>1</v>
          </cell>
          <cell r="H1055">
            <v>1</v>
          </cell>
          <cell r="I1055">
            <v>33</v>
          </cell>
          <cell r="J1055">
            <v>1</v>
          </cell>
          <cell r="K1055">
            <v>22.653846153846153</v>
          </cell>
          <cell r="L1055">
            <v>0</v>
          </cell>
          <cell r="M1055">
            <v>6700</v>
          </cell>
          <cell r="N1055">
            <v>134680</v>
          </cell>
          <cell r="O1055">
            <v>1</v>
          </cell>
          <cell r="P1055">
            <v>13</v>
          </cell>
          <cell r="Q1055">
            <v>1</v>
          </cell>
          <cell r="R1055">
            <v>2</v>
          </cell>
          <cell r="S1055">
            <v>50</v>
          </cell>
          <cell r="T1055">
            <v>17.032967032967033</v>
          </cell>
          <cell r="U1055">
            <v>1820</v>
          </cell>
          <cell r="V1055">
            <v>221.42857142857142</v>
          </cell>
          <cell r="W1055">
            <v>74</v>
          </cell>
          <cell r="X1055">
            <v>998</v>
          </cell>
          <cell r="Y1055">
            <v>18</v>
          </cell>
          <cell r="Z1055">
            <v>30</v>
          </cell>
        </row>
        <row r="1056">
          <cell r="A1056">
            <v>9311134</v>
          </cell>
          <cell r="B1056" t="str">
            <v>激光轰击</v>
          </cell>
          <cell r="C1056" t="str">
            <v>激光轰击</v>
          </cell>
          <cell r="D1056">
            <v>3</v>
          </cell>
          <cell r="E1056">
            <v>55</v>
          </cell>
          <cell r="F1056" t="str">
            <v>第34级，共造成296.7%点伤害</v>
          </cell>
          <cell r="G1056">
            <v>1</v>
          </cell>
          <cell r="H1056">
            <v>1</v>
          </cell>
          <cell r="I1056">
            <v>34</v>
          </cell>
          <cell r="J1056">
            <v>1</v>
          </cell>
          <cell r="K1056">
            <v>22.824175824175825</v>
          </cell>
          <cell r="L1056">
            <v>0</v>
          </cell>
          <cell r="M1056">
            <v>6600</v>
          </cell>
          <cell r="N1056">
            <v>155393</v>
          </cell>
          <cell r="O1056">
            <v>1</v>
          </cell>
          <cell r="P1056">
            <v>13</v>
          </cell>
          <cell r="Q1056">
            <v>1</v>
          </cell>
          <cell r="R1056">
            <v>2</v>
          </cell>
          <cell r="S1056">
            <v>50</v>
          </cell>
          <cell r="T1056">
            <v>17.032967032967033</v>
          </cell>
          <cell r="U1056">
            <v>1967</v>
          </cell>
          <cell r="V1056">
            <v>221.42857142857142</v>
          </cell>
          <cell r="W1056">
            <v>79</v>
          </cell>
          <cell r="X1056">
            <v>1077</v>
          </cell>
          <cell r="Y1056">
            <v>18</v>
          </cell>
          <cell r="Z1056">
            <v>32</v>
          </cell>
        </row>
        <row r="1057">
          <cell r="A1057">
            <v>9311135</v>
          </cell>
          <cell r="B1057" t="str">
            <v>激光轰击</v>
          </cell>
          <cell r="C1057" t="str">
            <v>激光轰击</v>
          </cell>
          <cell r="D1057">
            <v>3</v>
          </cell>
          <cell r="E1057">
            <v>57</v>
          </cell>
          <cell r="F1057" t="str">
            <v>第35级，共造成298.9%点伤害</v>
          </cell>
          <cell r="G1057">
            <v>1</v>
          </cell>
          <cell r="H1057">
            <v>1</v>
          </cell>
          <cell r="I1057">
            <v>35</v>
          </cell>
          <cell r="J1057">
            <v>1</v>
          </cell>
          <cell r="K1057">
            <v>22.994505494505496</v>
          </cell>
          <cell r="L1057">
            <v>0</v>
          </cell>
          <cell r="M1057">
            <v>6500</v>
          </cell>
          <cell r="N1057">
            <v>177996</v>
          </cell>
          <cell r="O1057">
            <v>1</v>
          </cell>
          <cell r="P1057">
            <v>13</v>
          </cell>
          <cell r="Q1057">
            <v>1</v>
          </cell>
          <cell r="R1057">
            <v>2</v>
          </cell>
          <cell r="S1057">
            <v>50</v>
          </cell>
          <cell r="T1057">
            <v>17.032967032967033</v>
          </cell>
          <cell r="U1057">
            <v>2119</v>
          </cell>
          <cell r="V1057">
            <v>221.42857142857142</v>
          </cell>
          <cell r="W1057">
            <v>84</v>
          </cell>
          <cell r="X1057">
            <v>1161</v>
          </cell>
          <cell r="Y1057">
            <v>18</v>
          </cell>
          <cell r="Z1057">
            <v>34</v>
          </cell>
        </row>
        <row r="1058">
          <cell r="A1058">
            <v>9311136</v>
          </cell>
          <cell r="B1058" t="str">
            <v>激光轰击</v>
          </cell>
          <cell r="C1058" t="str">
            <v>激光轰击</v>
          </cell>
          <cell r="D1058">
            <v>3</v>
          </cell>
          <cell r="E1058">
            <v>58</v>
          </cell>
          <cell r="F1058" t="str">
            <v>第36级，共造成301.1%点伤害</v>
          </cell>
          <cell r="G1058">
            <v>1</v>
          </cell>
          <cell r="H1058">
            <v>1</v>
          </cell>
          <cell r="I1058">
            <v>36</v>
          </cell>
          <cell r="J1058">
            <v>1</v>
          </cell>
          <cell r="K1058">
            <v>23.164835164835164</v>
          </cell>
          <cell r="L1058">
            <v>0</v>
          </cell>
          <cell r="M1058">
            <v>6400</v>
          </cell>
          <cell r="N1058">
            <v>197820</v>
          </cell>
          <cell r="O1058">
            <v>1</v>
          </cell>
          <cell r="P1058">
            <v>13</v>
          </cell>
          <cell r="Q1058">
            <v>1</v>
          </cell>
          <cell r="R1058">
            <v>2</v>
          </cell>
          <cell r="S1058">
            <v>50</v>
          </cell>
          <cell r="T1058">
            <v>17.032967032967033</v>
          </cell>
          <cell r="U1058">
            <v>2198</v>
          </cell>
          <cell r="V1058">
            <v>221.42857142857142</v>
          </cell>
          <cell r="W1058">
            <v>90</v>
          </cell>
          <cell r="X1058">
            <v>1251</v>
          </cell>
          <cell r="Y1058">
            <v>18</v>
          </cell>
          <cell r="Z1058">
            <v>36</v>
          </cell>
        </row>
        <row r="1059">
          <cell r="A1059">
            <v>9311137</v>
          </cell>
          <cell r="B1059" t="str">
            <v>激光轰击</v>
          </cell>
          <cell r="C1059" t="str">
            <v>激光轰击</v>
          </cell>
          <cell r="D1059">
            <v>3</v>
          </cell>
          <cell r="E1059">
            <v>60</v>
          </cell>
          <cell r="F1059" t="str">
            <v>第37级，共造成303.4%点伤害</v>
          </cell>
          <cell r="G1059">
            <v>1</v>
          </cell>
          <cell r="H1059">
            <v>1</v>
          </cell>
          <cell r="I1059">
            <v>37</v>
          </cell>
          <cell r="J1059">
            <v>1</v>
          </cell>
          <cell r="K1059">
            <v>23.335164835164836</v>
          </cell>
          <cell r="L1059">
            <v>0</v>
          </cell>
          <cell r="M1059">
            <v>6300</v>
          </cell>
          <cell r="N1059">
            <v>226368</v>
          </cell>
          <cell r="O1059">
            <v>1</v>
          </cell>
          <cell r="P1059">
            <v>13</v>
          </cell>
          <cell r="Q1059">
            <v>1</v>
          </cell>
          <cell r="R1059">
            <v>2</v>
          </cell>
          <cell r="S1059">
            <v>50</v>
          </cell>
          <cell r="T1059">
            <v>17.032967032967033</v>
          </cell>
          <cell r="U1059">
            <v>2358</v>
          </cell>
          <cell r="V1059">
            <v>221.42857142857142</v>
          </cell>
          <cell r="W1059">
            <v>96</v>
          </cell>
          <cell r="X1059">
            <v>1347</v>
          </cell>
          <cell r="Y1059">
            <v>18</v>
          </cell>
          <cell r="Z1059">
            <v>39</v>
          </cell>
        </row>
        <row r="1060">
          <cell r="A1060">
            <v>9311138</v>
          </cell>
          <cell r="B1060" t="str">
            <v>激光轰击</v>
          </cell>
          <cell r="C1060" t="str">
            <v>激光轰击</v>
          </cell>
          <cell r="D1060">
            <v>3</v>
          </cell>
          <cell r="E1060">
            <v>61</v>
          </cell>
          <cell r="F1060" t="str">
            <v>第38级，共造成305.6%点伤害</v>
          </cell>
          <cell r="G1060">
            <v>1</v>
          </cell>
          <cell r="H1060">
            <v>1</v>
          </cell>
          <cell r="I1060">
            <v>38</v>
          </cell>
          <cell r="J1060">
            <v>1</v>
          </cell>
          <cell r="K1060">
            <v>23.505494505494504</v>
          </cell>
          <cell r="L1060">
            <v>0</v>
          </cell>
          <cell r="M1060">
            <v>6200</v>
          </cell>
          <cell r="N1060">
            <v>251320</v>
          </cell>
          <cell r="O1060">
            <v>1</v>
          </cell>
          <cell r="P1060">
            <v>13</v>
          </cell>
          <cell r="Q1060">
            <v>1</v>
          </cell>
          <cell r="R1060">
            <v>2</v>
          </cell>
          <cell r="S1060">
            <v>50</v>
          </cell>
          <cell r="T1060">
            <v>17.032967032967033</v>
          </cell>
          <cell r="U1060">
            <v>2440</v>
          </cell>
          <cell r="V1060">
            <v>221.42857142857142</v>
          </cell>
          <cell r="W1060">
            <v>103</v>
          </cell>
          <cell r="X1060">
            <v>1450</v>
          </cell>
          <cell r="Y1060">
            <v>18</v>
          </cell>
          <cell r="Z1060">
            <v>42</v>
          </cell>
        </row>
        <row r="1061">
          <cell r="A1061">
            <v>9311139</v>
          </cell>
          <cell r="B1061" t="str">
            <v>激光轰击</v>
          </cell>
          <cell r="C1061" t="str">
            <v>激光轰击</v>
          </cell>
          <cell r="D1061">
            <v>3</v>
          </cell>
          <cell r="E1061">
            <v>63</v>
          </cell>
          <cell r="F1061" t="str">
            <v>第39级，共造成307.8%点伤害</v>
          </cell>
          <cell r="G1061">
            <v>1</v>
          </cell>
          <cell r="H1061">
            <v>1</v>
          </cell>
          <cell r="I1061">
            <v>39</v>
          </cell>
          <cell r="J1061">
            <v>1</v>
          </cell>
          <cell r="K1061">
            <v>23.675824175824175</v>
          </cell>
          <cell r="L1061">
            <v>0</v>
          </cell>
          <cell r="M1061">
            <v>6100</v>
          </cell>
          <cell r="N1061">
            <v>286990</v>
          </cell>
          <cell r="O1061">
            <v>1</v>
          </cell>
          <cell r="P1061">
            <v>13</v>
          </cell>
          <cell r="Q1061">
            <v>1</v>
          </cell>
          <cell r="R1061">
            <v>2</v>
          </cell>
          <cell r="S1061">
            <v>50</v>
          </cell>
          <cell r="T1061">
            <v>17.032967032967033</v>
          </cell>
          <cell r="U1061">
            <v>2609</v>
          </cell>
          <cell r="V1061">
            <v>221.42857142857142</v>
          </cell>
          <cell r="W1061">
            <v>110</v>
          </cell>
          <cell r="X1061">
            <v>1560</v>
          </cell>
          <cell r="Y1061">
            <v>18</v>
          </cell>
          <cell r="Z1061">
            <v>44</v>
          </cell>
        </row>
        <row r="1062">
          <cell r="A1062">
            <v>9311140</v>
          </cell>
          <cell r="B1062" t="str">
            <v>激光轰击</v>
          </cell>
          <cell r="C1062" t="str">
            <v>激光轰击</v>
          </cell>
          <cell r="D1062">
            <v>3</v>
          </cell>
          <cell r="E1062">
            <v>64</v>
          </cell>
          <cell r="F1062" t="str">
            <v>第40级，共造成310%点伤害</v>
          </cell>
          <cell r="G1062">
            <v>1</v>
          </cell>
          <cell r="H1062">
            <v>1</v>
          </cell>
          <cell r="I1062">
            <v>40</v>
          </cell>
          <cell r="J1062">
            <v>1</v>
          </cell>
          <cell r="K1062">
            <v>23.846153846153847</v>
          </cell>
          <cell r="L1062">
            <v>0</v>
          </cell>
          <cell r="M1062">
            <v>6000</v>
          </cell>
          <cell r="N1062">
            <v>318010</v>
          </cell>
          <cell r="O1062">
            <v>1</v>
          </cell>
          <cell r="P1062">
            <v>13</v>
          </cell>
          <cell r="Q1062">
            <v>1</v>
          </cell>
          <cell r="R1062">
            <v>2</v>
          </cell>
          <cell r="S1062">
            <v>50</v>
          </cell>
          <cell r="T1062">
            <v>17.032967032967033</v>
          </cell>
          <cell r="U1062">
            <v>2695</v>
          </cell>
          <cell r="V1062">
            <v>221.42857142857142</v>
          </cell>
          <cell r="W1062">
            <v>118</v>
          </cell>
          <cell r="X1062">
            <v>1678</v>
          </cell>
          <cell r="Y1062">
            <v>18</v>
          </cell>
          <cell r="Z1062">
            <v>48</v>
          </cell>
        </row>
        <row r="1063">
          <cell r="A1063">
            <v>9311141</v>
          </cell>
          <cell r="B1063" t="str">
            <v>激光轰击</v>
          </cell>
          <cell r="C1063" t="str">
            <v>激光轰击</v>
          </cell>
          <cell r="D1063">
            <v>3</v>
          </cell>
          <cell r="E1063">
            <v>66</v>
          </cell>
          <cell r="F1063" t="str">
            <v>第41级，共造成312.2%点伤害</v>
          </cell>
          <cell r="G1063">
            <v>1</v>
          </cell>
          <cell r="H1063">
            <v>1</v>
          </cell>
          <cell r="I1063">
            <v>41</v>
          </cell>
          <cell r="J1063">
            <v>1</v>
          </cell>
          <cell r="K1063">
            <v>24.016483516483518</v>
          </cell>
          <cell r="L1063">
            <v>0</v>
          </cell>
          <cell r="M1063">
            <v>5900</v>
          </cell>
          <cell r="N1063">
            <v>361872</v>
          </cell>
          <cell r="O1063">
            <v>1</v>
          </cell>
          <cell r="P1063">
            <v>13</v>
          </cell>
          <cell r="Q1063">
            <v>1</v>
          </cell>
          <cell r="R1063">
            <v>2</v>
          </cell>
          <cell r="S1063">
            <v>50</v>
          </cell>
          <cell r="T1063">
            <v>17.032967032967033</v>
          </cell>
          <cell r="U1063">
            <v>2872</v>
          </cell>
          <cell r="V1063">
            <v>221.42857142857142</v>
          </cell>
          <cell r="W1063">
            <v>126</v>
          </cell>
          <cell r="X1063">
            <v>1804</v>
          </cell>
          <cell r="Y1063">
            <v>18</v>
          </cell>
          <cell r="Z1063">
            <v>51</v>
          </cell>
        </row>
        <row r="1064">
          <cell r="A1064">
            <v>9311142</v>
          </cell>
          <cell r="B1064" t="str">
            <v>激光轰击</v>
          </cell>
          <cell r="C1064" t="str">
            <v>激光轰击</v>
          </cell>
          <cell r="D1064">
            <v>3</v>
          </cell>
          <cell r="E1064">
            <v>68</v>
          </cell>
          <cell r="F1064" t="str">
            <v>第42级，共造成314.4%点伤害</v>
          </cell>
          <cell r="G1064">
            <v>1</v>
          </cell>
          <cell r="H1064">
            <v>1</v>
          </cell>
          <cell r="I1064">
            <v>42</v>
          </cell>
          <cell r="J1064">
            <v>1</v>
          </cell>
          <cell r="K1064">
            <v>24.186813186813186</v>
          </cell>
          <cell r="L1064">
            <v>0</v>
          </cell>
          <cell r="M1064">
            <v>5800</v>
          </cell>
          <cell r="N1064">
            <v>412290</v>
          </cell>
          <cell r="O1064">
            <v>1</v>
          </cell>
          <cell r="P1064">
            <v>13</v>
          </cell>
          <cell r="Q1064">
            <v>1</v>
          </cell>
          <cell r="R1064">
            <v>2</v>
          </cell>
          <cell r="S1064">
            <v>50</v>
          </cell>
          <cell r="T1064">
            <v>17.032967032967033</v>
          </cell>
          <cell r="U1064">
            <v>3054</v>
          </cell>
          <cell r="V1064">
            <v>221.42857142857142</v>
          </cell>
          <cell r="W1064">
            <v>135</v>
          </cell>
          <cell r="X1064">
            <v>1939</v>
          </cell>
          <cell r="Y1064">
            <v>18</v>
          </cell>
          <cell r="Z1064">
            <v>54</v>
          </cell>
        </row>
        <row r="1065">
          <cell r="A1065">
            <v>9311143</v>
          </cell>
          <cell r="B1065" t="str">
            <v>激光轰击</v>
          </cell>
          <cell r="C1065" t="str">
            <v>激光轰击</v>
          </cell>
          <cell r="D1065">
            <v>3</v>
          </cell>
          <cell r="E1065">
            <v>69</v>
          </cell>
          <cell r="F1065" t="str">
            <v>第43级，共造成316.6%点伤害</v>
          </cell>
          <cell r="G1065">
            <v>1</v>
          </cell>
          <cell r="H1065">
            <v>1</v>
          </cell>
          <cell r="I1065">
            <v>43</v>
          </cell>
          <cell r="J1065">
            <v>1</v>
          </cell>
          <cell r="K1065">
            <v>24.357142857142858</v>
          </cell>
          <cell r="L1065">
            <v>0</v>
          </cell>
          <cell r="M1065">
            <v>5700</v>
          </cell>
          <cell r="N1065">
            <v>456315</v>
          </cell>
          <cell r="O1065">
            <v>1</v>
          </cell>
          <cell r="P1065">
            <v>13</v>
          </cell>
          <cell r="Q1065">
            <v>1</v>
          </cell>
          <cell r="R1065">
            <v>2</v>
          </cell>
          <cell r="S1065">
            <v>50</v>
          </cell>
          <cell r="T1065">
            <v>17.032967032967033</v>
          </cell>
          <cell r="U1065">
            <v>3147</v>
          </cell>
          <cell r="V1065">
            <v>221.42857142857142</v>
          </cell>
          <cell r="W1065">
            <v>145</v>
          </cell>
          <cell r="X1065">
            <v>2084</v>
          </cell>
          <cell r="Y1065">
            <v>18</v>
          </cell>
          <cell r="Z1065">
            <v>58</v>
          </cell>
        </row>
        <row r="1066">
          <cell r="A1066">
            <v>9311144</v>
          </cell>
          <cell r="B1066" t="str">
            <v>激光轰击</v>
          </cell>
          <cell r="C1066" t="str">
            <v>激光轰击</v>
          </cell>
          <cell r="D1066">
            <v>3</v>
          </cell>
          <cell r="E1066">
            <v>71</v>
          </cell>
          <cell r="F1066" t="str">
            <v>第44级，共造成318.9%点伤害</v>
          </cell>
          <cell r="G1066">
            <v>1</v>
          </cell>
          <cell r="H1066">
            <v>1</v>
          </cell>
          <cell r="I1066">
            <v>44</v>
          </cell>
          <cell r="J1066">
            <v>1</v>
          </cell>
          <cell r="K1066">
            <v>24.527472527472526</v>
          </cell>
          <cell r="L1066">
            <v>0</v>
          </cell>
          <cell r="M1066">
            <v>5600</v>
          </cell>
          <cell r="N1066">
            <v>517390</v>
          </cell>
          <cell r="O1066">
            <v>1</v>
          </cell>
          <cell r="P1066">
            <v>13</v>
          </cell>
          <cell r="Q1066">
            <v>1</v>
          </cell>
          <cell r="R1066">
            <v>2</v>
          </cell>
          <cell r="S1066">
            <v>50</v>
          </cell>
          <cell r="T1066">
            <v>17.032967032967033</v>
          </cell>
          <cell r="U1066">
            <v>3338</v>
          </cell>
          <cell r="V1066">
            <v>221.42857142857142</v>
          </cell>
          <cell r="W1066">
            <v>155</v>
          </cell>
          <cell r="X1066">
            <v>2239</v>
          </cell>
          <cell r="Y1066">
            <v>18</v>
          </cell>
          <cell r="Z1066">
            <v>62</v>
          </cell>
        </row>
        <row r="1067">
          <cell r="A1067">
            <v>9311145</v>
          </cell>
          <cell r="B1067" t="str">
            <v>激光轰击</v>
          </cell>
          <cell r="C1067" t="str">
            <v>激光轰击</v>
          </cell>
          <cell r="D1067">
            <v>3</v>
          </cell>
          <cell r="E1067">
            <v>72</v>
          </cell>
          <cell r="F1067" t="str">
            <v>第45级，共造成321.1%点伤害</v>
          </cell>
          <cell r="G1067">
            <v>1</v>
          </cell>
          <cell r="H1067">
            <v>1</v>
          </cell>
          <cell r="I1067">
            <v>45</v>
          </cell>
          <cell r="J1067">
            <v>1</v>
          </cell>
          <cell r="K1067">
            <v>24.697802197802197</v>
          </cell>
          <cell r="L1067">
            <v>0</v>
          </cell>
          <cell r="M1067">
            <v>5500</v>
          </cell>
          <cell r="N1067">
            <v>566775</v>
          </cell>
          <cell r="O1067">
            <v>1</v>
          </cell>
          <cell r="P1067">
            <v>13</v>
          </cell>
          <cell r="Q1067">
            <v>1</v>
          </cell>
          <cell r="R1067">
            <v>2</v>
          </cell>
          <cell r="S1067">
            <v>50</v>
          </cell>
          <cell r="T1067">
            <v>17.032967032967033</v>
          </cell>
          <cell r="U1067">
            <v>3435</v>
          </cell>
          <cell r="V1067">
            <v>221.42857142857142</v>
          </cell>
          <cell r="W1067">
            <v>165</v>
          </cell>
          <cell r="X1067">
            <v>2404</v>
          </cell>
          <cell r="Y1067">
            <v>18</v>
          </cell>
          <cell r="Z1067">
            <v>66</v>
          </cell>
        </row>
        <row r="1068">
          <cell r="A1068">
            <v>9311146</v>
          </cell>
          <cell r="B1068" t="str">
            <v>激光轰击</v>
          </cell>
          <cell r="C1068" t="str">
            <v>激光轰击</v>
          </cell>
          <cell r="D1068">
            <v>3</v>
          </cell>
          <cell r="E1068">
            <v>74</v>
          </cell>
          <cell r="F1068" t="str">
            <v>第46级，共造成323.3%点伤害</v>
          </cell>
          <cell r="G1068">
            <v>1</v>
          </cell>
          <cell r="H1068">
            <v>1</v>
          </cell>
          <cell r="I1068">
            <v>46</v>
          </cell>
          <cell r="J1068">
            <v>1</v>
          </cell>
          <cell r="K1068">
            <v>24.868131868131869</v>
          </cell>
          <cell r="L1068">
            <v>0</v>
          </cell>
          <cell r="M1068">
            <v>5400</v>
          </cell>
          <cell r="N1068">
            <v>643218</v>
          </cell>
          <cell r="O1068">
            <v>1</v>
          </cell>
          <cell r="P1068">
            <v>13</v>
          </cell>
          <cell r="Q1068">
            <v>1</v>
          </cell>
          <cell r="R1068">
            <v>2</v>
          </cell>
          <cell r="S1068">
            <v>50</v>
          </cell>
          <cell r="T1068">
            <v>17.032967032967033</v>
          </cell>
          <cell r="U1068">
            <v>3634</v>
          </cell>
          <cell r="V1068">
            <v>221.42857142857142</v>
          </cell>
          <cell r="W1068">
            <v>177</v>
          </cell>
          <cell r="X1068">
            <v>2581</v>
          </cell>
          <cell r="Y1068">
            <v>18</v>
          </cell>
          <cell r="Z1068">
            <v>71</v>
          </cell>
        </row>
        <row r="1069">
          <cell r="A1069">
            <v>9311147</v>
          </cell>
          <cell r="B1069" t="str">
            <v>激光轰击</v>
          </cell>
          <cell r="C1069" t="str">
            <v>激光轰击</v>
          </cell>
          <cell r="D1069">
            <v>3</v>
          </cell>
          <cell r="E1069">
            <v>75</v>
          </cell>
          <cell r="F1069" t="str">
            <v>第47级，共造成325.5%点伤害</v>
          </cell>
          <cell r="G1069">
            <v>1</v>
          </cell>
          <cell r="H1069">
            <v>1</v>
          </cell>
          <cell r="I1069">
            <v>47</v>
          </cell>
          <cell r="J1069">
            <v>1</v>
          </cell>
          <cell r="K1069">
            <v>25.03846153846154</v>
          </cell>
          <cell r="L1069">
            <v>0</v>
          </cell>
          <cell r="M1069">
            <v>5300</v>
          </cell>
          <cell r="N1069">
            <v>705915</v>
          </cell>
          <cell r="O1069">
            <v>1</v>
          </cell>
          <cell r="P1069">
            <v>13</v>
          </cell>
          <cell r="Q1069">
            <v>1</v>
          </cell>
          <cell r="R1069">
            <v>2</v>
          </cell>
          <cell r="S1069">
            <v>50</v>
          </cell>
          <cell r="T1069">
            <v>17.032967032967033</v>
          </cell>
          <cell r="U1069">
            <v>3735</v>
          </cell>
          <cell r="V1069">
            <v>221.42857142857142</v>
          </cell>
          <cell r="W1069">
            <v>189</v>
          </cell>
          <cell r="X1069">
            <v>2770</v>
          </cell>
          <cell r="Y1069">
            <v>18</v>
          </cell>
          <cell r="Z1069">
            <v>76</v>
          </cell>
        </row>
        <row r="1070">
          <cell r="A1070">
            <v>9311148</v>
          </cell>
          <cell r="B1070" t="str">
            <v>激光轰击</v>
          </cell>
          <cell r="C1070" t="str">
            <v>激光轰击</v>
          </cell>
          <cell r="D1070">
            <v>3</v>
          </cell>
          <cell r="E1070">
            <v>77</v>
          </cell>
          <cell r="F1070" t="str">
            <v>第48级，共造成327.7%点伤害</v>
          </cell>
          <cell r="G1070">
            <v>1</v>
          </cell>
          <cell r="H1070">
            <v>1</v>
          </cell>
          <cell r="I1070">
            <v>48</v>
          </cell>
          <cell r="J1070">
            <v>1</v>
          </cell>
          <cell r="K1070">
            <v>25.208791208791208</v>
          </cell>
          <cell r="L1070">
            <v>0</v>
          </cell>
          <cell r="M1070">
            <v>5200</v>
          </cell>
          <cell r="N1070">
            <v>800226</v>
          </cell>
          <cell r="O1070">
            <v>1</v>
          </cell>
          <cell r="P1070">
            <v>13</v>
          </cell>
          <cell r="Q1070">
            <v>1</v>
          </cell>
          <cell r="R1070">
            <v>2</v>
          </cell>
          <cell r="S1070">
            <v>50</v>
          </cell>
          <cell r="T1070">
            <v>17.032967032967033</v>
          </cell>
          <cell r="U1070">
            <v>3942</v>
          </cell>
          <cell r="V1070">
            <v>221.42857142857142</v>
          </cell>
          <cell r="W1070">
            <v>203</v>
          </cell>
          <cell r="X1070">
            <v>2973</v>
          </cell>
          <cell r="Y1070">
            <v>18</v>
          </cell>
          <cell r="Z1070">
            <v>82</v>
          </cell>
        </row>
        <row r="1071">
          <cell r="A1071">
            <v>9311149</v>
          </cell>
          <cell r="B1071" t="str">
            <v>激光轰击</v>
          </cell>
          <cell r="C1071" t="str">
            <v>激光轰击</v>
          </cell>
          <cell r="D1071">
            <v>3</v>
          </cell>
          <cell r="E1071">
            <v>78</v>
          </cell>
          <cell r="F1071" t="str">
            <v>第49级，共造成329.9%点伤害</v>
          </cell>
          <cell r="G1071">
            <v>1</v>
          </cell>
          <cell r="H1071">
            <v>1</v>
          </cell>
          <cell r="I1071">
            <v>49</v>
          </cell>
          <cell r="J1071">
            <v>1</v>
          </cell>
          <cell r="K1071">
            <v>25.37912087912088</v>
          </cell>
          <cell r="L1071">
            <v>0</v>
          </cell>
          <cell r="M1071">
            <v>5100</v>
          </cell>
          <cell r="N1071">
            <v>878199</v>
          </cell>
          <cell r="O1071">
            <v>1</v>
          </cell>
          <cell r="P1071">
            <v>13</v>
          </cell>
          <cell r="Q1071">
            <v>1</v>
          </cell>
          <cell r="R1071">
            <v>2</v>
          </cell>
          <cell r="S1071">
            <v>50</v>
          </cell>
          <cell r="T1071">
            <v>17.032967032967033</v>
          </cell>
          <cell r="U1071">
            <v>4047</v>
          </cell>
          <cell r="V1071">
            <v>221.42857142857142</v>
          </cell>
          <cell r="W1071">
            <v>217</v>
          </cell>
          <cell r="X1071">
            <v>3190</v>
          </cell>
          <cell r="Y1071">
            <v>18</v>
          </cell>
          <cell r="Z1071">
            <v>87</v>
          </cell>
        </row>
        <row r="1072">
          <cell r="A1072">
            <v>9311150</v>
          </cell>
          <cell r="B1072" t="str">
            <v>激光轰击</v>
          </cell>
          <cell r="C1072" t="str">
            <v>激光轰击</v>
          </cell>
          <cell r="D1072">
            <v>3</v>
          </cell>
          <cell r="E1072">
            <v>80</v>
          </cell>
          <cell r="F1072" t="str">
            <v>第50级，共造成332.1%点伤害</v>
          </cell>
          <cell r="G1072">
            <v>1</v>
          </cell>
          <cell r="H1072">
            <v>1</v>
          </cell>
          <cell r="I1072">
            <v>50</v>
          </cell>
          <cell r="J1072">
            <v>1</v>
          </cell>
          <cell r="K1072">
            <v>25.549450549450547</v>
          </cell>
          <cell r="L1072">
            <v>0</v>
          </cell>
          <cell r="M1072">
            <v>5000</v>
          </cell>
          <cell r="N1072">
            <v>988784</v>
          </cell>
          <cell r="O1072">
            <v>1</v>
          </cell>
          <cell r="P1072">
            <v>13</v>
          </cell>
          <cell r="Q1072">
            <v>1</v>
          </cell>
          <cell r="R1072">
            <v>2</v>
          </cell>
          <cell r="S1072">
            <v>50</v>
          </cell>
          <cell r="T1072">
            <v>17.032967032967033</v>
          </cell>
          <cell r="U1072">
            <v>4262</v>
          </cell>
          <cell r="V1072">
            <v>221.42857142857142</v>
          </cell>
          <cell r="W1072">
            <v>232</v>
          </cell>
          <cell r="X1072">
            <v>3422</v>
          </cell>
          <cell r="Y1072">
            <v>18</v>
          </cell>
          <cell r="Z1072">
            <v>93</v>
          </cell>
        </row>
        <row r="1073">
          <cell r="A1073">
            <v>9322000</v>
          </cell>
          <cell r="B1073" t="str">
            <v>玫瑰之舞</v>
          </cell>
          <cell r="C1073" t="str">
            <v>玫瑰之舞第1段</v>
          </cell>
          <cell r="D1073">
            <v>3</v>
          </cell>
          <cell r="E1073">
            <v>4</v>
          </cell>
          <cell r="F1073" t="str">
            <v>第0级，共造成132.9%点伤害</v>
          </cell>
          <cell r="G1073">
            <v>0</v>
          </cell>
          <cell r="H1073">
            <v>1</v>
          </cell>
          <cell r="I1073">
            <v>0</v>
          </cell>
          <cell r="J1073">
            <v>2</v>
          </cell>
          <cell r="K1073">
            <v>132.85714285714286</v>
          </cell>
          <cell r="L1073">
            <v>0</v>
          </cell>
          <cell r="M1073">
            <v>8000</v>
          </cell>
          <cell r="N1073">
            <v>0</v>
          </cell>
          <cell r="O1073">
            <v>2</v>
          </cell>
          <cell r="P1073">
            <v>1</v>
          </cell>
          <cell r="Q1073">
            <v>1</v>
          </cell>
          <cell r="R1073">
            <v>4</v>
          </cell>
          <cell r="S1073">
            <v>50</v>
          </cell>
          <cell r="T1073">
            <v>132.85714285714286</v>
          </cell>
          <cell r="U1073">
            <v>68</v>
          </cell>
          <cell r="V1073">
            <v>132.85714285714286</v>
          </cell>
          <cell r="W1073">
            <v>0</v>
          </cell>
          <cell r="X1073">
            <v>0</v>
          </cell>
          <cell r="Y1073">
            <v>18</v>
          </cell>
          <cell r="Z1073">
            <v>0</v>
          </cell>
        </row>
        <row r="1074">
          <cell r="A1074">
            <v>9322101</v>
          </cell>
          <cell r="B1074" t="str">
            <v>玫瑰之舞第1段</v>
          </cell>
          <cell r="C1074" t="str">
            <v>玫瑰之舞第1段</v>
          </cell>
          <cell r="D1074">
            <v>3</v>
          </cell>
          <cell r="E1074">
            <v>4</v>
          </cell>
          <cell r="F1074" t="str">
            <v>第1级，共造成132.9%点伤害</v>
          </cell>
          <cell r="G1074">
            <v>1</v>
          </cell>
          <cell r="H1074">
            <v>1</v>
          </cell>
          <cell r="I1074">
            <v>1</v>
          </cell>
          <cell r="J1074">
            <v>2</v>
          </cell>
          <cell r="K1074">
            <v>132.85714285714286</v>
          </cell>
          <cell r="L1074">
            <v>0</v>
          </cell>
          <cell r="M1074">
            <v>8000</v>
          </cell>
          <cell r="N1074">
            <v>272</v>
          </cell>
          <cell r="O1074">
            <v>2</v>
          </cell>
          <cell r="P1074">
            <v>1</v>
          </cell>
          <cell r="Q1074">
            <v>1</v>
          </cell>
          <cell r="R1074">
            <v>4</v>
          </cell>
          <cell r="S1074">
            <v>50</v>
          </cell>
          <cell r="T1074">
            <v>132.85714285714286</v>
          </cell>
          <cell r="U1074">
            <v>68</v>
          </cell>
          <cell r="V1074">
            <v>132.85714285714286</v>
          </cell>
          <cell r="W1074">
            <v>4</v>
          </cell>
          <cell r="X1074">
            <v>4</v>
          </cell>
          <cell r="Y1074">
            <v>18</v>
          </cell>
          <cell r="Z1074">
            <v>0</v>
          </cell>
        </row>
        <row r="1075">
          <cell r="A1075">
            <v>9322102</v>
          </cell>
          <cell r="B1075" t="str">
            <v>玫瑰之舞第1段</v>
          </cell>
          <cell r="C1075" t="str">
            <v>玫瑰之舞第1段</v>
          </cell>
          <cell r="D1075">
            <v>3</v>
          </cell>
          <cell r="E1075">
            <v>7</v>
          </cell>
          <cell r="F1075" t="str">
            <v>第2级，共造成135.5%点伤害</v>
          </cell>
          <cell r="G1075">
            <v>1</v>
          </cell>
          <cell r="H1075">
            <v>1</v>
          </cell>
          <cell r="I1075">
            <v>2</v>
          </cell>
          <cell r="J1075">
            <v>2</v>
          </cell>
          <cell r="K1075">
            <v>135.51428571428571</v>
          </cell>
          <cell r="L1075">
            <v>0</v>
          </cell>
          <cell r="M1075">
            <v>7840</v>
          </cell>
          <cell r="N1075">
            <v>344</v>
          </cell>
          <cell r="O1075">
            <v>2</v>
          </cell>
          <cell r="P1075">
            <v>1</v>
          </cell>
          <cell r="Q1075">
            <v>1</v>
          </cell>
          <cell r="R1075">
            <v>4</v>
          </cell>
          <cell r="S1075">
            <v>50</v>
          </cell>
          <cell r="T1075">
            <v>132.85714285714286</v>
          </cell>
          <cell r="U1075">
            <v>86</v>
          </cell>
          <cell r="V1075">
            <v>132.85714285714286</v>
          </cell>
          <cell r="W1075">
            <v>4</v>
          </cell>
          <cell r="X1075">
            <v>8</v>
          </cell>
          <cell r="Y1075">
            <v>18</v>
          </cell>
          <cell r="Z1075">
            <v>0</v>
          </cell>
        </row>
        <row r="1076">
          <cell r="A1076">
            <v>9322103</v>
          </cell>
          <cell r="B1076" t="str">
            <v>玫瑰之舞第1段</v>
          </cell>
          <cell r="C1076" t="str">
            <v>玫瑰之舞第1段</v>
          </cell>
          <cell r="D1076">
            <v>3</v>
          </cell>
          <cell r="E1076">
            <v>9</v>
          </cell>
          <cell r="F1076" t="str">
            <v>第3级，共造成136.8%点伤害</v>
          </cell>
          <cell r="G1076">
            <v>1</v>
          </cell>
          <cell r="H1076">
            <v>1</v>
          </cell>
          <cell r="I1076">
            <v>3</v>
          </cell>
          <cell r="J1076">
            <v>2</v>
          </cell>
          <cell r="K1076">
            <v>136.84285714285716</v>
          </cell>
          <cell r="L1076">
            <v>0</v>
          </cell>
          <cell r="M1076">
            <v>7760</v>
          </cell>
          <cell r="N1076">
            <v>392</v>
          </cell>
          <cell r="O1076">
            <v>2</v>
          </cell>
          <cell r="P1076">
            <v>1</v>
          </cell>
          <cell r="Q1076">
            <v>1</v>
          </cell>
          <cell r="R1076">
            <v>4</v>
          </cell>
          <cell r="S1076">
            <v>50</v>
          </cell>
          <cell r="T1076">
            <v>132.85714285714286</v>
          </cell>
          <cell r="U1076">
            <v>98</v>
          </cell>
          <cell r="V1076">
            <v>132.85714285714286</v>
          </cell>
          <cell r="W1076">
            <v>4</v>
          </cell>
          <cell r="X1076">
            <v>12</v>
          </cell>
          <cell r="Y1076">
            <v>18</v>
          </cell>
          <cell r="Z1076">
            <v>0</v>
          </cell>
        </row>
        <row r="1077">
          <cell r="A1077">
            <v>9322104</v>
          </cell>
          <cell r="B1077" t="str">
            <v>玫瑰之舞第1段</v>
          </cell>
          <cell r="C1077" t="str">
            <v>玫瑰之舞第1段</v>
          </cell>
          <cell r="D1077">
            <v>3</v>
          </cell>
          <cell r="E1077">
            <v>10</v>
          </cell>
          <cell r="F1077" t="str">
            <v>第4级，共造成138.2%点伤害</v>
          </cell>
          <cell r="G1077">
            <v>1</v>
          </cell>
          <cell r="H1077">
            <v>1</v>
          </cell>
          <cell r="I1077">
            <v>4</v>
          </cell>
          <cell r="J1077">
            <v>2</v>
          </cell>
          <cell r="K1077">
            <v>138.17142857142858</v>
          </cell>
          <cell r="L1077">
            <v>0</v>
          </cell>
          <cell r="M1077">
            <v>7680</v>
          </cell>
          <cell r="N1077">
            <v>520</v>
          </cell>
          <cell r="O1077">
            <v>2</v>
          </cell>
          <cell r="P1077">
            <v>1</v>
          </cell>
          <cell r="Q1077">
            <v>1</v>
          </cell>
          <cell r="R1077">
            <v>4</v>
          </cell>
          <cell r="S1077">
            <v>50</v>
          </cell>
          <cell r="T1077">
            <v>132.85714285714286</v>
          </cell>
          <cell r="U1077">
            <v>104</v>
          </cell>
          <cell r="V1077">
            <v>132.85714285714286</v>
          </cell>
          <cell r="W1077">
            <v>5</v>
          </cell>
          <cell r="X1077">
            <v>17</v>
          </cell>
          <cell r="Y1077">
            <v>18</v>
          </cell>
          <cell r="Z1077">
            <v>0</v>
          </cell>
        </row>
        <row r="1078">
          <cell r="A1078">
            <v>9322105</v>
          </cell>
          <cell r="B1078" t="str">
            <v>玫瑰之舞第1段</v>
          </cell>
          <cell r="C1078" t="str">
            <v>玫瑰之舞第1段</v>
          </cell>
          <cell r="D1078">
            <v>3</v>
          </cell>
          <cell r="E1078">
            <v>12</v>
          </cell>
          <cell r="F1078" t="str">
            <v>第5级，共造成139.5%点伤害</v>
          </cell>
          <cell r="G1078">
            <v>1</v>
          </cell>
          <cell r="H1078">
            <v>1</v>
          </cell>
          <cell r="I1078">
            <v>5</v>
          </cell>
          <cell r="J1078">
            <v>2</v>
          </cell>
          <cell r="K1078">
            <v>139.5</v>
          </cell>
          <cell r="L1078">
            <v>0</v>
          </cell>
          <cell r="M1078">
            <v>7600</v>
          </cell>
          <cell r="N1078">
            <v>580</v>
          </cell>
          <cell r="O1078">
            <v>2</v>
          </cell>
          <cell r="P1078">
            <v>1</v>
          </cell>
          <cell r="Q1078">
            <v>1</v>
          </cell>
          <cell r="R1078">
            <v>4</v>
          </cell>
          <cell r="S1078">
            <v>50</v>
          </cell>
          <cell r="T1078">
            <v>132.85714285714286</v>
          </cell>
          <cell r="U1078">
            <v>116</v>
          </cell>
          <cell r="V1078">
            <v>132.85714285714286</v>
          </cell>
          <cell r="W1078">
            <v>5</v>
          </cell>
          <cell r="X1078">
            <v>22</v>
          </cell>
          <cell r="Y1078">
            <v>18</v>
          </cell>
          <cell r="Z1078">
            <v>0</v>
          </cell>
        </row>
        <row r="1079">
          <cell r="A1079">
            <v>9322106</v>
          </cell>
          <cell r="B1079" t="str">
            <v>玫瑰之舞第1段</v>
          </cell>
          <cell r="C1079" t="str">
            <v>玫瑰之舞第1段</v>
          </cell>
          <cell r="D1079">
            <v>3</v>
          </cell>
          <cell r="E1079">
            <v>13</v>
          </cell>
          <cell r="F1079" t="str">
            <v>第6级，共造成140.8%点伤害</v>
          </cell>
          <cell r="G1079">
            <v>1</v>
          </cell>
          <cell r="H1079">
            <v>1</v>
          </cell>
          <cell r="I1079">
            <v>6</v>
          </cell>
          <cell r="J1079">
            <v>2</v>
          </cell>
          <cell r="K1079">
            <v>140.82857142857142</v>
          </cell>
          <cell r="L1079">
            <v>0</v>
          </cell>
          <cell r="M1079">
            <v>7520</v>
          </cell>
          <cell r="N1079">
            <v>610</v>
          </cell>
          <cell r="O1079">
            <v>2</v>
          </cell>
          <cell r="P1079">
            <v>1</v>
          </cell>
          <cell r="Q1079">
            <v>1</v>
          </cell>
          <cell r="R1079">
            <v>4</v>
          </cell>
          <cell r="S1079">
            <v>50</v>
          </cell>
          <cell r="T1079">
            <v>132.85714285714286</v>
          </cell>
          <cell r="U1079">
            <v>122</v>
          </cell>
          <cell r="V1079">
            <v>132.85714285714286</v>
          </cell>
          <cell r="W1079">
            <v>5</v>
          </cell>
          <cell r="X1079">
            <v>27</v>
          </cell>
          <cell r="Y1079">
            <v>18</v>
          </cell>
          <cell r="Z1079">
            <v>0</v>
          </cell>
        </row>
        <row r="1080">
          <cell r="A1080">
            <v>9322107</v>
          </cell>
          <cell r="B1080" t="str">
            <v>玫瑰之舞第1段</v>
          </cell>
          <cell r="C1080" t="str">
            <v>玫瑰之舞第1段</v>
          </cell>
          <cell r="D1080">
            <v>3</v>
          </cell>
          <cell r="E1080">
            <v>15</v>
          </cell>
          <cell r="F1080" t="str">
            <v>第7级，共造成142.2%点伤害</v>
          </cell>
          <cell r="G1080">
            <v>1</v>
          </cell>
          <cell r="H1080">
            <v>1</v>
          </cell>
          <cell r="I1080">
            <v>7</v>
          </cell>
          <cell r="J1080">
            <v>2</v>
          </cell>
          <cell r="K1080">
            <v>142.15714285714287</v>
          </cell>
          <cell r="L1080">
            <v>0</v>
          </cell>
          <cell r="M1080">
            <v>7440</v>
          </cell>
          <cell r="N1080">
            <v>670</v>
          </cell>
          <cell r="O1080">
            <v>2</v>
          </cell>
          <cell r="P1080">
            <v>1</v>
          </cell>
          <cell r="Q1080">
            <v>1</v>
          </cell>
          <cell r="R1080">
            <v>4</v>
          </cell>
          <cell r="S1080">
            <v>50</v>
          </cell>
          <cell r="T1080">
            <v>132.85714285714286</v>
          </cell>
          <cell r="U1080">
            <v>134</v>
          </cell>
          <cell r="V1080">
            <v>132.85714285714286</v>
          </cell>
          <cell r="W1080">
            <v>5</v>
          </cell>
          <cell r="X1080">
            <v>32</v>
          </cell>
          <cell r="Y1080">
            <v>18</v>
          </cell>
          <cell r="Z1080">
            <v>0</v>
          </cell>
        </row>
        <row r="1081">
          <cell r="A1081">
            <v>9322108</v>
          </cell>
          <cell r="B1081" t="str">
            <v>玫瑰之舞第1段</v>
          </cell>
          <cell r="C1081" t="str">
            <v>玫瑰之舞第1段</v>
          </cell>
          <cell r="D1081">
            <v>3</v>
          </cell>
          <cell r="E1081">
            <v>16</v>
          </cell>
          <cell r="F1081" t="str">
            <v>第8级，共造成143.5%点伤害</v>
          </cell>
          <cell r="G1081">
            <v>1</v>
          </cell>
          <cell r="H1081">
            <v>1</v>
          </cell>
          <cell r="I1081">
            <v>8</v>
          </cell>
          <cell r="J1081">
            <v>2</v>
          </cell>
          <cell r="K1081">
            <v>143.48571428571429</v>
          </cell>
          <cell r="L1081">
            <v>0</v>
          </cell>
          <cell r="M1081">
            <v>7360</v>
          </cell>
          <cell r="N1081">
            <v>840</v>
          </cell>
          <cell r="O1081">
            <v>2</v>
          </cell>
          <cell r="P1081">
            <v>1</v>
          </cell>
          <cell r="Q1081">
            <v>1</v>
          </cell>
          <cell r="R1081">
            <v>4</v>
          </cell>
          <cell r="S1081">
            <v>50</v>
          </cell>
          <cell r="T1081">
            <v>132.85714285714286</v>
          </cell>
          <cell r="U1081">
            <v>140</v>
          </cell>
          <cell r="V1081">
            <v>132.85714285714286</v>
          </cell>
          <cell r="W1081">
            <v>6</v>
          </cell>
          <cell r="X1081">
            <v>38</v>
          </cell>
          <cell r="Y1081">
            <v>18</v>
          </cell>
          <cell r="Z1081">
            <v>0</v>
          </cell>
        </row>
        <row r="1082">
          <cell r="A1082">
            <v>9322109</v>
          </cell>
          <cell r="B1082" t="str">
            <v>玫瑰之舞第1段</v>
          </cell>
          <cell r="C1082" t="str">
            <v>玫瑰之舞第1段</v>
          </cell>
          <cell r="D1082">
            <v>3</v>
          </cell>
          <cell r="E1082">
            <v>18</v>
          </cell>
          <cell r="F1082" t="str">
            <v>第9级，共造成144.8%点伤害</v>
          </cell>
          <cell r="G1082">
            <v>1</v>
          </cell>
          <cell r="H1082">
            <v>1</v>
          </cell>
          <cell r="I1082">
            <v>9</v>
          </cell>
          <cell r="J1082">
            <v>2</v>
          </cell>
          <cell r="K1082">
            <v>144.81428571428572</v>
          </cell>
          <cell r="L1082">
            <v>0</v>
          </cell>
          <cell r="M1082">
            <v>7280</v>
          </cell>
          <cell r="N1082">
            <v>912</v>
          </cell>
          <cell r="O1082">
            <v>2</v>
          </cell>
          <cell r="P1082">
            <v>1</v>
          </cell>
          <cell r="Q1082">
            <v>1</v>
          </cell>
          <cell r="R1082">
            <v>4</v>
          </cell>
          <cell r="S1082">
            <v>50</v>
          </cell>
          <cell r="T1082">
            <v>132.85714285714286</v>
          </cell>
          <cell r="U1082">
            <v>152</v>
          </cell>
          <cell r="V1082">
            <v>132.85714285714286</v>
          </cell>
          <cell r="W1082">
            <v>6</v>
          </cell>
          <cell r="X1082">
            <v>44</v>
          </cell>
          <cell r="Y1082">
            <v>18</v>
          </cell>
          <cell r="Z1082">
            <v>0</v>
          </cell>
        </row>
        <row r="1083">
          <cell r="A1083">
            <v>9322110</v>
          </cell>
          <cell r="B1083" t="str">
            <v>玫瑰之舞第1段</v>
          </cell>
          <cell r="C1083" t="str">
            <v>玫瑰之舞第1段</v>
          </cell>
          <cell r="D1083">
            <v>3</v>
          </cell>
          <cell r="E1083">
            <v>19</v>
          </cell>
          <cell r="F1083" t="str">
            <v>第10级，共造成146.1%点伤害</v>
          </cell>
          <cell r="G1083">
            <v>1</v>
          </cell>
          <cell r="H1083">
            <v>1</v>
          </cell>
          <cell r="I1083">
            <v>10</v>
          </cell>
          <cell r="J1083">
            <v>2</v>
          </cell>
          <cell r="K1083">
            <v>146.14285714285714</v>
          </cell>
          <cell r="L1083">
            <v>0</v>
          </cell>
          <cell r="M1083">
            <v>7200</v>
          </cell>
          <cell r="N1083">
            <v>1106</v>
          </cell>
          <cell r="O1083">
            <v>2</v>
          </cell>
          <cell r="P1083">
            <v>1</v>
          </cell>
          <cell r="Q1083">
            <v>1</v>
          </cell>
          <cell r="R1083">
            <v>4</v>
          </cell>
          <cell r="S1083">
            <v>50</v>
          </cell>
          <cell r="T1083">
            <v>132.85714285714286</v>
          </cell>
          <cell r="U1083">
            <v>158</v>
          </cell>
          <cell r="V1083">
            <v>132.85714285714286</v>
          </cell>
          <cell r="W1083">
            <v>7</v>
          </cell>
          <cell r="X1083">
            <v>51</v>
          </cell>
          <cell r="Y1083">
            <v>18</v>
          </cell>
          <cell r="Z1083">
            <v>0</v>
          </cell>
        </row>
        <row r="1084">
          <cell r="A1084">
            <v>9322111</v>
          </cell>
          <cell r="B1084" t="str">
            <v>玫瑰之舞第1段</v>
          </cell>
          <cell r="C1084" t="str">
            <v>玫瑰之舞第1段</v>
          </cell>
          <cell r="D1084">
            <v>3</v>
          </cell>
          <cell r="E1084">
            <v>21</v>
          </cell>
          <cell r="F1084" t="str">
            <v>第11级，共造成147.5%点伤害</v>
          </cell>
          <cell r="G1084">
            <v>1</v>
          </cell>
          <cell r="H1084">
            <v>1</v>
          </cell>
          <cell r="I1084">
            <v>11</v>
          </cell>
          <cell r="J1084">
            <v>2</v>
          </cell>
          <cell r="K1084">
            <v>147.47142857142859</v>
          </cell>
          <cell r="L1084">
            <v>0</v>
          </cell>
          <cell r="M1084">
            <v>7120</v>
          </cell>
          <cell r="N1084">
            <v>1470</v>
          </cell>
          <cell r="O1084">
            <v>2</v>
          </cell>
          <cell r="P1084">
            <v>1</v>
          </cell>
          <cell r="Q1084">
            <v>1</v>
          </cell>
          <cell r="R1084">
            <v>4</v>
          </cell>
          <cell r="S1084">
            <v>50</v>
          </cell>
          <cell r="T1084">
            <v>132.85714285714286</v>
          </cell>
          <cell r="U1084">
            <v>210</v>
          </cell>
          <cell r="V1084">
            <v>132.85714285714286</v>
          </cell>
          <cell r="W1084">
            <v>7</v>
          </cell>
          <cell r="X1084">
            <v>58</v>
          </cell>
          <cell r="Y1084">
            <v>18</v>
          </cell>
          <cell r="Z1084">
            <v>0</v>
          </cell>
        </row>
        <row r="1085">
          <cell r="A1085">
            <v>9322112</v>
          </cell>
          <cell r="B1085" t="str">
            <v>玫瑰之舞第1段</v>
          </cell>
          <cell r="C1085" t="str">
            <v>玫瑰之舞第1段</v>
          </cell>
          <cell r="D1085">
            <v>3</v>
          </cell>
          <cell r="E1085">
            <v>22</v>
          </cell>
          <cell r="F1085" t="str">
            <v>第12级，共造成148.8%点伤害</v>
          </cell>
          <cell r="G1085">
            <v>1</v>
          </cell>
          <cell r="H1085">
            <v>1</v>
          </cell>
          <cell r="I1085">
            <v>12</v>
          </cell>
          <cell r="J1085">
            <v>2</v>
          </cell>
          <cell r="K1085">
            <v>148.80000000000001</v>
          </cell>
          <cell r="L1085">
            <v>0</v>
          </cell>
          <cell r="M1085">
            <v>7040</v>
          </cell>
          <cell r="N1085">
            <v>1912</v>
          </cell>
          <cell r="O1085">
            <v>2</v>
          </cell>
          <cell r="P1085">
            <v>1</v>
          </cell>
          <cell r="Q1085">
            <v>1</v>
          </cell>
          <cell r="R1085">
            <v>4</v>
          </cell>
          <cell r="S1085">
            <v>50</v>
          </cell>
          <cell r="T1085">
            <v>132.85714285714286</v>
          </cell>
          <cell r="U1085">
            <v>239</v>
          </cell>
          <cell r="V1085">
            <v>132.85714285714286</v>
          </cell>
          <cell r="W1085">
            <v>8</v>
          </cell>
          <cell r="X1085">
            <v>66</v>
          </cell>
          <cell r="Y1085">
            <v>18</v>
          </cell>
          <cell r="Z1085">
            <v>0</v>
          </cell>
        </row>
        <row r="1086">
          <cell r="A1086">
            <v>9322113</v>
          </cell>
          <cell r="B1086" t="str">
            <v>玫瑰之舞第1段</v>
          </cell>
          <cell r="C1086" t="str">
            <v>玫瑰之舞第1段</v>
          </cell>
          <cell r="D1086">
            <v>3</v>
          </cell>
          <cell r="E1086">
            <v>24</v>
          </cell>
          <cell r="F1086" t="str">
            <v>第13级，共造成150.1%点伤害</v>
          </cell>
          <cell r="G1086">
            <v>1</v>
          </cell>
          <cell r="H1086">
            <v>1</v>
          </cell>
          <cell r="I1086">
            <v>13</v>
          </cell>
          <cell r="J1086">
            <v>2</v>
          </cell>
          <cell r="K1086">
            <v>150.12857142857143</v>
          </cell>
          <cell r="L1086">
            <v>0</v>
          </cell>
          <cell r="M1086">
            <v>6960</v>
          </cell>
          <cell r="N1086">
            <v>2416</v>
          </cell>
          <cell r="O1086">
            <v>2</v>
          </cell>
          <cell r="P1086">
            <v>1</v>
          </cell>
          <cell r="Q1086">
            <v>1</v>
          </cell>
          <cell r="R1086">
            <v>4</v>
          </cell>
          <cell r="S1086">
            <v>50</v>
          </cell>
          <cell r="T1086">
            <v>132.85714285714286</v>
          </cell>
          <cell r="U1086">
            <v>302</v>
          </cell>
          <cell r="V1086">
            <v>132.85714285714286</v>
          </cell>
          <cell r="W1086">
            <v>8</v>
          </cell>
          <cell r="X1086">
            <v>74</v>
          </cell>
          <cell r="Y1086">
            <v>18</v>
          </cell>
          <cell r="Z1086">
            <v>0</v>
          </cell>
        </row>
        <row r="1087">
          <cell r="A1087">
            <v>9322114</v>
          </cell>
          <cell r="B1087" t="str">
            <v>玫瑰之舞第1段</v>
          </cell>
          <cell r="C1087" t="str">
            <v>玫瑰之舞第1段</v>
          </cell>
          <cell r="D1087">
            <v>3</v>
          </cell>
          <cell r="E1087">
            <v>25</v>
          </cell>
          <cell r="F1087" t="str">
            <v>第14级，共造成151.5%点伤害</v>
          </cell>
          <cell r="G1087">
            <v>1</v>
          </cell>
          <cell r="H1087">
            <v>1</v>
          </cell>
          <cell r="I1087">
            <v>14</v>
          </cell>
          <cell r="J1087">
            <v>2</v>
          </cell>
          <cell r="K1087">
            <v>151.45714285714286</v>
          </cell>
          <cell r="L1087">
            <v>0</v>
          </cell>
          <cell r="M1087">
            <v>6880</v>
          </cell>
          <cell r="N1087">
            <v>3015</v>
          </cell>
          <cell r="O1087">
            <v>2</v>
          </cell>
          <cell r="P1087">
            <v>1</v>
          </cell>
          <cell r="Q1087">
            <v>1</v>
          </cell>
          <cell r="R1087">
            <v>4</v>
          </cell>
          <cell r="S1087">
            <v>50</v>
          </cell>
          <cell r="T1087">
            <v>132.85714285714286</v>
          </cell>
          <cell r="U1087">
            <v>335</v>
          </cell>
          <cell r="V1087">
            <v>132.85714285714286</v>
          </cell>
          <cell r="W1087">
            <v>9</v>
          </cell>
          <cell r="X1087">
            <v>83</v>
          </cell>
          <cell r="Y1087">
            <v>18</v>
          </cell>
          <cell r="Z1087">
            <v>0</v>
          </cell>
        </row>
        <row r="1088">
          <cell r="A1088">
            <v>9322115</v>
          </cell>
          <cell r="B1088" t="str">
            <v>玫瑰之舞第1段</v>
          </cell>
          <cell r="C1088" t="str">
            <v>玫瑰之舞第1段</v>
          </cell>
          <cell r="D1088">
            <v>3</v>
          </cell>
          <cell r="E1088">
            <v>27</v>
          </cell>
          <cell r="F1088" t="str">
            <v>第15级，共造成152.8%点伤害</v>
          </cell>
          <cell r="G1088">
            <v>1</v>
          </cell>
          <cell r="H1088">
            <v>1</v>
          </cell>
          <cell r="I1088">
            <v>15</v>
          </cell>
          <cell r="J1088">
            <v>2</v>
          </cell>
          <cell r="K1088">
            <v>152.78571428571428</v>
          </cell>
          <cell r="L1088">
            <v>0</v>
          </cell>
          <cell r="M1088">
            <v>6800</v>
          </cell>
          <cell r="N1088">
            <v>4060</v>
          </cell>
          <cell r="O1088">
            <v>2</v>
          </cell>
          <cell r="P1088">
            <v>1</v>
          </cell>
          <cell r="Q1088">
            <v>1</v>
          </cell>
          <cell r="R1088">
            <v>4</v>
          </cell>
          <cell r="S1088">
            <v>50</v>
          </cell>
          <cell r="T1088">
            <v>132.85714285714286</v>
          </cell>
          <cell r="U1088">
            <v>406</v>
          </cell>
          <cell r="V1088">
            <v>132.85714285714286</v>
          </cell>
          <cell r="W1088">
            <v>10</v>
          </cell>
          <cell r="X1088">
            <v>93</v>
          </cell>
          <cell r="Y1088">
            <v>18</v>
          </cell>
          <cell r="Z1088">
            <v>0</v>
          </cell>
        </row>
        <row r="1089">
          <cell r="A1089">
            <v>9322116</v>
          </cell>
          <cell r="B1089" t="str">
            <v>玫瑰之舞第1段</v>
          </cell>
          <cell r="C1089" t="str">
            <v>玫瑰之舞第1段</v>
          </cell>
          <cell r="D1089">
            <v>3</v>
          </cell>
          <cell r="E1089">
            <v>28</v>
          </cell>
          <cell r="F1089" t="str">
            <v>第16级，共造成154.1%点伤害</v>
          </cell>
          <cell r="G1089">
            <v>1</v>
          </cell>
          <cell r="H1089">
            <v>1</v>
          </cell>
          <cell r="I1089">
            <v>16</v>
          </cell>
          <cell r="J1089">
            <v>2</v>
          </cell>
          <cell r="K1089">
            <v>154.11428571428573</v>
          </cell>
          <cell r="L1089">
            <v>0</v>
          </cell>
          <cell r="M1089">
            <v>6720</v>
          </cell>
          <cell r="N1089">
            <v>4430</v>
          </cell>
          <cell r="O1089">
            <v>2</v>
          </cell>
          <cell r="P1089">
            <v>1</v>
          </cell>
          <cell r="Q1089">
            <v>1</v>
          </cell>
          <cell r="R1089">
            <v>4</v>
          </cell>
          <cell r="S1089">
            <v>50</v>
          </cell>
          <cell r="T1089">
            <v>132.85714285714286</v>
          </cell>
          <cell r="U1089">
            <v>443</v>
          </cell>
          <cell r="V1089">
            <v>132.85714285714286</v>
          </cell>
          <cell r="W1089">
            <v>10</v>
          </cell>
          <cell r="X1089">
            <v>103</v>
          </cell>
          <cell r="Y1089">
            <v>18</v>
          </cell>
          <cell r="Z1089">
            <v>0</v>
          </cell>
        </row>
        <row r="1090">
          <cell r="A1090">
            <v>9322117</v>
          </cell>
          <cell r="B1090" t="str">
            <v>玫瑰之舞第1段</v>
          </cell>
          <cell r="C1090" t="str">
            <v>玫瑰之舞第1段</v>
          </cell>
          <cell r="D1090">
            <v>3</v>
          </cell>
          <cell r="E1090">
            <v>30</v>
          </cell>
          <cell r="F1090" t="str">
            <v>第17级，共造成155.4%点伤害</v>
          </cell>
          <cell r="G1090">
            <v>1</v>
          </cell>
          <cell r="H1090">
            <v>1</v>
          </cell>
          <cell r="I1090">
            <v>17</v>
          </cell>
          <cell r="J1090">
            <v>2</v>
          </cell>
          <cell r="K1090">
            <v>155.44285714285715</v>
          </cell>
          <cell r="L1090">
            <v>0</v>
          </cell>
          <cell r="M1090">
            <v>6640</v>
          </cell>
          <cell r="N1090">
            <v>5742</v>
          </cell>
          <cell r="O1090">
            <v>2</v>
          </cell>
          <cell r="P1090">
            <v>1</v>
          </cell>
          <cell r="Q1090">
            <v>1</v>
          </cell>
          <cell r="R1090">
            <v>4</v>
          </cell>
          <cell r="S1090">
            <v>50</v>
          </cell>
          <cell r="T1090">
            <v>132.85714285714286</v>
          </cell>
          <cell r="U1090">
            <v>522</v>
          </cell>
          <cell r="V1090">
            <v>132.85714285714286</v>
          </cell>
          <cell r="W1090">
            <v>11</v>
          </cell>
          <cell r="X1090">
            <v>114</v>
          </cell>
          <cell r="Y1090">
            <v>18</v>
          </cell>
          <cell r="Z1090">
            <v>0</v>
          </cell>
        </row>
        <row r="1091">
          <cell r="A1091">
            <v>9322118</v>
          </cell>
          <cell r="B1091" t="str">
            <v>玫瑰之舞第1段</v>
          </cell>
          <cell r="C1091" t="str">
            <v>玫瑰之舞第1段</v>
          </cell>
          <cell r="D1091">
            <v>3</v>
          </cell>
          <cell r="E1091">
            <v>31</v>
          </cell>
          <cell r="F1091" t="str">
            <v>第18级，共造成156.8%点伤害</v>
          </cell>
          <cell r="G1091">
            <v>1</v>
          </cell>
          <cell r="H1091">
            <v>1</v>
          </cell>
          <cell r="I1091">
            <v>18</v>
          </cell>
          <cell r="J1091">
            <v>2</v>
          </cell>
          <cell r="K1091">
            <v>156.77142857142857</v>
          </cell>
          <cell r="L1091">
            <v>0</v>
          </cell>
          <cell r="M1091">
            <v>6560</v>
          </cell>
          <cell r="N1091">
            <v>6756</v>
          </cell>
          <cell r="O1091">
            <v>2</v>
          </cell>
          <cell r="P1091">
            <v>1</v>
          </cell>
          <cell r="Q1091">
            <v>1</v>
          </cell>
          <cell r="R1091">
            <v>4</v>
          </cell>
          <cell r="S1091">
            <v>50</v>
          </cell>
          <cell r="T1091">
            <v>132.85714285714286</v>
          </cell>
          <cell r="U1091">
            <v>563</v>
          </cell>
          <cell r="V1091">
            <v>132.85714285714286</v>
          </cell>
          <cell r="W1091">
            <v>12</v>
          </cell>
          <cell r="X1091">
            <v>126</v>
          </cell>
          <cell r="Y1091">
            <v>18</v>
          </cell>
          <cell r="Z1091">
            <v>5</v>
          </cell>
        </row>
        <row r="1092">
          <cell r="A1092">
            <v>9322119</v>
          </cell>
          <cell r="B1092" t="str">
            <v>玫瑰之舞第1段</v>
          </cell>
          <cell r="C1092" t="str">
            <v>玫瑰之舞第1段</v>
          </cell>
          <cell r="D1092">
            <v>3</v>
          </cell>
          <cell r="E1092">
            <v>33</v>
          </cell>
          <cell r="F1092" t="str">
            <v>第19级，共造成158.1%点伤害</v>
          </cell>
          <cell r="G1092">
            <v>1</v>
          </cell>
          <cell r="H1092">
            <v>1</v>
          </cell>
          <cell r="I1092">
            <v>19</v>
          </cell>
          <cell r="J1092">
            <v>2</v>
          </cell>
          <cell r="K1092">
            <v>158.1</v>
          </cell>
          <cell r="L1092">
            <v>0</v>
          </cell>
          <cell r="M1092">
            <v>6480</v>
          </cell>
          <cell r="N1092">
            <v>8463</v>
          </cell>
          <cell r="O1092">
            <v>2</v>
          </cell>
          <cell r="P1092">
            <v>1</v>
          </cell>
          <cell r="Q1092">
            <v>1</v>
          </cell>
          <cell r="R1092">
            <v>4</v>
          </cell>
          <cell r="S1092">
            <v>50</v>
          </cell>
          <cell r="T1092">
            <v>132.85714285714286</v>
          </cell>
          <cell r="U1092">
            <v>651</v>
          </cell>
          <cell r="V1092">
            <v>132.85714285714286</v>
          </cell>
          <cell r="W1092">
            <v>13</v>
          </cell>
          <cell r="X1092">
            <v>139</v>
          </cell>
          <cell r="Y1092">
            <v>18</v>
          </cell>
          <cell r="Z1092">
            <v>6</v>
          </cell>
        </row>
        <row r="1093">
          <cell r="A1093">
            <v>9322120</v>
          </cell>
          <cell r="B1093" t="str">
            <v>玫瑰之舞第1段</v>
          </cell>
          <cell r="C1093" t="str">
            <v>玫瑰之舞第1段</v>
          </cell>
          <cell r="D1093">
            <v>3</v>
          </cell>
          <cell r="E1093">
            <v>34</v>
          </cell>
          <cell r="F1093" t="str">
            <v>第20级，共造成159.4%点伤害</v>
          </cell>
          <cell r="G1093">
            <v>1</v>
          </cell>
          <cell r="H1093">
            <v>1</v>
          </cell>
          <cell r="I1093">
            <v>20</v>
          </cell>
          <cell r="J1093">
            <v>2</v>
          </cell>
          <cell r="K1093">
            <v>159.42857142857144</v>
          </cell>
          <cell r="L1093">
            <v>0</v>
          </cell>
          <cell r="M1093">
            <v>6400</v>
          </cell>
          <cell r="N1093">
            <v>9048</v>
          </cell>
          <cell r="O1093">
            <v>2</v>
          </cell>
          <cell r="P1093">
            <v>1</v>
          </cell>
          <cell r="Q1093">
            <v>1</v>
          </cell>
          <cell r="R1093">
            <v>4</v>
          </cell>
          <cell r="S1093">
            <v>50</v>
          </cell>
          <cell r="T1093">
            <v>132.85714285714286</v>
          </cell>
          <cell r="U1093">
            <v>696</v>
          </cell>
          <cell r="V1093">
            <v>132.85714285714286</v>
          </cell>
          <cell r="W1093">
            <v>13</v>
          </cell>
          <cell r="X1093">
            <v>152</v>
          </cell>
          <cell r="Y1093">
            <v>18</v>
          </cell>
          <cell r="Z1093">
            <v>6</v>
          </cell>
        </row>
        <row r="1094">
          <cell r="A1094">
            <v>9322121</v>
          </cell>
          <cell r="B1094" t="str">
            <v>玫瑰之舞第1段</v>
          </cell>
          <cell r="C1094" t="str">
            <v>玫瑰之舞第1段</v>
          </cell>
          <cell r="D1094">
            <v>3</v>
          </cell>
          <cell r="E1094">
            <v>36</v>
          </cell>
          <cell r="F1094" t="str">
            <v>第21级，共造成160.8%点伤害</v>
          </cell>
          <cell r="G1094">
            <v>1</v>
          </cell>
          <cell r="H1094">
            <v>1</v>
          </cell>
          <cell r="I1094">
            <v>21</v>
          </cell>
          <cell r="J1094">
            <v>2</v>
          </cell>
          <cell r="K1094">
            <v>160.75714285714287</v>
          </cell>
          <cell r="L1094">
            <v>0</v>
          </cell>
          <cell r="M1094">
            <v>6320</v>
          </cell>
          <cell r="N1094">
            <v>11074</v>
          </cell>
          <cell r="O1094">
            <v>2</v>
          </cell>
          <cell r="P1094">
            <v>1</v>
          </cell>
          <cell r="Q1094">
            <v>1</v>
          </cell>
          <cell r="R1094">
            <v>4</v>
          </cell>
          <cell r="S1094">
            <v>50</v>
          </cell>
          <cell r="T1094">
            <v>132.85714285714286</v>
          </cell>
          <cell r="U1094">
            <v>791</v>
          </cell>
          <cell r="V1094">
            <v>132.85714285714286</v>
          </cell>
          <cell r="W1094">
            <v>14</v>
          </cell>
          <cell r="X1094">
            <v>166</v>
          </cell>
          <cell r="Y1094">
            <v>18</v>
          </cell>
          <cell r="Z1094">
            <v>6</v>
          </cell>
        </row>
        <row r="1095">
          <cell r="A1095">
            <v>9322122</v>
          </cell>
          <cell r="B1095" t="str">
            <v>玫瑰之舞第1段</v>
          </cell>
          <cell r="C1095" t="str">
            <v>玫瑰之舞第1段</v>
          </cell>
          <cell r="D1095">
            <v>3</v>
          </cell>
          <cell r="E1095">
            <v>37</v>
          </cell>
          <cell r="F1095" t="str">
            <v>第22级，共造成162.1%点伤害</v>
          </cell>
          <cell r="G1095">
            <v>1</v>
          </cell>
          <cell r="H1095">
            <v>1</v>
          </cell>
          <cell r="I1095">
            <v>22</v>
          </cell>
          <cell r="J1095">
            <v>2</v>
          </cell>
          <cell r="K1095">
            <v>162.08571428571429</v>
          </cell>
          <cell r="L1095">
            <v>0</v>
          </cell>
          <cell r="M1095">
            <v>6240</v>
          </cell>
          <cell r="N1095">
            <v>12615</v>
          </cell>
          <cell r="O1095">
            <v>2</v>
          </cell>
          <cell r="P1095">
            <v>1</v>
          </cell>
          <cell r="Q1095">
            <v>1</v>
          </cell>
          <cell r="R1095">
            <v>4</v>
          </cell>
          <cell r="S1095">
            <v>50</v>
          </cell>
          <cell r="T1095">
            <v>132.85714285714286</v>
          </cell>
          <cell r="U1095">
            <v>841</v>
          </cell>
          <cell r="V1095">
            <v>132.85714285714286</v>
          </cell>
          <cell r="W1095">
            <v>15</v>
          </cell>
          <cell r="X1095">
            <v>181</v>
          </cell>
          <cell r="Y1095">
            <v>18</v>
          </cell>
          <cell r="Z1095">
            <v>6</v>
          </cell>
        </row>
        <row r="1096">
          <cell r="A1096">
            <v>9322123</v>
          </cell>
          <cell r="B1096" t="str">
            <v>玫瑰之舞第1段</v>
          </cell>
          <cell r="C1096" t="str">
            <v>玫瑰之舞第1段</v>
          </cell>
          <cell r="D1096">
            <v>3</v>
          </cell>
          <cell r="E1096">
            <v>39</v>
          </cell>
          <cell r="F1096" t="str">
            <v>第23级，共造成163.4%点伤害</v>
          </cell>
          <cell r="G1096">
            <v>1</v>
          </cell>
          <cell r="H1096">
            <v>1</v>
          </cell>
          <cell r="I1096">
            <v>23</v>
          </cell>
          <cell r="J1096">
            <v>2</v>
          </cell>
          <cell r="K1096">
            <v>163.41428571428571</v>
          </cell>
          <cell r="L1096">
            <v>0</v>
          </cell>
          <cell r="M1096">
            <v>6160</v>
          </cell>
          <cell r="N1096">
            <v>15104</v>
          </cell>
          <cell r="O1096">
            <v>2</v>
          </cell>
          <cell r="P1096">
            <v>1</v>
          </cell>
          <cell r="Q1096">
            <v>1</v>
          </cell>
          <cell r="R1096">
            <v>4</v>
          </cell>
          <cell r="S1096">
            <v>50</v>
          </cell>
          <cell r="T1096">
            <v>132.85714285714286</v>
          </cell>
          <cell r="U1096">
            <v>944</v>
          </cell>
          <cell r="V1096">
            <v>132.85714285714286</v>
          </cell>
          <cell r="W1096">
            <v>16</v>
          </cell>
          <cell r="X1096">
            <v>197</v>
          </cell>
          <cell r="Y1096">
            <v>18</v>
          </cell>
          <cell r="Z1096">
            <v>7</v>
          </cell>
        </row>
        <row r="1097">
          <cell r="A1097">
            <v>9322124</v>
          </cell>
          <cell r="B1097" t="str">
            <v>玫瑰之舞第1段</v>
          </cell>
          <cell r="C1097" t="str">
            <v>玫瑰之舞第1段</v>
          </cell>
          <cell r="D1097">
            <v>3</v>
          </cell>
          <cell r="E1097">
            <v>40</v>
          </cell>
          <cell r="F1097" t="str">
            <v>第24级，共造成164.7%点伤害</v>
          </cell>
          <cell r="G1097">
            <v>1</v>
          </cell>
          <cell r="H1097">
            <v>1</v>
          </cell>
          <cell r="I1097">
            <v>24</v>
          </cell>
          <cell r="J1097">
            <v>2</v>
          </cell>
          <cell r="K1097">
            <v>164.74285714285713</v>
          </cell>
          <cell r="L1097">
            <v>0</v>
          </cell>
          <cell r="M1097">
            <v>6080</v>
          </cell>
          <cell r="N1097">
            <v>16966</v>
          </cell>
          <cell r="O1097">
            <v>2</v>
          </cell>
          <cell r="P1097">
            <v>1</v>
          </cell>
          <cell r="Q1097">
            <v>1</v>
          </cell>
          <cell r="R1097">
            <v>4</v>
          </cell>
          <cell r="S1097">
            <v>50</v>
          </cell>
          <cell r="T1097">
            <v>132.85714285714286</v>
          </cell>
          <cell r="U1097">
            <v>998</v>
          </cell>
          <cell r="V1097">
            <v>132.85714285714286</v>
          </cell>
          <cell r="W1097">
            <v>17</v>
          </cell>
          <cell r="X1097">
            <v>214</v>
          </cell>
          <cell r="Y1097">
            <v>18</v>
          </cell>
          <cell r="Z1097">
            <v>7</v>
          </cell>
        </row>
        <row r="1098">
          <cell r="A1098">
            <v>9322125</v>
          </cell>
          <cell r="B1098" t="str">
            <v>玫瑰之舞第1段</v>
          </cell>
          <cell r="C1098" t="str">
            <v>玫瑰之舞第1段</v>
          </cell>
          <cell r="D1098">
            <v>3</v>
          </cell>
          <cell r="E1098">
            <v>42</v>
          </cell>
          <cell r="F1098" t="str">
            <v>第25级，共造成166.1%点伤害</v>
          </cell>
          <cell r="G1098">
            <v>1</v>
          </cell>
          <cell r="H1098">
            <v>1</v>
          </cell>
          <cell r="I1098">
            <v>25</v>
          </cell>
          <cell r="J1098">
            <v>2</v>
          </cell>
          <cell r="K1098">
            <v>166.07142857142858</v>
          </cell>
          <cell r="L1098">
            <v>0</v>
          </cell>
          <cell r="M1098">
            <v>6000</v>
          </cell>
          <cell r="N1098">
            <v>21090</v>
          </cell>
          <cell r="O1098">
            <v>2</v>
          </cell>
          <cell r="P1098">
            <v>1</v>
          </cell>
          <cell r="Q1098">
            <v>1</v>
          </cell>
          <cell r="R1098">
            <v>4</v>
          </cell>
          <cell r="S1098">
            <v>50</v>
          </cell>
          <cell r="T1098">
            <v>132.85714285714286</v>
          </cell>
          <cell r="U1098">
            <v>1110</v>
          </cell>
          <cell r="V1098">
            <v>132.85714285714286</v>
          </cell>
          <cell r="W1098">
            <v>19</v>
          </cell>
          <cell r="X1098">
            <v>233</v>
          </cell>
          <cell r="Y1098">
            <v>18</v>
          </cell>
          <cell r="Z1098">
            <v>8</v>
          </cell>
        </row>
        <row r="1099">
          <cell r="A1099">
            <v>9322126</v>
          </cell>
          <cell r="B1099" t="str">
            <v>玫瑰之舞第1段</v>
          </cell>
          <cell r="C1099" t="str">
            <v>玫瑰之舞第1段</v>
          </cell>
          <cell r="D1099">
            <v>3</v>
          </cell>
          <cell r="E1099">
            <v>44</v>
          </cell>
          <cell r="F1099" t="str">
            <v>第26级，共造成167.4%点伤害</v>
          </cell>
          <cell r="G1099">
            <v>1</v>
          </cell>
          <cell r="H1099">
            <v>1</v>
          </cell>
          <cell r="I1099">
            <v>26</v>
          </cell>
          <cell r="J1099">
            <v>2</v>
          </cell>
          <cell r="K1099">
            <v>167.4</v>
          </cell>
          <cell r="L1099">
            <v>0</v>
          </cell>
          <cell r="M1099">
            <v>5920</v>
          </cell>
          <cell r="N1099">
            <v>24520</v>
          </cell>
          <cell r="O1099">
            <v>2</v>
          </cell>
          <cell r="P1099">
            <v>1</v>
          </cell>
          <cell r="Q1099">
            <v>1</v>
          </cell>
          <cell r="R1099">
            <v>4</v>
          </cell>
          <cell r="S1099">
            <v>50</v>
          </cell>
          <cell r="T1099">
            <v>132.85714285714286</v>
          </cell>
          <cell r="U1099">
            <v>1226</v>
          </cell>
          <cell r="V1099">
            <v>132.85714285714286</v>
          </cell>
          <cell r="W1099">
            <v>20</v>
          </cell>
          <cell r="X1099">
            <v>253</v>
          </cell>
          <cell r="Y1099">
            <v>18</v>
          </cell>
          <cell r="Z1099">
            <v>8</v>
          </cell>
        </row>
        <row r="1100">
          <cell r="A1100">
            <v>9322127</v>
          </cell>
          <cell r="B1100" t="str">
            <v>玫瑰之舞第1段</v>
          </cell>
          <cell r="C1100" t="str">
            <v>玫瑰之舞第1段</v>
          </cell>
          <cell r="D1100">
            <v>3</v>
          </cell>
          <cell r="E1100">
            <v>45</v>
          </cell>
          <cell r="F1100" t="str">
            <v>第27级，共造成168.7%点伤害</v>
          </cell>
          <cell r="G1100">
            <v>1</v>
          </cell>
          <cell r="H1100">
            <v>1</v>
          </cell>
          <cell r="I1100">
            <v>27</v>
          </cell>
          <cell r="J1100">
            <v>2</v>
          </cell>
          <cell r="K1100">
            <v>168.72857142857143</v>
          </cell>
          <cell r="L1100">
            <v>0</v>
          </cell>
          <cell r="M1100">
            <v>5840</v>
          </cell>
          <cell r="N1100">
            <v>27027</v>
          </cell>
          <cell r="O1100">
            <v>2</v>
          </cell>
          <cell r="P1100">
            <v>1</v>
          </cell>
          <cell r="Q1100">
            <v>1</v>
          </cell>
          <cell r="R1100">
            <v>4</v>
          </cell>
          <cell r="S1100">
            <v>50</v>
          </cell>
          <cell r="T1100">
            <v>132.85714285714286</v>
          </cell>
          <cell r="U1100">
            <v>1287</v>
          </cell>
          <cell r="V1100">
            <v>132.85714285714286</v>
          </cell>
          <cell r="W1100">
            <v>21</v>
          </cell>
          <cell r="X1100">
            <v>274</v>
          </cell>
          <cell r="Y1100">
            <v>18</v>
          </cell>
          <cell r="Z1100">
            <v>9</v>
          </cell>
        </row>
        <row r="1101">
          <cell r="A1101">
            <v>9322128</v>
          </cell>
          <cell r="B1101" t="str">
            <v>玫瑰之舞第1段</v>
          </cell>
          <cell r="C1101" t="str">
            <v>玫瑰之舞第1段</v>
          </cell>
          <cell r="D1101">
            <v>3</v>
          </cell>
          <cell r="E1101">
            <v>47</v>
          </cell>
          <cell r="F1101" t="str">
            <v>第28级，共造成170.1%点伤害</v>
          </cell>
          <cell r="G1101">
            <v>1</v>
          </cell>
          <cell r="H1101">
            <v>1</v>
          </cell>
          <cell r="I1101">
            <v>28</v>
          </cell>
          <cell r="J1101">
            <v>2</v>
          </cell>
          <cell r="K1101">
            <v>170.05714285714285</v>
          </cell>
          <cell r="L1101">
            <v>0</v>
          </cell>
          <cell r="M1101">
            <v>5760</v>
          </cell>
          <cell r="N1101">
            <v>32476</v>
          </cell>
          <cell r="O1101">
            <v>2</v>
          </cell>
          <cell r="P1101">
            <v>1</v>
          </cell>
          <cell r="Q1101">
            <v>1</v>
          </cell>
          <cell r="R1101">
            <v>4</v>
          </cell>
          <cell r="S1101">
            <v>50</v>
          </cell>
          <cell r="T1101">
            <v>132.85714285714286</v>
          </cell>
          <cell r="U1101">
            <v>1412</v>
          </cell>
          <cell r="V1101">
            <v>132.85714285714286</v>
          </cell>
          <cell r="W1101">
            <v>23</v>
          </cell>
          <cell r="X1101">
            <v>297</v>
          </cell>
          <cell r="Y1101">
            <v>18</v>
          </cell>
          <cell r="Z1101">
            <v>10</v>
          </cell>
        </row>
        <row r="1102">
          <cell r="A1102">
            <v>9322129</v>
          </cell>
          <cell r="B1102" t="str">
            <v>玫瑰之舞第1段</v>
          </cell>
          <cell r="C1102" t="str">
            <v>玫瑰之舞第1段</v>
          </cell>
          <cell r="D1102">
            <v>3</v>
          </cell>
          <cell r="E1102">
            <v>48</v>
          </cell>
          <cell r="F1102" t="str">
            <v>第29级，共造成171.4%点伤害</v>
          </cell>
          <cell r="G1102">
            <v>1</v>
          </cell>
          <cell r="H1102">
            <v>1</v>
          </cell>
          <cell r="I1102">
            <v>29</v>
          </cell>
          <cell r="J1102">
            <v>2</v>
          </cell>
          <cell r="K1102">
            <v>171.3857142857143</v>
          </cell>
          <cell r="L1102">
            <v>0</v>
          </cell>
          <cell r="M1102">
            <v>5680</v>
          </cell>
          <cell r="N1102">
            <v>36925</v>
          </cell>
          <cell r="O1102">
            <v>2</v>
          </cell>
          <cell r="P1102">
            <v>1</v>
          </cell>
          <cell r="Q1102">
            <v>1</v>
          </cell>
          <cell r="R1102">
            <v>4</v>
          </cell>
          <cell r="S1102">
            <v>50</v>
          </cell>
          <cell r="T1102">
            <v>132.85714285714286</v>
          </cell>
          <cell r="U1102">
            <v>1477</v>
          </cell>
          <cell r="V1102">
            <v>132.85714285714286</v>
          </cell>
          <cell r="W1102">
            <v>25</v>
          </cell>
          <cell r="X1102">
            <v>322</v>
          </cell>
          <cell r="Y1102">
            <v>18</v>
          </cell>
          <cell r="Z1102">
            <v>10</v>
          </cell>
        </row>
        <row r="1103">
          <cell r="A1103">
            <v>9322130</v>
          </cell>
          <cell r="B1103" t="str">
            <v>玫瑰之舞第1段</v>
          </cell>
          <cell r="C1103" t="str">
            <v>玫瑰之舞第1段</v>
          </cell>
          <cell r="D1103">
            <v>3</v>
          </cell>
          <cell r="E1103">
            <v>50</v>
          </cell>
          <cell r="F1103" t="str">
            <v>第30级，共造成172.7%点伤害</v>
          </cell>
          <cell r="G1103">
            <v>1</v>
          </cell>
          <cell r="H1103">
            <v>1</v>
          </cell>
          <cell r="I1103">
            <v>30</v>
          </cell>
          <cell r="J1103">
            <v>2</v>
          </cell>
          <cell r="K1103">
            <v>172.71428571428572</v>
          </cell>
          <cell r="L1103">
            <v>0</v>
          </cell>
          <cell r="M1103">
            <v>5600</v>
          </cell>
          <cell r="N1103">
            <v>41860</v>
          </cell>
          <cell r="O1103">
            <v>2</v>
          </cell>
          <cell r="P1103">
            <v>1</v>
          </cell>
          <cell r="Q1103">
            <v>1</v>
          </cell>
          <cell r="R1103">
            <v>4</v>
          </cell>
          <cell r="S1103">
            <v>50</v>
          </cell>
          <cell r="T1103">
            <v>132.85714285714286</v>
          </cell>
          <cell r="U1103">
            <v>1610</v>
          </cell>
          <cell r="V1103">
            <v>132.85714285714286</v>
          </cell>
          <cell r="W1103">
            <v>26</v>
          </cell>
          <cell r="X1103">
            <v>348</v>
          </cell>
          <cell r="Y1103">
            <v>18</v>
          </cell>
          <cell r="Z1103">
            <v>11</v>
          </cell>
        </row>
        <row r="1104">
          <cell r="A1104">
            <v>9322131</v>
          </cell>
          <cell r="B1104" t="str">
            <v>玫瑰之舞第1段</v>
          </cell>
          <cell r="C1104" t="str">
            <v>玫瑰之舞第1段</v>
          </cell>
          <cell r="D1104">
            <v>3</v>
          </cell>
          <cell r="E1104">
            <v>51</v>
          </cell>
          <cell r="F1104" t="str">
            <v>第31级，共造成174%点伤害</v>
          </cell>
          <cell r="G1104">
            <v>1</v>
          </cell>
          <cell r="H1104">
            <v>1</v>
          </cell>
          <cell r="I1104">
            <v>31</v>
          </cell>
          <cell r="J1104">
            <v>2</v>
          </cell>
          <cell r="K1104">
            <v>174.04285714285714</v>
          </cell>
          <cell r="L1104">
            <v>0</v>
          </cell>
          <cell r="M1104">
            <v>5520</v>
          </cell>
          <cell r="N1104">
            <v>47012</v>
          </cell>
          <cell r="O1104">
            <v>2</v>
          </cell>
          <cell r="P1104">
            <v>1</v>
          </cell>
          <cell r="Q1104">
            <v>1</v>
          </cell>
          <cell r="R1104">
            <v>4</v>
          </cell>
          <cell r="S1104">
            <v>50</v>
          </cell>
          <cell r="T1104">
            <v>132.85714285714286</v>
          </cell>
          <cell r="U1104">
            <v>1679</v>
          </cell>
          <cell r="V1104">
            <v>132.85714285714286</v>
          </cell>
          <cell r="W1104">
            <v>28</v>
          </cell>
          <cell r="X1104">
            <v>376</v>
          </cell>
          <cell r="Y1104">
            <v>18</v>
          </cell>
          <cell r="Z1104">
            <v>12</v>
          </cell>
        </row>
        <row r="1105">
          <cell r="A1105">
            <v>9322132</v>
          </cell>
          <cell r="B1105" t="str">
            <v>玫瑰之舞第1段</v>
          </cell>
          <cell r="C1105" t="str">
            <v>玫瑰之舞第1段</v>
          </cell>
          <cell r="D1105">
            <v>3</v>
          </cell>
          <cell r="E1105">
            <v>53</v>
          </cell>
          <cell r="F1105" t="str">
            <v>第32级，共造成175.4%点伤害</v>
          </cell>
          <cell r="G1105">
            <v>1</v>
          </cell>
          <cell r="H1105">
            <v>1</v>
          </cell>
          <cell r="I1105">
            <v>32</v>
          </cell>
          <cell r="J1105">
            <v>2</v>
          </cell>
          <cell r="K1105">
            <v>175.37142857142857</v>
          </cell>
          <cell r="L1105">
            <v>0</v>
          </cell>
          <cell r="M1105">
            <v>5440</v>
          </cell>
          <cell r="N1105">
            <v>54600</v>
          </cell>
          <cell r="O1105">
            <v>2</v>
          </cell>
          <cell r="P1105">
            <v>1</v>
          </cell>
          <cell r="Q1105">
            <v>1</v>
          </cell>
          <cell r="R1105">
            <v>4</v>
          </cell>
          <cell r="S1105">
            <v>50</v>
          </cell>
          <cell r="T1105">
            <v>132.85714285714286</v>
          </cell>
          <cell r="U1105">
            <v>1820</v>
          </cell>
          <cell r="V1105">
            <v>132.85714285714286</v>
          </cell>
          <cell r="W1105">
            <v>30</v>
          </cell>
          <cell r="X1105">
            <v>406</v>
          </cell>
          <cell r="Y1105">
            <v>18</v>
          </cell>
          <cell r="Z1105">
            <v>12</v>
          </cell>
        </row>
        <row r="1106">
          <cell r="A1106">
            <v>9322133</v>
          </cell>
          <cell r="B1106" t="str">
            <v>玫瑰之舞第1段</v>
          </cell>
          <cell r="C1106" t="str">
            <v>玫瑰之舞第1段</v>
          </cell>
          <cell r="D1106">
            <v>3</v>
          </cell>
          <cell r="E1106">
            <v>54</v>
          </cell>
          <cell r="F1106" t="str">
            <v>第33级，共造成176.7%点伤害</v>
          </cell>
          <cell r="G1106">
            <v>1</v>
          </cell>
          <cell r="H1106">
            <v>1</v>
          </cell>
          <cell r="I1106">
            <v>33</v>
          </cell>
          <cell r="J1106">
            <v>2</v>
          </cell>
          <cell r="K1106">
            <v>176.7</v>
          </cell>
          <cell r="L1106">
            <v>0</v>
          </cell>
          <cell r="M1106">
            <v>5360</v>
          </cell>
          <cell r="N1106">
            <v>60576</v>
          </cell>
          <cell r="O1106">
            <v>2</v>
          </cell>
          <cell r="P1106">
            <v>1</v>
          </cell>
          <cell r="Q1106">
            <v>1</v>
          </cell>
          <cell r="R1106">
            <v>4</v>
          </cell>
          <cell r="S1106">
            <v>50</v>
          </cell>
          <cell r="T1106">
            <v>132.85714285714286</v>
          </cell>
          <cell r="U1106">
            <v>1893</v>
          </cell>
          <cell r="V1106">
            <v>132.85714285714286</v>
          </cell>
          <cell r="W1106">
            <v>32</v>
          </cell>
          <cell r="X1106">
            <v>438</v>
          </cell>
          <cell r="Y1106">
            <v>18</v>
          </cell>
          <cell r="Z1106">
            <v>13</v>
          </cell>
        </row>
        <row r="1107">
          <cell r="A1107">
            <v>9322134</v>
          </cell>
          <cell r="B1107" t="str">
            <v>玫瑰之舞第1段</v>
          </cell>
          <cell r="C1107" t="str">
            <v>玫瑰之舞第1段</v>
          </cell>
          <cell r="D1107">
            <v>3</v>
          </cell>
          <cell r="E1107">
            <v>56</v>
          </cell>
          <cell r="F1107" t="str">
            <v>第34级，共造成178%点伤害</v>
          </cell>
          <cell r="G1107">
            <v>1</v>
          </cell>
          <cell r="H1107">
            <v>1</v>
          </cell>
          <cell r="I1107">
            <v>34</v>
          </cell>
          <cell r="J1107">
            <v>2</v>
          </cell>
          <cell r="K1107">
            <v>178.02857142857144</v>
          </cell>
          <cell r="L1107">
            <v>0</v>
          </cell>
          <cell r="M1107">
            <v>5280</v>
          </cell>
          <cell r="N1107">
            <v>69428</v>
          </cell>
          <cell r="O1107">
            <v>2</v>
          </cell>
          <cell r="P1107">
            <v>1</v>
          </cell>
          <cell r="Q1107">
            <v>1</v>
          </cell>
          <cell r="R1107">
            <v>4</v>
          </cell>
          <cell r="S1107">
            <v>50</v>
          </cell>
          <cell r="T1107">
            <v>132.85714285714286</v>
          </cell>
          <cell r="U1107">
            <v>2042</v>
          </cell>
          <cell r="V1107">
            <v>132.85714285714286</v>
          </cell>
          <cell r="W1107">
            <v>34</v>
          </cell>
          <cell r="X1107">
            <v>472</v>
          </cell>
          <cell r="Y1107">
            <v>18</v>
          </cell>
          <cell r="Z1107">
            <v>14</v>
          </cell>
        </row>
        <row r="1108">
          <cell r="A1108">
            <v>9322135</v>
          </cell>
          <cell r="B1108" t="str">
            <v>玫瑰之舞第1段</v>
          </cell>
          <cell r="C1108" t="str">
            <v>玫瑰之舞第1段</v>
          </cell>
          <cell r="D1108">
            <v>3</v>
          </cell>
          <cell r="E1108">
            <v>57</v>
          </cell>
          <cell r="F1108" t="str">
            <v>第35级，共造成179.4%点伤害</v>
          </cell>
          <cell r="G1108">
            <v>1</v>
          </cell>
          <cell r="H1108">
            <v>1</v>
          </cell>
          <cell r="I1108">
            <v>35</v>
          </cell>
          <cell r="J1108">
            <v>2</v>
          </cell>
          <cell r="K1108">
            <v>179.35714285714286</v>
          </cell>
          <cell r="L1108">
            <v>0</v>
          </cell>
          <cell r="M1108">
            <v>5200</v>
          </cell>
          <cell r="N1108">
            <v>76284</v>
          </cell>
          <cell r="O1108">
            <v>2</v>
          </cell>
          <cell r="P1108">
            <v>1</v>
          </cell>
          <cell r="Q1108">
            <v>1</v>
          </cell>
          <cell r="R1108">
            <v>4</v>
          </cell>
          <cell r="S1108">
            <v>50</v>
          </cell>
          <cell r="T1108">
            <v>132.85714285714286</v>
          </cell>
          <cell r="U1108">
            <v>2119</v>
          </cell>
          <cell r="V1108">
            <v>132.85714285714286</v>
          </cell>
          <cell r="W1108">
            <v>36</v>
          </cell>
          <cell r="X1108">
            <v>508</v>
          </cell>
          <cell r="Y1108">
            <v>18</v>
          </cell>
          <cell r="Z1108">
            <v>15</v>
          </cell>
        </row>
        <row r="1109">
          <cell r="A1109">
            <v>9322136</v>
          </cell>
          <cell r="B1109" t="str">
            <v>玫瑰之舞第1段</v>
          </cell>
          <cell r="C1109" t="str">
            <v>玫瑰之舞第1段</v>
          </cell>
          <cell r="D1109">
            <v>3</v>
          </cell>
          <cell r="E1109">
            <v>59</v>
          </cell>
          <cell r="F1109" t="str">
            <v>第36级，共造成180.7%点伤害</v>
          </cell>
          <cell r="G1109">
            <v>1</v>
          </cell>
          <cell r="H1109">
            <v>1</v>
          </cell>
          <cell r="I1109">
            <v>36</v>
          </cell>
          <cell r="J1109">
            <v>2</v>
          </cell>
          <cell r="K1109">
            <v>180.68571428571428</v>
          </cell>
          <cell r="L1109">
            <v>0</v>
          </cell>
          <cell r="M1109">
            <v>5120</v>
          </cell>
          <cell r="N1109">
            <v>88803</v>
          </cell>
          <cell r="O1109">
            <v>2</v>
          </cell>
          <cell r="P1109">
            <v>1</v>
          </cell>
          <cell r="Q1109">
            <v>1</v>
          </cell>
          <cell r="R1109">
            <v>4</v>
          </cell>
          <cell r="S1109">
            <v>50</v>
          </cell>
          <cell r="T1109">
            <v>132.85714285714286</v>
          </cell>
          <cell r="U1109">
            <v>2277</v>
          </cell>
          <cell r="V1109">
            <v>132.85714285714286</v>
          </cell>
          <cell r="W1109">
            <v>39</v>
          </cell>
          <cell r="X1109">
            <v>547</v>
          </cell>
          <cell r="Y1109">
            <v>18</v>
          </cell>
          <cell r="Z1109">
            <v>16</v>
          </cell>
        </row>
        <row r="1110">
          <cell r="A1110">
            <v>9322137</v>
          </cell>
          <cell r="B1110" t="str">
            <v>玫瑰之舞第1段</v>
          </cell>
          <cell r="C1110" t="str">
            <v>玫瑰之舞第1段</v>
          </cell>
          <cell r="D1110">
            <v>3</v>
          </cell>
          <cell r="E1110">
            <v>60</v>
          </cell>
          <cell r="F1110" t="str">
            <v>第37级，共造成182%点伤害</v>
          </cell>
          <cell r="G1110">
            <v>1</v>
          </cell>
          <cell r="H1110">
            <v>1</v>
          </cell>
          <cell r="I1110">
            <v>37</v>
          </cell>
          <cell r="J1110">
            <v>2</v>
          </cell>
          <cell r="K1110">
            <v>182.01428571428573</v>
          </cell>
          <cell r="L1110">
            <v>0</v>
          </cell>
          <cell r="M1110">
            <v>5040</v>
          </cell>
          <cell r="N1110">
            <v>99036</v>
          </cell>
          <cell r="O1110">
            <v>2</v>
          </cell>
          <cell r="P1110">
            <v>1</v>
          </cell>
          <cell r="Q1110">
            <v>1</v>
          </cell>
          <cell r="R1110">
            <v>4</v>
          </cell>
          <cell r="S1110">
            <v>50</v>
          </cell>
          <cell r="T1110">
            <v>132.85714285714286</v>
          </cell>
          <cell r="U1110">
            <v>2358</v>
          </cell>
          <cell r="V1110">
            <v>132.85714285714286</v>
          </cell>
          <cell r="W1110">
            <v>42</v>
          </cell>
          <cell r="X1110">
            <v>589</v>
          </cell>
          <cell r="Y1110">
            <v>18</v>
          </cell>
          <cell r="Z1110">
            <v>17</v>
          </cell>
        </row>
        <row r="1111">
          <cell r="A1111">
            <v>9322138</v>
          </cell>
          <cell r="B1111" t="str">
            <v>玫瑰之舞第1段</v>
          </cell>
          <cell r="C1111" t="str">
            <v>玫瑰之舞第1段</v>
          </cell>
          <cell r="D1111">
            <v>3</v>
          </cell>
          <cell r="E1111">
            <v>62</v>
          </cell>
          <cell r="F1111" t="str">
            <v>第38级，共造成183.3%点伤害</v>
          </cell>
          <cell r="G1111">
            <v>1</v>
          </cell>
          <cell r="H1111">
            <v>1</v>
          </cell>
          <cell r="I1111">
            <v>38</v>
          </cell>
          <cell r="J1111">
            <v>2</v>
          </cell>
          <cell r="K1111">
            <v>183.34285714285716</v>
          </cell>
          <cell r="L1111">
            <v>0</v>
          </cell>
          <cell r="M1111">
            <v>4960</v>
          </cell>
          <cell r="N1111">
            <v>113580</v>
          </cell>
          <cell r="O1111">
            <v>2</v>
          </cell>
          <cell r="P1111">
            <v>1</v>
          </cell>
          <cell r="Q1111">
            <v>1</v>
          </cell>
          <cell r="R1111">
            <v>4</v>
          </cell>
          <cell r="S1111">
            <v>50</v>
          </cell>
          <cell r="T1111">
            <v>132.85714285714286</v>
          </cell>
          <cell r="U1111">
            <v>2524</v>
          </cell>
          <cell r="V1111">
            <v>132.85714285714286</v>
          </cell>
          <cell r="W1111">
            <v>45</v>
          </cell>
          <cell r="X1111">
            <v>634</v>
          </cell>
          <cell r="Y1111">
            <v>18</v>
          </cell>
          <cell r="Z1111">
            <v>18</v>
          </cell>
        </row>
        <row r="1112">
          <cell r="A1112">
            <v>9322139</v>
          </cell>
          <cell r="B1112" t="str">
            <v>玫瑰之舞第1段</v>
          </cell>
          <cell r="C1112" t="str">
            <v>玫瑰之舞第1段</v>
          </cell>
          <cell r="D1112">
            <v>3</v>
          </cell>
          <cell r="E1112">
            <v>63</v>
          </cell>
          <cell r="F1112" t="str">
            <v>第39级，共造成184.7%点伤害</v>
          </cell>
          <cell r="G1112">
            <v>1</v>
          </cell>
          <cell r="H1112">
            <v>1</v>
          </cell>
          <cell r="I1112">
            <v>39</v>
          </cell>
          <cell r="J1112">
            <v>2</v>
          </cell>
          <cell r="K1112">
            <v>184.67142857142858</v>
          </cell>
          <cell r="L1112">
            <v>0</v>
          </cell>
          <cell r="M1112">
            <v>4880</v>
          </cell>
          <cell r="N1112">
            <v>125232</v>
          </cell>
          <cell r="O1112">
            <v>2</v>
          </cell>
          <cell r="P1112">
            <v>1</v>
          </cell>
          <cell r="Q1112">
            <v>1</v>
          </cell>
          <cell r="R1112">
            <v>4</v>
          </cell>
          <cell r="S1112">
            <v>50</v>
          </cell>
          <cell r="T1112">
            <v>132.85714285714286</v>
          </cell>
          <cell r="U1112">
            <v>2609</v>
          </cell>
          <cell r="V1112">
            <v>132.85714285714286</v>
          </cell>
          <cell r="W1112">
            <v>48</v>
          </cell>
          <cell r="X1112">
            <v>682</v>
          </cell>
          <cell r="Y1112">
            <v>18</v>
          </cell>
          <cell r="Z1112">
            <v>20</v>
          </cell>
        </row>
        <row r="1113">
          <cell r="A1113">
            <v>9322140</v>
          </cell>
          <cell r="B1113" t="str">
            <v>玫瑰之舞第1段</v>
          </cell>
          <cell r="C1113" t="str">
            <v>玫瑰之舞第1段</v>
          </cell>
          <cell r="D1113">
            <v>3</v>
          </cell>
          <cell r="E1113">
            <v>65</v>
          </cell>
          <cell r="F1113" t="str">
            <v>第40级，共造成186%点伤害</v>
          </cell>
          <cell r="G1113">
            <v>1</v>
          </cell>
          <cell r="H1113">
            <v>1</v>
          </cell>
          <cell r="I1113">
            <v>40</v>
          </cell>
          <cell r="J1113">
            <v>2</v>
          </cell>
          <cell r="K1113">
            <v>186</v>
          </cell>
          <cell r="L1113">
            <v>0</v>
          </cell>
          <cell r="M1113">
            <v>4800</v>
          </cell>
          <cell r="N1113">
            <v>141933</v>
          </cell>
          <cell r="O1113">
            <v>2</v>
          </cell>
          <cell r="P1113">
            <v>1</v>
          </cell>
          <cell r="Q1113">
            <v>1</v>
          </cell>
          <cell r="R1113">
            <v>4</v>
          </cell>
          <cell r="S1113">
            <v>50</v>
          </cell>
          <cell r="T1113">
            <v>132.85714285714286</v>
          </cell>
          <cell r="U1113">
            <v>2783</v>
          </cell>
          <cell r="V1113">
            <v>132.85714285714286</v>
          </cell>
          <cell r="W1113">
            <v>51</v>
          </cell>
          <cell r="X1113">
            <v>733</v>
          </cell>
          <cell r="Y1113">
            <v>18</v>
          </cell>
          <cell r="Z1113">
            <v>21</v>
          </cell>
        </row>
        <row r="1114">
          <cell r="A1114">
            <v>9322141</v>
          </cell>
          <cell r="B1114" t="str">
            <v>玫瑰之舞第1段</v>
          </cell>
          <cell r="C1114" t="str">
            <v>玫瑰之舞第1段</v>
          </cell>
          <cell r="D1114">
            <v>3</v>
          </cell>
          <cell r="E1114">
            <v>66</v>
          </cell>
          <cell r="F1114" t="str">
            <v>第41级，共造成187.3%点伤害</v>
          </cell>
          <cell r="G1114">
            <v>1</v>
          </cell>
          <cell r="H1114">
            <v>1</v>
          </cell>
          <cell r="I1114">
            <v>41</v>
          </cell>
          <cell r="J1114">
            <v>2</v>
          </cell>
          <cell r="K1114">
            <v>187.32857142857142</v>
          </cell>
          <cell r="L1114">
            <v>0</v>
          </cell>
          <cell r="M1114">
            <v>4720</v>
          </cell>
          <cell r="N1114">
            <v>157960</v>
          </cell>
          <cell r="O1114">
            <v>2</v>
          </cell>
          <cell r="P1114">
            <v>1</v>
          </cell>
          <cell r="Q1114">
            <v>1</v>
          </cell>
          <cell r="R1114">
            <v>4</v>
          </cell>
          <cell r="S1114">
            <v>50</v>
          </cell>
          <cell r="T1114">
            <v>132.85714285714286</v>
          </cell>
          <cell r="U1114">
            <v>2872</v>
          </cell>
          <cell r="V1114">
            <v>132.85714285714286</v>
          </cell>
          <cell r="W1114">
            <v>55</v>
          </cell>
          <cell r="X1114">
            <v>788</v>
          </cell>
          <cell r="Y1114">
            <v>18</v>
          </cell>
          <cell r="Z1114">
            <v>22</v>
          </cell>
        </row>
        <row r="1115">
          <cell r="A1115">
            <v>9322142</v>
          </cell>
          <cell r="B1115" t="str">
            <v>玫瑰之舞第1段</v>
          </cell>
          <cell r="C1115" t="str">
            <v>玫瑰之舞第1段</v>
          </cell>
          <cell r="D1115">
            <v>3</v>
          </cell>
          <cell r="E1115">
            <v>68</v>
          </cell>
          <cell r="F1115" t="str">
            <v>第42级，共造成188.7%点伤害</v>
          </cell>
          <cell r="G1115">
            <v>1</v>
          </cell>
          <cell r="H1115">
            <v>1</v>
          </cell>
          <cell r="I1115">
            <v>42</v>
          </cell>
          <cell r="J1115">
            <v>2</v>
          </cell>
          <cell r="K1115">
            <v>188.65714285714284</v>
          </cell>
          <cell r="L1115">
            <v>0</v>
          </cell>
          <cell r="M1115">
            <v>4640</v>
          </cell>
          <cell r="N1115">
            <v>177132</v>
          </cell>
          <cell r="O1115">
            <v>2</v>
          </cell>
          <cell r="P1115">
            <v>1</v>
          </cell>
          <cell r="Q1115">
            <v>1</v>
          </cell>
          <cell r="R1115">
            <v>4</v>
          </cell>
          <cell r="S1115">
            <v>50</v>
          </cell>
          <cell r="T1115">
            <v>132.85714285714286</v>
          </cell>
          <cell r="U1115">
            <v>3054</v>
          </cell>
          <cell r="V1115">
            <v>132.85714285714286</v>
          </cell>
          <cell r="W1115">
            <v>58</v>
          </cell>
          <cell r="X1115">
            <v>846</v>
          </cell>
          <cell r="Y1115">
            <v>18</v>
          </cell>
          <cell r="Z1115">
            <v>24</v>
          </cell>
        </row>
        <row r="1116">
          <cell r="A1116">
            <v>9322143</v>
          </cell>
          <cell r="B1116" t="str">
            <v>玫瑰之舞第1段</v>
          </cell>
          <cell r="C1116" t="str">
            <v>玫瑰之舞第1段</v>
          </cell>
          <cell r="D1116">
            <v>3</v>
          </cell>
          <cell r="E1116">
            <v>69</v>
          </cell>
          <cell r="F1116" t="str">
            <v>第43级，共造成190%点伤害</v>
          </cell>
          <cell r="G1116">
            <v>1</v>
          </cell>
          <cell r="H1116">
            <v>1</v>
          </cell>
          <cell r="I1116">
            <v>43</v>
          </cell>
          <cell r="J1116">
            <v>2</v>
          </cell>
          <cell r="K1116">
            <v>189.98571428571429</v>
          </cell>
          <cell r="L1116">
            <v>0</v>
          </cell>
          <cell r="M1116">
            <v>4560</v>
          </cell>
          <cell r="N1116">
            <v>198261</v>
          </cell>
          <cell r="O1116">
            <v>2</v>
          </cell>
          <cell r="P1116">
            <v>1</v>
          </cell>
          <cell r="Q1116">
            <v>1</v>
          </cell>
          <cell r="R1116">
            <v>4</v>
          </cell>
          <cell r="S1116">
            <v>50</v>
          </cell>
          <cell r="T1116">
            <v>132.85714285714286</v>
          </cell>
          <cell r="U1116">
            <v>3147</v>
          </cell>
          <cell r="V1116">
            <v>132.85714285714286</v>
          </cell>
          <cell r="W1116">
            <v>63</v>
          </cell>
          <cell r="X1116">
            <v>909</v>
          </cell>
          <cell r="Y1116">
            <v>18</v>
          </cell>
          <cell r="Z1116">
            <v>26</v>
          </cell>
        </row>
        <row r="1117">
          <cell r="A1117">
            <v>9322144</v>
          </cell>
          <cell r="B1117" t="str">
            <v>玫瑰之舞第1段</v>
          </cell>
          <cell r="C1117" t="str">
            <v>玫瑰之舞第1段</v>
          </cell>
          <cell r="D1117">
            <v>3</v>
          </cell>
          <cell r="E1117">
            <v>71</v>
          </cell>
          <cell r="F1117" t="str">
            <v>第44级，共造成191.3%点伤害</v>
          </cell>
          <cell r="G1117">
            <v>1</v>
          </cell>
          <cell r="H1117">
            <v>1</v>
          </cell>
          <cell r="I1117">
            <v>44</v>
          </cell>
          <cell r="J1117">
            <v>2</v>
          </cell>
          <cell r="K1117">
            <v>191.31428571428572</v>
          </cell>
          <cell r="L1117">
            <v>0</v>
          </cell>
          <cell r="M1117">
            <v>4480</v>
          </cell>
          <cell r="N1117">
            <v>223646</v>
          </cell>
          <cell r="O1117">
            <v>2</v>
          </cell>
          <cell r="P1117">
            <v>1</v>
          </cell>
          <cell r="Q1117">
            <v>1</v>
          </cell>
          <cell r="R1117">
            <v>4</v>
          </cell>
          <cell r="S1117">
            <v>50</v>
          </cell>
          <cell r="T1117">
            <v>132.85714285714286</v>
          </cell>
          <cell r="U1117">
            <v>3338</v>
          </cell>
          <cell r="V1117">
            <v>132.85714285714286</v>
          </cell>
          <cell r="W1117">
            <v>67</v>
          </cell>
          <cell r="X1117">
            <v>976</v>
          </cell>
          <cell r="Y1117">
            <v>18</v>
          </cell>
          <cell r="Z1117">
            <v>27</v>
          </cell>
        </row>
        <row r="1118">
          <cell r="A1118">
            <v>9322145</v>
          </cell>
          <cell r="B1118" t="str">
            <v>玫瑰之舞第1段</v>
          </cell>
          <cell r="C1118" t="str">
            <v>玫瑰之舞第1段</v>
          </cell>
          <cell r="D1118">
            <v>3</v>
          </cell>
          <cell r="E1118">
            <v>72</v>
          </cell>
          <cell r="F1118" t="str">
            <v>第45级，共造成192.6%点伤害</v>
          </cell>
          <cell r="G1118">
            <v>1</v>
          </cell>
          <cell r="H1118">
            <v>1</v>
          </cell>
          <cell r="I1118">
            <v>45</v>
          </cell>
          <cell r="J1118">
            <v>2</v>
          </cell>
          <cell r="K1118">
            <v>192.64285714285714</v>
          </cell>
          <cell r="L1118">
            <v>0</v>
          </cell>
          <cell r="M1118">
            <v>4400</v>
          </cell>
          <cell r="N1118">
            <v>247320</v>
          </cell>
          <cell r="O1118">
            <v>2</v>
          </cell>
          <cell r="P1118">
            <v>1</v>
          </cell>
          <cell r="Q1118">
            <v>1</v>
          </cell>
          <cell r="R1118">
            <v>4</v>
          </cell>
          <cell r="S1118">
            <v>50</v>
          </cell>
          <cell r="T1118">
            <v>132.85714285714286</v>
          </cell>
          <cell r="U1118">
            <v>3435</v>
          </cell>
          <cell r="V1118">
            <v>132.85714285714286</v>
          </cell>
          <cell r="W1118">
            <v>72</v>
          </cell>
          <cell r="X1118">
            <v>1048</v>
          </cell>
          <cell r="Y1118">
            <v>18</v>
          </cell>
          <cell r="Z1118">
            <v>29</v>
          </cell>
        </row>
        <row r="1119">
          <cell r="A1119">
            <v>9322146</v>
          </cell>
          <cell r="B1119" t="str">
            <v>玫瑰之舞第1段</v>
          </cell>
          <cell r="C1119" t="str">
            <v>玫瑰之舞第1段</v>
          </cell>
          <cell r="D1119">
            <v>3</v>
          </cell>
          <cell r="E1119">
            <v>74</v>
          </cell>
          <cell r="F1119" t="str">
            <v>第46级，共造成194%点伤害</v>
          </cell>
          <cell r="G1119">
            <v>1</v>
          </cell>
          <cell r="H1119">
            <v>1</v>
          </cell>
          <cell r="I1119">
            <v>46</v>
          </cell>
          <cell r="J1119">
            <v>2</v>
          </cell>
          <cell r="K1119">
            <v>193.97142857142859</v>
          </cell>
          <cell r="L1119">
            <v>0</v>
          </cell>
          <cell r="M1119">
            <v>4320</v>
          </cell>
          <cell r="N1119">
            <v>279818</v>
          </cell>
          <cell r="O1119">
            <v>2</v>
          </cell>
          <cell r="P1119">
            <v>1</v>
          </cell>
          <cell r="Q1119">
            <v>1</v>
          </cell>
          <cell r="R1119">
            <v>4</v>
          </cell>
          <cell r="S1119">
            <v>50</v>
          </cell>
          <cell r="T1119">
            <v>132.85714285714286</v>
          </cell>
          <cell r="U1119">
            <v>3634</v>
          </cell>
          <cell r="V1119">
            <v>132.85714285714286</v>
          </cell>
          <cell r="W1119">
            <v>77</v>
          </cell>
          <cell r="X1119">
            <v>1125</v>
          </cell>
          <cell r="Y1119">
            <v>18</v>
          </cell>
          <cell r="Z1119">
            <v>31</v>
          </cell>
        </row>
        <row r="1120">
          <cell r="A1120">
            <v>9322147</v>
          </cell>
          <cell r="B1120" t="str">
            <v>玫瑰之舞第1段</v>
          </cell>
          <cell r="C1120" t="str">
            <v>玫瑰之舞第1段</v>
          </cell>
          <cell r="D1120">
            <v>3</v>
          </cell>
          <cell r="E1120">
            <v>75</v>
          </cell>
          <cell r="F1120" t="str">
            <v>第47级，共造成195.3%点伤害</v>
          </cell>
          <cell r="G1120">
            <v>1</v>
          </cell>
          <cell r="H1120">
            <v>1</v>
          </cell>
          <cell r="I1120">
            <v>47</v>
          </cell>
          <cell r="J1120">
            <v>2</v>
          </cell>
          <cell r="K1120">
            <v>195.3</v>
          </cell>
          <cell r="L1120">
            <v>0</v>
          </cell>
          <cell r="M1120">
            <v>4240</v>
          </cell>
          <cell r="N1120">
            <v>306270</v>
          </cell>
          <cell r="O1120">
            <v>2</v>
          </cell>
          <cell r="P1120">
            <v>1</v>
          </cell>
          <cell r="Q1120">
            <v>1</v>
          </cell>
          <cell r="R1120">
            <v>4</v>
          </cell>
          <cell r="S1120">
            <v>50</v>
          </cell>
          <cell r="T1120">
            <v>132.85714285714286</v>
          </cell>
          <cell r="U1120">
            <v>3735</v>
          </cell>
          <cell r="V1120">
            <v>132.85714285714286</v>
          </cell>
          <cell r="W1120">
            <v>82</v>
          </cell>
          <cell r="X1120">
            <v>1207</v>
          </cell>
          <cell r="Y1120">
            <v>18</v>
          </cell>
          <cell r="Z1120">
            <v>33</v>
          </cell>
        </row>
        <row r="1121">
          <cell r="A1121">
            <v>9322148</v>
          </cell>
          <cell r="B1121" t="str">
            <v>玫瑰之舞第1段</v>
          </cell>
          <cell r="C1121" t="str">
            <v>玫瑰之舞第1段</v>
          </cell>
          <cell r="D1121">
            <v>3</v>
          </cell>
          <cell r="E1121">
            <v>77</v>
          </cell>
          <cell r="F1121" t="str">
            <v>第48级，共造成196.6%点伤害</v>
          </cell>
          <cell r="G1121">
            <v>1</v>
          </cell>
          <cell r="H1121">
            <v>1</v>
          </cell>
          <cell r="I1121">
            <v>48</v>
          </cell>
          <cell r="J1121">
            <v>2</v>
          </cell>
          <cell r="K1121">
            <v>196.62857142857143</v>
          </cell>
          <cell r="L1121">
            <v>0</v>
          </cell>
          <cell r="M1121">
            <v>4160</v>
          </cell>
          <cell r="N1121">
            <v>346896</v>
          </cell>
          <cell r="O1121">
            <v>2</v>
          </cell>
          <cell r="P1121">
            <v>1</v>
          </cell>
          <cell r="Q1121">
            <v>1</v>
          </cell>
          <cell r="R1121">
            <v>4</v>
          </cell>
          <cell r="S1121">
            <v>50</v>
          </cell>
          <cell r="T1121">
            <v>132.85714285714286</v>
          </cell>
          <cell r="U1121">
            <v>3942</v>
          </cell>
          <cell r="V1121">
            <v>132.85714285714286</v>
          </cell>
          <cell r="W1121">
            <v>88</v>
          </cell>
          <cell r="X1121">
            <v>1295</v>
          </cell>
          <cell r="Y1121">
            <v>18</v>
          </cell>
          <cell r="Z1121">
            <v>36</v>
          </cell>
        </row>
        <row r="1122">
          <cell r="A1122">
            <v>9322149</v>
          </cell>
          <cell r="B1122" t="str">
            <v>玫瑰之舞第1段</v>
          </cell>
          <cell r="C1122" t="str">
            <v>玫瑰之舞第1段</v>
          </cell>
          <cell r="D1122">
            <v>3</v>
          </cell>
          <cell r="E1122">
            <v>78</v>
          </cell>
          <cell r="F1122" t="str">
            <v>第49级，共造成198%点伤害</v>
          </cell>
          <cell r="G1122">
            <v>1</v>
          </cell>
          <cell r="H1122">
            <v>1</v>
          </cell>
          <cell r="I1122">
            <v>49</v>
          </cell>
          <cell r="J1122">
            <v>2</v>
          </cell>
          <cell r="K1122">
            <v>197.95714285714286</v>
          </cell>
          <cell r="L1122">
            <v>0</v>
          </cell>
          <cell r="M1122">
            <v>4080</v>
          </cell>
          <cell r="N1122">
            <v>380418</v>
          </cell>
          <cell r="O1122">
            <v>2</v>
          </cell>
          <cell r="P1122">
            <v>1</v>
          </cell>
          <cell r="Q1122">
            <v>1</v>
          </cell>
          <cell r="R1122">
            <v>4</v>
          </cell>
          <cell r="S1122">
            <v>50</v>
          </cell>
          <cell r="T1122">
            <v>132.85714285714286</v>
          </cell>
          <cell r="U1122">
            <v>4047</v>
          </cell>
          <cell r="V1122">
            <v>132.85714285714286</v>
          </cell>
          <cell r="W1122">
            <v>94</v>
          </cell>
          <cell r="X1122">
            <v>1389</v>
          </cell>
          <cell r="Y1122">
            <v>18</v>
          </cell>
          <cell r="Z1122">
            <v>38</v>
          </cell>
        </row>
        <row r="1123">
          <cell r="A1123">
            <v>9322150</v>
          </cell>
          <cell r="B1123" t="str">
            <v>玫瑰之舞第1段</v>
          </cell>
          <cell r="C1123" t="str">
            <v>玫瑰之舞第1段</v>
          </cell>
          <cell r="D1123">
            <v>3</v>
          </cell>
          <cell r="E1123">
            <v>80</v>
          </cell>
          <cell r="F1123" t="str">
            <v>第50级，共造成199.3%点伤害</v>
          </cell>
          <cell r="G1123">
            <v>1</v>
          </cell>
          <cell r="H1123">
            <v>1</v>
          </cell>
          <cell r="I1123">
            <v>50</v>
          </cell>
          <cell r="J1123">
            <v>2</v>
          </cell>
          <cell r="K1123">
            <v>199.28571428571428</v>
          </cell>
          <cell r="L1123">
            <v>0</v>
          </cell>
          <cell r="M1123">
            <v>4000</v>
          </cell>
          <cell r="N1123">
            <v>430462</v>
          </cell>
          <cell r="O1123">
            <v>2</v>
          </cell>
          <cell r="P1123">
            <v>1</v>
          </cell>
          <cell r="Q1123">
            <v>1</v>
          </cell>
          <cell r="R1123">
            <v>4</v>
          </cell>
          <cell r="S1123">
            <v>50</v>
          </cell>
          <cell r="T1123">
            <v>132.85714285714286</v>
          </cell>
          <cell r="U1123">
            <v>4262</v>
          </cell>
          <cell r="V1123">
            <v>132.85714285714286</v>
          </cell>
          <cell r="W1123">
            <v>101</v>
          </cell>
          <cell r="X1123">
            <v>1490</v>
          </cell>
          <cell r="Y1123">
            <v>18</v>
          </cell>
          <cell r="Z1123">
            <v>41</v>
          </cell>
        </row>
        <row r="1124">
          <cell r="A1124">
            <v>1</v>
          </cell>
          <cell r="B1124" t="str">
            <v>玫瑰之舞</v>
          </cell>
          <cell r="C1124" t="str">
            <v>玫瑰之舞第2段</v>
          </cell>
          <cell r="D1124">
            <v>3</v>
          </cell>
          <cell r="E1124">
            <v>4</v>
          </cell>
          <cell r="F1124" t="str">
            <v>第0级，共造成132.9%点伤害</v>
          </cell>
          <cell r="G1124">
            <v>0</v>
          </cell>
          <cell r="H1124">
            <v>2</v>
          </cell>
          <cell r="I1124">
            <v>0</v>
          </cell>
          <cell r="J1124">
            <v>2</v>
          </cell>
          <cell r="K1124">
            <v>66.428571428571431</v>
          </cell>
          <cell r="L1124">
            <v>0</v>
          </cell>
          <cell r="M1124">
            <v>8000</v>
          </cell>
          <cell r="N1124">
            <v>0</v>
          </cell>
          <cell r="O1124">
            <v>2</v>
          </cell>
          <cell r="P1124">
            <v>2</v>
          </cell>
          <cell r="Q1124">
            <v>1</v>
          </cell>
          <cell r="R1124">
            <v>4</v>
          </cell>
          <cell r="S1124">
            <v>50</v>
          </cell>
          <cell r="T1124">
            <v>66.428571428571431</v>
          </cell>
          <cell r="U1124">
            <v>68</v>
          </cell>
          <cell r="V1124">
            <v>132.85714285714286</v>
          </cell>
          <cell r="W1124">
            <v>0</v>
          </cell>
          <cell r="X1124">
            <v>0</v>
          </cell>
          <cell r="Y1124">
            <v>18</v>
          </cell>
          <cell r="Z1124">
            <v>0</v>
          </cell>
        </row>
        <row r="1125">
          <cell r="A1125">
            <v>9322201</v>
          </cell>
          <cell r="B1125" t="str">
            <v>玫瑰之舞第2段</v>
          </cell>
          <cell r="C1125" t="str">
            <v>玫瑰之舞第2段</v>
          </cell>
          <cell r="D1125">
            <v>3</v>
          </cell>
          <cell r="E1125">
            <v>4</v>
          </cell>
          <cell r="F1125" t="str">
            <v>第1级，共造成132.9%点伤害</v>
          </cell>
          <cell r="G1125">
            <v>2</v>
          </cell>
          <cell r="H1125">
            <v>2</v>
          </cell>
          <cell r="I1125">
            <v>1</v>
          </cell>
          <cell r="J1125">
            <v>2</v>
          </cell>
          <cell r="K1125">
            <v>66.428571428571431</v>
          </cell>
          <cell r="L1125">
            <v>0</v>
          </cell>
          <cell r="M1125">
            <v>8000</v>
          </cell>
          <cell r="N1125">
            <v>272</v>
          </cell>
          <cell r="O1125">
            <v>2</v>
          </cell>
          <cell r="P1125">
            <v>2</v>
          </cell>
          <cell r="Q1125">
            <v>1</v>
          </cell>
          <cell r="R1125">
            <v>4</v>
          </cell>
          <cell r="S1125">
            <v>50</v>
          </cell>
          <cell r="T1125">
            <v>66.428571428571431</v>
          </cell>
          <cell r="U1125">
            <v>68</v>
          </cell>
          <cell r="V1125">
            <v>132.85714285714286</v>
          </cell>
          <cell r="W1125">
            <v>4</v>
          </cell>
          <cell r="X1125">
            <v>4</v>
          </cell>
          <cell r="Y1125">
            <v>18</v>
          </cell>
          <cell r="Z1125">
            <v>0</v>
          </cell>
        </row>
        <row r="1126">
          <cell r="A1126">
            <v>9322202</v>
          </cell>
          <cell r="B1126" t="str">
            <v>玫瑰之舞第2段</v>
          </cell>
          <cell r="C1126" t="str">
            <v>玫瑰之舞第2段</v>
          </cell>
          <cell r="D1126">
            <v>3</v>
          </cell>
          <cell r="E1126">
            <v>7</v>
          </cell>
          <cell r="F1126" t="str">
            <v>第2级，共造成135.5%点伤害</v>
          </cell>
          <cell r="G1126">
            <v>2</v>
          </cell>
          <cell r="H1126">
            <v>2</v>
          </cell>
          <cell r="I1126">
            <v>2</v>
          </cell>
          <cell r="J1126">
            <v>2</v>
          </cell>
          <cell r="K1126">
            <v>67.757142857142853</v>
          </cell>
          <cell r="L1126">
            <v>0</v>
          </cell>
          <cell r="M1126">
            <v>7840</v>
          </cell>
          <cell r="N1126">
            <v>344</v>
          </cell>
          <cell r="O1126">
            <v>2</v>
          </cell>
          <cell r="P1126">
            <v>2</v>
          </cell>
          <cell r="Q1126">
            <v>1</v>
          </cell>
          <cell r="R1126">
            <v>4</v>
          </cell>
          <cell r="S1126">
            <v>50</v>
          </cell>
          <cell r="T1126">
            <v>66.428571428571431</v>
          </cell>
          <cell r="U1126">
            <v>86</v>
          </cell>
          <cell r="V1126">
            <v>132.85714285714286</v>
          </cell>
          <cell r="W1126">
            <v>4</v>
          </cell>
          <cell r="X1126">
            <v>8</v>
          </cell>
          <cell r="Y1126">
            <v>18</v>
          </cell>
          <cell r="Z1126">
            <v>0</v>
          </cell>
        </row>
        <row r="1127">
          <cell r="A1127">
            <v>9322203</v>
          </cell>
          <cell r="B1127" t="str">
            <v>玫瑰之舞第2段</v>
          </cell>
          <cell r="C1127" t="str">
            <v>玫瑰之舞第2段</v>
          </cell>
          <cell r="D1127">
            <v>3</v>
          </cell>
          <cell r="E1127">
            <v>9</v>
          </cell>
          <cell r="F1127" t="str">
            <v>第3级，共造成136.8%点伤害</v>
          </cell>
          <cell r="G1127">
            <v>2</v>
          </cell>
          <cell r="H1127">
            <v>2</v>
          </cell>
          <cell r="I1127">
            <v>3</v>
          </cell>
          <cell r="J1127">
            <v>2</v>
          </cell>
          <cell r="K1127">
            <v>68.421428571428578</v>
          </cell>
          <cell r="L1127">
            <v>0</v>
          </cell>
          <cell r="M1127">
            <v>7760</v>
          </cell>
          <cell r="N1127">
            <v>392</v>
          </cell>
          <cell r="O1127">
            <v>2</v>
          </cell>
          <cell r="P1127">
            <v>2</v>
          </cell>
          <cell r="Q1127">
            <v>1</v>
          </cell>
          <cell r="R1127">
            <v>4</v>
          </cell>
          <cell r="S1127">
            <v>50</v>
          </cell>
          <cell r="T1127">
            <v>66.428571428571431</v>
          </cell>
          <cell r="U1127">
            <v>98</v>
          </cell>
          <cell r="V1127">
            <v>132.85714285714286</v>
          </cell>
          <cell r="W1127">
            <v>4</v>
          </cell>
          <cell r="X1127">
            <v>12</v>
          </cell>
          <cell r="Y1127">
            <v>18</v>
          </cell>
          <cell r="Z1127">
            <v>0</v>
          </cell>
        </row>
        <row r="1128">
          <cell r="A1128">
            <v>9322204</v>
          </cell>
          <cell r="B1128" t="str">
            <v>玫瑰之舞第2段</v>
          </cell>
          <cell r="C1128" t="str">
            <v>玫瑰之舞第2段</v>
          </cell>
          <cell r="D1128">
            <v>3</v>
          </cell>
          <cell r="E1128">
            <v>10</v>
          </cell>
          <cell r="F1128" t="str">
            <v>第4级，共造成138.2%点伤害</v>
          </cell>
          <cell r="G1128">
            <v>2</v>
          </cell>
          <cell r="H1128">
            <v>2</v>
          </cell>
          <cell r="I1128">
            <v>4</v>
          </cell>
          <cell r="J1128">
            <v>2</v>
          </cell>
          <cell r="K1128">
            <v>69.085714285714289</v>
          </cell>
          <cell r="L1128">
            <v>0</v>
          </cell>
          <cell r="M1128">
            <v>7680</v>
          </cell>
          <cell r="N1128">
            <v>520</v>
          </cell>
          <cell r="O1128">
            <v>2</v>
          </cell>
          <cell r="P1128">
            <v>2</v>
          </cell>
          <cell r="Q1128">
            <v>1</v>
          </cell>
          <cell r="R1128">
            <v>4</v>
          </cell>
          <cell r="S1128">
            <v>50</v>
          </cell>
          <cell r="T1128">
            <v>66.428571428571431</v>
          </cell>
          <cell r="U1128">
            <v>104</v>
          </cell>
          <cell r="V1128">
            <v>132.85714285714286</v>
          </cell>
          <cell r="W1128">
            <v>5</v>
          </cell>
          <cell r="X1128">
            <v>17</v>
          </cell>
          <cell r="Y1128">
            <v>18</v>
          </cell>
          <cell r="Z1128">
            <v>0</v>
          </cell>
        </row>
        <row r="1129">
          <cell r="A1129">
            <v>9322205</v>
          </cell>
          <cell r="B1129" t="str">
            <v>玫瑰之舞第2段</v>
          </cell>
          <cell r="C1129" t="str">
            <v>玫瑰之舞第2段</v>
          </cell>
          <cell r="D1129">
            <v>3</v>
          </cell>
          <cell r="E1129">
            <v>12</v>
          </cell>
          <cell r="F1129" t="str">
            <v>第5级，共造成139.5%点伤害</v>
          </cell>
          <cell r="G1129">
            <v>2</v>
          </cell>
          <cell r="H1129">
            <v>2</v>
          </cell>
          <cell r="I1129">
            <v>5</v>
          </cell>
          <cell r="J1129">
            <v>2</v>
          </cell>
          <cell r="K1129">
            <v>69.75</v>
          </cell>
          <cell r="L1129">
            <v>0</v>
          </cell>
          <cell r="M1129">
            <v>7600</v>
          </cell>
          <cell r="N1129">
            <v>580</v>
          </cell>
          <cell r="O1129">
            <v>2</v>
          </cell>
          <cell r="P1129">
            <v>2</v>
          </cell>
          <cell r="Q1129">
            <v>1</v>
          </cell>
          <cell r="R1129">
            <v>4</v>
          </cell>
          <cell r="S1129">
            <v>50</v>
          </cell>
          <cell r="T1129">
            <v>66.428571428571431</v>
          </cell>
          <cell r="U1129">
            <v>116</v>
          </cell>
          <cell r="V1129">
            <v>132.85714285714286</v>
          </cell>
          <cell r="W1129">
            <v>5</v>
          </cell>
          <cell r="X1129">
            <v>22</v>
          </cell>
          <cell r="Y1129">
            <v>18</v>
          </cell>
          <cell r="Z1129">
            <v>0</v>
          </cell>
        </row>
        <row r="1130">
          <cell r="A1130">
            <v>9322206</v>
          </cell>
          <cell r="B1130" t="str">
            <v>玫瑰之舞第2段</v>
          </cell>
          <cell r="C1130" t="str">
            <v>玫瑰之舞第2段</v>
          </cell>
          <cell r="D1130">
            <v>3</v>
          </cell>
          <cell r="E1130">
            <v>13</v>
          </cell>
          <cell r="F1130" t="str">
            <v>第6级，共造成140.8%点伤害</v>
          </cell>
          <cell r="G1130">
            <v>2</v>
          </cell>
          <cell r="H1130">
            <v>2</v>
          </cell>
          <cell r="I1130">
            <v>6</v>
          </cell>
          <cell r="J1130">
            <v>2</v>
          </cell>
          <cell r="K1130">
            <v>70.414285714285711</v>
          </cell>
          <cell r="L1130">
            <v>0</v>
          </cell>
          <cell r="M1130">
            <v>7520</v>
          </cell>
          <cell r="N1130">
            <v>610</v>
          </cell>
          <cell r="O1130">
            <v>2</v>
          </cell>
          <cell r="P1130">
            <v>2</v>
          </cell>
          <cell r="Q1130">
            <v>1</v>
          </cell>
          <cell r="R1130">
            <v>4</v>
          </cell>
          <cell r="S1130">
            <v>50</v>
          </cell>
          <cell r="T1130">
            <v>66.428571428571431</v>
          </cell>
          <cell r="U1130">
            <v>122</v>
          </cell>
          <cell r="V1130">
            <v>132.85714285714286</v>
          </cell>
          <cell r="W1130">
            <v>5</v>
          </cell>
          <cell r="X1130">
            <v>27</v>
          </cell>
          <cell r="Y1130">
            <v>18</v>
          </cell>
          <cell r="Z1130">
            <v>0</v>
          </cell>
        </row>
        <row r="1131">
          <cell r="A1131">
            <v>9322207</v>
          </cell>
          <cell r="B1131" t="str">
            <v>玫瑰之舞第2段</v>
          </cell>
          <cell r="C1131" t="str">
            <v>玫瑰之舞第2段</v>
          </cell>
          <cell r="D1131">
            <v>3</v>
          </cell>
          <cell r="E1131">
            <v>15</v>
          </cell>
          <cell r="F1131" t="str">
            <v>第7级，共造成142.2%点伤害</v>
          </cell>
          <cell r="G1131">
            <v>2</v>
          </cell>
          <cell r="H1131">
            <v>2</v>
          </cell>
          <cell r="I1131">
            <v>7</v>
          </cell>
          <cell r="J1131">
            <v>2</v>
          </cell>
          <cell r="K1131">
            <v>71.078571428571436</v>
          </cell>
          <cell r="L1131">
            <v>0</v>
          </cell>
          <cell r="M1131">
            <v>7440</v>
          </cell>
          <cell r="N1131">
            <v>670</v>
          </cell>
          <cell r="O1131">
            <v>2</v>
          </cell>
          <cell r="P1131">
            <v>2</v>
          </cell>
          <cell r="Q1131">
            <v>1</v>
          </cell>
          <cell r="R1131">
            <v>4</v>
          </cell>
          <cell r="S1131">
            <v>50</v>
          </cell>
          <cell r="T1131">
            <v>66.428571428571431</v>
          </cell>
          <cell r="U1131">
            <v>134</v>
          </cell>
          <cell r="V1131">
            <v>132.85714285714286</v>
          </cell>
          <cell r="W1131">
            <v>5</v>
          </cell>
          <cell r="X1131">
            <v>32</v>
          </cell>
          <cell r="Y1131">
            <v>18</v>
          </cell>
          <cell r="Z1131">
            <v>0</v>
          </cell>
        </row>
        <row r="1132">
          <cell r="A1132">
            <v>9322208</v>
          </cell>
          <cell r="B1132" t="str">
            <v>玫瑰之舞第2段</v>
          </cell>
          <cell r="C1132" t="str">
            <v>玫瑰之舞第2段</v>
          </cell>
          <cell r="D1132">
            <v>3</v>
          </cell>
          <cell r="E1132">
            <v>16</v>
          </cell>
          <cell r="F1132" t="str">
            <v>第8级，共造成143.5%点伤害</v>
          </cell>
          <cell r="G1132">
            <v>2</v>
          </cell>
          <cell r="H1132">
            <v>2</v>
          </cell>
          <cell r="I1132">
            <v>8</v>
          </cell>
          <cell r="J1132">
            <v>2</v>
          </cell>
          <cell r="K1132">
            <v>71.742857142857147</v>
          </cell>
          <cell r="L1132">
            <v>0</v>
          </cell>
          <cell r="M1132">
            <v>7360</v>
          </cell>
          <cell r="N1132">
            <v>840</v>
          </cell>
          <cell r="O1132">
            <v>2</v>
          </cell>
          <cell r="P1132">
            <v>2</v>
          </cell>
          <cell r="Q1132">
            <v>1</v>
          </cell>
          <cell r="R1132">
            <v>4</v>
          </cell>
          <cell r="S1132">
            <v>50</v>
          </cell>
          <cell r="T1132">
            <v>66.428571428571431</v>
          </cell>
          <cell r="U1132">
            <v>140</v>
          </cell>
          <cell r="V1132">
            <v>132.85714285714286</v>
          </cell>
          <cell r="W1132">
            <v>6</v>
          </cell>
          <cell r="X1132">
            <v>38</v>
          </cell>
          <cell r="Y1132">
            <v>18</v>
          </cell>
          <cell r="Z1132">
            <v>0</v>
          </cell>
        </row>
        <row r="1133">
          <cell r="A1133">
            <v>9322209</v>
          </cell>
          <cell r="B1133" t="str">
            <v>玫瑰之舞第2段</v>
          </cell>
          <cell r="C1133" t="str">
            <v>玫瑰之舞第2段</v>
          </cell>
          <cell r="D1133">
            <v>3</v>
          </cell>
          <cell r="E1133">
            <v>18</v>
          </cell>
          <cell r="F1133" t="str">
            <v>第9级，共造成144.8%点伤害</v>
          </cell>
          <cell r="G1133">
            <v>2</v>
          </cell>
          <cell r="H1133">
            <v>2</v>
          </cell>
          <cell r="I1133">
            <v>9</v>
          </cell>
          <cell r="J1133">
            <v>2</v>
          </cell>
          <cell r="K1133">
            <v>72.407142857142858</v>
          </cell>
          <cell r="L1133">
            <v>0</v>
          </cell>
          <cell r="M1133">
            <v>7280</v>
          </cell>
          <cell r="N1133">
            <v>912</v>
          </cell>
          <cell r="O1133">
            <v>2</v>
          </cell>
          <cell r="P1133">
            <v>2</v>
          </cell>
          <cell r="Q1133">
            <v>1</v>
          </cell>
          <cell r="R1133">
            <v>4</v>
          </cell>
          <cell r="S1133">
            <v>50</v>
          </cell>
          <cell r="T1133">
            <v>66.428571428571431</v>
          </cell>
          <cell r="U1133">
            <v>152</v>
          </cell>
          <cell r="V1133">
            <v>132.85714285714286</v>
          </cell>
          <cell r="W1133">
            <v>6</v>
          </cell>
          <cell r="X1133">
            <v>44</v>
          </cell>
          <cell r="Y1133">
            <v>18</v>
          </cell>
          <cell r="Z1133">
            <v>0</v>
          </cell>
        </row>
        <row r="1134">
          <cell r="A1134">
            <v>9322210</v>
          </cell>
          <cell r="B1134" t="str">
            <v>玫瑰之舞第2段</v>
          </cell>
          <cell r="C1134" t="str">
            <v>玫瑰之舞第2段</v>
          </cell>
          <cell r="D1134">
            <v>3</v>
          </cell>
          <cell r="E1134">
            <v>19</v>
          </cell>
          <cell r="F1134" t="str">
            <v>第10级，共造成146.1%点伤害</v>
          </cell>
          <cell r="G1134">
            <v>2</v>
          </cell>
          <cell r="H1134">
            <v>2</v>
          </cell>
          <cell r="I1134">
            <v>10</v>
          </cell>
          <cell r="J1134">
            <v>2</v>
          </cell>
          <cell r="K1134">
            <v>73.071428571428569</v>
          </cell>
          <cell r="L1134">
            <v>0</v>
          </cell>
          <cell r="M1134">
            <v>7200</v>
          </cell>
          <cell r="N1134">
            <v>1106</v>
          </cell>
          <cell r="O1134">
            <v>2</v>
          </cell>
          <cell r="P1134">
            <v>2</v>
          </cell>
          <cell r="Q1134">
            <v>1</v>
          </cell>
          <cell r="R1134">
            <v>4</v>
          </cell>
          <cell r="S1134">
            <v>50</v>
          </cell>
          <cell r="T1134">
            <v>66.428571428571431</v>
          </cell>
          <cell r="U1134">
            <v>158</v>
          </cell>
          <cell r="V1134">
            <v>132.85714285714286</v>
          </cell>
          <cell r="W1134">
            <v>7</v>
          </cell>
          <cell r="X1134">
            <v>51</v>
          </cell>
          <cell r="Y1134">
            <v>18</v>
          </cell>
          <cell r="Z1134">
            <v>0</v>
          </cell>
        </row>
        <row r="1135">
          <cell r="A1135">
            <v>9322211</v>
          </cell>
          <cell r="B1135" t="str">
            <v>玫瑰之舞第2段</v>
          </cell>
          <cell r="C1135" t="str">
            <v>玫瑰之舞第2段</v>
          </cell>
          <cell r="D1135">
            <v>3</v>
          </cell>
          <cell r="E1135">
            <v>21</v>
          </cell>
          <cell r="F1135" t="str">
            <v>第11级，共造成147.5%点伤害</v>
          </cell>
          <cell r="G1135">
            <v>2</v>
          </cell>
          <cell r="H1135">
            <v>2</v>
          </cell>
          <cell r="I1135">
            <v>11</v>
          </cell>
          <cell r="J1135">
            <v>2</v>
          </cell>
          <cell r="K1135">
            <v>73.735714285714295</v>
          </cell>
          <cell r="L1135">
            <v>0</v>
          </cell>
          <cell r="M1135">
            <v>7120</v>
          </cell>
          <cell r="N1135">
            <v>1470</v>
          </cell>
          <cell r="O1135">
            <v>2</v>
          </cell>
          <cell r="P1135">
            <v>2</v>
          </cell>
          <cell r="Q1135">
            <v>1</v>
          </cell>
          <cell r="R1135">
            <v>4</v>
          </cell>
          <cell r="S1135">
            <v>50</v>
          </cell>
          <cell r="T1135">
            <v>66.428571428571431</v>
          </cell>
          <cell r="U1135">
            <v>210</v>
          </cell>
          <cell r="V1135">
            <v>132.85714285714286</v>
          </cell>
          <cell r="W1135">
            <v>7</v>
          </cell>
          <cell r="X1135">
            <v>58</v>
          </cell>
          <cell r="Y1135">
            <v>18</v>
          </cell>
          <cell r="Z1135">
            <v>0</v>
          </cell>
        </row>
        <row r="1136">
          <cell r="A1136">
            <v>9322212</v>
          </cell>
          <cell r="B1136" t="str">
            <v>玫瑰之舞第2段</v>
          </cell>
          <cell r="C1136" t="str">
            <v>玫瑰之舞第2段</v>
          </cell>
          <cell r="D1136">
            <v>3</v>
          </cell>
          <cell r="E1136">
            <v>22</v>
          </cell>
          <cell r="F1136" t="str">
            <v>第12级，共造成148.8%点伤害</v>
          </cell>
          <cell r="G1136">
            <v>2</v>
          </cell>
          <cell r="H1136">
            <v>2</v>
          </cell>
          <cell r="I1136">
            <v>12</v>
          </cell>
          <cell r="J1136">
            <v>2</v>
          </cell>
          <cell r="K1136">
            <v>74.400000000000006</v>
          </cell>
          <cell r="L1136">
            <v>0</v>
          </cell>
          <cell r="M1136">
            <v>7040</v>
          </cell>
          <cell r="N1136">
            <v>1912</v>
          </cell>
          <cell r="O1136">
            <v>2</v>
          </cell>
          <cell r="P1136">
            <v>2</v>
          </cell>
          <cell r="Q1136">
            <v>1</v>
          </cell>
          <cell r="R1136">
            <v>4</v>
          </cell>
          <cell r="S1136">
            <v>50</v>
          </cell>
          <cell r="T1136">
            <v>66.428571428571431</v>
          </cell>
          <cell r="U1136">
            <v>239</v>
          </cell>
          <cell r="V1136">
            <v>132.85714285714286</v>
          </cell>
          <cell r="W1136">
            <v>8</v>
          </cell>
          <cell r="X1136">
            <v>66</v>
          </cell>
          <cell r="Y1136">
            <v>18</v>
          </cell>
          <cell r="Z1136">
            <v>0</v>
          </cell>
        </row>
        <row r="1137">
          <cell r="A1137">
            <v>9322213</v>
          </cell>
          <cell r="B1137" t="str">
            <v>玫瑰之舞第2段</v>
          </cell>
          <cell r="C1137" t="str">
            <v>玫瑰之舞第2段</v>
          </cell>
          <cell r="D1137">
            <v>3</v>
          </cell>
          <cell r="E1137">
            <v>24</v>
          </cell>
          <cell r="F1137" t="str">
            <v>第13级，共造成150.1%点伤害</v>
          </cell>
          <cell r="G1137">
            <v>2</v>
          </cell>
          <cell r="H1137">
            <v>2</v>
          </cell>
          <cell r="I1137">
            <v>13</v>
          </cell>
          <cell r="J1137">
            <v>2</v>
          </cell>
          <cell r="K1137">
            <v>75.064285714285717</v>
          </cell>
          <cell r="L1137">
            <v>0</v>
          </cell>
          <cell r="M1137">
            <v>6960</v>
          </cell>
          <cell r="N1137">
            <v>2416</v>
          </cell>
          <cell r="O1137">
            <v>2</v>
          </cell>
          <cell r="P1137">
            <v>2</v>
          </cell>
          <cell r="Q1137">
            <v>1</v>
          </cell>
          <cell r="R1137">
            <v>4</v>
          </cell>
          <cell r="S1137">
            <v>50</v>
          </cell>
          <cell r="T1137">
            <v>66.428571428571431</v>
          </cell>
          <cell r="U1137">
            <v>302</v>
          </cell>
          <cell r="V1137">
            <v>132.85714285714286</v>
          </cell>
          <cell r="W1137">
            <v>8</v>
          </cell>
          <cell r="X1137">
            <v>74</v>
          </cell>
          <cell r="Y1137">
            <v>18</v>
          </cell>
          <cell r="Z1137">
            <v>0</v>
          </cell>
        </row>
        <row r="1138">
          <cell r="A1138">
            <v>9322214</v>
          </cell>
          <cell r="B1138" t="str">
            <v>玫瑰之舞第2段</v>
          </cell>
          <cell r="C1138" t="str">
            <v>玫瑰之舞第2段</v>
          </cell>
          <cell r="D1138">
            <v>3</v>
          </cell>
          <cell r="E1138">
            <v>25</v>
          </cell>
          <cell r="F1138" t="str">
            <v>第14级，共造成151.5%点伤害</v>
          </cell>
          <cell r="G1138">
            <v>2</v>
          </cell>
          <cell r="H1138">
            <v>2</v>
          </cell>
          <cell r="I1138">
            <v>14</v>
          </cell>
          <cell r="J1138">
            <v>2</v>
          </cell>
          <cell r="K1138">
            <v>75.728571428571428</v>
          </cell>
          <cell r="L1138">
            <v>0</v>
          </cell>
          <cell r="M1138">
            <v>6880</v>
          </cell>
          <cell r="N1138">
            <v>3015</v>
          </cell>
          <cell r="O1138">
            <v>2</v>
          </cell>
          <cell r="P1138">
            <v>2</v>
          </cell>
          <cell r="Q1138">
            <v>1</v>
          </cell>
          <cell r="R1138">
            <v>4</v>
          </cell>
          <cell r="S1138">
            <v>50</v>
          </cell>
          <cell r="T1138">
            <v>66.428571428571431</v>
          </cell>
          <cell r="U1138">
            <v>335</v>
          </cell>
          <cell r="V1138">
            <v>132.85714285714286</v>
          </cell>
          <cell r="W1138">
            <v>9</v>
          </cell>
          <cell r="X1138">
            <v>83</v>
          </cell>
          <cell r="Y1138">
            <v>18</v>
          </cell>
          <cell r="Z1138">
            <v>0</v>
          </cell>
        </row>
        <row r="1139">
          <cell r="A1139">
            <v>9322215</v>
          </cell>
          <cell r="B1139" t="str">
            <v>玫瑰之舞第2段</v>
          </cell>
          <cell r="C1139" t="str">
            <v>玫瑰之舞第2段</v>
          </cell>
          <cell r="D1139">
            <v>3</v>
          </cell>
          <cell r="E1139">
            <v>27</v>
          </cell>
          <cell r="F1139" t="str">
            <v>第15级，共造成152.8%点伤害</v>
          </cell>
          <cell r="G1139">
            <v>2</v>
          </cell>
          <cell r="H1139">
            <v>2</v>
          </cell>
          <cell r="I1139">
            <v>15</v>
          </cell>
          <cell r="J1139">
            <v>2</v>
          </cell>
          <cell r="K1139">
            <v>76.392857142857139</v>
          </cell>
          <cell r="L1139">
            <v>0</v>
          </cell>
          <cell r="M1139">
            <v>6800</v>
          </cell>
          <cell r="N1139">
            <v>4060</v>
          </cell>
          <cell r="O1139">
            <v>2</v>
          </cell>
          <cell r="P1139">
            <v>2</v>
          </cell>
          <cell r="Q1139">
            <v>1</v>
          </cell>
          <cell r="R1139">
            <v>4</v>
          </cell>
          <cell r="S1139">
            <v>50</v>
          </cell>
          <cell r="T1139">
            <v>66.428571428571431</v>
          </cell>
          <cell r="U1139">
            <v>406</v>
          </cell>
          <cell r="V1139">
            <v>132.85714285714286</v>
          </cell>
          <cell r="W1139">
            <v>10</v>
          </cell>
          <cell r="X1139">
            <v>93</v>
          </cell>
          <cell r="Y1139">
            <v>18</v>
          </cell>
          <cell r="Z1139">
            <v>0</v>
          </cell>
        </row>
        <row r="1140">
          <cell r="A1140">
            <v>9322216</v>
          </cell>
          <cell r="B1140" t="str">
            <v>玫瑰之舞第2段</v>
          </cell>
          <cell r="C1140" t="str">
            <v>玫瑰之舞第2段</v>
          </cell>
          <cell r="D1140">
            <v>3</v>
          </cell>
          <cell r="E1140">
            <v>28</v>
          </cell>
          <cell r="F1140" t="str">
            <v>第16级，共造成154.1%点伤害</v>
          </cell>
          <cell r="G1140">
            <v>2</v>
          </cell>
          <cell r="H1140">
            <v>2</v>
          </cell>
          <cell r="I1140">
            <v>16</v>
          </cell>
          <cell r="J1140">
            <v>2</v>
          </cell>
          <cell r="K1140">
            <v>77.057142857142864</v>
          </cell>
          <cell r="L1140">
            <v>0</v>
          </cell>
          <cell r="M1140">
            <v>6720</v>
          </cell>
          <cell r="N1140">
            <v>4430</v>
          </cell>
          <cell r="O1140">
            <v>2</v>
          </cell>
          <cell r="P1140">
            <v>2</v>
          </cell>
          <cell r="Q1140">
            <v>1</v>
          </cell>
          <cell r="R1140">
            <v>4</v>
          </cell>
          <cell r="S1140">
            <v>50</v>
          </cell>
          <cell r="T1140">
            <v>66.428571428571431</v>
          </cell>
          <cell r="U1140">
            <v>443</v>
          </cell>
          <cell r="V1140">
            <v>132.85714285714286</v>
          </cell>
          <cell r="W1140">
            <v>10</v>
          </cell>
          <cell r="X1140">
            <v>103</v>
          </cell>
          <cell r="Y1140">
            <v>18</v>
          </cell>
          <cell r="Z1140">
            <v>0</v>
          </cell>
        </row>
        <row r="1141">
          <cell r="A1141">
            <v>9322217</v>
          </cell>
          <cell r="B1141" t="str">
            <v>玫瑰之舞第2段</v>
          </cell>
          <cell r="C1141" t="str">
            <v>玫瑰之舞第2段</v>
          </cell>
          <cell r="D1141">
            <v>3</v>
          </cell>
          <cell r="E1141">
            <v>30</v>
          </cell>
          <cell r="F1141" t="str">
            <v>第17级，共造成155.4%点伤害</v>
          </cell>
          <cell r="G1141">
            <v>2</v>
          </cell>
          <cell r="H1141">
            <v>2</v>
          </cell>
          <cell r="I1141">
            <v>17</v>
          </cell>
          <cell r="J1141">
            <v>2</v>
          </cell>
          <cell r="K1141">
            <v>77.721428571428575</v>
          </cell>
          <cell r="L1141">
            <v>0</v>
          </cell>
          <cell r="M1141">
            <v>6640</v>
          </cell>
          <cell r="N1141">
            <v>5742</v>
          </cell>
          <cell r="O1141">
            <v>2</v>
          </cell>
          <cell r="P1141">
            <v>2</v>
          </cell>
          <cell r="Q1141">
            <v>1</v>
          </cell>
          <cell r="R1141">
            <v>4</v>
          </cell>
          <cell r="S1141">
            <v>50</v>
          </cell>
          <cell r="T1141">
            <v>66.428571428571431</v>
          </cell>
          <cell r="U1141">
            <v>522</v>
          </cell>
          <cell r="V1141">
            <v>132.85714285714286</v>
          </cell>
          <cell r="W1141">
            <v>11</v>
          </cell>
          <cell r="X1141">
            <v>114</v>
          </cell>
          <cell r="Y1141">
            <v>18</v>
          </cell>
          <cell r="Z1141">
            <v>0</v>
          </cell>
        </row>
        <row r="1142">
          <cell r="A1142">
            <v>9322218</v>
          </cell>
          <cell r="B1142" t="str">
            <v>玫瑰之舞第2段</v>
          </cell>
          <cell r="C1142" t="str">
            <v>玫瑰之舞第2段</v>
          </cell>
          <cell r="D1142">
            <v>3</v>
          </cell>
          <cell r="E1142">
            <v>31</v>
          </cell>
          <cell r="F1142" t="str">
            <v>第18级，共造成156.8%点伤害</v>
          </cell>
          <cell r="G1142">
            <v>2</v>
          </cell>
          <cell r="H1142">
            <v>2</v>
          </cell>
          <cell r="I1142">
            <v>18</v>
          </cell>
          <cell r="J1142">
            <v>2</v>
          </cell>
          <cell r="K1142">
            <v>78.385714285714286</v>
          </cell>
          <cell r="L1142">
            <v>0</v>
          </cell>
          <cell r="M1142">
            <v>6560</v>
          </cell>
          <cell r="N1142">
            <v>6756</v>
          </cell>
          <cell r="O1142">
            <v>2</v>
          </cell>
          <cell r="P1142">
            <v>2</v>
          </cell>
          <cell r="Q1142">
            <v>1</v>
          </cell>
          <cell r="R1142">
            <v>4</v>
          </cell>
          <cell r="S1142">
            <v>50</v>
          </cell>
          <cell r="T1142">
            <v>66.428571428571431</v>
          </cell>
          <cell r="U1142">
            <v>563</v>
          </cell>
          <cell r="V1142">
            <v>132.85714285714286</v>
          </cell>
          <cell r="W1142">
            <v>12</v>
          </cell>
          <cell r="X1142">
            <v>126</v>
          </cell>
          <cell r="Y1142">
            <v>18</v>
          </cell>
          <cell r="Z1142">
            <v>5</v>
          </cell>
        </row>
        <row r="1143">
          <cell r="A1143">
            <v>9322219</v>
          </cell>
          <cell r="B1143" t="str">
            <v>玫瑰之舞第2段</v>
          </cell>
          <cell r="C1143" t="str">
            <v>玫瑰之舞第2段</v>
          </cell>
          <cell r="D1143">
            <v>3</v>
          </cell>
          <cell r="E1143">
            <v>33</v>
          </cell>
          <cell r="F1143" t="str">
            <v>第19级，共造成158.1%点伤害</v>
          </cell>
          <cell r="G1143">
            <v>2</v>
          </cell>
          <cell r="H1143">
            <v>2</v>
          </cell>
          <cell r="I1143">
            <v>19</v>
          </cell>
          <cell r="J1143">
            <v>2</v>
          </cell>
          <cell r="K1143">
            <v>79.05</v>
          </cell>
          <cell r="L1143">
            <v>0</v>
          </cell>
          <cell r="M1143">
            <v>6480</v>
          </cell>
          <cell r="N1143">
            <v>8463</v>
          </cell>
          <cell r="O1143">
            <v>2</v>
          </cell>
          <cell r="P1143">
            <v>2</v>
          </cell>
          <cell r="Q1143">
            <v>1</v>
          </cell>
          <cell r="R1143">
            <v>4</v>
          </cell>
          <cell r="S1143">
            <v>50</v>
          </cell>
          <cell r="T1143">
            <v>66.428571428571431</v>
          </cell>
          <cell r="U1143">
            <v>651</v>
          </cell>
          <cell r="V1143">
            <v>132.85714285714286</v>
          </cell>
          <cell r="W1143">
            <v>13</v>
          </cell>
          <cell r="X1143">
            <v>139</v>
          </cell>
          <cell r="Y1143">
            <v>18</v>
          </cell>
          <cell r="Z1143">
            <v>6</v>
          </cell>
        </row>
        <row r="1144">
          <cell r="A1144">
            <v>9322220</v>
          </cell>
          <cell r="B1144" t="str">
            <v>玫瑰之舞第2段</v>
          </cell>
          <cell r="C1144" t="str">
            <v>玫瑰之舞第2段</v>
          </cell>
          <cell r="D1144">
            <v>3</v>
          </cell>
          <cell r="E1144">
            <v>34</v>
          </cell>
          <cell r="F1144" t="str">
            <v>第20级，共造成159.4%点伤害</v>
          </cell>
          <cell r="G1144">
            <v>2</v>
          </cell>
          <cell r="H1144">
            <v>2</v>
          </cell>
          <cell r="I1144">
            <v>20</v>
          </cell>
          <cell r="J1144">
            <v>2</v>
          </cell>
          <cell r="K1144">
            <v>79.714285714285722</v>
          </cell>
          <cell r="L1144">
            <v>0</v>
          </cell>
          <cell r="M1144">
            <v>6400</v>
          </cell>
          <cell r="N1144">
            <v>9048</v>
          </cell>
          <cell r="O1144">
            <v>2</v>
          </cell>
          <cell r="P1144">
            <v>2</v>
          </cell>
          <cell r="Q1144">
            <v>1</v>
          </cell>
          <cell r="R1144">
            <v>4</v>
          </cell>
          <cell r="S1144">
            <v>50</v>
          </cell>
          <cell r="T1144">
            <v>66.428571428571431</v>
          </cell>
          <cell r="U1144">
            <v>696</v>
          </cell>
          <cell r="V1144">
            <v>132.85714285714286</v>
          </cell>
          <cell r="W1144">
            <v>13</v>
          </cell>
          <cell r="X1144">
            <v>152</v>
          </cell>
          <cell r="Y1144">
            <v>18</v>
          </cell>
          <cell r="Z1144">
            <v>6</v>
          </cell>
        </row>
        <row r="1145">
          <cell r="A1145">
            <v>9322221</v>
          </cell>
          <cell r="B1145" t="str">
            <v>玫瑰之舞第2段</v>
          </cell>
          <cell r="C1145" t="str">
            <v>玫瑰之舞第2段</v>
          </cell>
          <cell r="D1145">
            <v>3</v>
          </cell>
          <cell r="E1145">
            <v>36</v>
          </cell>
          <cell r="F1145" t="str">
            <v>第21级，共造成160.8%点伤害</v>
          </cell>
          <cell r="G1145">
            <v>2</v>
          </cell>
          <cell r="H1145">
            <v>2</v>
          </cell>
          <cell r="I1145">
            <v>21</v>
          </cell>
          <cell r="J1145">
            <v>2</v>
          </cell>
          <cell r="K1145">
            <v>80.378571428571433</v>
          </cell>
          <cell r="L1145">
            <v>0</v>
          </cell>
          <cell r="M1145">
            <v>6320</v>
          </cell>
          <cell r="N1145">
            <v>11074</v>
          </cell>
          <cell r="O1145">
            <v>2</v>
          </cell>
          <cell r="P1145">
            <v>2</v>
          </cell>
          <cell r="Q1145">
            <v>1</v>
          </cell>
          <cell r="R1145">
            <v>4</v>
          </cell>
          <cell r="S1145">
            <v>50</v>
          </cell>
          <cell r="T1145">
            <v>66.428571428571431</v>
          </cell>
          <cell r="U1145">
            <v>791</v>
          </cell>
          <cell r="V1145">
            <v>132.85714285714286</v>
          </cell>
          <cell r="W1145">
            <v>14</v>
          </cell>
          <cell r="X1145">
            <v>166</v>
          </cell>
          <cell r="Y1145">
            <v>18</v>
          </cell>
          <cell r="Z1145">
            <v>6</v>
          </cell>
        </row>
        <row r="1146">
          <cell r="A1146">
            <v>9322222</v>
          </cell>
          <cell r="B1146" t="str">
            <v>玫瑰之舞第2段</v>
          </cell>
          <cell r="C1146" t="str">
            <v>玫瑰之舞第2段</v>
          </cell>
          <cell r="D1146">
            <v>3</v>
          </cell>
          <cell r="E1146">
            <v>37</v>
          </cell>
          <cell r="F1146" t="str">
            <v>第22级，共造成162.1%点伤害</v>
          </cell>
          <cell r="G1146">
            <v>2</v>
          </cell>
          <cell r="H1146">
            <v>2</v>
          </cell>
          <cell r="I1146">
            <v>22</v>
          </cell>
          <cell r="J1146">
            <v>2</v>
          </cell>
          <cell r="K1146">
            <v>81.042857142857144</v>
          </cell>
          <cell r="L1146">
            <v>0</v>
          </cell>
          <cell r="M1146">
            <v>6240</v>
          </cell>
          <cell r="N1146">
            <v>12615</v>
          </cell>
          <cell r="O1146">
            <v>2</v>
          </cell>
          <cell r="P1146">
            <v>2</v>
          </cell>
          <cell r="Q1146">
            <v>1</v>
          </cell>
          <cell r="R1146">
            <v>4</v>
          </cell>
          <cell r="S1146">
            <v>50</v>
          </cell>
          <cell r="T1146">
            <v>66.428571428571431</v>
          </cell>
          <cell r="U1146">
            <v>841</v>
          </cell>
          <cell r="V1146">
            <v>132.85714285714286</v>
          </cell>
          <cell r="W1146">
            <v>15</v>
          </cell>
          <cell r="X1146">
            <v>181</v>
          </cell>
          <cell r="Y1146">
            <v>18</v>
          </cell>
          <cell r="Z1146">
            <v>6</v>
          </cell>
        </row>
        <row r="1147">
          <cell r="A1147">
            <v>9322223</v>
          </cell>
          <cell r="B1147" t="str">
            <v>玫瑰之舞第2段</v>
          </cell>
          <cell r="C1147" t="str">
            <v>玫瑰之舞第2段</v>
          </cell>
          <cell r="D1147">
            <v>3</v>
          </cell>
          <cell r="E1147">
            <v>39</v>
          </cell>
          <cell r="F1147" t="str">
            <v>第23级，共造成163.4%点伤害</v>
          </cell>
          <cell r="G1147">
            <v>2</v>
          </cell>
          <cell r="H1147">
            <v>2</v>
          </cell>
          <cell r="I1147">
            <v>23</v>
          </cell>
          <cell r="J1147">
            <v>2</v>
          </cell>
          <cell r="K1147">
            <v>81.707142857142856</v>
          </cell>
          <cell r="L1147">
            <v>0</v>
          </cell>
          <cell r="M1147">
            <v>6160</v>
          </cell>
          <cell r="N1147">
            <v>15104</v>
          </cell>
          <cell r="O1147">
            <v>2</v>
          </cell>
          <cell r="P1147">
            <v>2</v>
          </cell>
          <cell r="Q1147">
            <v>1</v>
          </cell>
          <cell r="R1147">
            <v>4</v>
          </cell>
          <cell r="S1147">
            <v>50</v>
          </cell>
          <cell r="T1147">
            <v>66.428571428571431</v>
          </cell>
          <cell r="U1147">
            <v>944</v>
          </cell>
          <cell r="V1147">
            <v>132.85714285714286</v>
          </cell>
          <cell r="W1147">
            <v>16</v>
          </cell>
          <cell r="X1147">
            <v>197</v>
          </cell>
          <cell r="Y1147">
            <v>18</v>
          </cell>
          <cell r="Z1147">
            <v>7</v>
          </cell>
        </row>
        <row r="1148">
          <cell r="A1148">
            <v>9322224</v>
          </cell>
          <cell r="B1148" t="str">
            <v>玫瑰之舞第2段</v>
          </cell>
          <cell r="C1148" t="str">
            <v>玫瑰之舞第2段</v>
          </cell>
          <cell r="D1148">
            <v>3</v>
          </cell>
          <cell r="E1148">
            <v>40</v>
          </cell>
          <cell r="F1148" t="str">
            <v>第24级，共造成164.7%点伤害</v>
          </cell>
          <cell r="G1148">
            <v>2</v>
          </cell>
          <cell r="H1148">
            <v>2</v>
          </cell>
          <cell r="I1148">
            <v>24</v>
          </cell>
          <cell r="J1148">
            <v>2</v>
          </cell>
          <cell r="K1148">
            <v>82.371428571428567</v>
          </cell>
          <cell r="L1148">
            <v>0</v>
          </cell>
          <cell r="M1148">
            <v>6080</v>
          </cell>
          <cell r="N1148">
            <v>16966</v>
          </cell>
          <cell r="O1148">
            <v>2</v>
          </cell>
          <cell r="P1148">
            <v>2</v>
          </cell>
          <cell r="Q1148">
            <v>1</v>
          </cell>
          <cell r="R1148">
            <v>4</v>
          </cell>
          <cell r="S1148">
            <v>50</v>
          </cell>
          <cell r="T1148">
            <v>66.428571428571431</v>
          </cell>
          <cell r="U1148">
            <v>998</v>
          </cell>
          <cell r="V1148">
            <v>132.85714285714286</v>
          </cell>
          <cell r="W1148">
            <v>17</v>
          </cell>
          <cell r="X1148">
            <v>214</v>
          </cell>
          <cell r="Y1148">
            <v>18</v>
          </cell>
          <cell r="Z1148">
            <v>7</v>
          </cell>
        </row>
        <row r="1149">
          <cell r="A1149">
            <v>9322225</v>
          </cell>
          <cell r="B1149" t="str">
            <v>玫瑰之舞第2段</v>
          </cell>
          <cell r="C1149" t="str">
            <v>玫瑰之舞第2段</v>
          </cell>
          <cell r="D1149">
            <v>3</v>
          </cell>
          <cell r="E1149">
            <v>42</v>
          </cell>
          <cell r="F1149" t="str">
            <v>第25级，共造成166.1%点伤害</v>
          </cell>
          <cell r="G1149">
            <v>2</v>
          </cell>
          <cell r="H1149">
            <v>2</v>
          </cell>
          <cell r="I1149">
            <v>25</v>
          </cell>
          <cell r="J1149">
            <v>2</v>
          </cell>
          <cell r="K1149">
            <v>83.035714285714292</v>
          </cell>
          <cell r="L1149">
            <v>0</v>
          </cell>
          <cell r="M1149">
            <v>6000</v>
          </cell>
          <cell r="N1149">
            <v>21090</v>
          </cell>
          <cell r="O1149">
            <v>2</v>
          </cell>
          <cell r="P1149">
            <v>2</v>
          </cell>
          <cell r="Q1149">
            <v>1</v>
          </cell>
          <cell r="R1149">
            <v>4</v>
          </cell>
          <cell r="S1149">
            <v>50</v>
          </cell>
          <cell r="T1149">
            <v>66.428571428571431</v>
          </cell>
          <cell r="U1149">
            <v>1110</v>
          </cell>
          <cell r="V1149">
            <v>132.85714285714286</v>
          </cell>
          <cell r="W1149">
            <v>19</v>
          </cell>
          <cell r="X1149">
            <v>233</v>
          </cell>
          <cell r="Y1149">
            <v>18</v>
          </cell>
          <cell r="Z1149">
            <v>8</v>
          </cell>
        </row>
        <row r="1150">
          <cell r="A1150">
            <v>9322226</v>
          </cell>
          <cell r="B1150" t="str">
            <v>玫瑰之舞第2段</v>
          </cell>
          <cell r="C1150" t="str">
            <v>玫瑰之舞第2段</v>
          </cell>
          <cell r="D1150">
            <v>3</v>
          </cell>
          <cell r="E1150">
            <v>44</v>
          </cell>
          <cell r="F1150" t="str">
            <v>第26级，共造成167.4%点伤害</v>
          </cell>
          <cell r="G1150">
            <v>2</v>
          </cell>
          <cell r="H1150">
            <v>2</v>
          </cell>
          <cell r="I1150">
            <v>26</v>
          </cell>
          <cell r="J1150">
            <v>2</v>
          </cell>
          <cell r="K1150">
            <v>83.7</v>
          </cell>
          <cell r="L1150">
            <v>0</v>
          </cell>
          <cell r="M1150">
            <v>5920</v>
          </cell>
          <cell r="N1150">
            <v>24520</v>
          </cell>
          <cell r="O1150">
            <v>2</v>
          </cell>
          <cell r="P1150">
            <v>2</v>
          </cell>
          <cell r="Q1150">
            <v>1</v>
          </cell>
          <cell r="R1150">
            <v>4</v>
          </cell>
          <cell r="S1150">
            <v>50</v>
          </cell>
          <cell r="T1150">
            <v>66.428571428571431</v>
          </cell>
          <cell r="U1150">
            <v>1226</v>
          </cell>
          <cell r="V1150">
            <v>132.85714285714286</v>
          </cell>
          <cell r="W1150">
            <v>20</v>
          </cell>
          <cell r="X1150">
            <v>253</v>
          </cell>
          <cell r="Y1150">
            <v>18</v>
          </cell>
          <cell r="Z1150">
            <v>8</v>
          </cell>
        </row>
        <row r="1151">
          <cell r="A1151">
            <v>9322227</v>
          </cell>
          <cell r="B1151" t="str">
            <v>玫瑰之舞第2段</v>
          </cell>
          <cell r="C1151" t="str">
            <v>玫瑰之舞第2段</v>
          </cell>
          <cell r="D1151">
            <v>3</v>
          </cell>
          <cell r="E1151">
            <v>45</v>
          </cell>
          <cell r="F1151" t="str">
            <v>第27级，共造成168.7%点伤害</v>
          </cell>
          <cell r="G1151">
            <v>2</v>
          </cell>
          <cell r="H1151">
            <v>2</v>
          </cell>
          <cell r="I1151">
            <v>27</v>
          </cell>
          <cell r="J1151">
            <v>2</v>
          </cell>
          <cell r="K1151">
            <v>84.364285714285714</v>
          </cell>
          <cell r="L1151">
            <v>0</v>
          </cell>
          <cell r="M1151">
            <v>5840</v>
          </cell>
          <cell r="N1151">
            <v>27027</v>
          </cell>
          <cell r="O1151">
            <v>2</v>
          </cell>
          <cell r="P1151">
            <v>2</v>
          </cell>
          <cell r="Q1151">
            <v>1</v>
          </cell>
          <cell r="R1151">
            <v>4</v>
          </cell>
          <cell r="S1151">
            <v>50</v>
          </cell>
          <cell r="T1151">
            <v>66.428571428571431</v>
          </cell>
          <cell r="U1151">
            <v>1287</v>
          </cell>
          <cell r="V1151">
            <v>132.85714285714286</v>
          </cell>
          <cell r="W1151">
            <v>21</v>
          </cell>
          <cell r="X1151">
            <v>274</v>
          </cell>
          <cell r="Y1151">
            <v>18</v>
          </cell>
          <cell r="Z1151">
            <v>9</v>
          </cell>
        </row>
        <row r="1152">
          <cell r="A1152">
            <v>9322228</v>
          </cell>
          <cell r="B1152" t="str">
            <v>玫瑰之舞第2段</v>
          </cell>
          <cell r="C1152" t="str">
            <v>玫瑰之舞第2段</v>
          </cell>
          <cell r="D1152">
            <v>3</v>
          </cell>
          <cell r="E1152">
            <v>47</v>
          </cell>
          <cell r="F1152" t="str">
            <v>第28级，共造成170.1%点伤害</v>
          </cell>
          <cell r="G1152">
            <v>2</v>
          </cell>
          <cell r="H1152">
            <v>2</v>
          </cell>
          <cell r="I1152">
            <v>28</v>
          </cell>
          <cell r="J1152">
            <v>2</v>
          </cell>
          <cell r="K1152">
            <v>85.028571428571425</v>
          </cell>
          <cell r="L1152">
            <v>0</v>
          </cell>
          <cell r="M1152">
            <v>5760</v>
          </cell>
          <cell r="N1152">
            <v>32476</v>
          </cell>
          <cell r="O1152">
            <v>2</v>
          </cell>
          <cell r="P1152">
            <v>2</v>
          </cell>
          <cell r="Q1152">
            <v>1</v>
          </cell>
          <cell r="R1152">
            <v>4</v>
          </cell>
          <cell r="S1152">
            <v>50</v>
          </cell>
          <cell r="T1152">
            <v>66.428571428571431</v>
          </cell>
          <cell r="U1152">
            <v>1412</v>
          </cell>
          <cell r="V1152">
            <v>132.85714285714286</v>
          </cell>
          <cell r="W1152">
            <v>23</v>
          </cell>
          <cell r="X1152">
            <v>297</v>
          </cell>
          <cell r="Y1152">
            <v>18</v>
          </cell>
          <cell r="Z1152">
            <v>10</v>
          </cell>
        </row>
        <row r="1153">
          <cell r="A1153">
            <v>9322229</v>
          </cell>
          <cell r="B1153" t="str">
            <v>玫瑰之舞第2段</v>
          </cell>
          <cell r="C1153" t="str">
            <v>玫瑰之舞第2段</v>
          </cell>
          <cell r="D1153">
            <v>3</v>
          </cell>
          <cell r="E1153">
            <v>48</v>
          </cell>
          <cell r="F1153" t="str">
            <v>第29级，共造成171.4%点伤害</v>
          </cell>
          <cell r="G1153">
            <v>2</v>
          </cell>
          <cell r="H1153">
            <v>2</v>
          </cell>
          <cell r="I1153">
            <v>29</v>
          </cell>
          <cell r="J1153">
            <v>2</v>
          </cell>
          <cell r="K1153">
            <v>85.69285714285715</v>
          </cell>
          <cell r="L1153">
            <v>0</v>
          </cell>
          <cell r="M1153">
            <v>5680</v>
          </cell>
          <cell r="N1153">
            <v>36925</v>
          </cell>
          <cell r="O1153">
            <v>2</v>
          </cell>
          <cell r="P1153">
            <v>2</v>
          </cell>
          <cell r="Q1153">
            <v>1</v>
          </cell>
          <cell r="R1153">
            <v>4</v>
          </cell>
          <cell r="S1153">
            <v>50</v>
          </cell>
          <cell r="T1153">
            <v>66.428571428571431</v>
          </cell>
          <cell r="U1153">
            <v>1477</v>
          </cell>
          <cell r="V1153">
            <v>132.85714285714286</v>
          </cell>
          <cell r="W1153">
            <v>25</v>
          </cell>
          <cell r="X1153">
            <v>322</v>
          </cell>
          <cell r="Y1153">
            <v>18</v>
          </cell>
          <cell r="Z1153">
            <v>10</v>
          </cell>
        </row>
        <row r="1154">
          <cell r="A1154">
            <v>9322230</v>
          </cell>
          <cell r="B1154" t="str">
            <v>玫瑰之舞第2段</v>
          </cell>
          <cell r="C1154" t="str">
            <v>玫瑰之舞第2段</v>
          </cell>
          <cell r="D1154">
            <v>3</v>
          </cell>
          <cell r="E1154">
            <v>50</v>
          </cell>
          <cell r="F1154" t="str">
            <v>第30级，共造成172.7%点伤害</v>
          </cell>
          <cell r="G1154">
            <v>2</v>
          </cell>
          <cell r="H1154">
            <v>2</v>
          </cell>
          <cell r="I1154">
            <v>30</v>
          </cell>
          <cell r="J1154">
            <v>2</v>
          </cell>
          <cell r="K1154">
            <v>86.357142857142861</v>
          </cell>
          <cell r="L1154">
            <v>0</v>
          </cell>
          <cell r="M1154">
            <v>5600</v>
          </cell>
          <cell r="N1154">
            <v>41860</v>
          </cell>
          <cell r="O1154">
            <v>2</v>
          </cell>
          <cell r="P1154">
            <v>2</v>
          </cell>
          <cell r="Q1154">
            <v>1</v>
          </cell>
          <cell r="R1154">
            <v>4</v>
          </cell>
          <cell r="S1154">
            <v>50</v>
          </cell>
          <cell r="T1154">
            <v>66.428571428571431</v>
          </cell>
          <cell r="U1154">
            <v>1610</v>
          </cell>
          <cell r="V1154">
            <v>132.85714285714286</v>
          </cell>
          <cell r="W1154">
            <v>26</v>
          </cell>
          <cell r="X1154">
            <v>348</v>
          </cell>
          <cell r="Y1154">
            <v>18</v>
          </cell>
          <cell r="Z1154">
            <v>11</v>
          </cell>
        </row>
        <row r="1155">
          <cell r="A1155">
            <v>9322231</v>
          </cell>
          <cell r="B1155" t="str">
            <v>玫瑰之舞第2段</v>
          </cell>
          <cell r="C1155" t="str">
            <v>玫瑰之舞第2段</v>
          </cell>
          <cell r="D1155">
            <v>3</v>
          </cell>
          <cell r="E1155">
            <v>51</v>
          </cell>
          <cell r="F1155" t="str">
            <v>第31级，共造成174%点伤害</v>
          </cell>
          <cell r="G1155">
            <v>2</v>
          </cell>
          <cell r="H1155">
            <v>2</v>
          </cell>
          <cell r="I1155">
            <v>31</v>
          </cell>
          <cell r="J1155">
            <v>2</v>
          </cell>
          <cell r="K1155">
            <v>87.021428571428572</v>
          </cell>
          <cell r="L1155">
            <v>0</v>
          </cell>
          <cell r="M1155">
            <v>5520</v>
          </cell>
          <cell r="N1155">
            <v>47012</v>
          </cell>
          <cell r="O1155">
            <v>2</v>
          </cell>
          <cell r="P1155">
            <v>2</v>
          </cell>
          <cell r="Q1155">
            <v>1</v>
          </cell>
          <cell r="R1155">
            <v>4</v>
          </cell>
          <cell r="S1155">
            <v>50</v>
          </cell>
          <cell r="T1155">
            <v>66.428571428571431</v>
          </cell>
          <cell r="U1155">
            <v>1679</v>
          </cell>
          <cell r="V1155">
            <v>132.85714285714286</v>
          </cell>
          <cell r="W1155">
            <v>28</v>
          </cell>
          <cell r="X1155">
            <v>376</v>
          </cell>
          <cell r="Y1155">
            <v>18</v>
          </cell>
          <cell r="Z1155">
            <v>12</v>
          </cell>
        </row>
        <row r="1156">
          <cell r="A1156">
            <v>9322232</v>
          </cell>
          <cell r="B1156" t="str">
            <v>玫瑰之舞第2段</v>
          </cell>
          <cell r="C1156" t="str">
            <v>玫瑰之舞第2段</v>
          </cell>
          <cell r="D1156">
            <v>3</v>
          </cell>
          <cell r="E1156">
            <v>53</v>
          </cell>
          <cell r="F1156" t="str">
            <v>第32级，共造成175.4%点伤害</v>
          </cell>
          <cell r="G1156">
            <v>2</v>
          </cell>
          <cell r="H1156">
            <v>2</v>
          </cell>
          <cell r="I1156">
            <v>32</v>
          </cell>
          <cell r="J1156">
            <v>2</v>
          </cell>
          <cell r="K1156">
            <v>87.685714285714283</v>
          </cell>
          <cell r="L1156">
            <v>0</v>
          </cell>
          <cell r="M1156">
            <v>5440</v>
          </cell>
          <cell r="N1156">
            <v>54600</v>
          </cell>
          <cell r="O1156">
            <v>2</v>
          </cell>
          <cell r="P1156">
            <v>2</v>
          </cell>
          <cell r="Q1156">
            <v>1</v>
          </cell>
          <cell r="R1156">
            <v>4</v>
          </cell>
          <cell r="S1156">
            <v>50</v>
          </cell>
          <cell r="T1156">
            <v>66.428571428571431</v>
          </cell>
          <cell r="U1156">
            <v>1820</v>
          </cell>
          <cell r="V1156">
            <v>132.85714285714286</v>
          </cell>
          <cell r="W1156">
            <v>30</v>
          </cell>
          <cell r="X1156">
            <v>406</v>
          </cell>
          <cell r="Y1156">
            <v>18</v>
          </cell>
          <cell r="Z1156">
            <v>12</v>
          </cell>
        </row>
        <row r="1157">
          <cell r="A1157">
            <v>9322233</v>
          </cell>
          <cell r="B1157" t="str">
            <v>玫瑰之舞第2段</v>
          </cell>
          <cell r="C1157" t="str">
            <v>玫瑰之舞第2段</v>
          </cell>
          <cell r="D1157">
            <v>3</v>
          </cell>
          <cell r="E1157">
            <v>54</v>
          </cell>
          <cell r="F1157" t="str">
            <v>第33级，共造成176.7%点伤害</v>
          </cell>
          <cell r="G1157">
            <v>2</v>
          </cell>
          <cell r="H1157">
            <v>2</v>
          </cell>
          <cell r="I1157">
            <v>33</v>
          </cell>
          <cell r="J1157">
            <v>2</v>
          </cell>
          <cell r="K1157">
            <v>88.35</v>
          </cell>
          <cell r="L1157">
            <v>0</v>
          </cell>
          <cell r="M1157">
            <v>5360</v>
          </cell>
          <cell r="N1157">
            <v>60576</v>
          </cell>
          <cell r="O1157">
            <v>2</v>
          </cell>
          <cell r="P1157">
            <v>2</v>
          </cell>
          <cell r="Q1157">
            <v>1</v>
          </cell>
          <cell r="R1157">
            <v>4</v>
          </cell>
          <cell r="S1157">
            <v>50</v>
          </cell>
          <cell r="T1157">
            <v>66.428571428571431</v>
          </cell>
          <cell r="U1157">
            <v>1893</v>
          </cell>
          <cell r="V1157">
            <v>132.85714285714286</v>
          </cell>
          <cell r="W1157">
            <v>32</v>
          </cell>
          <cell r="X1157">
            <v>438</v>
          </cell>
          <cell r="Y1157">
            <v>18</v>
          </cell>
          <cell r="Z1157">
            <v>13</v>
          </cell>
        </row>
        <row r="1158">
          <cell r="A1158">
            <v>9322234</v>
          </cell>
          <cell r="B1158" t="str">
            <v>玫瑰之舞第2段</v>
          </cell>
          <cell r="C1158" t="str">
            <v>玫瑰之舞第2段</v>
          </cell>
          <cell r="D1158">
            <v>3</v>
          </cell>
          <cell r="E1158">
            <v>56</v>
          </cell>
          <cell r="F1158" t="str">
            <v>第34级，共造成178%点伤害</v>
          </cell>
          <cell r="G1158">
            <v>2</v>
          </cell>
          <cell r="H1158">
            <v>2</v>
          </cell>
          <cell r="I1158">
            <v>34</v>
          </cell>
          <cell r="J1158">
            <v>2</v>
          </cell>
          <cell r="K1158">
            <v>89.01428571428572</v>
          </cell>
          <cell r="L1158">
            <v>0</v>
          </cell>
          <cell r="M1158">
            <v>5280</v>
          </cell>
          <cell r="N1158">
            <v>69428</v>
          </cell>
          <cell r="O1158">
            <v>2</v>
          </cell>
          <cell r="P1158">
            <v>2</v>
          </cell>
          <cell r="Q1158">
            <v>1</v>
          </cell>
          <cell r="R1158">
            <v>4</v>
          </cell>
          <cell r="S1158">
            <v>50</v>
          </cell>
          <cell r="T1158">
            <v>66.428571428571431</v>
          </cell>
          <cell r="U1158">
            <v>2042</v>
          </cell>
          <cell r="V1158">
            <v>132.85714285714286</v>
          </cell>
          <cell r="W1158">
            <v>34</v>
          </cell>
          <cell r="X1158">
            <v>472</v>
          </cell>
          <cell r="Y1158">
            <v>18</v>
          </cell>
          <cell r="Z1158">
            <v>14</v>
          </cell>
        </row>
        <row r="1159">
          <cell r="A1159">
            <v>9322235</v>
          </cell>
          <cell r="B1159" t="str">
            <v>玫瑰之舞第2段</v>
          </cell>
          <cell r="C1159" t="str">
            <v>玫瑰之舞第2段</v>
          </cell>
          <cell r="D1159">
            <v>3</v>
          </cell>
          <cell r="E1159">
            <v>57</v>
          </cell>
          <cell r="F1159" t="str">
            <v>第35级，共造成179.4%点伤害</v>
          </cell>
          <cell r="G1159">
            <v>2</v>
          </cell>
          <cell r="H1159">
            <v>2</v>
          </cell>
          <cell r="I1159">
            <v>35</v>
          </cell>
          <cell r="J1159">
            <v>2</v>
          </cell>
          <cell r="K1159">
            <v>89.678571428571431</v>
          </cell>
          <cell r="L1159">
            <v>0</v>
          </cell>
          <cell r="M1159">
            <v>5200</v>
          </cell>
          <cell r="N1159">
            <v>76284</v>
          </cell>
          <cell r="O1159">
            <v>2</v>
          </cell>
          <cell r="P1159">
            <v>2</v>
          </cell>
          <cell r="Q1159">
            <v>1</v>
          </cell>
          <cell r="R1159">
            <v>4</v>
          </cell>
          <cell r="S1159">
            <v>50</v>
          </cell>
          <cell r="T1159">
            <v>66.428571428571431</v>
          </cell>
          <cell r="U1159">
            <v>2119</v>
          </cell>
          <cell r="V1159">
            <v>132.85714285714286</v>
          </cell>
          <cell r="W1159">
            <v>36</v>
          </cell>
          <cell r="X1159">
            <v>508</v>
          </cell>
          <cell r="Y1159">
            <v>18</v>
          </cell>
          <cell r="Z1159">
            <v>15</v>
          </cell>
        </row>
        <row r="1160">
          <cell r="A1160">
            <v>9322236</v>
          </cell>
          <cell r="B1160" t="str">
            <v>玫瑰之舞第2段</v>
          </cell>
          <cell r="C1160" t="str">
            <v>玫瑰之舞第2段</v>
          </cell>
          <cell r="D1160">
            <v>3</v>
          </cell>
          <cell r="E1160">
            <v>59</v>
          </cell>
          <cell r="F1160" t="str">
            <v>第36级，共造成180.7%点伤害</v>
          </cell>
          <cell r="G1160">
            <v>2</v>
          </cell>
          <cell r="H1160">
            <v>2</v>
          </cell>
          <cell r="I1160">
            <v>36</v>
          </cell>
          <cell r="J1160">
            <v>2</v>
          </cell>
          <cell r="K1160">
            <v>90.342857142857142</v>
          </cell>
          <cell r="L1160">
            <v>0</v>
          </cell>
          <cell r="M1160">
            <v>5120</v>
          </cell>
          <cell r="N1160">
            <v>88803</v>
          </cell>
          <cell r="O1160">
            <v>2</v>
          </cell>
          <cell r="P1160">
            <v>2</v>
          </cell>
          <cell r="Q1160">
            <v>1</v>
          </cell>
          <cell r="R1160">
            <v>4</v>
          </cell>
          <cell r="S1160">
            <v>50</v>
          </cell>
          <cell r="T1160">
            <v>66.428571428571431</v>
          </cell>
          <cell r="U1160">
            <v>2277</v>
          </cell>
          <cell r="V1160">
            <v>132.85714285714286</v>
          </cell>
          <cell r="W1160">
            <v>39</v>
          </cell>
          <cell r="X1160">
            <v>547</v>
          </cell>
          <cell r="Y1160">
            <v>18</v>
          </cell>
          <cell r="Z1160">
            <v>16</v>
          </cell>
        </row>
        <row r="1161">
          <cell r="A1161">
            <v>9322237</v>
          </cell>
          <cell r="B1161" t="str">
            <v>玫瑰之舞第2段</v>
          </cell>
          <cell r="C1161" t="str">
            <v>玫瑰之舞第2段</v>
          </cell>
          <cell r="D1161">
            <v>3</v>
          </cell>
          <cell r="E1161">
            <v>60</v>
          </cell>
          <cell r="F1161" t="str">
            <v>第37级，共造成182%点伤害</v>
          </cell>
          <cell r="G1161">
            <v>2</v>
          </cell>
          <cell r="H1161">
            <v>2</v>
          </cell>
          <cell r="I1161">
            <v>37</v>
          </cell>
          <cell r="J1161">
            <v>2</v>
          </cell>
          <cell r="K1161">
            <v>91.007142857142867</v>
          </cell>
          <cell r="L1161">
            <v>0</v>
          </cell>
          <cell r="M1161">
            <v>5040</v>
          </cell>
          <cell r="N1161">
            <v>99036</v>
          </cell>
          <cell r="O1161">
            <v>2</v>
          </cell>
          <cell r="P1161">
            <v>2</v>
          </cell>
          <cell r="Q1161">
            <v>1</v>
          </cell>
          <cell r="R1161">
            <v>4</v>
          </cell>
          <cell r="S1161">
            <v>50</v>
          </cell>
          <cell r="T1161">
            <v>66.428571428571431</v>
          </cell>
          <cell r="U1161">
            <v>2358</v>
          </cell>
          <cell r="V1161">
            <v>132.85714285714286</v>
          </cell>
          <cell r="W1161">
            <v>42</v>
          </cell>
          <cell r="X1161">
            <v>589</v>
          </cell>
          <cell r="Y1161">
            <v>18</v>
          </cell>
          <cell r="Z1161">
            <v>17</v>
          </cell>
        </row>
        <row r="1162">
          <cell r="A1162">
            <v>9322238</v>
          </cell>
          <cell r="B1162" t="str">
            <v>玫瑰之舞第2段</v>
          </cell>
          <cell r="C1162" t="str">
            <v>玫瑰之舞第2段</v>
          </cell>
          <cell r="D1162">
            <v>3</v>
          </cell>
          <cell r="E1162">
            <v>62</v>
          </cell>
          <cell r="F1162" t="str">
            <v>第38级，共造成183.3%点伤害</v>
          </cell>
          <cell r="G1162">
            <v>2</v>
          </cell>
          <cell r="H1162">
            <v>2</v>
          </cell>
          <cell r="I1162">
            <v>38</v>
          </cell>
          <cell r="J1162">
            <v>2</v>
          </cell>
          <cell r="K1162">
            <v>91.671428571428578</v>
          </cell>
          <cell r="L1162">
            <v>0</v>
          </cell>
          <cell r="M1162">
            <v>4960</v>
          </cell>
          <cell r="N1162">
            <v>113580</v>
          </cell>
          <cell r="O1162">
            <v>2</v>
          </cell>
          <cell r="P1162">
            <v>2</v>
          </cell>
          <cell r="Q1162">
            <v>1</v>
          </cell>
          <cell r="R1162">
            <v>4</v>
          </cell>
          <cell r="S1162">
            <v>50</v>
          </cell>
          <cell r="T1162">
            <v>66.428571428571431</v>
          </cell>
          <cell r="U1162">
            <v>2524</v>
          </cell>
          <cell r="V1162">
            <v>132.85714285714286</v>
          </cell>
          <cell r="W1162">
            <v>45</v>
          </cell>
          <cell r="X1162">
            <v>634</v>
          </cell>
          <cell r="Y1162">
            <v>18</v>
          </cell>
          <cell r="Z1162">
            <v>18</v>
          </cell>
        </row>
        <row r="1163">
          <cell r="A1163">
            <v>9322239</v>
          </cell>
          <cell r="B1163" t="str">
            <v>玫瑰之舞第2段</v>
          </cell>
          <cell r="C1163" t="str">
            <v>玫瑰之舞第2段</v>
          </cell>
          <cell r="D1163">
            <v>3</v>
          </cell>
          <cell r="E1163">
            <v>63</v>
          </cell>
          <cell r="F1163" t="str">
            <v>第39级，共造成184.7%点伤害</v>
          </cell>
          <cell r="G1163">
            <v>2</v>
          </cell>
          <cell r="H1163">
            <v>2</v>
          </cell>
          <cell r="I1163">
            <v>39</v>
          </cell>
          <cell r="J1163">
            <v>2</v>
          </cell>
          <cell r="K1163">
            <v>92.335714285714289</v>
          </cell>
          <cell r="L1163">
            <v>0</v>
          </cell>
          <cell r="M1163">
            <v>4880</v>
          </cell>
          <cell r="N1163">
            <v>125232</v>
          </cell>
          <cell r="O1163">
            <v>2</v>
          </cell>
          <cell r="P1163">
            <v>2</v>
          </cell>
          <cell r="Q1163">
            <v>1</v>
          </cell>
          <cell r="R1163">
            <v>4</v>
          </cell>
          <cell r="S1163">
            <v>50</v>
          </cell>
          <cell r="T1163">
            <v>66.428571428571431</v>
          </cell>
          <cell r="U1163">
            <v>2609</v>
          </cell>
          <cell r="V1163">
            <v>132.85714285714286</v>
          </cell>
          <cell r="W1163">
            <v>48</v>
          </cell>
          <cell r="X1163">
            <v>682</v>
          </cell>
          <cell r="Y1163">
            <v>18</v>
          </cell>
          <cell r="Z1163">
            <v>20</v>
          </cell>
        </row>
        <row r="1164">
          <cell r="A1164">
            <v>9322240</v>
          </cell>
          <cell r="B1164" t="str">
            <v>玫瑰之舞第2段</v>
          </cell>
          <cell r="C1164" t="str">
            <v>玫瑰之舞第2段</v>
          </cell>
          <cell r="D1164">
            <v>3</v>
          </cell>
          <cell r="E1164">
            <v>65</v>
          </cell>
          <cell r="F1164" t="str">
            <v>第40级，共造成186%点伤害</v>
          </cell>
          <cell r="G1164">
            <v>2</v>
          </cell>
          <cell r="H1164">
            <v>2</v>
          </cell>
          <cell r="I1164">
            <v>40</v>
          </cell>
          <cell r="J1164">
            <v>2</v>
          </cell>
          <cell r="K1164">
            <v>93</v>
          </cell>
          <cell r="L1164">
            <v>0</v>
          </cell>
          <cell r="M1164">
            <v>4800</v>
          </cell>
          <cell r="N1164">
            <v>141933</v>
          </cell>
          <cell r="O1164">
            <v>2</v>
          </cell>
          <cell r="P1164">
            <v>2</v>
          </cell>
          <cell r="Q1164">
            <v>1</v>
          </cell>
          <cell r="R1164">
            <v>4</v>
          </cell>
          <cell r="S1164">
            <v>50</v>
          </cell>
          <cell r="T1164">
            <v>66.428571428571431</v>
          </cell>
          <cell r="U1164">
            <v>2783</v>
          </cell>
          <cell r="V1164">
            <v>132.85714285714286</v>
          </cell>
          <cell r="W1164">
            <v>51</v>
          </cell>
          <cell r="X1164">
            <v>733</v>
          </cell>
          <cell r="Y1164">
            <v>18</v>
          </cell>
          <cell r="Z1164">
            <v>21</v>
          </cell>
        </row>
        <row r="1165">
          <cell r="A1165">
            <v>9322241</v>
          </cell>
          <cell r="B1165" t="str">
            <v>玫瑰之舞第2段</v>
          </cell>
          <cell r="C1165" t="str">
            <v>玫瑰之舞第2段</v>
          </cell>
          <cell r="D1165">
            <v>3</v>
          </cell>
          <cell r="E1165">
            <v>66</v>
          </cell>
          <cell r="F1165" t="str">
            <v>第41级，共造成187.3%点伤害</v>
          </cell>
          <cell r="G1165">
            <v>2</v>
          </cell>
          <cell r="H1165">
            <v>2</v>
          </cell>
          <cell r="I1165">
            <v>41</v>
          </cell>
          <cell r="J1165">
            <v>2</v>
          </cell>
          <cell r="K1165">
            <v>93.664285714285711</v>
          </cell>
          <cell r="L1165">
            <v>0</v>
          </cell>
          <cell r="M1165">
            <v>4720</v>
          </cell>
          <cell r="N1165">
            <v>157960</v>
          </cell>
          <cell r="O1165">
            <v>2</v>
          </cell>
          <cell r="P1165">
            <v>2</v>
          </cell>
          <cell r="Q1165">
            <v>1</v>
          </cell>
          <cell r="R1165">
            <v>4</v>
          </cell>
          <cell r="S1165">
            <v>50</v>
          </cell>
          <cell r="T1165">
            <v>66.428571428571431</v>
          </cell>
          <cell r="U1165">
            <v>2872</v>
          </cell>
          <cell r="V1165">
            <v>132.85714285714286</v>
          </cell>
          <cell r="W1165">
            <v>55</v>
          </cell>
          <cell r="X1165">
            <v>788</v>
          </cell>
          <cell r="Y1165">
            <v>18</v>
          </cell>
          <cell r="Z1165">
            <v>22</v>
          </cell>
        </row>
        <row r="1166">
          <cell r="A1166">
            <v>9322242</v>
          </cell>
          <cell r="B1166" t="str">
            <v>玫瑰之舞第2段</v>
          </cell>
          <cell r="C1166" t="str">
            <v>玫瑰之舞第2段</v>
          </cell>
          <cell r="D1166">
            <v>3</v>
          </cell>
          <cell r="E1166">
            <v>68</v>
          </cell>
          <cell r="F1166" t="str">
            <v>第42级，共造成188.7%点伤害</v>
          </cell>
          <cell r="G1166">
            <v>2</v>
          </cell>
          <cell r="H1166">
            <v>2</v>
          </cell>
          <cell r="I1166">
            <v>42</v>
          </cell>
          <cell r="J1166">
            <v>2</v>
          </cell>
          <cell r="K1166">
            <v>94.328571428571422</v>
          </cell>
          <cell r="L1166">
            <v>0</v>
          </cell>
          <cell r="M1166">
            <v>4640</v>
          </cell>
          <cell r="N1166">
            <v>177132</v>
          </cell>
          <cell r="O1166">
            <v>2</v>
          </cell>
          <cell r="P1166">
            <v>2</v>
          </cell>
          <cell r="Q1166">
            <v>1</v>
          </cell>
          <cell r="R1166">
            <v>4</v>
          </cell>
          <cell r="S1166">
            <v>50</v>
          </cell>
          <cell r="T1166">
            <v>66.428571428571431</v>
          </cell>
          <cell r="U1166">
            <v>3054</v>
          </cell>
          <cell r="V1166">
            <v>132.85714285714286</v>
          </cell>
          <cell r="W1166">
            <v>58</v>
          </cell>
          <cell r="X1166">
            <v>846</v>
          </cell>
          <cell r="Y1166">
            <v>18</v>
          </cell>
          <cell r="Z1166">
            <v>24</v>
          </cell>
        </row>
        <row r="1167">
          <cell r="A1167">
            <v>9322243</v>
          </cell>
          <cell r="B1167" t="str">
            <v>玫瑰之舞第2段</v>
          </cell>
          <cell r="C1167" t="str">
            <v>玫瑰之舞第2段</v>
          </cell>
          <cell r="D1167">
            <v>3</v>
          </cell>
          <cell r="E1167">
            <v>69</v>
          </cell>
          <cell r="F1167" t="str">
            <v>第43级，共造成190%点伤害</v>
          </cell>
          <cell r="G1167">
            <v>2</v>
          </cell>
          <cell r="H1167">
            <v>2</v>
          </cell>
          <cell r="I1167">
            <v>43</v>
          </cell>
          <cell r="J1167">
            <v>2</v>
          </cell>
          <cell r="K1167">
            <v>94.992857142857147</v>
          </cell>
          <cell r="L1167">
            <v>0</v>
          </cell>
          <cell r="M1167">
            <v>4560</v>
          </cell>
          <cell r="N1167">
            <v>198261</v>
          </cell>
          <cell r="O1167">
            <v>2</v>
          </cell>
          <cell r="P1167">
            <v>2</v>
          </cell>
          <cell r="Q1167">
            <v>1</v>
          </cell>
          <cell r="R1167">
            <v>4</v>
          </cell>
          <cell r="S1167">
            <v>50</v>
          </cell>
          <cell r="T1167">
            <v>66.428571428571431</v>
          </cell>
          <cell r="U1167">
            <v>3147</v>
          </cell>
          <cell r="V1167">
            <v>132.85714285714286</v>
          </cell>
          <cell r="W1167">
            <v>63</v>
          </cell>
          <cell r="X1167">
            <v>909</v>
          </cell>
          <cell r="Y1167">
            <v>18</v>
          </cell>
          <cell r="Z1167">
            <v>26</v>
          </cell>
        </row>
        <row r="1168">
          <cell r="A1168">
            <v>9322244</v>
          </cell>
          <cell r="B1168" t="str">
            <v>玫瑰之舞第2段</v>
          </cell>
          <cell r="C1168" t="str">
            <v>玫瑰之舞第2段</v>
          </cell>
          <cell r="D1168">
            <v>3</v>
          </cell>
          <cell r="E1168">
            <v>71</v>
          </cell>
          <cell r="F1168" t="str">
            <v>第44级，共造成191.3%点伤害</v>
          </cell>
          <cell r="G1168">
            <v>2</v>
          </cell>
          <cell r="H1168">
            <v>2</v>
          </cell>
          <cell r="I1168">
            <v>44</v>
          </cell>
          <cell r="J1168">
            <v>2</v>
          </cell>
          <cell r="K1168">
            <v>95.657142857142858</v>
          </cell>
          <cell r="L1168">
            <v>0</v>
          </cell>
          <cell r="M1168">
            <v>4480</v>
          </cell>
          <cell r="N1168">
            <v>223646</v>
          </cell>
          <cell r="O1168">
            <v>2</v>
          </cell>
          <cell r="P1168">
            <v>2</v>
          </cell>
          <cell r="Q1168">
            <v>1</v>
          </cell>
          <cell r="R1168">
            <v>4</v>
          </cell>
          <cell r="S1168">
            <v>50</v>
          </cell>
          <cell r="T1168">
            <v>66.428571428571431</v>
          </cell>
          <cell r="U1168">
            <v>3338</v>
          </cell>
          <cell r="V1168">
            <v>132.85714285714286</v>
          </cell>
          <cell r="W1168">
            <v>67</v>
          </cell>
          <cell r="X1168">
            <v>976</v>
          </cell>
          <cell r="Y1168">
            <v>18</v>
          </cell>
          <cell r="Z1168">
            <v>27</v>
          </cell>
        </row>
        <row r="1169">
          <cell r="A1169">
            <v>9322245</v>
          </cell>
          <cell r="B1169" t="str">
            <v>玫瑰之舞第2段</v>
          </cell>
          <cell r="C1169" t="str">
            <v>玫瑰之舞第2段</v>
          </cell>
          <cell r="D1169">
            <v>3</v>
          </cell>
          <cell r="E1169">
            <v>72</v>
          </cell>
          <cell r="F1169" t="str">
            <v>第45级，共造成192.6%点伤害</v>
          </cell>
          <cell r="G1169">
            <v>2</v>
          </cell>
          <cell r="H1169">
            <v>2</v>
          </cell>
          <cell r="I1169">
            <v>45</v>
          </cell>
          <cell r="J1169">
            <v>2</v>
          </cell>
          <cell r="K1169">
            <v>96.321428571428569</v>
          </cell>
          <cell r="L1169">
            <v>0</v>
          </cell>
          <cell r="M1169">
            <v>4400</v>
          </cell>
          <cell r="N1169">
            <v>247320</v>
          </cell>
          <cell r="O1169">
            <v>2</v>
          </cell>
          <cell r="P1169">
            <v>2</v>
          </cell>
          <cell r="Q1169">
            <v>1</v>
          </cell>
          <cell r="R1169">
            <v>4</v>
          </cell>
          <cell r="S1169">
            <v>50</v>
          </cell>
          <cell r="T1169">
            <v>66.428571428571431</v>
          </cell>
          <cell r="U1169">
            <v>3435</v>
          </cell>
          <cell r="V1169">
            <v>132.85714285714286</v>
          </cell>
          <cell r="W1169">
            <v>72</v>
          </cell>
          <cell r="X1169">
            <v>1048</v>
          </cell>
          <cell r="Y1169">
            <v>18</v>
          </cell>
          <cell r="Z1169">
            <v>29</v>
          </cell>
        </row>
        <row r="1170">
          <cell r="A1170">
            <v>9322246</v>
          </cell>
          <cell r="B1170" t="str">
            <v>玫瑰之舞第2段</v>
          </cell>
          <cell r="C1170" t="str">
            <v>玫瑰之舞第2段</v>
          </cell>
          <cell r="D1170">
            <v>3</v>
          </cell>
          <cell r="E1170">
            <v>74</v>
          </cell>
          <cell r="F1170" t="str">
            <v>第46级，共造成194%点伤害</v>
          </cell>
          <cell r="G1170">
            <v>2</v>
          </cell>
          <cell r="H1170">
            <v>2</v>
          </cell>
          <cell r="I1170">
            <v>46</v>
          </cell>
          <cell r="J1170">
            <v>2</v>
          </cell>
          <cell r="K1170">
            <v>96.985714285714295</v>
          </cell>
          <cell r="L1170">
            <v>0</v>
          </cell>
          <cell r="M1170">
            <v>4320</v>
          </cell>
          <cell r="N1170">
            <v>279818</v>
          </cell>
          <cell r="O1170">
            <v>2</v>
          </cell>
          <cell r="P1170">
            <v>2</v>
          </cell>
          <cell r="Q1170">
            <v>1</v>
          </cell>
          <cell r="R1170">
            <v>4</v>
          </cell>
          <cell r="S1170">
            <v>50</v>
          </cell>
          <cell r="T1170">
            <v>66.428571428571431</v>
          </cell>
          <cell r="U1170">
            <v>3634</v>
          </cell>
          <cell r="V1170">
            <v>132.85714285714286</v>
          </cell>
          <cell r="W1170">
            <v>77</v>
          </cell>
          <cell r="X1170">
            <v>1125</v>
          </cell>
          <cell r="Y1170">
            <v>18</v>
          </cell>
          <cell r="Z1170">
            <v>31</v>
          </cell>
        </row>
        <row r="1171">
          <cell r="A1171">
            <v>9322247</v>
          </cell>
          <cell r="B1171" t="str">
            <v>玫瑰之舞第2段</v>
          </cell>
          <cell r="C1171" t="str">
            <v>玫瑰之舞第2段</v>
          </cell>
          <cell r="D1171">
            <v>3</v>
          </cell>
          <cell r="E1171">
            <v>75</v>
          </cell>
          <cell r="F1171" t="str">
            <v>第47级，共造成195.3%点伤害</v>
          </cell>
          <cell r="G1171">
            <v>2</v>
          </cell>
          <cell r="H1171">
            <v>2</v>
          </cell>
          <cell r="I1171">
            <v>47</v>
          </cell>
          <cell r="J1171">
            <v>2</v>
          </cell>
          <cell r="K1171">
            <v>97.65</v>
          </cell>
          <cell r="L1171">
            <v>0</v>
          </cell>
          <cell r="M1171">
            <v>4240</v>
          </cell>
          <cell r="N1171">
            <v>306270</v>
          </cell>
          <cell r="O1171">
            <v>2</v>
          </cell>
          <cell r="P1171">
            <v>2</v>
          </cell>
          <cell r="Q1171">
            <v>1</v>
          </cell>
          <cell r="R1171">
            <v>4</v>
          </cell>
          <cell r="S1171">
            <v>50</v>
          </cell>
          <cell r="T1171">
            <v>66.428571428571431</v>
          </cell>
          <cell r="U1171">
            <v>3735</v>
          </cell>
          <cell r="V1171">
            <v>132.85714285714286</v>
          </cell>
          <cell r="W1171">
            <v>82</v>
          </cell>
          <cell r="X1171">
            <v>1207</v>
          </cell>
          <cell r="Y1171">
            <v>18</v>
          </cell>
          <cell r="Z1171">
            <v>33</v>
          </cell>
        </row>
        <row r="1172">
          <cell r="A1172">
            <v>9322248</v>
          </cell>
          <cell r="B1172" t="str">
            <v>玫瑰之舞第2段</v>
          </cell>
          <cell r="C1172" t="str">
            <v>玫瑰之舞第2段</v>
          </cell>
          <cell r="D1172">
            <v>3</v>
          </cell>
          <cell r="E1172">
            <v>77</v>
          </cell>
          <cell r="F1172" t="str">
            <v>第48级，共造成196.6%点伤害</v>
          </cell>
          <cell r="G1172">
            <v>2</v>
          </cell>
          <cell r="H1172">
            <v>2</v>
          </cell>
          <cell r="I1172">
            <v>48</v>
          </cell>
          <cell r="J1172">
            <v>2</v>
          </cell>
          <cell r="K1172">
            <v>98.314285714285717</v>
          </cell>
          <cell r="L1172">
            <v>0</v>
          </cell>
          <cell r="M1172">
            <v>4160</v>
          </cell>
          <cell r="N1172">
            <v>346896</v>
          </cell>
          <cell r="O1172">
            <v>2</v>
          </cell>
          <cell r="P1172">
            <v>2</v>
          </cell>
          <cell r="Q1172">
            <v>1</v>
          </cell>
          <cell r="R1172">
            <v>4</v>
          </cell>
          <cell r="S1172">
            <v>50</v>
          </cell>
          <cell r="T1172">
            <v>66.428571428571431</v>
          </cell>
          <cell r="U1172">
            <v>3942</v>
          </cell>
          <cell r="V1172">
            <v>132.85714285714286</v>
          </cell>
          <cell r="W1172">
            <v>88</v>
          </cell>
          <cell r="X1172">
            <v>1295</v>
          </cell>
          <cell r="Y1172">
            <v>18</v>
          </cell>
          <cell r="Z1172">
            <v>36</v>
          </cell>
        </row>
        <row r="1173">
          <cell r="A1173">
            <v>9322249</v>
          </cell>
          <cell r="B1173" t="str">
            <v>玫瑰之舞第2段</v>
          </cell>
          <cell r="C1173" t="str">
            <v>玫瑰之舞第2段</v>
          </cell>
          <cell r="D1173">
            <v>3</v>
          </cell>
          <cell r="E1173">
            <v>78</v>
          </cell>
          <cell r="F1173" t="str">
            <v>第49级，共造成198%点伤害</v>
          </cell>
          <cell r="G1173">
            <v>2</v>
          </cell>
          <cell r="H1173">
            <v>2</v>
          </cell>
          <cell r="I1173">
            <v>49</v>
          </cell>
          <cell r="J1173">
            <v>2</v>
          </cell>
          <cell r="K1173">
            <v>98.978571428571428</v>
          </cell>
          <cell r="L1173">
            <v>0</v>
          </cell>
          <cell r="M1173">
            <v>4080</v>
          </cell>
          <cell r="N1173">
            <v>380418</v>
          </cell>
          <cell r="O1173">
            <v>2</v>
          </cell>
          <cell r="P1173">
            <v>2</v>
          </cell>
          <cell r="Q1173">
            <v>1</v>
          </cell>
          <cell r="R1173">
            <v>4</v>
          </cell>
          <cell r="S1173">
            <v>50</v>
          </cell>
          <cell r="T1173">
            <v>66.428571428571431</v>
          </cell>
          <cell r="U1173">
            <v>4047</v>
          </cell>
          <cell r="V1173">
            <v>132.85714285714286</v>
          </cell>
          <cell r="W1173">
            <v>94</v>
          </cell>
          <cell r="X1173">
            <v>1389</v>
          </cell>
          <cell r="Y1173">
            <v>18</v>
          </cell>
          <cell r="Z1173">
            <v>38</v>
          </cell>
        </row>
        <row r="1174">
          <cell r="A1174">
            <v>9322250</v>
          </cell>
          <cell r="B1174" t="str">
            <v>玫瑰之舞第2段</v>
          </cell>
          <cell r="C1174" t="str">
            <v>玫瑰之舞第2段</v>
          </cell>
          <cell r="D1174">
            <v>3</v>
          </cell>
          <cell r="E1174">
            <v>80</v>
          </cell>
          <cell r="F1174" t="str">
            <v>第50级，共造成199.3%点伤害</v>
          </cell>
          <cell r="G1174">
            <v>2</v>
          </cell>
          <cell r="H1174">
            <v>2</v>
          </cell>
          <cell r="I1174">
            <v>50</v>
          </cell>
          <cell r="J1174">
            <v>2</v>
          </cell>
          <cell r="K1174">
            <v>99.642857142857139</v>
          </cell>
          <cell r="L1174">
            <v>0</v>
          </cell>
          <cell r="M1174">
            <v>4000</v>
          </cell>
          <cell r="N1174">
            <v>430462</v>
          </cell>
          <cell r="O1174">
            <v>2</v>
          </cell>
          <cell r="P1174">
            <v>2</v>
          </cell>
          <cell r="Q1174">
            <v>1</v>
          </cell>
          <cell r="R1174">
            <v>4</v>
          </cell>
          <cell r="S1174">
            <v>50</v>
          </cell>
          <cell r="T1174">
            <v>66.428571428571431</v>
          </cell>
          <cell r="U1174">
            <v>4262</v>
          </cell>
          <cell r="V1174">
            <v>132.85714285714286</v>
          </cell>
          <cell r="W1174">
            <v>101</v>
          </cell>
          <cell r="X1174">
            <v>1490</v>
          </cell>
          <cell r="Y1174">
            <v>18</v>
          </cell>
          <cell r="Z1174">
            <v>41</v>
          </cell>
        </row>
        <row r="1175">
          <cell r="A1175">
            <v>1</v>
          </cell>
          <cell r="B1175" t="str">
            <v>玫瑰之舞</v>
          </cell>
          <cell r="C1175" t="str">
            <v>玫瑰之舞第3段</v>
          </cell>
          <cell r="D1175">
            <v>3</v>
          </cell>
          <cell r="E1175">
            <v>4</v>
          </cell>
          <cell r="F1175" t="str">
            <v>第0级，共造成132.9%点伤害</v>
          </cell>
          <cell r="G1175">
            <v>0</v>
          </cell>
          <cell r="H1175">
            <v>3</v>
          </cell>
          <cell r="I1175">
            <v>0</v>
          </cell>
          <cell r="J1175">
            <v>2</v>
          </cell>
          <cell r="K1175">
            <v>26.571428571428573</v>
          </cell>
          <cell r="L1175">
            <v>0</v>
          </cell>
          <cell r="M1175">
            <v>8000</v>
          </cell>
          <cell r="N1175">
            <v>0</v>
          </cell>
          <cell r="O1175">
            <v>2</v>
          </cell>
          <cell r="P1175">
            <v>5</v>
          </cell>
          <cell r="Q1175">
            <v>1</v>
          </cell>
          <cell r="R1175">
            <v>7</v>
          </cell>
          <cell r="S1175">
            <v>50</v>
          </cell>
          <cell r="T1175">
            <v>26.571428571428573</v>
          </cell>
          <cell r="U1175">
            <v>68</v>
          </cell>
          <cell r="V1175">
            <v>132.85714285714286</v>
          </cell>
          <cell r="W1175">
            <v>0</v>
          </cell>
          <cell r="X1175">
            <v>0</v>
          </cell>
          <cell r="Y1175">
            <v>18</v>
          </cell>
          <cell r="Z1175">
            <v>0</v>
          </cell>
        </row>
        <row r="1176">
          <cell r="A1176">
            <v>9322301</v>
          </cell>
          <cell r="B1176" t="str">
            <v>玫瑰之舞第3段</v>
          </cell>
          <cell r="C1176" t="str">
            <v>玫瑰之舞第3段</v>
          </cell>
          <cell r="D1176">
            <v>3</v>
          </cell>
          <cell r="E1176">
            <v>4</v>
          </cell>
          <cell r="F1176" t="str">
            <v>第1级，共造成132.9%点伤害</v>
          </cell>
          <cell r="G1176">
            <v>3</v>
          </cell>
          <cell r="H1176">
            <v>3</v>
          </cell>
          <cell r="I1176">
            <v>1</v>
          </cell>
          <cell r="J1176">
            <v>2</v>
          </cell>
          <cell r="K1176">
            <v>26.571428571428573</v>
          </cell>
          <cell r="L1176">
            <v>0</v>
          </cell>
          <cell r="M1176">
            <v>8000</v>
          </cell>
          <cell r="N1176">
            <v>272</v>
          </cell>
          <cell r="O1176">
            <v>2</v>
          </cell>
          <cell r="P1176">
            <v>5</v>
          </cell>
          <cell r="Q1176">
            <v>1</v>
          </cell>
          <cell r="R1176">
            <v>7</v>
          </cell>
          <cell r="S1176">
            <v>50</v>
          </cell>
          <cell r="T1176">
            <v>26.571428571428573</v>
          </cell>
          <cell r="U1176">
            <v>68</v>
          </cell>
          <cell r="V1176">
            <v>132.85714285714286</v>
          </cell>
          <cell r="W1176">
            <v>4</v>
          </cell>
          <cell r="X1176">
            <v>4</v>
          </cell>
          <cell r="Y1176">
            <v>18</v>
          </cell>
          <cell r="Z1176">
            <v>0</v>
          </cell>
        </row>
        <row r="1177">
          <cell r="A1177">
            <v>9322302</v>
          </cell>
          <cell r="B1177" t="str">
            <v>玫瑰之舞第3段</v>
          </cell>
          <cell r="C1177" t="str">
            <v>玫瑰之舞第3段</v>
          </cell>
          <cell r="D1177">
            <v>3</v>
          </cell>
          <cell r="E1177">
            <v>10</v>
          </cell>
          <cell r="F1177" t="str">
            <v>第2级，共造成135.5%点伤害</v>
          </cell>
          <cell r="G1177">
            <v>3</v>
          </cell>
          <cell r="H1177">
            <v>3</v>
          </cell>
          <cell r="I1177">
            <v>2</v>
          </cell>
          <cell r="J1177">
            <v>2</v>
          </cell>
          <cell r="K1177">
            <v>27.102857142857143</v>
          </cell>
          <cell r="L1177">
            <v>0</v>
          </cell>
          <cell r="M1177">
            <v>7840</v>
          </cell>
          <cell r="N1177">
            <v>416</v>
          </cell>
          <cell r="O1177">
            <v>2</v>
          </cell>
          <cell r="P1177">
            <v>5</v>
          </cell>
          <cell r="Q1177">
            <v>1</v>
          </cell>
          <cell r="R1177">
            <v>7</v>
          </cell>
          <cell r="S1177">
            <v>50</v>
          </cell>
          <cell r="T1177">
            <v>26.571428571428573</v>
          </cell>
          <cell r="U1177">
            <v>104</v>
          </cell>
          <cell r="V1177">
            <v>132.85714285714286</v>
          </cell>
          <cell r="W1177">
            <v>4</v>
          </cell>
          <cell r="X1177">
            <v>8</v>
          </cell>
          <cell r="Y1177">
            <v>18</v>
          </cell>
          <cell r="Z1177">
            <v>0</v>
          </cell>
        </row>
        <row r="1178">
          <cell r="A1178">
            <v>9322303</v>
          </cell>
          <cell r="B1178" t="str">
            <v>玫瑰之舞第3段</v>
          </cell>
          <cell r="C1178" t="str">
            <v>玫瑰之舞第3段</v>
          </cell>
          <cell r="D1178">
            <v>3</v>
          </cell>
          <cell r="E1178">
            <v>11</v>
          </cell>
          <cell r="F1178" t="str">
            <v>第3级，共造成136.8%点伤害</v>
          </cell>
          <cell r="G1178">
            <v>3</v>
          </cell>
          <cell r="H1178">
            <v>3</v>
          </cell>
          <cell r="I1178">
            <v>3</v>
          </cell>
          <cell r="J1178">
            <v>2</v>
          </cell>
          <cell r="K1178">
            <v>27.368571428571428</v>
          </cell>
          <cell r="L1178">
            <v>0</v>
          </cell>
          <cell r="M1178">
            <v>7760</v>
          </cell>
          <cell r="N1178">
            <v>440</v>
          </cell>
          <cell r="O1178">
            <v>2</v>
          </cell>
          <cell r="P1178">
            <v>5</v>
          </cell>
          <cell r="Q1178">
            <v>1</v>
          </cell>
          <cell r="R1178">
            <v>7</v>
          </cell>
          <cell r="S1178">
            <v>50</v>
          </cell>
          <cell r="T1178">
            <v>26.571428571428573</v>
          </cell>
          <cell r="U1178">
            <v>110</v>
          </cell>
          <cell r="V1178">
            <v>132.85714285714286</v>
          </cell>
          <cell r="W1178">
            <v>4</v>
          </cell>
          <cell r="X1178">
            <v>12</v>
          </cell>
          <cell r="Y1178">
            <v>18</v>
          </cell>
          <cell r="Z1178">
            <v>0</v>
          </cell>
        </row>
        <row r="1179">
          <cell r="A1179">
            <v>9322304</v>
          </cell>
          <cell r="B1179" t="str">
            <v>玫瑰之舞第3段</v>
          </cell>
          <cell r="C1179" t="str">
            <v>玫瑰之舞第3段</v>
          </cell>
          <cell r="D1179">
            <v>3</v>
          </cell>
          <cell r="E1179">
            <v>13</v>
          </cell>
          <cell r="F1179" t="str">
            <v>第4级，共造成138.2%点伤害</v>
          </cell>
          <cell r="G1179">
            <v>3</v>
          </cell>
          <cell r="H1179">
            <v>3</v>
          </cell>
          <cell r="I1179">
            <v>4</v>
          </cell>
          <cell r="J1179">
            <v>2</v>
          </cell>
          <cell r="K1179">
            <v>27.634285714285717</v>
          </cell>
          <cell r="L1179">
            <v>0</v>
          </cell>
          <cell r="M1179">
            <v>7680</v>
          </cell>
          <cell r="N1179">
            <v>610</v>
          </cell>
          <cell r="O1179">
            <v>2</v>
          </cell>
          <cell r="P1179">
            <v>5</v>
          </cell>
          <cell r="Q1179">
            <v>1</v>
          </cell>
          <cell r="R1179">
            <v>7</v>
          </cell>
          <cell r="S1179">
            <v>50</v>
          </cell>
          <cell r="T1179">
            <v>26.571428571428573</v>
          </cell>
          <cell r="U1179">
            <v>122</v>
          </cell>
          <cell r="V1179">
            <v>132.85714285714286</v>
          </cell>
          <cell r="W1179">
            <v>5</v>
          </cell>
          <cell r="X1179">
            <v>17</v>
          </cell>
          <cell r="Y1179">
            <v>18</v>
          </cell>
          <cell r="Z1179">
            <v>0</v>
          </cell>
        </row>
        <row r="1180">
          <cell r="A1180">
            <v>9322305</v>
          </cell>
          <cell r="B1180" t="str">
            <v>玫瑰之舞第3段</v>
          </cell>
          <cell r="C1180" t="str">
            <v>玫瑰之舞第3段</v>
          </cell>
          <cell r="D1180">
            <v>3</v>
          </cell>
          <cell r="E1180">
            <v>14</v>
          </cell>
          <cell r="F1180" t="str">
            <v>第5级，共造成139.5%点伤害</v>
          </cell>
          <cell r="G1180">
            <v>3</v>
          </cell>
          <cell r="H1180">
            <v>3</v>
          </cell>
          <cell r="I1180">
            <v>5</v>
          </cell>
          <cell r="J1180">
            <v>2</v>
          </cell>
          <cell r="K1180">
            <v>27.900000000000002</v>
          </cell>
          <cell r="L1180">
            <v>0</v>
          </cell>
          <cell r="M1180">
            <v>7600</v>
          </cell>
          <cell r="N1180">
            <v>640</v>
          </cell>
          <cell r="O1180">
            <v>2</v>
          </cell>
          <cell r="P1180">
            <v>5</v>
          </cell>
          <cell r="Q1180">
            <v>1</v>
          </cell>
          <cell r="R1180">
            <v>7</v>
          </cell>
          <cell r="S1180">
            <v>50</v>
          </cell>
          <cell r="T1180">
            <v>26.571428571428573</v>
          </cell>
          <cell r="U1180">
            <v>128</v>
          </cell>
          <cell r="V1180">
            <v>132.85714285714286</v>
          </cell>
          <cell r="W1180">
            <v>5</v>
          </cell>
          <cell r="X1180">
            <v>22</v>
          </cell>
          <cell r="Y1180">
            <v>18</v>
          </cell>
          <cell r="Z1180">
            <v>0</v>
          </cell>
        </row>
        <row r="1181">
          <cell r="A1181">
            <v>9322306</v>
          </cell>
          <cell r="B1181" t="str">
            <v>玫瑰之舞第3段</v>
          </cell>
          <cell r="C1181" t="str">
            <v>玫瑰之舞第3段</v>
          </cell>
          <cell r="D1181">
            <v>3</v>
          </cell>
          <cell r="E1181">
            <v>16</v>
          </cell>
          <cell r="F1181" t="str">
            <v>第6级，共造成140.8%点伤害</v>
          </cell>
          <cell r="G1181">
            <v>3</v>
          </cell>
          <cell r="H1181">
            <v>3</v>
          </cell>
          <cell r="I1181">
            <v>6</v>
          </cell>
          <cell r="J1181">
            <v>2</v>
          </cell>
          <cell r="K1181">
            <v>28.165714285714287</v>
          </cell>
          <cell r="L1181">
            <v>0</v>
          </cell>
          <cell r="M1181">
            <v>7520</v>
          </cell>
          <cell r="N1181">
            <v>700</v>
          </cell>
          <cell r="O1181">
            <v>2</v>
          </cell>
          <cell r="P1181">
            <v>5</v>
          </cell>
          <cell r="Q1181">
            <v>1</v>
          </cell>
          <cell r="R1181">
            <v>7</v>
          </cell>
          <cell r="S1181">
            <v>50</v>
          </cell>
          <cell r="T1181">
            <v>26.571428571428573</v>
          </cell>
          <cell r="U1181">
            <v>140</v>
          </cell>
          <cell r="V1181">
            <v>132.85714285714286</v>
          </cell>
          <cell r="W1181">
            <v>5</v>
          </cell>
          <cell r="X1181">
            <v>27</v>
          </cell>
          <cell r="Y1181">
            <v>18</v>
          </cell>
          <cell r="Z1181">
            <v>0</v>
          </cell>
        </row>
        <row r="1182">
          <cell r="A1182">
            <v>9322307</v>
          </cell>
          <cell r="B1182" t="str">
            <v>玫瑰之舞第3段</v>
          </cell>
          <cell r="C1182" t="str">
            <v>玫瑰之舞第3段</v>
          </cell>
          <cell r="D1182">
            <v>3</v>
          </cell>
          <cell r="E1182">
            <v>17</v>
          </cell>
          <cell r="F1182" t="str">
            <v>第7级，共造成142.2%点伤害</v>
          </cell>
          <cell r="G1182">
            <v>3</v>
          </cell>
          <cell r="H1182">
            <v>3</v>
          </cell>
          <cell r="I1182">
            <v>7</v>
          </cell>
          <cell r="J1182">
            <v>2</v>
          </cell>
          <cell r="K1182">
            <v>28.431428571428572</v>
          </cell>
          <cell r="L1182">
            <v>0</v>
          </cell>
          <cell r="M1182">
            <v>7440</v>
          </cell>
          <cell r="N1182">
            <v>730</v>
          </cell>
          <cell r="O1182">
            <v>2</v>
          </cell>
          <cell r="P1182">
            <v>5</v>
          </cell>
          <cell r="Q1182">
            <v>1</v>
          </cell>
          <cell r="R1182">
            <v>7</v>
          </cell>
          <cell r="S1182">
            <v>50</v>
          </cell>
          <cell r="T1182">
            <v>26.571428571428573</v>
          </cell>
          <cell r="U1182">
            <v>146</v>
          </cell>
          <cell r="V1182">
            <v>132.85714285714286</v>
          </cell>
          <cell r="W1182">
            <v>5</v>
          </cell>
          <cell r="X1182">
            <v>32</v>
          </cell>
          <cell r="Y1182">
            <v>18</v>
          </cell>
          <cell r="Z1182">
            <v>0</v>
          </cell>
        </row>
        <row r="1183">
          <cell r="A1183">
            <v>9322308</v>
          </cell>
          <cell r="B1183" t="str">
            <v>玫瑰之舞第3段</v>
          </cell>
          <cell r="C1183" t="str">
            <v>玫瑰之舞第3段</v>
          </cell>
          <cell r="D1183">
            <v>3</v>
          </cell>
          <cell r="E1183">
            <v>19</v>
          </cell>
          <cell r="F1183" t="str">
            <v>第8级，共造成143.5%点伤害</v>
          </cell>
          <cell r="G1183">
            <v>3</v>
          </cell>
          <cell r="H1183">
            <v>3</v>
          </cell>
          <cell r="I1183">
            <v>8</v>
          </cell>
          <cell r="J1183">
            <v>2</v>
          </cell>
          <cell r="K1183">
            <v>28.697142857142858</v>
          </cell>
          <cell r="L1183">
            <v>0</v>
          </cell>
          <cell r="M1183">
            <v>7360</v>
          </cell>
          <cell r="N1183">
            <v>948</v>
          </cell>
          <cell r="O1183">
            <v>2</v>
          </cell>
          <cell r="P1183">
            <v>5</v>
          </cell>
          <cell r="Q1183">
            <v>1</v>
          </cell>
          <cell r="R1183">
            <v>7</v>
          </cell>
          <cell r="S1183">
            <v>50</v>
          </cell>
          <cell r="T1183">
            <v>26.571428571428573</v>
          </cell>
          <cell r="U1183">
            <v>158</v>
          </cell>
          <cell r="V1183">
            <v>132.85714285714286</v>
          </cell>
          <cell r="W1183">
            <v>6</v>
          </cell>
          <cell r="X1183">
            <v>38</v>
          </cell>
          <cell r="Y1183">
            <v>18</v>
          </cell>
          <cell r="Z1183">
            <v>0</v>
          </cell>
        </row>
        <row r="1184">
          <cell r="A1184">
            <v>9322309</v>
          </cell>
          <cell r="B1184" t="str">
            <v>玫瑰之舞第3段</v>
          </cell>
          <cell r="C1184" t="str">
            <v>玫瑰之舞第3段</v>
          </cell>
          <cell r="D1184">
            <v>3</v>
          </cell>
          <cell r="E1184">
            <v>20</v>
          </cell>
          <cell r="F1184" t="str">
            <v>第9级，共造成144.8%点伤害</v>
          </cell>
          <cell r="G1184">
            <v>3</v>
          </cell>
          <cell r="H1184">
            <v>3</v>
          </cell>
          <cell r="I1184">
            <v>9</v>
          </cell>
          <cell r="J1184">
            <v>2</v>
          </cell>
          <cell r="K1184">
            <v>28.962857142857146</v>
          </cell>
          <cell r="L1184">
            <v>0</v>
          </cell>
          <cell r="M1184">
            <v>7280</v>
          </cell>
          <cell r="N1184">
            <v>1092</v>
          </cell>
          <cell r="O1184">
            <v>2</v>
          </cell>
          <cell r="P1184">
            <v>5</v>
          </cell>
          <cell r="Q1184">
            <v>1</v>
          </cell>
          <cell r="R1184">
            <v>7</v>
          </cell>
          <cell r="S1184">
            <v>50</v>
          </cell>
          <cell r="T1184">
            <v>26.571428571428573</v>
          </cell>
          <cell r="U1184">
            <v>182</v>
          </cell>
          <cell r="V1184">
            <v>132.85714285714286</v>
          </cell>
          <cell r="W1184">
            <v>6</v>
          </cell>
          <cell r="X1184">
            <v>44</v>
          </cell>
          <cell r="Y1184">
            <v>18</v>
          </cell>
          <cell r="Z1184">
            <v>0</v>
          </cell>
        </row>
        <row r="1185">
          <cell r="A1185">
            <v>9322310</v>
          </cell>
          <cell r="B1185" t="str">
            <v>玫瑰之舞第3段</v>
          </cell>
          <cell r="C1185" t="str">
            <v>玫瑰之舞第3段</v>
          </cell>
          <cell r="D1185">
            <v>3</v>
          </cell>
          <cell r="E1185">
            <v>22</v>
          </cell>
          <cell r="F1185" t="str">
            <v>第10级，共造成146.1%点伤害</v>
          </cell>
          <cell r="G1185">
            <v>3</v>
          </cell>
          <cell r="H1185">
            <v>3</v>
          </cell>
          <cell r="I1185">
            <v>10</v>
          </cell>
          <cell r="J1185">
            <v>2</v>
          </cell>
          <cell r="K1185">
            <v>29.228571428571431</v>
          </cell>
          <cell r="L1185">
            <v>0</v>
          </cell>
          <cell r="M1185">
            <v>7200</v>
          </cell>
          <cell r="N1185">
            <v>1673</v>
          </cell>
          <cell r="O1185">
            <v>2</v>
          </cell>
          <cell r="P1185">
            <v>5</v>
          </cell>
          <cell r="Q1185">
            <v>1</v>
          </cell>
          <cell r="R1185">
            <v>7</v>
          </cell>
          <cell r="S1185">
            <v>50</v>
          </cell>
          <cell r="T1185">
            <v>26.571428571428573</v>
          </cell>
          <cell r="U1185">
            <v>239</v>
          </cell>
          <cell r="V1185">
            <v>132.85714285714286</v>
          </cell>
          <cell r="W1185">
            <v>7</v>
          </cell>
          <cell r="X1185">
            <v>51</v>
          </cell>
          <cell r="Y1185">
            <v>18</v>
          </cell>
          <cell r="Z1185">
            <v>0</v>
          </cell>
        </row>
        <row r="1186">
          <cell r="A1186">
            <v>9322311</v>
          </cell>
          <cell r="B1186" t="str">
            <v>玫瑰之舞第3段</v>
          </cell>
          <cell r="C1186" t="str">
            <v>玫瑰之舞第3段</v>
          </cell>
          <cell r="D1186">
            <v>3</v>
          </cell>
          <cell r="E1186">
            <v>23</v>
          </cell>
          <cell r="F1186" t="str">
            <v>第11级，共造成147.5%点伤害</v>
          </cell>
          <cell r="G1186">
            <v>3</v>
          </cell>
          <cell r="H1186">
            <v>3</v>
          </cell>
          <cell r="I1186">
            <v>11</v>
          </cell>
          <cell r="J1186">
            <v>2</v>
          </cell>
          <cell r="K1186">
            <v>29.494285714285716</v>
          </cell>
          <cell r="L1186">
            <v>0</v>
          </cell>
          <cell r="M1186">
            <v>7120</v>
          </cell>
          <cell r="N1186">
            <v>1890</v>
          </cell>
          <cell r="O1186">
            <v>2</v>
          </cell>
          <cell r="P1186">
            <v>5</v>
          </cell>
          <cell r="Q1186">
            <v>1</v>
          </cell>
          <cell r="R1186">
            <v>7</v>
          </cell>
          <cell r="S1186">
            <v>50</v>
          </cell>
          <cell r="T1186">
            <v>26.571428571428573</v>
          </cell>
          <cell r="U1186">
            <v>270</v>
          </cell>
          <cell r="V1186">
            <v>132.85714285714286</v>
          </cell>
          <cell r="W1186">
            <v>7</v>
          </cell>
          <cell r="X1186">
            <v>58</v>
          </cell>
          <cell r="Y1186">
            <v>18</v>
          </cell>
          <cell r="Z1186">
            <v>0</v>
          </cell>
        </row>
        <row r="1187">
          <cell r="A1187">
            <v>9322312</v>
          </cell>
          <cell r="B1187" t="str">
            <v>玫瑰之舞第3段</v>
          </cell>
          <cell r="C1187" t="str">
            <v>玫瑰之舞第3段</v>
          </cell>
          <cell r="D1187">
            <v>3</v>
          </cell>
          <cell r="E1187">
            <v>25</v>
          </cell>
          <cell r="F1187" t="str">
            <v>第12级，共造成148.8%点伤害</v>
          </cell>
          <cell r="G1187">
            <v>3</v>
          </cell>
          <cell r="H1187">
            <v>3</v>
          </cell>
          <cell r="I1187">
            <v>12</v>
          </cell>
          <cell r="J1187">
            <v>2</v>
          </cell>
          <cell r="K1187">
            <v>29.76</v>
          </cell>
          <cell r="L1187">
            <v>0</v>
          </cell>
          <cell r="M1187">
            <v>7040</v>
          </cell>
          <cell r="N1187">
            <v>2680</v>
          </cell>
          <cell r="O1187">
            <v>2</v>
          </cell>
          <cell r="P1187">
            <v>5</v>
          </cell>
          <cell r="Q1187">
            <v>1</v>
          </cell>
          <cell r="R1187">
            <v>7</v>
          </cell>
          <cell r="S1187">
            <v>50</v>
          </cell>
          <cell r="T1187">
            <v>26.571428571428573</v>
          </cell>
          <cell r="U1187">
            <v>335</v>
          </cell>
          <cell r="V1187">
            <v>132.85714285714286</v>
          </cell>
          <cell r="W1187">
            <v>8</v>
          </cell>
          <cell r="X1187">
            <v>66</v>
          </cell>
          <cell r="Y1187">
            <v>18</v>
          </cell>
          <cell r="Z1187">
            <v>0</v>
          </cell>
        </row>
        <row r="1188">
          <cell r="A1188">
            <v>9322313</v>
          </cell>
          <cell r="B1188" t="str">
            <v>玫瑰之舞第3段</v>
          </cell>
          <cell r="C1188" t="str">
            <v>玫瑰之舞第3段</v>
          </cell>
          <cell r="D1188">
            <v>3</v>
          </cell>
          <cell r="E1188">
            <v>26</v>
          </cell>
          <cell r="F1188" t="str">
            <v>第13级，共造成150.1%点伤害</v>
          </cell>
          <cell r="G1188">
            <v>3</v>
          </cell>
          <cell r="H1188">
            <v>3</v>
          </cell>
          <cell r="I1188">
            <v>13</v>
          </cell>
          <cell r="J1188">
            <v>2</v>
          </cell>
          <cell r="K1188">
            <v>30.025714285714287</v>
          </cell>
          <cell r="L1188">
            <v>0</v>
          </cell>
          <cell r="M1188">
            <v>6960</v>
          </cell>
          <cell r="N1188">
            <v>2960</v>
          </cell>
          <cell r="O1188">
            <v>2</v>
          </cell>
          <cell r="P1188">
            <v>5</v>
          </cell>
          <cell r="Q1188">
            <v>1</v>
          </cell>
          <cell r="R1188">
            <v>7</v>
          </cell>
          <cell r="S1188">
            <v>50</v>
          </cell>
          <cell r="T1188">
            <v>26.571428571428573</v>
          </cell>
          <cell r="U1188">
            <v>370</v>
          </cell>
          <cell r="V1188">
            <v>132.85714285714286</v>
          </cell>
          <cell r="W1188">
            <v>8</v>
          </cell>
          <cell r="X1188">
            <v>74</v>
          </cell>
          <cell r="Y1188">
            <v>18</v>
          </cell>
          <cell r="Z1188">
            <v>0</v>
          </cell>
        </row>
        <row r="1189">
          <cell r="A1189">
            <v>9322314</v>
          </cell>
          <cell r="B1189" t="str">
            <v>玫瑰之舞第3段</v>
          </cell>
          <cell r="C1189" t="str">
            <v>玫瑰之舞第3段</v>
          </cell>
          <cell r="D1189">
            <v>3</v>
          </cell>
          <cell r="E1189">
            <v>27</v>
          </cell>
          <cell r="F1189" t="str">
            <v>第14级，共造成151.5%点伤害</v>
          </cell>
          <cell r="G1189">
            <v>3</v>
          </cell>
          <cell r="H1189">
            <v>3</v>
          </cell>
          <cell r="I1189">
            <v>14</v>
          </cell>
          <cell r="J1189">
            <v>2</v>
          </cell>
          <cell r="K1189">
            <v>30.291428571428572</v>
          </cell>
          <cell r="L1189">
            <v>0</v>
          </cell>
          <cell r="M1189">
            <v>6880</v>
          </cell>
          <cell r="N1189">
            <v>3654</v>
          </cell>
          <cell r="O1189">
            <v>2</v>
          </cell>
          <cell r="P1189">
            <v>5</v>
          </cell>
          <cell r="Q1189">
            <v>1</v>
          </cell>
          <cell r="R1189">
            <v>7</v>
          </cell>
          <cell r="S1189">
            <v>50</v>
          </cell>
          <cell r="T1189">
            <v>26.571428571428573</v>
          </cell>
          <cell r="U1189">
            <v>406</v>
          </cell>
          <cell r="V1189">
            <v>132.85714285714286</v>
          </cell>
          <cell r="W1189">
            <v>9</v>
          </cell>
          <cell r="X1189">
            <v>83</v>
          </cell>
          <cell r="Y1189">
            <v>18</v>
          </cell>
          <cell r="Z1189">
            <v>0</v>
          </cell>
        </row>
        <row r="1190">
          <cell r="A1190">
            <v>9322315</v>
          </cell>
          <cell r="B1190" t="str">
            <v>玫瑰之舞第3段</v>
          </cell>
          <cell r="C1190" t="str">
            <v>玫瑰之舞第3段</v>
          </cell>
          <cell r="D1190">
            <v>3</v>
          </cell>
          <cell r="E1190">
            <v>29</v>
          </cell>
          <cell r="F1190" t="str">
            <v>第15级，共造成152.8%点伤害</v>
          </cell>
          <cell r="G1190">
            <v>3</v>
          </cell>
          <cell r="H1190">
            <v>3</v>
          </cell>
          <cell r="I1190">
            <v>15</v>
          </cell>
          <cell r="J1190">
            <v>2</v>
          </cell>
          <cell r="K1190">
            <v>30.55714285714286</v>
          </cell>
          <cell r="L1190">
            <v>0</v>
          </cell>
          <cell r="M1190">
            <v>6800</v>
          </cell>
          <cell r="N1190">
            <v>4820</v>
          </cell>
          <cell r="O1190">
            <v>2</v>
          </cell>
          <cell r="P1190">
            <v>5</v>
          </cell>
          <cell r="Q1190">
            <v>1</v>
          </cell>
          <cell r="R1190">
            <v>7</v>
          </cell>
          <cell r="S1190">
            <v>50</v>
          </cell>
          <cell r="T1190">
            <v>26.571428571428573</v>
          </cell>
          <cell r="U1190">
            <v>482</v>
          </cell>
          <cell r="V1190">
            <v>132.85714285714286</v>
          </cell>
          <cell r="W1190">
            <v>10</v>
          </cell>
          <cell r="X1190">
            <v>93</v>
          </cell>
          <cell r="Y1190">
            <v>18</v>
          </cell>
          <cell r="Z1190">
            <v>0</v>
          </cell>
        </row>
        <row r="1191">
          <cell r="A1191">
            <v>9322316</v>
          </cell>
          <cell r="B1191" t="str">
            <v>玫瑰之舞第3段</v>
          </cell>
          <cell r="C1191" t="str">
            <v>玫瑰之舞第3段</v>
          </cell>
          <cell r="D1191">
            <v>3</v>
          </cell>
          <cell r="E1191">
            <v>30</v>
          </cell>
          <cell r="F1191" t="str">
            <v>第16级，共造成154.1%点伤害</v>
          </cell>
          <cell r="G1191">
            <v>3</v>
          </cell>
          <cell r="H1191">
            <v>3</v>
          </cell>
          <cell r="I1191">
            <v>16</v>
          </cell>
          <cell r="J1191">
            <v>2</v>
          </cell>
          <cell r="K1191">
            <v>30.822857142857146</v>
          </cell>
          <cell r="L1191">
            <v>0</v>
          </cell>
          <cell r="M1191">
            <v>6720</v>
          </cell>
          <cell r="N1191">
            <v>5220</v>
          </cell>
          <cell r="O1191">
            <v>2</v>
          </cell>
          <cell r="P1191">
            <v>5</v>
          </cell>
          <cell r="Q1191">
            <v>1</v>
          </cell>
          <cell r="R1191">
            <v>7</v>
          </cell>
          <cell r="S1191">
            <v>50</v>
          </cell>
          <cell r="T1191">
            <v>26.571428571428573</v>
          </cell>
          <cell r="U1191">
            <v>522</v>
          </cell>
          <cell r="V1191">
            <v>132.85714285714286</v>
          </cell>
          <cell r="W1191">
            <v>10</v>
          </cell>
          <cell r="X1191">
            <v>103</v>
          </cell>
          <cell r="Y1191">
            <v>18</v>
          </cell>
          <cell r="Z1191">
            <v>0</v>
          </cell>
        </row>
        <row r="1192">
          <cell r="A1192">
            <v>9322317</v>
          </cell>
          <cell r="B1192" t="str">
            <v>玫瑰之舞第3段</v>
          </cell>
          <cell r="C1192" t="str">
            <v>玫瑰之舞第3段</v>
          </cell>
          <cell r="D1192">
            <v>3</v>
          </cell>
          <cell r="E1192">
            <v>32</v>
          </cell>
          <cell r="F1192" t="str">
            <v>第17级，共造成155.4%点伤害</v>
          </cell>
          <cell r="G1192">
            <v>3</v>
          </cell>
          <cell r="H1192">
            <v>3</v>
          </cell>
          <cell r="I1192">
            <v>17</v>
          </cell>
          <cell r="J1192">
            <v>2</v>
          </cell>
          <cell r="K1192">
            <v>31.088571428571431</v>
          </cell>
          <cell r="L1192">
            <v>0</v>
          </cell>
          <cell r="M1192">
            <v>6640</v>
          </cell>
          <cell r="N1192">
            <v>6666</v>
          </cell>
          <cell r="O1192">
            <v>2</v>
          </cell>
          <cell r="P1192">
            <v>5</v>
          </cell>
          <cell r="Q1192">
            <v>1</v>
          </cell>
          <cell r="R1192">
            <v>7</v>
          </cell>
          <cell r="S1192">
            <v>50</v>
          </cell>
          <cell r="T1192">
            <v>26.571428571428573</v>
          </cell>
          <cell r="U1192">
            <v>606</v>
          </cell>
          <cell r="V1192">
            <v>132.85714285714286</v>
          </cell>
          <cell r="W1192">
            <v>11</v>
          </cell>
          <cell r="X1192">
            <v>114</v>
          </cell>
          <cell r="Y1192">
            <v>18</v>
          </cell>
          <cell r="Z1192">
            <v>0</v>
          </cell>
        </row>
        <row r="1193">
          <cell r="A1193">
            <v>9322318</v>
          </cell>
          <cell r="B1193" t="str">
            <v>玫瑰之舞第3段</v>
          </cell>
          <cell r="C1193" t="str">
            <v>玫瑰之舞第3段</v>
          </cell>
          <cell r="D1193">
            <v>3</v>
          </cell>
          <cell r="E1193">
            <v>33</v>
          </cell>
          <cell r="F1193" t="str">
            <v>第18级，共造成156.8%点伤害</v>
          </cell>
          <cell r="G1193">
            <v>3</v>
          </cell>
          <cell r="H1193">
            <v>3</v>
          </cell>
          <cell r="I1193">
            <v>18</v>
          </cell>
          <cell r="J1193">
            <v>2</v>
          </cell>
          <cell r="K1193">
            <v>31.354285714285716</v>
          </cell>
          <cell r="L1193">
            <v>0</v>
          </cell>
          <cell r="M1193">
            <v>6560</v>
          </cell>
          <cell r="N1193">
            <v>7812</v>
          </cell>
          <cell r="O1193">
            <v>2</v>
          </cell>
          <cell r="P1193">
            <v>5</v>
          </cell>
          <cell r="Q1193">
            <v>1</v>
          </cell>
          <cell r="R1193">
            <v>7</v>
          </cell>
          <cell r="S1193">
            <v>50</v>
          </cell>
          <cell r="T1193">
            <v>26.571428571428573</v>
          </cell>
          <cell r="U1193">
            <v>651</v>
          </cell>
          <cell r="V1193">
            <v>132.85714285714286</v>
          </cell>
          <cell r="W1193">
            <v>12</v>
          </cell>
          <cell r="X1193">
            <v>126</v>
          </cell>
          <cell r="Y1193">
            <v>18</v>
          </cell>
          <cell r="Z1193">
            <v>5</v>
          </cell>
        </row>
        <row r="1194">
          <cell r="A1194">
            <v>9322319</v>
          </cell>
          <cell r="B1194" t="str">
            <v>玫瑰之舞第3段</v>
          </cell>
          <cell r="C1194" t="str">
            <v>玫瑰之舞第3段</v>
          </cell>
          <cell r="D1194">
            <v>3</v>
          </cell>
          <cell r="E1194">
            <v>35</v>
          </cell>
          <cell r="F1194" t="str">
            <v>第19级，共造成158.1%点伤害</v>
          </cell>
          <cell r="G1194">
            <v>3</v>
          </cell>
          <cell r="H1194">
            <v>3</v>
          </cell>
          <cell r="I1194">
            <v>19</v>
          </cell>
          <cell r="J1194">
            <v>2</v>
          </cell>
          <cell r="K1194">
            <v>31.62</v>
          </cell>
          <cell r="L1194">
            <v>0</v>
          </cell>
          <cell r="M1194">
            <v>6480</v>
          </cell>
          <cell r="N1194">
            <v>9659</v>
          </cell>
          <cell r="O1194">
            <v>2</v>
          </cell>
          <cell r="P1194">
            <v>5</v>
          </cell>
          <cell r="Q1194">
            <v>1</v>
          </cell>
          <cell r="R1194">
            <v>7</v>
          </cell>
          <cell r="S1194">
            <v>50</v>
          </cell>
          <cell r="T1194">
            <v>26.571428571428573</v>
          </cell>
          <cell r="U1194">
            <v>743</v>
          </cell>
          <cell r="V1194">
            <v>132.85714285714286</v>
          </cell>
          <cell r="W1194">
            <v>13</v>
          </cell>
          <cell r="X1194">
            <v>139</v>
          </cell>
          <cell r="Y1194">
            <v>18</v>
          </cell>
          <cell r="Z1194">
            <v>6</v>
          </cell>
        </row>
        <row r="1195">
          <cell r="A1195">
            <v>9322320</v>
          </cell>
          <cell r="B1195" t="str">
            <v>玫瑰之舞第3段</v>
          </cell>
          <cell r="C1195" t="str">
            <v>玫瑰之舞第3段</v>
          </cell>
          <cell r="D1195">
            <v>3</v>
          </cell>
          <cell r="E1195">
            <v>36</v>
          </cell>
          <cell r="F1195" t="str">
            <v>第20级，共造成159.4%点伤害</v>
          </cell>
          <cell r="G1195">
            <v>3</v>
          </cell>
          <cell r="H1195">
            <v>3</v>
          </cell>
          <cell r="I1195">
            <v>20</v>
          </cell>
          <cell r="J1195">
            <v>2</v>
          </cell>
          <cell r="K1195">
            <v>31.885714285714286</v>
          </cell>
          <cell r="L1195">
            <v>0</v>
          </cell>
          <cell r="M1195">
            <v>6400</v>
          </cell>
          <cell r="N1195">
            <v>10283</v>
          </cell>
          <cell r="O1195">
            <v>2</v>
          </cell>
          <cell r="P1195">
            <v>5</v>
          </cell>
          <cell r="Q1195">
            <v>1</v>
          </cell>
          <cell r="R1195">
            <v>7</v>
          </cell>
          <cell r="S1195">
            <v>50</v>
          </cell>
          <cell r="T1195">
            <v>26.571428571428573</v>
          </cell>
          <cell r="U1195">
            <v>791</v>
          </cell>
          <cell r="V1195">
            <v>132.85714285714286</v>
          </cell>
          <cell r="W1195">
            <v>13</v>
          </cell>
          <cell r="X1195">
            <v>152</v>
          </cell>
          <cell r="Y1195">
            <v>18</v>
          </cell>
          <cell r="Z1195">
            <v>6</v>
          </cell>
        </row>
        <row r="1196">
          <cell r="A1196">
            <v>9322321</v>
          </cell>
          <cell r="B1196" t="str">
            <v>玫瑰之舞第3段</v>
          </cell>
          <cell r="C1196" t="str">
            <v>玫瑰之舞第3段</v>
          </cell>
          <cell r="D1196">
            <v>3</v>
          </cell>
          <cell r="E1196">
            <v>38</v>
          </cell>
          <cell r="F1196" t="str">
            <v>第21级，共造成160.8%点伤害</v>
          </cell>
          <cell r="G1196">
            <v>3</v>
          </cell>
          <cell r="H1196">
            <v>3</v>
          </cell>
          <cell r="I1196">
            <v>21</v>
          </cell>
          <cell r="J1196">
            <v>2</v>
          </cell>
          <cell r="K1196">
            <v>32.151428571428575</v>
          </cell>
          <cell r="L1196">
            <v>0</v>
          </cell>
          <cell r="M1196">
            <v>6320</v>
          </cell>
          <cell r="N1196">
            <v>12488</v>
          </cell>
          <cell r="O1196">
            <v>2</v>
          </cell>
          <cell r="P1196">
            <v>5</v>
          </cell>
          <cell r="Q1196">
            <v>1</v>
          </cell>
          <cell r="R1196">
            <v>7</v>
          </cell>
          <cell r="S1196">
            <v>50</v>
          </cell>
          <cell r="T1196">
            <v>26.571428571428573</v>
          </cell>
          <cell r="U1196">
            <v>892</v>
          </cell>
          <cell r="V1196">
            <v>132.85714285714286</v>
          </cell>
          <cell r="W1196">
            <v>14</v>
          </cell>
          <cell r="X1196">
            <v>166</v>
          </cell>
          <cell r="Y1196">
            <v>18</v>
          </cell>
          <cell r="Z1196">
            <v>6</v>
          </cell>
        </row>
        <row r="1197">
          <cell r="A1197">
            <v>9322322</v>
          </cell>
          <cell r="B1197" t="str">
            <v>玫瑰之舞第3段</v>
          </cell>
          <cell r="C1197" t="str">
            <v>玫瑰之舞第3段</v>
          </cell>
          <cell r="D1197">
            <v>3</v>
          </cell>
          <cell r="E1197">
            <v>39</v>
          </cell>
          <cell r="F1197" t="str">
            <v>第22级，共造成162.1%点伤害</v>
          </cell>
          <cell r="G1197">
            <v>3</v>
          </cell>
          <cell r="H1197">
            <v>3</v>
          </cell>
          <cell r="I1197">
            <v>22</v>
          </cell>
          <cell r="J1197">
            <v>2</v>
          </cell>
          <cell r="K1197">
            <v>32.417142857142856</v>
          </cell>
          <cell r="L1197">
            <v>0</v>
          </cell>
          <cell r="M1197">
            <v>6240</v>
          </cell>
          <cell r="N1197">
            <v>14160</v>
          </cell>
          <cell r="O1197">
            <v>2</v>
          </cell>
          <cell r="P1197">
            <v>5</v>
          </cell>
          <cell r="Q1197">
            <v>1</v>
          </cell>
          <cell r="R1197">
            <v>7</v>
          </cell>
          <cell r="S1197">
            <v>50</v>
          </cell>
          <cell r="T1197">
            <v>26.571428571428573</v>
          </cell>
          <cell r="U1197">
            <v>944</v>
          </cell>
          <cell r="V1197">
            <v>132.85714285714286</v>
          </cell>
          <cell r="W1197">
            <v>15</v>
          </cell>
          <cell r="X1197">
            <v>181</v>
          </cell>
          <cell r="Y1197">
            <v>18</v>
          </cell>
          <cell r="Z1197">
            <v>6</v>
          </cell>
        </row>
        <row r="1198">
          <cell r="A1198">
            <v>9322323</v>
          </cell>
          <cell r="B1198" t="str">
            <v>玫瑰之舞第3段</v>
          </cell>
          <cell r="C1198" t="str">
            <v>玫瑰之舞第3段</v>
          </cell>
          <cell r="D1198">
            <v>3</v>
          </cell>
          <cell r="E1198">
            <v>41</v>
          </cell>
          <cell r="F1198" t="str">
            <v>第23级，共造成163.4%点伤害</v>
          </cell>
          <cell r="G1198">
            <v>3</v>
          </cell>
          <cell r="H1198">
            <v>3</v>
          </cell>
          <cell r="I1198">
            <v>23</v>
          </cell>
          <cell r="J1198">
            <v>2</v>
          </cell>
          <cell r="K1198">
            <v>32.682857142857145</v>
          </cell>
          <cell r="L1198">
            <v>0</v>
          </cell>
          <cell r="M1198">
            <v>6160</v>
          </cell>
          <cell r="N1198">
            <v>16848</v>
          </cell>
          <cell r="O1198">
            <v>2</v>
          </cell>
          <cell r="P1198">
            <v>5</v>
          </cell>
          <cell r="Q1198">
            <v>1</v>
          </cell>
          <cell r="R1198">
            <v>7</v>
          </cell>
          <cell r="S1198">
            <v>50</v>
          </cell>
          <cell r="T1198">
            <v>26.571428571428573</v>
          </cell>
          <cell r="U1198">
            <v>1053</v>
          </cell>
          <cell r="V1198">
            <v>132.85714285714286</v>
          </cell>
          <cell r="W1198">
            <v>16</v>
          </cell>
          <cell r="X1198">
            <v>197</v>
          </cell>
          <cell r="Y1198">
            <v>18</v>
          </cell>
          <cell r="Z1198">
            <v>7</v>
          </cell>
        </row>
        <row r="1199">
          <cell r="A1199">
            <v>9322324</v>
          </cell>
          <cell r="B1199" t="str">
            <v>玫瑰之舞第3段</v>
          </cell>
          <cell r="C1199" t="str">
            <v>玫瑰之舞第3段</v>
          </cell>
          <cell r="D1199">
            <v>3</v>
          </cell>
          <cell r="E1199">
            <v>42</v>
          </cell>
          <cell r="F1199" t="str">
            <v>第24级，共造成164.7%点伤害</v>
          </cell>
          <cell r="G1199">
            <v>3</v>
          </cell>
          <cell r="H1199">
            <v>3</v>
          </cell>
          <cell r="I1199">
            <v>24</v>
          </cell>
          <cell r="J1199">
            <v>2</v>
          </cell>
          <cell r="K1199">
            <v>32.948571428571427</v>
          </cell>
          <cell r="L1199">
            <v>0</v>
          </cell>
          <cell r="M1199">
            <v>6080</v>
          </cell>
          <cell r="N1199">
            <v>18870</v>
          </cell>
          <cell r="O1199">
            <v>2</v>
          </cell>
          <cell r="P1199">
            <v>5</v>
          </cell>
          <cell r="Q1199">
            <v>1</v>
          </cell>
          <cell r="R1199">
            <v>7</v>
          </cell>
          <cell r="S1199">
            <v>50</v>
          </cell>
          <cell r="T1199">
            <v>26.571428571428573</v>
          </cell>
          <cell r="U1199">
            <v>1110</v>
          </cell>
          <cell r="V1199">
            <v>132.85714285714286</v>
          </cell>
          <cell r="W1199">
            <v>17</v>
          </cell>
          <cell r="X1199">
            <v>214</v>
          </cell>
          <cell r="Y1199">
            <v>18</v>
          </cell>
          <cell r="Z1199">
            <v>7</v>
          </cell>
        </row>
        <row r="1200">
          <cell r="A1200">
            <v>9322325</v>
          </cell>
          <cell r="B1200" t="str">
            <v>玫瑰之舞第3段</v>
          </cell>
          <cell r="C1200" t="str">
            <v>玫瑰之舞第3段</v>
          </cell>
          <cell r="D1200">
            <v>3</v>
          </cell>
          <cell r="E1200">
            <v>44</v>
          </cell>
          <cell r="F1200" t="str">
            <v>第25级，共造成166.1%点伤害</v>
          </cell>
          <cell r="G1200">
            <v>3</v>
          </cell>
          <cell r="H1200">
            <v>3</v>
          </cell>
          <cell r="I1200">
            <v>25</v>
          </cell>
          <cell r="J1200">
            <v>2</v>
          </cell>
          <cell r="K1200">
            <v>33.214285714285715</v>
          </cell>
          <cell r="L1200">
            <v>0</v>
          </cell>
          <cell r="M1200">
            <v>6000</v>
          </cell>
          <cell r="N1200">
            <v>23294</v>
          </cell>
          <cell r="O1200">
            <v>2</v>
          </cell>
          <cell r="P1200">
            <v>5</v>
          </cell>
          <cell r="Q1200">
            <v>1</v>
          </cell>
          <cell r="R1200">
            <v>7</v>
          </cell>
          <cell r="S1200">
            <v>50</v>
          </cell>
          <cell r="T1200">
            <v>26.571428571428573</v>
          </cell>
          <cell r="U1200">
            <v>1226</v>
          </cell>
          <cell r="V1200">
            <v>132.85714285714286</v>
          </cell>
          <cell r="W1200">
            <v>19</v>
          </cell>
          <cell r="X1200">
            <v>233</v>
          </cell>
          <cell r="Y1200">
            <v>18</v>
          </cell>
          <cell r="Z1200">
            <v>8</v>
          </cell>
        </row>
        <row r="1201">
          <cell r="A1201">
            <v>9322326</v>
          </cell>
          <cell r="B1201" t="str">
            <v>玫瑰之舞第3段</v>
          </cell>
          <cell r="C1201" t="str">
            <v>玫瑰之舞第3段</v>
          </cell>
          <cell r="D1201">
            <v>3</v>
          </cell>
          <cell r="E1201">
            <v>45</v>
          </cell>
          <cell r="F1201" t="str">
            <v>第26级，共造成167.4%点伤害</v>
          </cell>
          <cell r="G1201">
            <v>3</v>
          </cell>
          <cell r="H1201">
            <v>3</v>
          </cell>
          <cell r="I1201">
            <v>26</v>
          </cell>
          <cell r="J1201">
            <v>2</v>
          </cell>
          <cell r="K1201">
            <v>33.480000000000004</v>
          </cell>
          <cell r="L1201">
            <v>0</v>
          </cell>
          <cell r="M1201">
            <v>5920</v>
          </cell>
          <cell r="N1201">
            <v>25740</v>
          </cell>
          <cell r="O1201">
            <v>2</v>
          </cell>
          <cell r="P1201">
            <v>5</v>
          </cell>
          <cell r="Q1201">
            <v>1</v>
          </cell>
          <cell r="R1201">
            <v>7</v>
          </cell>
          <cell r="S1201">
            <v>50</v>
          </cell>
          <cell r="T1201">
            <v>26.571428571428573</v>
          </cell>
          <cell r="U1201">
            <v>1287</v>
          </cell>
          <cell r="V1201">
            <v>132.85714285714286</v>
          </cell>
          <cell r="W1201">
            <v>20</v>
          </cell>
          <cell r="X1201">
            <v>253</v>
          </cell>
          <cell r="Y1201">
            <v>18</v>
          </cell>
          <cell r="Z1201">
            <v>8</v>
          </cell>
        </row>
        <row r="1202">
          <cell r="A1202">
            <v>9322327</v>
          </cell>
          <cell r="B1202" t="str">
            <v>玫瑰之舞第3段</v>
          </cell>
          <cell r="C1202" t="str">
            <v>玫瑰之舞第3段</v>
          </cell>
          <cell r="D1202">
            <v>3</v>
          </cell>
          <cell r="E1202">
            <v>46</v>
          </cell>
          <cell r="F1202" t="str">
            <v>第27级，共造成168.7%点伤害</v>
          </cell>
          <cell r="G1202">
            <v>3</v>
          </cell>
          <cell r="H1202">
            <v>3</v>
          </cell>
          <cell r="I1202">
            <v>27</v>
          </cell>
          <cell r="J1202">
            <v>2</v>
          </cell>
          <cell r="K1202">
            <v>33.745714285714286</v>
          </cell>
          <cell r="L1202">
            <v>0</v>
          </cell>
          <cell r="M1202">
            <v>5840</v>
          </cell>
          <cell r="N1202">
            <v>28329</v>
          </cell>
          <cell r="O1202">
            <v>2</v>
          </cell>
          <cell r="P1202">
            <v>5</v>
          </cell>
          <cell r="Q1202">
            <v>1</v>
          </cell>
          <cell r="R1202">
            <v>7</v>
          </cell>
          <cell r="S1202">
            <v>50</v>
          </cell>
          <cell r="T1202">
            <v>26.571428571428573</v>
          </cell>
          <cell r="U1202">
            <v>1349</v>
          </cell>
          <cell r="V1202">
            <v>132.85714285714286</v>
          </cell>
          <cell r="W1202">
            <v>21</v>
          </cell>
          <cell r="X1202">
            <v>274</v>
          </cell>
          <cell r="Y1202">
            <v>18</v>
          </cell>
          <cell r="Z1202">
            <v>9</v>
          </cell>
        </row>
        <row r="1203">
          <cell r="A1203">
            <v>9322328</v>
          </cell>
          <cell r="B1203" t="str">
            <v>玫瑰之舞第3段</v>
          </cell>
          <cell r="C1203" t="str">
            <v>玫瑰之舞第3段</v>
          </cell>
          <cell r="D1203">
            <v>3</v>
          </cell>
          <cell r="E1203">
            <v>48</v>
          </cell>
          <cell r="F1203" t="str">
            <v>第28级，共造成170.1%点伤害</v>
          </cell>
          <cell r="G1203">
            <v>3</v>
          </cell>
          <cell r="H1203">
            <v>3</v>
          </cell>
          <cell r="I1203">
            <v>28</v>
          </cell>
          <cell r="J1203">
            <v>2</v>
          </cell>
          <cell r="K1203">
            <v>34.011428571428574</v>
          </cell>
          <cell r="L1203">
            <v>0</v>
          </cell>
          <cell r="M1203">
            <v>5760</v>
          </cell>
          <cell r="N1203">
            <v>33971</v>
          </cell>
          <cell r="O1203">
            <v>2</v>
          </cell>
          <cell r="P1203">
            <v>5</v>
          </cell>
          <cell r="Q1203">
            <v>1</v>
          </cell>
          <cell r="R1203">
            <v>7</v>
          </cell>
          <cell r="S1203">
            <v>50</v>
          </cell>
          <cell r="T1203">
            <v>26.571428571428573</v>
          </cell>
          <cell r="U1203">
            <v>1477</v>
          </cell>
          <cell r="V1203">
            <v>132.85714285714286</v>
          </cell>
          <cell r="W1203">
            <v>23</v>
          </cell>
          <cell r="X1203">
            <v>297</v>
          </cell>
          <cell r="Y1203">
            <v>18</v>
          </cell>
          <cell r="Z1203">
            <v>10</v>
          </cell>
        </row>
        <row r="1204">
          <cell r="A1204">
            <v>9322329</v>
          </cell>
          <cell r="B1204" t="str">
            <v>玫瑰之舞第3段</v>
          </cell>
          <cell r="C1204" t="str">
            <v>玫瑰之舞第3段</v>
          </cell>
          <cell r="D1204">
            <v>3</v>
          </cell>
          <cell r="E1204">
            <v>49</v>
          </cell>
          <cell r="F1204" t="str">
            <v>第29级，共造成171.4%点伤害</v>
          </cell>
          <cell r="G1204">
            <v>3</v>
          </cell>
          <cell r="H1204">
            <v>3</v>
          </cell>
          <cell r="I1204">
            <v>29</v>
          </cell>
          <cell r="J1204">
            <v>2</v>
          </cell>
          <cell r="K1204">
            <v>34.277142857142863</v>
          </cell>
          <cell r="L1204">
            <v>0</v>
          </cell>
          <cell r="M1204">
            <v>5680</v>
          </cell>
          <cell r="N1204">
            <v>38575</v>
          </cell>
          <cell r="O1204">
            <v>2</v>
          </cell>
          <cell r="P1204">
            <v>5</v>
          </cell>
          <cell r="Q1204">
            <v>1</v>
          </cell>
          <cell r="R1204">
            <v>7</v>
          </cell>
          <cell r="S1204">
            <v>50</v>
          </cell>
          <cell r="T1204">
            <v>26.571428571428573</v>
          </cell>
          <cell r="U1204">
            <v>1543</v>
          </cell>
          <cell r="V1204">
            <v>132.85714285714286</v>
          </cell>
          <cell r="W1204">
            <v>25</v>
          </cell>
          <cell r="X1204">
            <v>322</v>
          </cell>
          <cell r="Y1204">
            <v>18</v>
          </cell>
          <cell r="Z1204">
            <v>10</v>
          </cell>
        </row>
        <row r="1205">
          <cell r="A1205">
            <v>9322330</v>
          </cell>
          <cell r="B1205" t="str">
            <v>玫瑰之舞第3段</v>
          </cell>
          <cell r="C1205" t="str">
            <v>玫瑰之舞第3段</v>
          </cell>
          <cell r="D1205">
            <v>3</v>
          </cell>
          <cell r="E1205">
            <v>51</v>
          </cell>
          <cell r="F1205" t="str">
            <v>第30级，共造成172.7%点伤害</v>
          </cell>
          <cell r="G1205">
            <v>3</v>
          </cell>
          <cell r="H1205">
            <v>3</v>
          </cell>
          <cell r="I1205">
            <v>30</v>
          </cell>
          <cell r="J1205">
            <v>2</v>
          </cell>
          <cell r="K1205">
            <v>34.542857142857144</v>
          </cell>
          <cell r="L1205">
            <v>0</v>
          </cell>
          <cell r="M1205">
            <v>5600</v>
          </cell>
          <cell r="N1205">
            <v>43654</v>
          </cell>
          <cell r="O1205">
            <v>2</v>
          </cell>
          <cell r="P1205">
            <v>5</v>
          </cell>
          <cell r="Q1205">
            <v>1</v>
          </cell>
          <cell r="R1205">
            <v>7</v>
          </cell>
          <cell r="S1205">
            <v>50</v>
          </cell>
          <cell r="T1205">
            <v>26.571428571428573</v>
          </cell>
          <cell r="U1205">
            <v>1679</v>
          </cell>
          <cell r="V1205">
            <v>132.85714285714286</v>
          </cell>
          <cell r="W1205">
            <v>26</v>
          </cell>
          <cell r="X1205">
            <v>348</v>
          </cell>
          <cell r="Y1205">
            <v>18</v>
          </cell>
          <cell r="Z1205">
            <v>11</v>
          </cell>
        </row>
        <row r="1206">
          <cell r="A1206">
            <v>9322331</v>
          </cell>
          <cell r="B1206" t="str">
            <v>玫瑰之舞第3段</v>
          </cell>
          <cell r="C1206" t="str">
            <v>玫瑰之舞第3段</v>
          </cell>
          <cell r="D1206">
            <v>3</v>
          </cell>
          <cell r="E1206">
            <v>52</v>
          </cell>
          <cell r="F1206" t="str">
            <v>第31级，共造成174%点伤害</v>
          </cell>
          <cell r="G1206">
            <v>3</v>
          </cell>
          <cell r="H1206">
            <v>3</v>
          </cell>
          <cell r="I1206">
            <v>31</v>
          </cell>
          <cell r="J1206">
            <v>2</v>
          </cell>
          <cell r="K1206">
            <v>34.808571428571433</v>
          </cell>
          <cell r="L1206">
            <v>0</v>
          </cell>
          <cell r="M1206">
            <v>5520</v>
          </cell>
          <cell r="N1206">
            <v>48972</v>
          </cell>
          <cell r="O1206">
            <v>2</v>
          </cell>
          <cell r="P1206">
            <v>5</v>
          </cell>
          <cell r="Q1206">
            <v>1</v>
          </cell>
          <cell r="R1206">
            <v>7</v>
          </cell>
          <cell r="S1206">
            <v>50</v>
          </cell>
          <cell r="T1206">
            <v>26.571428571428573</v>
          </cell>
          <cell r="U1206">
            <v>1749</v>
          </cell>
          <cell r="V1206">
            <v>132.85714285714286</v>
          </cell>
          <cell r="W1206">
            <v>28</v>
          </cell>
          <cell r="X1206">
            <v>376</v>
          </cell>
          <cell r="Y1206">
            <v>18</v>
          </cell>
          <cell r="Z1206">
            <v>12</v>
          </cell>
        </row>
        <row r="1207">
          <cell r="A1207">
            <v>9322332</v>
          </cell>
          <cell r="B1207" t="str">
            <v>玫瑰之舞第3段</v>
          </cell>
          <cell r="C1207" t="str">
            <v>玫瑰之舞第3段</v>
          </cell>
          <cell r="D1207">
            <v>3</v>
          </cell>
          <cell r="E1207">
            <v>54</v>
          </cell>
          <cell r="F1207" t="str">
            <v>第32级，共造成175.4%点伤害</v>
          </cell>
          <cell r="G1207">
            <v>3</v>
          </cell>
          <cell r="H1207">
            <v>3</v>
          </cell>
          <cell r="I1207">
            <v>32</v>
          </cell>
          <cell r="J1207">
            <v>2</v>
          </cell>
          <cell r="K1207">
            <v>35.074285714285715</v>
          </cell>
          <cell r="L1207">
            <v>0</v>
          </cell>
          <cell r="M1207">
            <v>5440</v>
          </cell>
          <cell r="N1207">
            <v>56790</v>
          </cell>
          <cell r="O1207">
            <v>2</v>
          </cell>
          <cell r="P1207">
            <v>5</v>
          </cell>
          <cell r="Q1207">
            <v>1</v>
          </cell>
          <cell r="R1207">
            <v>7</v>
          </cell>
          <cell r="S1207">
            <v>50</v>
          </cell>
          <cell r="T1207">
            <v>26.571428571428573</v>
          </cell>
          <cell r="U1207">
            <v>1893</v>
          </cell>
          <cell r="V1207">
            <v>132.85714285714286</v>
          </cell>
          <cell r="W1207">
            <v>30</v>
          </cell>
          <cell r="X1207">
            <v>406</v>
          </cell>
          <cell r="Y1207">
            <v>18</v>
          </cell>
          <cell r="Z1207">
            <v>12</v>
          </cell>
        </row>
        <row r="1208">
          <cell r="A1208">
            <v>9322333</v>
          </cell>
          <cell r="B1208" t="str">
            <v>玫瑰之舞第3段</v>
          </cell>
          <cell r="C1208" t="str">
            <v>玫瑰之舞第3段</v>
          </cell>
          <cell r="D1208">
            <v>3</v>
          </cell>
          <cell r="E1208">
            <v>55</v>
          </cell>
          <cell r="F1208" t="str">
            <v>第33级，共造成176.7%点伤害</v>
          </cell>
          <cell r="G1208">
            <v>3</v>
          </cell>
          <cell r="H1208">
            <v>3</v>
          </cell>
          <cell r="I1208">
            <v>33</v>
          </cell>
          <cell r="J1208">
            <v>2</v>
          </cell>
          <cell r="K1208">
            <v>35.340000000000003</v>
          </cell>
          <cell r="L1208">
            <v>0</v>
          </cell>
          <cell r="M1208">
            <v>5360</v>
          </cell>
          <cell r="N1208">
            <v>62944</v>
          </cell>
          <cell r="O1208">
            <v>2</v>
          </cell>
          <cell r="P1208">
            <v>5</v>
          </cell>
          <cell r="Q1208">
            <v>1</v>
          </cell>
          <cell r="R1208">
            <v>7</v>
          </cell>
          <cell r="S1208">
            <v>50</v>
          </cell>
          <cell r="T1208">
            <v>26.571428571428573</v>
          </cell>
          <cell r="U1208">
            <v>1967</v>
          </cell>
          <cell r="V1208">
            <v>132.85714285714286</v>
          </cell>
          <cell r="W1208">
            <v>32</v>
          </cell>
          <cell r="X1208">
            <v>438</v>
          </cell>
          <cell r="Y1208">
            <v>18</v>
          </cell>
          <cell r="Z1208">
            <v>13</v>
          </cell>
        </row>
        <row r="1209">
          <cell r="A1209">
            <v>9322334</v>
          </cell>
          <cell r="B1209" t="str">
            <v>玫瑰之舞第3段</v>
          </cell>
          <cell r="C1209" t="str">
            <v>玫瑰之舞第3段</v>
          </cell>
          <cell r="D1209">
            <v>3</v>
          </cell>
          <cell r="E1209">
            <v>57</v>
          </cell>
          <cell r="F1209" t="str">
            <v>第34级，共造成178%点伤害</v>
          </cell>
          <cell r="G1209">
            <v>3</v>
          </cell>
          <cell r="H1209">
            <v>3</v>
          </cell>
          <cell r="I1209">
            <v>34</v>
          </cell>
          <cell r="J1209">
            <v>2</v>
          </cell>
          <cell r="K1209">
            <v>35.605714285714285</v>
          </cell>
          <cell r="L1209">
            <v>0</v>
          </cell>
          <cell r="M1209">
            <v>5280</v>
          </cell>
          <cell r="N1209">
            <v>72046</v>
          </cell>
          <cell r="O1209">
            <v>2</v>
          </cell>
          <cell r="P1209">
            <v>5</v>
          </cell>
          <cell r="Q1209">
            <v>1</v>
          </cell>
          <cell r="R1209">
            <v>7</v>
          </cell>
          <cell r="S1209">
            <v>50</v>
          </cell>
          <cell r="T1209">
            <v>26.571428571428573</v>
          </cell>
          <cell r="U1209">
            <v>2119</v>
          </cell>
          <cell r="V1209">
            <v>132.85714285714286</v>
          </cell>
          <cell r="W1209">
            <v>34</v>
          </cell>
          <cell r="X1209">
            <v>472</v>
          </cell>
          <cell r="Y1209">
            <v>18</v>
          </cell>
          <cell r="Z1209">
            <v>14</v>
          </cell>
        </row>
        <row r="1210">
          <cell r="A1210">
            <v>9322335</v>
          </cell>
          <cell r="B1210" t="str">
            <v>玫瑰之舞第3段</v>
          </cell>
          <cell r="C1210" t="str">
            <v>玫瑰之舞第3段</v>
          </cell>
          <cell r="D1210">
            <v>3</v>
          </cell>
          <cell r="E1210">
            <v>58</v>
          </cell>
          <cell r="F1210" t="str">
            <v>第35级，共造成179.4%点伤害</v>
          </cell>
          <cell r="G1210">
            <v>3</v>
          </cell>
          <cell r="H1210">
            <v>3</v>
          </cell>
          <cell r="I1210">
            <v>35</v>
          </cell>
          <cell r="J1210">
            <v>2</v>
          </cell>
          <cell r="K1210">
            <v>35.871428571428574</v>
          </cell>
          <cell r="L1210">
            <v>0</v>
          </cell>
          <cell r="M1210">
            <v>5200</v>
          </cell>
          <cell r="N1210">
            <v>79128</v>
          </cell>
          <cell r="O1210">
            <v>2</v>
          </cell>
          <cell r="P1210">
            <v>5</v>
          </cell>
          <cell r="Q1210">
            <v>1</v>
          </cell>
          <cell r="R1210">
            <v>7</v>
          </cell>
          <cell r="S1210">
            <v>50</v>
          </cell>
          <cell r="T1210">
            <v>26.571428571428573</v>
          </cell>
          <cell r="U1210">
            <v>2198</v>
          </cell>
          <cell r="V1210">
            <v>132.85714285714286</v>
          </cell>
          <cell r="W1210">
            <v>36</v>
          </cell>
          <cell r="X1210">
            <v>508</v>
          </cell>
          <cell r="Y1210">
            <v>18</v>
          </cell>
          <cell r="Z1210">
            <v>15</v>
          </cell>
        </row>
        <row r="1211">
          <cell r="A1211">
            <v>9322336</v>
          </cell>
          <cell r="B1211" t="str">
            <v>玫瑰之舞第3段</v>
          </cell>
          <cell r="C1211" t="str">
            <v>玫瑰之舞第3段</v>
          </cell>
          <cell r="D1211">
            <v>3</v>
          </cell>
          <cell r="E1211">
            <v>60</v>
          </cell>
          <cell r="F1211" t="str">
            <v>第36级，共造成180.7%点伤害</v>
          </cell>
          <cell r="G1211">
            <v>3</v>
          </cell>
          <cell r="H1211">
            <v>3</v>
          </cell>
          <cell r="I1211">
            <v>36</v>
          </cell>
          <cell r="J1211">
            <v>2</v>
          </cell>
          <cell r="K1211">
            <v>36.137142857142862</v>
          </cell>
          <cell r="L1211">
            <v>0</v>
          </cell>
          <cell r="M1211">
            <v>5120</v>
          </cell>
          <cell r="N1211">
            <v>91962</v>
          </cell>
          <cell r="O1211">
            <v>2</v>
          </cell>
          <cell r="P1211">
            <v>5</v>
          </cell>
          <cell r="Q1211">
            <v>1</v>
          </cell>
          <cell r="R1211">
            <v>7</v>
          </cell>
          <cell r="S1211">
            <v>50</v>
          </cell>
          <cell r="T1211">
            <v>26.571428571428573</v>
          </cell>
          <cell r="U1211">
            <v>2358</v>
          </cell>
          <cell r="V1211">
            <v>132.85714285714286</v>
          </cell>
          <cell r="W1211">
            <v>39</v>
          </cell>
          <cell r="X1211">
            <v>547</v>
          </cell>
          <cell r="Y1211">
            <v>18</v>
          </cell>
          <cell r="Z1211">
            <v>16</v>
          </cell>
        </row>
        <row r="1212">
          <cell r="A1212">
            <v>9322337</v>
          </cell>
          <cell r="B1212" t="str">
            <v>玫瑰之舞第3段</v>
          </cell>
          <cell r="C1212" t="str">
            <v>玫瑰之舞第3段</v>
          </cell>
          <cell r="D1212">
            <v>3</v>
          </cell>
          <cell r="E1212">
            <v>61</v>
          </cell>
          <cell r="F1212" t="str">
            <v>第37级，共造成182%点伤害</v>
          </cell>
          <cell r="G1212">
            <v>3</v>
          </cell>
          <cell r="H1212">
            <v>3</v>
          </cell>
          <cell r="I1212">
            <v>37</v>
          </cell>
          <cell r="J1212">
            <v>2</v>
          </cell>
          <cell r="K1212">
            <v>36.402857142857144</v>
          </cell>
          <cell r="L1212">
            <v>0</v>
          </cell>
          <cell r="M1212">
            <v>5040</v>
          </cell>
          <cell r="N1212">
            <v>102480</v>
          </cell>
          <cell r="O1212">
            <v>2</v>
          </cell>
          <cell r="P1212">
            <v>5</v>
          </cell>
          <cell r="Q1212">
            <v>1</v>
          </cell>
          <cell r="R1212">
            <v>7</v>
          </cell>
          <cell r="S1212">
            <v>50</v>
          </cell>
          <cell r="T1212">
            <v>26.571428571428573</v>
          </cell>
          <cell r="U1212">
            <v>2440</v>
          </cell>
          <cell r="V1212">
            <v>132.85714285714286</v>
          </cell>
          <cell r="W1212">
            <v>42</v>
          </cell>
          <cell r="X1212">
            <v>589</v>
          </cell>
          <cell r="Y1212">
            <v>18</v>
          </cell>
          <cell r="Z1212">
            <v>17</v>
          </cell>
        </row>
        <row r="1213">
          <cell r="A1213">
            <v>9322338</v>
          </cell>
          <cell r="B1213" t="str">
            <v>玫瑰之舞第3段</v>
          </cell>
          <cell r="C1213" t="str">
            <v>玫瑰之舞第3段</v>
          </cell>
          <cell r="D1213">
            <v>3</v>
          </cell>
          <cell r="E1213">
            <v>62</v>
          </cell>
          <cell r="F1213" t="str">
            <v>第38级，共造成183.3%点伤害</v>
          </cell>
          <cell r="G1213">
            <v>3</v>
          </cell>
          <cell r="H1213">
            <v>3</v>
          </cell>
          <cell r="I1213">
            <v>38</v>
          </cell>
          <cell r="J1213">
            <v>2</v>
          </cell>
          <cell r="K1213">
            <v>36.668571428571433</v>
          </cell>
          <cell r="L1213">
            <v>0</v>
          </cell>
          <cell r="M1213">
            <v>4960</v>
          </cell>
          <cell r="N1213">
            <v>113580</v>
          </cell>
          <cell r="O1213">
            <v>2</v>
          </cell>
          <cell r="P1213">
            <v>5</v>
          </cell>
          <cell r="Q1213">
            <v>1</v>
          </cell>
          <cell r="R1213">
            <v>7</v>
          </cell>
          <cell r="S1213">
            <v>50</v>
          </cell>
          <cell r="T1213">
            <v>26.571428571428573</v>
          </cell>
          <cell r="U1213">
            <v>2524</v>
          </cell>
          <cell r="V1213">
            <v>132.85714285714286</v>
          </cell>
          <cell r="W1213">
            <v>45</v>
          </cell>
          <cell r="X1213">
            <v>634</v>
          </cell>
          <cell r="Y1213">
            <v>18</v>
          </cell>
          <cell r="Z1213">
            <v>18</v>
          </cell>
        </row>
        <row r="1214">
          <cell r="A1214">
            <v>9322339</v>
          </cell>
          <cell r="B1214" t="str">
            <v>玫瑰之舞第3段</v>
          </cell>
          <cell r="C1214" t="str">
            <v>玫瑰之舞第3段</v>
          </cell>
          <cell r="D1214">
            <v>3</v>
          </cell>
          <cell r="E1214">
            <v>64</v>
          </cell>
          <cell r="F1214" t="str">
            <v>第39级，共造成184.7%点伤害</v>
          </cell>
          <cell r="G1214">
            <v>3</v>
          </cell>
          <cell r="H1214">
            <v>3</v>
          </cell>
          <cell r="I1214">
            <v>39</v>
          </cell>
          <cell r="J1214">
            <v>2</v>
          </cell>
          <cell r="K1214">
            <v>36.934285714285714</v>
          </cell>
          <cell r="L1214">
            <v>0</v>
          </cell>
          <cell r="M1214">
            <v>4880</v>
          </cell>
          <cell r="N1214">
            <v>129360</v>
          </cell>
          <cell r="O1214">
            <v>2</v>
          </cell>
          <cell r="P1214">
            <v>5</v>
          </cell>
          <cell r="Q1214">
            <v>1</v>
          </cell>
          <cell r="R1214">
            <v>7</v>
          </cell>
          <cell r="S1214">
            <v>50</v>
          </cell>
          <cell r="T1214">
            <v>26.571428571428573</v>
          </cell>
          <cell r="U1214">
            <v>2695</v>
          </cell>
          <cell r="V1214">
            <v>132.85714285714286</v>
          </cell>
          <cell r="W1214">
            <v>48</v>
          </cell>
          <cell r="X1214">
            <v>682</v>
          </cell>
          <cell r="Y1214">
            <v>18</v>
          </cell>
          <cell r="Z1214">
            <v>20</v>
          </cell>
        </row>
        <row r="1215">
          <cell r="A1215">
            <v>9322340</v>
          </cell>
          <cell r="B1215" t="str">
            <v>玫瑰之舞第3段</v>
          </cell>
          <cell r="C1215" t="str">
            <v>玫瑰之舞第3段</v>
          </cell>
          <cell r="D1215">
            <v>3</v>
          </cell>
          <cell r="E1215">
            <v>65</v>
          </cell>
          <cell r="F1215" t="str">
            <v>第40级，共造成186%点伤害</v>
          </cell>
          <cell r="G1215">
            <v>3</v>
          </cell>
          <cell r="H1215">
            <v>3</v>
          </cell>
          <cell r="I1215">
            <v>40</v>
          </cell>
          <cell r="J1215">
            <v>2</v>
          </cell>
          <cell r="K1215">
            <v>37.200000000000003</v>
          </cell>
          <cell r="L1215">
            <v>0</v>
          </cell>
          <cell r="M1215">
            <v>4800</v>
          </cell>
          <cell r="N1215">
            <v>141933</v>
          </cell>
          <cell r="O1215">
            <v>2</v>
          </cell>
          <cell r="P1215">
            <v>5</v>
          </cell>
          <cell r="Q1215">
            <v>1</v>
          </cell>
          <cell r="R1215">
            <v>7</v>
          </cell>
          <cell r="S1215">
            <v>50</v>
          </cell>
          <cell r="T1215">
            <v>26.571428571428573</v>
          </cell>
          <cell r="U1215">
            <v>2783</v>
          </cell>
          <cell r="V1215">
            <v>132.85714285714286</v>
          </cell>
          <cell r="W1215">
            <v>51</v>
          </cell>
          <cell r="X1215">
            <v>733</v>
          </cell>
          <cell r="Y1215">
            <v>18</v>
          </cell>
          <cell r="Z1215">
            <v>21</v>
          </cell>
        </row>
        <row r="1216">
          <cell r="A1216">
            <v>9322341</v>
          </cell>
          <cell r="B1216" t="str">
            <v>玫瑰之舞第3段</v>
          </cell>
          <cell r="C1216" t="str">
            <v>玫瑰之舞第3段</v>
          </cell>
          <cell r="D1216">
            <v>3</v>
          </cell>
          <cell r="E1216">
            <v>67</v>
          </cell>
          <cell r="F1216" t="str">
            <v>第41级，共造成187.3%点伤害</v>
          </cell>
          <cell r="G1216">
            <v>3</v>
          </cell>
          <cell r="H1216">
            <v>3</v>
          </cell>
          <cell r="I1216">
            <v>41</v>
          </cell>
          <cell r="J1216">
            <v>2</v>
          </cell>
          <cell r="K1216">
            <v>37.465714285714284</v>
          </cell>
          <cell r="L1216">
            <v>0</v>
          </cell>
          <cell r="M1216">
            <v>4720</v>
          </cell>
          <cell r="N1216">
            <v>162965</v>
          </cell>
          <cell r="O1216">
            <v>2</v>
          </cell>
          <cell r="P1216">
            <v>5</v>
          </cell>
          <cell r="Q1216">
            <v>1</v>
          </cell>
          <cell r="R1216">
            <v>7</v>
          </cell>
          <cell r="S1216">
            <v>50</v>
          </cell>
          <cell r="T1216">
            <v>26.571428571428573</v>
          </cell>
          <cell r="U1216">
            <v>2963</v>
          </cell>
          <cell r="V1216">
            <v>132.85714285714286</v>
          </cell>
          <cell r="W1216">
            <v>55</v>
          </cell>
          <cell r="X1216">
            <v>788</v>
          </cell>
          <cell r="Y1216">
            <v>18</v>
          </cell>
          <cell r="Z1216">
            <v>22</v>
          </cell>
        </row>
        <row r="1217">
          <cell r="A1217">
            <v>9322342</v>
          </cell>
          <cell r="B1217" t="str">
            <v>玫瑰之舞第3段</v>
          </cell>
          <cell r="C1217" t="str">
            <v>玫瑰之舞第3段</v>
          </cell>
          <cell r="D1217">
            <v>3</v>
          </cell>
          <cell r="E1217">
            <v>68</v>
          </cell>
          <cell r="F1217" t="str">
            <v>第42级，共造成188.7%点伤害</v>
          </cell>
          <cell r="G1217">
            <v>3</v>
          </cell>
          <cell r="H1217">
            <v>3</v>
          </cell>
          <cell r="I1217">
            <v>42</v>
          </cell>
          <cell r="J1217">
            <v>2</v>
          </cell>
          <cell r="K1217">
            <v>37.731428571428573</v>
          </cell>
          <cell r="L1217">
            <v>0</v>
          </cell>
          <cell r="M1217">
            <v>4640</v>
          </cell>
          <cell r="N1217">
            <v>177132</v>
          </cell>
          <cell r="O1217">
            <v>2</v>
          </cell>
          <cell r="P1217">
            <v>5</v>
          </cell>
          <cell r="Q1217">
            <v>1</v>
          </cell>
          <cell r="R1217">
            <v>7</v>
          </cell>
          <cell r="S1217">
            <v>50</v>
          </cell>
          <cell r="T1217">
            <v>26.571428571428573</v>
          </cell>
          <cell r="U1217">
            <v>3054</v>
          </cell>
          <cell r="V1217">
            <v>132.85714285714286</v>
          </cell>
          <cell r="W1217">
            <v>58</v>
          </cell>
          <cell r="X1217">
            <v>846</v>
          </cell>
          <cell r="Y1217">
            <v>18</v>
          </cell>
          <cell r="Z1217">
            <v>24</v>
          </cell>
        </row>
        <row r="1218">
          <cell r="A1218">
            <v>9322343</v>
          </cell>
          <cell r="B1218" t="str">
            <v>玫瑰之舞第3段</v>
          </cell>
          <cell r="C1218" t="str">
            <v>玫瑰之舞第3段</v>
          </cell>
          <cell r="D1218">
            <v>3</v>
          </cell>
          <cell r="E1218">
            <v>70</v>
          </cell>
          <cell r="F1218" t="str">
            <v>第43级，共造成190%点伤害</v>
          </cell>
          <cell r="G1218">
            <v>3</v>
          </cell>
          <cell r="H1218">
            <v>3</v>
          </cell>
          <cell r="I1218">
            <v>43</v>
          </cell>
          <cell r="J1218">
            <v>2</v>
          </cell>
          <cell r="K1218">
            <v>37.997142857142862</v>
          </cell>
          <cell r="L1218">
            <v>0</v>
          </cell>
          <cell r="M1218">
            <v>4560</v>
          </cell>
          <cell r="N1218">
            <v>204246</v>
          </cell>
          <cell r="O1218">
            <v>2</v>
          </cell>
          <cell r="P1218">
            <v>5</v>
          </cell>
          <cell r="Q1218">
            <v>1</v>
          </cell>
          <cell r="R1218">
            <v>7</v>
          </cell>
          <cell r="S1218">
            <v>50</v>
          </cell>
          <cell r="T1218">
            <v>26.571428571428573</v>
          </cell>
          <cell r="U1218">
            <v>3242</v>
          </cell>
          <cell r="V1218">
            <v>132.85714285714286</v>
          </cell>
          <cell r="W1218">
            <v>63</v>
          </cell>
          <cell r="X1218">
            <v>909</v>
          </cell>
          <cell r="Y1218">
            <v>18</v>
          </cell>
          <cell r="Z1218">
            <v>26</v>
          </cell>
        </row>
        <row r="1219">
          <cell r="A1219">
            <v>9322344</v>
          </cell>
          <cell r="B1219" t="str">
            <v>玫瑰之舞第3段</v>
          </cell>
          <cell r="C1219" t="str">
            <v>玫瑰之舞第3段</v>
          </cell>
          <cell r="D1219">
            <v>3</v>
          </cell>
          <cell r="E1219">
            <v>71</v>
          </cell>
          <cell r="F1219" t="str">
            <v>第44级，共造成191.3%点伤害</v>
          </cell>
          <cell r="G1219">
            <v>3</v>
          </cell>
          <cell r="H1219">
            <v>3</v>
          </cell>
          <cell r="I1219">
            <v>44</v>
          </cell>
          <cell r="J1219">
            <v>2</v>
          </cell>
          <cell r="K1219">
            <v>38.262857142857143</v>
          </cell>
          <cell r="L1219">
            <v>0</v>
          </cell>
          <cell r="M1219">
            <v>4480</v>
          </cell>
          <cell r="N1219">
            <v>223646</v>
          </cell>
          <cell r="O1219">
            <v>2</v>
          </cell>
          <cell r="P1219">
            <v>5</v>
          </cell>
          <cell r="Q1219">
            <v>1</v>
          </cell>
          <cell r="R1219">
            <v>7</v>
          </cell>
          <cell r="S1219">
            <v>50</v>
          </cell>
          <cell r="T1219">
            <v>26.571428571428573</v>
          </cell>
          <cell r="U1219">
            <v>3338</v>
          </cell>
          <cell r="V1219">
            <v>132.85714285714286</v>
          </cell>
          <cell r="W1219">
            <v>67</v>
          </cell>
          <cell r="X1219">
            <v>976</v>
          </cell>
          <cell r="Y1219">
            <v>18</v>
          </cell>
          <cell r="Z1219">
            <v>27</v>
          </cell>
        </row>
        <row r="1220">
          <cell r="A1220">
            <v>9322345</v>
          </cell>
          <cell r="B1220" t="str">
            <v>玫瑰之舞第3段</v>
          </cell>
          <cell r="C1220" t="str">
            <v>玫瑰之舞第3段</v>
          </cell>
          <cell r="D1220">
            <v>3</v>
          </cell>
          <cell r="E1220">
            <v>73</v>
          </cell>
          <cell r="F1220" t="str">
            <v>第45级，共造成192.6%点伤害</v>
          </cell>
          <cell r="G1220">
            <v>3</v>
          </cell>
          <cell r="H1220">
            <v>3</v>
          </cell>
          <cell r="I1220">
            <v>45</v>
          </cell>
          <cell r="J1220">
            <v>2</v>
          </cell>
          <cell r="K1220">
            <v>38.528571428571432</v>
          </cell>
          <cell r="L1220">
            <v>0</v>
          </cell>
          <cell r="M1220">
            <v>4400</v>
          </cell>
          <cell r="N1220">
            <v>254448</v>
          </cell>
          <cell r="O1220">
            <v>2</v>
          </cell>
          <cell r="P1220">
            <v>5</v>
          </cell>
          <cell r="Q1220">
            <v>1</v>
          </cell>
          <cell r="R1220">
            <v>7</v>
          </cell>
          <cell r="S1220">
            <v>50</v>
          </cell>
          <cell r="T1220">
            <v>26.571428571428573</v>
          </cell>
          <cell r="U1220">
            <v>3534</v>
          </cell>
          <cell r="V1220">
            <v>132.85714285714286</v>
          </cell>
          <cell r="W1220">
            <v>72</v>
          </cell>
          <cell r="X1220">
            <v>1048</v>
          </cell>
          <cell r="Y1220">
            <v>18</v>
          </cell>
          <cell r="Z1220">
            <v>29</v>
          </cell>
        </row>
        <row r="1221">
          <cell r="A1221">
            <v>9322346</v>
          </cell>
          <cell r="B1221" t="str">
            <v>玫瑰之舞第3段</v>
          </cell>
          <cell r="C1221" t="str">
            <v>玫瑰之舞第3段</v>
          </cell>
          <cell r="D1221">
            <v>3</v>
          </cell>
          <cell r="E1221">
            <v>74</v>
          </cell>
          <cell r="F1221" t="str">
            <v>第46级，共造成194%点伤害</v>
          </cell>
          <cell r="G1221">
            <v>3</v>
          </cell>
          <cell r="H1221">
            <v>3</v>
          </cell>
          <cell r="I1221">
            <v>46</v>
          </cell>
          <cell r="J1221">
            <v>2</v>
          </cell>
          <cell r="K1221">
            <v>38.794285714285721</v>
          </cell>
          <cell r="L1221">
            <v>0</v>
          </cell>
          <cell r="M1221">
            <v>4320</v>
          </cell>
          <cell r="N1221">
            <v>279818</v>
          </cell>
          <cell r="O1221">
            <v>2</v>
          </cell>
          <cell r="P1221">
            <v>5</v>
          </cell>
          <cell r="Q1221">
            <v>1</v>
          </cell>
          <cell r="R1221">
            <v>7</v>
          </cell>
          <cell r="S1221">
            <v>50</v>
          </cell>
          <cell r="T1221">
            <v>26.571428571428573</v>
          </cell>
          <cell r="U1221">
            <v>3634</v>
          </cell>
          <cell r="V1221">
            <v>132.85714285714286</v>
          </cell>
          <cell r="W1221">
            <v>77</v>
          </cell>
          <cell r="X1221">
            <v>1125</v>
          </cell>
          <cell r="Y1221">
            <v>18</v>
          </cell>
          <cell r="Z1221">
            <v>31</v>
          </cell>
        </row>
        <row r="1222">
          <cell r="A1222">
            <v>9322347</v>
          </cell>
          <cell r="B1222" t="str">
            <v>玫瑰之舞第3段</v>
          </cell>
          <cell r="C1222" t="str">
            <v>玫瑰之舞第3段</v>
          </cell>
          <cell r="D1222">
            <v>3</v>
          </cell>
          <cell r="E1222">
            <v>76</v>
          </cell>
          <cell r="F1222" t="str">
            <v>第47级，共造成195.3%点伤害</v>
          </cell>
          <cell r="G1222">
            <v>3</v>
          </cell>
          <cell r="H1222">
            <v>3</v>
          </cell>
          <cell r="I1222">
            <v>47</v>
          </cell>
          <cell r="J1222">
            <v>2</v>
          </cell>
          <cell r="K1222">
            <v>39.06</v>
          </cell>
          <cell r="L1222">
            <v>0</v>
          </cell>
          <cell r="M1222">
            <v>4240</v>
          </cell>
          <cell r="N1222">
            <v>314716</v>
          </cell>
          <cell r="O1222">
            <v>2</v>
          </cell>
          <cell r="P1222">
            <v>5</v>
          </cell>
          <cell r="Q1222">
            <v>1</v>
          </cell>
          <cell r="R1222">
            <v>7</v>
          </cell>
          <cell r="S1222">
            <v>50</v>
          </cell>
          <cell r="T1222">
            <v>26.571428571428573</v>
          </cell>
          <cell r="U1222">
            <v>3838</v>
          </cell>
          <cell r="V1222">
            <v>132.85714285714286</v>
          </cell>
          <cell r="W1222">
            <v>82</v>
          </cell>
          <cell r="X1222">
            <v>1207</v>
          </cell>
          <cell r="Y1222">
            <v>18</v>
          </cell>
          <cell r="Z1222">
            <v>33</v>
          </cell>
        </row>
        <row r="1223">
          <cell r="A1223">
            <v>9322348</v>
          </cell>
          <cell r="B1223" t="str">
            <v>玫瑰之舞第3段</v>
          </cell>
          <cell r="C1223" t="str">
            <v>玫瑰之舞第3段</v>
          </cell>
          <cell r="D1223">
            <v>3</v>
          </cell>
          <cell r="E1223">
            <v>77</v>
          </cell>
          <cell r="F1223" t="str">
            <v>第48级，共造成196.6%点伤害</v>
          </cell>
          <cell r="G1223">
            <v>3</v>
          </cell>
          <cell r="H1223">
            <v>3</v>
          </cell>
          <cell r="I1223">
            <v>48</v>
          </cell>
          <cell r="J1223">
            <v>2</v>
          </cell>
          <cell r="K1223">
            <v>39.325714285714284</v>
          </cell>
          <cell r="L1223">
            <v>0</v>
          </cell>
          <cell r="M1223">
            <v>4160</v>
          </cell>
          <cell r="N1223">
            <v>346896</v>
          </cell>
          <cell r="O1223">
            <v>2</v>
          </cell>
          <cell r="P1223">
            <v>5</v>
          </cell>
          <cell r="Q1223">
            <v>1</v>
          </cell>
          <cell r="R1223">
            <v>7</v>
          </cell>
          <cell r="S1223">
            <v>50</v>
          </cell>
          <cell r="T1223">
            <v>26.571428571428573</v>
          </cell>
          <cell r="U1223">
            <v>3942</v>
          </cell>
          <cell r="V1223">
            <v>132.85714285714286</v>
          </cell>
          <cell r="W1223">
            <v>88</v>
          </cell>
          <cell r="X1223">
            <v>1295</v>
          </cell>
          <cell r="Y1223">
            <v>18</v>
          </cell>
          <cell r="Z1223">
            <v>36</v>
          </cell>
        </row>
        <row r="1224">
          <cell r="A1224">
            <v>9322349</v>
          </cell>
          <cell r="B1224" t="str">
            <v>玫瑰之舞第3段</v>
          </cell>
          <cell r="C1224" t="str">
            <v>玫瑰之舞第3段</v>
          </cell>
          <cell r="D1224">
            <v>3</v>
          </cell>
          <cell r="E1224">
            <v>79</v>
          </cell>
          <cell r="F1224" t="str">
            <v>第49级，共造成198%点伤害</v>
          </cell>
          <cell r="G1224">
            <v>3</v>
          </cell>
          <cell r="H1224">
            <v>3</v>
          </cell>
          <cell r="I1224">
            <v>49</v>
          </cell>
          <cell r="J1224">
            <v>2</v>
          </cell>
          <cell r="K1224">
            <v>39.591428571428573</v>
          </cell>
          <cell r="L1224">
            <v>0</v>
          </cell>
          <cell r="M1224">
            <v>4080</v>
          </cell>
          <cell r="N1224">
            <v>390476</v>
          </cell>
          <cell r="O1224">
            <v>2</v>
          </cell>
          <cell r="P1224">
            <v>5</v>
          </cell>
          <cell r="Q1224">
            <v>1</v>
          </cell>
          <cell r="R1224">
            <v>7</v>
          </cell>
          <cell r="S1224">
            <v>50</v>
          </cell>
          <cell r="T1224">
            <v>26.571428571428573</v>
          </cell>
          <cell r="U1224">
            <v>4154</v>
          </cell>
          <cell r="V1224">
            <v>132.85714285714286</v>
          </cell>
          <cell r="W1224">
            <v>94</v>
          </cell>
          <cell r="X1224">
            <v>1389</v>
          </cell>
          <cell r="Y1224">
            <v>18</v>
          </cell>
          <cell r="Z1224">
            <v>38</v>
          </cell>
        </row>
        <row r="1225">
          <cell r="A1225">
            <v>9322350</v>
          </cell>
          <cell r="B1225" t="str">
            <v>玫瑰之舞第3段</v>
          </cell>
          <cell r="C1225" t="str">
            <v>玫瑰之舞第3段</v>
          </cell>
          <cell r="D1225">
            <v>3</v>
          </cell>
          <cell r="E1225">
            <v>80</v>
          </cell>
          <cell r="F1225" t="str">
            <v>第50级，共造成199.3%点伤害</v>
          </cell>
          <cell r="G1225">
            <v>3</v>
          </cell>
          <cell r="H1225">
            <v>3</v>
          </cell>
          <cell r="I1225">
            <v>50</v>
          </cell>
          <cell r="J1225">
            <v>2</v>
          </cell>
          <cell r="K1225">
            <v>39.857142857142861</v>
          </cell>
          <cell r="L1225">
            <v>0</v>
          </cell>
          <cell r="M1225">
            <v>4000</v>
          </cell>
          <cell r="N1225">
            <v>430462</v>
          </cell>
          <cell r="O1225">
            <v>2</v>
          </cell>
          <cell r="P1225">
            <v>5</v>
          </cell>
          <cell r="Q1225">
            <v>1</v>
          </cell>
          <cell r="R1225">
            <v>7</v>
          </cell>
          <cell r="S1225">
            <v>50</v>
          </cell>
          <cell r="T1225">
            <v>26.571428571428573</v>
          </cell>
          <cell r="U1225">
            <v>4262</v>
          </cell>
          <cell r="V1225">
            <v>132.85714285714286</v>
          </cell>
          <cell r="W1225">
            <v>101</v>
          </cell>
          <cell r="X1225">
            <v>1490</v>
          </cell>
          <cell r="Y1225">
            <v>18</v>
          </cell>
          <cell r="Z1225">
            <v>41</v>
          </cell>
        </row>
        <row r="1226">
          <cell r="A1226">
            <v>1</v>
          </cell>
          <cell r="B1226" t="str">
            <v>玫瑰之舞</v>
          </cell>
          <cell r="C1226" t="str">
            <v>玫瑰之舞第4段</v>
          </cell>
          <cell r="D1226">
            <v>3</v>
          </cell>
          <cell r="E1226">
            <v>4</v>
          </cell>
          <cell r="F1226" t="str">
            <v>第0级，共造成166.1%点伤害</v>
          </cell>
          <cell r="G1226">
            <v>0</v>
          </cell>
          <cell r="H1226">
            <v>4</v>
          </cell>
          <cell r="I1226">
            <v>0</v>
          </cell>
          <cell r="J1226">
            <v>2</v>
          </cell>
          <cell r="K1226">
            <v>166.07142857142858</v>
          </cell>
          <cell r="L1226">
            <v>0</v>
          </cell>
          <cell r="M1226">
            <v>8000</v>
          </cell>
          <cell r="N1226">
            <v>0</v>
          </cell>
          <cell r="O1226">
            <v>2</v>
          </cell>
          <cell r="P1226">
            <v>1</v>
          </cell>
          <cell r="Q1226">
            <v>1</v>
          </cell>
          <cell r="R1226">
            <v>9</v>
          </cell>
          <cell r="S1226">
            <v>50</v>
          </cell>
          <cell r="T1226">
            <v>166.07142857142858</v>
          </cell>
          <cell r="U1226">
            <v>68</v>
          </cell>
          <cell r="V1226">
            <v>166.07142857142858</v>
          </cell>
          <cell r="W1226">
            <v>0</v>
          </cell>
          <cell r="X1226">
            <v>0</v>
          </cell>
          <cell r="Y1226">
            <v>18</v>
          </cell>
          <cell r="Z1226">
            <v>0</v>
          </cell>
        </row>
        <row r="1227">
          <cell r="A1227">
            <v>9322401</v>
          </cell>
          <cell r="B1227" t="str">
            <v>玫瑰之舞第4段</v>
          </cell>
          <cell r="C1227" t="str">
            <v>玫瑰之舞第4段</v>
          </cell>
          <cell r="D1227">
            <v>3</v>
          </cell>
          <cell r="E1227">
            <v>4</v>
          </cell>
          <cell r="F1227" t="str">
            <v>第1级，共造成166.1%点伤害</v>
          </cell>
          <cell r="G1227">
            <v>4</v>
          </cell>
          <cell r="H1227">
            <v>4</v>
          </cell>
          <cell r="I1227">
            <v>1</v>
          </cell>
          <cell r="J1227">
            <v>2</v>
          </cell>
          <cell r="K1227">
            <v>166.07142857142858</v>
          </cell>
          <cell r="L1227">
            <v>0</v>
          </cell>
          <cell r="M1227">
            <v>8000</v>
          </cell>
          <cell r="N1227">
            <v>408</v>
          </cell>
          <cell r="O1227">
            <v>2</v>
          </cell>
          <cell r="P1227">
            <v>1</v>
          </cell>
          <cell r="Q1227">
            <v>1</v>
          </cell>
          <cell r="R1227">
            <v>9</v>
          </cell>
          <cell r="S1227">
            <v>50</v>
          </cell>
          <cell r="T1227">
            <v>166.07142857142858</v>
          </cell>
          <cell r="U1227">
            <v>68</v>
          </cell>
          <cell r="V1227">
            <v>166.07142857142858</v>
          </cell>
          <cell r="W1227">
            <v>6</v>
          </cell>
          <cell r="X1227">
            <v>6</v>
          </cell>
          <cell r="Y1227">
            <v>18</v>
          </cell>
          <cell r="Z1227">
            <v>0</v>
          </cell>
        </row>
        <row r="1228">
          <cell r="A1228">
            <v>9322402</v>
          </cell>
          <cell r="B1228" t="str">
            <v>玫瑰之舞第4段</v>
          </cell>
          <cell r="C1228" t="str">
            <v>玫瑰之舞第4段</v>
          </cell>
          <cell r="D1228">
            <v>3</v>
          </cell>
          <cell r="E1228">
            <v>12</v>
          </cell>
          <cell r="F1228" t="str">
            <v>第2级，共造成169.4%点伤害</v>
          </cell>
          <cell r="G1228">
            <v>4</v>
          </cell>
          <cell r="H1228">
            <v>4</v>
          </cell>
          <cell r="I1228">
            <v>2</v>
          </cell>
          <cell r="J1228">
            <v>2</v>
          </cell>
          <cell r="K1228">
            <v>169.39285714285717</v>
          </cell>
          <cell r="L1228">
            <v>0</v>
          </cell>
          <cell r="M1228">
            <v>7840</v>
          </cell>
          <cell r="N1228">
            <v>812</v>
          </cell>
          <cell r="O1228">
            <v>2</v>
          </cell>
          <cell r="P1228">
            <v>1</v>
          </cell>
          <cell r="Q1228">
            <v>1</v>
          </cell>
          <cell r="R1228">
            <v>9</v>
          </cell>
          <cell r="S1228">
            <v>50</v>
          </cell>
          <cell r="T1228">
            <v>166.07142857142858</v>
          </cell>
          <cell r="U1228">
            <v>116</v>
          </cell>
          <cell r="V1228">
            <v>166.07142857142858</v>
          </cell>
          <cell r="W1228">
            <v>7</v>
          </cell>
          <cell r="X1228">
            <v>13</v>
          </cell>
          <cell r="Y1228">
            <v>18</v>
          </cell>
          <cell r="Z1228">
            <v>0</v>
          </cell>
        </row>
        <row r="1229">
          <cell r="A1229">
            <v>9322403</v>
          </cell>
          <cell r="B1229" t="str">
            <v>玫瑰之舞第4段</v>
          </cell>
          <cell r="C1229" t="str">
            <v>玫瑰之舞第4段</v>
          </cell>
          <cell r="D1229">
            <v>3</v>
          </cell>
          <cell r="E1229">
            <v>13</v>
          </cell>
          <cell r="F1229" t="str">
            <v>第3级，共造成171.1%点伤害</v>
          </cell>
          <cell r="G1229">
            <v>4</v>
          </cell>
          <cell r="H1229">
            <v>4</v>
          </cell>
          <cell r="I1229">
            <v>3</v>
          </cell>
          <cell r="J1229">
            <v>2</v>
          </cell>
          <cell r="K1229">
            <v>171.05357142857144</v>
          </cell>
          <cell r="L1229">
            <v>0</v>
          </cell>
          <cell r="M1229">
            <v>7760</v>
          </cell>
          <cell r="N1229">
            <v>854</v>
          </cell>
          <cell r="O1229">
            <v>2</v>
          </cell>
          <cell r="P1229">
            <v>1</v>
          </cell>
          <cell r="Q1229">
            <v>1</v>
          </cell>
          <cell r="R1229">
            <v>9</v>
          </cell>
          <cell r="S1229">
            <v>50</v>
          </cell>
          <cell r="T1229">
            <v>166.07142857142858</v>
          </cell>
          <cell r="U1229">
            <v>122</v>
          </cell>
          <cell r="V1229">
            <v>166.07142857142858</v>
          </cell>
          <cell r="W1229">
            <v>7</v>
          </cell>
          <cell r="X1229">
            <v>20</v>
          </cell>
          <cell r="Y1229">
            <v>18</v>
          </cell>
          <cell r="Z1229">
            <v>0</v>
          </cell>
        </row>
        <row r="1230">
          <cell r="A1230">
            <v>9322404</v>
          </cell>
          <cell r="B1230" t="str">
            <v>玫瑰之舞第4段</v>
          </cell>
          <cell r="C1230" t="str">
            <v>玫瑰之舞第4段</v>
          </cell>
          <cell r="D1230">
            <v>3</v>
          </cell>
          <cell r="E1230">
            <v>15</v>
          </cell>
          <cell r="F1230" t="str">
            <v>第4级，共造成172.7%点伤害</v>
          </cell>
          <cell r="G1230">
            <v>4</v>
          </cell>
          <cell r="H1230">
            <v>4</v>
          </cell>
          <cell r="I1230">
            <v>4</v>
          </cell>
          <cell r="J1230">
            <v>2</v>
          </cell>
          <cell r="K1230">
            <v>172.71428571428572</v>
          </cell>
          <cell r="L1230">
            <v>0</v>
          </cell>
          <cell r="M1230">
            <v>7680</v>
          </cell>
          <cell r="N1230">
            <v>1072</v>
          </cell>
          <cell r="O1230">
            <v>2</v>
          </cell>
          <cell r="P1230">
            <v>1</v>
          </cell>
          <cell r="Q1230">
            <v>1</v>
          </cell>
          <cell r="R1230">
            <v>9</v>
          </cell>
          <cell r="S1230">
            <v>50</v>
          </cell>
          <cell r="T1230">
            <v>166.07142857142858</v>
          </cell>
          <cell r="U1230">
            <v>134</v>
          </cell>
          <cell r="V1230">
            <v>166.07142857142858</v>
          </cell>
          <cell r="W1230">
            <v>8</v>
          </cell>
          <cell r="X1230">
            <v>28</v>
          </cell>
          <cell r="Y1230">
            <v>18</v>
          </cell>
          <cell r="Z1230">
            <v>0</v>
          </cell>
        </row>
        <row r="1231">
          <cell r="A1231">
            <v>9322405</v>
          </cell>
          <cell r="B1231" t="str">
            <v>玫瑰之舞第4段</v>
          </cell>
          <cell r="C1231" t="str">
            <v>玫瑰之舞第4段</v>
          </cell>
          <cell r="D1231">
            <v>3</v>
          </cell>
          <cell r="E1231">
            <v>16</v>
          </cell>
          <cell r="F1231" t="str">
            <v>第5级，共造成174.4%点伤害</v>
          </cell>
          <cell r="G1231">
            <v>4</v>
          </cell>
          <cell r="H1231">
            <v>4</v>
          </cell>
          <cell r="I1231">
            <v>5</v>
          </cell>
          <cell r="J1231">
            <v>2</v>
          </cell>
          <cell r="K1231">
            <v>174.375</v>
          </cell>
          <cell r="L1231">
            <v>0</v>
          </cell>
          <cell r="M1231">
            <v>7600</v>
          </cell>
          <cell r="N1231">
            <v>1120</v>
          </cell>
          <cell r="O1231">
            <v>2</v>
          </cell>
          <cell r="P1231">
            <v>1</v>
          </cell>
          <cell r="Q1231">
            <v>1</v>
          </cell>
          <cell r="R1231">
            <v>9</v>
          </cell>
          <cell r="S1231">
            <v>50</v>
          </cell>
          <cell r="T1231">
            <v>166.07142857142858</v>
          </cell>
          <cell r="U1231">
            <v>140</v>
          </cell>
          <cell r="V1231">
            <v>166.07142857142858</v>
          </cell>
          <cell r="W1231">
            <v>8</v>
          </cell>
          <cell r="X1231">
            <v>36</v>
          </cell>
          <cell r="Y1231">
            <v>18</v>
          </cell>
          <cell r="Z1231">
            <v>0</v>
          </cell>
        </row>
        <row r="1232">
          <cell r="A1232">
            <v>9322406</v>
          </cell>
          <cell r="B1232" t="str">
            <v>玫瑰之舞第4段</v>
          </cell>
          <cell r="C1232" t="str">
            <v>玫瑰之舞第4段</v>
          </cell>
          <cell r="D1232">
            <v>3</v>
          </cell>
          <cell r="E1232">
            <v>18</v>
          </cell>
          <cell r="F1232" t="str">
            <v>第6级，共造成176%点伤害</v>
          </cell>
          <cell r="G1232">
            <v>4</v>
          </cell>
          <cell r="H1232">
            <v>4</v>
          </cell>
          <cell r="I1232">
            <v>6</v>
          </cell>
          <cell r="J1232">
            <v>2</v>
          </cell>
          <cell r="K1232">
            <v>176.03571428571431</v>
          </cell>
          <cell r="L1232">
            <v>0</v>
          </cell>
          <cell r="M1232">
            <v>7520</v>
          </cell>
          <cell r="N1232">
            <v>1368</v>
          </cell>
          <cell r="O1232">
            <v>2</v>
          </cell>
          <cell r="P1232">
            <v>1</v>
          </cell>
          <cell r="Q1232">
            <v>1</v>
          </cell>
          <cell r="R1232">
            <v>9</v>
          </cell>
          <cell r="S1232">
            <v>50</v>
          </cell>
          <cell r="T1232">
            <v>166.07142857142858</v>
          </cell>
          <cell r="U1232">
            <v>152</v>
          </cell>
          <cell r="V1232">
            <v>166.07142857142858</v>
          </cell>
          <cell r="W1232">
            <v>9</v>
          </cell>
          <cell r="X1232">
            <v>45</v>
          </cell>
          <cell r="Y1232">
            <v>18</v>
          </cell>
          <cell r="Z1232">
            <v>0</v>
          </cell>
        </row>
        <row r="1233">
          <cell r="A1233">
            <v>9322407</v>
          </cell>
          <cell r="B1233" t="str">
            <v>玫瑰之舞第4段</v>
          </cell>
          <cell r="C1233" t="str">
            <v>玫瑰之舞第4段</v>
          </cell>
          <cell r="D1233">
            <v>3</v>
          </cell>
          <cell r="E1233">
            <v>19</v>
          </cell>
          <cell r="F1233" t="str">
            <v>第7级，共造成177.7%点伤害</v>
          </cell>
          <cell r="G1233">
            <v>4</v>
          </cell>
          <cell r="H1233">
            <v>4</v>
          </cell>
          <cell r="I1233">
            <v>7</v>
          </cell>
          <cell r="J1233">
            <v>2</v>
          </cell>
          <cell r="K1233">
            <v>177.69642857142858</v>
          </cell>
          <cell r="L1233">
            <v>0</v>
          </cell>
          <cell r="M1233">
            <v>7440</v>
          </cell>
          <cell r="N1233">
            <v>1422</v>
          </cell>
          <cell r="O1233">
            <v>2</v>
          </cell>
          <cell r="P1233">
            <v>1</v>
          </cell>
          <cell r="Q1233">
            <v>1</v>
          </cell>
          <cell r="R1233">
            <v>9</v>
          </cell>
          <cell r="S1233">
            <v>50</v>
          </cell>
          <cell r="T1233">
            <v>166.07142857142858</v>
          </cell>
          <cell r="U1233">
            <v>158</v>
          </cell>
          <cell r="V1233">
            <v>166.07142857142858</v>
          </cell>
          <cell r="W1233">
            <v>9</v>
          </cell>
          <cell r="X1233">
            <v>54</v>
          </cell>
          <cell r="Y1233">
            <v>18</v>
          </cell>
          <cell r="Z1233">
            <v>0</v>
          </cell>
        </row>
        <row r="1234">
          <cell r="A1234">
            <v>9322408</v>
          </cell>
          <cell r="B1234" t="str">
            <v>玫瑰之舞第4段</v>
          </cell>
          <cell r="C1234" t="str">
            <v>玫瑰之舞第4段</v>
          </cell>
          <cell r="D1234">
            <v>3</v>
          </cell>
          <cell r="E1234">
            <v>20</v>
          </cell>
          <cell r="F1234" t="str">
            <v>第8级，共造成179.4%点伤害</v>
          </cell>
          <cell r="G1234">
            <v>4</v>
          </cell>
          <cell r="H1234">
            <v>4</v>
          </cell>
          <cell r="I1234">
            <v>8</v>
          </cell>
          <cell r="J1234">
            <v>2</v>
          </cell>
          <cell r="K1234">
            <v>179.35714285714286</v>
          </cell>
          <cell r="L1234">
            <v>0</v>
          </cell>
          <cell r="M1234">
            <v>7360</v>
          </cell>
          <cell r="N1234">
            <v>1820</v>
          </cell>
          <cell r="O1234">
            <v>2</v>
          </cell>
          <cell r="P1234">
            <v>1</v>
          </cell>
          <cell r="Q1234">
            <v>1</v>
          </cell>
          <cell r="R1234">
            <v>9</v>
          </cell>
          <cell r="S1234">
            <v>50</v>
          </cell>
          <cell r="T1234">
            <v>166.07142857142858</v>
          </cell>
          <cell r="U1234">
            <v>182</v>
          </cell>
          <cell r="V1234">
            <v>166.07142857142858</v>
          </cell>
          <cell r="W1234">
            <v>10</v>
          </cell>
          <cell r="X1234">
            <v>64</v>
          </cell>
          <cell r="Y1234">
            <v>18</v>
          </cell>
          <cell r="Z1234">
            <v>0</v>
          </cell>
        </row>
        <row r="1235">
          <cell r="A1235">
            <v>9322409</v>
          </cell>
          <cell r="B1235" t="str">
            <v>玫瑰之舞第4段</v>
          </cell>
          <cell r="C1235" t="str">
            <v>玫瑰之舞第4段</v>
          </cell>
          <cell r="D1235">
            <v>3</v>
          </cell>
          <cell r="E1235">
            <v>22</v>
          </cell>
          <cell r="F1235" t="str">
            <v>第9级，共造成181%点伤害</v>
          </cell>
          <cell r="G1235">
            <v>4</v>
          </cell>
          <cell r="H1235">
            <v>4</v>
          </cell>
          <cell r="I1235">
            <v>9</v>
          </cell>
          <cell r="J1235">
            <v>2</v>
          </cell>
          <cell r="K1235">
            <v>181.01785714285717</v>
          </cell>
          <cell r="L1235">
            <v>0</v>
          </cell>
          <cell r="M1235">
            <v>7280</v>
          </cell>
          <cell r="N1235">
            <v>2629</v>
          </cell>
          <cell r="O1235">
            <v>2</v>
          </cell>
          <cell r="P1235">
            <v>1</v>
          </cell>
          <cell r="Q1235">
            <v>1</v>
          </cell>
          <cell r="R1235">
            <v>9</v>
          </cell>
          <cell r="S1235">
            <v>50</v>
          </cell>
          <cell r="T1235">
            <v>166.07142857142858</v>
          </cell>
          <cell r="U1235">
            <v>239</v>
          </cell>
          <cell r="V1235">
            <v>166.07142857142858</v>
          </cell>
          <cell r="W1235">
            <v>11</v>
          </cell>
          <cell r="X1235">
            <v>75</v>
          </cell>
          <cell r="Y1235">
            <v>18</v>
          </cell>
          <cell r="Z1235">
            <v>0</v>
          </cell>
        </row>
        <row r="1236">
          <cell r="A1236">
            <v>9322410</v>
          </cell>
          <cell r="B1236" t="str">
            <v>玫瑰之舞第4段</v>
          </cell>
          <cell r="C1236" t="str">
            <v>玫瑰之舞第4段</v>
          </cell>
          <cell r="D1236">
            <v>3</v>
          </cell>
          <cell r="E1236">
            <v>23</v>
          </cell>
          <cell r="F1236" t="str">
            <v>第10级，共造成182.7%点伤害</v>
          </cell>
          <cell r="G1236">
            <v>4</v>
          </cell>
          <cell r="H1236">
            <v>4</v>
          </cell>
          <cell r="I1236">
            <v>10</v>
          </cell>
          <cell r="J1236">
            <v>2</v>
          </cell>
          <cell r="K1236">
            <v>182.67857142857144</v>
          </cell>
          <cell r="L1236">
            <v>0</v>
          </cell>
          <cell r="M1236">
            <v>7200</v>
          </cell>
          <cell r="N1236">
            <v>2970</v>
          </cell>
          <cell r="O1236">
            <v>2</v>
          </cell>
          <cell r="P1236">
            <v>1</v>
          </cell>
          <cell r="Q1236">
            <v>1</v>
          </cell>
          <cell r="R1236">
            <v>9</v>
          </cell>
          <cell r="S1236">
            <v>50</v>
          </cell>
          <cell r="T1236">
            <v>166.07142857142858</v>
          </cell>
          <cell r="U1236">
            <v>270</v>
          </cell>
          <cell r="V1236">
            <v>166.07142857142858</v>
          </cell>
          <cell r="W1236">
            <v>11</v>
          </cell>
          <cell r="X1236">
            <v>86</v>
          </cell>
          <cell r="Y1236">
            <v>18</v>
          </cell>
          <cell r="Z1236">
            <v>0</v>
          </cell>
        </row>
        <row r="1237">
          <cell r="A1237">
            <v>9322411</v>
          </cell>
          <cell r="B1237" t="str">
            <v>玫瑰之舞第4段</v>
          </cell>
          <cell r="C1237" t="str">
            <v>玫瑰之舞第4段</v>
          </cell>
          <cell r="D1237">
            <v>3</v>
          </cell>
          <cell r="E1237">
            <v>25</v>
          </cell>
          <cell r="F1237" t="str">
            <v>第11级，共造成184.3%点伤害</v>
          </cell>
          <cell r="G1237">
            <v>4</v>
          </cell>
          <cell r="H1237">
            <v>4</v>
          </cell>
          <cell r="I1237">
            <v>11</v>
          </cell>
          <cell r="J1237">
            <v>2</v>
          </cell>
          <cell r="K1237">
            <v>184.33928571428572</v>
          </cell>
          <cell r="L1237">
            <v>0</v>
          </cell>
          <cell r="M1237">
            <v>7120</v>
          </cell>
          <cell r="N1237">
            <v>4020</v>
          </cell>
          <cell r="O1237">
            <v>2</v>
          </cell>
          <cell r="P1237">
            <v>1</v>
          </cell>
          <cell r="Q1237">
            <v>1</v>
          </cell>
          <cell r="R1237">
            <v>9</v>
          </cell>
          <cell r="S1237">
            <v>50</v>
          </cell>
          <cell r="T1237">
            <v>166.07142857142858</v>
          </cell>
          <cell r="U1237">
            <v>335</v>
          </cell>
          <cell r="V1237">
            <v>166.07142857142858</v>
          </cell>
          <cell r="W1237">
            <v>12</v>
          </cell>
          <cell r="X1237">
            <v>98</v>
          </cell>
          <cell r="Y1237">
            <v>18</v>
          </cell>
          <cell r="Z1237">
            <v>0</v>
          </cell>
        </row>
        <row r="1238">
          <cell r="A1238">
            <v>9322412</v>
          </cell>
          <cell r="B1238" t="str">
            <v>玫瑰之舞第4段</v>
          </cell>
          <cell r="C1238" t="str">
            <v>玫瑰之舞第4段</v>
          </cell>
          <cell r="D1238">
            <v>3</v>
          </cell>
          <cell r="E1238">
            <v>26</v>
          </cell>
          <cell r="F1238" t="str">
            <v>第12级，共造成186%点伤害</v>
          </cell>
          <cell r="G1238">
            <v>4</v>
          </cell>
          <cell r="H1238">
            <v>4</v>
          </cell>
          <cell r="I1238">
            <v>12</v>
          </cell>
          <cell r="J1238">
            <v>2</v>
          </cell>
          <cell r="K1238">
            <v>186</v>
          </cell>
          <cell r="L1238">
            <v>0</v>
          </cell>
          <cell r="M1238">
            <v>7040</v>
          </cell>
          <cell r="N1238">
            <v>4810</v>
          </cell>
          <cell r="O1238">
            <v>2</v>
          </cell>
          <cell r="P1238">
            <v>1</v>
          </cell>
          <cell r="Q1238">
            <v>1</v>
          </cell>
          <cell r="R1238">
            <v>9</v>
          </cell>
          <cell r="S1238">
            <v>50</v>
          </cell>
          <cell r="T1238">
            <v>166.07142857142858</v>
          </cell>
          <cell r="U1238">
            <v>370</v>
          </cell>
          <cell r="V1238">
            <v>166.07142857142858</v>
          </cell>
          <cell r="W1238">
            <v>13</v>
          </cell>
          <cell r="X1238">
            <v>111</v>
          </cell>
          <cell r="Y1238">
            <v>18</v>
          </cell>
          <cell r="Z1238">
            <v>0</v>
          </cell>
        </row>
        <row r="1239">
          <cell r="A1239">
            <v>9322413</v>
          </cell>
          <cell r="B1239" t="str">
            <v>玫瑰之舞第4段</v>
          </cell>
          <cell r="C1239" t="str">
            <v>玫瑰之舞第4段</v>
          </cell>
          <cell r="D1239">
            <v>3</v>
          </cell>
          <cell r="E1239">
            <v>27</v>
          </cell>
          <cell r="F1239" t="str">
            <v>第13级，共造成187.7%点伤害</v>
          </cell>
          <cell r="G1239">
            <v>4</v>
          </cell>
          <cell r="H1239">
            <v>4</v>
          </cell>
          <cell r="I1239">
            <v>13</v>
          </cell>
          <cell r="J1239">
            <v>2</v>
          </cell>
          <cell r="K1239">
            <v>187.66071428571431</v>
          </cell>
          <cell r="L1239">
            <v>0</v>
          </cell>
          <cell r="M1239">
            <v>6960</v>
          </cell>
          <cell r="N1239">
            <v>5684</v>
          </cell>
          <cell r="O1239">
            <v>2</v>
          </cell>
          <cell r="P1239">
            <v>1</v>
          </cell>
          <cell r="Q1239">
            <v>1</v>
          </cell>
          <cell r="R1239">
            <v>9</v>
          </cell>
          <cell r="S1239">
            <v>50</v>
          </cell>
          <cell r="T1239">
            <v>166.07142857142858</v>
          </cell>
          <cell r="U1239">
            <v>406</v>
          </cell>
          <cell r="V1239">
            <v>166.07142857142858</v>
          </cell>
          <cell r="W1239">
            <v>14</v>
          </cell>
          <cell r="X1239">
            <v>125</v>
          </cell>
          <cell r="Y1239">
            <v>18</v>
          </cell>
          <cell r="Z1239">
            <v>0</v>
          </cell>
        </row>
        <row r="1240">
          <cell r="A1240">
            <v>9322414</v>
          </cell>
          <cell r="B1240" t="str">
            <v>玫瑰之舞第4段</v>
          </cell>
          <cell r="C1240" t="str">
            <v>玫瑰之舞第4段</v>
          </cell>
          <cell r="D1240">
            <v>3</v>
          </cell>
          <cell r="E1240">
            <v>29</v>
          </cell>
          <cell r="F1240" t="str">
            <v>第14级，共造成189.3%点伤害</v>
          </cell>
          <cell r="G1240">
            <v>4</v>
          </cell>
          <cell r="H1240">
            <v>4</v>
          </cell>
          <cell r="I1240">
            <v>14</v>
          </cell>
          <cell r="J1240">
            <v>2</v>
          </cell>
          <cell r="K1240">
            <v>189.32142857142858</v>
          </cell>
          <cell r="L1240">
            <v>0</v>
          </cell>
          <cell r="M1240">
            <v>6880</v>
          </cell>
          <cell r="N1240">
            <v>6748</v>
          </cell>
          <cell r="O1240">
            <v>2</v>
          </cell>
          <cell r="P1240">
            <v>1</v>
          </cell>
          <cell r="Q1240">
            <v>1</v>
          </cell>
          <cell r="R1240">
            <v>9</v>
          </cell>
          <cell r="S1240">
            <v>50</v>
          </cell>
          <cell r="T1240">
            <v>166.07142857142858</v>
          </cell>
          <cell r="U1240">
            <v>482</v>
          </cell>
          <cell r="V1240">
            <v>166.07142857142858</v>
          </cell>
          <cell r="W1240">
            <v>14</v>
          </cell>
          <cell r="X1240">
            <v>139</v>
          </cell>
          <cell r="Y1240">
            <v>18</v>
          </cell>
          <cell r="Z1240">
            <v>0</v>
          </cell>
        </row>
        <row r="1241">
          <cell r="A1241">
            <v>9322415</v>
          </cell>
          <cell r="B1241" t="str">
            <v>玫瑰之舞第4段</v>
          </cell>
          <cell r="C1241" t="str">
            <v>玫瑰之舞第4段</v>
          </cell>
          <cell r="D1241">
            <v>3</v>
          </cell>
          <cell r="E1241">
            <v>30</v>
          </cell>
          <cell r="F1241" t="str">
            <v>第15级，共造成191%点伤害</v>
          </cell>
          <cell r="G1241">
            <v>4</v>
          </cell>
          <cell r="H1241">
            <v>4</v>
          </cell>
          <cell r="I1241">
            <v>15</v>
          </cell>
          <cell r="J1241">
            <v>2</v>
          </cell>
          <cell r="K1241">
            <v>190.98214285714286</v>
          </cell>
          <cell r="L1241">
            <v>0</v>
          </cell>
          <cell r="M1241">
            <v>6800</v>
          </cell>
          <cell r="N1241">
            <v>7830</v>
          </cell>
          <cell r="O1241">
            <v>2</v>
          </cell>
          <cell r="P1241">
            <v>1</v>
          </cell>
          <cell r="Q1241">
            <v>1</v>
          </cell>
          <cell r="R1241">
            <v>9</v>
          </cell>
          <cell r="S1241">
            <v>50</v>
          </cell>
          <cell r="T1241">
            <v>166.07142857142858</v>
          </cell>
          <cell r="U1241">
            <v>522</v>
          </cell>
          <cell r="V1241">
            <v>166.07142857142858</v>
          </cell>
          <cell r="W1241">
            <v>15</v>
          </cell>
          <cell r="X1241">
            <v>154</v>
          </cell>
          <cell r="Y1241">
            <v>18</v>
          </cell>
          <cell r="Z1241">
            <v>0</v>
          </cell>
        </row>
        <row r="1242">
          <cell r="A1242">
            <v>9322416</v>
          </cell>
          <cell r="B1242" t="str">
            <v>玫瑰之舞第4段</v>
          </cell>
          <cell r="C1242" t="str">
            <v>玫瑰之舞第4段</v>
          </cell>
          <cell r="D1242">
            <v>3</v>
          </cell>
          <cell r="E1242">
            <v>32</v>
          </cell>
          <cell r="F1242" t="str">
            <v>第16级，共造成192.6%点伤害</v>
          </cell>
          <cell r="G1242">
            <v>4</v>
          </cell>
          <cell r="H1242">
            <v>4</v>
          </cell>
          <cell r="I1242">
            <v>16</v>
          </cell>
          <cell r="J1242">
            <v>2</v>
          </cell>
          <cell r="K1242">
            <v>192.64285714285717</v>
          </cell>
          <cell r="L1242">
            <v>0</v>
          </cell>
          <cell r="M1242">
            <v>6720</v>
          </cell>
          <cell r="N1242">
            <v>9696</v>
          </cell>
          <cell r="O1242">
            <v>2</v>
          </cell>
          <cell r="P1242">
            <v>1</v>
          </cell>
          <cell r="Q1242">
            <v>1</v>
          </cell>
          <cell r="R1242">
            <v>9</v>
          </cell>
          <cell r="S1242">
            <v>50</v>
          </cell>
          <cell r="T1242">
            <v>166.07142857142858</v>
          </cell>
          <cell r="U1242">
            <v>606</v>
          </cell>
          <cell r="V1242">
            <v>166.07142857142858</v>
          </cell>
          <cell r="W1242">
            <v>16</v>
          </cell>
          <cell r="X1242">
            <v>170</v>
          </cell>
          <cell r="Y1242">
            <v>18</v>
          </cell>
          <cell r="Z1242">
            <v>0</v>
          </cell>
        </row>
        <row r="1243">
          <cell r="A1243">
            <v>9322417</v>
          </cell>
          <cell r="B1243" t="str">
            <v>玫瑰之舞第4段</v>
          </cell>
          <cell r="C1243" t="str">
            <v>玫瑰之舞第4段</v>
          </cell>
          <cell r="D1243">
            <v>3</v>
          </cell>
          <cell r="E1243">
            <v>33</v>
          </cell>
          <cell r="F1243" t="str">
            <v>第17级，共造成194.3%点伤害</v>
          </cell>
          <cell r="G1243">
            <v>4</v>
          </cell>
          <cell r="H1243">
            <v>4</v>
          </cell>
          <cell r="I1243">
            <v>17</v>
          </cell>
          <cell r="J1243">
            <v>2</v>
          </cell>
          <cell r="K1243">
            <v>194.30357142857144</v>
          </cell>
          <cell r="L1243">
            <v>0</v>
          </cell>
          <cell r="M1243">
            <v>6640</v>
          </cell>
          <cell r="N1243">
            <v>11718</v>
          </cell>
          <cell r="O1243">
            <v>2</v>
          </cell>
          <cell r="P1243">
            <v>1</v>
          </cell>
          <cell r="Q1243">
            <v>1</v>
          </cell>
          <cell r="R1243">
            <v>9</v>
          </cell>
          <cell r="S1243">
            <v>50</v>
          </cell>
          <cell r="T1243">
            <v>166.07142857142858</v>
          </cell>
          <cell r="U1243">
            <v>651</v>
          </cell>
          <cell r="V1243">
            <v>166.07142857142858</v>
          </cell>
          <cell r="W1243">
            <v>18</v>
          </cell>
          <cell r="X1243">
            <v>188</v>
          </cell>
          <cell r="Y1243">
            <v>18</v>
          </cell>
          <cell r="Z1243">
            <v>0</v>
          </cell>
        </row>
        <row r="1244">
          <cell r="A1244">
            <v>9322418</v>
          </cell>
          <cell r="B1244" t="str">
            <v>玫瑰之舞第4段</v>
          </cell>
          <cell r="C1244" t="str">
            <v>玫瑰之舞第4段</v>
          </cell>
          <cell r="D1244">
            <v>3</v>
          </cell>
          <cell r="E1244">
            <v>35</v>
          </cell>
          <cell r="F1244" t="str">
            <v>第18级，共造成196%点伤害</v>
          </cell>
          <cell r="G1244">
            <v>4</v>
          </cell>
          <cell r="H1244">
            <v>4</v>
          </cell>
          <cell r="I1244">
            <v>18</v>
          </cell>
          <cell r="J1244">
            <v>2</v>
          </cell>
          <cell r="K1244">
            <v>195.96428571428572</v>
          </cell>
          <cell r="L1244">
            <v>0</v>
          </cell>
          <cell r="M1244">
            <v>6560</v>
          </cell>
          <cell r="N1244">
            <v>14117</v>
          </cell>
          <cell r="O1244">
            <v>2</v>
          </cell>
          <cell r="P1244">
            <v>1</v>
          </cell>
          <cell r="Q1244">
            <v>1</v>
          </cell>
          <cell r="R1244">
            <v>9</v>
          </cell>
          <cell r="S1244">
            <v>50</v>
          </cell>
          <cell r="T1244">
            <v>166.07142857142858</v>
          </cell>
          <cell r="U1244">
            <v>743</v>
          </cell>
          <cell r="V1244">
            <v>166.07142857142858</v>
          </cell>
          <cell r="W1244">
            <v>19</v>
          </cell>
          <cell r="X1244">
            <v>207</v>
          </cell>
          <cell r="Y1244">
            <v>18</v>
          </cell>
          <cell r="Z1244">
            <v>8</v>
          </cell>
        </row>
        <row r="1245">
          <cell r="A1245">
            <v>9322419</v>
          </cell>
          <cell r="B1245" t="str">
            <v>玫瑰之舞第4段</v>
          </cell>
          <cell r="C1245" t="str">
            <v>玫瑰之舞第4段</v>
          </cell>
          <cell r="D1245">
            <v>3</v>
          </cell>
          <cell r="E1245">
            <v>36</v>
          </cell>
          <cell r="F1245" t="str">
            <v>第19级，共造成197.6%点伤害</v>
          </cell>
          <cell r="G1245">
            <v>4</v>
          </cell>
          <cell r="H1245">
            <v>4</v>
          </cell>
          <cell r="I1245">
            <v>19</v>
          </cell>
          <cell r="J1245">
            <v>2</v>
          </cell>
          <cell r="K1245">
            <v>197.625</v>
          </cell>
          <cell r="L1245">
            <v>0</v>
          </cell>
          <cell r="M1245">
            <v>6480</v>
          </cell>
          <cell r="N1245">
            <v>15820</v>
          </cell>
          <cell r="O1245">
            <v>2</v>
          </cell>
          <cell r="P1245">
            <v>1</v>
          </cell>
          <cell r="Q1245">
            <v>1</v>
          </cell>
          <cell r="R1245">
            <v>9</v>
          </cell>
          <cell r="S1245">
            <v>50</v>
          </cell>
          <cell r="T1245">
            <v>166.07142857142858</v>
          </cell>
          <cell r="U1245">
            <v>791</v>
          </cell>
          <cell r="V1245">
            <v>166.07142857142858</v>
          </cell>
          <cell r="W1245">
            <v>20</v>
          </cell>
          <cell r="X1245">
            <v>227</v>
          </cell>
          <cell r="Y1245">
            <v>18</v>
          </cell>
          <cell r="Z1245">
            <v>8</v>
          </cell>
        </row>
        <row r="1246">
          <cell r="A1246">
            <v>9322420</v>
          </cell>
          <cell r="B1246" t="str">
            <v>玫瑰之舞第4段</v>
          </cell>
          <cell r="C1246" t="str">
            <v>玫瑰之舞第4段</v>
          </cell>
          <cell r="D1246">
            <v>3</v>
          </cell>
          <cell r="E1246">
            <v>37</v>
          </cell>
          <cell r="F1246" t="str">
            <v>第20级，共造成199.3%点伤害</v>
          </cell>
          <cell r="G1246">
            <v>4</v>
          </cell>
          <cell r="H1246">
            <v>4</v>
          </cell>
          <cell r="I1246">
            <v>20</v>
          </cell>
          <cell r="J1246">
            <v>2</v>
          </cell>
          <cell r="K1246">
            <v>199.28571428571431</v>
          </cell>
          <cell r="L1246">
            <v>0</v>
          </cell>
          <cell r="M1246">
            <v>6400</v>
          </cell>
          <cell r="N1246">
            <v>18502</v>
          </cell>
          <cell r="O1246">
            <v>2</v>
          </cell>
          <cell r="P1246">
            <v>1</v>
          </cell>
          <cell r="Q1246">
            <v>1</v>
          </cell>
          <cell r="R1246">
            <v>9</v>
          </cell>
          <cell r="S1246">
            <v>50</v>
          </cell>
          <cell r="T1246">
            <v>166.07142857142858</v>
          </cell>
          <cell r="U1246">
            <v>841</v>
          </cell>
          <cell r="V1246">
            <v>166.07142857142858</v>
          </cell>
          <cell r="W1246">
            <v>22</v>
          </cell>
          <cell r="X1246">
            <v>249</v>
          </cell>
          <cell r="Y1246">
            <v>18</v>
          </cell>
          <cell r="Z1246">
            <v>9</v>
          </cell>
        </row>
        <row r="1247">
          <cell r="A1247">
            <v>9322421</v>
          </cell>
          <cell r="B1247" t="str">
            <v>玫瑰之舞第4段</v>
          </cell>
          <cell r="C1247" t="str">
            <v>玫瑰之舞第4段</v>
          </cell>
          <cell r="D1247">
            <v>3</v>
          </cell>
          <cell r="E1247">
            <v>39</v>
          </cell>
          <cell r="F1247" t="str">
            <v>第21级，共造成200.9%点伤害</v>
          </cell>
          <cell r="G1247">
            <v>4</v>
          </cell>
          <cell r="H1247">
            <v>4</v>
          </cell>
          <cell r="I1247">
            <v>21</v>
          </cell>
          <cell r="J1247">
            <v>2</v>
          </cell>
          <cell r="K1247">
            <v>200.94642857142858</v>
          </cell>
          <cell r="L1247">
            <v>0</v>
          </cell>
          <cell r="M1247">
            <v>6320</v>
          </cell>
          <cell r="N1247">
            <v>21712</v>
          </cell>
          <cell r="O1247">
            <v>2</v>
          </cell>
          <cell r="P1247">
            <v>1</v>
          </cell>
          <cell r="Q1247">
            <v>1</v>
          </cell>
          <cell r="R1247">
            <v>9</v>
          </cell>
          <cell r="S1247">
            <v>50</v>
          </cell>
          <cell r="T1247">
            <v>166.07142857142858</v>
          </cell>
          <cell r="U1247">
            <v>944</v>
          </cell>
          <cell r="V1247">
            <v>166.07142857142858</v>
          </cell>
          <cell r="W1247">
            <v>23</v>
          </cell>
          <cell r="X1247">
            <v>272</v>
          </cell>
          <cell r="Y1247">
            <v>18</v>
          </cell>
          <cell r="Z1247">
            <v>10</v>
          </cell>
        </row>
        <row r="1248">
          <cell r="A1248">
            <v>9322422</v>
          </cell>
          <cell r="B1248" t="str">
            <v>玫瑰之舞第4段</v>
          </cell>
          <cell r="C1248" t="str">
            <v>玫瑰之舞第4段</v>
          </cell>
          <cell r="D1248">
            <v>3</v>
          </cell>
          <cell r="E1248">
            <v>40</v>
          </cell>
          <cell r="F1248" t="str">
            <v>第22级，共造成202.6%点伤害</v>
          </cell>
          <cell r="G1248">
            <v>4</v>
          </cell>
          <cell r="H1248">
            <v>4</v>
          </cell>
          <cell r="I1248">
            <v>22</v>
          </cell>
          <cell r="J1248">
            <v>2</v>
          </cell>
          <cell r="K1248">
            <v>202.60714285714286</v>
          </cell>
          <cell r="L1248">
            <v>0</v>
          </cell>
          <cell r="M1248">
            <v>6240</v>
          </cell>
          <cell r="N1248">
            <v>24950</v>
          </cell>
          <cell r="O1248">
            <v>2</v>
          </cell>
          <cell r="P1248">
            <v>1</v>
          </cell>
          <cell r="Q1248">
            <v>1</v>
          </cell>
          <cell r="R1248">
            <v>9</v>
          </cell>
          <cell r="S1248">
            <v>50</v>
          </cell>
          <cell r="T1248">
            <v>166.07142857142858</v>
          </cell>
          <cell r="U1248">
            <v>998</v>
          </cell>
          <cell r="V1248">
            <v>166.07142857142858</v>
          </cell>
          <cell r="W1248">
            <v>25</v>
          </cell>
          <cell r="X1248">
            <v>297</v>
          </cell>
          <cell r="Y1248">
            <v>18</v>
          </cell>
          <cell r="Z1248">
            <v>10</v>
          </cell>
        </row>
        <row r="1249">
          <cell r="A1249">
            <v>9322423</v>
          </cell>
          <cell r="B1249" t="str">
            <v>玫瑰之舞第4段</v>
          </cell>
          <cell r="C1249" t="str">
            <v>玫瑰之舞第4段</v>
          </cell>
          <cell r="D1249">
            <v>3</v>
          </cell>
          <cell r="E1249">
            <v>42</v>
          </cell>
          <cell r="F1249" t="str">
            <v>第23级，共造成204.3%点伤害</v>
          </cell>
          <cell r="G1249">
            <v>4</v>
          </cell>
          <cell r="H1249">
            <v>4</v>
          </cell>
          <cell r="I1249">
            <v>23</v>
          </cell>
          <cell r="J1249">
            <v>2</v>
          </cell>
          <cell r="K1249">
            <v>204.26785714285717</v>
          </cell>
          <cell r="L1249">
            <v>0</v>
          </cell>
          <cell r="M1249">
            <v>6160</v>
          </cell>
          <cell r="N1249">
            <v>29970</v>
          </cell>
          <cell r="O1249">
            <v>2</v>
          </cell>
          <cell r="P1249">
            <v>1</v>
          </cell>
          <cell r="Q1249">
            <v>1</v>
          </cell>
          <cell r="R1249">
            <v>9</v>
          </cell>
          <cell r="S1249">
            <v>50</v>
          </cell>
          <cell r="T1249">
            <v>166.07142857142858</v>
          </cell>
          <cell r="U1249">
            <v>1110</v>
          </cell>
          <cell r="V1249">
            <v>166.07142857142858</v>
          </cell>
          <cell r="W1249">
            <v>27</v>
          </cell>
          <cell r="X1249">
            <v>324</v>
          </cell>
          <cell r="Y1249">
            <v>18</v>
          </cell>
          <cell r="Z1249">
            <v>11</v>
          </cell>
        </row>
        <row r="1250">
          <cell r="A1250">
            <v>9322424</v>
          </cell>
          <cell r="B1250" t="str">
            <v>玫瑰之舞第4段</v>
          </cell>
          <cell r="C1250" t="str">
            <v>玫瑰之舞第4段</v>
          </cell>
          <cell r="D1250">
            <v>3</v>
          </cell>
          <cell r="E1250">
            <v>43</v>
          </cell>
          <cell r="F1250" t="str">
            <v>第24级，共造成205.9%点伤害</v>
          </cell>
          <cell r="G1250">
            <v>4</v>
          </cell>
          <cell r="H1250">
            <v>4</v>
          </cell>
          <cell r="I1250">
            <v>24</v>
          </cell>
          <cell r="J1250">
            <v>2</v>
          </cell>
          <cell r="K1250">
            <v>205.92857142857144</v>
          </cell>
          <cell r="L1250">
            <v>0</v>
          </cell>
          <cell r="M1250">
            <v>6080</v>
          </cell>
          <cell r="N1250">
            <v>33843</v>
          </cell>
          <cell r="O1250">
            <v>2</v>
          </cell>
          <cell r="P1250">
            <v>1</v>
          </cell>
          <cell r="Q1250">
            <v>1</v>
          </cell>
          <cell r="R1250">
            <v>9</v>
          </cell>
          <cell r="S1250">
            <v>50</v>
          </cell>
          <cell r="T1250">
            <v>166.07142857142858</v>
          </cell>
          <cell r="U1250">
            <v>1167</v>
          </cell>
          <cell r="V1250">
            <v>166.07142857142858</v>
          </cell>
          <cell r="W1250">
            <v>29</v>
          </cell>
          <cell r="X1250">
            <v>353</v>
          </cell>
          <cell r="Y1250">
            <v>18</v>
          </cell>
          <cell r="Z1250">
            <v>12</v>
          </cell>
        </row>
        <row r="1251">
          <cell r="A1251">
            <v>9322425</v>
          </cell>
          <cell r="B1251" t="str">
            <v>玫瑰之舞第4段</v>
          </cell>
          <cell r="C1251" t="str">
            <v>玫瑰之舞第4段</v>
          </cell>
          <cell r="D1251">
            <v>3</v>
          </cell>
          <cell r="E1251">
            <v>45</v>
          </cell>
          <cell r="F1251" t="str">
            <v>第25级，共造成207.6%点伤害</v>
          </cell>
          <cell r="G1251">
            <v>4</v>
          </cell>
          <cell r="H1251">
            <v>4</v>
          </cell>
          <cell r="I1251">
            <v>25</v>
          </cell>
          <cell r="J1251">
            <v>2</v>
          </cell>
          <cell r="K1251">
            <v>207.58928571428572</v>
          </cell>
          <cell r="L1251">
            <v>0</v>
          </cell>
          <cell r="M1251">
            <v>6000</v>
          </cell>
          <cell r="N1251">
            <v>39897</v>
          </cell>
          <cell r="O1251">
            <v>2</v>
          </cell>
          <cell r="P1251">
            <v>1</v>
          </cell>
          <cell r="Q1251">
            <v>1</v>
          </cell>
          <cell r="R1251">
            <v>9</v>
          </cell>
          <cell r="S1251">
            <v>50</v>
          </cell>
          <cell r="T1251">
            <v>166.07142857142858</v>
          </cell>
          <cell r="U1251">
            <v>1287</v>
          </cell>
          <cell r="V1251">
            <v>166.07142857142858</v>
          </cell>
          <cell r="W1251">
            <v>31</v>
          </cell>
          <cell r="X1251">
            <v>384</v>
          </cell>
          <cell r="Y1251">
            <v>18</v>
          </cell>
          <cell r="Z1251">
            <v>13</v>
          </cell>
        </row>
        <row r="1252">
          <cell r="A1252">
            <v>9322426</v>
          </cell>
          <cell r="B1252" t="str">
            <v>玫瑰之舞第4段</v>
          </cell>
          <cell r="C1252" t="str">
            <v>玫瑰之舞第4段</v>
          </cell>
          <cell r="D1252">
            <v>3</v>
          </cell>
          <cell r="E1252">
            <v>46</v>
          </cell>
          <cell r="F1252" t="str">
            <v>第26级，共造成209.3%点伤害</v>
          </cell>
          <cell r="G1252">
            <v>4</v>
          </cell>
          <cell r="H1252">
            <v>4</v>
          </cell>
          <cell r="I1252">
            <v>26</v>
          </cell>
          <cell r="J1252">
            <v>2</v>
          </cell>
          <cell r="K1252">
            <v>209.25</v>
          </cell>
          <cell r="L1252">
            <v>0</v>
          </cell>
          <cell r="M1252">
            <v>5920</v>
          </cell>
          <cell r="N1252">
            <v>44517</v>
          </cell>
          <cell r="O1252">
            <v>2</v>
          </cell>
          <cell r="P1252">
            <v>1</v>
          </cell>
          <cell r="Q1252">
            <v>1</v>
          </cell>
          <cell r="R1252">
            <v>9</v>
          </cell>
          <cell r="S1252">
            <v>50</v>
          </cell>
          <cell r="T1252">
            <v>166.07142857142858</v>
          </cell>
          <cell r="U1252">
            <v>1349</v>
          </cell>
          <cell r="V1252">
            <v>166.07142857142858</v>
          </cell>
          <cell r="W1252">
            <v>33</v>
          </cell>
          <cell r="X1252">
            <v>417</v>
          </cell>
          <cell r="Y1252">
            <v>18</v>
          </cell>
          <cell r="Z1252">
            <v>14</v>
          </cell>
        </row>
        <row r="1253">
          <cell r="A1253">
            <v>9322427</v>
          </cell>
          <cell r="B1253" t="str">
            <v>玫瑰之舞第4段</v>
          </cell>
          <cell r="C1253" t="str">
            <v>玫瑰之舞第4段</v>
          </cell>
          <cell r="D1253">
            <v>3</v>
          </cell>
          <cell r="E1253">
            <v>47</v>
          </cell>
          <cell r="F1253" t="str">
            <v>第27级，共造成210.9%点伤害</v>
          </cell>
          <cell r="G1253">
            <v>4</v>
          </cell>
          <cell r="H1253">
            <v>4</v>
          </cell>
          <cell r="I1253">
            <v>27</v>
          </cell>
          <cell r="J1253">
            <v>2</v>
          </cell>
          <cell r="K1253">
            <v>210.91071428571431</v>
          </cell>
          <cell r="L1253">
            <v>0</v>
          </cell>
          <cell r="M1253">
            <v>5840</v>
          </cell>
          <cell r="N1253">
            <v>49420</v>
          </cell>
          <cell r="O1253">
            <v>2</v>
          </cell>
          <cell r="P1253">
            <v>1</v>
          </cell>
          <cell r="Q1253">
            <v>1</v>
          </cell>
          <cell r="R1253">
            <v>9</v>
          </cell>
          <cell r="S1253">
            <v>50</v>
          </cell>
          <cell r="T1253">
            <v>166.07142857142858</v>
          </cell>
          <cell r="U1253">
            <v>1412</v>
          </cell>
          <cell r="V1253">
            <v>166.07142857142858</v>
          </cell>
          <cell r="W1253">
            <v>35</v>
          </cell>
          <cell r="X1253">
            <v>452</v>
          </cell>
          <cell r="Y1253">
            <v>18</v>
          </cell>
          <cell r="Z1253">
            <v>14</v>
          </cell>
        </row>
        <row r="1254">
          <cell r="A1254">
            <v>9322428</v>
          </cell>
          <cell r="B1254" t="str">
            <v>玫瑰之舞第4段</v>
          </cell>
          <cell r="C1254" t="str">
            <v>玫瑰之舞第4段</v>
          </cell>
          <cell r="D1254">
            <v>3</v>
          </cell>
          <cell r="E1254">
            <v>49</v>
          </cell>
          <cell r="F1254" t="str">
            <v>第28级，共造成212.6%点伤害</v>
          </cell>
          <cell r="G1254">
            <v>4</v>
          </cell>
          <cell r="H1254">
            <v>4</v>
          </cell>
          <cell r="I1254">
            <v>28</v>
          </cell>
          <cell r="J1254">
            <v>2</v>
          </cell>
          <cell r="K1254">
            <v>212.57142857142858</v>
          </cell>
          <cell r="L1254">
            <v>0</v>
          </cell>
          <cell r="M1254">
            <v>5760</v>
          </cell>
          <cell r="N1254">
            <v>58634</v>
          </cell>
          <cell r="O1254">
            <v>2</v>
          </cell>
          <cell r="P1254">
            <v>1</v>
          </cell>
          <cell r="Q1254">
            <v>1</v>
          </cell>
          <cell r="R1254">
            <v>9</v>
          </cell>
          <cell r="S1254">
            <v>50</v>
          </cell>
          <cell r="T1254">
            <v>166.07142857142858</v>
          </cell>
          <cell r="U1254">
            <v>1543</v>
          </cell>
          <cell r="V1254">
            <v>166.07142857142858</v>
          </cell>
          <cell r="W1254">
            <v>38</v>
          </cell>
          <cell r="X1254">
            <v>490</v>
          </cell>
          <cell r="Y1254">
            <v>18</v>
          </cell>
          <cell r="Z1254">
            <v>16</v>
          </cell>
        </row>
        <row r="1255">
          <cell r="A1255">
            <v>9322429</v>
          </cell>
          <cell r="B1255" t="str">
            <v>玫瑰之舞第4段</v>
          </cell>
          <cell r="C1255" t="str">
            <v>玫瑰之舞第4段</v>
          </cell>
          <cell r="D1255">
            <v>3</v>
          </cell>
          <cell r="E1255">
            <v>50</v>
          </cell>
          <cell r="F1255" t="str">
            <v>第29级，共造成214.2%点伤害</v>
          </cell>
          <cell r="G1255">
            <v>4</v>
          </cell>
          <cell r="H1255">
            <v>4</v>
          </cell>
          <cell r="I1255">
            <v>29</v>
          </cell>
          <cell r="J1255">
            <v>2</v>
          </cell>
          <cell r="K1255">
            <v>214.23214285714289</v>
          </cell>
          <cell r="L1255">
            <v>0</v>
          </cell>
          <cell r="M1255">
            <v>5680</v>
          </cell>
          <cell r="N1255">
            <v>64400</v>
          </cell>
          <cell r="O1255">
            <v>2</v>
          </cell>
          <cell r="P1255">
            <v>1</v>
          </cell>
          <cell r="Q1255">
            <v>1</v>
          </cell>
          <cell r="R1255">
            <v>9</v>
          </cell>
          <cell r="S1255">
            <v>50</v>
          </cell>
          <cell r="T1255">
            <v>166.07142857142858</v>
          </cell>
          <cell r="U1255">
            <v>1610</v>
          </cell>
          <cell r="V1255">
            <v>166.07142857142858</v>
          </cell>
          <cell r="W1255">
            <v>40</v>
          </cell>
          <cell r="X1255">
            <v>530</v>
          </cell>
          <cell r="Y1255">
            <v>18</v>
          </cell>
          <cell r="Z1255">
            <v>16</v>
          </cell>
        </row>
        <row r="1256">
          <cell r="A1256">
            <v>9322430</v>
          </cell>
          <cell r="B1256" t="str">
            <v>玫瑰之舞第4段</v>
          </cell>
          <cell r="C1256" t="str">
            <v>玫瑰之舞第4段</v>
          </cell>
          <cell r="D1256">
            <v>3</v>
          </cell>
          <cell r="E1256">
            <v>52</v>
          </cell>
          <cell r="F1256" t="str">
            <v>第30级，共造成215.9%点伤害</v>
          </cell>
          <cell r="G1256">
            <v>4</v>
          </cell>
          <cell r="H1256">
            <v>4</v>
          </cell>
          <cell r="I1256">
            <v>30</v>
          </cell>
          <cell r="J1256">
            <v>2</v>
          </cell>
          <cell r="K1256">
            <v>215.89285714285717</v>
          </cell>
          <cell r="L1256">
            <v>0</v>
          </cell>
          <cell r="M1256">
            <v>5600</v>
          </cell>
          <cell r="N1256">
            <v>75207</v>
          </cell>
          <cell r="O1256">
            <v>2</v>
          </cell>
          <cell r="P1256">
            <v>1</v>
          </cell>
          <cell r="Q1256">
            <v>1</v>
          </cell>
          <cell r="R1256">
            <v>9</v>
          </cell>
          <cell r="S1256">
            <v>50</v>
          </cell>
          <cell r="T1256">
            <v>166.07142857142858</v>
          </cell>
          <cell r="U1256">
            <v>1749</v>
          </cell>
          <cell r="V1256">
            <v>166.07142857142858</v>
          </cell>
          <cell r="W1256">
            <v>43</v>
          </cell>
          <cell r="X1256">
            <v>573</v>
          </cell>
          <cell r="Y1256">
            <v>18</v>
          </cell>
          <cell r="Z1256">
            <v>18</v>
          </cell>
        </row>
        <row r="1257">
          <cell r="A1257">
            <v>9322431</v>
          </cell>
          <cell r="B1257" t="str">
            <v>玫瑰之舞第4段</v>
          </cell>
          <cell r="C1257" t="str">
            <v>玫瑰之舞第4段</v>
          </cell>
          <cell r="D1257">
            <v>3</v>
          </cell>
          <cell r="E1257">
            <v>53</v>
          </cell>
          <cell r="F1257" t="str">
            <v>第31级，共造成217.6%点伤害</v>
          </cell>
          <cell r="G1257">
            <v>4</v>
          </cell>
          <cell r="H1257">
            <v>4</v>
          </cell>
          <cell r="I1257">
            <v>31</v>
          </cell>
          <cell r="J1257">
            <v>2</v>
          </cell>
          <cell r="K1257">
            <v>217.55357142857144</v>
          </cell>
          <cell r="L1257">
            <v>0</v>
          </cell>
          <cell r="M1257">
            <v>5520</v>
          </cell>
          <cell r="N1257">
            <v>83720</v>
          </cell>
          <cell r="O1257">
            <v>2</v>
          </cell>
          <cell r="P1257">
            <v>1</v>
          </cell>
          <cell r="Q1257">
            <v>1</v>
          </cell>
          <cell r="R1257">
            <v>9</v>
          </cell>
          <cell r="S1257">
            <v>50</v>
          </cell>
          <cell r="T1257">
            <v>166.07142857142858</v>
          </cell>
          <cell r="U1257">
            <v>1820</v>
          </cell>
          <cell r="V1257">
            <v>166.07142857142858</v>
          </cell>
          <cell r="W1257">
            <v>46</v>
          </cell>
          <cell r="X1257">
            <v>619</v>
          </cell>
          <cell r="Y1257">
            <v>18</v>
          </cell>
          <cell r="Z1257">
            <v>19</v>
          </cell>
        </row>
        <row r="1258">
          <cell r="A1258">
            <v>9322432</v>
          </cell>
          <cell r="B1258" t="str">
            <v>玫瑰之舞第4段</v>
          </cell>
          <cell r="C1258" t="str">
            <v>玫瑰之舞第4段</v>
          </cell>
          <cell r="D1258">
            <v>3</v>
          </cell>
          <cell r="E1258">
            <v>54</v>
          </cell>
          <cell r="F1258" t="str">
            <v>第32级，共造成219.2%点伤害</v>
          </cell>
          <cell r="G1258">
            <v>4</v>
          </cell>
          <cell r="H1258">
            <v>4</v>
          </cell>
          <cell r="I1258">
            <v>32</v>
          </cell>
          <cell r="J1258">
            <v>2</v>
          </cell>
          <cell r="K1258">
            <v>219.21428571428572</v>
          </cell>
          <cell r="L1258">
            <v>0</v>
          </cell>
          <cell r="M1258">
            <v>5440</v>
          </cell>
          <cell r="N1258">
            <v>92757</v>
          </cell>
          <cell r="O1258">
            <v>2</v>
          </cell>
          <cell r="P1258">
            <v>1</v>
          </cell>
          <cell r="Q1258">
            <v>1</v>
          </cell>
          <cell r="R1258">
            <v>9</v>
          </cell>
          <cell r="S1258">
            <v>50</v>
          </cell>
          <cell r="T1258">
            <v>166.07142857142858</v>
          </cell>
          <cell r="U1258">
            <v>1893</v>
          </cell>
          <cell r="V1258">
            <v>166.07142857142858</v>
          </cell>
          <cell r="W1258">
            <v>49</v>
          </cell>
          <cell r="X1258">
            <v>668</v>
          </cell>
          <cell r="Y1258">
            <v>18</v>
          </cell>
          <cell r="Z1258">
            <v>20</v>
          </cell>
        </row>
        <row r="1259">
          <cell r="A1259">
            <v>9322433</v>
          </cell>
          <cell r="B1259" t="str">
            <v>玫瑰之舞第4段</v>
          </cell>
          <cell r="C1259" t="str">
            <v>玫瑰之舞第4段</v>
          </cell>
          <cell r="D1259">
            <v>3</v>
          </cell>
          <cell r="E1259">
            <v>56</v>
          </cell>
          <cell r="F1259" t="str">
            <v>第33级，共造成220.9%点伤害</v>
          </cell>
          <cell r="G1259">
            <v>4</v>
          </cell>
          <cell r="H1259">
            <v>4</v>
          </cell>
          <cell r="I1259">
            <v>33</v>
          </cell>
          <cell r="J1259">
            <v>2</v>
          </cell>
          <cell r="K1259">
            <v>220.875</v>
          </cell>
          <cell r="L1259">
            <v>0</v>
          </cell>
          <cell r="M1259">
            <v>5360</v>
          </cell>
          <cell r="N1259">
            <v>108226</v>
          </cell>
          <cell r="O1259">
            <v>2</v>
          </cell>
          <cell r="P1259">
            <v>1</v>
          </cell>
          <cell r="Q1259">
            <v>1</v>
          </cell>
          <cell r="R1259">
            <v>9</v>
          </cell>
          <cell r="S1259">
            <v>50</v>
          </cell>
          <cell r="T1259">
            <v>166.07142857142858</v>
          </cell>
          <cell r="U1259">
            <v>2042</v>
          </cell>
          <cell r="V1259">
            <v>166.07142857142858</v>
          </cell>
          <cell r="W1259">
            <v>53</v>
          </cell>
          <cell r="X1259">
            <v>721</v>
          </cell>
          <cell r="Y1259">
            <v>18</v>
          </cell>
          <cell r="Z1259">
            <v>22</v>
          </cell>
        </row>
        <row r="1260">
          <cell r="A1260">
            <v>9322434</v>
          </cell>
          <cell r="B1260" t="str">
            <v>玫瑰之舞第4段</v>
          </cell>
          <cell r="C1260" t="str">
            <v>玫瑰之舞第4段</v>
          </cell>
          <cell r="D1260">
            <v>3</v>
          </cell>
          <cell r="E1260">
            <v>57</v>
          </cell>
          <cell r="F1260" t="str">
            <v>第34级，共造成222.5%点伤害</v>
          </cell>
          <cell r="G1260">
            <v>4</v>
          </cell>
          <cell r="H1260">
            <v>4</v>
          </cell>
          <cell r="I1260">
            <v>34</v>
          </cell>
          <cell r="J1260">
            <v>2</v>
          </cell>
          <cell r="K1260">
            <v>222.53571428571431</v>
          </cell>
          <cell r="L1260">
            <v>0</v>
          </cell>
          <cell r="M1260">
            <v>5280</v>
          </cell>
          <cell r="N1260">
            <v>120783</v>
          </cell>
          <cell r="O1260">
            <v>2</v>
          </cell>
          <cell r="P1260">
            <v>1</v>
          </cell>
          <cell r="Q1260">
            <v>1</v>
          </cell>
          <cell r="R1260">
            <v>9</v>
          </cell>
          <cell r="S1260">
            <v>50</v>
          </cell>
          <cell r="T1260">
            <v>166.07142857142858</v>
          </cell>
          <cell r="U1260">
            <v>2119</v>
          </cell>
          <cell r="V1260">
            <v>166.07142857142858</v>
          </cell>
          <cell r="W1260">
            <v>57</v>
          </cell>
          <cell r="X1260">
            <v>778</v>
          </cell>
          <cell r="Y1260">
            <v>18</v>
          </cell>
          <cell r="Z1260">
            <v>23</v>
          </cell>
        </row>
        <row r="1261">
          <cell r="A1261">
            <v>9322435</v>
          </cell>
          <cell r="B1261" t="str">
            <v>玫瑰之舞第4段</v>
          </cell>
          <cell r="C1261" t="str">
            <v>玫瑰之舞第4段</v>
          </cell>
          <cell r="D1261">
            <v>3</v>
          </cell>
          <cell r="E1261">
            <v>59</v>
          </cell>
          <cell r="F1261" t="str">
            <v>第35级，共造成224.2%点伤害</v>
          </cell>
          <cell r="G1261">
            <v>4</v>
          </cell>
          <cell r="H1261">
            <v>4</v>
          </cell>
          <cell r="I1261">
            <v>35</v>
          </cell>
          <cell r="J1261">
            <v>2</v>
          </cell>
          <cell r="K1261">
            <v>224.19642857142858</v>
          </cell>
          <cell r="L1261">
            <v>0</v>
          </cell>
          <cell r="M1261">
            <v>5200</v>
          </cell>
          <cell r="N1261">
            <v>138897</v>
          </cell>
          <cell r="O1261">
            <v>2</v>
          </cell>
          <cell r="P1261">
            <v>1</v>
          </cell>
          <cell r="Q1261">
            <v>1</v>
          </cell>
          <cell r="R1261">
            <v>9</v>
          </cell>
          <cell r="S1261">
            <v>50</v>
          </cell>
          <cell r="T1261">
            <v>166.07142857142858</v>
          </cell>
          <cell r="U1261">
            <v>2277</v>
          </cell>
          <cell r="V1261">
            <v>166.07142857142858</v>
          </cell>
          <cell r="W1261">
            <v>61</v>
          </cell>
          <cell r="X1261">
            <v>839</v>
          </cell>
          <cell r="Y1261">
            <v>18</v>
          </cell>
          <cell r="Z1261">
            <v>25</v>
          </cell>
        </row>
        <row r="1262">
          <cell r="A1262">
            <v>9322436</v>
          </cell>
          <cell r="B1262" t="str">
            <v>玫瑰之舞第4段</v>
          </cell>
          <cell r="C1262" t="str">
            <v>玫瑰之舞第4段</v>
          </cell>
          <cell r="D1262">
            <v>3</v>
          </cell>
          <cell r="E1262">
            <v>60</v>
          </cell>
          <cell r="F1262" t="str">
            <v>第36级，共造成225.9%点伤害</v>
          </cell>
          <cell r="G1262">
            <v>4</v>
          </cell>
          <cell r="H1262">
            <v>4</v>
          </cell>
          <cell r="I1262">
            <v>36</v>
          </cell>
          <cell r="J1262">
            <v>2</v>
          </cell>
          <cell r="K1262">
            <v>225.85714285714289</v>
          </cell>
          <cell r="L1262">
            <v>0</v>
          </cell>
          <cell r="M1262">
            <v>5120</v>
          </cell>
          <cell r="N1262">
            <v>150912</v>
          </cell>
          <cell r="O1262">
            <v>2</v>
          </cell>
          <cell r="P1262">
            <v>1</v>
          </cell>
          <cell r="Q1262">
            <v>1</v>
          </cell>
          <cell r="R1262">
            <v>9</v>
          </cell>
          <cell r="S1262">
            <v>50</v>
          </cell>
          <cell r="T1262">
            <v>166.07142857142858</v>
          </cell>
          <cell r="U1262">
            <v>2358</v>
          </cell>
          <cell r="V1262">
            <v>166.07142857142858</v>
          </cell>
          <cell r="W1262">
            <v>64</v>
          </cell>
          <cell r="X1262">
            <v>903</v>
          </cell>
          <cell r="Y1262">
            <v>18</v>
          </cell>
          <cell r="Z1262">
            <v>26</v>
          </cell>
        </row>
        <row r="1263">
          <cell r="A1263">
            <v>9322437</v>
          </cell>
          <cell r="B1263" t="str">
            <v>玫瑰之舞第4段</v>
          </cell>
          <cell r="C1263" t="str">
            <v>玫瑰之舞第4段</v>
          </cell>
          <cell r="D1263">
            <v>3</v>
          </cell>
          <cell r="E1263">
            <v>62</v>
          </cell>
          <cell r="F1263" t="str">
            <v>第37级，共造成227.5%点伤害</v>
          </cell>
          <cell r="G1263">
            <v>4</v>
          </cell>
          <cell r="H1263">
            <v>4</v>
          </cell>
          <cell r="I1263">
            <v>37</v>
          </cell>
          <cell r="J1263">
            <v>2</v>
          </cell>
          <cell r="K1263">
            <v>227.51785714285717</v>
          </cell>
          <cell r="L1263">
            <v>0</v>
          </cell>
          <cell r="M1263">
            <v>5040</v>
          </cell>
          <cell r="N1263">
            <v>174156</v>
          </cell>
          <cell r="O1263">
            <v>2</v>
          </cell>
          <cell r="P1263">
            <v>1</v>
          </cell>
          <cell r="Q1263">
            <v>1</v>
          </cell>
          <cell r="R1263">
            <v>9</v>
          </cell>
          <cell r="S1263">
            <v>50</v>
          </cell>
          <cell r="T1263">
            <v>166.07142857142858</v>
          </cell>
          <cell r="U1263">
            <v>2524</v>
          </cell>
          <cell r="V1263">
            <v>166.07142857142858</v>
          </cell>
          <cell r="W1263">
            <v>69</v>
          </cell>
          <cell r="X1263">
            <v>972</v>
          </cell>
          <cell r="Y1263">
            <v>18</v>
          </cell>
          <cell r="Z1263">
            <v>28</v>
          </cell>
        </row>
        <row r="1264">
          <cell r="A1264">
            <v>9322438</v>
          </cell>
          <cell r="B1264" t="str">
            <v>玫瑰之舞第4段</v>
          </cell>
          <cell r="C1264" t="str">
            <v>玫瑰之舞第4段</v>
          </cell>
          <cell r="D1264">
            <v>3</v>
          </cell>
          <cell r="E1264">
            <v>63</v>
          </cell>
          <cell r="F1264" t="str">
            <v>第38级，共造成229.2%点伤害</v>
          </cell>
          <cell r="G1264">
            <v>4</v>
          </cell>
          <cell r="H1264">
            <v>4</v>
          </cell>
          <cell r="I1264">
            <v>38</v>
          </cell>
          <cell r="J1264">
            <v>2</v>
          </cell>
          <cell r="K1264">
            <v>229.17857142857144</v>
          </cell>
          <cell r="L1264">
            <v>0</v>
          </cell>
          <cell r="M1264">
            <v>4960</v>
          </cell>
          <cell r="N1264">
            <v>193066</v>
          </cell>
          <cell r="O1264">
            <v>2</v>
          </cell>
          <cell r="P1264">
            <v>1</v>
          </cell>
          <cell r="Q1264">
            <v>1</v>
          </cell>
          <cell r="R1264">
            <v>9</v>
          </cell>
          <cell r="S1264">
            <v>50</v>
          </cell>
          <cell r="T1264">
            <v>166.07142857142858</v>
          </cell>
          <cell r="U1264">
            <v>2609</v>
          </cell>
          <cell r="V1264">
            <v>166.07142857142858</v>
          </cell>
          <cell r="W1264">
            <v>74</v>
          </cell>
          <cell r="X1264">
            <v>1046</v>
          </cell>
          <cell r="Y1264">
            <v>18</v>
          </cell>
          <cell r="Z1264">
            <v>30</v>
          </cell>
        </row>
        <row r="1265">
          <cell r="A1265">
            <v>9322439</v>
          </cell>
          <cell r="B1265" t="str">
            <v>玫瑰之舞第4段</v>
          </cell>
          <cell r="C1265" t="str">
            <v>玫瑰之舞第4段</v>
          </cell>
          <cell r="D1265">
            <v>3</v>
          </cell>
          <cell r="E1265">
            <v>64</v>
          </cell>
          <cell r="F1265" t="str">
            <v>第39级，共造成230.8%点伤害</v>
          </cell>
          <cell r="G1265">
            <v>4</v>
          </cell>
          <cell r="H1265">
            <v>4</v>
          </cell>
          <cell r="I1265">
            <v>39</v>
          </cell>
          <cell r="J1265">
            <v>2</v>
          </cell>
          <cell r="K1265">
            <v>230.83928571428572</v>
          </cell>
          <cell r="L1265">
            <v>0</v>
          </cell>
          <cell r="M1265">
            <v>4880</v>
          </cell>
          <cell r="N1265">
            <v>212905</v>
          </cell>
          <cell r="O1265">
            <v>2</v>
          </cell>
          <cell r="P1265">
            <v>1</v>
          </cell>
          <cell r="Q1265">
            <v>1</v>
          </cell>
          <cell r="R1265">
            <v>9</v>
          </cell>
          <cell r="S1265">
            <v>50</v>
          </cell>
          <cell r="T1265">
            <v>166.07142857142858</v>
          </cell>
          <cell r="U1265">
            <v>2695</v>
          </cell>
          <cell r="V1265">
            <v>166.07142857142858</v>
          </cell>
          <cell r="W1265">
            <v>79</v>
          </cell>
          <cell r="X1265">
            <v>1125</v>
          </cell>
          <cell r="Y1265">
            <v>18</v>
          </cell>
          <cell r="Z1265">
            <v>32</v>
          </cell>
        </row>
        <row r="1266">
          <cell r="A1266">
            <v>9322440</v>
          </cell>
          <cell r="B1266" t="str">
            <v>玫瑰之舞第4段</v>
          </cell>
          <cell r="C1266" t="str">
            <v>玫瑰之舞第4段</v>
          </cell>
          <cell r="D1266">
            <v>3</v>
          </cell>
          <cell r="E1266">
            <v>66</v>
          </cell>
          <cell r="F1266" t="str">
            <v>第40级，共造成232.5%点伤害</v>
          </cell>
          <cell r="G1266">
            <v>4</v>
          </cell>
          <cell r="H1266">
            <v>4</v>
          </cell>
          <cell r="I1266">
            <v>40</v>
          </cell>
          <cell r="J1266">
            <v>2</v>
          </cell>
          <cell r="K1266">
            <v>232.5</v>
          </cell>
          <cell r="L1266">
            <v>0</v>
          </cell>
          <cell r="M1266">
            <v>4800</v>
          </cell>
          <cell r="N1266">
            <v>244120</v>
          </cell>
          <cell r="O1266">
            <v>2</v>
          </cell>
          <cell r="P1266">
            <v>1</v>
          </cell>
          <cell r="Q1266">
            <v>1</v>
          </cell>
          <cell r="R1266">
            <v>9</v>
          </cell>
          <cell r="S1266">
            <v>50</v>
          </cell>
          <cell r="T1266">
            <v>166.07142857142858</v>
          </cell>
          <cell r="U1266">
            <v>2872</v>
          </cell>
          <cell r="V1266">
            <v>166.07142857142858</v>
          </cell>
          <cell r="W1266">
            <v>85</v>
          </cell>
          <cell r="X1266">
            <v>1210</v>
          </cell>
          <cell r="Y1266">
            <v>18</v>
          </cell>
          <cell r="Z1266">
            <v>34</v>
          </cell>
        </row>
        <row r="1267">
          <cell r="A1267">
            <v>9322441</v>
          </cell>
          <cell r="B1267" t="str">
            <v>玫瑰之舞第4段</v>
          </cell>
          <cell r="C1267" t="str">
            <v>玫瑰之舞第4段</v>
          </cell>
          <cell r="D1267">
            <v>3</v>
          </cell>
          <cell r="E1267">
            <v>67</v>
          </cell>
          <cell r="F1267" t="str">
            <v>第41级，共造成234.2%点伤害</v>
          </cell>
          <cell r="G1267">
            <v>4</v>
          </cell>
          <cell r="H1267">
            <v>4</v>
          </cell>
          <cell r="I1267">
            <v>41</v>
          </cell>
          <cell r="J1267">
            <v>2</v>
          </cell>
          <cell r="K1267">
            <v>234.16071428571431</v>
          </cell>
          <cell r="L1267">
            <v>0</v>
          </cell>
          <cell r="M1267">
            <v>4720</v>
          </cell>
          <cell r="N1267">
            <v>269633</v>
          </cell>
          <cell r="O1267">
            <v>2</v>
          </cell>
          <cell r="P1267">
            <v>1</v>
          </cell>
          <cell r="Q1267">
            <v>1</v>
          </cell>
          <cell r="R1267">
            <v>9</v>
          </cell>
          <cell r="S1267">
            <v>50</v>
          </cell>
          <cell r="T1267">
            <v>166.07142857142858</v>
          </cell>
          <cell r="U1267">
            <v>2963</v>
          </cell>
          <cell r="V1267">
            <v>166.07142857142858</v>
          </cell>
          <cell r="W1267">
            <v>91</v>
          </cell>
          <cell r="X1267">
            <v>1301</v>
          </cell>
          <cell r="Y1267">
            <v>18</v>
          </cell>
          <cell r="Z1267">
            <v>37</v>
          </cell>
        </row>
        <row r="1268">
          <cell r="A1268">
            <v>9322442</v>
          </cell>
          <cell r="B1268" t="str">
            <v>玫瑰之舞第4段</v>
          </cell>
          <cell r="C1268" t="str">
            <v>玫瑰之舞第4段</v>
          </cell>
          <cell r="D1268">
            <v>3</v>
          </cell>
          <cell r="E1268">
            <v>69</v>
          </cell>
          <cell r="F1268" t="str">
            <v>第42级，共造成235.8%点伤害</v>
          </cell>
          <cell r="G1268">
            <v>4</v>
          </cell>
          <cell r="H1268">
            <v>4</v>
          </cell>
          <cell r="I1268">
            <v>42</v>
          </cell>
          <cell r="J1268">
            <v>2</v>
          </cell>
          <cell r="K1268">
            <v>235.82142857142858</v>
          </cell>
          <cell r="L1268">
            <v>0</v>
          </cell>
          <cell r="M1268">
            <v>4640</v>
          </cell>
          <cell r="N1268">
            <v>305259</v>
          </cell>
          <cell r="O1268">
            <v>2</v>
          </cell>
          <cell r="P1268">
            <v>1</v>
          </cell>
          <cell r="Q1268">
            <v>1</v>
          </cell>
          <cell r="R1268">
            <v>9</v>
          </cell>
          <cell r="S1268">
            <v>50</v>
          </cell>
          <cell r="T1268">
            <v>166.07142857142858</v>
          </cell>
          <cell r="U1268">
            <v>3147</v>
          </cell>
          <cell r="V1268">
            <v>166.07142857142858</v>
          </cell>
          <cell r="W1268">
            <v>97</v>
          </cell>
          <cell r="X1268">
            <v>1398</v>
          </cell>
          <cell r="Y1268">
            <v>18</v>
          </cell>
          <cell r="Z1268">
            <v>39</v>
          </cell>
        </row>
        <row r="1269">
          <cell r="A1269">
            <v>9322443</v>
          </cell>
          <cell r="B1269" t="str">
            <v>玫瑰之舞第4段</v>
          </cell>
          <cell r="C1269" t="str">
            <v>玫瑰之舞第4段</v>
          </cell>
          <cell r="D1269">
            <v>3</v>
          </cell>
          <cell r="E1269">
            <v>70</v>
          </cell>
          <cell r="F1269" t="str">
            <v>第43级，共造成237.5%点伤害</v>
          </cell>
          <cell r="G1269">
            <v>4</v>
          </cell>
          <cell r="H1269">
            <v>4</v>
          </cell>
          <cell r="I1269">
            <v>43</v>
          </cell>
          <cell r="J1269">
            <v>2</v>
          </cell>
          <cell r="K1269">
            <v>237.48214285714289</v>
          </cell>
          <cell r="L1269">
            <v>0</v>
          </cell>
          <cell r="M1269">
            <v>4560</v>
          </cell>
          <cell r="N1269">
            <v>337168</v>
          </cell>
          <cell r="O1269">
            <v>2</v>
          </cell>
          <cell r="P1269">
            <v>1</v>
          </cell>
          <cell r="Q1269">
            <v>1</v>
          </cell>
          <cell r="R1269">
            <v>9</v>
          </cell>
          <cell r="S1269">
            <v>50</v>
          </cell>
          <cell r="T1269">
            <v>166.07142857142858</v>
          </cell>
          <cell r="U1269">
            <v>3242</v>
          </cell>
          <cell r="V1269">
            <v>166.07142857142858</v>
          </cell>
          <cell r="W1269">
            <v>104</v>
          </cell>
          <cell r="X1269">
            <v>1502</v>
          </cell>
          <cell r="Y1269">
            <v>18</v>
          </cell>
          <cell r="Z1269">
            <v>42</v>
          </cell>
        </row>
        <row r="1270">
          <cell r="A1270">
            <v>9322444</v>
          </cell>
          <cell r="B1270" t="str">
            <v>玫瑰之舞第4段</v>
          </cell>
          <cell r="C1270" t="str">
            <v>玫瑰之舞第4段</v>
          </cell>
          <cell r="D1270">
            <v>3</v>
          </cell>
          <cell r="E1270">
            <v>71</v>
          </cell>
          <cell r="F1270" t="str">
            <v>第44级，共造成239.1%点伤害</v>
          </cell>
          <cell r="G1270">
            <v>4</v>
          </cell>
          <cell r="H1270">
            <v>4</v>
          </cell>
          <cell r="I1270">
            <v>44</v>
          </cell>
          <cell r="J1270">
            <v>2</v>
          </cell>
          <cell r="K1270">
            <v>239.14285714285717</v>
          </cell>
          <cell r="L1270">
            <v>0</v>
          </cell>
          <cell r="M1270">
            <v>4480</v>
          </cell>
          <cell r="N1270">
            <v>370518</v>
          </cell>
          <cell r="O1270">
            <v>2</v>
          </cell>
          <cell r="P1270">
            <v>1</v>
          </cell>
          <cell r="Q1270">
            <v>1</v>
          </cell>
          <cell r="R1270">
            <v>9</v>
          </cell>
          <cell r="S1270">
            <v>50</v>
          </cell>
          <cell r="T1270">
            <v>166.07142857142858</v>
          </cell>
          <cell r="U1270">
            <v>3338</v>
          </cell>
          <cell r="V1270">
            <v>166.07142857142858</v>
          </cell>
          <cell r="W1270">
            <v>111</v>
          </cell>
          <cell r="X1270">
            <v>1613</v>
          </cell>
          <cell r="Y1270">
            <v>18</v>
          </cell>
          <cell r="Z1270">
            <v>45</v>
          </cell>
        </row>
        <row r="1271">
          <cell r="A1271">
            <v>9322445</v>
          </cell>
          <cell r="B1271" t="str">
            <v>玫瑰之舞第4段</v>
          </cell>
          <cell r="C1271" t="str">
            <v>玫瑰之舞第4段</v>
          </cell>
          <cell r="D1271">
            <v>3</v>
          </cell>
          <cell r="E1271">
            <v>73</v>
          </cell>
          <cell r="F1271" t="str">
            <v>第45级，共造成240.8%点伤害</v>
          </cell>
          <cell r="G1271">
            <v>4</v>
          </cell>
          <cell r="H1271">
            <v>4</v>
          </cell>
          <cell r="I1271">
            <v>45</v>
          </cell>
          <cell r="J1271">
            <v>2</v>
          </cell>
          <cell r="K1271">
            <v>240.80357142857144</v>
          </cell>
          <cell r="L1271">
            <v>0</v>
          </cell>
          <cell r="M1271">
            <v>4400</v>
          </cell>
          <cell r="N1271">
            <v>420546</v>
          </cell>
          <cell r="O1271">
            <v>2</v>
          </cell>
          <cell r="P1271">
            <v>1</v>
          </cell>
          <cell r="Q1271">
            <v>1</v>
          </cell>
          <cell r="R1271">
            <v>9</v>
          </cell>
          <cell r="S1271">
            <v>50</v>
          </cell>
          <cell r="T1271">
            <v>166.07142857142858</v>
          </cell>
          <cell r="U1271">
            <v>3534</v>
          </cell>
          <cell r="V1271">
            <v>166.07142857142858</v>
          </cell>
          <cell r="W1271">
            <v>119</v>
          </cell>
          <cell r="X1271">
            <v>1732</v>
          </cell>
          <cell r="Y1271">
            <v>18</v>
          </cell>
          <cell r="Z1271">
            <v>48</v>
          </cell>
        </row>
        <row r="1272">
          <cell r="A1272">
            <v>9322446</v>
          </cell>
          <cell r="B1272" t="str">
            <v>玫瑰之舞第4段</v>
          </cell>
          <cell r="C1272" t="str">
            <v>玫瑰之舞第4段</v>
          </cell>
          <cell r="D1272">
            <v>3</v>
          </cell>
          <cell r="E1272">
            <v>74</v>
          </cell>
          <cell r="F1272" t="str">
            <v>第46级，共造成242.5%点伤害</v>
          </cell>
          <cell r="G1272">
            <v>4</v>
          </cell>
          <cell r="H1272">
            <v>4</v>
          </cell>
          <cell r="I1272">
            <v>46</v>
          </cell>
          <cell r="J1272">
            <v>2</v>
          </cell>
          <cell r="K1272">
            <v>242.46428571428572</v>
          </cell>
          <cell r="L1272">
            <v>0</v>
          </cell>
          <cell r="M1272">
            <v>4320</v>
          </cell>
          <cell r="N1272">
            <v>461518</v>
          </cell>
          <cell r="O1272">
            <v>2</v>
          </cell>
          <cell r="P1272">
            <v>1</v>
          </cell>
          <cell r="Q1272">
            <v>1</v>
          </cell>
          <cell r="R1272">
            <v>9</v>
          </cell>
          <cell r="S1272">
            <v>50</v>
          </cell>
          <cell r="T1272">
            <v>166.07142857142858</v>
          </cell>
          <cell r="U1272">
            <v>3634</v>
          </cell>
          <cell r="V1272">
            <v>166.07142857142858</v>
          </cell>
          <cell r="W1272">
            <v>127</v>
          </cell>
          <cell r="X1272">
            <v>1859</v>
          </cell>
          <cell r="Y1272">
            <v>18</v>
          </cell>
          <cell r="Z1272">
            <v>51</v>
          </cell>
        </row>
        <row r="1273">
          <cell r="A1273">
            <v>9322447</v>
          </cell>
          <cell r="B1273" t="str">
            <v>玫瑰之舞第4段</v>
          </cell>
          <cell r="C1273" t="str">
            <v>玫瑰之舞第4段</v>
          </cell>
          <cell r="D1273">
            <v>3</v>
          </cell>
          <cell r="E1273">
            <v>76</v>
          </cell>
          <cell r="F1273" t="str">
            <v>第47级，共造成244.1%点伤害</v>
          </cell>
          <cell r="G1273">
            <v>4</v>
          </cell>
          <cell r="H1273">
            <v>4</v>
          </cell>
          <cell r="I1273">
            <v>47</v>
          </cell>
          <cell r="J1273">
            <v>2</v>
          </cell>
          <cell r="K1273">
            <v>244.125</v>
          </cell>
          <cell r="L1273">
            <v>0</v>
          </cell>
          <cell r="M1273">
            <v>4240</v>
          </cell>
          <cell r="N1273">
            <v>521968</v>
          </cell>
          <cell r="O1273">
            <v>2</v>
          </cell>
          <cell r="P1273">
            <v>1</v>
          </cell>
          <cell r="Q1273">
            <v>1</v>
          </cell>
          <cell r="R1273">
            <v>9</v>
          </cell>
          <cell r="S1273">
            <v>50</v>
          </cell>
          <cell r="T1273">
            <v>166.07142857142858</v>
          </cell>
          <cell r="U1273">
            <v>3838</v>
          </cell>
          <cell r="V1273">
            <v>166.07142857142858</v>
          </cell>
          <cell r="W1273">
            <v>136</v>
          </cell>
          <cell r="X1273">
            <v>1995</v>
          </cell>
          <cell r="Y1273">
            <v>18</v>
          </cell>
          <cell r="Z1273">
            <v>55</v>
          </cell>
        </row>
        <row r="1274">
          <cell r="A1274">
            <v>9322448</v>
          </cell>
          <cell r="B1274" t="str">
            <v>玫瑰之舞第4段</v>
          </cell>
          <cell r="C1274" t="str">
            <v>玫瑰之舞第4段</v>
          </cell>
          <cell r="D1274">
            <v>3</v>
          </cell>
          <cell r="E1274">
            <v>77</v>
          </cell>
          <cell r="F1274" t="str">
            <v>第48级，共造成245.8%点伤害</v>
          </cell>
          <cell r="G1274">
            <v>4</v>
          </cell>
          <cell r="H1274">
            <v>4</v>
          </cell>
          <cell r="I1274">
            <v>48</v>
          </cell>
          <cell r="J1274">
            <v>2</v>
          </cell>
          <cell r="K1274">
            <v>245.78571428571431</v>
          </cell>
          <cell r="L1274">
            <v>0</v>
          </cell>
          <cell r="M1274">
            <v>4160</v>
          </cell>
          <cell r="N1274">
            <v>575532</v>
          </cell>
          <cell r="O1274">
            <v>2</v>
          </cell>
          <cell r="P1274">
            <v>1</v>
          </cell>
          <cell r="Q1274">
            <v>1</v>
          </cell>
          <cell r="R1274">
            <v>9</v>
          </cell>
          <cell r="S1274">
            <v>50</v>
          </cell>
          <cell r="T1274">
            <v>166.07142857142858</v>
          </cell>
          <cell r="U1274">
            <v>3942</v>
          </cell>
          <cell r="V1274">
            <v>166.07142857142858</v>
          </cell>
          <cell r="W1274">
            <v>146</v>
          </cell>
          <cell r="X1274">
            <v>2141</v>
          </cell>
          <cell r="Y1274">
            <v>18</v>
          </cell>
          <cell r="Z1274">
            <v>59</v>
          </cell>
        </row>
        <row r="1275">
          <cell r="A1275">
            <v>9322449</v>
          </cell>
          <cell r="B1275" t="str">
            <v>玫瑰之舞第4段</v>
          </cell>
          <cell r="C1275" t="str">
            <v>玫瑰之舞第4段</v>
          </cell>
          <cell r="D1275">
            <v>3</v>
          </cell>
          <cell r="E1275">
            <v>79</v>
          </cell>
          <cell r="F1275" t="str">
            <v>第49级，共造成247.4%点伤害</v>
          </cell>
          <cell r="G1275">
            <v>4</v>
          </cell>
          <cell r="H1275">
            <v>4</v>
          </cell>
          <cell r="I1275">
            <v>49</v>
          </cell>
          <cell r="J1275">
            <v>2</v>
          </cell>
          <cell r="K1275">
            <v>247.44642857142858</v>
          </cell>
          <cell r="L1275">
            <v>0</v>
          </cell>
          <cell r="M1275">
            <v>4080</v>
          </cell>
          <cell r="N1275">
            <v>648024</v>
          </cell>
          <cell r="O1275">
            <v>2</v>
          </cell>
          <cell r="P1275">
            <v>1</v>
          </cell>
          <cell r="Q1275">
            <v>1</v>
          </cell>
          <cell r="R1275">
            <v>9</v>
          </cell>
          <cell r="S1275">
            <v>50</v>
          </cell>
          <cell r="T1275">
            <v>166.07142857142858</v>
          </cell>
          <cell r="U1275">
            <v>4154</v>
          </cell>
          <cell r="V1275">
            <v>166.07142857142858</v>
          </cell>
          <cell r="W1275">
            <v>156</v>
          </cell>
          <cell r="X1275">
            <v>2297</v>
          </cell>
          <cell r="Y1275">
            <v>18</v>
          </cell>
          <cell r="Z1275">
            <v>63</v>
          </cell>
        </row>
        <row r="1276">
          <cell r="A1276">
            <v>9322450</v>
          </cell>
          <cell r="B1276" t="str">
            <v>玫瑰之舞第4段</v>
          </cell>
          <cell r="C1276" t="str">
            <v>玫瑰之舞第4段</v>
          </cell>
          <cell r="D1276">
            <v>3</v>
          </cell>
          <cell r="E1276">
            <v>80</v>
          </cell>
          <cell r="F1276" t="str">
            <v>第50级，共造成249.1%点伤害</v>
          </cell>
          <cell r="G1276">
            <v>4</v>
          </cell>
          <cell r="H1276">
            <v>4</v>
          </cell>
          <cell r="I1276">
            <v>50</v>
          </cell>
          <cell r="J1276">
            <v>2</v>
          </cell>
          <cell r="K1276">
            <v>249.10714285714289</v>
          </cell>
          <cell r="L1276">
            <v>0</v>
          </cell>
          <cell r="M1276">
            <v>4000</v>
          </cell>
          <cell r="N1276">
            <v>711754</v>
          </cell>
          <cell r="O1276">
            <v>2</v>
          </cell>
          <cell r="P1276">
            <v>1</v>
          </cell>
          <cell r="Q1276">
            <v>1</v>
          </cell>
          <cell r="R1276">
            <v>9</v>
          </cell>
          <cell r="S1276">
            <v>50</v>
          </cell>
          <cell r="T1276">
            <v>166.07142857142858</v>
          </cell>
          <cell r="U1276">
            <v>4262</v>
          </cell>
          <cell r="V1276">
            <v>166.07142857142858</v>
          </cell>
          <cell r="W1276">
            <v>167</v>
          </cell>
          <cell r="X1276">
            <v>2464</v>
          </cell>
          <cell r="Y1276">
            <v>18</v>
          </cell>
          <cell r="Z1276">
            <v>67</v>
          </cell>
        </row>
        <row r="1277">
          <cell r="A1277">
            <v>9313000</v>
          </cell>
          <cell r="B1277" t="str">
            <v>聚能手雷</v>
          </cell>
          <cell r="C1277" t="str">
            <v>聚能手雷</v>
          </cell>
          <cell r="D1277">
            <v>3</v>
          </cell>
          <cell r="E1277">
            <v>5</v>
          </cell>
          <cell r="F1277" t="str">
            <v>第0级，共造成199.3%点伤害</v>
          </cell>
          <cell r="G1277">
            <v>0</v>
          </cell>
          <cell r="H1277">
            <v>1</v>
          </cell>
          <cell r="I1277">
            <v>0</v>
          </cell>
          <cell r="J1277">
            <v>1</v>
          </cell>
          <cell r="K1277">
            <v>22.142857142857142</v>
          </cell>
          <cell r="L1277">
            <v>0</v>
          </cell>
          <cell r="M1277">
            <v>10000</v>
          </cell>
          <cell r="N1277">
            <v>0</v>
          </cell>
          <cell r="O1277">
            <v>3</v>
          </cell>
          <cell r="P1277">
            <v>9</v>
          </cell>
          <cell r="Q1277">
            <v>1</v>
          </cell>
          <cell r="R1277">
            <v>5</v>
          </cell>
          <cell r="S1277">
            <v>50</v>
          </cell>
          <cell r="T1277">
            <v>22.142857142857142</v>
          </cell>
          <cell r="U1277">
            <v>74</v>
          </cell>
          <cell r="V1277">
            <v>199.28571428571428</v>
          </cell>
          <cell r="W1277">
            <v>0</v>
          </cell>
          <cell r="X1277">
            <v>0</v>
          </cell>
          <cell r="Y1277">
            <v>18</v>
          </cell>
          <cell r="Z1277">
            <v>0</v>
          </cell>
        </row>
        <row r="1278">
          <cell r="A1278">
            <v>9313101</v>
          </cell>
          <cell r="B1278" t="str">
            <v>聚能手雷</v>
          </cell>
          <cell r="C1278" t="str">
            <v>聚能手雷</v>
          </cell>
          <cell r="D1278">
            <v>3</v>
          </cell>
          <cell r="E1278">
            <v>5</v>
          </cell>
          <cell r="F1278" t="str">
            <v>第1级，共造成199.3%点伤害</v>
          </cell>
          <cell r="G1278">
            <v>1</v>
          </cell>
          <cell r="H1278">
            <v>1</v>
          </cell>
          <cell r="I1278">
            <v>1</v>
          </cell>
          <cell r="J1278">
            <v>1</v>
          </cell>
          <cell r="K1278">
            <v>22.142857142857142</v>
          </cell>
          <cell r="L1278">
            <v>0</v>
          </cell>
          <cell r="M1278">
            <v>10000</v>
          </cell>
          <cell r="N1278">
            <v>592</v>
          </cell>
          <cell r="O1278">
            <v>3</v>
          </cell>
          <cell r="P1278">
            <v>9</v>
          </cell>
          <cell r="Q1278">
            <v>1</v>
          </cell>
          <cell r="R1278">
            <v>5</v>
          </cell>
          <cell r="S1278">
            <v>50</v>
          </cell>
          <cell r="T1278">
            <v>22.142857142857142</v>
          </cell>
          <cell r="U1278">
            <v>74</v>
          </cell>
          <cell r="V1278">
            <v>199.28571428571428</v>
          </cell>
          <cell r="W1278">
            <v>8</v>
          </cell>
          <cell r="X1278">
            <v>8</v>
          </cell>
          <cell r="Y1278">
            <v>18</v>
          </cell>
          <cell r="Z1278">
            <v>0</v>
          </cell>
        </row>
        <row r="1279">
          <cell r="A1279">
            <v>9313102</v>
          </cell>
          <cell r="B1279" t="str">
            <v>聚能手雷</v>
          </cell>
          <cell r="C1279" t="str">
            <v>聚能手雷</v>
          </cell>
          <cell r="D1279">
            <v>3</v>
          </cell>
          <cell r="E1279">
            <v>8</v>
          </cell>
          <cell r="F1279" t="str">
            <v>第2级，共造成203.3%点伤害</v>
          </cell>
          <cell r="G1279">
            <v>1</v>
          </cell>
          <cell r="H1279">
            <v>1</v>
          </cell>
          <cell r="I1279">
            <v>2</v>
          </cell>
          <cell r="J1279">
            <v>1</v>
          </cell>
          <cell r="K1279">
            <v>22.585714285714285</v>
          </cell>
          <cell r="L1279">
            <v>0</v>
          </cell>
          <cell r="M1279">
            <v>9800</v>
          </cell>
          <cell r="N1279">
            <v>828</v>
          </cell>
          <cell r="O1279">
            <v>3</v>
          </cell>
          <cell r="P1279">
            <v>9</v>
          </cell>
          <cell r="Q1279">
            <v>1</v>
          </cell>
          <cell r="R1279">
            <v>5</v>
          </cell>
          <cell r="S1279">
            <v>50</v>
          </cell>
          <cell r="T1279">
            <v>22.142857142857142</v>
          </cell>
          <cell r="U1279">
            <v>92</v>
          </cell>
          <cell r="V1279">
            <v>199.28571428571428</v>
          </cell>
          <cell r="W1279">
            <v>9</v>
          </cell>
          <cell r="X1279">
            <v>17</v>
          </cell>
          <cell r="Y1279">
            <v>18</v>
          </cell>
          <cell r="Z1279">
            <v>0</v>
          </cell>
        </row>
        <row r="1280">
          <cell r="A1280">
            <v>9313103</v>
          </cell>
          <cell r="B1280" t="str">
            <v>聚能手雷</v>
          </cell>
          <cell r="C1280" t="str">
            <v>聚能手雷</v>
          </cell>
          <cell r="D1280">
            <v>3</v>
          </cell>
          <cell r="E1280">
            <v>10</v>
          </cell>
          <cell r="F1280" t="str">
            <v>第3级，共造成205.3%点伤害</v>
          </cell>
          <cell r="G1280">
            <v>1</v>
          </cell>
          <cell r="H1280">
            <v>1</v>
          </cell>
          <cell r="I1280">
            <v>3</v>
          </cell>
          <cell r="J1280">
            <v>1</v>
          </cell>
          <cell r="K1280">
            <v>22.807142857142857</v>
          </cell>
          <cell r="L1280">
            <v>0</v>
          </cell>
          <cell r="M1280">
            <v>9700</v>
          </cell>
          <cell r="N1280">
            <v>936</v>
          </cell>
          <cell r="O1280">
            <v>3</v>
          </cell>
          <cell r="P1280">
            <v>9</v>
          </cell>
          <cell r="Q1280">
            <v>1</v>
          </cell>
          <cell r="R1280">
            <v>5</v>
          </cell>
          <cell r="S1280">
            <v>50</v>
          </cell>
          <cell r="T1280">
            <v>22.142857142857142</v>
          </cell>
          <cell r="U1280">
            <v>104</v>
          </cell>
          <cell r="V1280">
            <v>199.28571428571428</v>
          </cell>
          <cell r="W1280">
            <v>9</v>
          </cell>
          <cell r="X1280">
            <v>26</v>
          </cell>
          <cell r="Y1280">
            <v>18</v>
          </cell>
          <cell r="Z1280">
            <v>0</v>
          </cell>
        </row>
        <row r="1281">
          <cell r="A1281">
            <v>9313104</v>
          </cell>
          <cell r="B1281" t="str">
            <v>聚能手雷</v>
          </cell>
          <cell r="C1281" t="str">
            <v>聚能手雷</v>
          </cell>
          <cell r="D1281">
            <v>3</v>
          </cell>
          <cell r="E1281">
            <v>11</v>
          </cell>
          <cell r="F1281" t="str">
            <v>第4级，共造成207.3%点伤害</v>
          </cell>
          <cell r="G1281">
            <v>1</v>
          </cell>
          <cell r="H1281">
            <v>1</v>
          </cell>
          <cell r="I1281">
            <v>4</v>
          </cell>
          <cell r="J1281">
            <v>1</v>
          </cell>
          <cell r="K1281">
            <v>23.028571428571428</v>
          </cell>
          <cell r="L1281">
            <v>0</v>
          </cell>
          <cell r="M1281">
            <v>9600</v>
          </cell>
          <cell r="N1281">
            <v>1100</v>
          </cell>
          <cell r="O1281">
            <v>3</v>
          </cell>
          <cell r="P1281">
            <v>9</v>
          </cell>
          <cell r="Q1281">
            <v>1</v>
          </cell>
          <cell r="R1281">
            <v>5</v>
          </cell>
          <cell r="S1281">
            <v>50</v>
          </cell>
          <cell r="T1281">
            <v>22.142857142857142</v>
          </cell>
          <cell r="U1281">
            <v>110</v>
          </cell>
          <cell r="V1281">
            <v>199.28571428571428</v>
          </cell>
          <cell r="W1281">
            <v>10</v>
          </cell>
          <cell r="X1281">
            <v>36</v>
          </cell>
          <cell r="Y1281">
            <v>18</v>
          </cell>
          <cell r="Z1281">
            <v>0</v>
          </cell>
        </row>
        <row r="1282">
          <cell r="A1282">
            <v>9313105</v>
          </cell>
          <cell r="B1282" t="str">
            <v>聚能手雷</v>
          </cell>
          <cell r="C1282" t="str">
            <v>聚能手雷</v>
          </cell>
          <cell r="D1282">
            <v>3</v>
          </cell>
          <cell r="E1282">
            <v>13</v>
          </cell>
          <cell r="F1282" t="str">
            <v>第5级，共造成209.3%点伤害</v>
          </cell>
          <cell r="G1282">
            <v>1</v>
          </cell>
          <cell r="H1282">
            <v>1</v>
          </cell>
          <cell r="I1282">
            <v>5</v>
          </cell>
          <cell r="J1282">
            <v>1</v>
          </cell>
          <cell r="K1282">
            <v>23.25</v>
          </cell>
          <cell r="L1282">
            <v>0</v>
          </cell>
          <cell r="M1282">
            <v>9500</v>
          </cell>
          <cell r="N1282">
            <v>1342</v>
          </cell>
          <cell r="O1282">
            <v>3</v>
          </cell>
          <cell r="P1282">
            <v>9</v>
          </cell>
          <cell r="Q1282">
            <v>1</v>
          </cell>
          <cell r="R1282">
            <v>5</v>
          </cell>
          <cell r="S1282">
            <v>50</v>
          </cell>
          <cell r="T1282">
            <v>22.142857142857142</v>
          </cell>
          <cell r="U1282">
            <v>122</v>
          </cell>
          <cell r="V1282">
            <v>199.28571428571428</v>
          </cell>
          <cell r="W1282">
            <v>11</v>
          </cell>
          <cell r="X1282">
            <v>47</v>
          </cell>
          <cell r="Y1282">
            <v>18</v>
          </cell>
          <cell r="Z1282">
            <v>0</v>
          </cell>
        </row>
        <row r="1283">
          <cell r="A1283">
            <v>9313106</v>
          </cell>
          <cell r="B1283" t="str">
            <v>聚能手雷</v>
          </cell>
          <cell r="C1283" t="str">
            <v>聚能手雷</v>
          </cell>
          <cell r="D1283">
            <v>3</v>
          </cell>
          <cell r="E1283">
            <v>14</v>
          </cell>
          <cell r="F1283" t="str">
            <v>第6级，共造成211.2%点伤害</v>
          </cell>
          <cell r="G1283">
            <v>1</v>
          </cell>
          <cell r="H1283">
            <v>1</v>
          </cell>
          <cell r="I1283">
            <v>6</v>
          </cell>
          <cell r="J1283">
            <v>1</v>
          </cell>
          <cell r="K1283">
            <v>23.471428571428572</v>
          </cell>
          <cell r="L1283">
            <v>0</v>
          </cell>
          <cell r="M1283">
            <v>9400</v>
          </cell>
          <cell r="N1283">
            <v>1408</v>
          </cell>
          <cell r="O1283">
            <v>3</v>
          </cell>
          <cell r="P1283">
            <v>9</v>
          </cell>
          <cell r="Q1283">
            <v>1</v>
          </cell>
          <cell r="R1283">
            <v>5</v>
          </cell>
          <cell r="S1283">
            <v>50</v>
          </cell>
          <cell r="T1283">
            <v>22.142857142857142</v>
          </cell>
          <cell r="U1283">
            <v>128</v>
          </cell>
          <cell r="V1283">
            <v>199.28571428571428</v>
          </cell>
          <cell r="W1283">
            <v>11</v>
          </cell>
          <cell r="X1283">
            <v>58</v>
          </cell>
          <cell r="Y1283">
            <v>18</v>
          </cell>
          <cell r="Z1283">
            <v>0</v>
          </cell>
        </row>
        <row r="1284">
          <cell r="A1284">
            <v>9313107</v>
          </cell>
          <cell r="B1284" t="str">
            <v>聚能手雷</v>
          </cell>
          <cell r="C1284" t="str">
            <v>聚能手雷</v>
          </cell>
          <cell r="D1284">
            <v>3</v>
          </cell>
          <cell r="E1284">
            <v>16</v>
          </cell>
          <cell r="F1284" t="str">
            <v>第7级，共造成213.2%点伤害</v>
          </cell>
          <cell r="G1284">
            <v>1</v>
          </cell>
          <cell r="H1284">
            <v>1</v>
          </cell>
          <cell r="I1284">
            <v>7</v>
          </cell>
          <cell r="J1284">
            <v>1</v>
          </cell>
          <cell r="K1284">
            <v>23.692857142857143</v>
          </cell>
          <cell r="L1284">
            <v>0</v>
          </cell>
          <cell r="M1284">
            <v>9300</v>
          </cell>
          <cell r="N1284">
            <v>1680</v>
          </cell>
          <cell r="O1284">
            <v>3</v>
          </cell>
          <cell r="P1284">
            <v>9</v>
          </cell>
          <cell r="Q1284">
            <v>1</v>
          </cell>
          <cell r="R1284">
            <v>5</v>
          </cell>
          <cell r="S1284">
            <v>50</v>
          </cell>
          <cell r="T1284">
            <v>22.142857142857142</v>
          </cell>
          <cell r="U1284">
            <v>140</v>
          </cell>
          <cell r="V1284">
            <v>199.28571428571428</v>
          </cell>
          <cell r="W1284">
            <v>12</v>
          </cell>
          <cell r="X1284">
            <v>70</v>
          </cell>
          <cell r="Y1284">
            <v>18</v>
          </cell>
          <cell r="Z1284">
            <v>0</v>
          </cell>
        </row>
        <row r="1285">
          <cell r="A1285">
            <v>9313108</v>
          </cell>
          <cell r="B1285" t="str">
            <v>聚能手雷</v>
          </cell>
          <cell r="C1285" t="str">
            <v>聚能手雷</v>
          </cell>
          <cell r="D1285">
            <v>3</v>
          </cell>
          <cell r="E1285">
            <v>17</v>
          </cell>
          <cell r="F1285" t="str">
            <v>第8级，共造成215.2%点伤害</v>
          </cell>
          <cell r="G1285">
            <v>1</v>
          </cell>
          <cell r="H1285">
            <v>1</v>
          </cell>
          <cell r="I1285">
            <v>8</v>
          </cell>
          <cell r="J1285">
            <v>1</v>
          </cell>
          <cell r="K1285">
            <v>23.914285714285715</v>
          </cell>
          <cell r="L1285">
            <v>0</v>
          </cell>
          <cell r="M1285">
            <v>9200</v>
          </cell>
          <cell r="N1285">
            <v>1898</v>
          </cell>
          <cell r="O1285">
            <v>3</v>
          </cell>
          <cell r="P1285">
            <v>9</v>
          </cell>
          <cell r="Q1285">
            <v>1</v>
          </cell>
          <cell r="R1285">
            <v>5</v>
          </cell>
          <cell r="S1285">
            <v>50</v>
          </cell>
          <cell r="T1285">
            <v>22.142857142857142</v>
          </cell>
          <cell r="U1285">
            <v>146</v>
          </cell>
          <cell r="V1285">
            <v>199.28571428571428</v>
          </cell>
          <cell r="W1285">
            <v>13</v>
          </cell>
          <cell r="X1285">
            <v>83</v>
          </cell>
          <cell r="Y1285">
            <v>18</v>
          </cell>
          <cell r="Z1285">
            <v>0</v>
          </cell>
        </row>
        <row r="1286">
          <cell r="A1286">
            <v>9313109</v>
          </cell>
          <cell r="B1286" t="str">
            <v>聚能手雷</v>
          </cell>
          <cell r="C1286" t="str">
            <v>聚能手雷</v>
          </cell>
          <cell r="D1286">
            <v>3</v>
          </cell>
          <cell r="E1286">
            <v>19</v>
          </cell>
          <cell r="F1286" t="str">
            <v>第9级，共造成217.2%点伤害</v>
          </cell>
          <cell r="G1286">
            <v>1</v>
          </cell>
          <cell r="H1286">
            <v>1</v>
          </cell>
          <cell r="I1286">
            <v>9</v>
          </cell>
          <cell r="J1286">
            <v>1</v>
          </cell>
          <cell r="K1286">
            <v>24.135714285714286</v>
          </cell>
          <cell r="L1286">
            <v>0</v>
          </cell>
          <cell r="M1286">
            <v>9100</v>
          </cell>
          <cell r="N1286">
            <v>2212</v>
          </cell>
          <cell r="O1286">
            <v>3</v>
          </cell>
          <cell r="P1286">
            <v>9</v>
          </cell>
          <cell r="Q1286">
            <v>1</v>
          </cell>
          <cell r="R1286">
            <v>5</v>
          </cell>
          <cell r="S1286">
            <v>50</v>
          </cell>
          <cell r="T1286">
            <v>22.142857142857142</v>
          </cell>
          <cell r="U1286">
            <v>158</v>
          </cell>
          <cell r="V1286">
            <v>199.28571428571428</v>
          </cell>
          <cell r="W1286">
            <v>14</v>
          </cell>
          <cell r="X1286">
            <v>97</v>
          </cell>
          <cell r="Y1286">
            <v>18</v>
          </cell>
          <cell r="Z1286">
            <v>0</v>
          </cell>
        </row>
        <row r="1287">
          <cell r="A1287">
            <v>9313110</v>
          </cell>
          <cell r="B1287" t="str">
            <v>聚能手雷</v>
          </cell>
          <cell r="C1287" t="str">
            <v>聚能手雷</v>
          </cell>
          <cell r="D1287">
            <v>3</v>
          </cell>
          <cell r="E1287">
            <v>20</v>
          </cell>
          <cell r="F1287" t="str">
            <v>第10级，共造成219.2%点伤害</v>
          </cell>
          <cell r="G1287">
            <v>1</v>
          </cell>
          <cell r="H1287">
            <v>1</v>
          </cell>
          <cell r="I1287">
            <v>10</v>
          </cell>
          <cell r="J1287">
            <v>1</v>
          </cell>
          <cell r="K1287">
            <v>24.357142857142858</v>
          </cell>
          <cell r="L1287">
            <v>0</v>
          </cell>
          <cell r="M1287">
            <v>9000</v>
          </cell>
          <cell r="N1287">
            <v>2730</v>
          </cell>
          <cell r="O1287">
            <v>3</v>
          </cell>
          <cell r="P1287">
            <v>9</v>
          </cell>
          <cell r="Q1287">
            <v>1</v>
          </cell>
          <cell r="R1287">
            <v>5</v>
          </cell>
          <cell r="S1287">
            <v>50</v>
          </cell>
          <cell r="T1287">
            <v>22.142857142857142</v>
          </cell>
          <cell r="U1287">
            <v>182</v>
          </cell>
          <cell r="V1287">
            <v>199.28571428571428</v>
          </cell>
          <cell r="W1287">
            <v>15</v>
          </cell>
          <cell r="X1287">
            <v>112</v>
          </cell>
          <cell r="Y1287">
            <v>18</v>
          </cell>
          <cell r="Z1287">
            <v>0</v>
          </cell>
        </row>
        <row r="1288">
          <cell r="A1288">
            <v>9313111</v>
          </cell>
          <cell r="B1288" t="str">
            <v>聚能手雷</v>
          </cell>
          <cell r="C1288" t="str">
            <v>聚能手雷</v>
          </cell>
          <cell r="D1288">
            <v>3</v>
          </cell>
          <cell r="E1288">
            <v>22</v>
          </cell>
          <cell r="F1288" t="str">
            <v>第11级，共造成221.2%点伤害</v>
          </cell>
          <cell r="G1288">
            <v>1</v>
          </cell>
          <cell r="H1288">
            <v>1</v>
          </cell>
          <cell r="I1288">
            <v>11</v>
          </cell>
          <cell r="J1288">
            <v>1</v>
          </cell>
          <cell r="K1288">
            <v>24.578571428571429</v>
          </cell>
          <cell r="L1288">
            <v>0</v>
          </cell>
          <cell r="M1288">
            <v>8900</v>
          </cell>
          <cell r="N1288">
            <v>3824</v>
          </cell>
          <cell r="O1288">
            <v>3</v>
          </cell>
          <cell r="P1288">
            <v>9</v>
          </cell>
          <cell r="Q1288">
            <v>1</v>
          </cell>
          <cell r="R1288">
            <v>5</v>
          </cell>
          <cell r="S1288">
            <v>50</v>
          </cell>
          <cell r="T1288">
            <v>22.142857142857142</v>
          </cell>
          <cell r="U1288">
            <v>239</v>
          </cell>
          <cell r="V1288">
            <v>199.28571428571428</v>
          </cell>
          <cell r="W1288">
            <v>16</v>
          </cell>
          <cell r="X1288">
            <v>128</v>
          </cell>
          <cell r="Y1288">
            <v>18</v>
          </cell>
          <cell r="Z1288">
            <v>0</v>
          </cell>
        </row>
        <row r="1289">
          <cell r="A1289">
            <v>9313112</v>
          </cell>
          <cell r="B1289" t="str">
            <v>聚能手雷</v>
          </cell>
          <cell r="C1289" t="str">
            <v>聚能手雷</v>
          </cell>
          <cell r="D1289">
            <v>3</v>
          </cell>
          <cell r="E1289">
            <v>23</v>
          </cell>
          <cell r="F1289" t="str">
            <v>第12级，共造成223.2%点伤害</v>
          </cell>
          <cell r="G1289">
            <v>1</v>
          </cell>
          <cell r="H1289">
            <v>1</v>
          </cell>
          <cell r="I1289">
            <v>12</v>
          </cell>
          <cell r="J1289">
            <v>1</v>
          </cell>
          <cell r="K1289">
            <v>24.8</v>
          </cell>
          <cell r="L1289">
            <v>0</v>
          </cell>
          <cell r="M1289">
            <v>8800</v>
          </cell>
          <cell r="N1289">
            <v>4590</v>
          </cell>
          <cell r="O1289">
            <v>3</v>
          </cell>
          <cell r="P1289">
            <v>9</v>
          </cell>
          <cell r="Q1289">
            <v>1</v>
          </cell>
          <cell r="R1289">
            <v>5</v>
          </cell>
          <cell r="S1289">
            <v>50</v>
          </cell>
          <cell r="T1289">
            <v>22.142857142857142</v>
          </cell>
          <cell r="U1289">
            <v>270</v>
          </cell>
          <cell r="V1289">
            <v>199.28571428571428</v>
          </cell>
          <cell r="W1289">
            <v>17</v>
          </cell>
          <cell r="X1289">
            <v>145</v>
          </cell>
          <cell r="Y1289">
            <v>18</v>
          </cell>
          <cell r="Z1289">
            <v>0</v>
          </cell>
        </row>
        <row r="1290">
          <cell r="A1290">
            <v>9313113</v>
          </cell>
          <cell r="B1290" t="str">
            <v>聚能手雷</v>
          </cell>
          <cell r="C1290" t="str">
            <v>聚能手雷</v>
          </cell>
          <cell r="D1290">
            <v>3</v>
          </cell>
          <cell r="E1290">
            <v>25</v>
          </cell>
          <cell r="F1290" t="str">
            <v>第13级，共造成225.2%点伤害</v>
          </cell>
          <cell r="G1290">
            <v>1</v>
          </cell>
          <cell r="H1290">
            <v>1</v>
          </cell>
          <cell r="I1290">
            <v>13</v>
          </cell>
          <cell r="J1290">
            <v>1</v>
          </cell>
          <cell r="K1290">
            <v>25.021428571428572</v>
          </cell>
          <cell r="L1290">
            <v>0</v>
          </cell>
          <cell r="M1290">
            <v>8700</v>
          </cell>
          <cell r="N1290">
            <v>6030</v>
          </cell>
          <cell r="O1290">
            <v>3</v>
          </cell>
          <cell r="P1290">
            <v>9</v>
          </cell>
          <cell r="Q1290">
            <v>1</v>
          </cell>
          <cell r="R1290">
            <v>5</v>
          </cell>
          <cell r="S1290">
            <v>50</v>
          </cell>
          <cell r="T1290">
            <v>22.142857142857142</v>
          </cell>
          <cell r="U1290">
            <v>335</v>
          </cell>
          <cell r="V1290">
            <v>199.28571428571428</v>
          </cell>
          <cell r="W1290">
            <v>18</v>
          </cell>
          <cell r="X1290">
            <v>163</v>
          </cell>
          <cell r="Y1290">
            <v>18</v>
          </cell>
          <cell r="Z1290">
            <v>0</v>
          </cell>
        </row>
        <row r="1291">
          <cell r="A1291">
            <v>9313114</v>
          </cell>
          <cell r="B1291" t="str">
            <v>聚能手雷</v>
          </cell>
          <cell r="C1291" t="str">
            <v>聚能手雷</v>
          </cell>
          <cell r="D1291">
            <v>3</v>
          </cell>
          <cell r="E1291">
            <v>26</v>
          </cell>
          <cell r="F1291" t="str">
            <v>第14级，共造成227.2%点伤害</v>
          </cell>
          <cell r="G1291">
            <v>1</v>
          </cell>
          <cell r="H1291">
            <v>1</v>
          </cell>
          <cell r="I1291">
            <v>14</v>
          </cell>
          <cell r="J1291">
            <v>1</v>
          </cell>
          <cell r="K1291">
            <v>25.24285714285714</v>
          </cell>
          <cell r="L1291">
            <v>0</v>
          </cell>
          <cell r="M1291">
            <v>8600</v>
          </cell>
          <cell r="N1291">
            <v>7030</v>
          </cell>
          <cell r="O1291">
            <v>3</v>
          </cell>
          <cell r="P1291">
            <v>9</v>
          </cell>
          <cell r="Q1291">
            <v>1</v>
          </cell>
          <cell r="R1291">
            <v>5</v>
          </cell>
          <cell r="S1291">
            <v>50</v>
          </cell>
          <cell r="T1291">
            <v>22.142857142857142</v>
          </cell>
          <cell r="U1291">
            <v>370</v>
          </cell>
          <cell r="V1291">
            <v>199.28571428571428</v>
          </cell>
          <cell r="W1291">
            <v>19</v>
          </cell>
          <cell r="X1291">
            <v>182</v>
          </cell>
          <cell r="Y1291">
            <v>18</v>
          </cell>
          <cell r="Z1291">
            <v>0</v>
          </cell>
        </row>
        <row r="1292">
          <cell r="A1292">
            <v>9313115</v>
          </cell>
          <cell r="B1292" t="str">
            <v>聚能手雷</v>
          </cell>
          <cell r="C1292" t="str">
            <v>聚能手雷</v>
          </cell>
          <cell r="D1292">
            <v>3</v>
          </cell>
          <cell r="E1292">
            <v>28</v>
          </cell>
          <cell r="F1292" t="str">
            <v>第15级，共造成229.2%点伤害</v>
          </cell>
          <cell r="G1292">
            <v>1</v>
          </cell>
          <cell r="H1292">
            <v>1</v>
          </cell>
          <cell r="I1292">
            <v>15</v>
          </cell>
          <cell r="J1292">
            <v>1</v>
          </cell>
          <cell r="K1292">
            <v>25.464285714285715</v>
          </cell>
          <cell r="L1292">
            <v>0</v>
          </cell>
          <cell r="M1292">
            <v>8500</v>
          </cell>
          <cell r="N1292">
            <v>8860</v>
          </cell>
          <cell r="O1292">
            <v>3</v>
          </cell>
          <cell r="P1292">
            <v>9</v>
          </cell>
          <cell r="Q1292">
            <v>1</v>
          </cell>
          <cell r="R1292">
            <v>5</v>
          </cell>
          <cell r="S1292">
            <v>50</v>
          </cell>
          <cell r="T1292">
            <v>22.142857142857142</v>
          </cell>
          <cell r="U1292">
            <v>443</v>
          </cell>
          <cell r="V1292">
            <v>199.28571428571428</v>
          </cell>
          <cell r="W1292">
            <v>20</v>
          </cell>
          <cell r="X1292">
            <v>202</v>
          </cell>
          <cell r="Y1292">
            <v>18</v>
          </cell>
          <cell r="Z1292">
            <v>0</v>
          </cell>
        </row>
        <row r="1293">
          <cell r="A1293">
            <v>9313116</v>
          </cell>
          <cell r="B1293" t="str">
            <v>聚能手雷</v>
          </cell>
          <cell r="C1293" t="str">
            <v>聚能手雷</v>
          </cell>
          <cell r="D1293">
            <v>3</v>
          </cell>
          <cell r="E1293">
            <v>29</v>
          </cell>
          <cell r="F1293" t="str">
            <v>第16级，共造成231.2%点伤害</v>
          </cell>
          <cell r="G1293">
            <v>1</v>
          </cell>
          <cell r="H1293">
            <v>1</v>
          </cell>
          <cell r="I1293">
            <v>16</v>
          </cell>
          <cell r="J1293">
            <v>1</v>
          </cell>
          <cell r="K1293">
            <v>25.685714285714283</v>
          </cell>
          <cell r="L1293">
            <v>0</v>
          </cell>
          <cell r="M1293">
            <v>8400</v>
          </cell>
          <cell r="N1293">
            <v>10604</v>
          </cell>
          <cell r="O1293">
            <v>3</v>
          </cell>
          <cell r="P1293">
            <v>9</v>
          </cell>
          <cell r="Q1293">
            <v>1</v>
          </cell>
          <cell r="R1293">
            <v>5</v>
          </cell>
          <cell r="S1293">
            <v>50</v>
          </cell>
          <cell r="T1293">
            <v>22.142857142857142</v>
          </cell>
          <cell r="U1293">
            <v>482</v>
          </cell>
          <cell r="V1293">
            <v>199.28571428571428</v>
          </cell>
          <cell r="W1293">
            <v>22</v>
          </cell>
          <cell r="X1293">
            <v>224</v>
          </cell>
          <cell r="Y1293">
            <v>18</v>
          </cell>
          <cell r="Z1293">
            <v>0</v>
          </cell>
        </row>
        <row r="1294">
          <cell r="A1294">
            <v>9313117</v>
          </cell>
          <cell r="B1294" t="str">
            <v>聚能手雷</v>
          </cell>
          <cell r="C1294" t="str">
            <v>聚能手雷</v>
          </cell>
          <cell r="D1294">
            <v>3</v>
          </cell>
          <cell r="E1294">
            <v>31</v>
          </cell>
          <cell r="F1294" t="str">
            <v>第17级，共造成233.2%点伤害</v>
          </cell>
          <cell r="G1294">
            <v>1</v>
          </cell>
          <cell r="H1294">
            <v>1</v>
          </cell>
          <cell r="I1294">
            <v>17</v>
          </cell>
          <cell r="J1294">
            <v>1</v>
          </cell>
          <cell r="K1294">
            <v>25.907142857142858</v>
          </cell>
          <cell r="L1294">
            <v>0</v>
          </cell>
          <cell r="M1294">
            <v>8300</v>
          </cell>
          <cell r="N1294">
            <v>13512</v>
          </cell>
          <cell r="O1294">
            <v>3</v>
          </cell>
          <cell r="P1294">
            <v>9</v>
          </cell>
          <cell r="Q1294">
            <v>1</v>
          </cell>
          <cell r="R1294">
            <v>5</v>
          </cell>
          <cell r="S1294">
            <v>50</v>
          </cell>
          <cell r="T1294">
            <v>22.142857142857142</v>
          </cell>
          <cell r="U1294">
            <v>563</v>
          </cell>
          <cell r="V1294">
            <v>199.28571428571428</v>
          </cell>
          <cell r="W1294">
            <v>24</v>
          </cell>
          <cell r="X1294">
            <v>248</v>
          </cell>
          <cell r="Y1294">
            <v>18</v>
          </cell>
          <cell r="Z1294">
            <v>0</v>
          </cell>
        </row>
        <row r="1295">
          <cell r="A1295">
            <v>9313118</v>
          </cell>
          <cell r="B1295" t="str">
            <v>聚能手雷</v>
          </cell>
          <cell r="C1295" t="str">
            <v>聚能手雷</v>
          </cell>
          <cell r="D1295">
            <v>3</v>
          </cell>
          <cell r="E1295">
            <v>32</v>
          </cell>
          <cell r="F1295" t="str">
            <v>第18级，共造成235.2%点伤害</v>
          </cell>
          <cell r="G1295">
            <v>1</v>
          </cell>
          <cell r="H1295">
            <v>1</v>
          </cell>
          <cell r="I1295">
            <v>18</v>
          </cell>
          <cell r="J1295">
            <v>1</v>
          </cell>
          <cell r="K1295">
            <v>26.128571428571426</v>
          </cell>
          <cell r="L1295">
            <v>0</v>
          </cell>
          <cell r="M1295">
            <v>8200</v>
          </cell>
          <cell r="N1295">
            <v>15150</v>
          </cell>
          <cell r="O1295">
            <v>3</v>
          </cell>
          <cell r="P1295">
            <v>9</v>
          </cell>
          <cell r="Q1295">
            <v>1</v>
          </cell>
          <cell r="R1295">
            <v>5</v>
          </cell>
          <cell r="S1295">
            <v>50</v>
          </cell>
          <cell r="T1295">
            <v>22.142857142857142</v>
          </cell>
          <cell r="U1295">
            <v>606</v>
          </cell>
          <cell r="V1295">
            <v>199.28571428571428</v>
          </cell>
          <cell r="W1295">
            <v>25</v>
          </cell>
          <cell r="X1295">
            <v>273</v>
          </cell>
          <cell r="Y1295">
            <v>18</v>
          </cell>
          <cell r="Z1295">
            <v>10</v>
          </cell>
        </row>
        <row r="1296">
          <cell r="A1296">
            <v>9313119</v>
          </cell>
          <cell r="B1296" t="str">
            <v>聚能手雷</v>
          </cell>
          <cell r="C1296" t="str">
            <v>聚能手雷</v>
          </cell>
          <cell r="D1296">
            <v>3</v>
          </cell>
          <cell r="E1296">
            <v>34</v>
          </cell>
          <cell r="F1296" t="str">
            <v>第19级，共造成237.2%点伤害</v>
          </cell>
          <cell r="G1296">
            <v>1</v>
          </cell>
          <cell r="H1296">
            <v>1</v>
          </cell>
          <cell r="I1296">
            <v>19</v>
          </cell>
          <cell r="J1296">
            <v>1</v>
          </cell>
          <cell r="K1296">
            <v>26.35</v>
          </cell>
          <cell r="L1296">
            <v>0</v>
          </cell>
          <cell r="M1296">
            <v>8100</v>
          </cell>
          <cell r="N1296">
            <v>18792</v>
          </cell>
          <cell r="O1296">
            <v>3</v>
          </cell>
          <cell r="P1296">
            <v>9</v>
          </cell>
          <cell r="Q1296">
            <v>1</v>
          </cell>
          <cell r="R1296">
            <v>5</v>
          </cell>
          <cell r="S1296">
            <v>50</v>
          </cell>
          <cell r="T1296">
            <v>22.142857142857142</v>
          </cell>
          <cell r="U1296">
            <v>696</v>
          </cell>
          <cell r="V1296">
            <v>199.28571428571428</v>
          </cell>
          <cell r="W1296">
            <v>27</v>
          </cell>
          <cell r="X1296">
            <v>300</v>
          </cell>
          <cell r="Y1296">
            <v>18</v>
          </cell>
          <cell r="Z1296">
            <v>11</v>
          </cell>
        </row>
        <row r="1297">
          <cell r="A1297">
            <v>9313120</v>
          </cell>
          <cell r="B1297" t="str">
            <v>聚能手雷</v>
          </cell>
          <cell r="C1297" t="str">
            <v>聚能手雷</v>
          </cell>
          <cell r="D1297">
            <v>3</v>
          </cell>
          <cell r="E1297">
            <v>35</v>
          </cell>
          <cell r="F1297" t="str">
            <v>第20级，共造成239.1%点伤害</v>
          </cell>
          <cell r="G1297">
            <v>1</v>
          </cell>
          <cell r="H1297">
            <v>1</v>
          </cell>
          <cell r="I1297">
            <v>20</v>
          </cell>
          <cell r="J1297">
            <v>1</v>
          </cell>
          <cell r="K1297">
            <v>26.571428571428569</v>
          </cell>
          <cell r="L1297">
            <v>0</v>
          </cell>
          <cell r="M1297">
            <v>8000</v>
          </cell>
          <cell r="N1297">
            <v>21547</v>
          </cell>
          <cell r="O1297">
            <v>3</v>
          </cell>
          <cell r="P1297">
            <v>9</v>
          </cell>
          <cell r="Q1297">
            <v>1</v>
          </cell>
          <cell r="R1297">
            <v>5</v>
          </cell>
          <cell r="S1297">
            <v>50</v>
          </cell>
          <cell r="T1297">
            <v>22.142857142857142</v>
          </cell>
          <cell r="U1297">
            <v>743</v>
          </cell>
          <cell r="V1297">
            <v>199.28571428571428</v>
          </cell>
          <cell r="W1297">
            <v>29</v>
          </cell>
          <cell r="X1297">
            <v>329</v>
          </cell>
          <cell r="Y1297">
            <v>18</v>
          </cell>
          <cell r="Z1297">
            <v>12</v>
          </cell>
        </row>
        <row r="1298">
          <cell r="A1298">
            <v>9313121</v>
          </cell>
          <cell r="B1298" t="str">
            <v>聚能手雷</v>
          </cell>
          <cell r="C1298" t="str">
            <v>聚能手雷</v>
          </cell>
          <cell r="D1298">
            <v>3</v>
          </cell>
          <cell r="E1298">
            <v>37</v>
          </cell>
          <cell r="F1298" t="str">
            <v>第21级，共造成241.1%点伤害</v>
          </cell>
          <cell r="G1298">
            <v>1</v>
          </cell>
          <cell r="H1298">
            <v>1</v>
          </cell>
          <cell r="I1298">
            <v>21</v>
          </cell>
          <cell r="J1298">
            <v>1</v>
          </cell>
          <cell r="K1298">
            <v>26.792857142857141</v>
          </cell>
          <cell r="L1298">
            <v>0</v>
          </cell>
          <cell r="M1298">
            <v>7900</v>
          </cell>
          <cell r="N1298">
            <v>26071</v>
          </cell>
          <cell r="O1298">
            <v>3</v>
          </cell>
          <cell r="P1298">
            <v>9</v>
          </cell>
          <cell r="Q1298">
            <v>1</v>
          </cell>
          <cell r="R1298">
            <v>5</v>
          </cell>
          <cell r="S1298">
            <v>50</v>
          </cell>
          <cell r="T1298">
            <v>22.142857142857142</v>
          </cell>
          <cell r="U1298">
            <v>841</v>
          </cell>
          <cell r="V1298">
            <v>199.28571428571428</v>
          </cell>
          <cell r="W1298">
            <v>31</v>
          </cell>
          <cell r="X1298">
            <v>360</v>
          </cell>
          <cell r="Y1298">
            <v>18</v>
          </cell>
          <cell r="Z1298">
            <v>13</v>
          </cell>
        </row>
        <row r="1299">
          <cell r="A1299">
            <v>9313122</v>
          </cell>
          <cell r="B1299" t="str">
            <v>聚能手雷</v>
          </cell>
          <cell r="C1299" t="str">
            <v>聚能手雷</v>
          </cell>
          <cell r="D1299">
            <v>3</v>
          </cell>
          <cell r="E1299">
            <v>38</v>
          </cell>
          <cell r="F1299" t="str">
            <v>第22级，共造成243.1%点伤害</v>
          </cell>
          <cell r="G1299">
            <v>1</v>
          </cell>
          <cell r="H1299">
            <v>1</v>
          </cell>
          <cell r="I1299">
            <v>22</v>
          </cell>
          <cell r="J1299">
            <v>1</v>
          </cell>
          <cell r="K1299">
            <v>27.014285714285712</v>
          </cell>
          <cell r="L1299">
            <v>0</v>
          </cell>
          <cell r="M1299">
            <v>7800</v>
          </cell>
          <cell r="N1299">
            <v>29436</v>
          </cell>
          <cell r="O1299">
            <v>3</v>
          </cell>
          <cell r="P1299">
            <v>9</v>
          </cell>
          <cell r="Q1299">
            <v>1</v>
          </cell>
          <cell r="R1299">
            <v>5</v>
          </cell>
          <cell r="S1299">
            <v>50</v>
          </cell>
          <cell r="T1299">
            <v>22.142857142857142</v>
          </cell>
          <cell r="U1299">
            <v>892</v>
          </cell>
          <cell r="V1299">
            <v>199.28571428571428</v>
          </cell>
          <cell r="W1299">
            <v>33</v>
          </cell>
          <cell r="X1299">
            <v>393</v>
          </cell>
          <cell r="Y1299">
            <v>18</v>
          </cell>
          <cell r="Z1299">
            <v>14</v>
          </cell>
        </row>
        <row r="1300">
          <cell r="A1300">
            <v>9313123</v>
          </cell>
          <cell r="B1300" t="str">
            <v>聚能手雷</v>
          </cell>
          <cell r="C1300" t="str">
            <v>聚能手雷</v>
          </cell>
          <cell r="D1300">
            <v>3</v>
          </cell>
          <cell r="E1300">
            <v>40</v>
          </cell>
          <cell r="F1300" t="str">
            <v>第23级，共造成245.1%点伤害</v>
          </cell>
          <cell r="G1300">
            <v>1</v>
          </cell>
          <cell r="H1300">
            <v>1</v>
          </cell>
          <cell r="I1300">
            <v>23</v>
          </cell>
          <cell r="J1300">
            <v>1</v>
          </cell>
          <cell r="K1300">
            <v>27.235714285714284</v>
          </cell>
          <cell r="L1300">
            <v>0</v>
          </cell>
          <cell r="M1300">
            <v>7700</v>
          </cell>
          <cell r="N1300">
            <v>35928</v>
          </cell>
          <cell r="O1300">
            <v>3</v>
          </cell>
          <cell r="P1300">
            <v>9</v>
          </cell>
          <cell r="Q1300">
            <v>1</v>
          </cell>
          <cell r="R1300">
            <v>5</v>
          </cell>
          <cell r="S1300">
            <v>50</v>
          </cell>
          <cell r="T1300">
            <v>22.142857142857142</v>
          </cell>
          <cell r="U1300">
            <v>998</v>
          </cell>
          <cell r="V1300">
            <v>199.28571428571428</v>
          </cell>
          <cell r="W1300">
            <v>36</v>
          </cell>
          <cell r="X1300">
            <v>429</v>
          </cell>
          <cell r="Y1300">
            <v>18</v>
          </cell>
          <cell r="Z1300">
            <v>15</v>
          </cell>
        </row>
        <row r="1301">
          <cell r="A1301">
            <v>9313124</v>
          </cell>
          <cell r="B1301" t="str">
            <v>聚能手雷</v>
          </cell>
          <cell r="C1301" t="str">
            <v>聚能手雷</v>
          </cell>
          <cell r="D1301">
            <v>3</v>
          </cell>
          <cell r="E1301">
            <v>41</v>
          </cell>
          <cell r="F1301" t="str">
            <v>第24级，共造成247.1%点伤害</v>
          </cell>
          <cell r="G1301">
            <v>1</v>
          </cell>
          <cell r="H1301">
            <v>1</v>
          </cell>
          <cell r="I1301">
            <v>24</v>
          </cell>
          <cell r="J1301">
            <v>1</v>
          </cell>
          <cell r="K1301">
            <v>27.457142857142856</v>
          </cell>
          <cell r="L1301">
            <v>0</v>
          </cell>
          <cell r="M1301">
            <v>7600</v>
          </cell>
          <cell r="N1301">
            <v>40014</v>
          </cell>
          <cell r="O1301">
            <v>3</v>
          </cell>
          <cell r="P1301">
            <v>9</v>
          </cell>
          <cell r="Q1301">
            <v>1</v>
          </cell>
          <cell r="R1301">
            <v>5</v>
          </cell>
          <cell r="S1301">
            <v>50</v>
          </cell>
          <cell r="T1301">
            <v>22.142857142857142</v>
          </cell>
          <cell r="U1301">
            <v>1053</v>
          </cell>
          <cell r="V1301">
            <v>199.28571428571428</v>
          </cell>
          <cell r="W1301">
            <v>38</v>
          </cell>
          <cell r="X1301">
            <v>467</v>
          </cell>
          <cell r="Y1301">
            <v>18</v>
          </cell>
          <cell r="Z1301">
            <v>16</v>
          </cell>
        </row>
        <row r="1302">
          <cell r="A1302">
            <v>9313125</v>
          </cell>
          <cell r="B1302" t="str">
            <v>聚能手雷</v>
          </cell>
          <cell r="C1302" t="str">
            <v>聚能手雷</v>
          </cell>
          <cell r="D1302">
            <v>3</v>
          </cell>
          <cell r="E1302">
            <v>43</v>
          </cell>
          <cell r="F1302" t="str">
            <v>第25级，共造成249.1%点伤害</v>
          </cell>
          <cell r="G1302">
            <v>1</v>
          </cell>
          <cell r="H1302">
            <v>1</v>
          </cell>
          <cell r="I1302">
            <v>25</v>
          </cell>
          <cell r="J1302">
            <v>1</v>
          </cell>
          <cell r="K1302">
            <v>27.678571428571427</v>
          </cell>
          <cell r="L1302">
            <v>0</v>
          </cell>
          <cell r="M1302">
            <v>7500</v>
          </cell>
          <cell r="N1302">
            <v>47847</v>
          </cell>
          <cell r="O1302">
            <v>3</v>
          </cell>
          <cell r="P1302">
            <v>9</v>
          </cell>
          <cell r="Q1302">
            <v>1</v>
          </cell>
          <cell r="R1302">
            <v>5</v>
          </cell>
          <cell r="S1302">
            <v>50</v>
          </cell>
          <cell r="T1302">
            <v>22.142857142857142</v>
          </cell>
          <cell r="U1302">
            <v>1167</v>
          </cell>
          <cell r="V1302">
            <v>199.28571428571428</v>
          </cell>
          <cell r="W1302">
            <v>41</v>
          </cell>
          <cell r="X1302">
            <v>508</v>
          </cell>
          <cell r="Y1302">
            <v>18</v>
          </cell>
          <cell r="Z1302">
            <v>17</v>
          </cell>
        </row>
        <row r="1303">
          <cell r="A1303">
            <v>9313126</v>
          </cell>
          <cell r="B1303" t="str">
            <v>聚能手雷</v>
          </cell>
          <cell r="C1303" t="str">
            <v>聚能手雷</v>
          </cell>
          <cell r="D1303">
            <v>3</v>
          </cell>
          <cell r="E1303">
            <v>44</v>
          </cell>
          <cell r="F1303" t="str">
            <v>第26级，共造成251.1%点伤害</v>
          </cell>
          <cell r="G1303">
            <v>1</v>
          </cell>
          <cell r="H1303">
            <v>1</v>
          </cell>
          <cell r="I1303">
            <v>26</v>
          </cell>
          <cell r="J1303">
            <v>1</v>
          </cell>
          <cell r="K1303">
            <v>27.9</v>
          </cell>
          <cell r="L1303">
            <v>0</v>
          </cell>
          <cell r="M1303">
            <v>7400</v>
          </cell>
          <cell r="N1303">
            <v>52718</v>
          </cell>
          <cell r="O1303">
            <v>3</v>
          </cell>
          <cell r="P1303">
            <v>9</v>
          </cell>
          <cell r="Q1303">
            <v>1</v>
          </cell>
          <cell r="R1303">
            <v>5</v>
          </cell>
          <cell r="S1303">
            <v>50</v>
          </cell>
          <cell r="T1303">
            <v>22.142857142857142</v>
          </cell>
          <cell r="U1303">
            <v>1226</v>
          </cell>
          <cell r="V1303">
            <v>199.28571428571428</v>
          </cell>
          <cell r="W1303">
            <v>43</v>
          </cell>
          <cell r="X1303">
            <v>551</v>
          </cell>
          <cell r="Y1303">
            <v>18</v>
          </cell>
          <cell r="Z1303">
            <v>18</v>
          </cell>
        </row>
        <row r="1304">
          <cell r="A1304">
            <v>9313127</v>
          </cell>
          <cell r="B1304" t="str">
            <v>聚能手雷</v>
          </cell>
          <cell r="C1304" t="str">
            <v>聚能手雷</v>
          </cell>
          <cell r="D1304">
            <v>3</v>
          </cell>
          <cell r="E1304">
            <v>46</v>
          </cell>
          <cell r="F1304" t="str">
            <v>第27级，共造成253.1%点伤害</v>
          </cell>
          <cell r="G1304">
            <v>1</v>
          </cell>
          <cell r="H1304">
            <v>1</v>
          </cell>
          <cell r="I1304">
            <v>27</v>
          </cell>
          <cell r="J1304">
            <v>1</v>
          </cell>
          <cell r="K1304">
            <v>28.12142857142857</v>
          </cell>
          <cell r="L1304">
            <v>0</v>
          </cell>
          <cell r="M1304">
            <v>7300</v>
          </cell>
          <cell r="N1304">
            <v>62054</v>
          </cell>
          <cell r="O1304">
            <v>3</v>
          </cell>
          <cell r="P1304">
            <v>9</v>
          </cell>
          <cell r="Q1304">
            <v>1</v>
          </cell>
          <cell r="R1304">
            <v>5</v>
          </cell>
          <cell r="S1304">
            <v>50</v>
          </cell>
          <cell r="T1304">
            <v>22.142857142857142</v>
          </cell>
          <cell r="U1304">
            <v>1349</v>
          </cell>
          <cell r="V1304">
            <v>199.28571428571428</v>
          </cell>
          <cell r="W1304">
            <v>46</v>
          </cell>
          <cell r="X1304">
            <v>597</v>
          </cell>
          <cell r="Y1304">
            <v>18</v>
          </cell>
          <cell r="Z1304">
            <v>19</v>
          </cell>
        </row>
        <row r="1305">
          <cell r="A1305">
            <v>9313128</v>
          </cell>
          <cell r="B1305" t="str">
            <v>聚能手雷</v>
          </cell>
          <cell r="C1305" t="str">
            <v>聚能手雷</v>
          </cell>
          <cell r="D1305">
            <v>3</v>
          </cell>
          <cell r="E1305">
            <v>47</v>
          </cell>
          <cell r="F1305" t="str">
            <v>第28级，共造成255.1%点伤害</v>
          </cell>
          <cell r="G1305">
            <v>1</v>
          </cell>
          <cell r="H1305">
            <v>1</v>
          </cell>
          <cell r="I1305">
            <v>28</v>
          </cell>
          <cell r="J1305">
            <v>1</v>
          </cell>
          <cell r="K1305">
            <v>28.342857142857142</v>
          </cell>
          <cell r="L1305">
            <v>0</v>
          </cell>
          <cell r="M1305">
            <v>7200</v>
          </cell>
          <cell r="N1305">
            <v>70600</v>
          </cell>
          <cell r="O1305">
            <v>3</v>
          </cell>
          <cell r="P1305">
            <v>9</v>
          </cell>
          <cell r="Q1305">
            <v>1</v>
          </cell>
          <cell r="R1305">
            <v>5</v>
          </cell>
          <cell r="S1305">
            <v>50</v>
          </cell>
          <cell r="T1305">
            <v>22.142857142857142</v>
          </cell>
          <cell r="U1305">
            <v>1412</v>
          </cell>
          <cell r="V1305">
            <v>199.28571428571428</v>
          </cell>
          <cell r="W1305">
            <v>50</v>
          </cell>
          <cell r="X1305">
            <v>647</v>
          </cell>
          <cell r="Y1305">
            <v>18</v>
          </cell>
          <cell r="Z1305">
            <v>20</v>
          </cell>
        </row>
        <row r="1306">
          <cell r="A1306">
            <v>9313129</v>
          </cell>
          <cell r="B1306" t="str">
            <v>聚能手雷</v>
          </cell>
          <cell r="C1306" t="str">
            <v>聚能手雷</v>
          </cell>
          <cell r="D1306">
            <v>3</v>
          </cell>
          <cell r="E1306">
            <v>49</v>
          </cell>
          <cell r="F1306" t="str">
            <v>第29级，共造成257.1%点伤害</v>
          </cell>
          <cell r="G1306">
            <v>1</v>
          </cell>
          <cell r="H1306">
            <v>1</v>
          </cell>
          <cell r="I1306">
            <v>29</v>
          </cell>
          <cell r="J1306">
            <v>1</v>
          </cell>
          <cell r="K1306">
            <v>28.564285714285713</v>
          </cell>
          <cell r="L1306">
            <v>0</v>
          </cell>
          <cell r="M1306">
            <v>7100</v>
          </cell>
          <cell r="N1306">
            <v>81779</v>
          </cell>
          <cell r="O1306">
            <v>3</v>
          </cell>
          <cell r="P1306">
            <v>9</v>
          </cell>
          <cell r="Q1306">
            <v>1</v>
          </cell>
          <cell r="R1306">
            <v>5</v>
          </cell>
          <cell r="S1306">
            <v>50</v>
          </cell>
          <cell r="T1306">
            <v>22.142857142857142</v>
          </cell>
          <cell r="U1306">
            <v>1543</v>
          </cell>
          <cell r="V1306">
            <v>199.28571428571428</v>
          </cell>
          <cell r="W1306">
            <v>53</v>
          </cell>
          <cell r="X1306">
            <v>700</v>
          </cell>
          <cell r="Y1306">
            <v>18</v>
          </cell>
          <cell r="Z1306">
            <v>22</v>
          </cell>
        </row>
        <row r="1307">
          <cell r="A1307">
            <v>9313130</v>
          </cell>
          <cell r="B1307" t="str">
            <v>聚能手雷</v>
          </cell>
          <cell r="C1307" t="str">
            <v>聚能手雷</v>
          </cell>
          <cell r="D1307">
            <v>3</v>
          </cell>
          <cell r="E1307">
            <v>50</v>
          </cell>
          <cell r="F1307" t="str">
            <v>第30级，共造成259.1%点伤害</v>
          </cell>
          <cell r="G1307">
            <v>1</v>
          </cell>
          <cell r="H1307">
            <v>1</v>
          </cell>
          <cell r="I1307">
            <v>30</v>
          </cell>
          <cell r="J1307">
            <v>1</v>
          </cell>
          <cell r="K1307">
            <v>28.785714285714285</v>
          </cell>
          <cell r="L1307">
            <v>0</v>
          </cell>
          <cell r="M1307">
            <v>7000</v>
          </cell>
          <cell r="N1307">
            <v>91770</v>
          </cell>
          <cell r="O1307">
            <v>3</v>
          </cell>
          <cell r="P1307">
            <v>9</v>
          </cell>
          <cell r="Q1307">
            <v>1</v>
          </cell>
          <cell r="R1307">
            <v>5</v>
          </cell>
          <cell r="S1307">
            <v>50</v>
          </cell>
          <cell r="T1307">
            <v>22.142857142857142</v>
          </cell>
          <cell r="U1307">
            <v>1610</v>
          </cell>
          <cell r="V1307">
            <v>199.28571428571428</v>
          </cell>
          <cell r="W1307">
            <v>57</v>
          </cell>
          <cell r="X1307">
            <v>757</v>
          </cell>
          <cell r="Y1307">
            <v>18</v>
          </cell>
          <cell r="Z1307">
            <v>23</v>
          </cell>
        </row>
        <row r="1308">
          <cell r="A1308">
            <v>9313131</v>
          </cell>
          <cell r="B1308" t="str">
            <v>聚能手雷</v>
          </cell>
          <cell r="C1308" t="str">
            <v>聚能手雷</v>
          </cell>
          <cell r="D1308">
            <v>3</v>
          </cell>
          <cell r="E1308">
            <v>52</v>
          </cell>
          <cell r="F1308" t="str">
            <v>第31级，共造成261.1%点伤害</v>
          </cell>
          <cell r="G1308">
            <v>1</v>
          </cell>
          <cell r="H1308">
            <v>1</v>
          </cell>
          <cell r="I1308">
            <v>31</v>
          </cell>
          <cell r="J1308">
            <v>1</v>
          </cell>
          <cell r="K1308">
            <v>29.007142857142856</v>
          </cell>
          <cell r="L1308">
            <v>0</v>
          </cell>
          <cell r="M1308">
            <v>6900</v>
          </cell>
          <cell r="N1308">
            <v>106689</v>
          </cell>
          <cell r="O1308">
            <v>3</v>
          </cell>
          <cell r="P1308">
            <v>9</v>
          </cell>
          <cell r="Q1308">
            <v>1</v>
          </cell>
          <cell r="R1308">
            <v>5</v>
          </cell>
          <cell r="S1308">
            <v>50</v>
          </cell>
          <cell r="T1308">
            <v>22.142857142857142</v>
          </cell>
          <cell r="U1308">
            <v>1749</v>
          </cell>
          <cell r="V1308">
            <v>199.28571428571428</v>
          </cell>
          <cell r="W1308">
            <v>61</v>
          </cell>
          <cell r="X1308">
            <v>818</v>
          </cell>
          <cell r="Y1308">
            <v>18</v>
          </cell>
          <cell r="Z1308">
            <v>25</v>
          </cell>
        </row>
        <row r="1309">
          <cell r="A1309">
            <v>9313132</v>
          </cell>
          <cell r="B1309" t="str">
            <v>聚能手雷</v>
          </cell>
          <cell r="C1309" t="str">
            <v>聚能手雷</v>
          </cell>
          <cell r="D1309">
            <v>3</v>
          </cell>
          <cell r="E1309">
            <v>53</v>
          </cell>
          <cell r="F1309" t="str">
            <v>第32级，共造成263.1%点伤害</v>
          </cell>
          <cell r="G1309">
            <v>1</v>
          </cell>
          <cell r="H1309">
            <v>1</v>
          </cell>
          <cell r="I1309">
            <v>32</v>
          </cell>
          <cell r="J1309">
            <v>1</v>
          </cell>
          <cell r="K1309">
            <v>29.228571428571428</v>
          </cell>
          <cell r="L1309">
            <v>0</v>
          </cell>
          <cell r="M1309">
            <v>6800</v>
          </cell>
          <cell r="N1309">
            <v>118300</v>
          </cell>
          <cell r="O1309">
            <v>3</v>
          </cell>
          <cell r="P1309">
            <v>9</v>
          </cell>
          <cell r="Q1309">
            <v>1</v>
          </cell>
          <cell r="R1309">
            <v>5</v>
          </cell>
          <cell r="S1309">
            <v>50</v>
          </cell>
          <cell r="T1309">
            <v>22.142857142857142</v>
          </cell>
          <cell r="U1309">
            <v>1820</v>
          </cell>
          <cell r="V1309">
            <v>199.28571428571428</v>
          </cell>
          <cell r="W1309">
            <v>65</v>
          </cell>
          <cell r="X1309">
            <v>883</v>
          </cell>
          <cell r="Y1309">
            <v>18</v>
          </cell>
          <cell r="Z1309">
            <v>26</v>
          </cell>
        </row>
        <row r="1310">
          <cell r="A1310">
            <v>9313133</v>
          </cell>
          <cell r="B1310" t="str">
            <v>聚能手雷</v>
          </cell>
          <cell r="C1310" t="str">
            <v>聚能手雷</v>
          </cell>
          <cell r="D1310">
            <v>3</v>
          </cell>
          <cell r="E1310">
            <v>55</v>
          </cell>
          <cell r="F1310" t="str">
            <v>第33级，共造成265.1%点伤害</v>
          </cell>
          <cell r="G1310">
            <v>1</v>
          </cell>
          <cell r="H1310">
            <v>1</v>
          </cell>
          <cell r="I1310">
            <v>33</v>
          </cell>
          <cell r="J1310">
            <v>1</v>
          </cell>
          <cell r="K1310">
            <v>29.45</v>
          </cell>
          <cell r="L1310">
            <v>0</v>
          </cell>
          <cell r="M1310">
            <v>6700</v>
          </cell>
          <cell r="N1310">
            <v>137690</v>
          </cell>
          <cell r="O1310">
            <v>3</v>
          </cell>
          <cell r="P1310">
            <v>9</v>
          </cell>
          <cell r="Q1310">
            <v>1</v>
          </cell>
          <cell r="R1310">
            <v>5</v>
          </cell>
          <cell r="S1310">
            <v>50</v>
          </cell>
          <cell r="T1310">
            <v>22.142857142857142</v>
          </cell>
          <cell r="U1310">
            <v>1967</v>
          </cell>
          <cell r="V1310">
            <v>199.28571428571428</v>
          </cell>
          <cell r="W1310">
            <v>70</v>
          </cell>
          <cell r="X1310">
            <v>953</v>
          </cell>
          <cell r="Y1310">
            <v>18</v>
          </cell>
          <cell r="Z1310">
            <v>28</v>
          </cell>
        </row>
        <row r="1311">
          <cell r="A1311">
            <v>9313134</v>
          </cell>
          <cell r="B1311" t="str">
            <v>聚能手雷</v>
          </cell>
          <cell r="C1311" t="str">
            <v>聚能手雷</v>
          </cell>
          <cell r="D1311">
            <v>3</v>
          </cell>
          <cell r="E1311">
            <v>56</v>
          </cell>
          <cell r="F1311" t="str">
            <v>第34级，共造成267%点伤害</v>
          </cell>
          <cell r="G1311">
            <v>1</v>
          </cell>
          <cell r="H1311">
            <v>1</v>
          </cell>
          <cell r="I1311">
            <v>34</v>
          </cell>
          <cell r="J1311">
            <v>1</v>
          </cell>
          <cell r="K1311">
            <v>29.671428571428571</v>
          </cell>
          <cell r="L1311">
            <v>0</v>
          </cell>
          <cell r="M1311">
            <v>6600</v>
          </cell>
          <cell r="N1311">
            <v>153150</v>
          </cell>
          <cell r="O1311">
            <v>3</v>
          </cell>
          <cell r="P1311">
            <v>9</v>
          </cell>
          <cell r="Q1311">
            <v>1</v>
          </cell>
          <cell r="R1311">
            <v>5</v>
          </cell>
          <cell r="S1311">
            <v>50</v>
          </cell>
          <cell r="T1311">
            <v>22.142857142857142</v>
          </cell>
          <cell r="U1311">
            <v>2042</v>
          </cell>
          <cell r="V1311">
            <v>199.28571428571428</v>
          </cell>
          <cell r="W1311">
            <v>75</v>
          </cell>
          <cell r="X1311">
            <v>1028</v>
          </cell>
          <cell r="Y1311">
            <v>18</v>
          </cell>
          <cell r="Z1311">
            <v>30</v>
          </cell>
        </row>
        <row r="1312">
          <cell r="A1312">
            <v>9313135</v>
          </cell>
          <cell r="B1312" t="str">
            <v>聚能手雷</v>
          </cell>
          <cell r="C1312" t="str">
            <v>聚能手雷</v>
          </cell>
          <cell r="D1312">
            <v>3</v>
          </cell>
          <cell r="E1312">
            <v>58</v>
          </cell>
          <cell r="F1312" t="str">
            <v>第35级，共造成269%点伤害</v>
          </cell>
          <cell r="G1312">
            <v>1</v>
          </cell>
          <cell r="H1312">
            <v>1</v>
          </cell>
          <cell r="I1312">
            <v>35</v>
          </cell>
          <cell r="J1312">
            <v>1</v>
          </cell>
          <cell r="K1312">
            <v>29.892857142857142</v>
          </cell>
          <cell r="L1312">
            <v>0</v>
          </cell>
          <cell r="M1312">
            <v>6500</v>
          </cell>
          <cell r="N1312">
            <v>175840</v>
          </cell>
          <cell r="O1312">
            <v>3</v>
          </cell>
          <cell r="P1312">
            <v>9</v>
          </cell>
          <cell r="Q1312">
            <v>1</v>
          </cell>
          <cell r="R1312">
            <v>5</v>
          </cell>
          <cell r="S1312">
            <v>50</v>
          </cell>
          <cell r="T1312">
            <v>22.142857142857142</v>
          </cell>
          <cell r="U1312">
            <v>2198</v>
          </cell>
          <cell r="V1312">
            <v>199.28571428571428</v>
          </cell>
          <cell r="W1312">
            <v>80</v>
          </cell>
          <cell r="X1312">
            <v>1108</v>
          </cell>
          <cell r="Y1312">
            <v>18</v>
          </cell>
          <cell r="Z1312">
            <v>32</v>
          </cell>
        </row>
        <row r="1313">
          <cell r="A1313">
            <v>9313136</v>
          </cell>
          <cell r="B1313" t="str">
            <v>聚能手雷</v>
          </cell>
          <cell r="C1313" t="str">
            <v>聚能手雷</v>
          </cell>
          <cell r="D1313">
            <v>3</v>
          </cell>
          <cell r="E1313">
            <v>59</v>
          </cell>
          <cell r="F1313" t="str">
            <v>第36级，共造成271%点伤害</v>
          </cell>
          <cell r="G1313">
            <v>1</v>
          </cell>
          <cell r="H1313">
            <v>1</v>
          </cell>
          <cell r="I1313">
            <v>36</v>
          </cell>
          <cell r="J1313">
            <v>1</v>
          </cell>
          <cell r="K1313">
            <v>30.114285714285714</v>
          </cell>
          <cell r="L1313">
            <v>0</v>
          </cell>
          <cell r="M1313">
            <v>6400</v>
          </cell>
          <cell r="N1313">
            <v>193545</v>
          </cell>
          <cell r="O1313">
            <v>3</v>
          </cell>
          <cell r="P1313">
            <v>9</v>
          </cell>
          <cell r="Q1313">
            <v>1</v>
          </cell>
          <cell r="R1313">
            <v>5</v>
          </cell>
          <cell r="S1313">
            <v>50</v>
          </cell>
          <cell r="T1313">
            <v>22.142857142857142</v>
          </cell>
          <cell r="U1313">
            <v>2277</v>
          </cell>
          <cell r="V1313">
            <v>199.28571428571428</v>
          </cell>
          <cell r="W1313">
            <v>85</v>
          </cell>
          <cell r="X1313">
            <v>1193</v>
          </cell>
          <cell r="Y1313">
            <v>18</v>
          </cell>
          <cell r="Z1313">
            <v>34</v>
          </cell>
        </row>
        <row r="1314">
          <cell r="A1314">
            <v>9313137</v>
          </cell>
          <cell r="B1314" t="str">
            <v>聚能手雷</v>
          </cell>
          <cell r="C1314" t="str">
            <v>聚能手雷</v>
          </cell>
          <cell r="D1314">
            <v>3</v>
          </cell>
          <cell r="E1314">
            <v>61</v>
          </cell>
          <cell r="F1314" t="str">
            <v>第37级，共造成273%点伤害</v>
          </cell>
          <cell r="G1314">
            <v>1</v>
          </cell>
          <cell r="H1314">
            <v>1</v>
          </cell>
          <cell r="I1314">
            <v>37</v>
          </cell>
          <cell r="J1314">
            <v>1</v>
          </cell>
          <cell r="K1314">
            <v>30.335714285714285</v>
          </cell>
          <cell r="L1314">
            <v>0</v>
          </cell>
          <cell r="M1314">
            <v>6300</v>
          </cell>
          <cell r="N1314">
            <v>224480</v>
          </cell>
          <cell r="O1314">
            <v>3</v>
          </cell>
          <cell r="P1314">
            <v>9</v>
          </cell>
          <cell r="Q1314">
            <v>1</v>
          </cell>
          <cell r="R1314">
            <v>5</v>
          </cell>
          <cell r="S1314">
            <v>50</v>
          </cell>
          <cell r="T1314">
            <v>22.142857142857142</v>
          </cell>
          <cell r="U1314">
            <v>2440</v>
          </cell>
          <cell r="V1314">
            <v>199.28571428571428</v>
          </cell>
          <cell r="W1314">
            <v>92</v>
          </cell>
          <cell r="X1314">
            <v>1285</v>
          </cell>
          <cell r="Y1314">
            <v>18</v>
          </cell>
          <cell r="Z1314">
            <v>37</v>
          </cell>
        </row>
        <row r="1315">
          <cell r="A1315">
            <v>9313138</v>
          </cell>
          <cell r="B1315" t="str">
            <v>聚能手雷</v>
          </cell>
          <cell r="C1315" t="str">
            <v>聚能手雷</v>
          </cell>
          <cell r="D1315">
            <v>3</v>
          </cell>
          <cell r="E1315">
            <v>62</v>
          </cell>
          <cell r="F1315" t="str">
            <v>第38级，共造成275%点伤害</v>
          </cell>
          <cell r="G1315">
            <v>1</v>
          </cell>
          <cell r="H1315">
            <v>1</v>
          </cell>
          <cell r="I1315">
            <v>38</v>
          </cell>
          <cell r="J1315">
            <v>1</v>
          </cell>
          <cell r="K1315">
            <v>30.557142857142857</v>
          </cell>
          <cell r="L1315">
            <v>0</v>
          </cell>
          <cell r="M1315">
            <v>6200</v>
          </cell>
          <cell r="N1315">
            <v>247352</v>
          </cell>
          <cell r="O1315">
            <v>3</v>
          </cell>
          <cell r="P1315">
            <v>9</v>
          </cell>
          <cell r="Q1315">
            <v>1</v>
          </cell>
          <cell r="R1315">
            <v>5</v>
          </cell>
          <cell r="S1315">
            <v>50</v>
          </cell>
          <cell r="T1315">
            <v>22.142857142857142</v>
          </cell>
          <cell r="U1315">
            <v>2524</v>
          </cell>
          <cell r="V1315">
            <v>199.28571428571428</v>
          </cell>
          <cell r="W1315">
            <v>98</v>
          </cell>
          <cell r="X1315">
            <v>1383</v>
          </cell>
          <cell r="Y1315">
            <v>18</v>
          </cell>
          <cell r="Z1315">
            <v>40</v>
          </cell>
        </row>
        <row r="1316">
          <cell r="A1316">
            <v>9313139</v>
          </cell>
          <cell r="B1316" t="str">
            <v>聚能手雷</v>
          </cell>
          <cell r="C1316" t="str">
            <v>聚能手雷</v>
          </cell>
          <cell r="D1316">
            <v>3</v>
          </cell>
          <cell r="E1316">
            <v>64</v>
          </cell>
          <cell r="F1316" t="str">
            <v>第39级，共造成277%点伤害</v>
          </cell>
          <cell r="G1316">
            <v>1</v>
          </cell>
          <cell r="H1316">
            <v>1</v>
          </cell>
          <cell r="I1316">
            <v>39</v>
          </cell>
          <cell r="J1316">
            <v>1</v>
          </cell>
          <cell r="K1316">
            <v>30.778571428571428</v>
          </cell>
          <cell r="L1316">
            <v>0</v>
          </cell>
          <cell r="M1316">
            <v>6100</v>
          </cell>
          <cell r="N1316">
            <v>282975</v>
          </cell>
          <cell r="O1316">
            <v>3</v>
          </cell>
          <cell r="P1316">
            <v>9</v>
          </cell>
          <cell r="Q1316">
            <v>1</v>
          </cell>
          <cell r="R1316">
            <v>5</v>
          </cell>
          <cell r="S1316">
            <v>50</v>
          </cell>
          <cell r="T1316">
            <v>22.142857142857142</v>
          </cell>
          <cell r="U1316">
            <v>2695</v>
          </cell>
          <cell r="V1316">
            <v>199.28571428571428</v>
          </cell>
          <cell r="W1316">
            <v>105</v>
          </cell>
          <cell r="X1316">
            <v>1488</v>
          </cell>
          <cell r="Y1316">
            <v>18</v>
          </cell>
          <cell r="Z1316">
            <v>42</v>
          </cell>
        </row>
        <row r="1317">
          <cell r="A1317">
            <v>9313140</v>
          </cell>
          <cell r="B1317" t="str">
            <v>聚能手雷</v>
          </cell>
          <cell r="C1317" t="str">
            <v>聚能手雷</v>
          </cell>
          <cell r="D1317">
            <v>3</v>
          </cell>
          <cell r="E1317">
            <v>65</v>
          </cell>
          <cell r="F1317" t="str">
            <v>第40级，共造成279%点伤害</v>
          </cell>
          <cell r="G1317">
            <v>1</v>
          </cell>
          <cell r="H1317">
            <v>1</v>
          </cell>
          <cell r="I1317">
            <v>40</v>
          </cell>
          <cell r="J1317">
            <v>1</v>
          </cell>
          <cell r="K1317">
            <v>31</v>
          </cell>
          <cell r="L1317">
            <v>0</v>
          </cell>
          <cell r="M1317">
            <v>6000</v>
          </cell>
          <cell r="N1317">
            <v>311696</v>
          </cell>
          <cell r="O1317">
            <v>3</v>
          </cell>
          <cell r="P1317">
            <v>9</v>
          </cell>
          <cell r="Q1317">
            <v>1</v>
          </cell>
          <cell r="R1317">
            <v>5</v>
          </cell>
          <cell r="S1317">
            <v>50</v>
          </cell>
          <cell r="T1317">
            <v>22.142857142857142</v>
          </cell>
          <cell r="U1317">
            <v>2783</v>
          </cell>
          <cell r="V1317">
            <v>199.28571428571428</v>
          </cell>
          <cell r="W1317">
            <v>112</v>
          </cell>
          <cell r="X1317">
            <v>1600</v>
          </cell>
          <cell r="Y1317">
            <v>18</v>
          </cell>
          <cell r="Z1317">
            <v>45</v>
          </cell>
        </row>
        <row r="1318">
          <cell r="A1318">
            <v>9313141</v>
          </cell>
          <cell r="B1318" t="str">
            <v>聚能手雷</v>
          </cell>
          <cell r="C1318" t="str">
            <v>聚能手雷</v>
          </cell>
          <cell r="D1318">
            <v>3</v>
          </cell>
          <cell r="E1318">
            <v>67</v>
          </cell>
          <cell r="F1318" t="str">
            <v>第41级，共造成281%点伤害</v>
          </cell>
          <cell r="G1318">
            <v>1</v>
          </cell>
          <cell r="H1318">
            <v>1</v>
          </cell>
          <cell r="I1318">
            <v>41</v>
          </cell>
          <cell r="J1318">
            <v>1</v>
          </cell>
          <cell r="K1318">
            <v>31.221428571428568</v>
          </cell>
          <cell r="L1318">
            <v>0</v>
          </cell>
          <cell r="M1318">
            <v>5900</v>
          </cell>
          <cell r="N1318">
            <v>355560</v>
          </cell>
          <cell r="O1318">
            <v>3</v>
          </cell>
          <cell r="P1318">
            <v>9</v>
          </cell>
          <cell r="Q1318">
            <v>1</v>
          </cell>
          <cell r="R1318">
            <v>5</v>
          </cell>
          <cell r="S1318">
            <v>50</v>
          </cell>
          <cell r="T1318">
            <v>22.142857142857142</v>
          </cell>
          <cell r="U1318">
            <v>2963</v>
          </cell>
          <cell r="V1318">
            <v>199.28571428571428</v>
          </cell>
          <cell r="W1318">
            <v>120</v>
          </cell>
          <cell r="X1318">
            <v>1720</v>
          </cell>
          <cell r="Y1318">
            <v>18</v>
          </cell>
          <cell r="Z1318">
            <v>48</v>
          </cell>
        </row>
        <row r="1319">
          <cell r="A1319">
            <v>9313142</v>
          </cell>
          <cell r="B1319" t="str">
            <v>聚能手雷</v>
          </cell>
          <cell r="C1319" t="str">
            <v>聚能手雷</v>
          </cell>
          <cell r="D1319">
            <v>3</v>
          </cell>
          <cell r="E1319">
            <v>68</v>
          </cell>
          <cell r="F1319" t="str">
            <v>第42级，共造成283%点伤害</v>
          </cell>
          <cell r="G1319">
            <v>1</v>
          </cell>
          <cell r="H1319">
            <v>1</v>
          </cell>
          <cell r="I1319">
            <v>42</v>
          </cell>
          <cell r="J1319">
            <v>1</v>
          </cell>
          <cell r="K1319">
            <v>31.442857142857143</v>
          </cell>
          <cell r="L1319">
            <v>0</v>
          </cell>
          <cell r="M1319">
            <v>5800</v>
          </cell>
          <cell r="N1319">
            <v>390912</v>
          </cell>
          <cell r="O1319">
            <v>3</v>
          </cell>
          <cell r="P1319">
            <v>9</v>
          </cell>
          <cell r="Q1319">
            <v>1</v>
          </cell>
          <cell r="R1319">
            <v>5</v>
          </cell>
          <cell r="S1319">
            <v>50</v>
          </cell>
          <cell r="T1319">
            <v>22.142857142857142</v>
          </cell>
          <cell r="U1319">
            <v>3054</v>
          </cell>
          <cell r="V1319">
            <v>199.28571428571428</v>
          </cell>
          <cell r="W1319">
            <v>128</v>
          </cell>
          <cell r="X1319">
            <v>1848</v>
          </cell>
          <cell r="Y1319">
            <v>18</v>
          </cell>
          <cell r="Z1319">
            <v>52</v>
          </cell>
        </row>
        <row r="1320">
          <cell r="A1320">
            <v>9313143</v>
          </cell>
          <cell r="B1320" t="str">
            <v>聚能手雷</v>
          </cell>
          <cell r="C1320" t="str">
            <v>聚能手雷</v>
          </cell>
          <cell r="D1320">
            <v>3</v>
          </cell>
          <cell r="E1320">
            <v>70</v>
          </cell>
          <cell r="F1320" t="str">
            <v>第43级，共造成285%点伤害</v>
          </cell>
          <cell r="G1320">
            <v>1</v>
          </cell>
          <cell r="H1320">
            <v>1</v>
          </cell>
          <cell r="I1320">
            <v>43</v>
          </cell>
          <cell r="J1320">
            <v>1</v>
          </cell>
          <cell r="K1320">
            <v>31.664285714285711</v>
          </cell>
          <cell r="L1320">
            <v>0</v>
          </cell>
          <cell r="M1320">
            <v>5700</v>
          </cell>
          <cell r="N1320">
            <v>444154</v>
          </cell>
          <cell r="O1320">
            <v>3</v>
          </cell>
          <cell r="P1320">
            <v>9</v>
          </cell>
          <cell r="Q1320">
            <v>1</v>
          </cell>
          <cell r="R1320">
            <v>5</v>
          </cell>
          <cell r="S1320">
            <v>50</v>
          </cell>
          <cell r="T1320">
            <v>22.142857142857142</v>
          </cell>
          <cell r="U1320">
            <v>3242</v>
          </cell>
          <cell r="V1320">
            <v>199.28571428571428</v>
          </cell>
          <cell r="W1320">
            <v>137</v>
          </cell>
          <cell r="X1320">
            <v>1985</v>
          </cell>
          <cell r="Y1320">
            <v>18</v>
          </cell>
          <cell r="Z1320">
            <v>55</v>
          </cell>
        </row>
        <row r="1321">
          <cell r="A1321">
            <v>9313144</v>
          </cell>
          <cell r="B1321" t="str">
            <v>聚能手雷</v>
          </cell>
          <cell r="C1321" t="str">
            <v>聚能手雷</v>
          </cell>
          <cell r="D1321">
            <v>3</v>
          </cell>
          <cell r="E1321">
            <v>71</v>
          </cell>
          <cell r="F1321" t="str">
            <v>第44级，共造成287%点伤害</v>
          </cell>
          <cell r="G1321">
            <v>1</v>
          </cell>
          <cell r="H1321">
            <v>1</v>
          </cell>
          <cell r="I1321">
            <v>44</v>
          </cell>
          <cell r="J1321">
            <v>1</v>
          </cell>
          <cell r="K1321">
            <v>31.885714285714286</v>
          </cell>
          <cell r="L1321">
            <v>0</v>
          </cell>
          <cell r="M1321">
            <v>5600</v>
          </cell>
          <cell r="N1321">
            <v>490686</v>
          </cell>
          <cell r="O1321">
            <v>3</v>
          </cell>
          <cell r="P1321">
            <v>9</v>
          </cell>
          <cell r="Q1321">
            <v>1</v>
          </cell>
          <cell r="R1321">
            <v>5</v>
          </cell>
          <cell r="S1321">
            <v>50</v>
          </cell>
          <cell r="T1321">
            <v>22.142857142857142</v>
          </cell>
          <cell r="U1321">
            <v>3338</v>
          </cell>
          <cell r="V1321">
            <v>199.28571428571428</v>
          </cell>
          <cell r="W1321">
            <v>147</v>
          </cell>
          <cell r="X1321">
            <v>2132</v>
          </cell>
          <cell r="Y1321">
            <v>18</v>
          </cell>
          <cell r="Z1321">
            <v>59</v>
          </cell>
        </row>
        <row r="1322">
          <cell r="A1322">
            <v>9313145</v>
          </cell>
          <cell r="B1322" t="str">
            <v>聚能手雷</v>
          </cell>
          <cell r="C1322" t="str">
            <v>聚能手雷</v>
          </cell>
          <cell r="D1322">
            <v>3</v>
          </cell>
          <cell r="E1322">
            <v>73</v>
          </cell>
          <cell r="F1322" t="str">
            <v>第45级，共造成289%点伤害</v>
          </cell>
          <cell r="G1322">
            <v>1</v>
          </cell>
          <cell r="H1322">
            <v>1</v>
          </cell>
          <cell r="I1322">
            <v>45</v>
          </cell>
          <cell r="J1322">
            <v>1</v>
          </cell>
          <cell r="K1322">
            <v>32.107142857142854</v>
          </cell>
          <cell r="L1322">
            <v>0</v>
          </cell>
          <cell r="M1322">
            <v>5500</v>
          </cell>
          <cell r="N1322">
            <v>554838</v>
          </cell>
          <cell r="O1322">
            <v>3</v>
          </cell>
          <cell r="P1322">
            <v>9</v>
          </cell>
          <cell r="Q1322">
            <v>1</v>
          </cell>
          <cell r="R1322">
            <v>5</v>
          </cell>
          <cell r="S1322">
            <v>50</v>
          </cell>
          <cell r="T1322">
            <v>22.142857142857142</v>
          </cell>
          <cell r="U1322">
            <v>3534</v>
          </cell>
          <cell r="V1322">
            <v>199.28571428571428</v>
          </cell>
          <cell r="W1322">
            <v>157</v>
          </cell>
          <cell r="X1322">
            <v>2289</v>
          </cell>
          <cell r="Y1322">
            <v>18</v>
          </cell>
          <cell r="Z1322">
            <v>63</v>
          </cell>
        </row>
        <row r="1323">
          <cell r="A1323">
            <v>9313146</v>
          </cell>
          <cell r="B1323" t="str">
            <v>聚能手雷</v>
          </cell>
          <cell r="C1323" t="str">
            <v>聚能手雷</v>
          </cell>
          <cell r="D1323">
            <v>3</v>
          </cell>
          <cell r="E1323">
            <v>74</v>
          </cell>
          <cell r="F1323" t="str">
            <v>第46级，共造成291%点伤害</v>
          </cell>
          <cell r="G1323">
            <v>1</v>
          </cell>
          <cell r="H1323">
            <v>1</v>
          </cell>
          <cell r="I1323">
            <v>46</v>
          </cell>
          <cell r="J1323">
            <v>1</v>
          </cell>
          <cell r="K1323">
            <v>32.328571428571429</v>
          </cell>
          <cell r="L1323">
            <v>0</v>
          </cell>
          <cell r="M1323">
            <v>5400</v>
          </cell>
          <cell r="N1323">
            <v>610512</v>
          </cell>
          <cell r="O1323">
            <v>3</v>
          </cell>
          <cell r="P1323">
            <v>9</v>
          </cell>
          <cell r="Q1323">
            <v>1</v>
          </cell>
          <cell r="R1323">
            <v>5</v>
          </cell>
          <cell r="S1323">
            <v>50</v>
          </cell>
          <cell r="T1323">
            <v>22.142857142857142</v>
          </cell>
          <cell r="U1323">
            <v>3634</v>
          </cell>
          <cell r="V1323">
            <v>199.28571428571428</v>
          </cell>
          <cell r="W1323">
            <v>168</v>
          </cell>
          <cell r="X1323">
            <v>2457</v>
          </cell>
          <cell r="Y1323">
            <v>18</v>
          </cell>
          <cell r="Z1323">
            <v>68</v>
          </cell>
        </row>
        <row r="1324">
          <cell r="A1324">
            <v>9313147</v>
          </cell>
          <cell r="B1324" t="str">
            <v>聚能手雷</v>
          </cell>
          <cell r="C1324" t="str">
            <v>聚能手雷</v>
          </cell>
          <cell r="D1324">
            <v>3</v>
          </cell>
          <cell r="E1324">
            <v>76</v>
          </cell>
          <cell r="F1324" t="str">
            <v>第47级，共造成293%点伤害</v>
          </cell>
          <cell r="G1324">
            <v>1</v>
          </cell>
          <cell r="H1324">
            <v>1</v>
          </cell>
          <cell r="I1324">
            <v>47</v>
          </cell>
          <cell r="J1324">
            <v>1</v>
          </cell>
          <cell r="K1324">
            <v>32.549999999999997</v>
          </cell>
          <cell r="L1324">
            <v>0</v>
          </cell>
          <cell r="M1324">
            <v>5300</v>
          </cell>
          <cell r="N1324">
            <v>690840</v>
          </cell>
          <cell r="O1324">
            <v>3</v>
          </cell>
          <cell r="P1324">
            <v>9</v>
          </cell>
          <cell r="Q1324">
            <v>1</v>
          </cell>
          <cell r="R1324">
            <v>5</v>
          </cell>
          <cell r="S1324">
            <v>50</v>
          </cell>
          <cell r="T1324">
            <v>22.142857142857142</v>
          </cell>
          <cell r="U1324">
            <v>3838</v>
          </cell>
          <cell r="V1324">
            <v>199.28571428571428</v>
          </cell>
          <cell r="W1324">
            <v>180</v>
          </cell>
          <cell r="X1324">
            <v>2637</v>
          </cell>
          <cell r="Y1324">
            <v>18</v>
          </cell>
          <cell r="Z1324">
            <v>72</v>
          </cell>
        </row>
        <row r="1325">
          <cell r="A1325">
            <v>9313148</v>
          </cell>
          <cell r="B1325" t="str">
            <v>聚能手雷</v>
          </cell>
          <cell r="C1325" t="str">
            <v>聚能手雷</v>
          </cell>
          <cell r="D1325">
            <v>3</v>
          </cell>
          <cell r="E1325">
            <v>77</v>
          </cell>
          <cell r="F1325" t="str">
            <v>第48级，共造成294.9%点伤害</v>
          </cell>
          <cell r="G1325">
            <v>1</v>
          </cell>
          <cell r="H1325">
            <v>1</v>
          </cell>
          <cell r="I1325">
            <v>48</v>
          </cell>
          <cell r="J1325">
            <v>1</v>
          </cell>
          <cell r="K1325">
            <v>32.771428571428572</v>
          </cell>
          <cell r="L1325">
            <v>0</v>
          </cell>
          <cell r="M1325">
            <v>5200</v>
          </cell>
          <cell r="N1325">
            <v>760806</v>
          </cell>
          <cell r="O1325">
            <v>3</v>
          </cell>
          <cell r="P1325">
            <v>9</v>
          </cell>
          <cell r="Q1325">
            <v>1</v>
          </cell>
          <cell r="R1325">
            <v>5</v>
          </cell>
          <cell r="S1325">
            <v>50</v>
          </cell>
          <cell r="T1325">
            <v>22.142857142857142</v>
          </cell>
          <cell r="U1325">
            <v>3942</v>
          </cell>
          <cell r="V1325">
            <v>199.28571428571428</v>
          </cell>
          <cell r="W1325">
            <v>193</v>
          </cell>
          <cell r="X1325">
            <v>2830</v>
          </cell>
          <cell r="Y1325">
            <v>18</v>
          </cell>
          <cell r="Z1325">
            <v>78</v>
          </cell>
        </row>
        <row r="1326">
          <cell r="A1326">
            <v>9313149</v>
          </cell>
          <cell r="B1326" t="str">
            <v>聚能手雷</v>
          </cell>
          <cell r="C1326" t="str">
            <v>聚能手雷</v>
          </cell>
          <cell r="D1326">
            <v>3</v>
          </cell>
          <cell r="E1326">
            <v>79</v>
          </cell>
          <cell r="F1326" t="str">
            <v>第49级，共造成296.9%点伤害</v>
          </cell>
          <cell r="G1326">
            <v>1</v>
          </cell>
          <cell r="H1326">
            <v>1</v>
          </cell>
          <cell r="I1326">
            <v>49</v>
          </cell>
          <cell r="J1326">
            <v>1</v>
          </cell>
          <cell r="K1326">
            <v>32.99285714285714</v>
          </cell>
          <cell r="L1326">
            <v>0</v>
          </cell>
          <cell r="M1326">
            <v>5100</v>
          </cell>
          <cell r="N1326">
            <v>855724</v>
          </cell>
          <cell r="O1326">
            <v>3</v>
          </cell>
          <cell r="P1326">
            <v>9</v>
          </cell>
          <cell r="Q1326">
            <v>1</v>
          </cell>
          <cell r="R1326">
            <v>5</v>
          </cell>
          <cell r="S1326">
            <v>50</v>
          </cell>
          <cell r="T1326">
            <v>22.142857142857142</v>
          </cell>
          <cell r="U1326">
            <v>4154</v>
          </cell>
          <cell r="V1326">
            <v>199.28571428571428</v>
          </cell>
          <cell r="W1326">
            <v>206</v>
          </cell>
          <cell r="X1326">
            <v>3036</v>
          </cell>
          <cell r="Y1326">
            <v>18</v>
          </cell>
          <cell r="Z1326">
            <v>83</v>
          </cell>
        </row>
        <row r="1327">
          <cell r="A1327">
            <v>9313150</v>
          </cell>
          <cell r="B1327" t="str">
            <v>聚能手雷</v>
          </cell>
          <cell r="C1327" t="str">
            <v>聚能手雷</v>
          </cell>
          <cell r="D1327">
            <v>3</v>
          </cell>
          <cell r="E1327">
            <v>80</v>
          </cell>
          <cell r="F1327" t="str">
            <v>第50级，共造成298.9%点伤害</v>
          </cell>
          <cell r="G1327">
            <v>1</v>
          </cell>
          <cell r="H1327">
            <v>1</v>
          </cell>
          <cell r="I1327">
            <v>50</v>
          </cell>
          <cell r="J1327">
            <v>1</v>
          </cell>
          <cell r="K1327">
            <v>33.214285714285715</v>
          </cell>
          <cell r="L1327">
            <v>0</v>
          </cell>
          <cell r="M1327">
            <v>5000</v>
          </cell>
          <cell r="N1327">
            <v>941902</v>
          </cell>
          <cell r="O1327">
            <v>3</v>
          </cell>
          <cell r="P1327">
            <v>9</v>
          </cell>
          <cell r="Q1327">
            <v>1</v>
          </cell>
          <cell r="R1327">
            <v>5</v>
          </cell>
          <cell r="S1327">
            <v>50</v>
          </cell>
          <cell r="T1327">
            <v>22.142857142857142</v>
          </cell>
          <cell r="U1327">
            <v>4262</v>
          </cell>
          <cell r="V1327">
            <v>199.28571428571428</v>
          </cell>
          <cell r="W1327">
            <v>221</v>
          </cell>
          <cell r="X1327">
            <v>3257</v>
          </cell>
          <cell r="Y1327">
            <v>18</v>
          </cell>
          <cell r="Z1327">
            <v>89</v>
          </cell>
        </row>
        <row r="1328">
          <cell r="A1328">
            <v>9324000</v>
          </cell>
          <cell r="B1328" t="str">
            <v>子弹风暴</v>
          </cell>
          <cell r="C1328" t="str">
            <v>子弹风暴第1段</v>
          </cell>
          <cell r="D1328">
            <v>3</v>
          </cell>
          <cell r="E1328">
            <v>6</v>
          </cell>
          <cell r="F1328" t="str">
            <v>第0级，共造成143.9%点伤害</v>
          </cell>
          <cell r="G1328">
            <v>0</v>
          </cell>
          <cell r="H1328">
            <v>1</v>
          </cell>
          <cell r="I1328">
            <v>0</v>
          </cell>
          <cell r="J1328">
            <v>2</v>
          </cell>
          <cell r="K1328">
            <v>47.976190476190474</v>
          </cell>
          <cell r="L1328">
            <v>0</v>
          </cell>
          <cell r="M1328">
            <v>8000</v>
          </cell>
          <cell r="N1328">
            <v>0</v>
          </cell>
          <cell r="O1328">
            <v>4</v>
          </cell>
          <cell r="P1328">
            <v>3</v>
          </cell>
          <cell r="Q1328">
            <v>1</v>
          </cell>
          <cell r="R1328">
            <v>6</v>
          </cell>
          <cell r="S1328">
            <v>50</v>
          </cell>
          <cell r="T1328">
            <v>47.976190476190474</v>
          </cell>
          <cell r="U1328">
            <v>80</v>
          </cell>
          <cell r="V1328">
            <v>143.92857142857142</v>
          </cell>
          <cell r="W1328">
            <v>0</v>
          </cell>
          <cell r="X1328">
            <v>0</v>
          </cell>
          <cell r="Y1328">
            <v>18</v>
          </cell>
          <cell r="Z1328">
            <v>0</v>
          </cell>
        </row>
        <row r="1329">
          <cell r="A1329">
            <v>9324101</v>
          </cell>
          <cell r="B1329" t="str">
            <v>子弹风暴第1段</v>
          </cell>
          <cell r="C1329" t="str">
            <v>子弹风暴第1段</v>
          </cell>
          <cell r="D1329">
            <v>3</v>
          </cell>
          <cell r="E1329">
            <v>6</v>
          </cell>
          <cell r="F1329" t="str">
            <v>第1级，共造成143.9%点伤害</v>
          </cell>
          <cell r="G1329">
            <v>1</v>
          </cell>
          <cell r="H1329">
            <v>1</v>
          </cell>
          <cell r="I1329">
            <v>1</v>
          </cell>
          <cell r="J1329">
            <v>2</v>
          </cell>
          <cell r="K1329">
            <v>47.976190476190474</v>
          </cell>
          <cell r="L1329">
            <v>0</v>
          </cell>
          <cell r="M1329">
            <v>8000</v>
          </cell>
          <cell r="N1329">
            <v>320</v>
          </cell>
          <cell r="O1329">
            <v>4</v>
          </cell>
          <cell r="P1329">
            <v>3</v>
          </cell>
          <cell r="Q1329">
            <v>1</v>
          </cell>
          <cell r="R1329">
            <v>6</v>
          </cell>
          <cell r="S1329">
            <v>50</v>
          </cell>
          <cell r="T1329">
            <v>47.976190476190474</v>
          </cell>
          <cell r="U1329">
            <v>80</v>
          </cell>
          <cell r="V1329">
            <v>143.92857142857142</v>
          </cell>
          <cell r="W1329">
            <v>4</v>
          </cell>
          <cell r="X1329">
            <v>4</v>
          </cell>
          <cell r="Y1329">
            <v>18</v>
          </cell>
          <cell r="Z1329">
            <v>0</v>
          </cell>
        </row>
        <row r="1330">
          <cell r="A1330">
            <v>9324102</v>
          </cell>
          <cell r="B1330" t="str">
            <v>子弹风暴第1段</v>
          </cell>
          <cell r="C1330" t="str">
            <v>子弹风暴第1段</v>
          </cell>
          <cell r="D1330">
            <v>3</v>
          </cell>
          <cell r="E1330">
            <v>9</v>
          </cell>
          <cell r="F1330" t="str">
            <v>第2级，共造成146.8%点伤害</v>
          </cell>
          <cell r="G1330">
            <v>1</v>
          </cell>
          <cell r="H1330">
            <v>1</v>
          </cell>
          <cell r="I1330">
            <v>2</v>
          </cell>
          <cell r="J1330">
            <v>2</v>
          </cell>
          <cell r="K1330">
            <v>48.935714285714283</v>
          </cell>
          <cell r="L1330">
            <v>0</v>
          </cell>
          <cell r="M1330">
            <v>7840</v>
          </cell>
          <cell r="N1330">
            <v>392</v>
          </cell>
          <cell r="O1330">
            <v>4</v>
          </cell>
          <cell r="P1330">
            <v>3</v>
          </cell>
          <cell r="Q1330">
            <v>1</v>
          </cell>
          <cell r="R1330">
            <v>6</v>
          </cell>
          <cell r="S1330">
            <v>50</v>
          </cell>
          <cell r="T1330">
            <v>47.976190476190474</v>
          </cell>
          <cell r="U1330">
            <v>98</v>
          </cell>
          <cell r="V1330">
            <v>143.92857142857142</v>
          </cell>
          <cell r="W1330">
            <v>4</v>
          </cell>
          <cell r="X1330">
            <v>8</v>
          </cell>
          <cell r="Y1330">
            <v>18</v>
          </cell>
          <cell r="Z1330">
            <v>0</v>
          </cell>
        </row>
        <row r="1331">
          <cell r="A1331">
            <v>9324103</v>
          </cell>
          <cell r="B1331" t="str">
            <v>子弹风暴第1段</v>
          </cell>
          <cell r="C1331" t="str">
            <v>子弹风暴第1段</v>
          </cell>
          <cell r="D1331">
            <v>3</v>
          </cell>
          <cell r="E1331">
            <v>10</v>
          </cell>
          <cell r="F1331" t="str">
            <v>第3级，共造成148.2%点伤害</v>
          </cell>
          <cell r="G1331">
            <v>1</v>
          </cell>
          <cell r="H1331">
            <v>1</v>
          </cell>
          <cell r="I1331">
            <v>3</v>
          </cell>
          <cell r="J1331">
            <v>2</v>
          </cell>
          <cell r="K1331">
            <v>49.415476190476191</v>
          </cell>
          <cell r="L1331">
            <v>0</v>
          </cell>
          <cell r="M1331">
            <v>7760</v>
          </cell>
          <cell r="N1331">
            <v>416</v>
          </cell>
          <cell r="O1331">
            <v>4</v>
          </cell>
          <cell r="P1331">
            <v>3</v>
          </cell>
          <cell r="Q1331">
            <v>1</v>
          </cell>
          <cell r="R1331">
            <v>6</v>
          </cell>
          <cell r="S1331">
            <v>50</v>
          </cell>
          <cell r="T1331">
            <v>47.976190476190474</v>
          </cell>
          <cell r="U1331">
            <v>104</v>
          </cell>
          <cell r="V1331">
            <v>143.92857142857142</v>
          </cell>
          <cell r="W1331">
            <v>4</v>
          </cell>
          <cell r="X1331">
            <v>12</v>
          </cell>
          <cell r="Y1331">
            <v>18</v>
          </cell>
          <cell r="Z1331">
            <v>0</v>
          </cell>
        </row>
        <row r="1332">
          <cell r="A1332">
            <v>9324104</v>
          </cell>
          <cell r="B1332" t="str">
            <v>子弹风暴第1段</v>
          </cell>
          <cell r="C1332" t="str">
            <v>子弹风暴第1段</v>
          </cell>
          <cell r="D1332">
            <v>3</v>
          </cell>
          <cell r="E1332">
            <v>12</v>
          </cell>
          <cell r="F1332" t="str">
            <v>第4级，共造成149.7%点伤害</v>
          </cell>
          <cell r="G1332">
            <v>1</v>
          </cell>
          <cell r="H1332">
            <v>1</v>
          </cell>
          <cell r="I1332">
            <v>4</v>
          </cell>
          <cell r="J1332">
            <v>2</v>
          </cell>
          <cell r="K1332">
            <v>49.895238095238092</v>
          </cell>
          <cell r="L1332">
            <v>0</v>
          </cell>
          <cell r="M1332">
            <v>7680</v>
          </cell>
          <cell r="N1332">
            <v>580</v>
          </cell>
          <cell r="O1332">
            <v>4</v>
          </cell>
          <cell r="P1332">
            <v>3</v>
          </cell>
          <cell r="Q1332">
            <v>1</v>
          </cell>
          <cell r="R1332">
            <v>6</v>
          </cell>
          <cell r="S1332">
            <v>50</v>
          </cell>
          <cell r="T1332">
            <v>47.976190476190474</v>
          </cell>
          <cell r="U1332">
            <v>116</v>
          </cell>
          <cell r="V1332">
            <v>143.92857142857142</v>
          </cell>
          <cell r="W1332">
            <v>5</v>
          </cell>
          <cell r="X1332">
            <v>17</v>
          </cell>
          <cell r="Y1332">
            <v>18</v>
          </cell>
          <cell r="Z1332">
            <v>0</v>
          </cell>
        </row>
        <row r="1333">
          <cell r="A1333">
            <v>9324105</v>
          </cell>
          <cell r="B1333" t="str">
            <v>子弹风暴第1段</v>
          </cell>
          <cell r="C1333" t="str">
            <v>子弹风暴第1段</v>
          </cell>
          <cell r="D1333">
            <v>3</v>
          </cell>
          <cell r="E1333">
            <v>13</v>
          </cell>
          <cell r="F1333" t="str">
            <v>第5级，共造成151.1%点伤害</v>
          </cell>
          <cell r="G1333">
            <v>1</v>
          </cell>
          <cell r="H1333">
            <v>1</v>
          </cell>
          <cell r="I1333">
            <v>5</v>
          </cell>
          <cell r="J1333">
            <v>2</v>
          </cell>
          <cell r="K1333">
            <v>50.375</v>
          </cell>
          <cell r="L1333">
            <v>0</v>
          </cell>
          <cell r="M1333">
            <v>7600</v>
          </cell>
          <cell r="N1333">
            <v>610</v>
          </cell>
          <cell r="O1333">
            <v>4</v>
          </cell>
          <cell r="P1333">
            <v>3</v>
          </cell>
          <cell r="Q1333">
            <v>1</v>
          </cell>
          <cell r="R1333">
            <v>6</v>
          </cell>
          <cell r="S1333">
            <v>50</v>
          </cell>
          <cell r="T1333">
            <v>47.976190476190474</v>
          </cell>
          <cell r="U1333">
            <v>122</v>
          </cell>
          <cell r="V1333">
            <v>143.92857142857142</v>
          </cell>
          <cell r="W1333">
            <v>5</v>
          </cell>
          <cell r="X1333">
            <v>22</v>
          </cell>
          <cell r="Y1333">
            <v>18</v>
          </cell>
          <cell r="Z1333">
            <v>0</v>
          </cell>
        </row>
        <row r="1334">
          <cell r="A1334">
            <v>9324106</v>
          </cell>
          <cell r="B1334" t="str">
            <v>子弹风暴第1段</v>
          </cell>
          <cell r="C1334" t="str">
            <v>子弹风暴第1段</v>
          </cell>
          <cell r="D1334">
            <v>3</v>
          </cell>
          <cell r="E1334">
            <v>15</v>
          </cell>
          <cell r="F1334" t="str">
            <v>第6级，共造成152.6%点伤害</v>
          </cell>
          <cell r="G1334">
            <v>1</v>
          </cell>
          <cell r="H1334">
            <v>1</v>
          </cell>
          <cell r="I1334">
            <v>6</v>
          </cell>
          <cell r="J1334">
            <v>2</v>
          </cell>
          <cell r="K1334">
            <v>50.854761904761901</v>
          </cell>
          <cell r="L1334">
            <v>0</v>
          </cell>
          <cell r="M1334">
            <v>7520</v>
          </cell>
          <cell r="N1334">
            <v>670</v>
          </cell>
          <cell r="O1334">
            <v>4</v>
          </cell>
          <cell r="P1334">
            <v>3</v>
          </cell>
          <cell r="Q1334">
            <v>1</v>
          </cell>
          <cell r="R1334">
            <v>6</v>
          </cell>
          <cell r="S1334">
            <v>50</v>
          </cell>
          <cell r="T1334">
            <v>47.976190476190474</v>
          </cell>
          <cell r="U1334">
            <v>134</v>
          </cell>
          <cell r="V1334">
            <v>143.92857142857142</v>
          </cell>
          <cell r="W1334">
            <v>5</v>
          </cell>
          <cell r="X1334">
            <v>27</v>
          </cell>
          <cell r="Y1334">
            <v>18</v>
          </cell>
          <cell r="Z1334">
            <v>0</v>
          </cell>
        </row>
        <row r="1335">
          <cell r="A1335">
            <v>9324107</v>
          </cell>
          <cell r="B1335" t="str">
            <v>子弹风暴第1段</v>
          </cell>
          <cell r="C1335" t="str">
            <v>子弹风暴第1段</v>
          </cell>
          <cell r="D1335">
            <v>3</v>
          </cell>
          <cell r="E1335">
            <v>16</v>
          </cell>
          <cell r="F1335" t="str">
            <v>第7级，共造成154%点伤害</v>
          </cell>
          <cell r="G1335">
            <v>1</v>
          </cell>
          <cell r="H1335">
            <v>1</v>
          </cell>
          <cell r="I1335">
            <v>7</v>
          </cell>
          <cell r="J1335">
            <v>2</v>
          </cell>
          <cell r="K1335">
            <v>51.334523809523809</v>
          </cell>
          <cell r="L1335">
            <v>0</v>
          </cell>
          <cell r="M1335">
            <v>7440</v>
          </cell>
          <cell r="N1335">
            <v>840</v>
          </cell>
          <cell r="O1335">
            <v>4</v>
          </cell>
          <cell r="P1335">
            <v>3</v>
          </cell>
          <cell r="Q1335">
            <v>1</v>
          </cell>
          <cell r="R1335">
            <v>6</v>
          </cell>
          <cell r="S1335">
            <v>50</v>
          </cell>
          <cell r="T1335">
            <v>47.976190476190474</v>
          </cell>
          <cell r="U1335">
            <v>140</v>
          </cell>
          <cell r="V1335">
            <v>143.92857142857142</v>
          </cell>
          <cell r="W1335">
            <v>6</v>
          </cell>
          <cell r="X1335">
            <v>33</v>
          </cell>
          <cell r="Y1335">
            <v>18</v>
          </cell>
          <cell r="Z1335">
            <v>0</v>
          </cell>
        </row>
        <row r="1336">
          <cell r="A1336">
            <v>9324108</v>
          </cell>
          <cell r="B1336" t="str">
            <v>子弹风暴第1段</v>
          </cell>
          <cell r="C1336" t="str">
            <v>子弹风暴第1段</v>
          </cell>
          <cell r="D1336">
            <v>3</v>
          </cell>
          <cell r="E1336">
            <v>18</v>
          </cell>
          <cell r="F1336" t="str">
            <v>第8级，共造成155.4%点伤害</v>
          </cell>
          <cell r="G1336">
            <v>1</v>
          </cell>
          <cell r="H1336">
            <v>1</v>
          </cell>
          <cell r="I1336">
            <v>8</v>
          </cell>
          <cell r="J1336">
            <v>2</v>
          </cell>
          <cell r="K1336">
            <v>51.81428571428571</v>
          </cell>
          <cell r="L1336">
            <v>0</v>
          </cell>
          <cell r="M1336">
            <v>7360</v>
          </cell>
          <cell r="N1336">
            <v>912</v>
          </cell>
          <cell r="O1336">
            <v>4</v>
          </cell>
          <cell r="P1336">
            <v>3</v>
          </cell>
          <cell r="Q1336">
            <v>1</v>
          </cell>
          <cell r="R1336">
            <v>6</v>
          </cell>
          <cell r="S1336">
            <v>50</v>
          </cell>
          <cell r="T1336">
            <v>47.976190476190474</v>
          </cell>
          <cell r="U1336">
            <v>152</v>
          </cell>
          <cell r="V1336">
            <v>143.92857142857142</v>
          </cell>
          <cell r="W1336">
            <v>6</v>
          </cell>
          <cell r="X1336">
            <v>39</v>
          </cell>
          <cell r="Y1336">
            <v>18</v>
          </cell>
          <cell r="Z1336">
            <v>0</v>
          </cell>
        </row>
        <row r="1337">
          <cell r="A1337">
            <v>9324109</v>
          </cell>
          <cell r="B1337" t="str">
            <v>子弹风暴第1段</v>
          </cell>
          <cell r="C1337" t="str">
            <v>子弹风暴第1段</v>
          </cell>
          <cell r="D1337">
            <v>3</v>
          </cell>
          <cell r="E1337">
            <v>19</v>
          </cell>
          <cell r="F1337" t="str">
            <v>第9级，共造成156.9%点伤害</v>
          </cell>
          <cell r="G1337">
            <v>1</v>
          </cell>
          <cell r="H1337">
            <v>1</v>
          </cell>
          <cell r="I1337">
            <v>9</v>
          </cell>
          <cell r="J1337">
            <v>2</v>
          </cell>
          <cell r="K1337">
            <v>52.294047619047618</v>
          </cell>
          <cell r="L1337">
            <v>0</v>
          </cell>
          <cell r="M1337">
            <v>7280</v>
          </cell>
          <cell r="N1337">
            <v>948</v>
          </cell>
          <cell r="O1337">
            <v>4</v>
          </cell>
          <cell r="P1337">
            <v>3</v>
          </cell>
          <cell r="Q1337">
            <v>1</v>
          </cell>
          <cell r="R1337">
            <v>6</v>
          </cell>
          <cell r="S1337">
            <v>50</v>
          </cell>
          <cell r="T1337">
            <v>47.976190476190474</v>
          </cell>
          <cell r="U1337">
            <v>158</v>
          </cell>
          <cell r="V1337">
            <v>143.92857142857142</v>
          </cell>
          <cell r="W1337">
            <v>6</v>
          </cell>
          <cell r="X1337">
            <v>45</v>
          </cell>
          <cell r="Y1337">
            <v>18</v>
          </cell>
          <cell r="Z1337">
            <v>0</v>
          </cell>
        </row>
        <row r="1338">
          <cell r="A1338">
            <v>9324110</v>
          </cell>
          <cell r="B1338" t="str">
            <v>子弹风暴第1段</v>
          </cell>
          <cell r="C1338" t="str">
            <v>子弹风暴第1段</v>
          </cell>
          <cell r="D1338">
            <v>3</v>
          </cell>
          <cell r="E1338">
            <v>21</v>
          </cell>
          <cell r="F1338" t="str">
            <v>第10级，共造成158.3%点伤害</v>
          </cell>
          <cell r="G1338">
            <v>1</v>
          </cell>
          <cell r="H1338">
            <v>1</v>
          </cell>
          <cell r="I1338">
            <v>10</v>
          </cell>
          <cell r="J1338">
            <v>2</v>
          </cell>
          <cell r="K1338">
            <v>52.773809523809518</v>
          </cell>
          <cell r="L1338">
            <v>0</v>
          </cell>
          <cell r="M1338">
            <v>7200</v>
          </cell>
          <cell r="N1338">
            <v>1470</v>
          </cell>
          <cell r="O1338">
            <v>4</v>
          </cell>
          <cell r="P1338">
            <v>3</v>
          </cell>
          <cell r="Q1338">
            <v>1</v>
          </cell>
          <cell r="R1338">
            <v>6</v>
          </cell>
          <cell r="S1338">
            <v>50</v>
          </cell>
          <cell r="T1338">
            <v>47.976190476190474</v>
          </cell>
          <cell r="U1338">
            <v>210</v>
          </cell>
          <cell r="V1338">
            <v>143.92857142857142</v>
          </cell>
          <cell r="W1338">
            <v>7</v>
          </cell>
          <cell r="X1338">
            <v>52</v>
          </cell>
          <cell r="Y1338">
            <v>18</v>
          </cell>
          <cell r="Z1338">
            <v>0</v>
          </cell>
        </row>
        <row r="1339">
          <cell r="A1339">
            <v>9324111</v>
          </cell>
          <cell r="B1339" t="str">
            <v>子弹风暴第1段</v>
          </cell>
          <cell r="C1339" t="str">
            <v>子弹风暴第1段</v>
          </cell>
          <cell r="D1339">
            <v>3</v>
          </cell>
          <cell r="E1339">
            <v>22</v>
          </cell>
          <cell r="F1339" t="str">
            <v>第11级，共造成159.8%点伤害</v>
          </cell>
          <cell r="G1339">
            <v>1</v>
          </cell>
          <cell r="H1339">
            <v>1</v>
          </cell>
          <cell r="I1339">
            <v>11</v>
          </cell>
          <cell r="J1339">
            <v>2</v>
          </cell>
          <cell r="K1339">
            <v>53.253571428571426</v>
          </cell>
          <cell r="L1339">
            <v>0</v>
          </cell>
          <cell r="M1339">
            <v>7120</v>
          </cell>
          <cell r="N1339">
            <v>1912</v>
          </cell>
          <cell r="O1339">
            <v>4</v>
          </cell>
          <cell r="P1339">
            <v>3</v>
          </cell>
          <cell r="Q1339">
            <v>1</v>
          </cell>
          <cell r="R1339">
            <v>6</v>
          </cell>
          <cell r="S1339">
            <v>50</v>
          </cell>
          <cell r="T1339">
            <v>47.976190476190474</v>
          </cell>
          <cell r="U1339">
            <v>239</v>
          </cell>
          <cell r="V1339">
            <v>143.92857142857142</v>
          </cell>
          <cell r="W1339">
            <v>8</v>
          </cell>
          <cell r="X1339">
            <v>60</v>
          </cell>
          <cell r="Y1339">
            <v>18</v>
          </cell>
          <cell r="Z1339">
            <v>0</v>
          </cell>
        </row>
        <row r="1340">
          <cell r="A1340">
            <v>9324112</v>
          </cell>
          <cell r="B1340" t="str">
            <v>子弹风暴第1段</v>
          </cell>
          <cell r="C1340" t="str">
            <v>子弹风暴第1段</v>
          </cell>
          <cell r="D1340">
            <v>3</v>
          </cell>
          <cell r="E1340">
            <v>24</v>
          </cell>
          <cell r="F1340" t="str">
            <v>第12级，共造成161.2%点伤害</v>
          </cell>
          <cell r="G1340">
            <v>1</v>
          </cell>
          <cell r="H1340">
            <v>1</v>
          </cell>
          <cell r="I1340">
            <v>12</v>
          </cell>
          <cell r="J1340">
            <v>2</v>
          </cell>
          <cell r="K1340">
            <v>53.733333333333334</v>
          </cell>
          <cell r="L1340">
            <v>0</v>
          </cell>
          <cell r="M1340">
            <v>7040</v>
          </cell>
          <cell r="N1340">
            <v>2416</v>
          </cell>
          <cell r="O1340">
            <v>4</v>
          </cell>
          <cell r="P1340">
            <v>3</v>
          </cell>
          <cell r="Q1340">
            <v>1</v>
          </cell>
          <cell r="R1340">
            <v>6</v>
          </cell>
          <cell r="S1340">
            <v>50</v>
          </cell>
          <cell r="T1340">
            <v>47.976190476190474</v>
          </cell>
          <cell r="U1340">
            <v>302</v>
          </cell>
          <cell r="V1340">
            <v>143.92857142857142</v>
          </cell>
          <cell r="W1340">
            <v>8</v>
          </cell>
          <cell r="X1340">
            <v>68</v>
          </cell>
          <cell r="Y1340">
            <v>18</v>
          </cell>
          <cell r="Z1340">
            <v>0</v>
          </cell>
        </row>
        <row r="1341">
          <cell r="A1341">
            <v>9324113</v>
          </cell>
          <cell r="B1341" t="str">
            <v>子弹风暴第1段</v>
          </cell>
          <cell r="C1341" t="str">
            <v>子弹风暴第1段</v>
          </cell>
          <cell r="D1341">
            <v>3</v>
          </cell>
          <cell r="E1341">
            <v>25</v>
          </cell>
          <cell r="F1341" t="str">
            <v>第13级，共造成162.6%点伤害</v>
          </cell>
          <cell r="G1341">
            <v>1</v>
          </cell>
          <cell r="H1341">
            <v>1</v>
          </cell>
          <cell r="I1341">
            <v>13</v>
          </cell>
          <cell r="J1341">
            <v>2</v>
          </cell>
          <cell r="K1341">
            <v>54.213095238095235</v>
          </cell>
          <cell r="L1341">
            <v>0</v>
          </cell>
          <cell r="M1341">
            <v>6960</v>
          </cell>
          <cell r="N1341">
            <v>3015</v>
          </cell>
          <cell r="O1341">
            <v>4</v>
          </cell>
          <cell r="P1341">
            <v>3</v>
          </cell>
          <cell r="Q1341">
            <v>1</v>
          </cell>
          <cell r="R1341">
            <v>6</v>
          </cell>
          <cell r="S1341">
            <v>50</v>
          </cell>
          <cell r="T1341">
            <v>47.976190476190474</v>
          </cell>
          <cell r="U1341">
            <v>335</v>
          </cell>
          <cell r="V1341">
            <v>143.92857142857142</v>
          </cell>
          <cell r="W1341">
            <v>9</v>
          </cell>
          <cell r="X1341">
            <v>77</v>
          </cell>
          <cell r="Y1341">
            <v>18</v>
          </cell>
          <cell r="Z1341">
            <v>0</v>
          </cell>
        </row>
        <row r="1342">
          <cell r="A1342">
            <v>9324114</v>
          </cell>
          <cell r="B1342" t="str">
            <v>子弹风暴第1段</v>
          </cell>
          <cell r="C1342" t="str">
            <v>子弹风暴第1段</v>
          </cell>
          <cell r="D1342">
            <v>3</v>
          </cell>
          <cell r="E1342">
            <v>27</v>
          </cell>
          <cell r="F1342" t="str">
            <v>第14级，共造成164.1%点伤害</v>
          </cell>
          <cell r="G1342">
            <v>1</v>
          </cell>
          <cell r="H1342">
            <v>1</v>
          </cell>
          <cell r="I1342">
            <v>14</v>
          </cell>
          <cell r="J1342">
            <v>2</v>
          </cell>
          <cell r="K1342">
            <v>54.692857142857143</v>
          </cell>
          <cell r="L1342">
            <v>0</v>
          </cell>
          <cell r="M1342">
            <v>6880</v>
          </cell>
          <cell r="N1342">
            <v>3654</v>
          </cell>
          <cell r="O1342">
            <v>4</v>
          </cell>
          <cell r="P1342">
            <v>3</v>
          </cell>
          <cell r="Q1342">
            <v>1</v>
          </cell>
          <cell r="R1342">
            <v>6</v>
          </cell>
          <cell r="S1342">
            <v>50</v>
          </cell>
          <cell r="T1342">
            <v>47.976190476190474</v>
          </cell>
          <cell r="U1342">
            <v>406</v>
          </cell>
          <cell r="V1342">
            <v>143.92857142857142</v>
          </cell>
          <cell r="W1342">
            <v>9</v>
          </cell>
          <cell r="X1342">
            <v>86</v>
          </cell>
          <cell r="Y1342">
            <v>18</v>
          </cell>
          <cell r="Z1342">
            <v>0</v>
          </cell>
        </row>
        <row r="1343">
          <cell r="A1343">
            <v>9324115</v>
          </cell>
          <cell r="B1343" t="str">
            <v>子弹风暴第1段</v>
          </cell>
          <cell r="C1343" t="str">
            <v>子弹风暴第1段</v>
          </cell>
          <cell r="D1343">
            <v>3</v>
          </cell>
          <cell r="E1343">
            <v>28</v>
          </cell>
          <cell r="F1343" t="str">
            <v>第15级，共造成165.5%点伤害</v>
          </cell>
          <cell r="G1343">
            <v>1</v>
          </cell>
          <cell r="H1343">
            <v>1</v>
          </cell>
          <cell r="I1343">
            <v>15</v>
          </cell>
          <cell r="J1343">
            <v>2</v>
          </cell>
          <cell r="K1343">
            <v>55.172619047619044</v>
          </cell>
          <cell r="L1343">
            <v>0</v>
          </cell>
          <cell r="M1343">
            <v>6800</v>
          </cell>
          <cell r="N1343">
            <v>4430</v>
          </cell>
          <cell r="O1343">
            <v>4</v>
          </cell>
          <cell r="P1343">
            <v>3</v>
          </cell>
          <cell r="Q1343">
            <v>1</v>
          </cell>
          <cell r="R1343">
            <v>6</v>
          </cell>
          <cell r="S1343">
            <v>50</v>
          </cell>
          <cell r="T1343">
            <v>47.976190476190474</v>
          </cell>
          <cell r="U1343">
            <v>443</v>
          </cell>
          <cell r="V1343">
            <v>143.92857142857142</v>
          </cell>
          <cell r="W1343">
            <v>10</v>
          </cell>
          <cell r="X1343">
            <v>96</v>
          </cell>
          <cell r="Y1343">
            <v>18</v>
          </cell>
          <cell r="Z1343">
            <v>0</v>
          </cell>
        </row>
        <row r="1344">
          <cell r="A1344">
            <v>9324116</v>
          </cell>
          <cell r="B1344" t="str">
            <v>子弹风暴第1段</v>
          </cell>
          <cell r="C1344" t="str">
            <v>子弹风暴第1段</v>
          </cell>
          <cell r="D1344">
            <v>3</v>
          </cell>
          <cell r="E1344">
            <v>30</v>
          </cell>
          <cell r="F1344" t="str">
            <v>第16级，共造成167%点伤害</v>
          </cell>
          <cell r="G1344">
            <v>1</v>
          </cell>
          <cell r="H1344">
            <v>1</v>
          </cell>
          <cell r="I1344">
            <v>16</v>
          </cell>
          <cell r="J1344">
            <v>2</v>
          </cell>
          <cell r="K1344">
            <v>55.652380952380952</v>
          </cell>
          <cell r="L1344">
            <v>0</v>
          </cell>
          <cell r="M1344">
            <v>6720</v>
          </cell>
          <cell r="N1344">
            <v>5742</v>
          </cell>
          <cell r="O1344">
            <v>4</v>
          </cell>
          <cell r="P1344">
            <v>3</v>
          </cell>
          <cell r="Q1344">
            <v>1</v>
          </cell>
          <cell r="R1344">
            <v>6</v>
          </cell>
          <cell r="S1344">
            <v>50</v>
          </cell>
          <cell r="T1344">
            <v>47.976190476190474</v>
          </cell>
          <cell r="U1344">
            <v>522</v>
          </cell>
          <cell r="V1344">
            <v>143.92857142857142</v>
          </cell>
          <cell r="W1344">
            <v>11</v>
          </cell>
          <cell r="X1344">
            <v>107</v>
          </cell>
          <cell r="Y1344">
            <v>18</v>
          </cell>
          <cell r="Z1344">
            <v>0</v>
          </cell>
        </row>
        <row r="1345">
          <cell r="A1345">
            <v>9324117</v>
          </cell>
          <cell r="B1345" t="str">
            <v>子弹风暴第1段</v>
          </cell>
          <cell r="C1345" t="str">
            <v>子弹风暴第1段</v>
          </cell>
          <cell r="D1345">
            <v>3</v>
          </cell>
          <cell r="E1345">
            <v>31</v>
          </cell>
          <cell r="F1345" t="str">
            <v>第17级，共造成168.4%点伤害</v>
          </cell>
          <cell r="G1345">
            <v>1</v>
          </cell>
          <cell r="H1345">
            <v>1</v>
          </cell>
          <cell r="I1345">
            <v>17</v>
          </cell>
          <cell r="J1345">
            <v>2</v>
          </cell>
          <cell r="K1345">
            <v>56.132142857142853</v>
          </cell>
          <cell r="L1345">
            <v>0</v>
          </cell>
          <cell r="M1345">
            <v>6640</v>
          </cell>
          <cell r="N1345">
            <v>6756</v>
          </cell>
          <cell r="O1345">
            <v>4</v>
          </cell>
          <cell r="P1345">
            <v>3</v>
          </cell>
          <cell r="Q1345">
            <v>1</v>
          </cell>
          <cell r="R1345">
            <v>6</v>
          </cell>
          <cell r="S1345">
            <v>50</v>
          </cell>
          <cell r="T1345">
            <v>47.976190476190474</v>
          </cell>
          <cell r="U1345">
            <v>563</v>
          </cell>
          <cell r="V1345">
            <v>143.92857142857142</v>
          </cell>
          <cell r="W1345">
            <v>12</v>
          </cell>
          <cell r="X1345">
            <v>119</v>
          </cell>
          <cell r="Y1345">
            <v>18</v>
          </cell>
          <cell r="Z1345">
            <v>0</v>
          </cell>
        </row>
        <row r="1346">
          <cell r="A1346">
            <v>9324118</v>
          </cell>
          <cell r="B1346" t="str">
            <v>子弹风暴第1段</v>
          </cell>
          <cell r="C1346" t="str">
            <v>子弹风暴第1段</v>
          </cell>
          <cell r="D1346">
            <v>3</v>
          </cell>
          <cell r="E1346">
            <v>33</v>
          </cell>
          <cell r="F1346" t="str">
            <v>第18级，共造成169.8%点伤害</v>
          </cell>
          <cell r="G1346">
            <v>1</v>
          </cell>
          <cell r="H1346">
            <v>1</v>
          </cell>
          <cell r="I1346">
            <v>18</v>
          </cell>
          <cell r="J1346">
            <v>2</v>
          </cell>
          <cell r="K1346">
            <v>56.611904761904761</v>
          </cell>
          <cell r="L1346">
            <v>0</v>
          </cell>
          <cell r="M1346">
            <v>6560</v>
          </cell>
          <cell r="N1346">
            <v>7812</v>
          </cell>
          <cell r="O1346">
            <v>4</v>
          </cell>
          <cell r="P1346">
            <v>3</v>
          </cell>
          <cell r="Q1346">
            <v>1</v>
          </cell>
          <cell r="R1346">
            <v>6</v>
          </cell>
          <cell r="S1346">
            <v>50</v>
          </cell>
          <cell r="T1346">
            <v>47.976190476190474</v>
          </cell>
          <cell r="U1346">
            <v>651</v>
          </cell>
          <cell r="V1346">
            <v>143.92857142857142</v>
          </cell>
          <cell r="W1346">
            <v>12</v>
          </cell>
          <cell r="X1346">
            <v>131</v>
          </cell>
          <cell r="Y1346">
            <v>18</v>
          </cell>
          <cell r="Z1346">
            <v>5</v>
          </cell>
        </row>
        <row r="1347">
          <cell r="A1347">
            <v>9324119</v>
          </cell>
          <cell r="B1347" t="str">
            <v>子弹风暴第1段</v>
          </cell>
          <cell r="C1347" t="str">
            <v>子弹风暴第1段</v>
          </cell>
          <cell r="D1347">
            <v>3</v>
          </cell>
          <cell r="E1347">
            <v>34</v>
          </cell>
          <cell r="F1347" t="str">
            <v>第19级，共造成171.3%点伤害</v>
          </cell>
          <cell r="G1347">
            <v>1</v>
          </cell>
          <cell r="H1347">
            <v>1</v>
          </cell>
          <cell r="I1347">
            <v>19</v>
          </cell>
          <cell r="J1347">
            <v>2</v>
          </cell>
          <cell r="K1347">
            <v>57.091666666666669</v>
          </cell>
          <cell r="L1347">
            <v>0</v>
          </cell>
          <cell r="M1347">
            <v>6480</v>
          </cell>
          <cell r="N1347">
            <v>9048</v>
          </cell>
          <cell r="O1347">
            <v>4</v>
          </cell>
          <cell r="P1347">
            <v>3</v>
          </cell>
          <cell r="Q1347">
            <v>1</v>
          </cell>
          <cell r="R1347">
            <v>6</v>
          </cell>
          <cell r="S1347">
            <v>50</v>
          </cell>
          <cell r="T1347">
            <v>47.976190476190474</v>
          </cell>
          <cell r="U1347">
            <v>696</v>
          </cell>
          <cell r="V1347">
            <v>143.92857142857142</v>
          </cell>
          <cell r="W1347">
            <v>13</v>
          </cell>
          <cell r="X1347">
            <v>144</v>
          </cell>
          <cell r="Y1347">
            <v>18</v>
          </cell>
          <cell r="Z1347">
            <v>6</v>
          </cell>
        </row>
        <row r="1348">
          <cell r="A1348">
            <v>9324120</v>
          </cell>
          <cell r="B1348" t="str">
            <v>子弹风暴第1段</v>
          </cell>
          <cell r="C1348" t="str">
            <v>子弹风暴第1段</v>
          </cell>
          <cell r="D1348">
            <v>3</v>
          </cell>
          <cell r="E1348">
            <v>36</v>
          </cell>
          <cell r="F1348" t="str">
            <v>第20级，共造成172.7%点伤害</v>
          </cell>
          <cell r="G1348">
            <v>1</v>
          </cell>
          <cell r="H1348">
            <v>1</v>
          </cell>
          <cell r="I1348">
            <v>20</v>
          </cell>
          <cell r="J1348">
            <v>2</v>
          </cell>
          <cell r="K1348">
            <v>57.571428571428569</v>
          </cell>
          <cell r="L1348">
            <v>0</v>
          </cell>
          <cell r="M1348">
            <v>6400</v>
          </cell>
          <cell r="N1348">
            <v>11074</v>
          </cell>
          <cell r="O1348">
            <v>4</v>
          </cell>
          <cell r="P1348">
            <v>3</v>
          </cell>
          <cell r="Q1348">
            <v>1</v>
          </cell>
          <cell r="R1348">
            <v>6</v>
          </cell>
          <cell r="S1348">
            <v>50</v>
          </cell>
          <cell r="T1348">
            <v>47.976190476190474</v>
          </cell>
          <cell r="U1348">
            <v>791</v>
          </cell>
          <cell r="V1348">
            <v>143.92857142857142</v>
          </cell>
          <cell r="W1348">
            <v>14</v>
          </cell>
          <cell r="X1348">
            <v>158</v>
          </cell>
          <cell r="Y1348">
            <v>18</v>
          </cell>
          <cell r="Z1348">
            <v>6</v>
          </cell>
        </row>
        <row r="1349">
          <cell r="A1349">
            <v>9324121</v>
          </cell>
          <cell r="B1349" t="str">
            <v>子弹风暴第1段</v>
          </cell>
          <cell r="C1349" t="str">
            <v>子弹风暴第1段</v>
          </cell>
          <cell r="D1349">
            <v>3</v>
          </cell>
          <cell r="E1349">
            <v>37</v>
          </cell>
          <cell r="F1349" t="str">
            <v>第21级，共造成174.2%点伤害</v>
          </cell>
          <cell r="G1349">
            <v>1</v>
          </cell>
          <cell r="H1349">
            <v>1</v>
          </cell>
          <cell r="I1349">
            <v>21</v>
          </cell>
          <cell r="J1349">
            <v>2</v>
          </cell>
          <cell r="K1349">
            <v>58.05119047619047</v>
          </cell>
          <cell r="L1349">
            <v>0</v>
          </cell>
          <cell r="M1349">
            <v>6320</v>
          </cell>
          <cell r="N1349">
            <v>12615</v>
          </cell>
          <cell r="O1349">
            <v>4</v>
          </cell>
          <cell r="P1349">
            <v>3</v>
          </cell>
          <cell r="Q1349">
            <v>1</v>
          </cell>
          <cell r="R1349">
            <v>6</v>
          </cell>
          <cell r="S1349">
            <v>50</v>
          </cell>
          <cell r="T1349">
            <v>47.976190476190474</v>
          </cell>
          <cell r="U1349">
            <v>841</v>
          </cell>
          <cell r="V1349">
            <v>143.92857142857142</v>
          </cell>
          <cell r="W1349">
            <v>15</v>
          </cell>
          <cell r="X1349">
            <v>173</v>
          </cell>
          <cell r="Y1349">
            <v>18</v>
          </cell>
          <cell r="Z1349">
            <v>6</v>
          </cell>
        </row>
        <row r="1350">
          <cell r="A1350">
            <v>9324122</v>
          </cell>
          <cell r="B1350" t="str">
            <v>子弹风暴第1段</v>
          </cell>
          <cell r="C1350" t="str">
            <v>子弹风暴第1段</v>
          </cell>
          <cell r="D1350">
            <v>3</v>
          </cell>
          <cell r="E1350">
            <v>39</v>
          </cell>
          <cell r="F1350" t="str">
            <v>第22级，共造成175.6%点伤害</v>
          </cell>
          <cell r="G1350">
            <v>1</v>
          </cell>
          <cell r="H1350">
            <v>1</v>
          </cell>
          <cell r="I1350">
            <v>22</v>
          </cell>
          <cell r="J1350">
            <v>2</v>
          </cell>
          <cell r="K1350">
            <v>58.530952380952378</v>
          </cell>
          <cell r="L1350">
            <v>0</v>
          </cell>
          <cell r="M1350">
            <v>6240</v>
          </cell>
          <cell r="N1350">
            <v>15104</v>
          </cell>
          <cell r="O1350">
            <v>4</v>
          </cell>
          <cell r="P1350">
            <v>3</v>
          </cell>
          <cell r="Q1350">
            <v>1</v>
          </cell>
          <cell r="R1350">
            <v>6</v>
          </cell>
          <cell r="S1350">
            <v>50</v>
          </cell>
          <cell r="T1350">
            <v>47.976190476190474</v>
          </cell>
          <cell r="U1350">
            <v>944</v>
          </cell>
          <cell r="V1350">
            <v>143.92857142857142</v>
          </cell>
          <cell r="W1350">
            <v>16</v>
          </cell>
          <cell r="X1350">
            <v>189</v>
          </cell>
          <cell r="Y1350">
            <v>18</v>
          </cell>
          <cell r="Z1350">
            <v>7</v>
          </cell>
        </row>
        <row r="1351">
          <cell r="A1351">
            <v>9324123</v>
          </cell>
          <cell r="B1351" t="str">
            <v>子弹风暴第1段</v>
          </cell>
          <cell r="C1351" t="str">
            <v>子弹风暴第1段</v>
          </cell>
          <cell r="D1351">
            <v>3</v>
          </cell>
          <cell r="E1351">
            <v>40</v>
          </cell>
          <cell r="F1351" t="str">
            <v>第23级，共造成177%点伤害</v>
          </cell>
          <cell r="G1351">
            <v>1</v>
          </cell>
          <cell r="H1351">
            <v>1</v>
          </cell>
          <cell r="I1351">
            <v>23</v>
          </cell>
          <cell r="J1351">
            <v>2</v>
          </cell>
          <cell r="K1351">
            <v>59.010714285714286</v>
          </cell>
          <cell r="L1351">
            <v>0</v>
          </cell>
          <cell r="M1351">
            <v>6160</v>
          </cell>
          <cell r="N1351">
            <v>16966</v>
          </cell>
          <cell r="O1351">
            <v>4</v>
          </cell>
          <cell r="P1351">
            <v>3</v>
          </cell>
          <cell r="Q1351">
            <v>1</v>
          </cell>
          <cell r="R1351">
            <v>6</v>
          </cell>
          <cell r="S1351">
            <v>50</v>
          </cell>
          <cell r="T1351">
            <v>47.976190476190474</v>
          </cell>
          <cell r="U1351">
            <v>998</v>
          </cell>
          <cell r="V1351">
            <v>143.92857142857142</v>
          </cell>
          <cell r="W1351">
            <v>17</v>
          </cell>
          <cell r="X1351">
            <v>206</v>
          </cell>
          <cell r="Y1351">
            <v>18</v>
          </cell>
          <cell r="Z1351">
            <v>7</v>
          </cell>
        </row>
        <row r="1352">
          <cell r="A1352">
            <v>9324124</v>
          </cell>
          <cell r="B1352" t="str">
            <v>子弹风暴第1段</v>
          </cell>
          <cell r="C1352" t="str">
            <v>子弹风暴第1段</v>
          </cell>
          <cell r="D1352">
            <v>3</v>
          </cell>
          <cell r="E1352">
            <v>42</v>
          </cell>
          <cell r="F1352" t="str">
            <v>第24级，共造成178.5%点伤害</v>
          </cell>
          <cell r="G1352">
            <v>1</v>
          </cell>
          <cell r="H1352">
            <v>1</v>
          </cell>
          <cell r="I1352">
            <v>24</v>
          </cell>
          <cell r="J1352">
            <v>2</v>
          </cell>
          <cell r="K1352">
            <v>59.490476190476187</v>
          </cell>
          <cell r="L1352">
            <v>0</v>
          </cell>
          <cell r="M1352">
            <v>6080</v>
          </cell>
          <cell r="N1352">
            <v>19980</v>
          </cell>
          <cell r="O1352">
            <v>4</v>
          </cell>
          <cell r="P1352">
            <v>3</v>
          </cell>
          <cell r="Q1352">
            <v>1</v>
          </cell>
          <cell r="R1352">
            <v>6</v>
          </cell>
          <cell r="S1352">
            <v>50</v>
          </cell>
          <cell r="T1352">
            <v>47.976190476190474</v>
          </cell>
          <cell r="U1352">
            <v>1110</v>
          </cell>
          <cell r="V1352">
            <v>143.92857142857142</v>
          </cell>
          <cell r="W1352">
            <v>18</v>
          </cell>
          <cell r="X1352">
            <v>224</v>
          </cell>
          <cell r="Y1352">
            <v>18</v>
          </cell>
          <cell r="Z1352">
            <v>8</v>
          </cell>
        </row>
        <row r="1353">
          <cell r="A1353">
            <v>9324125</v>
          </cell>
          <cell r="B1353" t="str">
            <v>子弹风暴第1段</v>
          </cell>
          <cell r="C1353" t="str">
            <v>子弹风暴第1段</v>
          </cell>
          <cell r="D1353">
            <v>3</v>
          </cell>
          <cell r="E1353">
            <v>43</v>
          </cell>
          <cell r="F1353" t="str">
            <v>第25级，共造成179.9%点伤害</v>
          </cell>
          <cell r="G1353">
            <v>1</v>
          </cell>
          <cell r="H1353">
            <v>1</v>
          </cell>
          <cell r="I1353">
            <v>25</v>
          </cell>
          <cell r="J1353">
            <v>2</v>
          </cell>
          <cell r="K1353">
            <v>59.970238095238095</v>
          </cell>
          <cell r="L1353">
            <v>0</v>
          </cell>
          <cell r="M1353">
            <v>6000</v>
          </cell>
          <cell r="N1353">
            <v>23340</v>
          </cell>
          <cell r="O1353">
            <v>4</v>
          </cell>
          <cell r="P1353">
            <v>3</v>
          </cell>
          <cell r="Q1353">
            <v>1</v>
          </cell>
          <cell r="R1353">
            <v>6</v>
          </cell>
          <cell r="S1353">
            <v>50</v>
          </cell>
          <cell r="T1353">
            <v>47.976190476190474</v>
          </cell>
          <cell r="U1353">
            <v>1167</v>
          </cell>
          <cell r="V1353">
            <v>143.92857142857142</v>
          </cell>
          <cell r="W1353">
            <v>20</v>
          </cell>
          <cell r="X1353">
            <v>244</v>
          </cell>
          <cell r="Y1353">
            <v>18</v>
          </cell>
          <cell r="Z1353">
            <v>8</v>
          </cell>
        </row>
        <row r="1354">
          <cell r="A1354">
            <v>9324126</v>
          </cell>
          <cell r="B1354" t="str">
            <v>子弹风暴第1段</v>
          </cell>
          <cell r="C1354" t="str">
            <v>子弹风暴第1段</v>
          </cell>
          <cell r="D1354">
            <v>3</v>
          </cell>
          <cell r="E1354">
            <v>44</v>
          </cell>
          <cell r="F1354" t="str">
            <v>第26级，共造成181.4%点伤害</v>
          </cell>
          <cell r="G1354">
            <v>1</v>
          </cell>
          <cell r="H1354">
            <v>1</v>
          </cell>
          <cell r="I1354">
            <v>26</v>
          </cell>
          <cell r="J1354">
            <v>2</v>
          </cell>
          <cell r="K1354">
            <v>60.449999999999996</v>
          </cell>
          <cell r="L1354">
            <v>0</v>
          </cell>
          <cell r="M1354">
            <v>5920</v>
          </cell>
          <cell r="N1354">
            <v>25746</v>
          </cell>
          <cell r="O1354">
            <v>4</v>
          </cell>
          <cell r="P1354">
            <v>3</v>
          </cell>
          <cell r="Q1354">
            <v>1</v>
          </cell>
          <cell r="R1354">
            <v>6</v>
          </cell>
          <cell r="S1354">
            <v>50</v>
          </cell>
          <cell r="T1354">
            <v>47.976190476190474</v>
          </cell>
          <cell r="U1354">
            <v>1226</v>
          </cell>
          <cell r="V1354">
            <v>143.92857142857142</v>
          </cell>
          <cell r="W1354">
            <v>21</v>
          </cell>
          <cell r="X1354">
            <v>265</v>
          </cell>
          <cell r="Y1354">
            <v>18</v>
          </cell>
          <cell r="Z1354">
            <v>9</v>
          </cell>
        </row>
        <row r="1355">
          <cell r="A1355">
            <v>9324127</v>
          </cell>
          <cell r="B1355" t="str">
            <v>子弹风暴第1段</v>
          </cell>
          <cell r="C1355" t="str">
            <v>子弹风暴第1段</v>
          </cell>
          <cell r="D1355">
            <v>3</v>
          </cell>
          <cell r="E1355">
            <v>46</v>
          </cell>
          <cell r="F1355" t="str">
            <v>第27级，共造成182.8%点伤害</v>
          </cell>
          <cell r="G1355">
            <v>1</v>
          </cell>
          <cell r="H1355">
            <v>1</v>
          </cell>
          <cell r="I1355">
            <v>27</v>
          </cell>
          <cell r="J1355">
            <v>2</v>
          </cell>
          <cell r="K1355">
            <v>60.929761904761904</v>
          </cell>
          <cell r="L1355">
            <v>0</v>
          </cell>
          <cell r="M1355">
            <v>5840</v>
          </cell>
          <cell r="N1355">
            <v>29678</v>
          </cell>
          <cell r="O1355">
            <v>4</v>
          </cell>
          <cell r="P1355">
            <v>3</v>
          </cell>
          <cell r="Q1355">
            <v>1</v>
          </cell>
          <cell r="R1355">
            <v>6</v>
          </cell>
          <cell r="S1355">
            <v>50</v>
          </cell>
          <cell r="T1355">
            <v>47.976190476190474</v>
          </cell>
          <cell r="U1355">
            <v>1349</v>
          </cell>
          <cell r="V1355">
            <v>143.92857142857142</v>
          </cell>
          <cell r="W1355">
            <v>22</v>
          </cell>
          <cell r="X1355">
            <v>287</v>
          </cell>
          <cell r="Y1355">
            <v>18</v>
          </cell>
          <cell r="Z1355">
            <v>9</v>
          </cell>
        </row>
        <row r="1356">
          <cell r="A1356">
            <v>9324128</v>
          </cell>
          <cell r="B1356" t="str">
            <v>子弹风暴第1段</v>
          </cell>
          <cell r="C1356" t="str">
            <v>子弹风暴第1段</v>
          </cell>
          <cell r="D1356">
            <v>3</v>
          </cell>
          <cell r="E1356">
            <v>47</v>
          </cell>
          <cell r="F1356" t="str">
            <v>第28级，共造成184.2%点伤害</v>
          </cell>
          <cell r="G1356">
            <v>1</v>
          </cell>
          <cell r="H1356">
            <v>1</v>
          </cell>
          <cell r="I1356">
            <v>28</v>
          </cell>
          <cell r="J1356">
            <v>2</v>
          </cell>
          <cell r="K1356">
            <v>61.409523809523805</v>
          </cell>
          <cell r="L1356">
            <v>0</v>
          </cell>
          <cell r="M1356">
            <v>5760</v>
          </cell>
          <cell r="N1356">
            <v>33888</v>
          </cell>
          <cell r="O1356">
            <v>4</v>
          </cell>
          <cell r="P1356">
            <v>3</v>
          </cell>
          <cell r="Q1356">
            <v>1</v>
          </cell>
          <cell r="R1356">
            <v>6</v>
          </cell>
          <cell r="S1356">
            <v>50</v>
          </cell>
          <cell r="T1356">
            <v>47.976190476190474</v>
          </cell>
          <cell r="U1356">
            <v>1412</v>
          </cell>
          <cell r="V1356">
            <v>143.92857142857142</v>
          </cell>
          <cell r="W1356">
            <v>24</v>
          </cell>
          <cell r="X1356">
            <v>311</v>
          </cell>
          <cell r="Y1356">
            <v>18</v>
          </cell>
          <cell r="Z1356">
            <v>10</v>
          </cell>
        </row>
        <row r="1357">
          <cell r="A1357">
            <v>9324129</v>
          </cell>
          <cell r="B1357" t="str">
            <v>子弹风暴第1段</v>
          </cell>
          <cell r="C1357" t="str">
            <v>子弹风暴第1段</v>
          </cell>
          <cell r="D1357">
            <v>3</v>
          </cell>
          <cell r="E1357">
            <v>49</v>
          </cell>
          <cell r="F1357" t="str">
            <v>第29级，共造成185.7%点伤害</v>
          </cell>
          <cell r="G1357">
            <v>1</v>
          </cell>
          <cell r="H1357">
            <v>1</v>
          </cell>
          <cell r="I1357">
            <v>29</v>
          </cell>
          <cell r="J1357">
            <v>2</v>
          </cell>
          <cell r="K1357">
            <v>61.889285714285712</v>
          </cell>
          <cell r="L1357">
            <v>0</v>
          </cell>
          <cell r="M1357">
            <v>5680</v>
          </cell>
          <cell r="N1357">
            <v>40118</v>
          </cell>
          <cell r="O1357">
            <v>4</v>
          </cell>
          <cell r="P1357">
            <v>3</v>
          </cell>
          <cell r="Q1357">
            <v>1</v>
          </cell>
          <cell r="R1357">
            <v>6</v>
          </cell>
          <cell r="S1357">
            <v>50</v>
          </cell>
          <cell r="T1357">
            <v>47.976190476190474</v>
          </cell>
          <cell r="U1357">
            <v>1543</v>
          </cell>
          <cell r="V1357">
            <v>143.92857142857142</v>
          </cell>
          <cell r="W1357">
            <v>26</v>
          </cell>
          <cell r="X1357">
            <v>337</v>
          </cell>
          <cell r="Y1357">
            <v>18</v>
          </cell>
          <cell r="Z1357">
            <v>11</v>
          </cell>
        </row>
        <row r="1358">
          <cell r="A1358">
            <v>9324130</v>
          </cell>
          <cell r="B1358" t="str">
            <v>子弹风暴第1段</v>
          </cell>
          <cell r="C1358" t="str">
            <v>子弹风暴第1段</v>
          </cell>
          <cell r="D1358">
            <v>3</v>
          </cell>
          <cell r="E1358">
            <v>50</v>
          </cell>
          <cell r="F1358" t="str">
            <v>第30级，共造成187.1%点伤害</v>
          </cell>
          <cell r="G1358">
            <v>1</v>
          </cell>
          <cell r="H1358">
            <v>1</v>
          </cell>
          <cell r="I1358">
            <v>30</v>
          </cell>
          <cell r="J1358">
            <v>2</v>
          </cell>
          <cell r="K1358">
            <v>62.36904761904762</v>
          </cell>
          <cell r="L1358">
            <v>0</v>
          </cell>
          <cell r="M1358">
            <v>5600</v>
          </cell>
          <cell r="N1358">
            <v>45080</v>
          </cell>
          <cell r="O1358">
            <v>4</v>
          </cell>
          <cell r="P1358">
            <v>3</v>
          </cell>
          <cell r="Q1358">
            <v>1</v>
          </cell>
          <cell r="R1358">
            <v>6</v>
          </cell>
          <cell r="S1358">
            <v>50</v>
          </cell>
          <cell r="T1358">
            <v>47.976190476190474</v>
          </cell>
          <cell r="U1358">
            <v>1610</v>
          </cell>
          <cell r="V1358">
            <v>143.92857142857142</v>
          </cell>
          <cell r="W1358">
            <v>28</v>
          </cell>
          <cell r="X1358">
            <v>365</v>
          </cell>
          <cell r="Y1358">
            <v>18</v>
          </cell>
          <cell r="Z1358">
            <v>12</v>
          </cell>
        </row>
        <row r="1359">
          <cell r="A1359">
            <v>9324131</v>
          </cell>
          <cell r="B1359" t="str">
            <v>子弹风暴第1段</v>
          </cell>
          <cell r="C1359" t="str">
            <v>子弹风暴第1段</v>
          </cell>
          <cell r="D1359">
            <v>3</v>
          </cell>
          <cell r="E1359">
            <v>52</v>
          </cell>
          <cell r="F1359" t="str">
            <v>第31级，共造成188.5%点伤害</v>
          </cell>
          <cell r="G1359">
            <v>1</v>
          </cell>
          <cell r="H1359">
            <v>1</v>
          </cell>
          <cell r="I1359">
            <v>31</v>
          </cell>
          <cell r="J1359">
            <v>2</v>
          </cell>
          <cell r="K1359">
            <v>62.848809523809521</v>
          </cell>
          <cell r="L1359">
            <v>0</v>
          </cell>
          <cell r="M1359">
            <v>5520</v>
          </cell>
          <cell r="N1359">
            <v>50721</v>
          </cell>
          <cell r="O1359">
            <v>4</v>
          </cell>
          <cell r="P1359">
            <v>3</v>
          </cell>
          <cell r="Q1359">
            <v>1</v>
          </cell>
          <cell r="R1359">
            <v>6</v>
          </cell>
          <cell r="S1359">
            <v>50</v>
          </cell>
          <cell r="T1359">
            <v>47.976190476190474</v>
          </cell>
          <cell r="U1359">
            <v>1749</v>
          </cell>
          <cell r="V1359">
            <v>143.92857142857142</v>
          </cell>
          <cell r="W1359">
            <v>29</v>
          </cell>
          <cell r="X1359">
            <v>394</v>
          </cell>
          <cell r="Y1359">
            <v>18</v>
          </cell>
          <cell r="Z1359">
            <v>12</v>
          </cell>
        </row>
        <row r="1360">
          <cell r="A1360">
            <v>9324132</v>
          </cell>
          <cell r="B1360" t="str">
            <v>子弹风暴第1段</v>
          </cell>
          <cell r="C1360" t="str">
            <v>子弹风暴第1段</v>
          </cell>
          <cell r="D1360">
            <v>3</v>
          </cell>
          <cell r="E1360">
            <v>53</v>
          </cell>
          <cell r="F1360" t="str">
            <v>第32级，共造成190%点伤害</v>
          </cell>
          <cell r="G1360">
            <v>1</v>
          </cell>
          <cell r="H1360">
            <v>1</v>
          </cell>
          <cell r="I1360">
            <v>32</v>
          </cell>
          <cell r="J1360">
            <v>2</v>
          </cell>
          <cell r="K1360">
            <v>63.328571428571422</v>
          </cell>
          <cell r="L1360">
            <v>0</v>
          </cell>
          <cell r="M1360">
            <v>5440</v>
          </cell>
          <cell r="N1360">
            <v>56420</v>
          </cell>
          <cell r="O1360">
            <v>4</v>
          </cell>
          <cell r="P1360">
            <v>3</v>
          </cell>
          <cell r="Q1360">
            <v>1</v>
          </cell>
          <cell r="R1360">
            <v>6</v>
          </cell>
          <cell r="S1360">
            <v>50</v>
          </cell>
          <cell r="T1360">
            <v>47.976190476190474</v>
          </cell>
          <cell r="U1360">
            <v>1820</v>
          </cell>
          <cell r="V1360">
            <v>143.92857142857142</v>
          </cell>
          <cell r="W1360">
            <v>31</v>
          </cell>
          <cell r="X1360">
            <v>425</v>
          </cell>
          <cell r="Y1360">
            <v>18</v>
          </cell>
          <cell r="Z1360">
            <v>13</v>
          </cell>
        </row>
        <row r="1361">
          <cell r="A1361">
            <v>9324133</v>
          </cell>
          <cell r="B1361" t="str">
            <v>子弹风暴第1段</v>
          </cell>
          <cell r="C1361" t="str">
            <v>子弹风暴第1段</v>
          </cell>
          <cell r="D1361">
            <v>3</v>
          </cell>
          <cell r="E1361">
            <v>55</v>
          </cell>
          <cell r="F1361" t="str">
            <v>第33级，共造成191.4%点伤害</v>
          </cell>
          <cell r="G1361">
            <v>1</v>
          </cell>
          <cell r="H1361">
            <v>1</v>
          </cell>
          <cell r="I1361">
            <v>33</v>
          </cell>
          <cell r="J1361">
            <v>2</v>
          </cell>
          <cell r="K1361">
            <v>63.80833333333333</v>
          </cell>
          <cell r="L1361">
            <v>0</v>
          </cell>
          <cell r="M1361">
            <v>5360</v>
          </cell>
          <cell r="N1361">
            <v>66878</v>
          </cell>
          <cell r="O1361">
            <v>4</v>
          </cell>
          <cell r="P1361">
            <v>3</v>
          </cell>
          <cell r="Q1361">
            <v>1</v>
          </cell>
          <cell r="R1361">
            <v>6</v>
          </cell>
          <cell r="S1361">
            <v>50</v>
          </cell>
          <cell r="T1361">
            <v>47.976190476190474</v>
          </cell>
          <cell r="U1361">
            <v>1967</v>
          </cell>
          <cell r="V1361">
            <v>143.92857142857142</v>
          </cell>
          <cell r="W1361">
            <v>34</v>
          </cell>
          <cell r="X1361">
            <v>459</v>
          </cell>
          <cell r="Y1361">
            <v>18</v>
          </cell>
          <cell r="Z1361">
            <v>14</v>
          </cell>
        </row>
        <row r="1362">
          <cell r="A1362">
            <v>9324134</v>
          </cell>
          <cell r="B1362" t="str">
            <v>子弹风暴第1段</v>
          </cell>
          <cell r="C1362" t="str">
            <v>子弹风暴第1段</v>
          </cell>
          <cell r="D1362">
            <v>3</v>
          </cell>
          <cell r="E1362">
            <v>56</v>
          </cell>
          <cell r="F1362" t="str">
            <v>第34级，共造成192.9%点伤害</v>
          </cell>
          <cell r="G1362">
            <v>1</v>
          </cell>
          <cell r="H1362">
            <v>1</v>
          </cell>
          <cell r="I1362">
            <v>34</v>
          </cell>
          <cell r="J1362">
            <v>2</v>
          </cell>
          <cell r="K1362">
            <v>64.288095238095238</v>
          </cell>
          <cell r="L1362">
            <v>0</v>
          </cell>
          <cell r="M1362">
            <v>5280</v>
          </cell>
          <cell r="N1362">
            <v>73512</v>
          </cell>
          <cell r="O1362">
            <v>4</v>
          </cell>
          <cell r="P1362">
            <v>3</v>
          </cell>
          <cell r="Q1362">
            <v>1</v>
          </cell>
          <cell r="R1362">
            <v>6</v>
          </cell>
          <cell r="S1362">
            <v>50</v>
          </cell>
          <cell r="T1362">
            <v>47.976190476190474</v>
          </cell>
          <cell r="U1362">
            <v>2042</v>
          </cell>
          <cell r="V1362">
            <v>143.92857142857142</v>
          </cell>
          <cell r="W1362">
            <v>36</v>
          </cell>
          <cell r="X1362">
            <v>495</v>
          </cell>
          <cell r="Y1362">
            <v>18</v>
          </cell>
          <cell r="Z1362">
            <v>15</v>
          </cell>
        </row>
        <row r="1363">
          <cell r="A1363">
            <v>9324135</v>
          </cell>
          <cell r="B1363" t="str">
            <v>子弹风暴第1段</v>
          </cell>
          <cell r="C1363" t="str">
            <v>子弹风暴第1段</v>
          </cell>
          <cell r="D1363">
            <v>3</v>
          </cell>
          <cell r="E1363">
            <v>58</v>
          </cell>
          <cell r="F1363" t="str">
            <v>第35级，共造成194.3%点伤害</v>
          </cell>
          <cell r="G1363">
            <v>1</v>
          </cell>
          <cell r="H1363">
            <v>1</v>
          </cell>
          <cell r="I1363">
            <v>35</v>
          </cell>
          <cell r="J1363">
            <v>2</v>
          </cell>
          <cell r="K1363">
            <v>64.767857142857139</v>
          </cell>
          <cell r="L1363">
            <v>0</v>
          </cell>
          <cell r="M1363">
            <v>5200</v>
          </cell>
          <cell r="N1363">
            <v>83524</v>
          </cell>
          <cell r="O1363">
            <v>4</v>
          </cell>
          <cell r="P1363">
            <v>3</v>
          </cell>
          <cell r="Q1363">
            <v>1</v>
          </cell>
          <cell r="R1363">
            <v>6</v>
          </cell>
          <cell r="S1363">
            <v>50</v>
          </cell>
          <cell r="T1363">
            <v>47.976190476190474</v>
          </cell>
          <cell r="U1363">
            <v>2198</v>
          </cell>
          <cell r="V1363">
            <v>143.92857142857142</v>
          </cell>
          <cell r="W1363">
            <v>38</v>
          </cell>
          <cell r="X1363">
            <v>533</v>
          </cell>
          <cell r="Y1363">
            <v>18</v>
          </cell>
          <cell r="Z1363">
            <v>16</v>
          </cell>
        </row>
        <row r="1364">
          <cell r="A1364">
            <v>9324136</v>
          </cell>
          <cell r="B1364" t="str">
            <v>子弹风暴第1段</v>
          </cell>
          <cell r="C1364" t="str">
            <v>子弹风暴第1段</v>
          </cell>
          <cell r="D1364">
            <v>3</v>
          </cell>
          <cell r="E1364">
            <v>59</v>
          </cell>
          <cell r="F1364" t="str">
            <v>第36级，共造成195.7%点伤害</v>
          </cell>
          <cell r="G1364">
            <v>1</v>
          </cell>
          <cell r="H1364">
            <v>1</v>
          </cell>
          <cell r="I1364">
            <v>36</v>
          </cell>
          <cell r="J1364">
            <v>2</v>
          </cell>
          <cell r="K1364">
            <v>65.24761904761904</v>
          </cell>
          <cell r="L1364">
            <v>0</v>
          </cell>
          <cell r="M1364">
            <v>5120</v>
          </cell>
          <cell r="N1364">
            <v>93357</v>
          </cell>
          <cell r="O1364">
            <v>4</v>
          </cell>
          <cell r="P1364">
            <v>3</v>
          </cell>
          <cell r="Q1364">
            <v>1</v>
          </cell>
          <cell r="R1364">
            <v>6</v>
          </cell>
          <cell r="S1364">
            <v>50</v>
          </cell>
          <cell r="T1364">
            <v>47.976190476190474</v>
          </cell>
          <cell r="U1364">
            <v>2277</v>
          </cell>
          <cell r="V1364">
            <v>143.92857142857142</v>
          </cell>
          <cell r="W1364">
            <v>41</v>
          </cell>
          <cell r="X1364">
            <v>574</v>
          </cell>
          <cell r="Y1364">
            <v>18</v>
          </cell>
          <cell r="Z1364">
            <v>17</v>
          </cell>
        </row>
        <row r="1365">
          <cell r="A1365">
            <v>9324137</v>
          </cell>
          <cell r="B1365" t="str">
            <v>子弹风暴第1段</v>
          </cell>
          <cell r="C1365" t="str">
            <v>子弹风暴第1段</v>
          </cell>
          <cell r="D1365">
            <v>3</v>
          </cell>
          <cell r="E1365">
            <v>61</v>
          </cell>
          <cell r="F1365" t="str">
            <v>第37级，共造成197.2%点伤害</v>
          </cell>
          <cell r="G1365">
            <v>1</v>
          </cell>
          <cell r="H1365">
            <v>1</v>
          </cell>
          <cell r="I1365">
            <v>37</v>
          </cell>
          <cell r="J1365">
            <v>2</v>
          </cell>
          <cell r="K1365">
            <v>65.72738095238094</v>
          </cell>
          <cell r="L1365">
            <v>0</v>
          </cell>
          <cell r="M1365">
            <v>5040</v>
          </cell>
          <cell r="N1365">
            <v>107360</v>
          </cell>
          <cell r="O1365">
            <v>4</v>
          </cell>
          <cell r="P1365">
            <v>3</v>
          </cell>
          <cell r="Q1365">
            <v>1</v>
          </cell>
          <cell r="R1365">
            <v>6</v>
          </cell>
          <cell r="S1365">
            <v>50</v>
          </cell>
          <cell r="T1365">
            <v>47.976190476190474</v>
          </cell>
          <cell r="U1365">
            <v>2440</v>
          </cell>
          <cell r="V1365">
            <v>143.92857142857142</v>
          </cell>
          <cell r="W1365">
            <v>44</v>
          </cell>
          <cell r="X1365">
            <v>618</v>
          </cell>
          <cell r="Y1365">
            <v>18</v>
          </cell>
          <cell r="Z1365">
            <v>18</v>
          </cell>
        </row>
        <row r="1366">
          <cell r="A1366">
            <v>9324138</v>
          </cell>
          <cell r="B1366" t="str">
            <v>子弹风暴第1段</v>
          </cell>
          <cell r="C1366" t="str">
            <v>子弹风暴第1段</v>
          </cell>
          <cell r="D1366">
            <v>3</v>
          </cell>
          <cell r="E1366">
            <v>62</v>
          </cell>
          <cell r="F1366" t="str">
            <v>第38级，共造成198.6%点伤害</v>
          </cell>
          <cell r="G1366">
            <v>1</v>
          </cell>
          <cell r="H1366">
            <v>1</v>
          </cell>
          <cell r="I1366">
            <v>38</v>
          </cell>
          <cell r="J1366">
            <v>2</v>
          </cell>
          <cell r="K1366">
            <v>66.207142857142856</v>
          </cell>
          <cell r="L1366">
            <v>0</v>
          </cell>
          <cell r="M1366">
            <v>4960</v>
          </cell>
          <cell r="N1366">
            <v>118628</v>
          </cell>
          <cell r="O1366">
            <v>4</v>
          </cell>
          <cell r="P1366">
            <v>3</v>
          </cell>
          <cell r="Q1366">
            <v>1</v>
          </cell>
          <cell r="R1366">
            <v>6</v>
          </cell>
          <cell r="S1366">
            <v>50</v>
          </cell>
          <cell r="T1366">
            <v>47.976190476190474</v>
          </cell>
          <cell r="U1366">
            <v>2524</v>
          </cell>
          <cell r="V1366">
            <v>143.92857142857142</v>
          </cell>
          <cell r="W1366">
            <v>47</v>
          </cell>
          <cell r="X1366">
            <v>665</v>
          </cell>
          <cell r="Y1366">
            <v>18</v>
          </cell>
          <cell r="Z1366">
            <v>19</v>
          </cell>
        </row>
        <row r="1367">
          <cell r="A1367">
            <v>9324139</v>
          </cell>
          <cell r="B1367" t="str">
            <v>子弹风暴第1段</v>
          </cell>
          <cell r="C1367" t="str">
            <v>子弹风暴第1段</v>
          </cell>
          <cell r="D1367">
            <v>3</v>
          </cell>
          <cell r="E1367">
            <v>64</v>
          </cell>
          <cell r="F1367" t="str">
            <v>第39级，共造成200.1%点伤害</v>
          </cell>
          <cell r="G1367">
            <v>1</v>
          </cell>
          <cell r="H1367">
            <v>1</v>
          </cell>
          <cell r="I1367">
            <v>39</v>
          </cell>
          <cell r="J1367">
            <v>2</v>
          </cell>
          <cell r="K1367">
            <v>66.686904761904756</v>
          </cell>
          <cell r="L1367">
            <v>0</v>
          </cell>
          <cell r="M1367">
            <v>4880</v>
          </cell>
          <cell r="N1367">
            <v>134750</v>
          </cell>
          <cell r="O1367">
            <v>4</v>
          </cell>
          <cell r="P1367">
            <v>3</v>
          </cell>
          <cell r="Q1367">
            <v>1</v>
          </cell>
          <cell r="R1367">
            <v>6</v>
          </cell>
          <cell r="S1367">
            <v>50</v>
          </cell>
          <cell r="T1367">
            <v>47.976190476190474</v>
          </cell>
          <cell r="U1367">
            <v>2695</v>
          </cell>
          <cell r="V1367">
            <v>143.92857142857142</v>
          </cell>
          <cell r="W1367">
            <v>50</v>
          </cell>
          <cell r="X1367">
            <v>715</v>
          </cell>
          <cell r="Y1367">
            <v>18</v>
          </cell>
          <cell r="Z1367">
            <v>20</v>
          </cell>
        </row>
        <row r="1368">
          <cell r="A1368">
            <v>9324140</v>
          </cell>
          <cell r="B1368" t="str">
            <v>子弹风暴第1段</v>
          </cell>
          <cell r="C1368" t="str">
            <v>子弹风暴第1段</v>
          </cell>
          <cell r="D1368">
            <v>3</v>
          </cell>
          <cell r="E1368">
            <v>65</v>
          </cell>
          <cell r="F1368" t="str">
            <v>第40级，共造成201.5%点伤害</v>
          </cell>
          <cell r="G1368">
            <v>1</v>
          </cell>
          <cell r="H1368">
            <v>1</v>
          </cell>
          <cell r="I1368">
            <v>40</v>
          </cell>
          <cell r="J1368">
            <v>2</v>
          </cell>
          <cell r="K1368">
            <v>67.166666666666657</v>
          </cell>
          <cell r="L1368">
            <v>0</v>
          </cell>
          <cell r="M1368">
            <v>4800</v>
          </cell>
          <cell r="N1368">
            <v>150282</v>
          </cell>
          <cell r="O1368">
            <v>4</v>
          </cell>
          <cell r="P1368">
            <v>3</v>
          </cell>
          <cell r="Q1368">
            <v>1</v>
          </cell>
          <cell r="R1368">
            <v>6</v>
          </cell>
          <cell r="S1368">
            <v>50</v>
          </cell>
          <cell r="T1368">
            <v>47.976190476190474</v>
          </cell>
          <cell r="U1368">
            <v>2783</v>
          </cell>
          <cell r="V1368">
            <v>143.92857142857142</v>
          </cell>
          <cell r="W1368">
            <v>54</v>
          </cell>
          <cell r="X1368">
            <v>769</v>
          </cell>
          <cell r="Y1368">
            <v>18</v>
          </cell>
          <cell r="Z1368">
            <v>22</v>
          </cell>
        </row>
        <row r="1369">
          <cell r="A1369">
            <v>9324141</v>
          </cell>
          <cell r="B1369" t="str">
            <v>子弹风暴第1段</v>
          </cell>
          <cell r="C1369" t="str">
            <v>子弹风暴第1段</v>
          </cell>
          <cell r="D1369">
            <v>3</v>
          </cell>
          <cell r="E1369">
            <v>67</v>
          </cell>
          <cell r="F1369" t="str">
            <v>第41级，共造成202.9%点伤害</v>
          </cell>
          <cell r="G1369">
            <v>1</v>
          </cell>
          <cell r="H1369">
            <v>1</v>
          </cell>
          <cell r="I1369">
            <v>41</v>
          </cell>
          <cell r="J1369">
            <v>2</v>
          </cell>
          <cell r="K1369">
            <v>67.646428571428572</v>
          </cell>
          <cell r="L1369">
            <v>0</v>
          </cell>
          <cell r="M1369">
            <v>4720</v>
          </cell>
          <cell r="N1369">
            <v>171854</v>
          </cell>
          <cell r="O1369">
            <v>4</v>
          </cell>
          <cell r="P1369">
            <v>3</v>
          </cell>
          <cell r="Q1369">
            <v>1</v>
          </cell>
          <cell r="R1369">
            <v>6</v>
          </cell>
          <cell r="S1369">
            <v>50</v>
          </cell>
          <cell r="T1369">
            <v>47.976190476190474</v>
          </cell>
          <cell r="U1369">
            <v>2963</v>
          </cell>
          <cell r="V1369">
            <v>143.92857142857142</v>
          </cell>
          <cell r="W1369">
            <v>58</v>
          </cell>
          <cell r="X1369">
            <v>827</v>
          </cell>
          <cell r="Y1369">
            <v>18</v>
          </cell>
          <cell r="Z1369">
            <v>24</v>
          </cell>
        </row>
        <row r="1370">
          <cell r="A1370">
            <v>9324142</v>
          </cell>
          <cell r="B1370" t="str">
            <v>子弹风暴第1段</v>
          </cell>
          <cell r="C1370" t="str">
            <v>子弹风暴第1段</v>
          </cell>
          <cell r="D1370">
            <v>3</v>
          </cell>
          <cell r="E1370">
            <v>68</v>
          </cell>
          <cell r="F1370" t="str">
            <v>第42级，共造成204.4%点伤害</v>
          </cell>
          <cell r="G1370">
            <v>1</v>
          </cell>
          <cell r="H1370">
            <v>1</v>
          </cell>
          <cell r="I1370">
            <v>42</v>
          </cell>
          <cell r="J1370">
            <v>2</v>
          </cell>
          <cell r="K1370">
            <v>68.126190476190473</v>
          </cell>
          <cell r="L1370">
            <v>0</v>
          </cell>
          <cell r="M1370">
            <v>4640</v>
          </cell>
          <cell r="N1370">
            <v>189348</v>
          </cell>
          <cell r="O1370">
            <v>4</v>
          </cell>
          <cell r="P1370">
            <v>3</v>
          </cell>
          <cell r="Q1370">
            <v>1</v>
          </cell>
          <cell r="R1370">
            <v>6</v>
          </cell>
          <cell r="S1370">
            <v>50</v>
          </cell>
          <cell r="T1370">
            <v>47.976190476190474</v>
          </cell>
          <cell r="U1370">
            <v>3054</v>
          </cell>
          <cell r="V1370">
            <v>143.92857142857142</v>
          </cell>
          <cell r="W1370">
            <v>62</v>
          </cell>
          <cell r="X1370">
            <v>889</v>
          </cell>
          <cell r="Y1370">
            <v>18</v>
          </cell>
          <cell r="Z1370">
            <v>25</v>
          </cell>
        </row>
        <row r="1371">
          <cell r="A1371">
            <v>9324143</v>
          </cell>
          <cell r="B1371" t="str">
            <v>子弹风暴第1段</v>
          </cell>
          <cell r="C1371" t="str">
            <v>子弹风暴第1段</v>
          </cell>
          <cell r="D1371">
            <v>3</v>
          </cell>
          <cell r="E1371">
            <v>70</v>
          </cell>
          <cell r="F1371" t="str">
            <v>第43级，共造成205.8%点伤害</v>
          </cell>
          <cell r="G1371">
            <v>1</v>
          </cell>
          <cell r="H1371">
            <v>1</v>
          </cell>
          <cell r="I1371">
            <v>43</v>
          </cell>
          <cell r="J1371">
            <v>2</v>
          </cell>
          <cell r="K1371">
            <v>68.605952380952374</v>
          </cell>
          <cell r="L1371">
            <v>0</v>
          </cell>
          <cell r="M1371">
            <v>4560</v>
          </cell>
          <cell r="N1371">
            <v>213972</v>
          </cell>
          <cell r="O1371">
            <v>4</v>
          </cell>
          <cell r="P1371">
            <v>3</v>
          </cell>
          <cell r="Q1371">
            <v>1</v>
          </cell>
          <cell r="R1371">
            <v>6</v>
          </cell>
          <cell r="S1371">
            <v>50</v>
          </cell>
          <cell r="T1371">
            <v>47.976190476190474</v>
          </cell>
          <cell r="U1371">
            <v>3242</v>
          </cell>
          <cell r="V1371">
            <v>143.92857142857142</v>
          </cell>
          <cell r="W1371">
            <v>66</v>
          </cell>
          <cell r="X1371">
            <v>955</v>
          </cell>
          <cell r="Y1371">
            <v>18</v>
          </cell>
          <cell r="Z1371">
            <v>27</v>
          </cell>
        </row>
        <row r="1372">
          <cell r="A1372">
            <v>9324144</v>
          </cell>
          <cell r="B1372" t="str">
            <v>子弹风暴第1段</v>
          </cell>
          <cell r="C1372" t="str">
            <v>子弹风暴第1段</v>
          </cell>
          <cell r="D1372">
            <v>3</v>
          </cell>
          <cell r="E1372">
            <v>71</v>
          </cell>
          <cell r="F1372" t="str">
            <v>第44级，共造成207.3%点伤害</v>
          </cell>
          <cell r="G1372">
            <v>1</v>
          </cell>
          <cell r="H1372">
            <v>1</v>
          </cell>
          <cell r="I1372">
            <v>44</v>
          </cell>
          <cell r="J1372">
            <v>2</v>
          </cell>
          <cell r="K1372">
            <v>69.085714285714289</v>
          </cell>
          <cell r="L1372">
            <v>0</v>
          </cell>
          <cell r="M1372">
            <v>4480</v>
          </cell>
          <cell r="N1372">
            <v>236998</v>
          </cell>
          <cell r="O1372">
            <v>4</v>
          </cell>
          <cell r="P1372">
            <v>3</v>
          </cell>
          <cell r="Q1372">
            <v>1</v>
          </cell>
          <cell r="R1372">
            <v>6</v>
          </cell>
          <cell r="S1372">
            <v>50</v>
          </cell>
          <cell r="T1372">
            <v>47.976190476190474</v>
          </cell>
          <cell r="U1372">
            <v>3338</v>
          </cell>
          <cell r="V1372">
            <v>143.92857142857142</v>
          </cell>
          <cell r="W1372">
            <v>71</v>
          </cell>
          <cell r="X1372">
            <v>1026</v>
          </cell>
          <cell r="Y1372">
            <v>18</v>
          </cell>
          <cell r="Z1372">
            <v>29</v>
          </cell>
        </row>
        <row r="1373">
          <cell r="A1373">
            <v>9324145</v>
          </cell>
          <cell r="B1373" t="str">
            <v>子弹风暴第1段</v>
          </cell>
          <cell r="C1373" t="str">
            <v>子弹风暴第1段</v>
          </cell>
          <cell r="D1373">
            <v>3</v>
          </cell>
          <cell r="E1373">
            <v>73</v>
          </cell>
          <cell r="F1373" t="str">
            <v>第45级，共造成208.7%点伤害</v>
          </cell>
          <cell r="G1373">
            <v>1</v>
          </cell>
          <cell r="H1373">
            <v>1</v>
          </cell>
          <cell r="I1373">
            <v>45</v>
          </cell>
          <cell r="J1373">
            <v>2</v>
          </cell>
          <cell r="K1373">
            <v>69.56547619047619</v>
          </cell>
          <cell r="L1373">
            <v>0</v>
          </cell>
          <cell r="M1373">
            <v>4400</v>
          </cell>
          <cell r="N1373">
            <v>268584</v>
          </cell>
          <cell r="O1373">
            <v>4</v>
          </cell>
          <cell r="P1373">
            <v>3</v>
          </cell>
          <cell r="Q1373">
            <v>1</v>
          </cell>
          <cell r="R1373">
            <v>6</v>
          </cell>
          <cell r="S1373">
            <v>50</v>
          </cell>
          <cell r="T1373">
            <v>47.976190476190474</v>
          </cell>
          <cell r="U1373">
            <v>3534</v>
          </cell>
          <cell r="V1373">
            <v>143.92857142857142</v>
          </cell>
          <cell r="W1373">
            <v>76</v>
          </cell>
          <cell r="X1373">
            <v>1102</v>
          </cell>
          <cell r="Y1373">
            <v>18</v>
          </cell>
          <cell r="Z1373">
            <v>31</v>
          </cell>
        </row>
        <row r="1374">
          <cell r="A1374">
            <v>9324146</v>
          </cell>
          <cell r="B1374" t="str">
            <v>子弹风暴第1段</v>
          </cell>
          <cell r="C1374" t="str">
            <v>子弹风暴第1段</v>
          </cell>
          <cell r="D1374">
            <v>3</v>
          </cell>
          <cell r="E1374">
            <v>74</v>
          </cell>
          <cell r="F1374" t="str">
            <v>第46级，共造成210.1%点伤害</v>
          </cell>
          <cell r="G1374">
            <v>1</v>
          </cell>
          <cell r="H1374">
            <v>1</v>
          </cell>
          <cell r="I1374">
            <v>46</v>
          </cell>
          <cell r="J1374">
            <v>2</v>
          </cell>
          <cell r="K1374">
            <v>70.045238095238091</v>
          </cell>
          <cell r="L1374">
            <v>0</v>
          </cell>
          <cell r="M1374">
            <v>4320</v>
          </cell>
          <cell r="N1374">
            <v>294354</v>
          </cell>
          <cell r="O1374">
            <v>4</v>
          </cell>
          <cell r="P1374">
            <v>3</v>
          </cell>
          <cell r="Q1374">
            <v>1</v>
          </cell>
          <cell r="R1374">
            <v>6</v>
          </cell>
          <cell r="S1374">
            <v>50</v>
          </cell>
          <cell r="T1374">
            <v>47.976190476190474</v>
          </cell>
          <cell r="U1374">
            <v>3634</v>
          </cell>
          <cell r="V1374">
            <v>143.92857142857142</v>
          </cell>
          <cell r="W1374">
            <v>81</v>
          </cell>
          <cell r="X1374">
            <v>1183</v>
          </cell>
          <cell r="Y1374">
            <v>18</v>
          </cell>
          <cell r="Z1374">
            <v>33</v>
          </cell>
        </row>
        <row r="1375">
          <cell r="A1375">
            <v>9324147</v>
          </cell>
          <cell r="B1375" t="str">
            <v>子弹风暴第1段</v>
          </cell>
          <cell r="C1375" t="str">
            <v>子弹风暴第1段</v>
          </cell>
          <cell r="D1375">
            <v>3</v>
          </cell>
          <cell r="E1375">
            <v>76</v>
          </cell>
          <cell r="F1375" t="str">
            <v>第47级，共造成211.6%点伤害</v>
          </cell>
          <cell r="G1375">
            <v>1</v>
          </cell>
          <cell r="H1375">
            <v>1</v>
          </cell>
          <cell r="I1375">
            <v>47</v>
          </cell>
          <cell r="J1375">
            <v>2</v>
          </cell>
          <cell r="K1375">
            <v>70.524999999999991</v>
          </cell>
          <cell r="L1375">
            <v>0</v>
          </cell>
          <cell r="M1375">
            <v>4240</v>
          </cell>
          <cell r="N1375">
            <v>333906</v>
          </cell>
          <cell r="O1375">
            <v>4</v>
          </cell>
          <cell r="P1375">
            <v>3</v>
          </cell>
          <cell r="Q1375">
            <v>1</v>
          </cell>
          <cell r="R1375">
            <v>6</v>
          </cell>
          <cell r="S1375">
            <v>50</v>
          </cell>
          <cell r="T1375">
            <v>47.976190476190474</v>
          </cell>
          <cell r="U1375">
            <v>3838</v>
          </cell>
          <cell r="V1375">
            <v>143.92857142857142</v>
          </cell>
          <cell r="W1375">
            <v>87</v>
          </cell>
          <cell r="X1375">
            <v>1270</v>
          </cell>
          <cell r="Y1375">
            <v>18</v>
          </cell>
          <cell r="Z1375">
            <v>35</v>
          </cell>
        </row>
        <row r="1376">
          <cell r="A1376">
            <v>9324148</v>
          </cell>
          <cell r="B1376" t="str">
            <v>子弹风暴第1段</v>
          </cell>
          <cell r="C1376" t="str">
            <v>子弹风暴第1段</v>
          </cell>
          <cell r="D1376">
            <v>3</v>
          </cell>
          <cell r="E1376">
            <v>77</v>
          </cell>
          <cell r="F1376" t="str">
            <v>第48级，共造成213%点伤害</v>
          </cell>
          <cell r="G1376">
            <v>1</v>
          </cell>
          <cell r="H1376">
            <v>1</v>
          </cell>
          <cell r="I1376">
            <v>48</v>
          </cell>
          <cell r="J1376">
            <v>2</v>
          </cell>
          <cell r="K1376">
            <v>71.004761904761892</v>
          </cell>
          <cell r="L1376">
            <v>0</v>
          </cell>
          <cell r="M1376">
            <v>4160</v>
          </cell>
          <cell r="N1376">
            <v>366606</v>
          </cell>
          <cell r="O1376">
            <v>4</v>
          </cell>
          <cell r="P1376">
            <v>3</v>
          </cell>
          <cell r="Q1376">
            <v>1</v>
          </cell>
          <cell r="R1376">
            <v>6</v>
          </cell>
          <cell r="S1376">
            <v>50</v>
          </cell>
          <cell r="T1376">
            <v>47.976190476190474</v>
          </cell>
          <cell r="U1376">
            <v>3942</v>
          </cell>
          <cell r="V1376">
            <v>143.92857142857142</v>
          </cell>
          <cell r="W1376">
            <v>93</v>
          </cell>
          <cell r="X1376">
            <v>1363</v>
          </cell>
          <cell r="Y1376">
            <v>18</v>
          </cell>
          <cell r="Z1376">
            <v>38</v>
          </cell>
        </row>
        <row r="1377">
          <cell r="A1377">
            <v>9324149</v>
          </cell>
          <cell r="B1377" t="str">
            <v>子弹风暴第1段</v>
          </cell>
          <cell r="C1377" t="str">
            <v>子弹风暴第1段</v>
          </cell>
          <cell r="D1377">
            <v>3</v>
          </cell>
          <cell r="E1377">
            <v>79</v>
          </cell>
          <cell r="F1377" t="str">
            <v>第49级，共造成214.5%点伤害</v>
          </cell>
          <cell r="G1377">
            <v>1</v>
          </cell>
          <cell r="H1377">
            <v>1</v>
          </cell>
          <cell r="I1377">
            <v>49</v>
          </cell>
          <cell r="J1377">
            <v>2</v>
          </cell>
          <cell r="K1377">
            <v>71.484523809523807</v>
          </cell>
          <cell r="L1377">
            <v>0</v>
          </cell>
          <cell r="M1377">
            <v>4080</v>
          </cell>
          <cell r="N1377">
            <v>411246</v>
          </cell>
          <cell r="O1377">
            <v>4</v>
          </cell>
          <cell r="P1377">
            <v>3</v>
          </cell>
          <cell r="Q1377">
            <v>1</v>
          </cell>
          <cell r="R1377">
            <v>6</v>
          </cell>
          <cell r="S1377">
            <v>50</v>
          </cell>
          <cell r="T1377">
            <v>47.976190476190474</v>
          </cell>
          <cell r="U1377">
            <v>4154</v>
          </cell>
          <cell r="V1377">
            <v>143.92857142857142</v>
          </cell>
          <cell r="W1377">
            <v>99</v>
          </cell>
          <cell r="X1377">
            <v>1462</v>
          </cell>
          <cell r="Y1377">
            <v>18</v>
          </cell>
          <cell r="Z1377">
            <v>40</v>
          </cell>
        </row>
        <row r="1378">
          <cell r="A1378">
            <v>9324150</v>
          </cell>
          <cell r="B1378" t="str">
            <v>子弹风暴第1段</v>
          </cell>
          <cell r="C1378" t="str">
            <v>子弹风暴第1段</v>
          </cell>
          <cell r="D1378">
            <v>3</v>
          </cell>
          <cell r="E1378">
            <v>80</v>
          </cell>
          <cell r="F1378" t="str">
            <v>第50级，共造成215.9%点伤害</v>
          </cell>
          <cell r="G1378">
            <v>1</v>
          </cell>
          <cell r="H1378">
            <v>1</v>
          </cell>
          <cell r="I1378">
            <v>50</v>
          </cell>
          <cell r="J1378">
            <v>2</v>
          </cell>
          <cell r="K1378">
            <v>71.964285714285708</v>
          </cell>
          <cell r="L1378">
            <v>0</v>
          </cell>
          <cell r="M1378">
            <v>4000</v>
          </cell>
          <cell r="N1378">
            <v>451772</v>
          </cell>
          <cell r="O1378">
            <v>4</v>
          </cell>
          <cell r="P1378">
            <v>3</v>
          </cell>
          <cell r="Q1378">
            <v>1</v>
          </cell>
          <cell r="R1378">
            <v>6</v>
          </cell>
          <cell r="S1378">
            <v>50</v>
          </cell>
          <cell r="T1378">
            <v>47.976190476190474</v>
          </cell>
          <cell r="U1378">
            <v>4262</v>
          </cell>
          <cell r="V1378">
            <v>143.92857142857142</v>
          </cell>
          <cell r="W1378">
            <v>106</v>
          </cell>
          <cell r="X1378">
            <v>1568</v>
          </cell>
          <cell r="Y1378">
            <v>18</v>
          </cell>
          <cell r="Z1378">
            <v>43</v>
          </cell>
        </row>
        <row r="1379">
          <cell r="A1379">
            <v>1</v>
          </cell>
          <cell r="B1379" t="str">
            <v>子弹风暴</v>
          </cell>
          <cell r="C1379" t="str">
            <v>子弹风暴第2段</v>
          </cell>
          <cell r="D1379">
            <v>3</v>
          </cell>
          <cell r="E1379">
            <v>6</v>
          </cell>
          <cell r="F1379" t="str">
            <v>第0级，共造成121.8%点伤害</v>
          </cell>
          <cell r="G1379">
            <v>0</v>
          </cell>
          <cell r="H1379">
            <v>2</v>
          </cell>
          <cell r="I1379">
            <v>0</v>
          </cell>
          <cell r="J1379">
            <v>2</v>
          </cell>
          <cell r="K1379">
            <v>121.78571428571431</v>
          </cell>
          <cell r="L1379">
            <v>0</v>
          </cell>
          <cell r="M1379">
            <v>8000</v>
          </cell>
          <cell r="N1379">
            <v>0</v>
          </cell>
          <cell r="O1379">
            <v>4</v>
          </cell>
          <cell r="P1379">
            <v>1</v>
          </cell>
          <cell r="Q1379">
            <v>1</v>
          </cell>
          <cell r="R1379">
            <v>8</v>
          </cell>
          <cell r="S1379">
            <v>50</v>
          </cell>
          <cell r="T1379">
            <v>121.78571428571431</v>
          </cell>
          <cell r="U1379">
            <v>80</v>
          </cell>
          <cell r="V1379">
            <v>121.78571428571431</v>
          </cell>
          <cell r="W1379">
            <v>0</v>
          </cell>
          <cell r="X1379">
            <v>0</v>
          </cell>
          <cell r="Y1379">
            <v>18</v>
          </cell>
          <cell r="Z1379">
            <v>0</v>
          </cell>
        </row>
        <row r="1380">
          <cell r="A1380">
            <v>9324201</v>
          </cell>
          <cell r="B1380" t="str">
            <v>子弹风暴第2段</v>
          </cell>
          <cell r="C1380" t="str">
            <v>子弹风暴第2段</v>
          </cell>
          <cell r="D1380">
            <v>3</v>
          </cell>
          <cell r="E1380">
            <v>6</v>
          </cell>
          <cell r="F1380" t="str">
            <v>第1级，共造成121.8%点伤害</v>
          </cell>
          <cell r="G1380">
            <v>2</v>
          </cell>
          <cell r="H1380">
            <v>2</v>
          </cell>
          <cell r="I1380">
            <v>1</v>
          </cell>
          <cell r="J1380">
            <v>2</v>
          </cell>
          <cell r="K1380">
            <v>121.78571428571431</v>
          </cell>
          <cell r="L1380">
            <v>0</v>
          </cell>
          <cell r="M1380">
            <v>8000</v>
          </cell>
          <cell r="N1380">
            <v>240</v>
          </cell>
          <cell r="O1380">
            <v>4</v>
          </cell>
          <cell r="P1380">
            <v>1</v>
          </cell>
          <cell r="Q1380">
            <v>1</v>
          </cell>
          <cell r="R1380">
            <v>8</v>
          </cell>
          <cell r="S1380">
            <v>50</v>
          </cell>
          <cell r="T1380">
            <v>121.78571428571431</v>
          </cell>
          <cell r="U1380">
            <v>80</v>
          </cell>
          <cell r="V1380">
            <v>121.78571428571431</v>
          </cell>
          <cell r="W1380">
            <v>3</v>
          </cell>
          <cell r="X1380">
            <v>3</v>
          </cell>
          <cell r="Y1380">
            <v>18</v>
          </cell>
          <cell r="Z1380">
            <v>0</v>
          </cell>
        </row>
        <row r="1381">
          <cell r="A1381">
            <v>9324202</v>
          </cell>
          <cell r="B1381" t="str">
            <v>子弹风暴第2段</v>
          </cell>
          <cell r="C1381" t="str">
            <v>子弹风暴第2段</v>
          </cell>
          <cell r="D1381">
            <v>3</v>
          </cell>
          <cell r="E1381">
            <v>11</v>
          </cell>
          <cell r="F1381" t="str">
            <v>第2级，共造成124.2%点伤害</v>
          </cell>
          <cell r="G1381">
            <v>2</v>
          </cell>
          <cell r="H1381">
            <v>2</v>
          </cell>
          <cell r="I1381">
            <v>2</v>
          </cell>
          <cell r="J1381">
            <v>2</v>
          </cell>
          <cell r="K1381">
            <v>124.22142857142859</v>
          </cell>
          <cell r="L1381">
            <v>0</v>
          </cell>
          <cell r="M1381">
            <v>7840</v>
          </cell>
          <cell r="N1381">
            <v>440</v>
          </cell>
          <cell r="O1381">
            <v>4</v>
          </cell>
          <cell r="P1381">
            <v>1</v>
          </cell>
          <cell r="Q1381">
            <v>1</v>
          </cell>
          <cell r="R1381">
            <v>8</v>
          </cell>
          <cell r="S1381">
            <v>50</v>
          </cell>
          <cell r="T1381">
            <v>121.78571428571431</v>
          </cell>
          <cell r="U1381">
            <v>110</v>
          </cell>
          <cell r="V1381">
            <v>121.78571428571431</v>
          </cell>
          <cell r="W1381">
            <v>4</v>
          </cell>
          <cell r="X1381">
            <v>7</v>
          </cell>
          <cell r="Y1381">
            <v>18</v>
          </cell>
          <cell r="Z1381">
            <v>0</v>
          </cell>
        </row>
        <row r="1382">
          <cell r="A1382">
            <v>9324203</v>
          </cell>
          <cell r="B1382" t="str">
            <v>子弹风暴第2段</v>
          </cell>
          <cell r="C1382" t="str">
            <v>子弹风暴第2段</v>
          </cell>
          <cell r="D1382">
            <v>3</v>
          </cell>
          <cell r="E1382">
            <v>12</v>
          </cell>
          <cell r="F1382" t="str">
            <v>第3级，共造成125.4%点伤害</v>
          </cell>
          <cell r="G1382">
            <v>2</v>
          </cell>
          <cell r="H1382">
            <v>2</v>
          </cell>
          <cell r="I1382">
            <v>3</v>
          </cell>
          <cell r="J1382">
            <v>2</v>
          </cell>
          <cell r="K1382">
            <v>125.43928571428573</v>
          </cell>
          <cell r="L1382">
            <v>0</v>
          </cell>
          <cell r="M1382">
            <v>7760</v>
          </cell>
          <cell r="N1382">
            <v>464</v>
          </cell>
          <cell r="O1382">
            <v>4</v>
          </cell>
          <cell r="P1382">
            <v>1</v>
          </cell>
          <cell r="Q1382">
            <v>1</v>
          </cell>
          <cell r="R1382">
            <v>8</v>
          </cell>
          <cell r="S1382">
            <v>50</v>
          </cell>
          <cell r="T1382">
            <v>121.78571428571431</v>
          </cell>
          <cell r="U1382">
            <v>116</v>
          </cell>
          <cell r="V1382">
            <v>121.78571428571431</v>
          </cell>
          <cell r="W1382">
            <v>4</v>
          </cell>
          <cell r="X1382">
            <v>11</v>
          </cell>
          <cell r="Y1382">
            <v>18</v>
          </cell>
          <cell r="Z1382">
            <v>0</v>
          </cell>
        </row>
        <row r="1383">
          <cell r="A1383">
            <v>9324204</v>
          </cell>
          <cell r="B1383" t="str">
            <v>子弹风暴第2段</v>
          </cell>
          <cell r="C1383" t="str">
            <v>子弹风暴第2段</v>
          </cell>
          <cell r="D1383">
            <v>3</v>
          </cell>
          <cell r="E1383">
            <v>14</v>
          </cell>
          <cell r="F1383" t="str">
            <v>第4级，共造成126.7%点伤害</v>
          </cell>
          <cell r="G1383">
            <v>2</v>
          </cell>
          <cell r="H1383">
            <v>2</v>
          </cell>
          <cell r="I1383">
            <v>4</v>
          </cell>
          <cell r="J1383">
            <v>2</v>
          </cell>
          <cell r="K1383">
            <v>126.65714285714287</v>
          </cell>
          <cell r="L1383">
            <v>0</v>
          </cell>
          <cell r="M1383">
            <v>7680</v>
          </cell>
          <cell r="N1383">
            <v>512</v>
          </cell>
          <cell r="O1383">
            <v>4</v>
          </cell>
          <cell r="P1383">
            <v>1</v>
          </cell>
          <cell r="Q1383">
            <v>1</v>
          </cell>
          <cell r="R1383">
            <v>8</v>
          </cell>
          <cell r="S1383">
            <v>50</v>
          </cell>
          <cell r="T1383">
            <v>121.78571428571431</v>
          </cell>
          <cell r="U1383">
            <v>128</v>
          </cell>
          <cell r="V1383">
            <v>121.78571428571431</v>
          </cell>
          <cell r="W1383">
            <v>4</v>
          </cell>
          <cell r="X1383">
            <v>15</v>
          </cell>
          <cell r="Y1383">
            <v>18</v>
          </cell>
          <cell r="Z1383">
            <v>0</v>
          </cell>
        </row>
        <row r="1384">
          <cell r="A1384">
            <v>9324205</v>
          </cell>
          <cell r="B1384" t="str">
            <v>子弹风暴第2段</v>
          </cell>
          <cell r="C1384" t="str">
            <v>子弹风暴第2段</v>
          </cell>
          <cell r="D1384">
            <v>3</v>
          </cell>
          <cell r="E1384">
            <v>15</v>
          </cell>
          <cell r="F1384" t="str">
            <v>第5级，共造成127.9%点伤害</v>
          </cell>
          <cell r="G1384">
            <v>2</v>
          </cell>
          <cell r="H1384">
            <v>2</v>
          </cell>
          <cell r="I1384">
            <v>5</v>
          </cell>
          <cell r="J1384">
            <v>2</v>
          </cell>
          <cell r="K1384">
            <v>127.87500000000003</v>
          </cell>
          <cell r="L1384">
            <v>0</v>
          </cell>
          <cell r="M1384">
            <v>7600</v>
          </cell>
          <cell r="N1384">
            <v>670</v>
          </cell>
          <cell r="O1384">
            <v>4</v>
          </cell>
          <cell r="P1384">
            <v>1</v>
          </cell>
          <cell r="Q1384">
            <v>1</v>
          </cell>
          <cell r="R1384">
            <v>8</v>
          </cell>
          <cell r="S1384">
            <v>50</v>
          </cell>
          <cell r="T1384">
            <v>121.78571428571431</v>
          </cell>
          <cell r="U1384">
            <v>134</v>
          </cell>
          <cell r="V1384">
            <v>121.78571428571431</v>
          </cell>
          <cell r="W1384">
            <v>5</v>
          </cell>
          <cell r="X1384">
            <v>20</v>
          </cell>
          <cell r="Y1384">
            <v>18</v>
          </cell>
          <cell r="Z1384">
            <v>0</v>
          </cell>
        </row>
        <row r="1385">
          <cell r="A1385">
            <v>9324206</v>
          </cell>
          <cell r="B1385" t="str">
            <v>子弹风暴第2段</v>
          </cell>
          <cell r="C1385" t="str">
            <v>子弹风暴第2段</v>
          </cell>
          <cell r="D1385">
            <v>3</v>
          </cell>
          <cell r="E1385">
            <v>17</v>
          </cell>
          <cell r="F1385" t="str">
            <v>第6级，共造成129.1%点伤害</v>
          </cell>
          <cell r="G1385">
            <v>2</v>
          </cell>
          <cell r="H1385">
            <v>2</v>
          </cell>
          <cell r="I1385">
            <v>6</v>
          </cell>
          <cell r="J1385">
            <v>2</v>
          </cell>
          <cell r="K1385">
            <v>129.09285714285716</v>
          </cell>
          <cell r="L1385">
            <v>0</v>
          </cell>
          <cell r="M1385">
            <v>7520</v>
          </cell>
          <cell r="N1385">
            <v>730</v>
          </cell>
          <cell r="O1385">
            <v>4</v>
          </cell>
          <cell r="P1385">
            <v>1</v>
          </cell>
          <cell r="Q1385">
            <v>1</v>
          </cell>
          <cell r="R1385">
            <v>8</v>
          </cell>
          <cell r="S1385">
            <v>50</v>
          </cell>
          <cell r="T1385">
            <v>121.78571428571431</v>
          </cell>
          <cell r="U1385">
            <v>146</v>
          </cell>
          <cell r="V1385">
            <v>121.78571428571431</v>
          </cell>
          <cell r="W1385">
            <v>5</v>
          </cell>
          <cell r="X1385">
            <v>25</v>
          </cell>
          <cell r="Y1385">
            <v>18</v>
          </cell>
          <cell r="Z1385">
            <v>0</v>
          </cell>
        </row>
        <row r="1386">
          <cell r="A1386">
            <v>9324207</v>
          </cell>
          <cell r="B1386" t="str">
            <v>子弹风暴第2段</v>
          </cell>
          <cell r="C1386" t="str">
            <v>子弹风暴第2段</v>
          </cell>
          <cell r="D1386">
            <v>3</v>
          </cell>
          <cell r="E1386">
            <v>18</v>
          </cell>
          <cell r="F1386" t="str">
            <v>第7级，共造成130.3%点伤害</v>
          </cell>
          <cell r="G1386">
            <v>2</v>
          </cell>
          <cell r="H1386">
            <v>2</v>
          </cell>
          <cell r="I1386">
            <v>7</v>
          </cell>
          <cell r="J1386">
            <v>2</v>
          </cell>
          <cell r="K1386">
            <v>130.31071428571431</v>
          </cell>
          <cell r="L1386">
            <v>0</v>
          </cell>
          <cell r="M1386">
            <v>7440</v>
          </cell>
          <cell r="N1386">
            <v>760</v>
          </cell>
          <cell r="O1386">
            <v>4</v>
          </cell>
          <cell r="P1386">
            <v>1</v>
          </cell>
          <cell r="Q1386">
            <v>1</v>
          </cell>
          <cell r="R1386">
            <v>8</v>
          </cell>
          <cell r="S1386">
            <v>50</v>
          </cell>
          <cell r="T1386">
            <v>121.78571428571431</v>
          </cell>
          <cell r="U1386">
            <v>152</v>
          </cell>
          <cell r="V1386">
            <v>121.78571428571431</v>
          </cell>
          <cell r="W1386">
            <v>5</v>
          </cell>
          <cell r="X1386">
            <v>30</v>
          </cell>
          <cell r="Y1386">
            <v>18</v>
          </cell>
          <cell r="Z1386">
            <v>0</v>
          </cell>
        </row>
        <row r="1387">
          <cell r="A1387">
            <v>9324208</v>
          </cell>
          <cell r="B1387" t="str">
            <v>子弹风暴第2段</v>
          </cell>
          <cell r="C1387" t="str">
            <v>子弹风暴第2段</v>
          </cell>
          <cell r="D1387">
            <v>3</v>
          </cell>
          <cell r="E1387">
            <v>20</v>
          </cell>
          <cell r="F1387" t="str">
            <v>第8级，共造成131.5%点伤害</v>
          </cell>
          <cell r="G1387">
            <v>2</v>
          </cell>
          <cell r="H1387">
            <v>2</v>
          </cell>
          <cell r="I1387">
            <v>8</v>
          </cell>
          <cell r="J1387">
            <v>2</v>
          </cell>
          <cell r="K1387">
            <v>131.52857142857144</v>
          </cell>
          <cell r="L1387">
            <v>0</v>
          </cell>
          <cell r="M1387">
            <v>7360</v>
          </cell>
          <cell r="N1387">
            <v>1092</v>
          </cell>
          <cell r="O1387">
            <v>4</v>
          </cell>
          <cell r="P1387">
            <v>1</v>
          </cell>
          <cell r="Q1387">
            <v>1</v>
          </cell>
          <cell r="R1387">
            <v>8</v>
          </cell>
          <cell r="S1387">
            <v>50</v>
          </cell>
          <cell r="T1387">
            <v>121.78571428571431</v>
          </cell>
          <cell r="U1387">
            <v>182</v>
          </cell>
          <cell r="V1387">
            <v>121.78571428571431</v>
          </cell>
          <cell r="W1387">
            <v>6</v>
          </cell>
          <cell r="X1387">
            <v>36</v>
          </cell>
          <cell r="Y1387">
            <v>18</v>
          </cell>
          <cell r="Z1387">
            <v>0</v>
          </cell>
        </row>
        <row r="1388">
          <cell r="A1388">
            <v>9324209</v>
          </cell>
          <cell r="B1388" t="str">
            <v>子弹风暴第2段</v>
          </cell>
          <cell r="C1388" t="str">
            <v>子弹风暴第2段</v>
          </cell>
          <cell r="D1388">
            <v>3</v>
          </cell>
          <cell r="E1388">
            <v>21</v>
          </cell>
          <cell r="F1388" t="str">
            <v>第9级，共造成132.7%点伤害</v>
          </cell>
          <cell r="G1388">
            <v>2</v>
          </cell>
          <cell r="H1388">
            <v>2</v>
          </cell>
          <cell r="I1388">
            <v>9</v>
          </cell>
          <cell r="J1388">
            <v>2</v>
          </cell>
          <cell r="K1388">
            <v>132.74642857142859</v>
          </cell>
          <cell r="L1388">
            <v>0</v>
          </cell>
          <cell r="M1388">
            <v>7280</v>
          </cell>
          <cell r="N1388">
            <v>1260</v>
          </cell>
          <cell r="O1388">
            <v>4</v>
          </cell>
          <cell r="P1388">
            <v>1</v>
          </cell>
          <cell r="Q1388">
            <v>1</v>
          </cell>
          <cell r="R1388">
            <v>8</v>
          </cell>
          <cell r="S1388">
            <v>50</v>
          </cell>
          <cell r="T1388">
            <v>121.78571428571431</v>
          </cell>
          <cell r="U1388">
            <v>210</v>
          </cell>
          <cell r="V1388">
            <v>121.78571428571431</v>
          </cell>
          <cell r="W1388">
            <v>6</v>
          </cell>
          <cell r="X1388">
            <v>42</v>
          </cell>
          <cell r="Y1388">
            <v>18</v>
          </cell>
          <cell r="Z1388">
            <v>0</v>
          </cell>
        </row>
        <row r="1389">
          <cell r="A1389">
            <v>9324210</v>
          </cell>
          <cell r="B1389" t="str">
            <v>子弹风暴第2段</v>
          </cell>
          <cell r="C1389" t="str">
            <v>子弹风暴第2段</v>
          </cell>
          <cell r="D1389">
            <v>3</v>
          </cell>
          <cell r="E1389">
            <v>22</v>
          </cell>
          <cell r="F1389" t="str">
            <v>第10级，共造成134%点伤害</v>
          </cell>
          <cell r="G1389">
            <v>2</v>
          </cell>
          <cell r="H1389">
            <v>2</v>
          </cell>
          <cell r="I1389">
            <v>10</v>
          </cell>
          <cell r="J1389">
            <v>2</v>
          </cell>
          <cell r="K1389">
            <v>133.96428571428572</v>
          </cell>
          <cell r="L1389">
            <v>0</v>
          </cell>
          <cell r="M1389">
            <v>7200</v>
          </cell>
          <cell r="N1389">
            <v>1434</v>
          </cell>
          <cell r="O1389">
            <v>4</v>
          </cell>
          <cell r="P1389">
            <v>1</v>
          </cell>
          <cell r="Q1389">
            <v>1</v>
          </cell>
          <cell r="R1389">
            <v>8</v>
          </cell>
          <cell r="S1389">
            <v>50</v>
          </cell>
          <cell r="T1389">
            <v>121.78571428571431</v>
          </cell>
          <cell r="U1389">
            <v>239</v>
          </cell>
          <cell r="V1389">
            <v>121.78571428571431</v>
          </cell>
          <cell r="W1389">
            <v>6</v>
          </cell>
          <cell r="X1389">
            <v>48</v>
          </cell>
          <cell r="Y1389">
            <v>18</v>
          </cell>
          <cell r="Z1389">
            <v>0</v>
          </cell>
        </row>
        <row r="1390">
          <cell r="A1390">
            <v>9324211</v>
          </cell>
          <cell r="B1390" t="str">
            <v>子弹风暴第2段</v>
          </cell>
          <cell r="C1390" t="str">
            <v>子弹风暴第2段</v>
          </cell>
          <cell r="D1390">
            <v>3</v>
          </cell>
          <cell r="E1390">
            <v>24</v>
          </cell>
          <cell r="F1390" t="str">
            <v>第11级，共造成135.2%点伤害</v>
          </cell>
          <cell r="G1390">
            <v>2</v>
          </cell>
          <cell r="H1390">
            <v>2</v>
          </cell>
          <cell r="I1390">
            <v>11</v>
          </cell>
          <cell r="J1390">
            <v>2</v>
          </cell>
          <cell r="K1390">
            <v>135.18214285714288</v>
          </cell>
          <cell r="L1390">
            <v>0</v>
          </cell>
          <cell r="M1390">
            <v>7120</v>
          </cell>
          <cell r="N1390">
            <v>2114</v>
          </cell>
          <cell r="O1390">
            <v>4</v>
          </cell>
          <cell r="P1390">
            <v>1</v>
          </cell>
          <cell r="Q1390">
            <v>1</v>
          </cell>
          <cell r="R1390">
            <v>8</v>
          </cell>
          <cell r="S1390">
            <v>50</v>
          </cell>
          <cell r="T1390">
            <v>121.78571428571431</v>
          </cell>
          <cell r="U1390">
            <v>302</v>
          </cell>
          <cell r="V1390">
            <v>121.78571428571431</v>
          </cell>
          <cell r="W1390">
            <v>7</v>
          </cell>
          <cell r="X1390">
            <v>55</v>
          </cell>
          <cell r="Y1390">
            <v>18</v>
          </cell>
          <cell r="Z1390">
            <v>0</v>
          </cell>
        </row>
        <row r="1391">
          <cell r="A1391">
            <v>9324212</v>
          </cell>
          <cell r="B1391" t="str">
            <v>子弹风暴第2段</v>
          </cell>
          <cell r="C1391" t="str">
            <v>子弹风暴第2段</v>
          </cell>
          <cell r="D1391">
            <v>3</v>
          </cell>
          <cell r="E1391">
            <v>25</v>
          </cell>
          <cell r="F1391" t="str">
            <v>第12级，共造成136.4%点伤害</v>
          </cell>
          <cell r="G1391">
            <v>2</v>
          </cell>
          <cell r="H1391">
            <v>2</v>
          </cell>
          <cell r="I1391">
            <v>12</v>
          </cell>
          <cell r="J1391">
            <v>2</v>
          </cell>
          <cell r="K1391">
            <v>136.40000000000003</v>
          </cell>
          <cell r="L1391">
            <v>0</v>
          </cell>
          <cell r="M1391">
            <v>7040</v>
          </cell>
          <cell r="N1391">
            <v>2345</v>
          </cell>
          <cell r="O1391">
            <v>4</v>
          </cell>
          <cell r="P1391">
            <v>1</v>
          </cell>
          <cell r="Q1391">
            <v>1</v>
          </cell>
          <cell r="R1391">
            <v>8</v>
          </cell>
          <cell r="S1391">
            <v>50</v>
          </cell>
          <cell r="T1391">
            <v>121.78571428571431</v>
          </cell>
          <cell r="U1391">
            <v>335</v>
          </cell>
          <cell r="V1391">
            <v>121.78571428571431</v>
          </cell>
          <cell r="W1391">
            <v>7</v>
          </cell>
          <cell r="X1391">
            <v>62</v>
          </cell>
          <cell r="Y1391">
            <v>18</v>
          </cell>
          <cell r="Z1391">
            <v>0</v>
          </cell>
        </row>
        <row r="1392">
          <cell r="A1392">
            <v>9324213</v>
          </cell>
          <cell r="B1392" t="str">
            <v>子弹风暴第2段</v>
          </cell>
          <cell r="C1392" t="str">
            <v>子弹风暴第2段</v>
          </cell>
          <cell r="D1392">
            <v>3</v>
          </cell>
          <cell r="E1392">
            <v>27</v>
          </cell>
          <cell r="F1392" t="str">
            <v>第13级，共造成137.6%点伤害</v>
          </cell>
          <cell r="G1392">
            <v>2</v>
          </cell>
          <cell r="H1392">
            <v>2</v>
          </cell>
          <cell r="I1392">
            <v>13</v>
          </cell>
          <cell r="J1392">
            <v>2</v>
          </cell>
          <cell r="K1392">
            <v>137.61785714285716</v>
          </cell>
          <cell r="L1392">
            <v>0</v>
          </cell>
          <cell r="M1392">
            <v>6960</v>
          </cell>
          <cell r="N1392">
            <v>3248</v>
          </cell>
          <cell r="O1392">
            <v>4</v>
          </cell>
          <cell r="P1392">
            <v>1</v>
          </cell>
          <cell r="Q1392">
            <v>1</v>
          </cell>
          <cell r="R1392">
            <v>8</v>
          </cell>
          <cell r="S1392">
            <v>50</v>
          </cell>
          <cell r="T1392">
            <v>121.78571428571431</v>
          </cell>
          <cell r="U1392">
            <v>406</v>
          </cell>
          <cell r="V1392">
            <v>121.78571428571431</v>
          </cell>
          <cell r="W1392">
            <v>8</v>
          </cell>
          <cell r="X1392">
            <v>70</v>
          </cell>
          <cell r="Y1392">
            <v>18</v>
          </cell>
          <cell r="Z1392">
            <v>0</v>
          </cell>
        </row>
        <row r="1393">
          <cell r="A1393">
            <v>9324214</v>
          </cell>
          <cell r="B1393" t="str">
            <v>子弹风暴第2段</v>
          </cell>
          <cell r="C1393" t="str">
            <v>子弹风暴第2段</v>
          </cell>
          <cell r="D1393">
            <v>3</v>
          </cell>
          <cell r="E1393">
            <v>28</v>
          </cell>
          <cell r="F1393" t="str">
            <v>第14级，共造成138.8%点伤害</v>
          </cell>
          <cell r="G1393">
            <v>2</v>
          </cell>
          <cell r="H1393">
            <v>2</v>
          </cell>
          <cell r="I1393">
            <v>14</v>
          </cell>
          <cell r="J1393">
            <v>2</v>
          </cell>
          <cell r="K1393">
            <v>138.83571428571432</v>
          </cell>
          <cell r="L1393">
            <v>0</v>
          </cell>
          <cell r="M1393">
            <v>6880</v>
          </cell>
          <cell r="N1393">
            <v>3544</v>
          </cell>
          <cell r="O1393">
            <v>4</v>
          </cell>
          <cell r="P1393">
            <v>1</v>
          </cell>
          <cell r="Q1393">
            <v>1</v>
          </cell>
          <cell r="R1393">
            <v>8</v>
          </cell>
          <cell r="S1393">
            <v>50</v>
          </cell>
          <cell r="T1393">
            <v>121.78571428571431</v>
          </cell>
          <cell r="U1393">
            <v>443</v>
          </cell>
          <cell r="V1393">
            <v>121.78571428571431</v>
          </cell>
          <cell r="W1393">
            <v>8</v>
          </cell>
          <cell r="X1393">
            <v>78</v>
          </cell>
          <cell r="Y1393">
            <v>18</v>
          </cell>
          <cell r="Z1393">
            <v>0</v>
          </cell>
        </row>
        <row r="1394">
          <cell r="A1394">
            <v>9324215</v>
          </cell>
          <cell r="B1394" t="str">
            <v>子弹风暴第2段</v>
          </cell>
          <cell r="C1394" t="str">
            <v>子弹风暴第2段</v>
          </cell>
          <cell r="D1394">
            <v>3</v>
          </cell>
          <cell r="E1394">
            <v>30</v>
          </cell>
          <cell r="F1394" t="str">
            <v>第15级，共造成140.1%点伤害</v>
          </cell>
          <cell r="G1394">
            <v>2</v>
          </cell>
          <cell r="H1394">
            <v>2</v>
          </cell>
          <cell r="I1394">
            <v>15</v>
          </cell>
          <cell r="J1394">
            <v>2</v>
          </cell>
          <cell r="K1394">
            <v>140.05357142857144</v>
          </cell>
          <cell r="L1394">
            <v>0</v>
          </cell>
          <cell r="M1394">
            <v>6800</v>
          </cell>
          <cell r="N1394">
            <v>4698</v>
          </cell>
          <cell r="O1394">
            <v>4</v>
          </cell>
          <cell r="P1394">
            <v>1</v>
          </cell>
          <cell r="Q1394">
            <v>1</v>
          </cell>
          <cell r="R1394">
            <v>8</v>
          </cell>
          <cell r="S1394">
            <v>50</v>
          </cell>
          <cell r="T1394">
            <v>121.78571428571431</v>
          </cell>
          <cell r="U1394">
            <v>522</v>
          </cell>
          <cell r="V1394">
            <v>121.78571428571431</v>
          </cell>
          <cell r="W1394">
            <v>9</v>
          </cell>
          <cell r="X1394">
            <v>87</v>
          </cell>
          <cell r="Y1394">
            <v>18</v>
          </cell>
          <cell r="Z1394">
            <v>0</v>
          </cell>
        </row>
        <row r="1395">
          <cell r="A1395">
            <v>9324216</v>
          </cell>
          <cell r="B1395" t="str">
            <v>子弹风暴第2段</v>
          </cell>
          <cell r="C1395" t="str">
            <v>子弹风暴第2段</v>
          </cell>
          <cell r="D1395">
            <v>3</v>
          </cell>
          <cell r="E1395">
            <v>31</v>
          </cell>
          <cell r="F1395" t="str">
            <v>第16级，共造成141.3%点伤害</v>
          </cell>
          <cell r="G1395">
            <v>2</v>
          </cell>
          <cell r="H1395">
            <v>2</v>
          </cell>
          <cell r="I1395">
            <v>16</v>
          </cell>
          <cell r="J1395">
            <v>2</v>
          </cell>
          <cell r="K1395">
            <v>141.2714285714286</v>
          </cell>
          <cell r="L1395">
            <v>0</v>
          </cell>
          <cell r="M1395">
            <v>6720</v>
          </cell>
          <cell r="N1395">
            <v>5630</v>
          </cell>
          <cell r="O1395">
            <v>4</v>
          </cell>
          <cell r="P1395">
            <v>1</v>
          </cell>
          <cell r="Q1395">
            <v>1</v>
          </cell>
          <cell r="R1395">
            <v>8</v>
          </cell>
          <cell r="S1395">
            <v>50</v>
          </cell>
          <cell r="T1395">
            <v>121.78571428571431</v>
          </cell>
          <cell r="U1395">
            <v>563</v>
          </cell>
          <cell r="V1395">
            <v>121.78571428571431</v>
          </cell>
          <cell r="W1395">
            <v>10</v>
          </cell>
          <cell r="X1395">
            <v>97</v>
          </cell>
          <cell r="Y1395">
            <v>18</v>
          </cell>
          <cell r="Z1395">
            <v>0</v>
          </cell>
        </row>
        <row r="1396">
          <cell r="A1396">
            <v>9324217</v>
          </cell>
          <cell r="B1396" t="str">
            <v>子弹风暴第2段</v>
          </cell>
          <cell r="C1396" t="str">
            <v>子弹风暴第2段</v>
          </cell>
          <cell r="D1396">
            <v>3</v>
          </cell>
          <cell r="E1396">
            <v>32</v>
          </cell>
          <cell r="F1396" t="str">
            <v>第17级，共造成142.5%点伤害</v>
          </cell>
          <cell r="G1396">
            <v>2</v>
          </cell>
          <cell r="H1396">
            <v>2</v>
          </cell>
          <cell r="I1396">
            <v>17</v>
          </cell>
          <cell r="J1396">
            <v>2</v>
          </cell>
          <cell r="K1396">
            <v>142.48928571428573</v>
          </cell>
          <cell r="L1396">
            <v>0</v>
          </cell>
          <cell r="M1396">
            <v>6640</v>
          </cell>
          <cell r="N1396">
            <v>6060</v>
          </cell>
          <cell r="O1396">
            <v>4</v>
          </cell>
          <cell r="P1396">
            <v>1</v>
          </cell>
          <cell r="Q1396">
            <v>1</v>
          </cell>
          <cell r="R1396">
            <v>8</v>
          </cell>
          <cell r="S1396">
            <v>50</v>
          </cell>
          <cell r="T1396">
            <v>121.78571428571431</v>
          </cell>
          <cell r="U1396">
            <v>606</v>
          </cell>
          <cell r="V1396">
            <v>121.78571428571431</v>
          </cell>
          <cell r="W1396">
            <v>10</v>
          </cell>
          <cell r="X1396">
            <v>107</v>
          </cell>
          <cell r="Y1396">
            <v>18</v>
          </cell>
          <cell r="Z1396">
            <v>0</v>
          </cell>
        </row>
        <row r="1397">
          <cell r="A1397">
            <v>9324218</v>
          </cell>
          <cell r="B1397" t="str">
            <v>子弹风暴第2段</v>
          </cell>
          <cell r="C1397" t="str">
            <v>子弹风暴第2段</v>
          </cell>
          <cell r="D1397">
            <v>3</v>
          </cell>
          <cell r="E1397">
            <v>34</v>
          </cell>
          <cell r="F1397" t="str">
            <v>第18级，共造成143.7%点伤害</v>
          </cell>
          <cell r="G1397">
            <v>2</v>
          </cell>
          <cell r="H1397">
            <v>2</v>
          </cell>
          <cell r="I1397">
            <v>18</v>
          </cell>
          <cell r="J1397">
            <v>2</v>
          </cell>
          <cell r="K1397">
            <v>143.70714285714288</v>
          </cell>
          <cell r="L1397">
            <v>0</v>
          </cell>
          <cell r="M1397">
            <v>6560</v>
          </cell>
          <cell r="N1397">
            <v>7656</v>
          </cell>
          <cell r="O1397">
            <v>4</v>
          </cell>
          <cell r="P1397">
            <v>1</v>
          </cell>
          <cell r="Q1397">
            <v>1</v>
          </cell>
          <cell r="R1397">
            <v>8</v>
          </cell>
          <cell r="S1397">
            <v>50</v>
          </cell>
          <cell r="T1397">
            <v>121.78571428571431</v>
          </cell>
          <cell r="U1397">
            <v>696</v>
          </cell>
          <cell r="V1397">
            <v>121.78571428571431</v>
          </cell>
          <cell r="W1397">
            <v>11</v>
          </cell>
          <cell r="X1397">
            <v>118</v>
          </cell>
          <cell r="Y1397">
            <v>18</v>
          </cell>
          <cell r="Z1397">
            <v>5</v>
          </cell>
        </row>
        <row r="1398">
          <cell r="A1398">
            <v>9324219</v>
          </cell>
          <cell r="B1398" t="str">
            <v>子弹风暴第2段</v>
          </cell>
          <cell r="C1398" t="str">
            <v>子弹风暴第2段</v>
          </cell>
          <cell r="D1398">
            <v>3</v>
          </cell>
          <cell r="E1398">
            <v>35</v>
          </cell>
          <cell r="F1398" t="str">
            <v>第19级，共造成144.9%点伤害</v>
          </cell>
          <cell r="G1398">
            <v>2</v>
          </cell>
          <cell r="H1398">
            <v>2</v>
          </cell>
          <cell r="I1398">
            <v>19</v>
          </cell>
          <cell r="J1398">
            <v>2</v>
          </cell>
          <cell r="K1398">
            <v>144.92500000000001</v>
          </cell>
          <cell r="L1398">
            <v>0</v>
          </cell>
          <cell r="M1398">
            <v>6480</v>
          </cell>
          <cell r="N1398">
            <v>8916</v>
          </cell>
          <cell r="O1398">
            <v>4</v>
          </cell>
          <cell r="P1398">
            <v>1</v>
          </cell>
          <cell r="Q1398">
            <v>1</v>
          </cell>
          <cell r="R1398">
            <v>8</v>
          </cell>
          <cell r="S1398">
            <v>50</v>
          </cell>
          <cell r="T1398">
            <v>121.78571428571431</v>
          </cell>
          <cell r="U1398">
            <v>743</v>
          </cell>
          <cell r="V1398">
            <v>121.78571428571431</v>
          </cell>
          <cell r="W1398">
            <v>12</v>
          </cell>
          <cell r="X1398">
            <v>130</v>
          </cell>
          <cell r="Y1398">
            <v>18</v>
          </cell>
          <cell r="Z1398">
            <v>5</v>
          </cell>
        </row>
        <row r="1399">
          <cell r="A1399">
            <v>9324220</v>
          </cell>
          <cell r="B1399" t="str">
            <v>子弹风暴第2段</v>
          </cell>
          <cell r="C1399" t="str">
            <v>子弹风暴第2段</v>
          </cell>
          <cell r="D1399">
            <v>3</v>
          </cell>
          <cell r="E1399">
            <v>37</v>
          </cell>
          <cell r="F1399" t="str">
            <v>第20级，共造成146.1%点伤害</v>
          </cell>
          <cell r="G1399">
            <v>2</v>
          </cell>
          <cell r="H1399">
            <v>2</v>
          </cell>
          <cell r="I1399">
            <v>20</v>
          </cell>
          <cell r="J1399">
            <v>2</v>
          </cell>
          <cell r="K1399">
            <v>146.14285714285717</v>
          </cell>
          <cell r="L1399">
            <v>0</v>
          </cell>
          <cell r="M1399">
            <v>6400</v>
          </cell>
          <cell r="N1399">
            <v>10933</v>
          </cell>
          <cell r="O1399">
            <v>4</v>
          </cell>
          <cell r="P1399">
            <v>1</v>
          </cell>
          <cell r="Q1399">
            <v>1</v>
          </cell>
          <cell r="R1399">
            <v>8</v>
          </cell>
          <cell r="S1399">
            <v>50</v>
          </cell>
          <cell r="T1399">
            <v>121.78571428571431</v>
          </cell>
          <cell r="U1399">
            <v>841</v>
          </cell>
          <cell r="V1399">
            <v>121.78571428571431</v>
          </cell>
          <cell r="W1399">
            <v>13</v>
          </cell>
          <cell r="X1399">
            <v>143</v>
          </cell>
          <cell r="Y1399">
            <v>18</v>
          </cell>
          <cell r="Z1399">
            <v>6</v>
          </cell>
        </row>
        <row r="1400">
          <cell r="A1400">
            <v>9324221</v>
          </cell>
          <cell r="B1400" t="str">
            <v>子弹风暴第2段</v>
          </cell>
          <cell r="C1400" t="str">
            <v>子弹风暴第2段</v>
          </cell>
          <cell r="D1400">
            <v>3</v>
          </cell>
          <cell r="E1400">
            <v>38</v>
          </cell>
          <cell r="F1400" t="str">
            <v>第21级，共造成147.4%点伤害</v>
          </cell>
          <cell r="G1400">
            <v>2</v>
          </cell>
          <cell r="H1400">
            <v>2</v>
          </cell>
          <cell r="I1400">
            <v>21</v>
          </cell>
          <cell r="J1400">
            <v>2</v>
          </cell>
          <cell r="K1400">
            <v>147.36071428571432</v>
          </cell>
          <cell r="L1400">
            <v>0</v>
          </cell>
          <cell r="M1400">
            <v>6320</v>
          </cell>
          <cell r="N1400">
            <v>11596</v>
          </cell>
          <cell r="O1400">
            <v>4</v>
          </cell>
          <cell r="P1400">
            <v>1</v>
          </cell>
          <cell r="Q1400">
            <v>1</v>
          </cell>
          <cell r="R1400">
            <v>8</v>
          </cell>
          <cell r="S1400">
            <v>50</v>
          </cell>
          <cell r="T1400">
            <v>121.78571428571431</v>
          </cell>
          <cell r="U1400">
            <v>892</v>
          </cell>
          <cell r="V1400">
            <v>121.78571428571431</v>
          </cell>
          <cell r="W1400">
            <v>13</v>
          </cell>
          <cell r="X1400">
            <v>156</v>
          </cell>
          <cell r="Y1400">
            <v>18</v>
          </cell>
          <cell r="Z1400">
            <v>6</v>
          </cell>
        </row>
        <row r="1401">
          <cell r="A1401">
            <v>9324222</v>
          </cell>
          <cell r="B1401" t="str">
            <v>子弹风暴第2段</v>
          </cell>
          <cell r="C1401" t="str">
            <v>子弹风暴第2段</v>
          </cell>
          <cell r="D1401">
            <v>3</v>
          </cell>
          <cell r="E1401">
            <v>40</v>
          </cell>
          <cell r="F1401" t="str">
            <v>第22级，共造成148.6%点伤害</v>
          </cell>
          <cell r="G1401">
            <v>2</v>
          </cell>
          <cell r="H1401">
            <v>2</v>
          </cell>
          <cell r="I1401">
            <v>22</v>
          </cell>
          <cell r="J1401">
            <v>2</v>
          </cell>
          <cell r="K1401">
            <v>148.57857142857145</v>
          </cell>
          <cell r="L1401">
            <v>0</v>
          </cell>
          <cell r="M1401">
            <v>6240</v>
          </cell>
          <cell r="N1401">
            <v>13972</v>
          </cell>
          <cell r="O1401">
            <v>4</v>
          </cell>
          <cell r="P1401">
            <v>1</v>
          </cell>
          <cell r="Q1401">
            <v>1</v>
          </cell>
          <cell r="R1401">
            <v>8</v>
          </cell>
          <cell r="S1401">
            <v>50</v>
          </cell>
          <cell r="T1401">
            <v>121.78571428571431</v>
          </cell>
          <cell r="U1401">
            <v>998</v>
          </cell>
          <cell r="V1401">
            <v>121.78571428571431</v>
          </cell>
          <cell r="W1401">
            <v>14</v>
          </cell>
          <cell r="X1401">
            <v>170</v>
          </cell>
          <cell r="Y1401">
            <v>18</v>
          </cell>
          <cell r="Z1401">
            <v>6</v>
          </cell>
        </row>
        <row r="1402">
          <cell r="A1402">
            <v>9324223</v>
          </cell>
          <cell r="B1402" t="str">
            <v>子弹风暴第2段</v>
          </cell>
          <cell r="C1402" t="str">
            <v>子弹风暴第2段</v>
          </cell>
          <cell r="D1402">
            <v>3</v>
          </cell>
          <cell r="E1402">
            <v>41</v>
          </cell>
          <cell r="F1402" t="str">
            <v>第23级，共造成149.8%点伤害</v>
          </cell>
          <cell r="G1402">
            <v>2</v>
          </cell>
          <cell r="H1402">
            <v>2</v>
          </cell>
          <cell r="I1402">
            <v>23</v>
          </cell>
          <cell r="J1402">
            <v>2</v>
          </cell>
          <cell r="K1402">
            <v>149.79642857142861</v>
          </cell>
          <cell r="L1402">
            <v>0</v>
          </cell>
          <cell r="M1402">
            <v>6160</v>
          </cell>
          <cell r="N1402">
            <v>15795</v>
          </cell>
          <cell r="O1402">
            <v>4</v>
          </cell>
          <cell r="P1402">
            <v>1</v>
          </cell>
          <cell r="Q1402">
            <v>1</v>
          </cell>
          <cell r="R1402">
            <v>8</v>
          </cell>
          <cell r="S1402">
            <v>50</v>
          </cell>
          <cell r="T1402">
            <v>121.78571428571431</v>
          </cell>
          <cell r="U1402">
            <v>1053</v>
          </cell>
          <cell r="V1402">
            <v>121.78571428571431</v>
          </cell>
          <cell r="W1402">
            <v>15</v>
          </cell>
          <cell r="X1402">
            <v>185</v>
          </cell>
          <cell r="Y1402">
            <v>18</v>
          </cell>
          <cell r="Z1402">
            <v>6</v>
          </cell>
        </row>
        <row r="1403">
          <cell r="A1403">
            <v>9324224</v>
          </cell>
          <cell r="B1403" t="str">
            <v>子弹风暴第2段</v>
          </cell>
          <cell r="C1403" t="str">
            <v>子弹风暴第2段</v>
          </cell>
          <cell r="D1403">
            <v>3</v>
          </cell>
          <cell r="E1403">
            <v>43</v>
          </cell>
          <cell r="F1403" t="str">
            <v>第24级，共造成151%点伤害</v>
          </cell>
          <cell r="G1403">
            <v>2</v>
          </cell>
          <cell r="H1403">
            <v>2</v>
          </cell>
          <cell r="I1403">
            <v>24</v>
          </cell>
          <cell r="J1403">
            <v>2</v>
          </cell>
          <cell r="K1403">
            <v>151.01428571428573</v>
          </cell>
          <cell r="L1403">
            <v>0</v>
          </cell>
          <cell r="M1403">
            <v>6080</v>
          </cell>
          <cell r="N1403">
            <v>18672</v>
          </cell>
          <cell r="O1403">
            <v>4</v>
          </cell>
          <cell r="P1403">
            <v>1</v>
          </cell>
          <cell r="Q1403">
            <v>1</v>
          </cell>
          <cell r="R1403">
            <v>8</v>
          </cell>
          <cell r="S1403">
            <v>50</v>
          </cell>
          <cell r="T1403">
            <v>121.78571428571431</v>
          </cell>
          <cell r="U1403">
            <v>1167</v>
          </cell>
          <cell r="V1403">
            <v>121.78571428571431</v>
          </cell>
          <cell r="W1403">
            <v>16</v>
          </cell>
          <cell r="X1403">
            <v>201</v>
          </cell>
          <cell r="Y1403">
            <v>18</v>
          </cell>
          <cell r="Z1403">
            <v>7</v>
          </cell>
        </row>
        <row r="1404">
          <cell r="A1404">
            <v>9324225</v>
          </cell>
          <cell r="B1404" t="str">
            <v>子弹风暴第2段</v>
          </cell>
          <cell r="C1404" t="str">
            <v>子弹风暴第2段</v>
          </cell>
          <cell r="D1404">
            <v>3</v>
          </cell>
          <cell r="E1404">
            <v>44</v>
          </cell>
          <cell r="F1404" t="str">
            <v>第25级，共造成152.2%点伤害</v>
          </cell>
          <cell r="G1404">
            <v>2</v>
          </cell>
          <cell r="H1404">
            <v>2</v>
          </cell>
          <cell r="I1404">
            <v>25</v>
          </cell>
          <cell r="J1404">
            <v>2</v>
          </cell>
          <cell r="K1404">
            <v>152.23214285714289</v>
          </cell>
          <cell r="L1404">
            <v>0</v>
          </cell>
          <cell r="M1404">
            <v>6000</v>
          </cell>
          <cell r="N1404">
            <v>22068</v>
          </cell>
          <cell r="O1404">
            <v>4</v>
          </cell>
          <cell r="P1404">
            <v>1</v>
          </cell>
          <cell r="Q1404">
            <v>1</v>
          </cell>
          <cell r="R1404">
            <v>8</v>
          </cell>
          <cell r="S1404">
            <v>50</v>
          </cell>
          <cell r="T1404">
            <v>121.78571428571431</v>
          </cell>
          <cell r="U1404">
            <v>1226</v>
          </cell>
          <cell r="V1404">
            <v>121.78571428571431</v>
          </cell>
          <cell r="W1404">
            <v>18</v>
          </cell>
          <cell r="X1404">
            <v>219</v>
          </cell>
          <cell r="Y1404">
            <v>18</v>
          </cell>
          <cell r="Z1404">
            <v>8</v>
          </cell>
        </row>
        <row r="1405">
          <cell r="A1405">
            <v>9324226</v>
          </cell>
          <cell r="B1405" t="str">
            <v>子弹风暴第2段</v>
          </cell>
          <cell r="C1405" t="str">
            <v>子弹风暴第2段</v>
          </cell>
          <cell r="D1405">
            <v>3</v>
          </cell>
          <cell r="E1405">
            <v>45</v>
          </cell>
          <cell r="F1405" t="str">
            <v>第26级，共造成153.5%点伤害</v>
          </cell>
          <cell r="G1405">
            <v>2</v>
          </cell>
          <cell r="H1405">
            <v>2</v>
          </cell>
          <cell r="I1405">
            <v>26</v>
          </cell>
          <cell r="J1405">
            <v>2</v>
          </cell>
          <cell r="K1405">
            <v>153.45000000000002</v>
          </cell>
          <cell r="L1405">
            <v>0</v>
          </cell>
          <cell r="M1405">
            <v>5920</v>
          </cell>
          <cell r="N1405">
            <v>24453</v>
          </cell>
          <cell r="O1405">
            <v>4</v>
          </cell>
          <cell r="P1405">
            <v>1</v>
          </cell>
          <cell r="Q1405">
            <v>1</v>
          </cell>
          <cell r="R1405">
            <v>8</v>
          </cell>
          <cell r="S1405">
            <v>50</v>
          </cell>
          <cell r="T1405">
            <v>121.78571428571431</v>
          </cell>
          <cell r="U1405">
            <v>1287</v>
          </cell>
          <cell r="V1405">
            <v>121.78571428571431</v>
          </cell>
          <cell r="W1405">
            <v>19</v>
          </cell>
          <cell r="X1405">
            <v>238</v>
          </cell>
          <cell r="Y1405">
            <v>18</v>
          </cell>
          <cell r="Z1405">
            <v>8</v>
          </cell>
        </row>
        <row r="1406">
          <cell r="A1406">
            <v>9324227</v>
          </cell>
          <cell r="B1406" t="str">
            <v>子弹风暴第2段</v>
          </cell>
          <cell r="C1406" t="str">
            <v>子弹风暴第2段</v>
          </cell>
          <cell r="D1406">
            <v>3</v>
          </cell>
          <cell r="E1406">
            <v>47</v>
          </cell>
          <cell r="F1406" t="str">
            <v>第27级，共造成154.7%点伤害</v>
          </cell>
          <cell r="G1406">
            <v>2</v>
          </cell>
          <cell r="H1406">
            <v>2</v>
          </cell>
          <cell r="I1406">
            <v>27</v>
          </cell>
          <cell r="J1406">
            <v>2</v>
          </cell>
          <cell r="K1406">
            <v>154.66785714285717</v>
          </cell>
          <cell r="L1406">
            <v>0</v>
          </cell>
          <cell r="M1406">
            <v>5840</v>
          </cell>
          <cell r="N1406">
            <v>28240</v>
          </cell>
          <cell r="O1406">
            <v>4</v>
          </cell>
          <cell r="P1406">
            <v>1</v>
          </cell>
          <cell r="Q1406">
            <v>1</v>
          </cell>
          <cell r="R1406">
            <v>8</v>
          </cell>
          <cell r="S1406">
            <v>50</v>
          </cell>
          <cell r="T1406">
            <v>121.78571428571431</v>
          </cell>
          <cell r="U1406">
            <v>1412</v>
          </cell>
          <cell r="V1406">
            <v>121.78571428571431</v>
          </cell>
          <cell r="W1406">
            <v>20</v>
          </cell>
          <cell r="X1406">
            <v>258</v>
          </cell>
          <cell r="Y1406">
            <v>18</v>
          </cell>
          <cell r="Z1406">
            <v>8</v>
          </cell>
        </row>
        <row r="1407">
          <cell r="A1407">
            <v>9324228</v>
          </cell>
          <cell r="B1407" t="str">
            <v>子弹风暴第2段</v>
          </cell>
          <cell r="C1407" t="str">
            <v>子弹风暴第2段</v>
          </cell>
          <cell r="D1407">
            <v>3</v>
          </cell>
          <cell r="E1407">
            <v>48</v>
          </cell>
          <cell r="F1407" t="str">
            <v>第28级，共造成155.9%点伤害</v>
          </cell>
          <cell r="G1407">
            <v>2</v>
          </cell>
          <cell r="H1407">
            <v>2</v>
          </cell>
          <cell r="I1407">
            <v>28</v>
          </cell>
          <cell r="J1407">
            <v>2</v>
          </cell>
          <cell r="K1407">
            <v>155.8857142857143</v>
          </cell>
          <cell r="L1407">
            <v>0</v>
          </cell>
          <cell r="M1407">
            <v>5760</v>
          </cell>
          <cell r="N1407">
            <v>31017</v>
          </cell>
          <cell r="O1407">
            <v>4</v>
          </cell>
          <cell r="P1407">
            <v>1</v>
          </cell>
          <cell r="Q1407">
            <v>1</v>
          </cell>
          <cell r="R1407">
            <v>8</v>
          </cell>
          <cell r="S1407">
            <v>50</v>
          </cell>
          <cell r="T1407">
            <v>121.78571428571431</v>
          </cell>
          <cell r="U1407">
            <v>1477</v>
          </cell>
          <cell r="V1407">
            <v>121.78571428571431</v>
          </cell>
          <cell r="W1407">
            <v>21</v>
          </cell>
          <cell r="X1407">
            <v>279</v>
          </cell>
          <cell r="Y1407">
            <v>18</v>
          </cell>
          <cell r="Z1407">
            <v>9</v>
          </cell>
        </row>
        <row r="1408">
          <cell r="A1408">
            <v>9324229</v>
          </cell>
          <cell r="B1408" t="str">
            <v>子弹风暴第2段</v>
          </cell>
          <cell r="C1408" t="str">
            <v>子弹风暴第2段</v>
          </cell>
          <cell r="D1408">
            <v>3</v>
          </cell>
          <cell r="E1408">
            <v>50</v>
          </cell>
          <cell r="F1408" t="str">
            <v>第29级，共造成157.1%点伤害</v>
          </cell>
          <cell r="G1408">
            <v>2</v>
          </cell>
          <cell r="H1408">
            <v>2</v>
          </cell>
          <cell r="I1408">
            <v>29</v>
          </cell>
          <cell r="J1408">
            <v>2</v>
          </cell>
          <cell r="K1408">
            <v>157.10357142857146</v>
          </cell>
          <cell r="L1408">
            <v>0</v>
          </cell>
          <cell r="M1408">
            <v>5680</v>
          </cell>
          <cell r="N1408">
            <v>37030</v>
          </cell>
          <cell r="O1408">
            <v>4</v>
          </cell>
          <cell r="P1408">
            <v>1</v>
          </cell>
          <cell r="Q1408">
            <v>1</v>
          </cell>
          <cell r="R1408">
            <v>8</v>
          </cell>
          <cell r="S1408">
            <v>50</v>
          </cell>
          <cell r="T1408">
            <v>121.78571428571431</v>
          </cell>
          <cell r="U1408">
            <v>1610</v>
          </cell>
          <cell r="V1408">
            <v>121.78571428571431</v>
          </cell>
          <cell r="W1408">
            <v>23</v>
          </cell>
          <cell r="X1408">
            <v>302</v>
          </cell>
          <cell r="Y1408">
            <v>18</v>
          </cell>
          <cell r="Z1408">
            <v>10</v>
          </cell>
        </row>
        <row r="1409">
          <cell r="A1409">
            <v>9324230</v>
          </cell>
          <cell r="B1409" t="str">
            <v>子弹风暴第2段</v>
          </cell>
          <cell r="C1409" t="str">
            <v>子弹风暴第2段</v>
          </cell>
          <cell r="D1409">
            <v>3</v>
          </cell>
          <cell r="E1409">
            <v>51</v>
          </cell>
          <cell r="F1409" t="str">
            <v>第30级，共造成158.3%点伤害</v>
          </cell>
          <cell r="G1409">
            <v>2</v>
          </cell>
          <cell r="H1409">
            <v>2</v>
          </cell>
          <cell r="I1409">
            <v>30</v>
          </cell>
          <cell r="J1409">
            <v>2</v>
          </cell>
          <cell r="K1409">
            <v>158.32142857142861</v>
          </cell>
          <cell r="L1409">
            <v>0</v>
          </cell>
          <cell r="M1409">
            <v>5600</v>
          </cell>
          <cell r="N1409">
            <v>41975</v>
          </cell>
          <cell r="O1409">
            <v>4</v>
          </cell>
          <cell r="P1409">
            <v>1</v>
          </cell>
          <cell r="Q1409">
            <v>1</v>
          </cell>
          <cell r="R1409">
            <v>8</v>
          </cell>
          <cell r="S1409">
            <v>50</v>
          </cell>
          <cell r="T1409">
            <v>121.78571428571431</v>
          </cell>
          <cell r="U1409">
            <v>1679</v>
          </cell>
          <cell r="V1409">
            <v>121.78571428571431</v>
          </cell>
          <cell r="W1409">
            <v>25</v>
          </cell>
          <cell r="X1409">
            <v>327</v>
          </cell>
          <cell r="Y1409">
            <v>18</v>
          </cell>
          <cell r="Z1409">
            <v>10</v>
          </cell>
        </row>
        <row r="1410">
          <cell r="A1410">
            <v>9324231</v>
          </cell>
          <cell r="B1410" t="str">
            <v>子弹风暴第2段</v>
          </cell>
          <cell r="C1410" t="str">
            <v>子弹风暴第2段</v>
          </cell>
          <cell r="D1410">
            <v>3</v>
          </cell>
          <cell r="E1410">
            <v>53</v>
          </cell>
          <cell r="F1410" t="str">
            <v>第31级，共造成159.5%点伤害</v>
          </cell>
          <cell r="G1410">
            <v>2</v>
          </cell>
          <cell r="H1410">
            <v>2</v>
          </cell>
          <cell r="I1410">
            <v>31</v>
          </cell>
          <cell r="J1410">
            <v>2</v>
          </cell>
          <cell r="K1410">
            <v>159.53928571428574</v>
          </cell>
          <cell r="L1410">
            <v>0</v>
          </cell>
          <cell r="M1410">
            <v>5520</v>
          </cell>
          <cell r="N1410">
            <v>47320</v>
          </cell>
          <cell r="O1410">
            <v>4</v>
          </cell>
          <cell r="P1410">
            <v>1</v>
          </cell>
          <cell r="Q1410">
            <v>1</v>
          </cell>
          <cell r="R1410">
            <v>8</v>
          </cell>
          <cell r="S1410">
            <v>50</v>
          </cell>
          <cell r="T1410">
            <v>121.78571428571431</v>
          </cell>
          <cell r="U1410">
            <v>1820</v>
          </cell>
          <cell r="V1410">
            <v>121.78571428571431</v>
          </cell>
          <cell r="W1410">
            <v>26</v>
          </cell>
          <cell r="X1410">
            <v>353</v>
          </cell>
          <cell r="Y1410">
            <v>18</v>
          </cell>
          <cell r="Z1410">
            <v>11</v>
          </cell>
        </row>
        <row r="1411">
          <cell r="A1411">
            <v>9324232</v>
          </cell>
          <cell r="B1411" t="str">
            <v>子弹风暴第2段</v>
          </cell>
          <cell r="C1411" t="str">
            <v>子弹风暴第2段</v>
          </cell>
          <cell r="D1411">
            <v>3</v>
          </cell>
          <cell r="E1411">
            <v>54</v>
          </cell>
          <cell r="F1411" t="str">
            <v>第32级，共造成160.8%点伤害</v>
          </cell>
          <cell r="G1411">
            <v>2</v>
          </cell>
          <cell r="H1411">
            <v>2</v>
          </cell>
          <cell r="I1411">
            <v>32</v>
          </cell>
          <cell r="J1411">
            <v>2</v>
          </cell>
          <cell r="K1411">
            <v>160.75714285714287</v>
          </cell>
          <cell r="L1411">
            <v>0</v>
          </cell>
          <cell r="M1411">
            <v>5440</v>
          </cell>
          <cell r="N1411">
            <v>53004</v>
          </cell>
          <cell r="O1411">
            <v>4</v>
          </cell>
          <cell r="P1411">
            <v>1</v>
          </cell>
          <cell r="Q1411">
            <v>1</v>
          </cell>
          <cell r="R1411">
            <v>8</v>
          </cell>
          <cell r="S1411">
            <v>50</v>
          </cell>
          <cell r="T1411">
            <v>121.78571428571431</v>
          </cell>
          <cell r="U1411">
            <v>1893</v>
          </cell>
          <cell r="V1411">
            <v>121.78571428571431</v>
          </cell>
          <cell r="W1411">
            <v>28</v>
          </cell>
          <cell r="X1411">
            <v>381</v>
          </cell>
          <cell r="Y1411">
            <v>18</v>
          </cell>
          <cell r="Z1411">
            <v>12</v>
          </cell>
        </row>
        <row r="1412">
          <cell r="A1412">
            <v>9324233</v>
          </cell>
          <cell r="B1412" t="str">
            <v>子弹风暴第2段</v>
          </cell>
          <cell r="C1412" t="str">
            <v>子弹风暴第2段</v>
          </cell>
          <cell r="D1412">
            <v>3</v>
          </cell>
          <cell r="E1412">
            <v>56</v>
          </cell>
          <cell r="F1412" t="str">
            <v>第33级，共造成162%点伤害</v>
          </cell>
          <cell r="G1412">
            <v>2</v>
          </cell>
          <cell r="H1412">
            <v>2</v>
          </cell>
          <cell r="I1412">
            <v>33</v>
          </cell>
          <cell r="J1412">
            <v>2</v>
          </cell>
          <cell r="K1412">
            <v>161.97500000000002</v>
          </cell>
          <cell r="L1412">
            <v>0</v>
          </cell>
          <cell r="M1412">
            <v>5360</v>
          </cell>
          <cell r="N1412">
            <v>61260</v>
          </cell>
          <cell r="O1412">
            <v>4</v>
          </cell>
          <cell r="P1412">
            <v>1</v>
          </cell>
          <cell r="Q1412">
            <v>1</v>
          </cell>
          <cell r="R1412">
            <v>8</v>
          </cell>
          <cell r="S1412">
            <v>50</v>
          </cell>
          <cell r="T1412">
            <v>121.78571428571431</v>
          </cell>
          <cell r="U1412">
            <v>2042</v>
          </cell>
          <cell r="V1412">
            <v>121.78571428571431</v>
          </cell>
          <cell r="W1412">
            <v>30</v>
          </cell>
          <cell r="X1412">
            <v>411</v>
          </cell>
          <cell r="Y1412">
            <v>18</v>
          </cell>
          <cell r="Z1412">
            <v>12</v>
          </cell>
        </row>
        <row r="1413">
          <cell r="A1413">
            <v>9324234</v>
          </cell>
          <cell r="B1413" t="str">
            <v>子弹风暴第2段</v>
          </cell>
          <cell r="C1413" t="str">
            <v>子弹风暴第2段</v>
          </cell>
          <cell r="D1413">
            <v>3</v>
          </cell>
          <cell r="E1413">
            <v>57</v>
          </cell>
          <cell r="F1413" t="str">
            <v>第34级，共造成163.2%点伤害</v>
          </cell>
          <cell r="G1413">
            <v>2</v>
          </cell>
          <cell r="H1413">
            <v>2</v>
          </cell>
          <cell r="I1413">
            <v>34</v>
          </cell>
          <cell r="J1413">
            <v>2</v>
          </cell>
          <cell r="K1413">
            <v>163.19285714285718</v>
          </cell>
          <cell r="L1413">
            <v>0</v>
          </cell>
          <cell r="M1413">
            <v>5280</v>
          </cell>
          <cell r="N1413">
            <v>67808</v>
          </cell>
          <cell r="O1413">
            <v>4</v>
          </cell>
          <cell r="P1413">
            <v>1</v>
          </cell>
          <cell r="Q1413">
            <v>1</v>
          </cell>
          <cell r="R1413">
            <v>8</v>
          </cell>
          <cell r="S1413">
            <v>50</v>
          </cell>
          <cell r="T1413">
            <v>121.78571428571431</v>
          </cell>
          <cell r="U1413">
            <v>2119</v>
          </cell>
          <cell r="V1413">
            <v>121.78571428571431</v>
          </cell>
          <cell r="W1413">
            <v>32</v>
          </cell>
          <cell r="X1413">
            <v>443</v>
          </cell>
          <cell r="Y1413">
            <v>18</v>
          </cell>
          <cell r="Z1413">
            <v>13</v>
          </cell>
        </row>
        <row r="1414">
          <cell r="A1414">
            <v>9324235</v>
          </cell>
          <cell r="B1414" t="str">
            <v>子弹风暴第2段</v>
          </cell>
          <cell r="C1414" t="str">
            <v>子弹风暴第2段</v>
          </cell>
          <cell r="D1414">
            <v>3</v>
          </cell>
          <cell r="E1414">
            <v>58</v>
          </cell>
          <cell r="F1414" t="str">
            <v>第35级，共造成164.4%点伤害</v>
          </cell>
          <cell r="G1414">
            <v>2</v>
          </cell>
          <cell r="H1414">
            <v>2</v>
          </cell>
          <cell r="I1414">
            <v>35</v>
          </cell>
          <cell r="J1414">
            <v>2</v>
          </cell>
          <cell r="K1414">
            <v>164.41071428571431</v>
          </cell>
          <cell r="L1414">
            <v>0</v>
          </cell>
          <cell r="M1414">
            <v>5200</v>
          </cell>
          <cell r="N1414">
            <v>74732</v>
          </cell>
          <cell r="O1414">
            <v>4</v>
          </cell>
          <cell r="P1414">
            <v>1</v>
          </cell>
          <cell r="Q1414">
            <v>1</v>
          </cell>
          <cell r="R1414">
            <v>8</v>
          </cell>
          <cell r="S1414">
            <v>50</v>
          </cell>
          <cell r="T1414">
            <v>121.78571428571431</v>
          </cell>
          <cell r="U1414">
            <v>2198</v>
          </cell>
          <cell r="V1414">
            <v>121.78571428571431</v>
          </cell>
          <cell r="W1414">
            <v>34</v>
          </cell>
          <cell r="X1414">
            <v>477</v>
          </cell>
          <cell r="Y1414">
            <v>18</v>
          </cell>
          <cell r="Z1414">
            <v>14</v>
          </cell>
        </row>
        <row r="1415">
          <cell r="A1415">
            <v>9324236</v>
          </cell>
          <cell r="B1415" t="str">
            <v>子弹风暴第2段</v>
          </cell>
          <cell r="C1415" t="str">
            <v>子弹风暴第2段</v>
          </cell>
          <cell r="D1415">
            <v>3</v>
          </cell>
          <cell r="E1415">
            <v>60</v>
          </cell>
          <cell r="F1415" t="str">
            <v>第36级，共造成165.6%点伤害</v>
          </cell>
          <cell r="G1415">
            <v>2</v>
          </cell>
          <cell r="H1415">
            <v>2</v>
          </cell>
          <cell r="I1415">
            <v>36</v>
          </cell>
          <cell r="J1415">
            <v>2</v>
          </cell>
          <cell r="K1415">
            <v>165.62857142857146</v>
          </cell>
          <cell r="L1415">
            <v>0</v>
          </cell>
          <cell r="M1415">
            <v>5120</v>
          </cell>
          <cell r="N1415">
            <v>87246</v>
          </cell>
          <cell r="O1415">
            <v>4</v>
          </cell>
          <cell r="P1415">
            <v>1</v>
          </cell>
          <cell r="Q1415">
            <v>1</v>
          </cell>
          <cell r="R1415">
            <v>8</v>
          </cell>
          <cell r="S1415">
            <v>50</v>
          </cell>
          <cell r="T1415">
            <v>121.78571428571431</v>
          </cell>
          <cell r="U1415">
            <v>2358</v>
          </cell>
          <cell r="V1415">
            <v>121.78571428571431</v>
          </cell>
          <cell r="W1415">
            <v>37</v>
          </cell>
          <cell r="X1415">
            <v>514</v>
          </cell>
          <cell r="Y1415">
            <v>18</v>
          </cell>
          <cell r="Z1415">
            <v>15</v>
          </cell>
        </row>
        <row r="1416">
          <cell r="A1416">
            <v>9324237</v>
          </cell>
          <cell r="B1416" t="str">
            <v>子弹风暴第2段</v>
          </cell>
          <cell r="C1416" t="str">
            <v>子弹风暴第2段</v>
          </cell>
          <cell r="D1416">
            <v>3</v>
          </cell>
          <cell r="E1416">
            <v>61</v>
          </cell>
          <cell r="F1416" t="str">
            <v>第37级，共造成166.8%点伤害</v>
          </cell>
          <cell r="G1416">
            <v>2</v>
          </cell>
          <cell r="H1416">
            <v>2</v>
          </cell>
          <cell r="I1416">
            <v>37</v>
          </cell>
          <cell r="J1416">
            <v>2</v>
          </cell>
          <cell r="K1416">
            <v>166.84642857142859</v>
          </cell>
          <cell r="L1416">
            <v>0</v>
          </cell>
          <cell r="M1416">
            <v>5040</v>
          </cell>
          <cell r="N1416">
            <v>95160</v>
          </cell>
          <cell r="O1416">
            <v>4</v>
          </cell>
          <cell r="P1416">
            <v>1</v>
          </cell>
          <cell r="Q1416">
            <v>1</v>
          </cell>
          <cell r="R1416">
            <v>8</v>
          </cell>
          <cell r="S1416">
            <v>50</v>
          </cell>
          <cell r="T1416">
            <v>121.78571428571431</v>
          </cell>
          <cell r="U1416">
            <v>2440</v>
          </cell>
          <cell r="V1416">
            <v>121.78571428571431</v>
          </cell>
          <cell r="W1416">
            <v>39</v>
          </cell>
          <cell r="X1416">
            <v>553</v>
          </cell>
          <cell r="Y1416">
            <v>18</v>
          </cell>
          <cell r="Z1416">
            <v>16</v>
          </cell>
        </row>
        <row r="1417">
          <cell r="A1417">
            <v>9324238</v>
          </cell>
          <cell r="B1417" t="str">
            <v>子弹风暴第2段</v>
          </cell>
          <cell r="C1417" t="str">
            <v>子弹风暴第2段</v>
          </cell>
          <cell r="D1417">
            <v>3</v>
          </cell>
          <cell r="E1417">
            <v>63</v>
          </cell>
          <cell r="F1417" t="str">
            <v>第38级，共造成168.1%点伤害</v>
          </cell>
          <cell r="G1417">
            <v>2</v>
          </cell>
          <cell r="H1417">
            <v>2</v>
          </cell>
          <cell r="I1417">
            <v>38</v>
          </cell>
          <cell r="J1417">
            <v>2</v>
          </cell>
          <cell r="K1417">
            <v>168.06428571428575</v>
          </cell>
          <cell r="L1417">
            <v>0</v>
          </cell>
          <cell r="M1417">
            <v>4960</v>
          </cell>
          <cell r="N1417">
            <v>109578</v>
          </cell>
          <cell r="O1417">
            <v>4</v>
          </cell>
          <cell r="P1417">
            <v>1</v>
          </cell>
          <cell r="Q1417">
            <v>1</v>
          </cell>
          <cell r="R1417">
            <v>8</v>
          </cell>
          <cell r="S1417">
            <v>50</v>
          </cell>
          <cell r="T1417">
            <v>121.78571428571431</v>
          </cell>
          <cell r="U1417">
            <v>2609</v>
          </cell>
          <cell r="V1417">
            <v>121.78571428571431</v>
          </cell>
          <cell r="W1417">
            <v>42</v>
          </cell>
          <cell r="X1417">
            <v>595</v>
          </cell>
          <cell r="Y1417">
            <v>18</v>
          </cell>
          <cell r="Z1417">
            <v>17</v>
          </cell>
        </row>
        <row r="1418">
          <cell r="A1418">
            <v>9324239</v>
          </cell>
          <cell r="B1418" t="str">
            <v>子弹风暴第2段</v>
          </cell>
          <cell r="C1418" t="str">
            <v>子弹风暴第2段</v>
          </cell>
          <cell r="D1418">
            <v>3</v>
          </cell>
          <cell r="E1418">
            <v>64</v>
          </cell>
          <cell r="F1418" t="str">
            <v>第39级，共造成169.3%点伤害</v>
          </cell>
          <cell r="G1418">
            <v>2</v>
          </cell>
          <cell r="H1418">
            <v>2</v>
          </cell>
          <cell r="I1418">
            <v>39</v>
          </cell>
          <cell r="J1418">
            <v>2</v>
          </cell>
          <cell r="K1418">
            <v>169.28214285714287</v>
          </cell>
          <cell r="L1418">
            <v>0</v>
          </cell>
          <cell r="M1418">
            <v>4880</v>
          </cell>
          <cell r="N1418">
            <v>121275</v>
          </cell>
          <cell r="O1418">
            <v>4</v>
          </cell>
          <cell r="P1418">
            <v>1</v>
          </cell>
          <cell r="Q1418">
            <v>1</v>
          </cell>
          <cell r="R1418">
            <v>8</v>
          </cell>
          <cell r="S1418">
            <v>50</v>
          </cell>
          <cell r="T1418">
            <v>121.78571428571431</v>
          </cell>
          <cell r="U1418">
            <v>2695</v>
          </cell>
          <cell r="V1418">
            <v>121.78571428571431</v>
          </cell>
          <cell r="W1418">
            <v>45</v>
          </cell>
          <cell r="X1418">
            <v>640</v>
          </cell>
          <cell r="Y1418">
            <v>18</v>
          </cell>
          <cell r="Z1418">
            <v>18</v>
          </cell>
        </row>
        <row r="1419">
          <cell r="A1419">
            <v>9324240</v>
          </cell>
          <cell r="B1419" t="str">
            <v>子弹风暴第2段</v>
          </cell>
          <cell r="C1419" t="str">
            <v>子弹风暴第2段</v>
          </cell>
          <cell r="D1419">
            <v>3</v>
          </cell>
          <cell r="E1419">
            <v>66</v>
          </cell>
          <cell r="F1419" t="str">
            <v>第40级，共造成170.5%点伤害</v>
          </cell>
          <cell r="G1419">
            <v>2</v>
          </cell>
          <cell r="H1419">
            <v>2</v>
          </cell>
          <cell r="I1419">
            <v>40</v>
          </cell>
          <cell r="J1419">
            <v>2</v>
          </cell>
          <cell r="K1419">
            <v>170.50000000000003</v>
          </cell>
          <cell r="L1419">
            <v>0</v>
          </cell>
          <cell r="M1419">
            <v>4800</v>
          </cell>
          <cell r="N1419">
            <v>137856</v>
          </cell>
          <cell r="O1419">
            <v>4</v>
          </cell>
          <cell r="P1419">
            <v>1</v>
          </cell>
          <cell r="Q1419">
            <v>1</v>
          </cell>
          <cell r="R1419">
            <v>8</v>
          </cell>
          <cell r="S1419">
            <v>50</v>
          </cell>
          <cell r="T1419">
            <v>121.78571428571431</v>
          </cell>
          <cell r="U1419">
            <v>2872</v>
          </cell>
          <cell r="V1419">
            <v>121.78571428571431</v>
          </cell>
          <cell r="W1419">
            <v>48</v>
          </cell>
          <cell r="X1419">
            <v>688</v>
          </cell>
          <cell r="Y1419">
            <v>18</v>
          </cell>
          <cell r="Z1419">
            <v>20</v>
          </cell>
        </row>
        <row r="1420">
          <cell r="A1420">
            <v>9324241</v>
          </cell>
          <cell r="B1420" t="str">
            <v>子弹风暴第2段</v>
          </cell>
          <cell r="C1420" t="str">
            <v>子弹风暴第2段</v>
          </cell>
          <cell r="D1420">
            <v>3</v>
          </cell>
          <cell r="E1420">
            <v>67</v>
          </cell>
          <cell r="F1420" t="str">
            <v>第41级，共造成171.7%点伤害</v>
          </cell>
          <cell r="G1420">
            <v>2</v>
          </cell>
          <cell r="H1420">
            <v>2</v>
          </cell>
          <cell r="I1420">
            <v>41</v>
          </cell>
          <cell r="J1420">
            <v>2</v>
          </cell>
          <cell r="K1420">
            <v>171.71785714285716</v>
          </cell>
          <cell r="L1420">
            <v>0</v>
          </cell>
          <cell r="M1420">
            <v>4720</v>
          </cell>
          <cell r="N1420">
            <v>151113</v>
          </cell>
          <cell r="O1420">
            <v>4</v>
          </cell>
          <cell r="P1420">
            <v>1</v>
          </cell>
          <cell r="Q1420">
            <v>1</v>
          </cell>
          <cell r="R1420">
            <v>8</v>
          </cell>
          <cell r="S1420">
            <v>50</v>
          </cell>
          <cell r="T1420">
            <v>121.78571428571431</v>
          </cell>
          <cell r="U1420">
            <v>2963</v>
          </cell>
          <cell r="V1420">
            <v>121.78571428571431</v>
          </cell>
          <cell r="W1420">
            <v>51</v>
          </cell>
          <cell r="X1420">
            <v>739</v>
          </cell>
          <cell r="Y1420">
            <v>18</v>
          </cell>
          <cell r="Z1420">
            <v>21</v>
          </cell>
        </row>
        <row r="1421">
          <cell r="A1421">
            <v>9324242</v>
          </cell>
          <cell r="B1421" t="str">
            <v>子弹风暴第2段</v>
          </cell>
          <cell r="C1421" t="str">
            <v>子弹风暴第2段</v>
          </cell>
          <cell r="D1421">
            <v>3</v>
          </cell>
          <cell r="E1421">
            <v>68</v>
          </cell>
          <cell r="F1421" t="str">
            <v>第42级，共造成172.9%点伤害</v>
          </cell>
          <cell r="G1421">
            <v>2</v>
          </cell>
          <cell r="H1421">
            <v>2</v>
          </cell>
          <cell r="I1421">
            <v>42</v>
          </cell>
          <cell r="J1421">
            <v>2</v>
          </cell>
          <cell r="K1421">
            <v>172.93571428571431</v>
          </cell>
          <cell r="L1421">
            <v>0</v>
          </cell>
          <cell r="M1421">
            <v>4640</v>
          </cell>
          <cell r="N1421">
            <v>167970</v>
          </cell>
          <cell r="O1421">
            <v>4</v>
          </cell>
          <cell r="P1421">
            <v>1</v>
          </cell>
          <cell r="Q1421">
            <v>1</v>
          </cell>
          <cell r="R1421">
            <v>8</v>
          </cell>
          <cell r="S1421">
            <v>50</v>
          </cell>
          <cell r="T1421">
            <v>121.78571428571431</v>
          </cell>
          <cell r="U1421">
            <v>3054</v>
          </cell>
          <cell r="V1421">
            <v>121.78571428571431</v>
          </cell>
          <cell r="W1421">
            <v>55</v>
          </cell>
          <cell r="X1421">
            <v>794</v>
          </cell>
          <cell r="Y1421">
            <v>18</v>
          </cell>
          <cell r="Z1421">
            <v>22</v>
          </cell>
        </row>
        <row r="1422">
          <cell r="A1422">
            <v>9324243</v>
          </cell>
          <cell r="B1422" t="str">
            <v>子弹风暴第2段</v>
          </cell>
          <cell r="C1422" t="str">
            <v>子弹风暴第2段</v>
          </cell>
          <cell r="D1422">
            <v>3</v>
          </cell>
          <cell r="E1422">
            <v>70</v>
          </cell>
          <cell r="F1422" t="str">
            <v>第43级，共造成174.2%点伤害</v>
          </cell>
          <cell r="G1422">
            <v>2</v>
          </cell>
          <cell r="H1422">
            <v>2</v>
          </cell>
          <cell r="I1422">
            <v>43</v>
          </cell>
          <cell r="J1422">
            <v>2</v>
          </cell>
          <cell r="K1422">
            <v>174.15357142857147</v>
          </cell>
          <cell r="L1422">
            <v>0</v>
          </cell>
          <cell r="M1422">
            <v>4560</v>
          </cell>
          <cell r="N1422">
            <v>191278</v>
          </cell>
          <cell r="O1422">
            <v>4</v>
          </cell>
          <cell r="P1422">
            <v>1</v>
          </cell>
          <cell r="Q1422">
            <v>1</v>
          </cell>
          <cell r="R1422">
            <v>8</v>
          </cell>
          <cell r="S1422">
            <v>50</v>
          </cell>
          <cell r="T1422">
            <v>121.78571428571431</v>
          </cell>
          <cell r="U1422">
            <v>3242</v>
          </cell>
          <cell r="V1422">
            <v>121.78571428571431</v>
          </cell>
          <cell r="W1422">
            <v>59</v>
          </cell>
          <cell r="X1422">
            <v>853</v>
          </cell>
          <cell r="Y1422">
            <v>18</v>
          </cell>
          <cell r="Z1422">
            <v>24</v>
          </cell>
        </row>
        <row r="1423">
          <cell r="A1423">
            <v>9324244</v>
          </cell>
          <cell r="B1423" t="str">
            <v>子弹风暴第2段</v>
          </cell>
          <cell r="C1423" t="str">
            <v>子弹风暴第2段</v>
          </cell>
          <cell r="D1423">
            <v>3</v>
          </cell>
          <cell r="E1423">
            <v>71</v>
          </cell>
          <cell r="F1423" t="str">
            <v>第44级，共造成175.4%点伤害</v>
          </cell>
          <cell r="G1423">
            <v>2</v>
          </cell>
          <cell r="H1423">
            <v>2</v>
          </cell>
          <cell r="I1423">
            <v>44</v>
          </cell>
          <cell r="J1423">
            <v>2</v>
          </cell>
          <cell r="K1423">
            <v>175.37142857142859</v>
          </cell>
          <cell r="L1423">
            <v>0</v>
          </cell>
          <cell r="M1423">
            <v>4480</v>
          </cell>
          <cell r="N1423">
            <v>210294</v>
          </cell>
          <cell r="O1423">
            <v>4</v>
          </cell>
          <cell r="P1423">
            <v>1</v>
          </cell>
          <cell r="Q1423">
            <v>1</v>
          </cell>
          <cell r="R1423">
            <v>8</v>
          </cell>
          <cell r="S1423">
            <v>50</v>
          </cell>
          <cell r="T1423">
            <v>121.78571428571431</v>
          </cell>
          <cell r="U1423">
            <v>3338</v>
          </cell>
          <cell r="V1423">
            <v>121.78571428571431</v>
          </cell>
          <cell r="W1423">
            <v>63</v>
          </cell>
          <cell r="X1423">
            <v>916</v>
          </cell>
          <cell r="Y1423">
            <v>18</v>
          </cell>
          <cell r="Z1423">
            <v>26</v>
          </cell>
        </row>
        <row r="1424">
          <cell r="A1424">
            <v>9324245</v>
          </cell>
          <cell r="B1424" t="str">
            <v>子弹风暴第2段</v>
          </cell>
          <cell r="C1424" t="str">
            <v>子弹风暴第2段</v>
          </cell>
          <cell r="D1424">
            <v>3</v>
          </cell>
          <cell r="E1424">
            <v>73</v>
          </cell>
          <cell r="F1424" t="str">
            <v>第45级，共造成176.6%点伤害</v>
          </cell>
          <cell r="G1424">
            <v>2</v>
          </cell>
          <cell r="H1424">
            <v>2</v>
          </cell>
          <cell r="I1424">
            <v>45</v>
          </cell>
          <cell r="J1424">
            <v>2</v>
          </cell>
          <cell r="K1424">
            <v>176.58928571428572</v>
          </cell>
          <cell r="L1424">
            <v>0</v>
          </cell>
          <cell r="M1424">
            <v>4400</v>
          </cell>
          <cell r="N1424">
            <v>240312</v>
          </cell>
          <cell r="O1424">
            <v>4</v>
          </cell>
          <cell r="P1424">
            <v>1</v>
          </cell>
          <cell r="Q1424">
            <v>1</v>
          </cell>
          <cell r="R1424">
            <v>8</v>
          </cell>
          <cell r="S1424">
            <v>50</v>
          </cell>
          <cell r="T1424">
            <v>121.78571428571431</v>
          </cell>
          <cell r="U1424">
            <v>3534</v>
          </cell>
          <cell r="V1424">
            <v>121.78571428571431</v>
          </cell>
          <cell r="W1424">
            <v>68</v>
          </cell>
          <cell r="X1424">
            <v>984</v>
          </cell>
          <cell r="Y1424">
            <v>18</v>
          </cell>
          <cell r="Z1424">
            <v>28</v>
          </cell>
        </row>
        <row r="1425">
          <cell r="A1425">
            <v>9324246</v>
          </cell>
          <cell r="B1425" t="str">
            <v>子弹风暴第2段</v>
          </cell>
          <cell r="C1425" t="str">
            <v>子弹风暴第2段</v>
          </cell>
          <cell r="D1425">
            <v>3</v>
          </cell>
          <cell r="E1425">
            <v>74</v>
          </cell>
          <cell r="F1425" t="str">
            <v>第46级，共造成177.8%点伤害</v>
          </cell>
          <cell r="G1425">
            <v>2</v>
          </cell>
          <cell r="H1425">
            <v>2</v>
          </cell>
          <cell r="I1425">
            <v>46</v>
          </cell>
          <cell r="J1425">
            <v>2</v>
          </cell>
          <cell r="K1425">
            <v>177.80714285714288</v>
          </cell>
          <cell r="L1425">
            <v>0</v>
          </cell>
          <cell r="M1425">
            <v>4320</v>
          </cell>
          <cell r="N1425">
            <v>261648</v>
          </cell>
          <cell r="O1425">
            <v>4</v>
          </cell>
          <cell r="P1425">
            <v>1</v>
          </cell>
          <cell r="Q1425">
            <v>1</v>
          </cell>
          <cell r="R1425">
            <v>8</v>
          </cell>
          <cell r="S1425">
            <v>50</v>
          </cell>
          <cell r="T1425">
            <v>121.78571428571431</v>
          </cell>
          <cell r="U1425">
            <v>3634</v>
          </cell>
          <cell r="V1425">
            <v>121.78571428571431</v>
          </cell>
          <cell r="W1425">
            <v>72</v>
          </cell>
          <cell r="X1425">
            <v>1056</v>
          </cell>
          <cell r="Y1425">
            <v>18</v>
          </cell>
          <cell r="Z1425">
            <v>29</v>
          </cell>
        </row>
        <row r="1426">
          <cell r="A1426">
            <v>9324247</v>
          </cell>
          <cell r="B1426" t="str">
            <v>子弹风暴第2段</v>
          </cell>
          <cell r="C1426" t="str">
            <v>子弹风暴第2段</v>
          </cell>
          <cell r="D1426">
            <v>3</v>
          </cell>
          <cell r="E1426">
            <v>76</v>
          </cell>
          <cell r="F1426" t="str">
            <v>第47级，共造成179%点伤害</v>
          </cell>
          <cell r="G1426">
            <v>2</v>
          </cell>
          <cell r="H1426">
            <v>2</v>
          </cell>
          <cell r="I1426">
            <v>47</v>
          </cell>
          <cell r="J1426">
            <v>2</v>
          </cell>
          <cell r="K1426">
            <v>179.02500000000003</v>
          </cell>
          <cell r="L1426">
            <v>0</v>
          </cell>
          <cell r="M1426">
            <v>4240</v>
          </cell>
          <cell r="N1426">
            <v>295526</v>
          </cell>
          <cell r="O1426">
            <v>4</v>
          </cell>
          <cell r="P1426">
            <v>1</v>
          </cell>
          <cell r="Q1426">
            <v>1</v>
          </cell>
          <cell r="R1426">
            <v>8</v>
          </cell>
          <cell r="S1426">
            <v>50</v>
          </cell>
          <cell r="T1426">
            <v>121.78571428571431</v>
          </cell>
          <cell r="U1426">
            <v>3838</v>
          </cell>
          <cell r="V1426">
            <v>121.78571428571431</v>
          </cell>
          <cell r="W1426">
            <v>77</v>
          </cell>
          <cell r="X1426">
            <v>1133</v>
          </cell>
          <cell r="Y1426">
            <v>18</v>
          </cell>
          <cell r="Z1426">
            <v>31</v>
          </cell>
        </row>
        <row r="1427">
          <cell r="A1427">
            <v>9324248</v>
          </cell>
          <cell r="B1427" t="str">
            <v>子弹风暴第2段</v>
          </cell>
          <cell r="C1427" t="str">
            <v>子弹风暴第2段</v>
          </cell>
          <cell r="D1427">
            <v>3</v>
          </cell>
          <cell r="E1427">
            <v>77</v>
          </cell>
          <cell r="F1427" t="str">
            <v>第48级，共造成180.2%点伤害</v>
          </cell>
          <cell r="G1427">
            <v>2</v>
          </cell>
          <cell r="H1427">
            <v>2</v>
          </cell>
          <cell r="I1427">
            <v>48</v>
          </cell>
          <cell r="J1427">
            <v>2</v>
          </cell>
          <cell r="K1427">
            <v>180.24285714285716</v>
          </cell>
          <cell r="L1427">
            <v>0</v>
          </cell>
          <cell r="M1427">
            <v>4160</v>
          </cell>
          <cell r="N1427">
            <v>327186</v>
          </cell>
          <cell r="O1427">
            <v>4</v>
          </cell>
          <cell r="P1427">
            <v>1</v>
          </cell>
          <cell r="Q1427">
            <v>1</v>
          </cell>
          <cell r="R1427">
            <v>8</v>
          </cell>
          <cell r="S1427">
            <v>50</v>
          </cell>
          <cell r="T1427">
            <v>121.78571428571431</v>
          </cell>
          <cell r="U1427">
            <v>3942</v>
          </cell>
          <cell r="V1427">
            <v>121.78571428571431</v>
          </cell>
          <cell r="W1427">
            <v>83</v>
          </cell>
          <cell r="X1427">
            <v>1216</v>
          </cell>
          <cell r="Y1427">
            <v>18</v>
          </cell>
          <cell r="Z1427">
            <v>34</v>
          </cell>
        </row>
        <row r="1428">
          <cell r="A1428">
            <v>9324249</v>
          </cell>
          <cell r="B1428" t="str">
            <v>子弹风暴第2段</v>
          </cell>
          <cell r="C1428" t="str">
            <v>子弹风暴第2段</v>
          </cell>
          <cell r="D1428">
            <v>3</v>
          </cell>
          <cell r="E1428">
            <v>79</v>
          </cell>
          <cell r="F1428" t="str">
            <v>第49级，共造成181.5%点伤害</v>
          </cell>
          <cell r="G1428">
            <v>2</v>
          </cell>
          <cell r="H1428">
            <v>2</v>
          </cell>
          <cell r="I1428">
            <v>49</v>
          </cell>
          <cell r="J1428">
            <v>2</v>
          </cell>
          <cell r="K1428">
            <v>181.46071428571432</v>
          </cell>
          <cell r="L1428">
            <v>0</v>
          </cell>
          <cell r="M1428">
            <v>4080</v>
          </cell>
          <cell r="N1428">
            <v>369706</v>
          </cell>
          <cell r="O1428">
            <v>4</v>
          </cell>
          <cell r="P1428">
            <v>1</v>
          </cell>
          <cell r="Q1428">
            <v>1</v>
          </cell>
          <cell r="R1428">
            <v>8</v>
          </cell>
          <cell r="S1428">
            <v>50</v>
          </cell>
          <cell r="T1428">
            <v>121.78571428571431</v>
          </cell>
          <cell r="U1428">
            <v>4154</v>
          </cell>
          <cell r="V1428">
            <v>121.78571428571431</v>
          </cell>
          <cell r="W1428">
            <v>89</v>
          </cell>
          <cell r="X1428">
            <v>1305</v>
          </cell>
          <cell r="Y1428">
            <v>18</v>
          </cell>
          <cell r="Z1428">
            <v>36</v>
          </cell>
        </row>
        <row r="1429">
          <cell r="A1429">
            <v>9324250</v>
          </cell>
          <cell r="B1429" t="str">
            <v>子弹风暴第2段</v>
          </cell>
          <cell r="C1429" t="str">
            <v>子弹风暴第2段</v>
          </cell>
          <cell r="D1429">
            <v>3</v>
          </cell>
          <cell r="E1429">
            <v>80</v>
          </cell>
          <cell r="F1429" t="str">
            <v>第50级，共造成182.7%点伤害</v>
          </cell>
          <cell r="G1429">
            <v>2</v>
          </cell>
          <cell r="H1429">
            <v>2</v>
          </cell>
          <cell r="I1429">
            <v>50</v>
          </cell>
          <cell r="J1429">
            <v>2</v>
          </cell>
          <cell r="K1429">
            <v>182.67857142857144</v>
          </cell>
          <cell r="L1429">
            <v>0</v>
          </cell>
          <cell r="M1429">
            <v>4000</v>
          </cell>
          <cell r="N1429">
            <v>404890</v>
          </cell>
          <cell r="O1429">
            <v>4</v>
          </cell>
          <cell r="P1429">
            <v>1</v>
          </cell>
          <cell r="Q1429">
            <v>1</v>
          </cell>
          <cell r="R1429">
            <v>8</v>
          </cell>
          <cell r="S1429">
            <v>50</v>
          </cell>
          <cell r="T1429">
            <v>121.78571428571431</v>
          </cell>
          <cell r="U1429">
            <v>4262</v>
          </cell>
          <cell r="V1429">
            <v>121.78571428571431</v>
          </cell>
          <cell r="W1429">
            <v>95</v>
          </cell>
          <cell r="X1429">
            <v>1400</v>
          </cell>
          <cell r="Y1429">
            <v>18</v>
          </cell>
          <cell r="Z1429">
            <v>38</v>
          </cell>
        </row>
        <row r="1430">
          <cell r="A1430">
            <v>1</v>
          </cell>
          <cell r="B1430" t="str">
            <v>子弹风暴</v>
          </cell>
          <cell r="C1430" t="str">
            <v>子弹风暴第3段</v>
          </cell>
          <cell r="D1430">
            <v>3</v>
          </cell>
          <cell r="E1430">
            <v>6</v>
          </cell>
          <cell r="F1430" t="str">
            <v>第0级，共造成121.8%点伤害</v>
          </cell>
          <cell r="G1430">
            <v>0</v>
          </cell>
          <cell r="H1430">
            <v>3</v>
          </cell>
          <cell r="I1430">
            <v>0</v>
          </cell>
          <cell r="J1430">
            <v>2</v>
          </cell>
          <cell r="K1430">
            <v>121.78571428571431</v>
          </cell>
          <cell r="L1430">
            <v>0</v>
          </cell>
          <cell r="M1430">
            <v>8000</v>
          </cell>
          <cell r="N1430">
            <v>0</v>
          </cell>
          <cell r="O1430">
            <v>4</v>
          </cell>
          <cell r="P1430">
            <v>1</v>
          </cell>
          <cell r="Q1430">
            <v>1</v>
          </cell>
          <cell r="R1430">
            <v>10</v>
          </cell>
          <cell r="S1430">
            <v>50</v>
          </cell>
          <cell r="T1430">
            <v>121.78571428571431</v>
          </cell>
          <cell r="U1430">
            <v>80</v>
          </cell>
          <cell r="V1430">
            <v>121.78571428571431</v>
          </cell>
          <cell r="W1430">
            <v>0</v>
          </cell>
          <cell r="X1430">
            <v>0</v>
          </cell>
          <cell r="Y1430">
            <v>18</v>
          </cell>
          <cell r="Z1430">
            <v>0</v>
          </cell>
        </row>
        <row r="1431">
          <cell r="A1431">
            <v>9324301</v>
          </cell>
          <cell r="B1431" t="str">
            <v>子弹风暴第3段</v>
          </cell>
          <cell r="C1431" t="str">
            <v>子弹风暴第3段</v>
          </cell>
          <cell r="D1431">
            <v>3</v>
          </cell>
          <cell r="E1431">
            <v>6</v>
          </cell>
          <cell r="F1431" t="str">
            <v>第1级，共造成121.8%点伤害</v>
          </cell>
          <cell r="G1431">
            <v>3</v>
          </cell>
          <cell r="H1431">
            <v>3</v>
          </cell>
          <cell r="I1431">
            <v>1</v>
          </cell>
          <cell r="J1431">
            <v>2</v>
          </cell>
          <cell r="K1431">
            <v>121.78571428571431</v>
          </cell>
          <cell r="L1431">
            <v>0</v>
          </cell>
          <cell r="M1431">
            <v>8000</v>
          </cell>
          <cell r="N1431">
            <v>240</v>
          </cell>
          <cell r="O1431">
            <v>4</v>
          </cell>
          <cell r="P1431">
            <v>1</v>
          </cell>
          <cell r="Q1431">
            <v>1</v>
          </cell>
          <cell r="R1431">
            <v>10</v>
          </cell>
          <cell r="S1431">
            <v>50</v>
          </cell>
          <cell r="T1431">
            <v>121.78571428571431</v>
          </cell>
          <cell r="U1431">
            <v>80</v>
          </cell>
          <cell r="V1431">
            <v>121.78571428571431</v>
          </cell>
          <cell r="W1431">
            <v>3</v>
          </cell>
          <cell r="X1431">
            <v>3</v>
          </cell>
          <cell r="Y1431">
            <v>18</v>
          </cell>
          <cell r="Z1431">
            <v>0</v>
          </cell>
        </row>
        <row r="1432">
          <cell r="A1432">
            <v>9324302</v>
          </cell>
          <cell r="B1432" t="str">
            <v>子弹风暴第3段</v>
          </cell>
          <cell r="C1432" t="str">
            <v>子弹风暴第3段</v>
          </cell>
          <cell r="D1432">
            <v>3</v>
          </cell>
          <cell r="E1432">
            <v>13</v>
          </cell>
          <cell r="F1432" t="str">
            <v>第2级，共造成124.2%点伤害</v>
          </cell>
          <cell r="G1432">
            <v>3</v>
          </cell>
          <cell r="H1432">
            <v>3</v>
          </cell>
          <cell r="I1432">
            <v>2</v>
          </cell>
          <cell r="J1432">
            <v>2</v>
          </cell>
          <cell r="K1432">
            <v>124.22142857142859</v>
          </cell>
          <cell r="L1432">
            <v>0</v>
          </cell>
          <cell r="M1432">
            <v>7840</v>
          </cell>
          <cell r="N1432">
            <v>488</v>
          </cell>
          <cell r="O1432">
            <v>4</v>
          </cell>
          <cell r="P1432">
            <v>1</v>
          </cell>
          <cell r="Q1432">
            <v>1</v>
          </cell>
          <cell r="R1432">
            <v>10</v>
          </cell>
          <cell r="S1432">
            <v>50</v>
          </cell>
          <cell r="T1432">
            <v>121.78571428571431</v>
          </cell>
          <cell r="U1432">
            <v>122</v>
          </cell>
          <cell r="V1432">
            <v>121.78571428571431</v>
          </cell>
          <cell r="W1432">
            <v>4</v>
          </cell>
          <cell r="X1432">
            <v>7</v>
          </cell>
          <cell r="Y1432">
            <v>18</v>
          </cell>
          <cell r="Z1432">
            <v>0</v>
          </cell>
        </row>
        <row r="1433">
          <cell r="A1433">
            <v>9324303</v>
          </cell>
          <cell r="B1433" t="str">
            <v>子弹风暴第3段</v>
          </cell>
          <cell r="C1433" t="str">
            <v>子弹风暴第3段</v>
          </cell>
          <cell r="D1433">
            <v>3</v>
          </cell>
          <cell r="E1433">
            <v>14</v>
          </cell>
          <cell r="F1433" t="str">
            <v>第3级，共造成125.4%点伤害</v>
          </cell>
          <cell r="G1433">
            <v>3</v>
          </cell>
          <cell r="H1433">
            <v>3</v>
          </cell>
          <cell r="I1433">
            <v>3</v>
          </cell>
          <cell r="J1433">
            <v>2</v>
          </cell>
          <cell r="K1433">
            <v>125.43928571428573</v>
          </cell>
          <cell r="L1433">
            <v>0</v>
          </cell>
          <cell r="M1433">
            <v>7760</v>
          </cell>
          <cell r="N1433">
            <v>512</v>
          </cell>
          <cell r="O1433">
            <v>4</v>
          </cell>
          <cell r="P1433">
            <v>1</v>
          </cell>
          <cell r="Q1433">
            <v>1</v>
          </cell>
          <cell r="R1433">
            <v>10</v>
          </cell>
          <cell r="S1433">
            <v>50</v>
          </cell>
          <cell r="T1433">
            <v>121.78571428571431</v>
          </cell>
          <cell r="U1433">
            <v>128</v>
          </cell>
          <cell r="V1433">
            <v>121.78571428571431</v>
          </cell>
          <cell r="W1433">
            <v>4</v>
          </cell>
          <cell r="X1433">
            <v>11</v>
          </cell>
          <cell r="Y1433">
            <v>18</v>
          </cell>
          <cell r="Z1433">
            <v>0</v>
          </cell>
        </row>
        <row r="1434">
          <cell r="A1434">
            <v>9324304</v>
          </cell>
          <cell r="B1434" t="str">
            <v>子弹风暴第3段</v>
          </cell>
          <cell r="C1434" t="str">
            <v>子弹风暴第3段</v>
          </cell>
          <cell r="D1434">
            <v>3</v>
          </cell>
          <cell r="E1434">
            <v>16</v>
          </cell>
          <cell r="F1434" t="str">
            <v>第4级，共造成126.7%点伤害</v>
          </cell>
          <cell r="G1434">
            <v>3</v>
          </cell>
          <cell r="H1434">
            <v>3</v>
          </cell>
          <cell r="I1434">
            <v>4</v>
          </cell>
          <cell r="J1434">
            <v>2</v>
          </cell>
          <cell r="K1434">
            <v>126.65714285714287</v>
          </cell>
          <cell r="L1434">
            <v>0</v>
          </cell>
          <cell r="M1434">
            <v>7680</v>
          </cell>
          <cell r="N1434">
            <v>560</v>
          </cell>
          <cell r="O1434">
            <v>4</v>
          </cell>
          <cell r="P1434">
            <v>1</v>
          </cell>
          <cell r="Q1434">
            <v>1</v>
          </cell>
          <cell r="R1434">
            <v>10</v>
          </cell>
          <cell r="S1434">
            <v>50</v>
          </cell>
          <cell r="T1434">
            <v>121.78571428571431</v>
          </cell>
          <cell r="U1434">
            <v>140</v>
          </cell>
          <cell r="V1434">
            <v>121.78571428571431</v>
          </cell>
          <cell r="W1434">
            <v>4</v>
          </cell>
          <cell r="X1434">
            <v>15</v>
          </cell>
          <cell r="Y1434">
            <v>18</v>
          </cell>
          <cell r="Z1434">
            <v>0</v>
          </cell>
        </row>
        <row r="1435">
          <cell r="A1435">
            <v>9324305</v>
          </cell>
          <cell r="B1435" t="str">
            <v>子弹风暴第3段</v>
          </cell>
          <cell r="C1435" t="str">
            <v>子弹风暴第3段</v>
          </cell>
          <cell r="D1435">
            <v>3</v>
          </cell>
          <cell r="E1435">
            <v>17</v>
          </cell>
          <cell r="F1435" t="str">
            <v>第5级，共造成127.9%点伤害</v>
          </cell>
          <cell r="G1435">
            <v>3</v>
          </cell>
          <cell r="H1435">
            <v>3</v>
          </cell>
          <cell r="I1435">
            <v>5</v>
          </cell>
          <cell r="J1435">
            <v>2</v>
          </cell>
          <cell r="K1435">
            <v>127.87500000000003</v>
          </cell>
          <cell r="L1435">
            <v>0</v>
          </cell>
          <cell r="M1435">
            <v>7600</v>
          </cell>
          <cell r="N1435">
            <v>730</v>
          </cell>
          <cell r="O1435">
            <v>4</v>
          </cell>
          <cell r="P1435">
            <v>1</v>
          </cell>
          <cell r="Q1435">
            <v>1</v>
          </cell>
          <cell r="R1435">
            <v>10</v>
          </cell>
          <cell r="S1435">
            <v>50</v>
          </cell>
          <cell r="T1435">
            <v>121.78571428571431</v>
          </cell>
          <cell r="U1435">
            <v>146</v>
          </cell>
          <cell r="V1435">
            <v>121.78571428571431</v>
          </cell>
          <cell r="W1435">
            <v>5</v>
          </cell>
          <cell r="X1435">
            <v>20</v>
          </cell>
          <cell r="Y1435">
            <v>18</v>
          </cell>
          <cell r="Z1435">
            <v>0</v>
          </cell>
        </row>
        <row r="1436">
          <cell r="A1436">
            <v>9324306</v>
          </cell>
          <cell r="B1436" t="str">
            <v>子弹风暴第3段</v>
          </cell>
          <cell r="C1436" t="str">
            <v>子弹风暴第3段</v>
          </cell>
          <cell r="D1436">
            <v>3</v>
          </cell>
          <cell r="E1436">
            <v>18</v>
          </cell>
          <cell r="F1436" t="str">
            <v>第6级，共造成129.1%点伤害</v>
          </cell>
          <cell r="G1436">
            <v>3</v>
          </cell>
          <cell r="H1436">
            <v>3</v>
          </cell>
          <cell r="I1436">
            <v>6</v>
          </cell>
          <cell r="J1436">
            <v>2</v>
          </cell>
          <cell r="K1436">
            <v>129.09285714285716</v>
          </cell>
          <cell r="L1436">
            <v>0</v>
          </cell>
          <cell r="M1436">
            <v>7520</v>
          </cell>
          <cell r="N1436">
            <v>760</v>
          </cell>
          <cell r="O1436">
            <v>4</v>
          </cell>
          <cell r="P1436">
            <v>1</v>
          </cell>
          <cell r="Q1436">
            <v>1</v>
          </cell>
          <cell r="R1436">
            <v>10</v>
          </cell>
          <cell r="S1436">
            <v>50</v>
          </cell>
          <cell r="T1436">
            <v>121.78571428571431</v>
          </cell>
          <cell r="U1436">
            <v>152</v>
          </cell>
          <cell r="V1436">
            <v>121.78571428571431</v>
          </cell>
          <cell r="W1436">
            <v>5</v>
          </cell>
          <cell r="X1436">
            <v>25</v>
          </cell>
          <cell r="Y1436">
            <v>18</v>
          </cell>
          <cell r="Z1436">
            <v>0</v>
          </cell>
        </row>
        <row r="1437">
          <cell r="A1437">
            <v>9324307</v>
          </cell>
          <cell r="B1437" t="str">
            <v>子弹风暴第3段</v>
          </cell>
          <cell r="C1437" t="str">
            <v>子弹风暴第3段</v>
          </cell>
          <cell r="D1437">
            <v>3</v>
          </cell>
          <cell r="E1437">
            <v>20</v>
          </cell>
          <cell r="F1437" t="str">
            <v>第7级，共造成130.3%点伤害</v>
          </cell>
          <cell r="G1437">
            <v>3</v>
          </cell>
          <cell r="H1437">
            <v>3</v>
          </cell>
          <cell r="I1437">
            <v>7</v>
          </cell>
          <cell r="J1437">
            <v>2</v>
          </cell>
          <cell r="K1437">
            <v>130.31071428571431</v>
          </cell>
          <cell r="L1437">
            <v>0</v>
          </cell>
          <cell r="M1437">
            <v>7440</v>
          </cell>
          <cell r="N1437">
            <v>910</v>
          </cell>
          <cell r="O1437">
            <v>4</v>
          </cell>
          <cell r="P1437">
            <v>1</v>
          </cell>
          <cell r="Q1437">
            <v>1</v>
          </cell>
          <cell r="R1437">
            <v>10</v>
          </cell>
          <cell r="S1437">
            <v>50</v>
          </cell>
          <cell r="T1437">
            <v>121.78571428571431</v>
          </cell>
          <cell r="U1437">
            <v>182</v>
          </cell>
          <cell r="V1437">
            <v>121.78571428571431</v>
          </cell>
          <cell r="W1437">
            <v>5</v>
          </cell>
          <cell r="X1437">
            <v>30</v>
          </cell>
          <cell r="Y1437">
            <v>18</v>
          </cell>
          <cell r="Z1437">
            <v>0</v>
          </cell>
        </row>
        <row r="1438">
          <cell r="A1438">
            <v>9324308</v>
          </cell>
          <cell r="B1438" t="str">
            <v>子弹风暴第3段</v>
          </cell>
          <cell r="C1438" t="str">
            <v>子弹风暴第3段</v>
          </cell>
          <cell r="D1438">
            <v>3</v>
          </cell>
          <cell r="E1438">
            <v>21</v>
          </cell>
          <cell r="F1438" t="str">
            <v>第8级，共造成131.5%点伤害</v>
          </cell>
          <cell r="G1438">
            <v>3</v>
          </cell>
          <cell r="H1438">
            <v>3</v>
          </cell>
          <cell r="I1438">
            <v>8</v>
          </cell>
          <cell r="J1438">
            <v>2</v>
          </cell>
          <cell r="K1438">
            <v>131.52857142857144</v>
          </cell>
          <cell r="L1438">
            <v>0</v>
          </cell>
          <cell r="M1438">
            <v>7360</v>
          </cell>
          <cell r="N1438">
            <v>1260</v>
          </cell>
          <cell r="O1438">
            <v>4</v>
          </cell>
          <cell r="P1438">
            <v>1</v>
          </cell>
          <cell r="Q1438">
            <v>1</v>
          </cell>
          <cell r="R1438">
            <v>10</v>
          </cell>
          <cell r="S1438">
            <v>50</v>
          </cell>
          <cell r="T1438">
            <v>121.78571428571431</v>
          </cell>
          <cell r="U1438">
            <v>210</v>
          </cell>
          <cell r="V1438">
            <v>121.78571428571431</v>
          </cell>
          <cell r="W1438">
            <v>6</v>
          </cell>
          <cell r="X1438">
            <v>36</v>
          </cell>
          <cell r="Y1438">
            <v>18</v>
          </cell>
          <cell r="Z1438">
            <v>0</v>
          </cell>
        </row>
        <row r="1439">
          <cell r="A1439">
            <v>9324309</v>
          </cell>
          <cell r="B1439" t="str">
            <v>子弹风暴第3段</v>
          </cell>
          <cell r="C1439" t="str">
            <v>子弹风暴第3段</v>
          </cell>
          <cell r="D1439">
            <v>3</v>
          </cell>
          <cell r="E1439">
            <v>23</v>
          </cell>
          <cell r="F1439" t="str">
            <v>第9级，共造成132.7%点伤害</v>
          </cell>
          <cell r="G1439">
            <v>3</v>
          </cell>
          <cell r="H1439">
            <v>3</v>
          </cell>
          <cell r="I1439">
            <v>9</v>
          </cell>
          <cell r="J1439">
            <v>2</v>
          </cell>
          <cell r="K1439">
            <v>132.74642857142859</v>
          </cell>
          <cell r="L1439">
            <v>0</v>
          </cell>
          <cell r="M1439">
            <v>7280</v>
          </cell>
          <cell r="N1439">
            <v>1620</v>
          </cell>
          <cell r="O1439">
            <v>4</v>
          </cell>
          <cell r="P1439">
            <v>1</v>
          </cell>
          <cell r="Q1439">
            <v>1</v>
          </cell>
          <cell r="R1439">
            <v>10</v>
          </cell>
          <cell r="S1439">
            <v>50</v>
          </cell>
          <cell r="T1439">
            <v>121.78571428571431</v>
          </cell>
          <cell r="U1439">
            <v>270</v>
          </cell>
          <cell r="V1439">
            <v>121.78571428571431</v>
          </cell>
          <cell r="W1439">
            <v>6</v>
          </cell>
          <cell r="X1439">
            <v>42</v>
          </cell>
          <cell r="Y1439">
            <v>18</v>
          </cell>
          <cell r="Z1439">
            <v>0</v>
          </cell>
        </row>
        <row r="1440">
          <cell r="A1440">
            <v>9324310</v>
          </cell>
          <cell r="B1440" t="str">
            <v>子弹风暴第3段</v>
          </cell>
          <cell r="C1440" t="str">
            <v>子弹风暴第3段</v>
          </cell>
          <cell r="D1440">
            <v>3</v>
          </cell>
          <cell r="E1440">
            <v>24</v>
          </cell>
          <cell r="F1440" t="str">
            <v>第10级，共造成134%点伤害</v>
          </cell>
          <cell r="G1440">
            <v>3</v>
          </cell>
          <cell r="H1440">
            <v>3</v>
          </cell>
          <cell r="I1440">
            <v>10</v>
          </cell>
          <cell r="J1440">
            <v>2</v>
          </cell>
          <cell r="K1440">
            <v>133.96428571428572</v>
          </cell>
          <cell r="L1440">
            <v>0</v>
          </cell>
          <cell r="M1440">
            <v>7200</v>
          </cell>
          <cell r="N1440">
            <v>1812</v>
          </cell>
          <cell r="O1440">
            <v>4</v>
          </cell>
          <cell r="P1440">
            <v>1</v>
          </cell>
          <cell r="Q1440">
            <v>1</v>
          </cell>
          <cell r="R1440">
            <v>10</v>
          </cell>
          <cell r="S1440">
            <v>50</v>
          </cell>
          <cell r="T1440">
            <v>121.78571428571431</v>
          </cell>
          <cell r="U1440">
            <v>302</v>
          </cell>
          <cell r="V1440">
            <v>121.78571428571431</v>
          </cell>
          <cell r="W1440">
            <v>6</v>
          </cell>
          <cell r="X1440">
            <v>48</v>
          </cell>
          <cell r="Y1440">
            <v>18</v>
          </cell>
          <cell r="Z1440">
            <v>0</v>
          </cell>
        </row>
        <row r="1441">
          <cell r="A1441">
            <v>9324311</v>
          </cell>
          <cell r="B1441" t="str">
            <v>子弹风暴第3段</v>
          </cell>
          <cell r="C1441" t="str">
            <v>子弹风暴第3段</v>
          </cell>
          <cell r="D1441">
            <v>3</v>
          </cell>
          <cell r="E1441">
            <v>25</v>
          </cell>
          <cell r="F1441" t="str">
            <v>第11级，共造成135.2%点伤害</v>
          </cell>
          <cell r="G1441">
            <v>3</v>
          </cell>
          <cell r="H1441">
            <v>3</v>
          </cell>
          <cell r="I1441">
            <v>11</v>
          </cell>
          <cell r="J1441">
            <v>2</v>
          </cell>
          <cell r="K1441">
            <v>135.18214285714288</v>
          </cell>
          <cell r="L1441">
            <v>0</v>
          </cell>
          <cell r="M1441">
            <v>7120</v>
          </cell>
          <cell r="N1441">
            <v>2345</v>
          </cell>
          <cell r="O1441">
            <v>4</v>
          </cell>
          <cell r="P1441">
            <v>1</v>
          </cell>
          <cell r="Q1441">
            <v>1</v>
          </cell>
          <cell r="R1441">
            <v>10</v>
          </cell>
          <cell r="S1441">
            <v>50</v>
          </cell>
          <cell r="T1441">
            <v>121.78571428571431</v>
          </cell>
          <cell r="U1441">
            <v>335</v>
          </cell>
          <cell r="V1441">
            <v>121.78571428571431</v>
          </cell>
          <cell r="W1441">
            <v>7</v>
          </cell>
          <cell r="X1441">
            <v>55</v>
          </cell>
          <cell r="Y1441">
            <v>18</v>
          </cell>
          <cell r="Z1441">
            <v>0</v>
          </cell>
        </row>
        <row r="1442">
          <cell r="A1442">
            <v>9324312</v>
          </cell>
          <cell r="B1442" t="str">
            <v>子弹风暴第3段</v>
          </cell>
          <cell r="C1442" t="str">
            <v>子弹风暴第3段</v>
          </cell>
          <cell r="D1442">
            <v>3</v>
          </cell>
          <cell r="E1442">
            <v>27</v>
          </cell>
          <cell r="F1442" t="str">
            <v>第12级，共造成136.4%点伤害</v>
          </cell>
          <cell r="G1442">
            <v>3</v>
          </cell>
          <cell r="H1442">
            <v>3</v>
          </cell>
          <cell r="I1442">
            <v>12</v>
          </cell>
          <cell r="J1442">
            <v>2</v>
          </cell>
          <cell r="K1442">
            <v>136.40000000000003</v>
          </cell>
          <cell r="L1442">
            <v>0</v>
          </cell>
          <cell r="M1442">
            <v>7040</v>
          </cell>
          <cell r="N1442">
            <v>2842</v>
          </cell>
          <cell r="O1442">
            <v>4</v>
          </cell>
          <cell r="P1442">
            <v>1</v>
          </cell>
          <cell r="Q1442">
            <v>1</v>
          </cell>
          <cell r="R1442">
            <v>10</v>
          </cell>
          <cell r="S1442">
            <v>50</v>
          </cell>
          <cell r="T1442">
            <v>121.78571428571431</v>
          </cell>
          <cell r="U1442">
            <v>406</v>
          </cell>
          <cell r="V1442">
            <v>121.78571428571431</v>
          </cell>
          <cell r="W1442">
            <v>7</v>
          </cell>
          <cell r="X1442">
            <v>62</v>
          </cell>
          <cell r="Y1442">
            <v>18</v>
          </cell>
          <cell r="Z1442">
            <v>0</v>
          </cell>
        </row>
        <row r="1443">
          <cell r="A1443">
            <v>9324313</v>
          </cell>
          <cell r="B1443" t="str">
            <v>子弹风暴第3段</v>
          </cell>
          <cell r="C1443" t="str">
            <v>子弹风暴第3段</v>
          </cell>
          <cell r="D1443">
            <v>3</v>
          </cell>
          <cell r="E1443">
            <v>28</v>
          </cell>
          <cell r="F1443" t="str">
            <v>第13级，共造成137.6%点伤害</v>
          </cell>
          <cell r="G1443">
            <v>3</v>
          </cell>
          <cell r="H1443">
            <v>3</v>
          </cell>
          <cell r="I1443">
            <v>13</v>
          </cell>
          <cell r="J1443">
            <v>2</v>
          </cell>
          <cell r="K1443">
            <v>137.61785714285716</v>
          </cell>
          <cell r="L1443">
            <v>0</v>
          </cell>
          <cell r="M1443">
            <v>6960</v>
          </cell>
          <cell r="N1443">
            <v>3544</v>
          </cell>
          <cell r="O1443">
            <v>4</v>
          </cell>
          <cell r="P1443">
            <v>1</v>
          </cell>
          <cell r="Q1443">
            <v>1</v>
          </cell>
          <cell r="R1443">
            <v>10</v>
          </cell>
          <cell r="S1443">
            <v>50</v>
          </cell>
          <cell r="T1443">
            <v>121.78571428571431</v>
          </cell>
          <cell r="U1443">
            <v>443</v>
          </cell>
          <cell r="V1443">
            <v>121.78571428571431</v>
          </cell>
          <cell r="W1443">
            <v>8</v>
          </cell>
          <cell r="X1443">
            <v>70</v>
          </cell>
          <cell r="Y1443">
            <v>18</v>
          </cell>
          <cell r="Z1443">
            <v>0</v>
          </cell>
        </row>
        <row r="1444">
          <cell r="A1444">
            <v>9324314</v>
          </cell>
          <cell r="B1444" t="str">
            <v>子弹风暴第3段</v>
          </cell>
          <cell r="C1444" t="str">
            <v>子弹风暴第3段</v>
          </cell>
          <cell r="D1444">
            <v>3</v>
          </cell>
          <cell r="E1444">
            <v>30</v>
          </cell>
          <cell r="F1444" t="str">
            <v>第14级，共造成138.8%点伤害</v>
          </cell>
          <cell r="G1444">
            <v>3</v>
          </cell>
          <cell r="H1444">
            <v>3</v>
          </cell>
          <cell r="I1444">
            <v>14</v>
          </cell>
          <cell r="J1444">
            <v>2</v>
          </cell>
          <cell r="K1444">
            <v>138.83571428571432</v>
          </cell>
          <cell r="L1444">
            <v>0</v>
          </cell>
          <cell r="M1444">
            <v>6880</v>
          </cell>
          <cell r="N1444">
            <v>4176</v>
          </cell>
          <cell r="O1444">
            <v>4</v>
          </cell>
          <cell r="P1444">
            <v>1</v>
          </cell>
          <cell r="Q1444">
            <v>1</v>
          </cell>
          <cell r="R1444">
            <v>10</v>
          </cell>
          <cell r="S1444">
            <v>50</v>
          </cell>
          <cell r="T1444">
            <v>121.78571428571431</v>
          </cell>
          <cell r="U1444">
            <v>522</v>
          </cell>
          <cell r="V1444">
            <v>121.78571428571431</v>
          </cell>
          <cell r="W1444">
            <v>8</v>
          </cell>
          <cell r="X1444">
            <v>78</v>
          </cell>
          <cell r="Y1444">
            <v>18</v>
          </cell>
          <cell r="Z1444">
            <v>0</v>
          </cell>
        </row>
        <row r="1445">
          <cell r="A1445">
            <v>9324315</v>
          </cell>
          <cell r="B1445" t="str">
            <v>子弹风暴第3段</v>
          </cell>
          <cell r="C1445" t="str">
            <v>子弹风暴第3段</v>
          </cell>
          <cell r="D1445">
            <v>3</v>
          </cell>
          <cell r="E1445">
            <v>31</v>
          </cell>
          <cell r="F1445" t="str">
            <v>第15级，共造成140.1%点伤害</v>
          </cell>
          <cell r="G1445">
            <v>3</v>
          </cell>
          <cell r="H1445">
            <v>3</v>
          </cell>
          <cell r="I1445">
            <v>15</v>
          </cell>
          <cell r="J1445">
            <v>2</v>
          </cell>
          <cell r="K1445">
            <v>140.05357142857144</v>
          </cell>
          <cell r="L1445">
            <v>0</v>
          </cell>
          <cell r="M1445">
            <v>6800</v>
          </cell>
          <cell r="N1445">
            <v>5067</v>
          </cell>
          <cell r="O1445">
            <v>4</v>
          </cell>
          <cell r="P1445">
            <v>1</v>
          </cell>
          <cell r="Q1445">
            <v>1</v>
          </cell>
          <cell r="R1445">
            <v>10</v>
          </cell>
          <cell r="S1445">
            <v>50</v>
          </cell>
          <cell r="T1445">
            <v>121.78571428571431</v>
          </cell>
          <cell r="U1445">
            <v>563</v>
          </cell>
          <cell r="V1445">
            <v>121.78571428571431</v>
          </cell>
          <cell r="W1445">
            <v>9</v>
          </cell>
          <cell r="X1445">
            <v>87</v>
          </cell>
          <cell r="Y1445">
            <v>18</v>
          </cell>
          <cell r="Z1445">
            <v>0</v>
          </cell>
        </row>
        <row r="1446">
          <cell r="A1446">
            <v>9324316</v>
          </cell>
          <cell r="B1446" t="str">
            <v>子弹风暴第3段</v>
          </cell>
          <cell r="C1446" t="str">
            <v>子弹风暴第3段</v>
          </cell>
          <cell r="D1446">
            <v>3</v>
          </cell>
          <cell r="E1446">
            <v>32</v>
          </cell>
          <cell r="F1446" t="str">
            <v>第16级，共造成141.3%点伤害</v>
          </cell>
          <cell r="G1446">
            <v>3</v>
          </cell>
          <cell r="H1446">
            <v>3</v>
          </cell>
          <cell r="I1446">
            <v>16</v>
          </cell>
          <cell r="J1446">
            <v>2</v>
          </cell>
          <cell r="K1446">
            <v>141.2714285714286</v>
          </cell>
          <cell r="L1446">
            <v>0</v>
          </cell>
          <cell r="M1446">
            <v>6720</v>
          </cell>
          <cell r="N1446">
            <v>6060</v>
          </cell>
          <cell r="O1446">
            <v>4</v>
          </cell>
          <cell r="P1446">
            <v>1</v>
          </cell>
          <cell r="Q1446">
            <v>1</v>
          </cell>
          <cell r="R1446">
            <v>10</v>
          </cell>
          <cell r="S1446">
            <v>50</v>
          </cell>
          <cell r="T1446">
            <v>121.78571428571431</v>
          </cell>
          <cell r="U1446">
            <v>606</v>
          </cell>
          <cell r="V1446">
            <v>121.78571428571431</v>
          </cell>
          <cell r="W1446">
            <v>10</v>
          </cell>
          <cell r="X1446">
            <v>97</v>
          </cell>
          <cell r="Y1446">
            <v>18</v>
          </cell>
          <cell r="Z1446">
            <v>0</v>
          </cell>
        </row>
        <row r="1447">
          <cell r="A1447">
            <v>9324317</v>
          </cell>
          <cell r="B1447" t="str">
            <v>子弹风暴第3段</v>
          </cell>
          <cell r="C1447" t="str">
            <v>子弹风暴第3段</v>
          </cell>
          <cell r="D1447">
            <v>3</v>
          </cell>
          <cell r="E1447">
            <v>34</v>
          </cell>
          <cell r="F1447" t="str">
            <v>第17级，共造成142.5%点伤害</v>
          </cell>
          <cell r="G1447">
            <v>3</v>
          </cell>
          <cell r="H1447">
            <v>3</v>
          </cell>
          <cell r="I1447">
            <v>17</v>
          </cell>
          <cell r="J1447">
            <v>2</v>
          </cell>
          <cell r="K1447">
            <v>142.48928571428573</v>
          </cell>
          <cell r="L1447">
            <v>0</v>
          </cell>
          <cell r="M1447">
            <v>6640</v>
          </cell>
          <cell r="N1447">
            <v>6960</v>
          </cell>
          <cell r="O1447">
            <v>4</v>
          </cell>
          <cell r="P1447">
            <v>1</v>
          </cell>
          <cell r="Q1447">
            <v>1</v>
          </cell>
          <cell r="R1447">
            <v>10</v>
          </cell>
          <cell r="S1447">
            <v>50</v>
          </cell>
          <cell r="T1447">
            <v>121.78571428571431</v>
          </cell>
          <cell r="U1447">
            <v>696</v>
          </cell>
          <cell r="V1447">
            <v>121.78571428571431</v>
          </cell>
          <cell r="W1447">
            <v>10</v>
          </cell>
          <cell r="X1447">
            <v>107</v>
          </cell>
          <cell r="Y1447">
            <v>18</v>
          </cell>
          <cell r="Z1447">
            <v>0</v>
          </cell>
        </row>
        <row r="1448">
          <cell r="A1448">
            <v>9324318</v>
          </cell>
          <cell r="B1448" t="str">
            <v>子弹风暴第3段</v>
          </cell>
          <cell r="C1448" t="str">
            <v>子弹风暴第3段</v>
          </cell>
          <cell r="D1448">
            <v>3</v>
          </cell>
          <cell r="E1448">
            <v>35</v>
          </cell>
          <cell r="F1448" t="str">
            <v>第18级，共造成143.7%点伤害</v>
          </cell>
          <cell r="G1448">
            <v>3</v>
          </cell>
          <cell r="H1448">
            <v>3</v>
          </cell>
          <cell r="I1448">
            <v>18</v>
          </cell>
          <cell r="J1448">
            <v>2</v>
          </cell>
          <cell r="K1448">
            <v>143.70714285714288</v>
          </cell>
          <cell r="L1448">
            <v>0</v>
          </cell>
          <cell r="M1448">
            <v>6560</v>
          </cell>
          <cell r="N1448">
            <v>8173</v>
          </cell>
          <cell r="O1448">
            <v>4</v>
          </cell>
          <cell r="P1448">
            <v>1</v>
          </cell>
          <cell r="Q1448">
            <v>1</v>
          </cell>
          <cell r="R1448">
            <v>10</v>
          </cell>
          <cell r="S1448">
            <v>50</v>
          </cell>
          <cell r="T1448">
            <v>121.78571428571431</v>
          </cell>
          <cell r="U1448">
            <v>743</v>
          </cell>
          <cell r="V1448">
            <v>121.78571428571431</v>
          </cell>
          <cell r="W1448">
            <v>11</v>
          </cell>
          <cell r="X1448">
            <v>118</v>
          </cell>
          <cell r="Y1448">
            <v>18</v>
          </cell>
          <cell r="Z1448">
            <v>5</v>
          </cell>
        </row>
        <row r="1449">
          <cell r="A1449">
            <v>9324319</v>
          </cell>
          <cell r="B1449" t="str">
            <v>子弹风暴第3段</v>
          </cell>
          <cell r="C1449" t="str">
            <v>子弹风暴第3段</v>
          </cell>
          <cell r="D1449">
            <v>3</v>
          </cell>
          <cell r="E1449">
            <v>37</v>
          </cell>
          <cell r="F1449" t="str">
            <v>第19级，共造成144.9%点伤害</v>
          </cell>
          <cell r="G1449">
            <v>3</v>
          </cell>
          <cell r="H1449">
            <v>3</v>
          </cell>
          <cell r="I1449">
            <v>19</v>
          </cell>
          <cell r="J1449">
            <v>2</v>
          </cell>
          <cell r="K1449">
            <v>144.92500000000001</v>
          </cell>
          <cell r="L1449">
            <v>0</v>
          </cell>
          <cell r="M1449">
            <v>6480</v>
          </cell>
          <cell r="N1449">
            <v>10092</v>
          </cell>
          <cell r="O1449">
            <v>4</v>
          </cell>
          <cell r="P1449">
            <v>1</v>
          </cell>
          <cell r="Q1449">
            <v>1</v>
          </cell>
          <cell r="R1449">
            <v>10</v>
          </cell>
          <cell r="S1449">
            <v>50</v>
          </cell>
          <cell r="T1449">
            <v>121.78571428571431</v>
          </cell>
          <cell r="U1449">
            <v>841</v>
          </cell>
          <cell r="V1449">
            <v>121.78571428571431</v>
          </cell>
          <cell r="W1449">
            <v>12</v>
          </cell>
          <cell r="X1449">
            <v>130</v>
          </cell>
          <cell r="Y1449">
            <v>18</v>
          </cell>
          <cell r="Z1449">
            <v>5</v>
          </cell>
        </row>
        <row r="1450">
          <cell r="A1450">
            <v>9324320</v>
          </cell>
          <cell r="B1450" t="str">
            <v>子弹风暴第3段</v>
          </cell>
          <cell r="C1450" t="str">
            <v>子弹风暴第3段</v>
          </cell>
          <cell r="D1450">
            <v>3</v>
          </cell>
          <cell r="E1450">
            <v>38</v>
          </cell>
          <cell r="F1450" t="str">
            <v>第20级，共造成146.1%点伤害</v>
          </cell>
          <cell r="G1450">
            <v>3</v>
          </cell>
          <cell r="H1450">
            <v>3</v>
          </cell>
          <cell r="I1450">
            <v>20</v>
          </cell>
          <cell r="J1450">
            <v>2</v>
          </cell>
          <cell r="K1450">
            <v>146.14285714285717</v>
          </cell>
          <cell r="L1450">
            <v>0</v>
          </cell>
          <cell r="M1450">
            <v>6400</v>
          </cell>
          <cell r="N1450">
            <v>11596</v>
          </cell>
          <cell r="O1450">
            <v>4</v>
          </cell>
          <cell r="P1450">
            <v>1</v>
          </cell>
          <cell r="Q1450">
            <v>1</v>
          </cell>
          <cell r="R1450">
            <v>10</v>
          </cell>
          <cell r="S1450">
            <v>50</v>
          </cell>
          <cell r="T1450">
            <v>121.78571428571431</v>
          </cell>
          <cell r="U1450">
            <v>892</v>
          </cell>
          <cell r="V1450">
            <v>121.78571428571431</v>
          </cell>
          <cell r="W1450">
            <v>13</v>
          </cell>
          <cell r="X1450">
            <v>143</v>
          </cell>
          <cell r="Y1450">
            <v>18</v>
          </cell>
          <cell r="Z1450">
            <v>6</v>
          </cell>
        </row>
        <row r="1451">
          <cell r="A1451">
            <v>9324321</v>
          </cell>
          <cell r="B1451" t="str">
            <v>子弹风暴第3段</v>
          </cell>
          <cell r="C1451" t="str">
            <v>子弹风暴第3段</v>
          </cell>
          <cell r="D1451">
            <v>3</v>
          </cell>
          <cell r="E1451">
            <v>39</v>
          </cell>
          <cell r="F1451" t="str">
            <v>第21级，共造成147.4%点伤害</v>
          </cell>
          <cell r="G1451">
            <v>3</v>
          </cell>
          <cell r="H1451">
            <v>3</v>
          </cell>
          <cell r="I1451">
            <v>21</v>
          </cell>
          <cell r="J1451">
            <v>2</v>
          </cell>
          <cell r="K1451">
            <v>147.36071428571432</v>
          </cell>
          <cell r="L1451">
            <v>0</v>
          </cell>
          <cell r="M1451">
            <v>6320</v>
          </cell>
          <cell r="N1451">
            <v>12272</v>
          </cell>
          <cell r="O1451">
            <v>4</v>
          </cell>
          <cell r="P1451">
            <v>1</v>
          </cell>
          <cell r="Q1451">
            <v>1</v>
          </cell>
          <cell r="R1451">
            <v>10</v>
          </cell>
          <cell r="S1451">
            <v>50</v>
          </cell>
          <cell r="T1451">
            <v>121.78571428571431</v>
          </cell>
          <cell r="U1451">
            <v>944</v>
          </cell>
          <cell r="V1451">
            <v>121.78571428571431</v>
          </cell>
          <cell r="W1451">
            <v>13</v>
          </cell>
          <cell r="X1451">
            <v>156</v>
          </cell>
          <cell r="Y1451">
            <v>18</v>
          </cell>
          <cell r="Z1451">
            <v>6</v>
          </cell>
        </row>
        <row r="1452">
          <cell r="A1452">
            <v>9324322</v>
          </cell>
          <cell r="B1452" t="str">
            <v>子弹风暴第3段</v>
          </cell>
          <cell r="C1452" t="str">
            <v>子弹风暴第3段</v>
          </cell>
          <cell r="D1452">
            <v>3</v>
          </cell>
          <cell r="E1452">
            <v>41</v>
          </cell>
          <cell r="F1452" t="str">
            <v>第22级，共造成148.6%点伤害</v>
          </cell>
          <cell r="G1452">
            <v>3</v>
          </cell>
          <cell r="H1452">
            <v>3</v>
          </cell>
          <cell r="I1452">
            <v>22</v>
          </cell>
          <cell r="J1452">
            <v>2</v>
          </cell>
          <cell r="K1452">
            <v>148.57857142857145</v>
          </cell>
          <cell r="L1452">
            <v>0</v>
          </cell>
          <cell r="M1452">
            <v>6240</v>
          </cell>
          <cell r="N1452">
            <v>14742</v>
          </cell>
          <cell r="O1452">
            <v>4</v>
          </cell>
          <cell r="P1452">
            <v>1</v>
          </cell>
          <cell r="Q1452">
            <v>1</v>
          </cell>
          <cell r="R1452">
            <v>10</v>
          </cell>
          <cell r="S1452">
            <v>50</v>
          </cell>
          <cell r="T1452">
            <v>121.78571428571431</v>
          </cell>
          <cell r="U1452">
            <v>1053</v>
          </cell>
          <cell r="V1452">
            <v>121.78571428571431</v>
          </cell>
          <cell r="W1452">
            <v>14</v>
          </cell>
          <cell r="X1452">
            <v>170</v>
          </cell>
          <cell r="Y1452">
            <v>18</v>
          </cell>
          <cell r="Z1452">
            <v>6</v>
          </cell>
        </row>
        <row r="1453">
          <cell r="A1453">
            <v>9324323</v>
          </cell>
          <cell r="B1453" t="str">
            <v>子弹风暴第3段</v>
          </cell>
          <cell r="C1453" t="str">
            <v>子弹风暴第3段</v>
          </cell>
          <cell r="D1453">
            <v>3</v>
          </cell>
          <cell r="E1453">
            <v>42</v>
          </cell>
          <cell r="F1453" t="str">
            <v>第23级，共造成149.8%点伤害</v>
          </cell>
          <cell r="G1453">
            <v>3</v>
          </cell>
          <cell r="H1453">
            <v>3</v>
          </cell>
          <cell r="I1453">
            <v>23</v>
          </cell>
          <cell r="J1453">
            <v>2</v>
          </cell>
          <cell r="K1453">
            <v>149.79642857142861</v>
          </cell>
          <cell r="L1453">
            <v>0</v>
          </cell>
          <cell r="M1453">
            <v>6160</v>
          </cell>
          <cell r="N1453">
            <v>16650</v>
          </cell>
          <cell r="O1453">
            <v>4</v>
          </cell>
          <cell r="P1453">
            <v>1</v>
          </cell>
          <cell r="Q1453">
            <v>1</v>
          </cell>
          <cell r="R1453">
            <v>10</v>
          </cell>
          <cell r="S1453">
            <v>50</v>
          </cell>
          <cell r="T1453">
            <v>121.78571428571431</v>
          </cell>
          <cell r="U1453">
            <v>1110</v>
          </cell>
          <cell r="V1453">
            <v>121.78571428571431</v>
          </cell>
          <cell r="W1453">
            <v>15</v>
          </cell>
          <cell r="X1453">
            <v>185</v>
          </cell>
          <cell r="Y1453">
            <v>18</v>
          </cell>
          <cell r="Z1453">
            <v>6</v>
          </cell>
        </row>
        <row r="1454">
          <cell r="A1454">
            <v>9324324</v>
          </cell>
          <cell r="B1454" t="str">
            <v>子弹风暴第3段</v>
          </cell>
          <cell r="C1454" t="str">
            <v>子弹风暴第3段</v>
          </cell>
          <cell r="D1454">
            <v>3</v>
          </cell>
          <cell r="E1454">
            <v>44</v>
          </cell>
          <cell r="F1454" t="str">
            <v>第24级，共造成151%点伤害</v>
          </cell>
          <cell r="G1454">
            <v>3</v>
          </cell>
          <cell r="H1454">
            <v>3</v>
          </cell>
          <cell r="I1454">
            <v>24</v>
          </cell>
          <cell r="J1454">
            <v>2</v>
          </cell>
          <cell r="K1454">
            <v>151.01428571428573</v>
          </cell>
          <cell r="L1454">
            <v>0</v>
          </cell>
          <cell r="M1454">
            <v>6080</v>
          </cell>
          <cell r="N1454">
            <v>19616</v>
          </cell>
          <cell r="O1454">
            <v>4</v>
          </cell>
          <cell r="P1454">
            <v>1</v>
          </cell>
          <cell r="Q1454">
            <v>1</v>
          </cell>
          <cell r="R1454">
            <v>10</v>
          </cell>
          <cell r="S1454">
            <v>50</v>
          </cell>
          <cell r="T1454">
            <v>121.78571428571431</v>
          </cell>
          <cell r="U1454">
            <v>1226</v>
          </cell>
          <cell r="V1454">
            <v>121.78571428571431</v>
          </cell>
          <cell r="W1454">
            <v>16</v>
          </cell>
          <cell r="X1454">
            <v>201</v>
          </cell>
          <cell r="Y1454">
            <v>18</v>
          </cell>
          <cell r="Z1454">
            <v>7</v>
          </cell>
        </row>
        <row r="1455">
          <cell r="A1455">
            <v>9324325</v>
          </cell>
          <cell r="B1455" t="str">
            <v>子弹风暴第3段</v>
          </cell>
          <cell r="C1455" t="str">
            <v>子弹风暴第3段</v>
          </cell>
          <cell r="D1455">
            <v>3</v>
          </cell>
          <cell r="E1455">
            <v>45</v>
          </cell>
          <cell r="F1455" t="str">
            <v>第25级，共造成152.2%点伤害</v>
          </cell>
          <cell r="G1455">
            <v>3</v>
          </cell>
          <cell r="H1455">
            <v>3</v>
          </cell>
          <cell r="I1455">
            <v>25</v>
          </cell>
          <cell r="J1455">
            <v>2</v>
          </cell>
          <cell r="K1455">
            <v>152.23214285714289</v>
          </cell>
          <cell r="L1455">
            <v>0</v>
          </cell>
          <cell r="M1455">
            <v>6000</v>
          </cell>
          <cell r="N1455">
            <v>23166</v>
          </cell>
          <cell r="O1455">
            <v>4</v>
          </cell>
          <cell r="P1455">
            <v>1</v>
          </cell>
          <cell r="Q1455">
            <v>1</v>
          </cell>
          <cell r="R1455">
            <v>10</v>
          </cell>
          <cell r="S1455">
            <v>50</v>
          </cell>
          <cell r="T1455">
            <v>121.78571428571431</v>
          </cell>
          <cell r="U1455">
            <v>1287</v>
          </cell>
          <cell r="V1455">
            <v>121.78571428571431</v>
          </cell>
          <cell r="W1455">
            <v>18</v>
          </cell>
          <cell r="X1455">
            <v>219</v>
          </cell>
          <cell r="Y1455">
            <v>18</v>
          </cell>
          <cell r="Z1455">
            <v>8</v>
          </cell>
        </row>
        <row r="1456">
          <cell r="A1456">
            <v>9324326</v>
          </cell>
          <cell r="B1456" t="str">
            <v>子弹风暴第3段</v>
          </cell>
          <cell r="C1456" t="str">
            <v>子弹风暴第3段</v>
          </cell>
          <cell r="D1456">
            <v>3</v>
          </cell>
          <cell r="E1456">
            <v>46</v>
          </cell>
          <cell r="F1456" t="str">
            <v>第26级，共造成153.5%点伤害</v>
          </cell>
          <cell r="G1456">
            <v>3</v>
          </cell>
          <cell r="H1456">
            <v>3</v>
          </cell>
          <cell r="I1456">
            <v>26</v>
          </cell>
          <cell r="J1456">
            <v>2</v>
          </cell>
          <cell r="K1456">
            <v>153.45000000000002</v>
          </cell>
          <cell r="L1456">
            <v>0</v>
          </cell>
          <cell r="M1456">
            <v>5920</v>
          </cell>
          <cell r="N1456">
            <v>25631</v>
          </cell>
          <cell r="O1456">
            <v>4</v>
          </cell>
          <cell r="P1456">
            <v>1</v>
          </cell>
          <cell r="Q1456">
            <v>1</v>
          </cell>
          <cell r="R1456">
            <v>10</v>
          </cell>
          <cell r="S1456">
            <v>50</v>
          </cell>
          <cell r="T1456">
            <v>121.78571428571431</v>
          </cell>
          <cell r="U1456">
            <v>1349</v>
          </cell>
          <cell r="V1456">
            <v>121.78571428571431</v>
          </cell>
          <cell r="W1456">
            <v>19</v>
          </cell>
          <cell r="X1456">
            <v>238</v>
          </cell>
          <cell r="Y1456">
            <v>18</v>
          </cell>
          <cell r="Z1456">
            <v>8</v>
          </cell>
        </row>
        <row r="1457">
          <cell r="A1457">
            <v>9324327</v>
          </cell>
          <cell r="B1457" t="str">
            <v>子弹风暴第3段</v>
          </cell>
          <cell r="C1457" t="str">
            <v>子弹风暴第3段</v>
          </cell>
          <cell r="D1457">
            <v>3</v>
          </cell>
          <cell r="E1457">
            <v>48</v>
          </cell>
          <cell r="F1457" t="str">
            <v>第27级，共造成154.7%点伤害</v>
          </cell>
          <cell r="G1457">
            <v>3</v>
          </cell>
          <cell r="H1457">
            <v>3</v>
          </cell>
          <cell r="I1457">
            <v>27</v>
          </cell>
          <cell r="J1457">
            <v>2</v>
          </cell>
          <cell r="K1457">
            <v>154.66785714285717</v>
          </cell>
          <cell r="L1457">
            <v>0</v>
          </cell>
          <cell r="M1457">
            <v>5840</v>
          </cell>
          <cell r="N1457">
            <v>29540</v>
          </cell>
          <cell r="O1457">
            <v>4</v>
          </cell>
          <cell r="P1457">
            <v>1</v>
          </cell>
          <cell r="Q1457">
            <v>1</v>
          </cell>
          <cell r="R1457">
            <v>10</v>
          </cell>
          <cell r="S1457">
            <v>50</v>
          </cell>
          <cell r="T1457">
            <v>121.78571428571431</v>
          </cell>
          <cell r="U1457">
            <v>1477</v>
          </cell>
          <cell r="V1457">
            <v>121.78571428571431</v>
          </cell>
          <cell r="W1457">
            <v>20</v>
          </cell>
          <cell r="X1457">
            <v>258</v>
          </cell>
          <cell r="Y1457">
            <v>18</v>
          </cell>
          <cell r="Z1457">
            <v>8</v>
          </cell>
        </row>
        <row r="1458">
          <cell r="A1458">
            <v>9324328</v>
          </cell>
          <cell r="B1458" t="str">
            <v>子弹风暴第3段</v>
          </cell>
          <cell r="C1458" t="str">
            <v>子弹风暴第3段</v>
          </cell>
          <cell r="D1458">
            <v>3</v>
          </cell>
          <cell r="E1458">
            <v>49</v>
          </cell>
          <cell r="F1458" t="str">
            <v>第28级，共造成155.9%点伤害</v>
          </cell>
          <cell r="G1458">
            <v>3</v>
          </cell>
          <cell r="H1458">
            <v>3</v>
          </cell>
          <cell r="I1458">
            <v>28</v>
          </cell>
          <cell r="J1458">
            <v>2</v>
          </cell>
          <cell r="K1458">
            <v>155.8857142857143</v>
          </cell>
          <cell r="L1458">
            <v>0</v>
          </cell>
          <cell r="M1458">
            <v>5760</v>
          </cell>
          <cell r="N1458">
            <v>32403</v>
          </cell>
          <cell r="O1458">
            <v>4</v>
          </cell>
          <cell r="P1458">
            <v>1</v>
          </cell>
          <cell r="Q1458">
            <v>1</v>
          </cell>
          <cell r="R1458">
            <v>10</v>
          </cell>
          <cell r="S1458">
            <v>50</v>
          </cell>
          <cell r="T1458">
            <v>121.78571428571431</v>
          </cell>
          <cell r="U1458">
            <v>1543</v>
          </cell>
          <cell r="V1458">
            <v>121.78571428571431</v>
          </cell>
          <cell r="W1458">
            <v>21</v>
          </cell>
          <cell r="X1458">
            <v>279</v>
          </cell>
          <cell r="Y1458">
            <v>18</v>
          </cell>
          <cell r="Z1458">
            <v>9</v>
          </cell>
        </row>
        <row r="1459">
          <cell r="A1459">
            <v>9324329</v>
          </cell>
          <cell r="B1459" t="str">
            <v>子弹风暴第3段</v>
          </cell>
          <cell r="C1459" t="str">
            <v>子弹风暴第3段</v>
          </cell>
          <cell r="D1459">
            <v>3</v>
          </cell>
          <cell r="E1459">
            <v>51</v>
          </cell>
          <cell r="F1459" t="str">
            <v>第29级，共造成157.1%点伤害</v>
          </cell>
          <cell r="G1459">
            <v>3</v>
          </cell>
          <cell r="H1459">
            <v>3</v>
          </cell>
          <cell r="I1459">
            <v>29</v>
          </cell>
          <cell r="J1459">
            <v>2</v>
          </cell>
          <cell r="K1459">
            <v>157.10357142857146</v>
          </cell>
          <cell r="L1459">
            <v>0</v>
          </cell>
          <cell r="M1459">
            <v>5680</v>
          </cell>
          <cell r="N1459">
            <v>38617</v>
          </cell>
          <cell r="O1459">
            <v>4</v>
          </cell>
          <cell r="P1459">
            <v>1</v>
          </cell>
          <cell r="Q1459">
            <v>1</v>
          </cell>
          <cell r="R1459">
            <v>10</v>
          </cell>
          <cell r="S1459">
            <v>50</v>
          </cell>
          <cell r="T1459">
            <v>121.78571428571431</v>
          </cell>
          <cell r="U1459">
            <v>1679</v>
          </cell>
          <cell r="V1459">
            <v>121.78571428571431</v>
          </cell>
          <cell r="W1459">
            <v>23</v>
          </cell>
          <cell r="X1459">
            <v>302</v>
          </cell>
          <cell r="Y1459">
            <v>18</v>
          </cell>
          <cell r="Z1459">
            <v>10</v>
          </cell>
        </row>
        <row r="1460">
          <cell r="A1460">
            <v>9324330</v>
          </cell>
          <cell r="B1460" t="str">
            <v>子弹风暴第3段</v>
          </cell>
          <cell r="C1460" t="str">
            <v>子弹风暴第3段</v>
          </cell>
          <cell r="D1460">
            <v>3</v>
          </cell>
          <cell r="E1460">
            <v>52</v>
          </cell>
          <cell r="F1460" t="str">
            <v>第30级，共造成158.3%点伤害</v>
          </cell>
          <cell r="G1460">
            <v>3</v>
          </cell>
          <cell r="H1460">
            <v>3</v>
          </cell>
          <cell r="I1460">
            <v>30</v>
          </cell>
          <cell r="J1460">
            <v>2</v>
          </cell>
          <cell r="K1460">
            <v>158.32142857142861</v>
          </cell>
          <cell r="L1460">
            <v>0</v>
          </cell>
          <cell r="M1460">
            <v>5600</v>
          </cell>
          <cell r="N1460">
            <v>43725</v>
          </cell>
          <cell r="O1460">
            <v>4</v>
          </cell>
          <cell r="P1460">
            <v>1</v>
          </cell>
          <cell r="Q1460">
            <v>1</v>
          </cell>
          <cell r="R1460">
            <v>10</v>
          </cell>
          <cell r="S1460">
            <v>50</v>
          </cell>
          <cell r="T1460">
            <v>121.78571428571431</v>
          </cell>
          <cell r="U1460">
            <v>1749</v>
          </cell>
          <cell r="V1460">
            <v>121.78571428571431</v>
          </cell>
          <cell r="W1460">
            <v>25</v>
          </cell>
          <cell r="X1460">
            <v>327</v>
          </cell>
          <cell r="Y1460">
            <v>18</v>
          </cell>
          <cell r="Z1460">
            <v>10</v>
          </cell>
        </row>
        <row r="1461">
          <cell r="A1461">
            <v>9324331</v>
          </cell>
          <cell r="B1461" t="str">
            <v>子弹风暴第3段</v>
          </cell>
          <cell r="C1461" t="str">
            <v>子弹风暴第3段</v>
          </cell>
          <cell r="D1461">
            <v>3</v>
          </cell>
          <cell r="E1461">
            <v>53</v>
          </cell>
          <cell r="F1461" t="str">
            <v>第31级，共造成159.5%点伤害</v>
          </cell>
          <cell r="G1461">
            <v>3</v>
          </cell>
          <cell r="H1461">
            <v>3</v>
          </cell>
          <cell r="I1461">
            <v>31</v>
          </cell>
          <cell r="J1461">
            <v>2</v>
          </cell>
          <cell r="K1461">
            <v>159.53928571428574</v>
          </cell>
          <cell r="L1461">
            <v>0</v>
          </cell>
          <cell r="M1461">
            <v>5520</v>
          </cell>
          <cell r="N1461">
            <v>47320</v>
          </cell>
          <cell r="O1461">
            <v>4</v>
          </cell>
          <cell r="P1461">
            <v>1</v>
          </cell>
          <cell r="Q1461">
            <v>1</v>
          </cell>
          <cell r="R1461">
            <v>10</v>
          </cell>
          <cell r="S1461">
            <v>50</v>
          </cell>
          <cell r="T1461">
            <v>121.78571428571431</v>
          </cell>
          <cell r="U1461">
            <v>1820</v>
          </cell>
          <cell r="V1461">
            <v>121.78571428571431</v>
          </cell>
          <cell r="W1461">
            <v>26</v>
          </cell>
          <cell r="X1461">
            <v>353</v>
          </cell>
          <cell r="Y1461">
            <v>18</v>
          </cell>
          <cell r="Z1461">
            <v>11</v>
          </cell>
        </row>
        <row r="1462">
          <cell r="A1462">
            <v>9324332</v>
          </cell>
          <cell r="B1462" t="str">
            <v>子弹风暴第3段</v>
          </cell>
          <cell r="C1462" t="str">
            <v>子弹风暴第3段</v>
          </cell>
          <cell r="D1462">
            <v>3</v>
          </cell>
          <cell r="E1462">
            <v>55</v>
          </cell>
          <cell r="F1462" t="str">
            <v>第32级，共造成160.8%点伤害</v>
          </cell>
          <cell r="G1462">
            <v>3</v>
          </cell>
          <cell r="H1462">
            <v>3</v>
          </cell>
          <cell r="I1462">
            <v>32</v>
          </cell>
          <cell r="J1462">
            <v>2</v>
          </cell>
          <cell r="K1462">
            <v>160.75714285714287</v>
          </cell>
          <cell r="L1462">
            <v>0</v>
          </cell>
          <cell r="M1462">
            <v>5440</v>
          </cell>
          <cell r="N1462">
            <v>55076</v>
          </cell>
          <cell r="O1462">
            <v>4</v>
          </cell>
          <cell r="P1462">
            <v>1</v>
          </cell>
          <cell r="Q1462">
            <v>1</v>
          </cell>
          <cell r="R1462">
            <v>10</v>
          </cell>
          <cell r="S1462">
            <v>50</v>
          </cell>
          <cell r="T1462">
            <v>121.78571428571431</v>
          </cell>
          <cell r="U1462">
            <v>1967</v>
          </cell>
          <cell r="V1462">
            <v>121.78571428571431</v>
          </cell>
          <cell r="W1462">
            <v>28</v>
          </cell>
          <cell r="X1462">
            <v>381</v>
          </cell>
          <cell r="Y1462">
            <v>18</v>
          </cell>
          <cell r="Z1462">
            <v>12</v>
          </cell>
        </row>
        <row r="1463">
          <cell r="A1463">
            <v>9324333</v>
          </cell>
          <cell r="B1463" t="str">
            <v>子弹风暴第3段</v>
          </cell>
          <cell r="C1463" t="str">
            <v>子弹风暴第3段</v>
          </cell>
          <cell r="D1463">
            <v>3</v>
          </cell>
          <cell r="E1463">
            <v>56</v>
          </cell>
          <cell r="F1463" t="str">
            <v>第33级，共造成162%点伤害</v>
          </cell>
          <cell r="G1463">
            <v>3</v>
          </cell>
          <cell r="H1463">
            <v>3</v>
          </cell>
          <cell r="I1463">
            <v>33</v>
          </cell>
          <cell r="J1463">
            <v>2</v>
          </cell>
          <cell r="K1463">
            <v>161.97500000000002</v>
          </cell>
          <cell r="L1463">
            <v>0</v>
          </cell>
          <cell r="M1463">
            <v>5360</v>
          </cell>
          <cell r="N1463">
            <v>61260</v>
          </cell>
          <cell r="O1463">
            <v>4</v>
          </cell>
          <cell r="P1463">
            <v>1</v>
          </cell>
          <cell r="Q1463">
            <v>1</v>
          </cell>
          <cell r="R1463">
            <v>10</v>
          </cell>
          <cell r="S1463">
            <v>50</v>
          </cell>
          <cell r="T1463">
            <v>121.78571428571431</v>
          </cell>
          <cell r="U1463">
            <v>2042</v>
          </cell>
          <cell r="V1463">
            <v>121.78571428571431</v>
          </cell>
          <cell r="W1463">
            <v>30</v>
          </cell>
          <cell r="X1463">
            <v>411</v>
          </cell>
          <cell r="Y1463">
            <v>18</v>
          </cell>
          <cell r="Z1463">
            <v>12</v>
          </cell>
        </row>
        <row r="1464">
          <cell r="A1464">
            <v>9324334</v>
          </cell>
          <cell r="B1464" t="str">
            <v>子弹风暴第3段</v>
          </cell>
          <cell r="C1464" t="str">
            <v>子弹风暴第3段</v>
          </cell>
          <cell r="D1464">
            <v>3</v>
          </cell>
          <cell r="E1464">
            <v>58</v>
          </cell>
          <cell r="F1464" t="str">
            <v>第34级，共造成163.2%点伤害</v>
          </cell>
          <cell r="G1464">
            <v>3</v>
          </cell>
          <cell r="H1464">
            <v>3</v>
          </cell>
          <cell r="I1464">
            <v>34</v>
          </cell>
          <cell r="J1464">
            <v>2</v>
          </cell>
          <cell r="K1464">
            <v>163.19285714285718</v>
          </cell>
          <cell r="L1464">
            <v>0</v>
          </cell>
          <cell r="M1464">
            <v>5280</v>
          </cell>
          <cell r="N1464">
            <v>70336</v>
          </cell>
          <cell r="O1464">
            <v>4</v>
          </cell>
          <cell r="P1464">
            <v>1</v>
          </cell>
          <cell r="Q1464">
            <v>1</v>
          </cell>
          <cell r="R1464">
            <v>10</v>
          </cell>
          <cell r="S1464">
            <v>50</v>
          </cell>
          <cell r="T1464">
            <v>121.78571428571431</v>
          </cell>
          <cell r="U1464">
            <v>2198</v>
          </cell>
          <cell r="V1464">
            <v>121.78571428571431</v>
          </cell>
          <cell r="W1464">
            <v>32</v>
          </cell>
          <cell r="X1464">
            <v>443</v>
          </cell>
          <cell r="Y1464">
            <v>18</v>
          </cell>
          <cell r="Z1464">
            <v>13</v>
          </cell>
        </row>
        <row r="1465">
          <cell r="A1465">
            <v>9324335</v>
          </cell>
          <cell r="B1465" t="str">
            <v>子弹风暴第3段</v>
          </cell>
          <cell r="C1465" t="str">
            <v>子弹风暴第3段</v>
          </cell>
          <cell r="D1465">
            <v>3</v>
          </cell>
          <cell r="E1465">
            <v>59</v>
          </cell>
          <cell r="F1465" t="str">
            <v>第35级，共造成164.4%点伤害</v>
          </cell>
          <cell r="G1465">
            <v>3</v>
          </cell>
          <cell r="H1465">
            <v>3</v>
          </cell>
          <cell r="I1465">
            <v>35</v>
          </cell>
          <cell r="J1465">
            <v>2</v>
          </cell>
          <cell r="K1465">
            <v>164.41071428571431</v>
          </cell>
          <cell r="L1465">
            <v>0</v>
          </cell>
          <cell r="M1465">
            <v>5200</v>
          </cell>
          <cell r="N1465">
            <v>77418</v>
          </cell>
          <cell r="O1465">
            <v>4</v>
          </cell>
          <cell r="P1465">
            <v>1</v>
          </cell>
          <cell r="Q1465">
            <v>1</v>
          </cell>
          <cell r="R1465">
            <v>10</v>
          </cell>
          <cell r="S1465">
            <v>50</v>
          </cell>
          <cell r="T1465">
            <v>121.78571428571431</v>
          </cell>
          <cell r="U1465">
            <v>2277</v>
          </cell>
          <cell r="V1465">
            <v>121.78571428571431</v>
          </cell>
          <cell r="W1465">
            <v>34</v>
          </cell>
          <cell r="X1465">
            <v>477</v>
          </cell>
          <cell r="Y1465">
            <v>18</v>
          </cell>
          <cell r="Z1465">
            <v>14</v>
          </cell>
        </row>
        <row r="1466">
          <cell r="A1466">
            <v>9324336</v>
          </cell>
          <cell r="B1466" t="str">
            <v>子弹风暴第3段</v>
          </cell>
          <cell r="C1466" t="str">
            <v>子弹风暴第3段</v>
          </cell>
          <cell r="D1466">
            <v>3</v>
          </cell>
          <cell r="E1466">
            <v>60</v>
          </cell>
          <cell r="F1466" t="str">
            <v>第36级，共造成165.6%点伤害</v>
          </cell>
          <cell r="G1466">
            <v>3</v>
          </cell>
          <cell r="H1466">
            <v>3</v>
          </cell>
          <cell r="I1466">
            <v>36</v>
          </cell>
          <cell r="J1466">
            <v>2</v>
          </cell>
          <cell r="K1466">
            <v>165.62857142857146</v>
          </cell>
          <cell r="L1466">
            <v>0</v>
          </cell>
          <cell r="M1466">
            <v>5120</v>
          </cell>
          <cell r="N1466">
            <v>87246</v>
          </cell>
          <cell r="O1466">
            <v>4</v>
          </cell>
          <cell r="P1466">
            <v>1</v>
          </cell>
          <cell r="Q1466">
            <v>1</v>
          </cell>
          <cell r="R1466">
            <v>10</v>
          </cell>
          <cell r="S1466">
            <v>50</v>
          </cell>
          <cell r="T1466">
            <v>121.78571428571431</v>
          </cell>
          <cell r="U1466">
            <v>2358</v>
          </cell>
          <cell r="V1466">
            <v>121.78571428571431</v>
          </cell>
          <cell r="W1466">
            <v>37</v>
          </cell>
          <cell r="X1466">
            <v>514</v>
          </cell>
          <cell r="Y1466">
            <v>18</v>
          </cell>
          <cell r="Z1466">
            <v>15</v>
          </cell>
        </row>
        <row r="1467">
          <cell r="A1467">
            <v>9324337</v>
          </cell>
          <cell r="B1467" t="str">
            <v>子弹风暴第3段</v>
          </cell>
          <cell r="C1467" t="str">
            <v>子弹风暴第3段</v>
          </cell>
          <cell r="D1467">
            <v>3</v>
          </cell>
          <cell r="E1467">
            <v>62</v>
          </cell>
          <cell r="F1467" t="str">
            <v>第37级，共造成166.8%点伤害</v>
          </cell>
          <cell r="G1467">
            <v>3</v>
          </cell>
          <cell r="H1467">
            <v>3</v>
          </cell>
          <cell r="I1467">
            <v>37</v>
          </cell>
          <cell r="J1467">
            <v>2</v>
          </cell>
          <cell r="K1467">
            <v>166.84642857142859</v>
          </cell>
          <cell r="L1467">
            <v>0</v>
          </cell>
          <cell r="M1467">
            <v>5040</v>
          </cell>
          <cell r="N1467">
            <v>98436</v>
          </cell>
          <cell r="O1467">
            <v>4</v>
          </cell>
          <cell r="P1467">
            <v>1</v>
          </cell>
          <cell r="Q1467">
            <v>1</v>
          </cell>
          <cell r="R1467">
            <v>10</v>
          </cell>
          <cell r="S1467">
            <v>50</v>
          </cell>
          <cell r="T1467">
            <v>121.78571428571431</v>
          </cell>
          <cell r="U1467">
            <v>2524</v>
          </cell>
          <cell r="V1467">
            <v>121.78571428571431</v>
          </cell>
          <cell r="W1467">
            <v>39</v>
          </cell>
          <cell r="X1467">
            <v>553</v>
          </cell>
          <cell r="Y1467">
            <v>18</v>
          </cell>
          <cell r="Z1467">
            <v>16</v>
          </cell>
        </row>
        <row r="1468">
          <cell r="A1468">
            <v>9324338</v>
          </cell>
          <cell r="B1468" t="str">
            <v>子弹风暴第3段</v>
          </cell>
          <cell r="C1468" t="str">
            <v>子弹风暴第3段</v>
          </cell>
          <cell r="D1468">
            <v>3</v>
          </cell>
          <cell r="E1468">
            <v>63</v>
          </cell>
          <cell r="F1468" t="str">
            <v>第38级，共造成168.1%点伤害</v>
          </cell>
          <cell r="G1468">
            <v>3</v>
          </cell>
          <cell r="H1468">
            <v>3</v>
          </cell>
          <cell r="I1468">
            <v>38</v>
          </cell>
          <cell r="J1468">
            <v>2</v>
          </cell>
          <cell r="K1468">
            <v>168.06428571428575</v>
          </cell>
          <cell r="L1468">
            <v>0</v>
          </cell>
          <cell r="M1468">
            <v>4960</v>
          </cell>
          <cell r="N1468">
            <v>109578</v>
          </cell>
          <cell r="O1468">
            <v>4</v>
          </cell>
          <cell r="P1468">
            <v>1</v>
          </cell>
          <cell r="Q1468">
            <v>1</v>
          </cell>
          <cell r="R1468">
            <v>10</v>
          </cell>
          <cell r="S1468">
            <v>50</v>
          </cell>
          <cell r="T1468">
            <v>121.78571428571431</v>
          </cell>
          <cell r="U1468">
            <v>2609</v>
          </cell>
          <cell r="V1468">
            <v>121.78571428571431</v>
          </cell>
          <cell r="W1468">
            <v>42</v>
          </cell>
          <cell r="X1468">
            <v>595</v>
          </cell>
          <cell r="Y1468">
            <v>18</v>
          </cell>
          <cell r="Z1468">
            <v>17</v>
          </cell>
        </row>
        <row r="1469">
          <cell r="A1469">
            <v>9324339</v>
          </cell>
          <cell r="B1469" t="str">
            <v>子弹风暴第3段</v>
          </cell>
          <cell r="C1469" t="str">
            <v>子弹风暴第3段</v>
          </cell>
          <cell r="D1469">
            <v>3</v>
          </cell>
          <cell r="E1469">
            <v>65</v>
          </cell>
          <cell r="F1469" t="str">
            <v>第39级，共造成169.3%点伤害</v>
          </cell>
          <cell r="G1469">
            <v>3</v>
          </cell>
          <cell r="H1469">
            <v>3</v>
          </cell>
          <cell r="I1469">
            <v>39</v>
          </cell>
          <cell r="J1469">
            <v>2</v>
          </cell>
          <cell r="K1469">
            <v>169.28214285714287</v>
          </cell>
          <cell r="L1469">
            <v>0</v>
          </cell>
          <cell r="M1469">
            <v>4880</v>
          </cell>
          <cell r="N1469">
            <v>125235</v>
          </cell>
          <cell r="O1469">
            <v>4</v>
          </cell>
          <cell r="P1469">
            <v>1</v>
          </cell>
          <cell r="Q1469">
            <v>1</v>
          </cell>
          <cell r="R1469">
            <v>10</v>
          </cell>
          <cell r="S1469">
            <v>50</v>
          </cell>
          <cell r="T1469">
            <v>121.78571428571431</v>
          </cell>
          <cell r="U1469">
            <v>2783</v>
          </cell>
          <cell r="V1469">
            <v>121.78571428571431</v>
          </cell>
          <cell r="W1469">
            <v>45</v>
          </cell>
          <cell r="X1469">
            <v>640</v>
          </cell>
          <cell r="Y1469">
            <v>18</v>
          </cell>
          <cell r="Z1469">
            <v>18</v>
          </cell>
        </row>
        <row r="1470">
          <cell r="A1470">
            <v>9324340</v>
          </cell>
          <cell r="B1470" t="str">
            <v>子弹风暴第3段</v>
          </cell>
          <cell r="C1470" t="str">
            <v>子弹风暴第3段</v>
          </cell>
          <cell r="D1470">
            <v>3</v>
          </cell>
          <cell r="E1470">
            <v>66</v>
          </cell>
          <cell r="F1470" t="str">
            <v>第40级，共造成170.5%点伤害</v>
          </cell>
          <cell r="G1470">
            <v>3</v>
          </cell>
          <cell r="H1470">
            <v>3</v>
          </cell>
          <cell r="I1470">
            <v>40</v>
          </cell>
          <cell r="J1470">
            <v>2</v>
          </cell>
          <cell r="K1470">
            <v>170.50000000000003</v>
          </cell>
          <cell r="L1470">
            <v>0</v>
          </cell>
          <cell r="M1470">
            <v>4800</v>
          </cell>
          <cell r="N1470">
            <v>137856</v>
          </cell>
          <cell r="O1470">
            <v>4</v>
          </cell>
          <cell r="P1470">
            <v>1</v>
          </cell>
          <cell r="Q1470">
            <v>1</v>
          </cell>
          <cell r="R1470">
            <v>10</v>
          </cell>
          <cell r="S1470">
            <v>50</v>
          </cell>
          <cell r="T1470">
            <v>121.78571428571431</v>
          </cell>
          <cell r="U1470">
            <v>2872</v>
          </cell>
          <cell r="V1470">
            <v>121.78571428571431</v>
          </cell>
          <cell r="W1470">
            <v>48</v>
          </cell>
          <cell r="X1470">
            <v>688</v>
          </cell>
          <cell r="Y1470">
            <v>18</v>
          </cell>
          <cell r="Z1470">
            <v>20</v>
          </cell>
        </row>
        <row r="1471">
          <cell r="A1471">
            <v>9324341</v>
          </cell>
          <cell r="B1471" t="str">
            <v>子弹风暴第3段</v>
          </cell>
          <cell r="C1471" t="str">
            <v>子弹风暴第3段</v>
          </cell>
          <cell r="D1471">
            <v>3</v>
          </cell>
          <cell r="E1471">
            <v>67</v>
          </cell>
          <cell r="F1471" t="str">
            <v>第41级，共造成171.7%点伤害</v>
          </cell>
          <cell r="G1471">
            <v>3</v>
          </cell>
          <cell r="H1471">
            <v>3</v>
          </cell>
          <cell r="I1471">
            <v>41</v>
          </cell>
          <cell r="J1471">
            <v>2</v>
          </cell>
          <cell r="K1471">
            <v>171.71785714285716</v>
          </cell>
          <cell r="L1471">
            <v>0</v>
          </cell>
          <cell r="M1471">
            <v>4720</v>
          </cell>
          <cell r="N1471">
            <v>151113</v>
          </cell>
          <cell r="O1471">
            <v>4</v>
          </cell>
          <cell r="P1471">
            <v>1</v>
          </cell>
          <cell r="Q1471">
            <v>1</v>
          </cell>
          <cell r="R1471">
            <v>10</v>
          </cell>
          <cell r="S1471">
            <v>50</v>
          </cell>
          <cell r="T1471">
            <v>121.78571428571431</v>
          </cell>
          <cell r="U1471">
            <v>2963</v>
          </cell>
          <cell r="V1471">
            <v>121.78571428571431</v>
          </cell>
          <cell r="W1471">
            <v>51</v>
          </cell>
          <cell r="X1471">
            <v>739</v>
          </cell>
          <cell r="Y1471">
            <v>18</v>
          </cell>
          <cell r="Z1471">
            <v>21</v>
          </cell>
        </row>
        <row r="1472">
          <cell r="A1472">
            <v>9324342</v>
          </cell>
          <cell r="B1472" t="str">
            <v>子弹风暴第3段</v>
          </cell>
          <cell r="C1472" t="str">
            <v>子弹风暴第3段</v>
          </cell>
          <cell r="D1472">
            <v>3</v>
          </cell>
          <cell r="E1472">
            <v>69</v>
          </cell>
          <cell r="F1472" t="str">
            <v>第42级，共造成172.9%点伤害</v>
          </cell>
          <cell r="G1472">
            <v>3</v>
          </cell>
          <cell r="H1472">
            <v>3</v>
          </cell>
          <cell r="I1472">
            <v>42</v>
          </cell>
          <cell r="J1472">
            <v>2</v>
          </cell>
          <cell r="K1472">
            <v>172.93571428571431</v>
          </cell>
          <cell r="L1472">
            <v>0</v>
          </cell>
          <cell r="M1472">
            <v>4640</v>
          </cell>
          <cell r="N1472">
            <v>173085</v>
          </cell>
          <cell r="O1472">
            <v>4</v>
          </cell>
          <cell r="P1472">
            <v>1</v>
          </cell>
          <cell r="Q1472">
            <v>1</v>
          </cell>
          <cell r="R1472">
            <v>10</v>
          </cell>
          <cell r="S1472">
            <v>50</v>
          </cell>
          <cell r="T1472">
            <v>121.78571428571431</v>
          </cell>
          <cell r="U1472">
            <v>3147</v>
          </cell>
          <cell r="V1472">
            <v>121.78571428571431</v>
          </cell>
          <cell r="W1472">
            <v>55</v>
          </cell>
          <cell r="X1472">
            <v>794</v>
          </cell>
          <cell r="Y1472">
            <v>18</v>
          </cell>
          <cell r="Z1472">
            <v>22</v>
          </cell>
        </row>
        <row r="1473">
          <cell r="A1473">
            <v>9324343</v>
          </cell>
          <cell r="B1473" t="str">
            <v>子弹风暴第3段</v>
          </cell>
          <cell r="C1473" t="str">
            <v>子弹风暴第3段</v>
          </cell>
          <cell r="D1473">
            <v>3</v>
          </cell>
          <cell r="E1473">
            <v>70</v>
          </cell>
          <cell r="F1473" t="str">
            <v>第43级，共造成174.2%点伤害</v>
          </cell>
          <cell r="G1473">
            <v>3</v>
          </cell>
          <cell r="H1473">
            <v>3</v>
          </cell>
          <cell r="I1473">
            <v>43</v>
          </cell>
          <cell r="J1473">
            <v>2</v>
          </cell>
          <cell r="K1473">
            <v>174.15357142857147</v>
          </cell>
          <cell r="L1473">
            <v>0</v>
          </cell>
          <cell r="M1473">
            <v>4560</v>
          </cell>
          <cell r="N1473">
            <v>191278</v>
          </cell>
          <cell r="O1473">
            <v>4</v>
          </cell>
          <cell r="P1473">
            <v>1</v>
          </cell>
          <cell r="Q1473">
            <v>1</v>
          </cell>
          <cell r="R1473">
            <v>10</v>
          </cell>
          <cell r="S1473">
            <v>50</v>
          </cell>
          <cell r="T1473">
            <v>121.78571428571431</v>
          </cell>
          <cell r="U1473">
            <v>3242</v>
          </cell>
          <cell r="V1473">
            <v>121.78571428571431</v>
          </cell>
          <cell r="W1473">
            <v>59</v>
          </cell>
          <cell r="X1473">
            <v>853</v>
          </cell>
          <cell r="Y1473">
            <v>18</v>
          </cell>
          <cell r="Z1473">
            <v>24</v>
          </cell>
        </row>
        <row r="1474">
          <cell r="A1474">
            <v>9324344</v>
          </cell>
          <cell r="B1474" t="str">
            <v>子弹风暴第3段</v>
          </cell>
          <cell r="C1474" t="str">
            <v>子弹风暴第3段</v>
          </cell>
          <cell r="D1474">
            <v>3</v>
          </cell>
          <cell r="E1474">
            <v>72</v>
          </cell>
          <cell r="F1474" t="str">
            <v>第44级，共造成175.4%点伤害</v>
          </cell>
          <cell r="G1474">
            <v>3</v>
          </cell>
          <cell r="H1474">
            <v>3</v>
          </cell>
          <cell r="I1474">
            <v>44</v>
          </cell>
          <cell r="J1474">
            <v>2</v>
          </cell>
          <cell r="K1474">
            <v>175.37142857142859</v>
          </cell>
          <cell r="L1474">
            <v>0</v>
          </cell>
          <cell r="M1474">
            <v>4480</v>
          </cell>
          <cell r="N1474">
            <v>216405</v>
          </cell>
          <cell r="O1474">
            <v>4</v>
          </cell>
          <cell r="P1474">
            <v>1</v>
          </cell>
          <cell r="Q1474">
            <v>1</v>
          </cell>
          <cell r="R1474">
            <v>10</v>
          </cell>
          <cell r="S1474">
            <v>50</v>
          </cell>
          <cell r="T1474">
            <v>121.78571428571431</v>
          </cell>
          <cell r="U1474">
            <v>3435</v>
          </cell>
          <cell r="V1474">
            <v>121.78571428571431</v>
          </cell>
          <cell r="W1474">
            <v>63</v>
          </cell>
          <cell r="X1474">
            <v>916</v>
          </cell>
          <cell r="Y1474">
            <v>18</v>
          </cell>
          <cell r="Z1474">
            <v>26</v>
          </cell>
        </row>
        <row r="1475">
          <cell r="A1475">
            <v>9324345</v>
          </cell>
          <cell r="B1475" t="str">
            <v>子弹风暴第3段</v>
          </cell>
          <cell r="C1475" t="str">
            <v>子弹风暴第3段</v>
          </cell>
          <cell r="D1475">
            <v>3</v>
          </cell>
          <cell r="E1475">
            <v>73</v>
          </cell>
          <cell r="F1475" t="str">
            <v>第45级，共造成176.6%点伤害</v>
          </cell>
          <cell r="G1475">
            <v>3</v>
          </cell>
          <cell r="H1475">
            <v>3</v>
          </cell>
          <cell r="I1475">
            <v>45</v>
          </cell>
          <cell r="J1475">
            <v>2</v>
          </cell>
          <cell r="K1475">
            <v>176.58928571428572</v>
          </cell>
          <cell r="L1475">
            <v>0</v>
          </cell>
          <cell r="M1475">
            <v>4400</v>
          </cell>
          <cell r="N1475">
            <v>240312</v>
          </cell>
          <cell r="O1475">
            <v>4</v>
          </cell>
          <cell r="P1475">
            <v>1</v>
          </cell>
          <cell r="Q1475">
            <v>1</v>
          </cell>
          <cell r="R1475">
            <v>10</v>
          </cell>
          <cell r="S1475">
            <v>50</v>
          </cell>
          <cell r="T1475">
            <v>121.78571428571431</v>
          </cell>
          <cell r="U1475">
            <v>3534</v>
          </cell>
          <cell r="V1475">
            <v>121.78571428571431</v>
          </cell>
          <cell r="W1475">
            <v>68</v>
          </cell>
          <cell r="X1475">
            <v>984</v>
          </cell>
          <cell r="Y1475">
            <v>18</v>
          </cell>
          <cell r="Z1475">
            <v>28</v>
          </cell>
        </row>
        <row r="1476">
          <cell r="A1476">
            <v>9324346</v>
          </cell>
          <cell r="B1476" t="str">
            <v>子弹风暴第3段</v>
          </cell>
          <cell r="C1476" t="str">
            <v>子弹风暴第3段</v>
          </cell>
          <cell r="D1476">
            <v>3</v>
          </cell>
          <cell r="E1476">
            <v>74</v>
          </cell>
          <cell r="F1476" t="str">
            <v>第46级，共造成177.8%点伤害</v>
          </cell>
          <cell r="G1476">
            <v>3</v>
          </cell>
          <cell r="H1476">
            <v>3</v>
          </cell>
          <cell r="I1476">
            <v>46</v>
          </cell>
          <cell r="J1476">
            <v>2</v>
          </cell>
          <cell r="K1476">
            <v>177.80714285714288</v>
          </cell>
          <cell r="L1476">
            <v>0</v>
          </cell>
          <cell r="M1476">
            <v>4320</v>
          </cell>
          <cell r="N1476">
            <v>261648</v>
          </cell>
          <cell r="O1476">
            <v>4</v>
          </cell>
          <cell r="P1476">
            <v>1</v>
          </cell>
          <cell r="Q1476">
            <v>1</v>
          </cell>
          <cell r="R1476">
            <v>10</v>
          </cell>
          <cell r="S1476">
            <v>50</v>
          </cell>
          <cell r="T1476">
            <v>121.78571428571431</v>
          </cell>
          <cell r="U1476">
            <v>3634</v>
          </cell>
          <cell r="V1476">
            <v>121.78571428571431</v>
          </cell>
          <cell r="W1476">
            <v>72</v>
          </cell>
          <cell r="X1476">
            <v>1056</v>
          </cell>
          <cell r="Y1476">
            <v>18</v>
          </cell>
          <cell r="Z1476">
            <v>29</v>
          </cell>
        </row>
        <row r="1477">
          <cell r="A1477">
            <v>9324347</v>
          </cell>
          <cell r="B1477" t="str">
            <v>子弹风暴第3段</v>
          </cell>
          <cell r="C1477" t="str">
            <v>子弹风暴第3段</v>
          </cell>
          <cell r="D1477">
            <v>3</v>
          </cell>
          <cell r="E1477">
            <v>76</v>
          </cell>
          <cell r="F1477" t="str">
            <v>第47级，共造成179%点伤害</v>
          </cell>
          <cell r="G1477">
            <v>3</v>
          </cell>
          <cell r="H1477">
            <v>3</v>
          </cell>
          <cell r="I1477">
            <v>47</v>
          </cell>
          <cell r="J1477">
            <v>2</v>
          </cell>
          <cell r="K1477">
            <v>179.02500000000003</v>
          </cell>
          <cell r="L1477">
            <v>0</v>
          </cell>
          <cell r="M1477">
            <v>4240</v>
          </cell>
          <cell r="N1477">
            <v>295526</v>
          </cell>
          <cell r="O1477">
            <v>4</v>
          </cell>
          <cell r="P1477">
            <v>1</v>
          </cell>
          <cell r="Q1477">
            <v>1</v>
          </cell>
          <cell r="R1477">
            <v>10</v>
          </cell>
          <cell r="S1477">
            <v>50</v>
          </cell>
          <cell r="T1477">
            <v>121.78571428571431</v>
          </cell>
          <cell r="U1477">
            <v>3838</v>
          </cell>
          <cell r="V1477">
            <v>121.78571428571431</v>
          </cell>
          <cell r="W1477">
            <v>77</v>
          </cell>
          <cell r="X1477">
            <v>1133</v>
          </cell>
          <cell r="Y1477">
            <v>18</v>
          </cell>
          <cell r="Z1477">
            <v>31</v>
          </cell>
        </row>
        <row r="1478">
          <cell r="A1478">
            <v>9324348</v>
          </cell>
          <cell r="B1478" t="str">
            <v>子弹风暴第3段</v>
          </cell>
          <cell r="C1478" t="str">
            <v>子弹风暴第3段</v>
          </cell>
          <cell r="D1478">
            <v>3</v>
          </cell>
          <cell r="E1478">
            <v>77</v>
          </cell>
          <cell r="F1478" t="str">
            <v>第48级，共造成180.2%点伤害</v>
          </cell>
          <cell r="G1478">
            <v>3</v>
          </cell>
          <cell r="H1478">
            <v>3</v>
          </cell>
          <cell r="I1478">
            <v>48</v>
          </cell>
          <cell r="J1478">
            <v>2</v>
          </cell>
          <cell r="K1478">
            <v>180.24285714285716</v>
          </cell>
          <cell r="L1478">
            <v>0</v>
          </cell>
          <cell r="M1478">
            <v>4160</v>
          </cell>
          <cell r="N1478">
            <v>327186</v>
          </cell>
          <cell r="O1478">
            <v>4</v>
          </cell>
          <cell r="P1478">
            <v>1</v>
          </cell>
          <cell r="Q1478">
            <v>1</v>
          </cell>
          <cell r="R1478">
            <v>10</v>
          </cell>
          <cell r="S1478">
            <v>50</v>
          </cell>
          <cell r="T1478">
            <v>121.78571428571431</v>
          </cell>
          <cell r="U1478">
            <v>3942</v>
          </cell>
          <cell r="V1478">
            <v>121.78571428571431</v>
          </cell>
          <cell r="W1478">
            <v>83</v>
          </cell>
          <cell r="X1478">
            <v>1216</v>
          </cell>
          <cell r="Y1478">
            <v>18</v>
          </cell>
          <cell r="Z1478">
            <v>34</v>
          </cell>
        </row>
        <row r="1479">
          <cell r="A1479">
            <v>9324349</v>
          </cell>
          <cell r="B1479" t="str">
            <v>子弹风暴第3段</v>
          </cell>
          <cell r="C1479" t="str">
            <v>子弹风暴第3段</v>
          </cell>
          <cell r="D1479">
            <v>3</v>
          </cell>
          <cell r="E1479">
            <v>79</v>
          </cell>
          <cell r="F1479" t="str">
            <v>第49级，共造成181.5%点伤害</v>
          </cell>
          <cell r="G1479">
            <v>3</v>
          </cell>
          <cell r="H1479">
            <v>3</v>
          </cell>
          <cell r="I1479">
            <v>49</v>
          </cell>
          <cell r="J1479">
            <v>2</v>
          </cell>
          <cell r="K1479">
            <v>181.46071428571432</v>
          </cell>
          <cell r="L1479">
            <v>0</v>
          </cell>
          <cell r="M1479">
            <v>4080</v>
          </cell>
          <cell r="N1479">
            <v>369706</v>
          </cell>
          <cell r="O1479">
            <v>4</v>
          </cell>
          <cell r="P1479">
            <v>1</v>
          </cell>
          <cell r="Q1479">
            <v>1</v>
          </cell>
          <cell r="R1479">
            <v>10</v>
          </cell>
          <cell r="S1479">
            <v>50</v>
          </cell>
          <cell r="T1479">
            <v>121.78571428571431</v>
          </cell>
          <cell r="U1479">
            <v>4154</v>
          </cell>
          <cell r="V1479">
            <v>121.78571428571431</v>
          </cell>
          <cell r="W1479">
            <v>89</v>
          </cell>
          <cell r="X1479">
            <v>1305</v>
          </cell>
          <cell r="Y1479">
            <v>18</v>
          </cell>
          <cell r="Z1479">
            <v>36</v>
          </cell>
        </row>
        <row r="1480">
          <cell r="A1480">
            <v>9324350</v>
          </cell>
          <cell r="B1480" t="str">
            <v>子弹风暴第3段</v>
          </cell>
          <cell r="C1480" t="str">
            <v>子弹风暴第3段</v>
          </cell>
          <cell r="D1480">
            <v>3</v>
          </cell>
          <cell r="E1480">
            <v>80</v>
          </cell>
          <cell r="F1480" t="str">
            <v>第50级，共造成182.7%点伤害</v>
          </cell>
          <cell r="G1480">
            <v>3</v>
          </cell>
          <cell r="H1480">
            <v>3</v>
          </cell>
          <cell r="I1480">
            <v>50</v>
          </cell>
          <cell r="J1480">
            <v>2</v>
          </cell>
          <cell r="K1480">
            <v>182.67857142857144</v>
          </cell>
          <cell r="L1480">
            <v>0</v>
          </cell>
          <cell r="M1480">
            <v>4000</v>
          </cell>
          <cell r="N1480">
            <v>404890</v>
          </cell>
          <cell r="O1480">
            <v>4</v>
          </cell>
          <cell r="P1480">
            <v>1</v>
          </cell>
          <cell r="Q1480">
            <v>1</v>
          </cell>
          <cell r="R1480">
            <v>10</v>
          </cell>
          <cell r="S1480">
            <v>50</v>
          </cell>
          <cell r="T1480">
            <v>121.78571428571431</v>
          </cell>
          <cell r="U1480">
            <v>4262</v>
          </cell>
          <cell r="V1480">
            <v>121.78571428571431</v>
          </cell>
          <cell r="W1480">
            <v>95</v>
          </cell>
          <cell r="X1480">
            <v>1400</v>
          </cell>
          <cell r="Y1480">
            <v>18</v>
          </cell>
          <cell r="Z1480">
            <v>38</v>
          </cell>
        </row>
        <row r="1481">
          <cell r="A1481">
            <v>1</v>
          </cell>
          <cell r="B1481" t="str">
            <v>子弹风暴</v>
          </cell>
          <cell r="C1481" t="str">
            <v>子弹风暴第4段</v>
          </cell>
          <cell r="D1481">
            <v>3</v>
          </cell>
          <cell r="E1481">
            <v>6</v>
          </cell>
          <cell r="F1481" t="str">
            <v>第0级，共造成177.1%点伤害</v>
          </cell>
          <cell r="G1481">
            <v>0</v>
          </cell>
          <cell r="H1481">
            <v>4</v>
          </cell>
          <cell r="I1481">
            <v>0</v>
          </cell>
          <cell r="J1481">
            <v>2</v>
          </cell>
          <cell r="K1481">
            <v>25.30612244897959</v>
          </cell>
          <cell r="L1481">
            <v>0</v>
          </cell>
          <cell r="M1481">
            <v>8000</v>
          </cell>
          <cell r="N1481">
            <v>0</v>
          </cell>
          <cell r="O1481">
            <v>4</v>
          </cell>
          <cell r="P1481">
            <v>1</v>
          </cell>
          <cell r="Q1481">
            <v>7</v>
          </cell>
          <cell r="R1481">
            <v>12</v>
          </cell>
          <cell r="S1481">
            <v>50</v>
          </cell>
          <cell r="T1481">
            <v>25.30612244897959</v>
          </cell>
          <cell r="U1481">
            <v>80</v>
          </cell>
          <cell r="V1481">
            <v>177.14285714285714</v>
          </cell>
          <cell r="W1481">
            <v>0</v>
          </cell>
          <cell r="X1481">
            <v>0</v>
          </cell>
          <cell r="Y1481">
            <v>18</v>
          </cell>
          <cell r="Z1481">
            <v>0</v>
          </cell>
        </row>
        <row r="1482">
          <cell r="A1482">
            <v>9324401</v>
          </cell>
          <cell r="B1482" t="str">
            <v>子弹风暴第4段</v>
          </cell>
          <cell r="C1482" t="str">
            <v>子弹风暴第4段</v>
          </cell>
          <cell r="D1482">
            <v>3</v>
          </cell>
          <cell r="E1482">
            <v>6</v>
          </cell>
          <cell r="F1482" t="str">
            <v>第1级，共造成177.1%点伤害</v>
          </cell>
          <cell r="G1482">
            <v>4</v>
          </cell>
          <cell r="H1482">
            <v>4</v>
          </cell>
          <cell r="I1482">
            <v>1</v>
          </cell>
          <cell r="J1482">
            <v>2</v>
          </cell>
          <cell r="K1482">
            <v>25.30612244897959</v>
          </cell>
          <cell r="L1482">
            <v>0</v>
          </cell>
          <cell r="M1482">
            <v>8000</v>
          </cell>
          <cell r="N1482">
            <v>480</v>
          </cell>
          <cell r="O1482">
            <v>4</v>
          </cell>
          <cell r="P1482">
            <v>1</v>
          </cell>
          <cell r="Q1482">
            <v>7</v>
          </cell>
          <cell r="R1482">
            <v>12</v>
          </cell>
          <cell r="S1482">
            <v>50</v>
          </cell>
          <cell r="T1482">
            <v>25.30612244897959</v>
          </cell>
          <cell r="U1482">
            <v>80</v>
          </cell>
          <cell r="V1482">
            <v>177.14285714285714</v>
          </cell>
          <cell r="W1482">
            <v>6</v>
          </cell>
          <cell r="X1482">
            <v>6</v>
          </cell>
          <cell r="Y1482">
            <v>18</v>
          </cell>
          <cell r="Z1482">
            <v>0</v>
          </cell>
        </row>
        <row r="1483">
          <cell r="A1483">
            <v>9324402</v>
          </cell>
          <cell r="B1483" t="str">
            <v>子弹风暴第4段</v>
          </cell>
          <cell r="C1483" t="str">
            <v>子弹风暴第4段</v>
          </cell>
          <cell r="D1483">
            <v>3</v>
          </cell>
          <cell r="E1483">
            <v>15</v>
          </cell>
          <cell r="F1483" t="str">
            <v>第2级，共造成180.7%点伤害</v>
          </cell>
          <cell r="G1483">
            <v>4</v>
          </cell>
          <cell r="H1483">
            <v>4</v>
          </cell>
          <cell r="I1483">
            <v>2</v>
          </cell>
          <cell r="J1483">
            <v>2</v>
          </cell>
          <cell r="K1483">
            <v>25.812244897959182</v>
          </cell>
          <cell r="L1483">
            <v>0</v>
          </cell>
          <cell r="M1483">
            <v>7840</v>
          </cell>
          <cell r="N1483">
            <v>938</v>
          </cell>
          <cell r="O1483">
            <v>4</v>
          </cell>
          <cell r="P1483">
            <v>1</v>
          </cell>
          <cell r="Q1483">
            <v>7</v>
          </cell>
          <cell r="R1483">
            <v>12</v>
          </cell>
          <cell r="S1483">
            <v>50</v>
          </cell>
          <cell r="T1483">
            <v>25.30612244897959</v>
          </cell>
          <cell r="U1483">
            <v>134</v>
          </cell>
          <cell r="V1483">
            <v>177.14285714285714</v>
          </cell>
          <cell r="W1483">
            <v>7</v>
          </cell>
          <cell r="X1483">
            <v>13</v>
          </cell>
          <cell r="Y1483">
            <v>18</v>
          </cell>
          <cell r="Z1483">
            <v>0</v>
          </cell>
        </row>
        <row r="1484">
          <cell r="A1484">
            <v>9324403</v>
          </cell>
          <cell r="B1484" t="str">
            <v>子弹风暴第4段</v>
          </cell>
          <cell r="C1484" t="str">
            <v>子弹风暴第4段</v>
          </cell>
          <cell r="D1484">
            <v>3</v>
          </cell>
          <cell r="E1484">
            <v>16</v>
          </cell>
          <cell r="F1484" t="str">
            <v>第3级，共造成182.5%点伤害</v>
          </cell>
          <cell r="G1484">
            <v>4</v>
          </cell>
          <cell r="H1484">
            <v>4</v>
          </cell>
          <cell r="I1484">
            <v>3</v>
          </cell>
          <cell r="J1484">
            <v>2</v>
          </cell>
          <cell r="K1484">
            <v>26.065306122448977</v>
          </cell>
          <cell r="L1484">
            <v>0</v>
          </cell>
          <cell r="M1484">
            <v>7760</v>
          </cell>
          <cell r="N1484">
            <v>980</v>
          </cell>
          <cell r="O1484">
            <v>4</v>
          </cell>
          <cell r="P1484">
            <v>1</v>
          </cell>
          <cell r="Q1484">
            <v>7</v>
          </cell>
          <cell r="R1484">
            <v>12</v>
          </cell>
          <cell r="S1484">
            <v>50</v>
          </cell>
          <cell r="T1484">
            <v>25.30612244897959</v>
          </cell>
          <cell r="U1484">
            <v>140</v>
          </cell>
          <cell r="V1484">
            <v>177.14285714285714</v>
          </cell>
          <cell r="W1484">
            <v>7</v>
          </cell>
          <cell r="X1484">
            <v>20</v>
          </cell>
          <cell r="Y1484">
            <v>18</v>
          </cell>
          <cell r="Z1484">
            <v>0</v>
          </cell>
        </row>
        <row r="1485">
          <cell r="A1485">
            <v>9324404</v>
          </cell>
          <cell r="B1485" t="str">
            <v>子弹风暴第4段</v>
          </cell>
          <cell r="C1485" t="str">
            <v>子弹风暴第4段</v>
          </cell>
          <cell r="D1485">
            <v>3</v>
          </cell>
          <cell r="E1485">
            <v>17</v>
          </cell>
          <cell r="F1485" t="str">
            <v>第4级，共造成184.2%点伤害</v>
          </cell>
          <cell r="G1485">
            <v>4</v>
          </cell>
          <cell r="H1485">
            <v>4</v>
          </cell>
          <cell r="I1485">
            <v>4</v>
          </cell>
          <cell r="J1485">
            <v>2</v>
          </cell>
          <cell r="K1485">
            <v>26.318367346938775</v>
          </cell>
          <cell r="L1485">
            <v>0</v>
          </cell>
          <cell r="M1485">
            <v>7680</v>
          </cell>
          <cell r="N1485">
            <v>1168</v>
          </cell>
          <cell r="O1485">
            <v>4</v>
          </cell>
          <cell r="P1485">
            <v>1</v>
          </cell>
          <cell r="Q1485">
            <v>7</v>
          </cell>
          <cell r="R1485">
            <v>12</v>
          </cell>
          <cell r="S1485">
            <v>50</v>
          </cell>
          <cell r="T1485">
            <v>25.30612244897959</v>
          </cell>
          <cell r="U1485">
            <v>146</v>
          </cell>
          <cell r="V1485">
            <v>177.14285714285714</v>
          </cell>
          <cell r="W1485">
            <v>8</v>
          </cell>
          <cell r="X1485">
            <v>28</v>
          </cell>
          <cell r="Y1485">
            <v>18</v>
          </cell>
          <cell r="Z1485">
            <v>0</v>
          </cell>
        </row>
        <row r="1486">
          <cell r="A1486">
            <v>9324405</v>
          </cell>
          <cell r="B1486" t="str">
            <v>子弹风暴第4段</v>
          </cell>
          <cell r="C1486" t="str">
            <v>子弹风暴第4段</v>
          </cell>
          <cell r="D1486">
            <v>3</v>
          </cell>
          <cell r="E1486">
            <v>19</v>
          </cell>
          <cell r="F1486" t="str">
            <v>第5级，共造成186%点伤害</v>
          </cell>
          <cell r="G1486">
            <v>4</v>
          </cell>
          <cell r="H1486">
            <v>4</v>
          </cell>
          <cell r="I1486">
            <v>5</v>
          </cell>
          <cell r="J1486">
            <v>2</v>
          </cell>
          <cell r="K1486">
            <v>26.571428571428569</v>
          </cell>
          <cell r="L1486">
            <v>0</v>
          </cell>
          <cell r="M1486">
            <v>7600</v>
          </cell>
          <cell r="N1486">
            <v>1264</v>
          </cell>
          <cell r="O1486">
            <v>4</v>
          </cell>
          <cell r="P1486">
            <v>1</v>
          </cell>
          <cell r="Q1486">
            <v>7</v>
          </cell>
          <cell r="R1486">
            <v>12</v>
          </cell>
          <cell r="S1486">
            <v>50</v>
          </cell>
          <cell r="T1486">
            <v>25.30612244897959</v>
          </cell>
          <cell r="U1486">
            <v>158</v>
          </cell>
          <cell r="V1486">
            <v>177.14285714285714</v>
          </cell>
          <cell r="W1486">
            <v>8</v>
          </cell>
          <cell r="X1486">
            <v>36</v>
          </cell>
          <cell r="Y1486">
            <v>18</v>
          </cell>
          <cell r="Z1486">
            <v>0</v>
          </cell>
        </row>
        <row r="1487">
          <cell r="A1487">
            <v>9324406</v>
          </cell>
          <cell r="B1487" t="str">
            <v>子弹风暴第4段</v>
          </cell>
          <cell r="C1487" t="str">
            <v>子弹风暴第4段</v>
          </cell>
          <cell r="D1487">
            <v>3</v>
          </cell>
          <cell r="E1487">
            <v>20</v>
          </cell>
          <cell r="F1487" t="str">
            <v>第6级，共造成187.8%点伤害</v>
          </cell>
          <cell r="G1487">
            <v>4</v>
          </cell>
          <cell r="H1487">
            <v>4</v>
          </cell>
          <cell r="I1487">
            <v>6</v>
          </cell>
          <cell r="J1487">
            <v>2</v>
          </cell>
          <cell r="K1487">
            <v>26.824489795918364</v>
          </cell>
          <cell r="L1487">
            <v>0</v>
          </cell>
          <cell r="M1487">
            <v>7520</v>
          </cell>
          <cell r="N1487">
            <v>1638</v>
          </cell>
          <cell r="O1487">
            <v>4</v>
          </cell>
          <cell r="P1487">
            <v>1</v>
          </cell>
          <cell r="Q1487">
            <v>7</v>
          </cell>
          <cell r="R1487">
            <v>12</v>
          </cell>
          <cell r="S1487">
            <v>50</v>
          </cell>
          <cell r="T1487">
            <v>25.30612244897959</v>
          </cell>
          <cell r="U1487">
            <v>182</v>
          </cell>
          <cell r="V1487">
            <v>177.14285714285714</v>
          </cell>
          <cell r="W1487">
            <v>9</v>
          </cell>
          <cell r="X1487">
            <v>45</v>
          </cell>
          <cell r="Y1487">
            <v>18</v>
          </cell>
          <cell r="Z1487">
            <v>0</v>
          </cell>
        </row>
        <row r="1488">
          <cell r="A1488">
            <v>9324407</v>
          </cell>
          <cell r="B1488" t="str">
            <v>子弹风暴第4段</v>
          </cell>
          <cell r="C1488" t="str">
            <v>子弹风暴第4段</v>
          </cell>
          <cell r="D1488">
            <v>3</v>
          </cell>
          <cell r="E1488">
            <v>22</v>
          </cell>
          <cell r="F1488" t="str">
            <v>第7级，共造成189.5%点伤害</v>
          </cell>
          <cell r="G1488">
            <v>4</v>
          </cell>
          <cell r="H1488">
            <v>4</v>
          </cell>
          <cell r="I1488">
            <v>7</v>
          </cell>
          <cell r="J1488">
            <v>2</v>
          </cell>
          <cell r="K1488">
            <v>27.077551020408162</v>
          </cell>
          <cell r="L1488">
            <v>0</v>
          </cell>
          <cell r="M1488">
            <v>7440</v>
          </cell>
          <cell r="N1488">
            <v>2151</v>
          </cell>
          <cell r="O1488">
            <v>4</v>
          </cell>
          <cell r="P1488">
            <v>1</v>
          </cell>
          <cell r="Q1488">
            <v>7</v>
          </cell>
          <cell r="R1488">
            <v>12</v>
          </cell>
          <cell r="S1488">
            <v>50</v>
          </cell>
          <cell r="T1488">
            <v>25.30612244897959</v>
          </cell>
          <cell r="U1488">
            <v>239</v>
          </cell>
          <cell r="V1488">
            <v>177.14285714285714</v>
          </cell>
          <cell r="W1488">
            <v>9</v>
          </cell>
          <cell r="X1488">
            <v>54</v>
          </cell>
          <cell r="Y1488">
            <v>18</v>
          </cell>
          <cell r="Z1488">
            <v>0</v>
          </cell>
        </row>
        <row r="1489">
          <cell r="A1489">
            <v>9324408</v>
          </cell>
          <cell r="B1489" t="str">
            <v>子弹风暴第4段</v>
          </cell>
          <cell r="C1489" t="str">
            <v>子弹风暴第4段</v>
          </cell>
          <cell r="D1489">
            <v>3</v>
          </cell>
          <cell r="E1489">
            <v>23</v>
          </cell>
          <cell r="F1489" t="str">
            <v>第8级，共造成191.3%点伤害</v>
          </cell>
          <cell r="G1489">
            <v>4</v>
          </cell>
          <cell r="H1489">
            <v>4</v>
          </cell>
          <cell r="I1489">
            <v>8</v>
          </cell>
          <cell r="J1489">
            <v>2</v>
          </cell>
          <cell r="K1489">
            <v>27.330612244897956</v>
          </cell>
          <cell r="L1489">
            <v>0</v>
          </cell>
          <cell r="M1489">
            <v>7360</v>
          </cell>
          <cell r="N1489">
            <v>2700</v>
          </cell>
          <cell r="O1489">
            <v>4</v>
          </cell>
          <cell r="P1489">
            <v>1</v>
          </cell>
          <cell r="Q1489">
            <v>7</v>
          </cell>
          <cell r="R1489">
            <v>12</v>
          </cell>
          <cell r="S1489">
            <v>50</v>
          </cell>
          <cell r="T1489">
            <v>25.30612244897959</v>
          </cell>
          <cell r="U1489">
            <v>270</v>
          </cell>
          <cell r="V1489">
            <v>177.14285714285714</v>
          </cell>
          <cell r="W1489">
            <v>10</v>
          </cell>
          <cell r="X1489">
            <v>64</v>
          </cell>
          <cell r="Y1489">
            <v>18</v>
          </cell>
          <cell r="Z1489">
            <v>0</v>
          </cell>
        </row>
        <row r="1490">
          <cell r="A1490">
            <v>9324409</v>
          </cell>
          <cell r="B1490" t="str">
            <v>子弹风暴第4段</v>
          </cell>
          <cell r="C1490" t="str">
            <v>子弹风暴第4段</v>
          </cell>
          <cell r="D1490">
            <v>3</v>
          </cell>
          <cell r="E1490">
            <v>24</v>
          </cell>
          <cell r="F1490" t="str">
            <v>第9级，共造成193.1%点伤害</v>
          </cell>
          <cell r="G1490">
            <v>4</v>
          </cell>
          <cell r="H1490">
            <v>4</v>
          </cell>
          <cell r="I1490">
            <v>9</v>
          </cell>
          <cell r="J1490">
            <v>2</v>
          </cell>
          <cell r="K1490">
            <v>27.583673469387755</v>
          </cell>
          <cell r="L1490">
            <v>0</v>
          </cell>
          <cell r="M1490">
            <v>7280</v>
          </cell>
          <cell r="N1490">
            <v>3322</v>
          </cell>
          <cell r="O1490">
            <v>4</v>
          </cell>
          <cell r="P1490">
            <v>1</v>
          </cell>
          <cell r="Q1490">
            <v>7</v>
          </cell>
          <cell r="R1490">
            <v>12</v>
          </cell>
          <cell r="S1490">
            <v>50</v>
          </cell>
          <cell r="T1490">
            <v>25.30612244897959</v>
          </cell>
          <cell r="U1490">
            <v>302</v>
          </cell>
          <cell r="V1490">
            <v>177.14285714285714</v>
          </cell>
          <cell r="W1490">
            <v>11</v>
          </cell>
          <cell r="X1490">
            <v>75</v>
          </cell>
          <cell r="Y1490">
            <v>18</v>
          </cell>
          <cell r="Z1490">
            <v>0</v>
          </cell>
        </row>
        <row r="1491">
          <cell r="A1491">
            <v>9324410</v>
          </cell>
          <cell r="B1491" t="str">
            <v>子弹风暴第4段</v>
          </cell>
          <cell r="C1491" t="str">
            <v>子弹风暴第4段</v>
          </cell>
          <cell r="D1491">
            <v>3</v>
          </cell>
          <cell r="E1491">
            <v>26</v>
          </cell>
          <cell r="F1491" t="str">
            <v>第10级，共造成194.9%点伤害</v>
          </cell>
          <cell r="G1491">
            <v>4</v>
          </cell>
          <cell r="H1491">
            <v>4</v>
          </cell>
          <cell r="I1491">
            <v>10</v>
          </cell>
          <cell r="J1491">
            <v>2</v>
          </cell>
          <cell r="K1491">
            <v>27.836734693877549</v>
          </cell>
          <cell r="L1491">
            <v>0</v>
          </cell>
          <cell r="M1491">
            <v>7200</v>
          </cell>
          <cell r="N1491">
            <v>4440</v>
          </cell>
          <cell r="O1491">
            <v>4</v>
          </cell>
          <cell r="P1491">
            <v>1</v>
          </cell>
          <cell r="Q1491">
            <v>7</v>
          </cell>
          <cell r="R1491">
            <v>12</v>
          </cell>
          <cell r="S1491">
            <v>50</v>
          </cell>
          <cell r="T1491">
            <v>25.30612244897959</v>
          </cell>
          <cell r="U1491">
            <v>370</v>
          </cell>
          <cell r="V1491">
            <v>177.14285714285714</v>
          </cell>
          <cell r="W1491">
            <v>12</v>
          </cell>
          <cell r="X1491">
            <v>87</v>
          </cell>
          <cell r="Y1491">
            <v>18</v>
          </cell>
          <cell r="Z1491">
            <v>0</v>
          </cell>
        </row>
        <row r="1492">
          <cell r="A1492">
            <v>9324411</v>
          </cell>
          <cell r="B1492" t="str">
            <v>子弹风暴第4段</v>
          </cell>
          <cell r="C1492" t="str">
            <v>子弹风暴第4段</v>
          </cell>
          <cell r="D1492">
            <v>3</v>
          </cell>
          <cell r="E1492">
            <v>27</v>
          </cell>
          <cell r="F1492" t="str">
            <v>第11级，共造成196.6%点伤害</v>
          </cell>
          <cell r="G1492">
            <v>4</v>
          </cell>
          <cell r="H1492">
            <v>4</v>
          </cell>
          <cell r="I1492">
            <v>11</v>
          </cell>
          <cell r="J1492">
            <v>2</v>
          </cell>
          <cell r="K1492">
            <v>28.089795918367344</v>
          </cell>
          <cell r="L1492">
            <v>0</v>
          </cell>
          <cell r="M1492">
            <v>7120</v>
          </cell>
          <cell r="N1492">
            <v>4872</v>
          </cell>
          <cell r="O1492">
            <v>4</v>
          </cell>
          <cell r="P1492">
            <v>1</v>
          </cell>
          <cell r="Q1492">
            <v>7</v>
          </cell>
          <cell r="R1492">
            <v>12</v>
          </cell>
          <cell r="S1492">
            <v>50</v>
          </cell>
          <cell r="T1492">
            <v>25.30612244897959</v>
          </cell>
          <cell r="U1492">
            <v>406</v>
          </cell>
          <cell r="V1492">
            <v>177.14285714285714</v>
          </cell>
          <cell r="W1492">
            <v>12</v>
          </cell>
          <cell r="X1492">
            <v>99</v>
          </cell>
          <cell r="Y1492">
            <v>18</v>
          </cell>
          <cell r="Z1492">
            <v>0</v>
          </cell>
        </row>
        <row r="1493">
          <cell r="A1493">
            <v>9324412</v>
          </cell>
          <cell r="B1493" t="str">
            <v>子弹风暴第4段</v>
          </cell>
          <cell r="C1493" t="str">
            <v>子弹风暴第4段</v>
          </cell>
          <cell r="D1493">
            <v>3</v>
          </cell>
          <cell r="E1493">
            <v>28</v>
          </cell>
          <cell r="F1493" t="str">
            <v>第12级，共造成198.4%点伤害</v>
          </cell>
          <cell r="G1493">
            <v>4</v>
          </cell>
          <cell r="H1493">
            <v>4</v>
          </cell>
          <cell r="I1493">
            <v>12</v>
          </cell>
          <cell r="J1493">
            <v>2</v>
          </cell>
          <cell r="K1493">
            <v>28.342857142857142</v>
          </cell>
          <cell r="L1493">
            <v>0</v>
          </cell>
          <cell r="M1493">
            <v>7040</v>
          </cell>
          <cell r="N1493">
            <v>5759</v>
          </cell>
          <cell r="O1493">
            <v>4</v>
          </cell>
          <cell r="P1493">
            <v>1</v>
          </cell>
          <cell r="Q1493">
            <v>7</v>
          </cell>
          <cell r="R1493">
            <v>12</v>
          </cell>
          <cell r="S1493">
            <v>50</v>
          </cell>
          <cell r="T1493">
            <v>25.30612244897959</v>
          </cell>
          <cell r="U1493">
            <v>443</v>
          </cell>
          <cell r="V1493">
            <v>177.14285714285714</v>
          </cell>
          <cell r="W1493">
            <v>13</v>
          </cell>
          <cell r="X1493">
            <v>112</v>
          </cell>
          <cell r="Y1493">
            <v>18</v>
          </cell>
          <cell r="Z1493">
            <v>0</v>
          </cell>
        </row>
        <row r="1494">
          <cell r="A1494">
            <v>9324413</v>
          </cell>
          <cell r="B1494" t="str">
            <v>子弹风暴第4段</v>
          </cell>
          <cell r="C1494" t="str">
            <v>子弹风暴第4段</v>
          </cell>
          <cell r="D1494">
            <v>3</v>
          </cell>
          <cell r="E1494">
            <v>30</v>
          </cell>
          <cell r="F1494" t="str">
            <v>第13级，共造成200.2%点伤害</v>
          </cell>
          <cell r="G1494">
            <v>4</v>
          </cell>
          <cell r="H1494">
            <v>4</v>
          </cell>
          <cell r="I1494">
            <v>13</v>
          </cell>
          <cell r="J1494">
            <v>2</v>
          </cell>
          <cell r="K1494">
            <v>28.595918367346936</v>
          </cell>
          <cell r="L1494">
            <v>0</v>
          </cell>
          <cell r="M1494">
            <v>6960</v>
          </cell>
          <cell r="N1494">
            <v>7308</v>
          </cell>
          <cell r="O1494">
            <v>4</v>
          </cell>
          <cell r="P1494">
            <v>1</v>
          </cell>
          <cell r="Q1494">
            <v>7</v>
          </cell>
          <cell r="R1494">
            <v>12</v>
          </cell>
          <cell r="S1494">
            <v>50</v>
          </cell>
          <cell r="T1494">
            <v>25.30612244897959</v>
          </cell>
          <cell r="U1494">
            <v>522</v>
          </cell>
          <cell r="V1494">
            <v>177.14285714285714</v>
          </cell>
          <cell r="W1494">
            <v>14</v>
          </cell>
          <cell r="X1494">
            <v>126</v>
          </cell>
          <cell r="Y1494">
            <v>18</v>
          </cell>
          <cell r="Z1494">
            <v>0</v>
          </cell>
        </row>
        <row r="1495">
          <cell r="A1495">
            <v>9324414</v>
          </cell>
          <cell r="B1495" t="str">
            <v>子弹风暴第4段</v>
          </cell>
          <cell r="C1495" t="str">
            <v>子弹风暴第4段</v>
          </cell>
          <cell r="D1495">
            <v>3</v>
          </cell>
          <cell r="E1495">
            <v>31</v>
          </cell>
          <cell r="F1495" t="str">
            <v>第14级，共造成201.9%点伤害</v>
          </cell>
          <cell r="G1495">
            <v>4</v>
          </cell>
          <cell r="H1495">
            <v>4</v>
          </cell>
          <cell r="I1495">
            <v>14</v>
          </cell>
          <cell r="J1495">
            <v>2</v>
          </cell>
          <cell r="K1495">
            <v>28.848979591836731</v>
          </cell>
          <cell r="L1495">
            <v>0</v>
          </cell>
          <cell r="M1495">
            <v>6880</v>
          </cell>
          <cell r="N1495">
            <v>8445</v>
          </cell>
          <cell r="O1495">
            <v>4</v>
          </cell>
          <cell r="P1495">
            <v>1</v>
          </cell>
          <cell r="Q1495">
            <v>7</v>
          </cell>
          <cell r="R1495">
            <v>12</v>
          </cell>
          <cell r="S1495">
            <v>50</v>
          </cell>
          <cell r="T1495">
            <v>25.30612244897959</v>
          </cell>
          <cell r="U1495">
            <v>563</v>
          </cell>
          <cell r="V1495">
            <v>177.14285714285714</v>
          </cell>
          <cell r="W1495">
            <v>15</v>
          </cell>
          <cell r="X1495">
            <v>141</v>
          </cell>
          <cell r="Y1495">
            <v>18</v>
          </cell>
          <cell r="Z1495">
            <v>0</v>
          </cell>
        </row>
        <row r="1496">
          <cell r="A1496">
            <v>9324415</v>
          </cell>
          <cell r="B1496" t="str">
            <v>子弹风暴第4段</v>
          </cell>
          <cell r="C1496" t="str">
            <v>子弹风暴第4段</v>
          </cell>
          <cell r="D1496">
            <v>3</v>
          </cell>
          <cell r="E1496">
            <v>32</v>
          </cell>
          <cell r="F1496" t="str">
            <v>第15级，共造成203.7%点伤害</v>
          </cell>
          <cell r="G1496">
            <v>4</v>
          </cell>
          <cell r="H1496">
            <v>4</v>
          </cell>
          <cell r="I1496">
            <v>15</v>
          </cell>
          <cell r="J1496">
            <v>2</v>
          </cell>
          <cell r="K1496">
            <v>29.102040816326529</v>
          </cell>
          <cell r="L1496">
            <v>0</v>
          </cell>
          <cell r="M1496">
            <v>6800</v>
          </cell>
          <cell r="N1496">
            <v>9696</v>
          </cell>
          <cell r="O1496">
            <v>4</v>
          </cell>
          <cell r="P1496">
            <v>1</v>
          </cell>
          <cell r="Q1496">
            <v>7</v>
          </cell>
          <cell r="R1496">
            <v>12</v>
          </cell>
          <cell r="S1496">
            <v>50</v>
          </cell>
          <cell r="T1496">
            <v>25.30612244897959</v>
          </cell>
          <cell r="U1496">
            <v>606</v>
          </cell>
          <cell r="V1496">
            <v>177.14285714285714</v>
          </cell>
          <cell r="W1496">
            <v>16</v>
          </cell>
          <cell r="X1496">
            <v>157</v>
          </cell>
          <cell r="Y1496">
            <v>18</v>
          </cell>
          <cell r="Z1496">
            <v>0</v>
          </cell>
        </row>
        <row r="1497">
          <cell r="A1497">
            <v>9324416</v>
          </cell>
          <cell r="B1497" t="str">
            <v>子弹风暴第4段</v>
          </cell>
          <cell r="C1497" t="str">
            <v>子弹风暴第4段</v>
          </cell>
          <cell r="D1497">
            <v>3</v>
          </cell>
          <cell r="E1497">
            <v>34</v>
          </cell>
          <cell r="F1497" t="str">
            <v>第16级，共造成205.5%点伤害</v>
          </cell>
          <cell r="G1497">
            <v>4</v>
          </cell>
          <cell r="H1497">
            <v>4</v>
          </cell>
          <cell r="I1497">
            <v>16</v>
          </cell>
          <cell r="J1497">
            <v>2</v>
          </cell>
          <cell r="K1497">
            <v>29.355102040816323</v>
          </cell>
          <cell r="L1497">
            <v>0</v>
          </cell>
          <cell r="M1497">
            <v>6720</v>
          </cell>
          <cell r="N1497">
            <v>11832</v>
          </cell>
          <cell r="O1497">
            <v>4</v>
          </cell>
          <cell r="P1497">
            <v>1</v>
          </cell>
          <cell r="Q1497">
            <v>7</v>
          </cell>
          <cell r="R1497">
            <v>12</v>
          </cell>
          <cell r="S1497">
            <v>50</v>
          </cell>
          <cell r="T1497">
            <v>25.30612244897959</v>
          </cell>
          <cell r="U1497">
            <v>696</v>
          </cell>
          <cell r="V1497">
            <v>177.14285714285714</v>
          </cell>
          <cell r="W1497">
            <v>17</v>
          </cell>
          <cell r="X1497">
            <v>174</v>
          </cell>
          <cell r="Y1497">
            <v>18</v>
          </cell>
          <cell r="Z1497">
            <v>0</v>
          </cell>
        </row>
        <row r="1498">
          <cell r="A1498">
            <v>9324417</v>
          </cell>
          <cell r="B1498" t="str">
            <v>子弹风暴第4段</v>
          </cell>
          <cell r="C1498" t="str">
            <v>子弹风暴第4段</v>
          </cell>
          <cell r="D1498">
            <v>3</v>
          </cell>
          <cell r="E1498">
            <v>35</v>
          </cell>
          <cell r="F1498" t="str">
            <v>第17级，共造成207.3%点伤害</v>
          </cell>
          <cell r="G1498">
            <v>4</v>
          </cell>
          <cell r="H1498">
            <v>4</v>
          </cell>
          <cell r="I1498">
            <v>17</v>
          </cell>
          <cell r="J1498">
            <v>2</v>
          </cell>
          <cell r="K1498">
            <v>29.608163265306121</v>
          </cell>
          <cell r="L1498">
            <v>0</v>
          </cell>
          <cell r="M1498">
            <v>6640</v>
          </cell>
          <cell r="N1498">
            <v>14117</v>
          </cell>
          <cell r="O1498">
            <v>4</v>
          </cell>
          <cell r="P1498">
            <v>1</v>
          </cell>
          <cell r="Q1498">
            <v>7</v>
          </cell>
          <cell r="R1498">
            <v>12</v>
          </cell>
          <cell r="S1498">
            <v>50</v>
          </cell>
          <cell r="T1498">
            <v>25.30612244897959</v>
          </cell>
          <cell r="U1498">
            <v>743</v>
          </cell>
          <cell r="V1498">
            <v>177.14285714285714</v>
          </cell>
          <cell r="W1498">
            <v>19</v>
          </cell>
          <cell r="X1498">
            <v>193</v>
          </cell>
          <cell r="Y1498">
            <v>18</v>
          </cell>
          <cell r="Z1498">
            <v>0</v>
          </cell>
        </row>
        <row r="1499">
          <cell r="A1499">
            <v>9324418</v>
          </cell>
          <cell r="B1499" t="str">
            <v>子弹风暴第4段</v>
          </cell>
          <cell r="C1499" t="str">
            <v>子弹风暴第4段</v>
          </cell>
          <cell r="D1499">
            <v>3</v>
          </cell>
          <cell r="E1499">
            <v>36</v>
          </cell>
          <cell r="F1499" t="str">
            <v>第18级，共造成209%点伤害</v>
          </cell>
          <cell r="G1499">
            <v>4</v>
          </cell>
          <cell r="H1499">
            <v>4</v>
          </cell>
          <cell r="I1499">
            <v>18</v>
          </cell>
          <cell r="J1499">
            <v>2</v>
          </cell>
          <cell r="K1499">
            <v>29.861224489795916</v>
          </cell>
          <cell r="L1499">
            <v>0</v>
          </cell>
          <cell r="M1499">
            <v>6560</v>
          </cell>
          <cell r="N1499">
            <v>15820</v>
          </cell>
          <cell r="O1499">
            <v>4</v>
          </cell>
          <cell r="P1499">
            <v>1</v>
          </cell>
          <cell r="Q1499">
            <v>7</v>
          </cell>
          <cell r="R1499">
            <v>12</v>
          </cell>
          <cell r="S1499">
            <v>50</v>
          </cell>
          <cell r="T1499">
            <v>25.30612244897959</v>
          </cell>
          <cell r="U1499">
            <v>791</v>
          </cell>
          <cell r="V1499">
            <v>177.14285714285714</v>
          </cell>
          <cell r="W1499">
            <v>20</v>
          </cell>
          <cell r="X1499">
            <v>213</v>
          </cell>
          <cell r="Y1499">
            <v>18</v>
          </cell>
          <cell r="Z1499">
            <v>8</v>
          </cell>
        </row>
        <row r="1500">
          <cell r="A1500">
            <v>9324419</v>
          </cell>
          <cell r="B1500" t="str">
            <v>子弹风暴第4段</v>
          </cell>
          <cell r="C1500" t="str">
            <v>子弹风暴第4段</v>
          </cell>
          <cell r="D1500">
            <v>3</v>
          </cell>
          <cell r="E1500">
            <v>38</v>
          </cell>
          <cell r="F1500" t="str">
            <v>第19级，共造成210.8%点伤害</v>
          </cell>
          <cell r="G1500">
            <v>4</v>
          </cell>
          <cell r="H1500">
            <v>4</v>
          </cell>
          <cell r="I1500">
            <v>19</v>
          </cell>
          <cell r="J1500">
            <v>2</v>
          </cell>
          <cell r="K1500">
            <v>30.114285714285714</v>
          </cell>
          <cell r="L1500">
            <v>0</v>
          </cell>
          <cell r="M1500">
            <v>6480</v>
          </cell>
          <cell r="N1500">
            <v>18732</v>
          </cell>
          <cell r="O1500">
            <v>4</v>
          </cell>
          <cell r="P1500">
            <v>1</v>
          </cell>
          <cell r="Q1500">
            <v>7</v>
          </cell>
          <cell r="R1500">
            <v>12</v>
          </cell>
          <cell r="S1500">
            <v>50</v>
          </cell>
          <cell r="T1500">
            <v>25.30612244897959</v>
          </cell>
          <cell r="U1500">
            <v>892</v>
          </cell>
          <cell r="V1500">
            <v>177.14285714285714</v>
          </cell>
          <cell r="W1500">
            <v>21</v>
          </cell>
          <cell r="X1500">
            <v>234</v>
          </cell>
          <cell r="Y1500">
            <v>18</v>
          </cell>
          <cell r="Z1500">
            <v>9</v>
          </cell>
        </row>
        <row r="1501">
          <cell r="A1501">
            <v>9324420</v>
          </cell>
          <cell r="B1501" t="str">
            <v>子弹风暴第4段</v>
          </cell>
          <cell r="C1501" t="str">
            <v>子弹风暴第4段</v>
          </cell>
          <cell r="D1501">
            <v>3</v>
          </cell>
          <cell r="E1501">
            <v>39</v>
          </cell>
          <cell r="F1501" t="str">
            <v>第20级，共造成212.6%点伤害</v>
          </cell>
          <cell r="G1501">
            <v>4</v>
          </cell>
          <cell r="H1501">
            <v>4</v>
          </cell>
          <cell r="I1501">
            <v>20</v>
          </cell>
          <cell r="J1501">
            <v>2</v>
          </cell>
          <cell r="K1501">
            <v>30.367346938775508</v>
          </cell>
          <cell r="L1501">
            <v>0</v>
          </cell>
          <cell r="M1501">
            <v>6400</v>
          </cell>
          <cell r="N1501">
            <v>21712</v>
          </cell>
          <cell r="O1501">
            <v>4</v>
          </cell>
          <cell r="P1501">
            <v>1</v>
          </cell>
          <cell r="Q1501">
            <v>7</v>
          </cell>
          <cell r="R1501">
            <v>12</v>
          </cell>
          <cell r="S1501">
            <v>50</v>
          </cell>
          <cell r="T1501">
            <v>25.30612244897959</v>
          </cell>
          <cell r="U1501">
            <v>944</v>
          </cell>
          <cell r="V1501">
            <v>177.14285714285714</v>
          </cell>
          <cell r="W1501">
            <v>23</v>
          </cell>
          <cell r="X1501">
            <v>257</v>
          </cell>
          <cell r="Y1501">
            <v>18</v>
          </cell>
          <cell r="Z1501">
            <v>10</v>
          </cell>
        </row>
        <row r="1502">
          <cell r="A1502">
            <v>9324421</v>
          </cell>
          <cell r="B1502" t="str">
            <v>子弹风暴第4段</v>
          </cell>
          <cell r="C1502" t="str">
            <v>子弹风暴第4段</v>
          </cell>
          <cell r="D1502">
            <v>3</v>
          </cell>
          <cell r="E1502">
            <v>41</v>
          </cell>
          <cell r="F1502" t="str">
            <v>第21级，共造成214.3%点伤害</v>
          </cell>
          <cell r="G1502">
            <v>4</v>
          </cell>
          <cell r="H1502">
            <v>4</v>
          </cell>
          <cell r="I1502">
            <v>21</v>
          </cell>
          <cell r="J1502">
            <v>2</v>
          </cell>
          <cell r="K1502">
            <v>30.620408163265303</v>
          </cell>
          <cell r="L1502">
            <v>0</v>
          </cell>
          <cell r="M1502">
            <v>6320</v>
          </cell>
          <cell r="N1502">
            <v>25272</v>
          </cell>
          <cell r="O1502">
            <v>4</v>
          </cell>
          <cell r="P1502">
            <v>1</v>
          </cell>
          <cell r="Q1502">
            <v>7</v>
          </cell>
          <cell r="R1502">
            <v>12</v>
          </cell>
          <cell r="S1502">
            <v>50</v>
          </cell>
          <cell r="T1502">
            <v>25.30612244897959</v>
          </cell>
          <cell r="U1502">
            <v>1053</v>
          </cell>
          <cell r="V1502">
            <v>177.14285714285714</v>
          </cell>
          <cell r="W1502">
            <v>24</v>
          </cell>
          <cell r="X1502">
            <v>281</v>
          </cell>
          <cell r="Y1502">
            <v>18</v>
          </cell>
          <cell r="Z1502">
            <v>10</v>
          </cell>
        </row>
        <row r="1503">
          <cell r="A1503">
            <v>9324422</v>
          </cell>
          <cell r="B1503" t="str">
            <v>子弹风暴第4段</v>
          </cell>
          <cell r="C1503" t="str">
            <v>子弹风暴第4段</v>
          </cell>
          <cell r="D1503">
            <v>3</v>
          </cell>
          <cell r="E1503">
            <v>42</v>
          </cell>
          <cell r="F1503" t="str">
            <v>第22级，共造成216.1%点伤害</v>
          </cell>
          <cell r="G1503">
            <v>4</v>
          </cell>
          <cell r="H1503">
            <v>4</v>
          </cell>
          <cell r="I1503">
            <v>22</v>
          </cell>
          <cell r="J1503">
            <v>2</v>
          </cell>
          <cell r="K1503">
            <v>30.873469387755101</v>
          </cell>
          <cell r="L1503">
            <v>0</v>
          </cell>
          <cell r="M1503">
            <v>6240</v>
          </cell>
          <cell r="N1503">
            <v>28860</v>
          </cell>
          <cell r="O1503">
            <v>4</v>
          </cell>
          <cell r="P1503">
            <v>1</v>
          </cell>
          <cell r="Q1503">
            <v>7</v>
          </cell>
          <cell r="R1503">
            <v>12</v>
          </cell>
          <cell r="S1503">
            <v>50</v>
          </cell>
          <cell r="T1503">
            <v>25.30612244897959</v>
          </cell>
          <cell r="U1503">
            <v>1110</v>
          </cell>
          <cell r="V1503">
            <v>177.14285714285714</v>
          </cell>
          <cell r="W1503">
            <v>26</v>
          </cell>
          <cell r="X1503">
            <v>307</v>
          </cell>
          <cell r="Y1503">
            <v>18</v>
          </cell>
          <cell r="Z1503">
            <v>11</v>
          </cell>
        </row>
        <row r="1504">
          <cell r="A1504">
            <v>9324423</v>
          </cell>
          <cell r="B1504" t="str">
            <v>子弹风暴第4段</v>
          </cell>
          <cell r="C1504" t="str">
            <v>子弹风暴第4段</v>
          </cell>
          <cell r="D1504">
            <v>3</v>
          </cell>
          <cell r="E1504">
            <v>43</v>
          </cell>
          <cell r="F1504" t="str">
            <v>第23级，共造成217.9%点伤害</v>
          </cell>
          <cell r="G1504">
            <v>4</v>
          </cell>
          <cell r="H1504">
            <v>4</v>
          </cell>
          <cell r="I1504">
            <v>23</v>
          </cell>
          <cell r="J1504">
            <v>2</v>
          </cell>
          <cell r="K1504">
            <v>31.126530612244895</v>
          </cell>
          <cell r="L1504">
            <v>0</v>
          </cell>
          <cell r="M1504">
            <v>6160</v>
          </cell>
          <cell r="N1504">
            <v>32676</v>
          </cell>
          <cell r="O1504">
            <v>4</v>
          </cell>
          <cell r="P1504">
            <v>1</v>
          </cell>
          <cell r="Q1504">
            <v>7</v>
          </cell>
          <cell r="R1504">
            <v>12</v>
          </cell>
          <cell r="S1504">
            <v>50</v>
          </cell>
          <cell r="T1504">
            <v>25.30612244897959</v>
          </cell>
          <cell r="U1504">
            <v>1167</v>
          </cell>
          <cell r="V1504">
            <v>177.14285714285714</v>
          </cell>
          <cell r="W1504">
            <v>28</v>
          </cell>
          <cell r="X1504">
            <v>335</v>
          </cell>
          <cell r="Y1504">
            <v>18</v>
          </cell>
          <cell r="Z1504">
            <v>12</v>
          </cell>
        </row>
        <row r="1505">
          <cell r="A1505">
            <v>9324424</v>
          </cell>
          <cell r="B1505" t="str">
            <v>子弹风暴第4段</v>
          </cell>
          <cell r="C1505" t="str">
            <v>子弹风暴第4段</v>
          </cell>
          <cell r="D1505">
            <v>3</v>
          </cell>
          <cell r="E1505">
            <v>45</v>
          </cell>
          <cell r="F1505" t="str">
            <v>第24级，共造成219.7%点伤害</v>
          </cell>
          <cell r="G1505">
            <v>4</v>
          </cell>
          <cell r="H1505">
            <v>4</v>
          </cell>
          <cell r="I1505">
            <v>24</v>
          </cell>
          <cell r="J1505">
            <v>2</v>
          </cell>
          <cell r="K1505">
            <v>31.37959183673469</v>
          </cell>
          <cell r="L1505">
            <v>0</v>
          </cell>
          <cell r="M1505">
            <v>6080</v>
          </cell>
          <cell r="N1505">
            <v>38610</v>
          </cell>
          <cell r="O1505">
            <v>4</v>
          </cell>
          <cell r="P1505">
            <v>1</v>
          </cell>
          <cell r="Q1505">
            <v>7</v>
          </cell>
          <cell r="R1505">
            <v>12</v>
          </cell>
          <cell r="S1505">
            <v>50</v>
          </cell>
          <cell r="T1505">
            <v>25.30612244897959</v>
          </cell>
          <cell r="U1505">
            <v>1287</v>
          </cell>
          <cell r="V1505">
            <v>177.14285714285714</v>
          </cell>
          <cell r="W1505">
            <v>30</v>
          </cell>
          <cell r="X1505">
            <v>365</v>
          </cell>
          <cell r="Y1505">
            <v>18</v>
          </cell>
          <cell r="Z1505">
            <v>12</v>
          </cell>
        </row>
        <row r="1506">
          <cell r="A1506">
            <v>9324425</v>
          </cell>
          <cell r="B1506" t="str">
            <v>子弹风暴第4段</v>
          </cell>
          <cell r="C1506" t="str">
            <v>子弹风暴第4段</v>
          </cell>
          <cell r="D1506">
            <v>3</v>
          </cell>
          <cell r="E1506">
            <v>46</v>
          </cell>
          <cell r="F1506" t="str">
            <v>第25级，共造成221.4%点伤害</v>
          </cell>
          <cell r="G1506">
            <v>4</v>
          </cell>
          <cell r="H1506">
            <v>4</v>
          </cell>
          <cell r="I1506">
            <v>25</v>
          </cell>
          <cell r="J1506">
            <v>2</v>
          </cell>
          <cell r="K1506">
            <v>31.632653061224488</v>
          </cell>
          <cell r="L1506">
            <v>0</v>
          </cell>
          <cell r="M1506">
            <v>6000</v>
          </cell>
          <cell r="N1506">
            <v>43168</v>
          </cell>
          <cell r="O1506">
            <v>4</v>
          </cell>
          <cell r="P1506">
            <v>1</v>
          </cell>
          <cell r="Q1506">
            <v>7</v>
          </cell>
          <cell r="R1506">
            <v>12</v>
          </cell>
          <cell r="S1506">
            <v>50</v>
          </cell>
          <cell r="T1506">
            <v>25.30612244897959</v>
          </cell>
          <cell r="U1506">
            <v>1349</v>
          </cell>
          <cell r="V1506">
            <v>177.14285714285714</v>
          </cell>
          <cell r="W1506">
            <v>32</v>
          </cell>
          <cell r="X1506">
            <v>397</v>
          </cell>
          <cell r="Y1506">
            <v>18</v>
          </cell>
          <cell r="Z1506">
            <v>13</v>
          </cell>
        </row>
        <row r="1507">
          <cell r="A1507">
            <v>9324426</v>
          </cell>
          <cell r="B1507" t="str">
            <v>子弹风暴第4段</v>
          </cell>
          <cell r="C1507" t="str">
            <v>子弹风暴第4段</v>
          </cell>
          <cell r="D1507">
            <v>3</v>
          </cell>
          <cell r="E1507">
            <v>47</v>
          </cell>
          <cell r="F1507" t="str">
            <v>第26级，共造成223.2%点伤害</v>
          </cell>
          <cell r="G1507">
            <v>4</v>
          </cell>
          <cell r="H1507">
            <v>4</v>
          </cell>
          <cell r="I1507">
            <v>26</v>
          </cell>
          <cell r="J1507">
            <v>2</v>
          </cell>
          <cell r="K1507">
            <v>31.885714285714283</v>
          </cell>
          <cell r="L1507">
            <v>0</v>
          </cell>
          <cell r="M1507">
            <v>5920</v>
          </cell>
          <cell r="N1507">
            <v>48008</v>
          </cell>
          <cell r="O1507">
            <v>4</v>
          </cell>
          <cell r="P1507">
            <v>1</v>
          </cell>
          <cell r="Q1507">
            <v>7</v>
          </cell>
          <cell r="R1507">
            <v>12</v>
          </cell>
          <cell r="S1507">
            <v>50</v>
          </cell>
          <cell r="T1507">
            <v>25.30612244897959</v>
          </cell>
          <cell r="U1507">
            <v>1412</v>
          </cell>
          <cell r="V1507">
            <v>177.14285714285714</v>
          </cell>
          <cell r="W1507">
            <v>34</v>
          </cell>
          <cell r="X1507">
            <v>431</v>
          </cell>
          <cell r="Y1507">
            <v>18</v>
          </cell>
          <cell r="Z1507">
            <v>14</v>
          </cell>
        </row>
        <row r="1508">
          <cell r="A1508">
            <v>9324427</v>
          </cell>
          <cell r="B1508" t="str">
            <v>子弹风暴第4段</v>
          </cell>
          <cell r="C1508" t="str">
            <v>子弹风暴第4段</v>
          </cell>
          <cell r="D1508">
            <v>3</v>
          </cell>
          <cell r="E1508">
            <v>49</v>
          </cell>
          <cell r="F1508" t="str">
            <v>第27级，共造成225%点伤害</v>
          </cell>
          <cell r="G1508">
            <v>4</v>
          </cell>
          <cell r="H1508">
            <v>4</v>
          </cell>
          <cell r="I1508">
            <v>27</v>
          </cell>
          <cell r="J1508">
            <v>2</v>
          </cell>
          <cell r="K1508">
            <v>32.138775510204077</v>
          </cell>
          <cell r="L1508">
            <v>0</v>
          </cell>
          <cell r="M1508">
            <v>5840</v>
          </cell>
          <cell r="N1508">
            <v>55548</v>
          </cell>
          <cell r="O1508">
            <v>4</v>
          </cell>
          <cell r="P1508">
            <v>1</v>
          </cell>
          <cell r="Q1508">
            <v>7</v>
          </cell>
          <cell r="R1508">
            <v>12</v>
          </cell>
          <cell r="S1508">
            <v>50</v>
          </cell>
          <cell r="T1508">
            <v>25.30612244897959</v>
          </cell>
          <cell r="U1508">
            <v>1543</v>
          </cell>
          <cell r="V1508">
            <v>177.14285714285714</v>
          </cell>
          <cell r="W1508">
            <v>36</v>
          </cell>
          <cell r="X1508">
            <v>467</v>
          </cell>
          <cell r="Y1508">
            <v>18</v>
          </cell>
          <cell r="Z1508">
            <v>15</v>
          </cell>
        </row>
        <row r="1509">
          <cell r="A1509">
            <v>9324428</v>
          </cell>
          <cell r="B1509" t="str">
            <v>子弹风暴第4段</v>
          </cell>
          <cell r="C1509" t="str">
            <v>子弹风暴第4段</v>
          </cell>
          <cell r="D1509">
            <v>3</v>
          </cell>
          <cell r="E1509">
            <v>50</v>
          </cell>
          <cell r="F1509" t="str">
            <v>第28级，共造成226.7%点伤害</v>
          </cell>
          <cell r="G1509">
            <v>4</v>
          </cell>
          <cell r="H1509">
            <v>4</v>
          </cell>
          <cell r="I1509">
            <v>28</v>
          </cell>
          <cell r="J1509">
            <v>2</v>
          </cell>
          <cell r="K1509">
            <v>32.391836734693875</v>
          </cell>
          <cell r="L1509">
            <v>0</v>
          </cell>
          <cell r="M1509">
            <v>5760</v>
          </cell>
          <cell r="N1509">
            <v>62790</v>
          </cell>
          <cell r="O1509">
            <v>4</v>
          </cell>
          <cell r="P1509">
            <v>1</v>
          </cell>
          <cell r="Q1509">
            <v>7</v>
          </cell>
          <cell r="R1509">
            <v>12</v>
          </cell>
          <cell r="S1509">
            <v>50</v>
          </cell>
          <cell r="T1509">
            <v>25.30612244897959</v>
          </cell>
          <cell r="U1509">
            <v>1610</v>
          </cell>
          <cell r="V1509">
            <v>177.14285714285714</v>
          </cell>
          <cell r="W1509">
            <v>39</v>
          </cell>
          <cell r="X1509">
            <v>506</v>
          </cell>
          <cell r="Y1509">
            <v>18</v>
          </cell>
          <cell r="Z1509">
            <v>16</v>
          </cell>
        </row>
        <row r="1510">
          <cell r="A1510">
            <v>9324429</v>
          </cell>
          <cell r="B1510" t="str">
            <v>子弹风暴第4段</v>
          </cell>
          <cell r="C1510" t="str">
            <v>子弹风暴第4段</v>
          </cell>
          <cell r="D1510">
            <v>3</v>
          </cell>
          <cell r="E1510">
            <v>51</v>
          </cell>
          <cell r="F1510" t="str">
            <v>第29级，共造成228.5%点伤害</v>
          </cell>
          <cell r="G1510">
            <v>4</v>
          </cell>
          <cell r="H1510">
            <v>4</v>
          </cell>
          <cell r="I1510">
            <v>29</v>
          </cell>
          <cell r="J1510">
            <v>2</v>
          </cell>
          <cell r="K1510">
            <v>32.644897959183673</v>
          </cell>
          <cell r="L1510">
            <v>0</v>
          </cell>
          <cell r="M1510">
            <v>5680</v>
          </cell>
          <cell r="N1510">
            <v>70518</v>
          </cell>
          <cell r="O1510">
            <v>4</v>
          </cell>
          <cell r="P1510">
            <v>1</v>
          </cell>
          <cell r="Q1510">
            <v>7</v>
          </cell>
          <cell r="R1510">
            <v>12</v>
          </cell>
          <cell r="S1510">
            <v>50</v>
          </cell>
          <cell r="T1510">
            <v>25.30612244897959</v>
          </cell>
          <cell r="U1510">
            <v>1679</v>
          </cell>
          <cell r="V1510">
            <v>177.14285714285714</v>
          </cell>
          <cell r="W1510">
            <v>42</v>
          </cell>
          <cell r="X1510">
            <v>548</v>
          </cell>
          <cell r="Y1510">
            <v>18</v>
          </cell>
          <cell r="Z1510">
            <v>17</v>
          </cell>
        </row>
        <row r="1511">
          <cell r="A1511">
            <v>9324430</v>
          </cell>
          <cell r="B1511" t="str">
            <v>子弹风暴第4段</v>
          </cell>
          <cell r="C1511" t="str">
            <v>子弹风暴第4段</v>
          </cell>
          <cell r="D1511">
            <v>3</v>
          </cell>
          <cell r="E1511">
            <v>53</v>
          </cell>
          <cell r="F1511" t="str">
            <v>第30级，共造成230.3%点伤害</v>
          </cell>
          <cell r="G1511">
            <v>4</v>
          </cell>
          <cell r="H1511">
            <v>4</v>
          </cell>
          <cell r="I1511">
            <v>30</v>
          </cell>
          <cell r="J1511">
            <v>2</v>
          </cell>
          <cell r="K1511">
            <v>32.897959183673464</v>
          </cell>
          <cell r="L1511">
            <v>0</v>
          </cell>
          <cell r="M1511">
            <v>5600</v>
          </cell>
          <cell r="N1511">
            <v>81900</v>
          </cell>
          <cell r="O1511">
            <v>4</v>
          </cell>
          <cell r="P1511">
            <v>1</v>
          </cell>
          <cell r="Q1511">
            <v>7</v>
          </cell>
          <cell r="R1511">
            <v>12</v>
          </cell>
          <cell r="S1511">
            <v>50</v>
          </cell>
          <cell r="T1511">
            <v>25.30612244897959</v>
          </cell>
          <cell r="U1511">
            <v>1820</v>
          </cell>
          <cell r="V1511">
            <v>177.14285714285714</v>
          </cell>
          <cell r="W1511">
            <v>45</v>
          </cell>
          <cell r="X1511">
            <v>593</v>
          </cell>
          <cell r="Y1511">
            <v>18</v>
          </cell>
          <cell r="Z1511">
            <v>18</v>
          </cell>
        </row>
        <row r="1512">
          <cell r="A1512">
            <v>9324431</v>
          </cell>
          <cell r="B1512" t="str">
            <v>子弹风暴第4段</v>
          </cell>
          <cell r="C1512" t="str">
            <v>子弹风暴第4段</v>
          </cell>
          <cell r="D1512">
            <v>3</v>
          </cell>
          <cell r="E1512">
            <v>54</v>
          </cell>
          <cell r="F1512" t="str">
            <v>第31级，共造成232.1%点伤害</v>
          </cell>
          <cell r="G1512">
            <v>4</v>
          </cell>
          <cell r="H1512">
            <v>4</v>
          </cell>
          <cell r="I1512">
            <v>31</v>
          </cell>
          <cell r="J1512">
            <v>2</v>
          </cell>
          <cell r="K1512">
            <v>33.151020408163262</v>
          </cell>
          <cell r="L1512">
            <v>0</v>
          </cell>
          <cell r="M1512">
            <v>5520</v>
          </cell>
          <cell r="N1512">
            <v>90864</v>
          </cell>
          <cell r="O1512">
            <v>4</v>
          </cell>
          <cell r="P1512">
            <v>1</v>
          </cell>
          <cell r="Q1512">
            <v>7</v>
          </cell>
          <cell r="R1512">
            <v>12</v>
          </cell>
          <cell r="S1512">
            <v>50</v>
          </cell>
          <cell r="T1512">
            <v>25.30612244897959</v>
          </cell>
          <cell r="U1512">
            <v>1893</v>
          </cell>
          <cell r="V1512">
            <v>177.14285714285714</v>
          </cell>
          <cell r="W1512">
            <v>48</v>
          </cell>
          <cell r="X1512">
            <v>641</v>
          </cell>
          <cell r="Y1512">
            <v>18</v>
          </cell>
          <cell r="Z1512">
            <v>20</v>
          </cell>
        </row>
        <row r="1513">
          <cell r="A1513">
            <v>9324432</v>
          </cell>
          <cell r="B1513" t="str">
            <v>子弹风暴第4段</v>
          </cell>
          <cell r="C1513" t="str">
            <v>子弹风暴第4段</v>
          </cell>
          <cell r="D1513">
            <v>3</v>
          </cell>
          <cell r="E1513">
            <v>56</v>
          </cell>
          <cell r="F1513" t="str">
            <v>第32级，共造成233.8%点伤害</v>
          </cell>
          <cell r="G1513">
            <v>4</v>
          </cell>
          <cell r="H1513">
            <v>4</v>
          </cell>
          <cell r="I1513">
            <v>32</v>
          </cell>
          <cell r="J1513">
            <v>2</v>
          </cell>
          <cell r="K1513">
            <v>33.40408163265306</v>
          </cell>
          <cell r="L1513">
            <v>0</v>
          </cell>
          <cell r="M1513">
            <v>5440</v>
          </cell>
          <cell r="N1513">
            <v>104142</v>
          </cell>
          <cell r="O1513">
            <v>4</v>
          </cell>
          <cell r="P1513">
            <v>1</v>
          </cell>
          <cell r="Q1513">
            <v>7</v>
          </cell>
          <cell r="R1513">
            <v>12</v>
          </cell>
          <cell r="S1513">
            <v>50</v>
          </cell>
          <cell r="T1513">
            <v>25.30612244897959</v>
          </cell>
          <cell r="U1513">
            <v>2042</v>
          </cell>
          <cell r="V1513">
            <v>177.14285714285714</v>
          </cell>
          <cell r="W1513">
            <v>51</v>
          </cell>
          <cell r="X1513">
            <v>692</v>
          </cell>
          <cell r="Y1513">
            <v>18</v>
          </cell>
          <cell r="Z1513">
            <v>21</v>
          </cell>
        </row>
        <row r="1514">
          <cell r="A1514">
            <v>9324433</v>
          </cell>
          <cell r="B1514" t="str">
            <v>子弹风暴第4段</v>
          </cell>
          <cell r="C1514" t="str">
            <v>子弹风暴第4段</v>
          </cell>
          <cell r="D1514">
            <v>3</v>
          </cell>
          <cell r="E1514">
            <v>57</v>
          </cell>
          <cell r="F1514" t="str">
            <v>第33级，共造成235.6%点伤害</v>
          </cell>
          <cell r="G1514">
            <v>4</v>
          </cell>
          <cell r="H1514">
            <v>4</v>
          </cell>
          <cell r="I1514">
            <v>33</v>
          </cell>
          <cell r="J1514">
            <v>2</v>
          </cell>
          <cell r="K1514">
            <v>33.657142857142858</v>
          </cell>
          <cell r="L1514">
            <v>0</v>
          </cell>
          <cell r="M1514">
            <v>5360</v>
          </cell>
          <cell r="N1514">
            <v>116545</v>
          </cell>
          <cell r="O1514">
            <v>4</v>
          </cell>
          <cell r="P1514">
            <v>1</v>
          </cell>
          <cell r="Q1514">
            <v>7</v>
          </cell>
          <cell r="R1514">
            <v>12</v>
          </cell>
          <cell r="S1514">
            <v>50</v>
          </cell>
          <cell r="T1514">
            <v>25.30612244897959</v>
          </cell>
          <cell r="U1514">
            <v>2119</v>
          </cell>
          <cell r="V1514">
            <v>177.14285714285714</v>
          </cell>
          <cell r="W1514">
            <v>55</v>
          </cell>
          <cell r="X1514">
            <v>747</v>
          </cell>
          <cell r="Y1514">
            <v>18</v>
          </cell>
          <cell r="Z1514">
            <v>22</v>
          </cell>
        </row>
        <row r="1515">
          <cell r="A1515">
            <v>9324434</v>
          </cell>
          <cell r="B1515" t="str">
            <v>子弹风暴第4段</v>
          </cell>
          <cell r="C1515" t="str">
            <v>子弹风暴第4段</v>
          </cell>
          <cell r="D1515">
            <v>3</v>
          </cell>
          <cell r="E1515">
            <v>58</v>
          </cell>
          <cell r="F1515" t="str">
            <v>第34级，共造成237.4%点伤害</v>
          </cell>
          <cell r="G1515">
            <v>4</v>
          </cell>
          <cell r="H1515">
            <v>4</v>
          </cell>
          <cell r="I1515">
            <v>34</v>
          </cell>
          <cell r="J1515">
            <v>2</v>
          </cell>
          <cell r="K1515">
            <v>33.910204081632649</v>
          </cell>
          <cell r="L1515">
            <v>0</v>
          </cell>
          <cell r="M1515">
            <v>5280</v>
          </cell>
          <cell r="N1515">
            <v>129682</v>
          </cell>
          <cell r="O1515">
            <v>4</v>
          </cell>
          <cell r="P1515">
            <v>1</v>
          </cell>
          <cell r="Q1515">
            <v>7</v>
          </cell>
          <cell r="R1515">
            <v>12</v>
          </cell>
          <cell r="S1515">
            <v>50</v>
          </cell>
          <cell r="T1515">
            <v>25.30612244897959</v>
          </cell>
          <cell r="U1515">
            <v>2198</v>
          </cell>
          <cell r="V1515">
            <v>177.14285714285714</v>
          </cell>
          <cell r="W1515">
            <v>59</v>
          </cell>
          <cell r="X1515">
            <v>806</v>
          </cell>
          <cell r="Y1515">
            <v>18</v>
          </cell>
          <cell r="Z1515">
            <v>24</v>
          </cell>
        </row>
        <row r="1516">
          <cell r="A1516">
            <v>9324435</v>
          </cell>
          <cell r="B1516" t="str">
            <v>子弹风暴第4段</v>
          </cell>
          <cell r="C1516" t="str">
            <v>子弹风暴第4段</v>
          </cell>
          <cell r="D1516">
            <v>3</v>
          </cell>
          <cell r="E1516">
            <v>60</v>
          </cell>
          <cell r="F1516" t="str">
            <v>第35级，共造成239.1%点伤害</v>
          </cell>
          <cell r="G1516">
            <v>4</v>
          </cell>
          <cell r="H1516">
            <v>4</v>
          </cell>
          <cell r="I1516">
            <v>35</v>
          </cell>
          <cell r="J1516">
            <v>2</v>
          </cell>
          <cell r="K1516">
            <v>34.163265306122447</v>
          </cell>
          <cell r="L1516">
            <v>0</v>
          </cell>
          <cell r="M1516">
            <v>5200</v>
          </cell>
          <cell r="N1516">
            <v>148554</v>
          </cell>
          <cell r="O1516">
            <v>4</v>
          </cell>
          <cell r="P1516">
            <v>1</v>
          </cell>
          <cell r="Q1516">
            <v>7</v>
          </cell>
          <cell r="R1516">
            <v>12</v>
          </cell>
          <cell r="S1516">
            <v>50</v>
          </cell>
          <cell r="T1516">
            <v>25.30612244897959</v>
          </cell>
          <cell r="U1516">
            <v>2358</v>
          </cell>
          <cell r="V1516">
            <v>177.14285714285714</v>
          </cell>
          <cell r="W1516">
            <v>63</v>
          </cell>
          <cell r="X1516">
            <v>869</v>
          </cell>
          <cell r="Y1516">
            <v>18</v>
          </cell>
          <cell r="Z1516">
            <v>26</v>
          </cell>
        </row>
        <row r="1517">
          <cell r="A1517">
            <v>9324436</v>
          </cell>
          <cell r="B1517" t="str">
            <v>子弹风暴第4段</v>
          </cell>
          <cell r="C1517" t="str">
            <v>子弹风暴第4段</v>
          </cell>
          <cell r="D1517">
            <v>3</v>
          </cell>
          <cell r="E1517">
            <v>61</v>
          </cell>
          <cell r="F1517" t="str">
            <v>第36级，共造成240.9%点伤害</v>
          </cell>
          <cell r="G1517">
            <v>4</v>
          </cell>
          <cell r="H1517">
            <v>4</v>
          </cell>
          <cell r="I1517">
            <v>36</v>
          </cell>
          <cell r="J1517">
            <v>2</v>
          </cell>
          <cell r="K1517">
            <v>34.416326530612238</v>
          </cell>
          <cell r="L1517">
            <v>0</v>
          </cell>
          <cell r="M1517">
            <v>5120</v>
          </cell>
          <cell r="N1517">
            <v>163480</v>
          </cell>
          <cell r="O1517">
            <v>4</v>
          </cell>
          <cell r="P1517">
            <v>1</v>
          </cell>
          <cell r="Q1517">
            <v>7</v>
          </cell>
          <cell r="R1517">
            <v>12</v>
          </cell>
          <cell r="S1517">
            <v>50</v>
          </cell>
          <cell r="T1517">
            <v>25.30612244897959</v>
          </cell>
          <cell r="U1517">
            <v>2440</v>
          </cell>
          <cell r="V1517">
            <v>177.14285714285714</v>
          </cell>
          <cell r="W1517">
            <v>67</v>
          </cell>
          <cell r="X1517">
            <v>936</v>
          </cell>
          <cell r="Y1517">
            <v>18</v>
          </cell>
          <cell r="Z1517">
            <v>27</v>
          </cell>
        </row>
        <row r="1518">
          <cell r="A1518">
            <v>9324437</v>
          </cell>
          <cell r="B1518" t="str">
            <v>子弹风暴第4段</v>
          </cell>
          <cell r="C1518" t="str">
            <v>子弹风暴第4段</v>
          </cell>
          <cell r="D1518">
            <v>3</v>
          </cell>
          <cell r="E1518">
            <v>62</v>
          </cell>
          <cell r="F1518" t="str">
            <v>第37级，共造成242.7%点伤害</v>
          </cell>
          <cell r="G1518">
            <v>4</v>
          </cell>
          <cell r="H1518">
            <v>4</v>
          </cell>
          <cell r="I1518">
            <v>37</v>
          </cell>
          <cell r="J1518">
            <v>2</v>
          </cell>
          <cell r="K1518">
            <v>34.669387755102036</v>
          </cell>
          <cell r="L1518">
            <v>0</v>
          </cell>
          <cell r="M1518">
            <v>5040</v>
          </cell>
          <cell r="N1518">
            <v>181728</v>
          </cell>
          <cell r="O1518">
            <v>4</v>
          </cell>
          <cell r="P1518">
            <v>1</v>
          </cell>
          <cell r="Q1518">
            <v>7</v>
          </cell>
          <cell r="R1518">
            <v>12</v>
          </cell>
          <cell r="S1518">
            <v>50</v>
          </cell>
          <cell r="T1518">
            <v>25.30612244897959</v>
          </cell>
          <cell r="U1518">
            <v>2524</v>
          </cell>
          <cell r="V1518">
            <v>177.14285714285714</v>
          </cell>
          <cell r="W1518">
            <v>72</v>
          </cell>
          <cell r="X1518">
            <v>1008</v>
          </cell>
          <cell r="Y1518">
            <v>18</v>
          </cell>
          <cell r="Z1518">
            <v>29</v>
          </cell>
        </row>
        <row r="1519">
          <cell r="A1519">
            <v>9324438</v>
          </cell>
          <cell r="B1519" t="str">
            <v>子弹风暴第4段</v>
          </cell>
          <cell r="C1519" t="str">
            <v>子弹风暴第4段</v>
          </cell>
          <cell r="D1519">
            <v>3</v>
          </cell>
          <cell r="E1519">
            <v>64</v>
          </cell>
          <cell r="F1519" t="str">
            <v>第38级，共造成244.5%点伤害</v>
          </cell>
          <cell r="G1519">
            <v>4</v>
          </cell>
          <cell r="H1519">
            <v>4</v>
          </cell>
          <cell r="I1519">
            <v>38</v>
          </cell>
          <cell r="J1519">
            <v>2</v>
          </cell>
          <cell r="K1519">
            <v>34.922448979591834</v>
          </cell>
          <cell r="L1519">
            <v>0</v>
          </cell>
          <cell r="M1519">
            <v>4960</v>
          </cell>
          <cell r="N1519">
            <v>207515</v>
          </cell>
          <cell r="O1519">
            <v>4</v>
          </cell>
          <cell r="P1519">
            <v>1</v>
          </cell>
          <cell r="Q1519">
            <v>7</v>
          </cell>
          <cell r="R1519">
            <v>12</v>
          </cell>
          <cell r="S1519">
            <v>50</v>
          </cell>
          <cell r="T1519">
            <v>25.30612244897959</v>
          </cell>
          <cell r="U1519">
            <v>2695</v>
          </cell>
          <cell r="V1519">
            <v>177.14285714285714</v>
          </cell>
          <cell r="W1519">
            <v>77</v>
          </cell>
          <cell r="X1519">
            <v>1085</v>
          </cell>
          <cell r="Y1519">
            <v>18</v>
          </cell>
          <cell r="Z1519">
            <v>31</v>
          </cell>
        </row>
        <row r="1520">
          <cell r="A1520">
            <v>9324439</v>
          </cell>
          <cell r="B1520" t="str">
            <v>子弹风暴第4段</v>
          </cell>
          <cell r="C1520" t="str">
            <v>子弹风暴第4段</v>
          </cell>
          <cell r="D1520">
            <v>3</v>
          </cell>
          <cell r="E1520">
            <v>65</v>
          </cell>
          <cell r="F1520" t="str">
            <v>第39级，共造成246.2%点伤害</v>
          </cell>
          <cell r="G1520">
            <v>4</v>
          </cell>
          <cell r="H1520">
            <v>4</v>
          </cell>
          <cell r="I1520">
            <v>39</v>
          </cell>
          <cell r="J1520">
            <v>2</v>
          </cell>
          <cell r="K1520">
            <v>35.175510204081633</v>
          </cell>
          <cell r="L1520">
            <v>0</v>
          </cell>
          <cell r="M1520">
            <v>4880</v>
          </cell>
          <cell r="N1520">
            <v>228206</v>
          </cell>
          <cell r="O1520">
            <v>4</v>
          </cell>
          <cell r="P1520">
            <v>1</v>
          </cell>
          <cell r="Q1520">
            <v>7</v>
          </cell>
          <cell r="R1520">
            <v>12</v>
          </cell>
          <cell r="S1520">
            <v>50</v>
          </cell>
          <cell r="T1520">
            <v>25.30612244897959</v>
          </cell>
          <cell r="U1520">
            <v>2783</v>
          </cell>
          <cell r="V1520">
            <v>177.14285714285714</v>
          </cell>
          <cell r="W1520">
            <v>82</v>
          </cell>
          <cell r="X1520">
            <v>1167</v>
          </cell>
          <cell r="Y1520">
            <v>18</v>
          </cell>
          <cell r="Z1520">
            <v>33</v>
          </cell>
        </row>
        <row r="1521">
          <cell r="A1521">
            <v>9324440</v>
          </cell>
          <cell r="B1521" t="str">
            <v>子弹风暴第4段</v>
          </cell>
          <cell r="C1521" t="str">
            <v>子弹风暴第4段</v>
          </cell>
          <cell r="D1521">
            <v>3</v>
          </cell>
          <cell r="E1521">
            <v>66</v>
          </cell>
          <cell r="F1521" t="str">
            <v>第40级，共造成248%点伤害</v>
          </cell>
          <cell r="G1521">
            <v>4</v>
          </cell>
          <cell r="H1521">
            <v>4</v>
          </cell>
          <cell r="I1521">
            <v>40</v>
          </cell>
          <cell r="J1521">
            <v>2</v>
          </cell>
          <cell r="K1521">
            <v>35.428571428571423</v>
          </cell>
          <cell r="L1521">
            <v>0</v>
          </cell>
          <cell r="M1521">
            <v>4800</v>
          </cell>
          <cell r="N1521">
            <v>252736</v>
          </cell>
          <cell r="O1521">
            <v>4</v>
          </cell>
          <cell r="P1521">
            <v>1</v>
          </cell>
          <cell r="Q1521">
            <v>7</v>
          </cell>
          <cell r="R1521">
            <v>12</v>
          </cell>
          <cell r="S1521">
            <v>50</v>
          </cell>
          <cell r="T1521">
            <v>25.30612244897959</v>
          </cell>
          <cell r="U1521">
            <v>2872</v>
          </cell>
          <cell r="V1521">
            <v>177.14285714285714</v>
          </cell>
          <cell r="W1521">
            <v>88</v>
          </cell>
          <cell r="X1521">
            <v>1255</v>
          </cell>
          <cell r="Y1521">
            <v>18</v>
          </cell>
          <cell r="Z1521">
            <v>36</v>
          </cell>
        </row>
        <row r="1522">
          <cell r="A1522">
            <v>9324441</v>
          </cell>
          <cell r="B1522" t="str">
            <v>子弹风暴第4段</v>
          </cell>
          <cell r="C1522" t="str">
            <v>子弹风暴第4段</v>
          </cell>
          <cell r="D1522">
            <v>3</v>
          </cell>
          <cell r="E1522">
            <v>68</v>
          </cell>
          <cell r="F1522" t="str">
            <v>第41级，共造成249.8%点伤害</v>
          </cell>
          <cell r="G1522">
            <v>4</v>
          </cell>
          <cell r="H1522">
            <v>4</v>
          </cell>
          <cell r="I1522">
            <v>41</v>
          </cell>
          <cell r="J1522">
            <v>2</v>
          </cell>
          <cell r="K1522">
            <v>35.681632653061222</v>
          </cell>
          <cell r="L1522">
            <v>0</v>
          </cell>
          <cell r="M1522">
            <v>4720</v>
          </cell>
          <cell r="N1522">
            <v>287076</v>
          </cell>
          <cell r="O1522">
            <v>4</v>
          </cell>
          <cell r="P1522">
            <v>1</v>
          </cell>
          <cell r="Q1522">
            <v>7</v>
          </cell>
          <cell r="R1522">
            <v>12</v>
          </cell>
          <cell r="S1522">
            <v>50</v>
          </cell>
          <cell r="T1522">
            <v>25.30612244897959</v>
          </cell>
          <cell r="U1522">
            <v>3054</v>
          </cell>
          <cell r="V1522">
            <v>177.14285714285714</v>
          </cell>
          <cell r="W1522">
            <v>94</v>
          </cell>
          <cell r="X1522">
            <v>1349</v>
          </cell>
          <cell r="Y1522">
            <v>18</v>
          </cell>
          <cell r="Z1522">
            <v>38</v>
          </cell>
        </row>
        <row r="1523">
          <cell r="A1523">
            <v>9324442</v>
          </cell>
          <cell r="B1523" t="str">
            <v>子弹风暴第4段</v>
          </cell>
          <cell r="C1523" t="str">
            <v>子弹风暴第4段</v>
          </cell>
          <cell r="D1523">
            <v>3</v>
          </cell>
          <cell r="E1523">
            <v>69</v>
          </cell>
          <cell r="F1523" t="str">
            <v>第42级，共造成251.5%点伤害</v>
          </cell>
          <cell r="G1523">
            <v>4</v>
          </cell>
          <cell r="H1523">
            <v>4</v>
          </cell>
          <cell r="I1523">
            <v>42</v>
          </cell>
          <cell r="J1523">
            <v>2</v>
          </cell>
          <cell r="K1523">
            <v>35.93469387755102</v>
          </cell>
          <cell r="L1523">
            <v>0</v>
          </cell>
          <cell r="M1523">
            <v>4640</v>
          </cell>
          <cell r="N1523">
            <v>314700</v>
          </cell>
          <cell r="O1523">
            <v>4</v>
          </cell>
          <cell r="P1523">
            <v>1</v>
          </cell>
          <cell r="Q1523">
            <v>7</v>
          </cell>
          <cell r="R1523">
            <v>12</v>
          </cell>
          <cell r="S1523">
            <v>50</v>
          </cell>
          <cell r="T1523">
            <v>25.30612244897959</v>
          </cell>
          <cell r="U1523">
            <v>3147</v>
          </cell>
          <cell r="V1523">
            <v>177.14285714285714</v>
          </cell>
          <cell r="W1523">
            <v>100</v>
          </cell>
          <cell r="X1523">
            <v>1449</v>
          </cell>
          <cell r="Y1523">
            <v>18</v>
          </cell>
          <cell r="Z1523">
            <v>40</v>
          </cell>
        </row>
        <row r="1524">
          <cell r="A1524">
            <v>9324443</v>
          </cell>
          <cell r="B1524" t="str">
            <v>子弹风暴第4段</v>
          </cell>
          <cell r="C1524" t="str">
            <v>子弹风暴第4段</v>
          </cell>
          <cell r="D1524">
            <v>3</v>
          </cell>
          <cell r="E1524">
            <v>70</v>
          </cell>
          <cell r="F1524" t="str">
            <v>第43级，共造成253.3%点伤害</v>
          </cell>
          <cell r="G1524">
            <v>4</v>
          </cell>
          <cell r="H1524">
            <v>4</v>
          </cell>
          <cell r="I1524">
            <v>43</v>
          </cell>
          <cell r="J1524">
            <v>2</v>
          </cell>
          <cell r="K1524">
            <v>36.187755102040811</v>
          </cell>
          <cell r="L1524">
            <v>0</v>
          </cell>
          <cell r="M1524">
            <v>4560</v>
          </cell>
          <cell r="N1524">
            <v>346894</v>
          </cell>
          <cell r="O1524">
            <v>4</v>
          </cell>
          <cell r="P1524">
            <v>1</v>
          </cell>
          <cell r="Q1524">
            <v>7</v>
          </cell>
          <cell r="R1524">
            <v>12</v>
          </cell>
          <cell r="S1524">
            <v>50</v>
          </cell>
          <cell r="T1524">
            <v>25.30612244897959</v>
          </cell>
          <cell r="U1524">
            <v>3242</v>
          </cell>
          <cell r="V1524">
            <v>177.14285714285714</v>
          </cell>
          <cell r="W1524">
            <v>107</v>
          </cell>
          <cell r="X1524">
            <v>1556</v>
          </cell>
          <cell r="Y1524">
            <v>18</v>
          </cell>
          <cell r="Z1524">
            <v>43</v>
          </cell>
        </row>
        <row r="1525">
          <cell r="A1525">
            <v>9324444</v>
          </cell>
          <cell r="B1525" t="str">
            <v>子弹风暴第4段</v>
          </cell>
          <cell r="C1525" t="str">
            <v>子弹风暴第4段</v>
          </cell>
          <cell r="D1525">
            <v>3</v>
          </cell>
          <cell r="E1525">
            <v>72</v>
          </cell>
          <cell r="F1525" t="str">
            <v>第44级，共造成255.1%点伤害</v>
          </cell>
          <cell r="G1525">
            <v>4</v>
          </cell>
          <cell r="H1525">
            <v>4</v>
          </cell>
          <cell r="I1525">
            <v>44</v>
          </cell>
          <cell r="J1525">
            <v>2</v>
          </cell>
          <cell r="K1525">
            <v>36.440816326530609</v>
          </cell>
          <cell r="L1525">
            <v>0</v>
          </cell>
          <cell r="M1525">
            <v>4480</v>
          </cell>
          <cell r="N1525">
            <v>395025</v>
          </cell>
          <cell r="O1525">
            <v>4</v>
          </cell>
          <cell r="P1525">
            <v>1</v>
          </cell>
          <cell r="Q1525">
            <v>7</v>
          </cell>
          <cell r="R1525">
            <v>12</v>
          </cell>
          <cell r="S1525">
            <v>50</v>
          </cell>
          <cell r="T1525">
            <v>25.30612244897959</v>
          </cell>
          <cell r="U1525">
            <v>3435</v>
          </cell>
          <cell r="V1525">
            <v>177.14285714285714</v>
          </cell>
          <cell r="W1525">
            <v>115</v>
          </cell>
          <cell r="X1525">
            <v>1671</v>
          </cell>
          <cell r="Y1525">
            <v>18</v>
          </cell>
          <cell r="Z1525">
            <v>46</v>
          </cell>
        </row>
        <row r="1526">
          <cell r="A1526">
            <v>9324445</v>
          </cell>
          <cell r="B1526" t="str">
            <v>子弹风暴第4段</v>
          </cell>
          <cell r="C1526" t="str">
            <v>子弹风暴第4段</v>
          </cell>
          <cell r="D1526">
            <v>3</v>
          </cell>
          <cell r="E1526">
            <v>73</v>
          </cell>
          <cell r="F1526" t="str">
            <v>第45级，共造成256.9%点伤害</v>
          </cell>
          <cell r="G1526">
            <v>4</v>
          </cell>
          <cell r="H1526">
            <v>4</v>
          </cell>
          <cell r="I1526">
            <v>45</v>
          </cell>
          <cell r="J1526">
            <v>2</v>
          </cell>
          <cell r="K1526">
            <v>36.693877551020407</v>
          </cell>
          <cell r="L1526">
            <v>0</v>
          </cell>
          <cell r="M1526">
            <v>4400</v>
          </cell>
          <cell r="N1526">
            <v>434682</v>
          </cell>
          <cell r="O1526">
            <v>4</v>
          </cell>
          <cell r="P1526">
            <v>1</v>
          </cell>
          <cell r="Q1526">
            <v>7</v>
          </cell>
          <cell r="R1526">
            <v>12</v>
          </cell>
          <cell r="S1526">
            <v>50</v>
          </cell>
          <cell r="T1526">
            <v>25.30612244897959</v>
          </cell>
          <cell r="U1526">
            <v>3534</v>
          </cell>
          <cell r="V1526">
            <v>177.14285714285714</v>
          </cell>
          <cell r="W1526">
            <v>123</v>
          </cell>
          <cell r="X1526">
            <v>1794</v>
          </cell>
          <cell r="Y1526">
            <v>18</v>
          </cell>
          <cell r="Z1526">
            <v>50</v>
          </cell>
        </row>
        <row r="1527">
          <cell r="A1527">
            <v>9324446</v>
          </cell>
          <cell r="B1527" t="str">
            <v>子弹风暴第4段</v>
          </cell>
          <cell r="C1527" t="str">
            <v>子弹风暴第4段</v>
          </cell>
          <cell r="D1527">
            <v>3</v>
          </cell>
          <cell r="E1527">
            <v>75</v>
          </cell>
          <cell r="F1527" t="str">
            <v>第46级，共造成258.6%点伤害</v>
          </cell>
          <cell r="G1527">
            <v>4</v>
          </cell>
          <cell r="H1527">
            <v>4</v>
          </cell>
          <cell r="I1527">
            <v>46</v>
          </cell>
          <cell r="J1527">
            <v>2</v>
          </cell>
          <cell r="K1527">
            <v>36.946938775510205</v>
          </cell>
          <cell r="L1527">
            <v>0</v>
          </cell>
          <cell r="M1527">
            <v>4320</v>
          </cell>
          <cell r="N1527">
            <v>493020</v>
          </cell>
          <cell r="O1527">
            <v>4</v>
          </cell>
          <cell r="P1527">
            <v>1</v>
          </cell>
          <cell r="Q1527">
            <v>7</v>
          </cell>
          <cell r="R1527">
            <v>12</v>
          </cell>
          <cell r="S1527">
            <v>50</v>
          </cell>
          <cell r="T1527">
            <v>25.30612244897959</v>
          </cell>
          <cell r="U1527">
            <v>3735</v>
          </cell>
          <cell r="V1527">
            <v>177.14285714285714</v>
          </cell>
          <cell r="W1527">
            <v>132</v>
          </cell>
          <cell r="X1527">
            <v>1926</v>
          </cell>
          <cell r="Y1527">
            <v>18</v>
          </cell>
          <cell r="Z1527">
            <v>53</v>
          </cell>
        </row>
        <row r="1528">
          <cell r="A1528">
            <v>9324447</v>
          </cell>
          <cell r="B1528" t="str">
            <v>子弹风暴第4段</v>
          </cell>
          <cell r="C1528" t="str">
            <v>子弹风暴第4段</v>
          </cell>
          <cell r="D1528">
            <v>3</v>
          </cell>
          <cell r="E1528">
            <v>76</v>
          </cell>
          <cell r="F1528" t="str">
            <v>第47级，共造成260.4%点伤害</v>
          </cell>
          <cell r="G1528">
            <v>4</v>
          </cell>
          <cell r="H1528">
            <v>4</v>
          </cell>
          <cell r="I1528">
            <v>47</v>
          </cell>
          <cell r="J1528">
            <v>2</v>
          </cell>
          <cell r="K1528">
            <v>37.199999999999996</v>
          </cell>
          <cell r="L1528">
            <v>0</v>
          </cell>
          <cell r="M1528">
            <v>4240</v>
          </cell>
          <cell r="N1528">
            <v>541158</v>
          </cell>
          <cell r="O1528">
            <v>4</v>
          </cell>
          <cell r="P1528">
            <v>1</v>
          </cell>
          <cell r="Q1528">
            <v>7</v>
          </cell>
          <cell r="R1528">
            <v>12</v>
          </cell>
          <cell r="S1528">
            <v>50</v>
          </cell>
          <cell r="T1528">
            <v>25.30612244897959</v>
          </cell>
          <cell r="U1528">
            <v>3838</v>
          </cell>
          <cell r="V1528">
            <v>177.14285714285714</v>
          </cell>
          <cell r="W1528">
            <v>141</v>
          </cell>
          <cell r="X1528">
            <v>2067</v>
          </cell>
          <cell r="Y1528">
            <v>18</v>
          </cell>
          <cell r="Z1528">
            <v>57</v>
          </cell>
        </row>
        <row r="1529">
          <cell r="A1529">
            <v>9324448</v>
          </cell>
          <cell r="B1529" t="str">
            <v>子弹风暴第4段</v>
          </cell>
          <cell r="C1529" t="str">
            <v>子弹风暴第4段</v>
          </cell>
          <cell r="D1529">
            <v>3</v>
          </cell>
          <cell r="E1529">
            <v>77</v>
          </cell>
          <cell r="F1529" t="str">
            <v>第48级，共造成262.2%点伤害</v>
          </cell>
          <cell r="G1529">
            <v>4</v>
          </cell>
          <cell r="H1529">
            <v>4</v>
          </cell>
          <cell r="I1529">
            <v>48</v>
          </cell>
          <cell r="J1529">
            <v>2</v>
          </cell>
          <cell r="K1529">
            <v>37.453061224489794</v>
          </cell>
          <cell r="L1529">
            <v>0</v>
          </cell>
          <cell r="M1529">
            <v>4160</v>
          </cell>
          <cell r="N1529">
            <v>595242</v>
          </cell>
          <cell r="O1529">
            <v>4</v>
          </cell>
          <cell r="P1529">
            <v>1</v>
          </cell>
          <cell r="Q1529">
            <v>7</v>
          </cell>
          <cell r="R1529">
            <v>12</v>
          </cell>
          <cell r="S1529">
            <v>50</v>
          </cell>
          <cell r="T1529">
            <v>25.30612244897959</v>
          </cell>
          <cell r="U1529">
            <v>3942</v>
          </cell>
          <cell r="V1529">
            <v>177.14285714285714</v>
          </cell>
          <cell r="W1529">
            <v>151</v>
          </cell>
          <cell r="X1529">
            <v>2218</v>
          </cell>
          <cell r="Y1529">
            <v>18</v>
          </cell>
          <cell r="Z1529">
            <v>61</v>
          </cell>
        </row>
        <row r="1530">
          <cell r="A1530">
            <v>9324449</v>
          </cell>
          <cell r="B1530" t="str">
            <v>子弹风暴第4段</v>
          </cell>
          <cell r="C1530" t="str">
            <v>子弹风暴第4段</v>
          </cell>
          <cell r="D1530">
            <v>3</v>
          </cell>
          <cell r="E1530">
            <v>79</v>
          </cell>
          <cell r="F1530" t="str">
            <v>第49级，共造成263.9%点伤害</v>
          </cell>
          <cell r="G1530">
            <v>4</v>
          </cell>
          <cell r="H1530">
            <v>4</v>
          </cell>
          <cell r="I1530">
            <v>49</v>
          </cell>
          <cell r="J1530">
            <v>2</v>
          </cell>
          <cell r="K1530">
            <v>37.706122448979585</v>
          </cell>
          <cell r="L1530">
            <v>0</v>
          </cell>
          <cell r="M1530">
            <v>4080</v>
          </cell>
          <cell r="N1530">
            <v>668794</v>
          </cell>
          <cell r="O1530">
            <v>4</v>
          </cell>
          <cell r="P1530">
            <v>1</v>
          </cell>
          <cell r="Q1530">
            <v>7</v>
          </cell>
          <cell r="R1530">
            <v>12</v>
          </cell>
          <cell r="S1530">
            <v>50</v>
          </cell>
          <cell r="T1530">
            <v>25.30612244897959</v>
          </cell>
          <cell r="U1530">
            <v>4154</v>
          </cell>
          <cell r="V1530">
            <v>177.14285714285714</v>
          </cell>
          <cell r="W1530">
            <v>161</v>
          </cell>
          <cell r="X1530">
            <v>2379</v>
          </cell>
          <cell r="Y1530">
            <v>18</v>
          </cell>
          <cell r="Z1530">
            <v>65</v>
          </cell>
        </row>
        <row r="1531">
          <cell r="A1531">
            <v>9324450</v>
          </cell>
          <cell r="B1531" t="str">
            <v>子弹风暴第4段</v>
          </cell>
          <cell r="C1531" t="str">
            <v>子弹风暴第4段</v>
          </cell>
          <cell r="D1531">
            <v>3</v>
          </cell>
          <cell r="E1531">
            <v>80</v>
          </cell>
          <cell r="F1531" t="str">
            <v>第50级，共造成265.7%点伤害</v>
          </cell>
          <cell r="G1531">
            <v>4</v>
          </cell>
          <cell r="H1531">
            <v>4</v>
          </cell>
          <cell r="I1531">
            <v>50</v>
          </cell>
          <cell r="J1531">
            <v>2</v>
          </cell>
          <cell r="K1531">
            <v>37.959183673469383</v>
          </cell>
          <cell r="L1531">
            <v>0</v>
          </cell>
          <cell r="M1531">
            <v>4000</v>
          </cell>
          <cell r="N1531">
            <v>737326</v>
          </cell>
          <cell r="O1531">
            <v>4</v>
          </cell>
          <cell r="P1531">
            <v>1</v>
          </cell>
          <cell r="Q1531">
            <v>7</v>
          </cell>
          <cell r="R1531">
            <v>12</v>
          </cell>
          <cell r="S1531">
            <v>50</v>
          </cell>
          <cell r="T1531">
            <v>25.30612244897959</v>
          </cell>
          <cell r="U1531">
            <v>4262</v>
          </cell>
          <cell r="V1531">
            <v>177.14285714285714</v>
          </cell>
          <cell r="W1531">
            <v>173</v>
          </cell>
          <cell r="X1531">
            <v>2552</v>
          </cell>
          <cell r="Y1531">
            <v>18</v>
          </cell>
          <cell r="Z1531">
            <v>70</v>
          </cell>
        </row>
      </sheetData>
      <sheetData sheetId="1">
        <row r="4">
          <cell r="T4">
            <v>0.7</v>
          </cell>
        </row>
      </sheetData>
      <sheetData sheetId="2" refreshError="1"/>
      <sheetData sheetId="3">
        <row r="7">
          <cell r="C7">
            <v>1</v>
          </cell>
        </row>
        <row r="86">
          <cell r="AR86">
            <v>7724</v>
          </cell>
        </row>
      </sheetData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_神秘商店概率"/>
      <sheetName val="D_神秘商店"/>
      <sheetName val="D_金币商场"/>
      <sheetName val="D_VIP商城"/>
      <sheetName val="D_红包积分商城"/>
      <sheetName val="D_金币十连抽"/>
      <sheetName val="D_钻石十连抽"/>
      <sheetName val="D_十连抽"/>
      <sheetName val="D_幸运值配置表"/>
      <sheetName val="D_十连抽幸运马仔"/>
      <sheetName val="商城刷新模拟"/>
      <sheetName val="D_十连抽价格表"/>
      <sheetName val="D_商店刷新"/>
      <sheetName val="D_点金手"/>
      <sheetName val="D_点金手概率表"/>
      <sheetName val="D_点金手计算表"/>
      <sheetName val="D_钻石商场"/>
      <sheetName val="D_装备兑换商店"/>
      <sheetName val="商城备份"/>
    </sheetNames>
    <sheetDataSet>
      <sheetData sheetId="0" refreshError="1"/>
      <sheetData sheetId="1">
        <row r="37">
          <cell r="X37">
            <v>1.1518590998043055</v>
          </cell>
        </row>
      </sheetData>
      <sheetData sheetId="2">
        <row r="36">
          <cell r="U36">
            <v>1.301056938288442</v>
          </cell>
        </row>
      </sheetData>
      <sheetData sheetId="3">
        <row r="5">
          <cell r="T5">
            <v>2.1707670043415339</v>
          </cell>
        </row>
      </sheetData>
      <sheetData sheetId="4">
        <row r="2">
          <cell r="U2">
            <v>1</v>
          </cell>
        </row>
      </sheetData>
      <sheetData sheetId="5">
        <row r="10">
          <cell r="S10">
            <v>0.12893982808022925</v>
          </cell>
        </row>
      </sheetData>
      <sheetData sheetId="6"/>
      <sheetData sheetId="7">
        <row r="35">
          <cell r="Z35">
            <v>7.5373878364905291</v>
          </cell>
        </row>
      </sheetData>
      <sheetData sheetId="8" refreshError="1"/>
      <sheetData sheetId="9" refreshError="1"/>
      <sheetData sheetId="10" refreshError="1"/>
      <sheetData sheetId="11">
        <row r="5">
          <cell r="C5">
            <v>2592</v>
          </cell>
        </row>
      </sheetData>
      <sheetData sheetId="12">
        <row r="2">
          <cell r="D2">
            <v>50</v>
          </cell>
        </row>
      </sheetData>
      <sheetData sheetId="13" refreshError="1"/>
      <sheetData sheetId="14" refreshError="1"/>
      <sheetData sheetId="15">
        <row r="2">
          <cell r="C2">
            <v>10</v>
          </cell>
        </row>
      </sheetData>
      <sheetData sheetId="16">
        <row r="5">
          <cell r="S5">
            <v>2.289017341040462</v>
          </cell>
        </row>
      </sheetData>
      <sheetData sheetId="17" refreshError="1"/>
      <sheetData sheetId="18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7"/>
  <sheetViews>
    <sheetView workbookViewId="0">
      <selection activeCell="F5" sqref="F5"/>
    </sheetView>
  </sheetViews>
  <sheetFormatPr defaultRowHeight="13.5" x14ac:dyDescent="0.15"/>
  <sheetData>
    <row r="1" spans="1:5" x14ac:dyDescent="0.15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</row>
    <row r="2" spans="1:5" x14ac:dyDescent="0.15">
      <c r="A2" s="2">
        <v>1</v>
      </c>
      <c r="B2" s="2">
        <f>公会经济估算!B2</f>
        <v>300</v>
      </c>
      <c r="C2" s="2">
        <f>公会经济估算!C2</f>
        <v>0</v>
      </c>
      <c r="D2" s="2">
        <f>公会经济估算!D2</f>
        <v>20</v>
      </c>
      <c r="E2" s="10">
        <v>1</v>
      </c>
    </row>
    <row r="3" spans="1:5" x14ac:dyDescent="0.15">
      <c r="A3" s="2">
        <v>2</v>
      </c>
      <c r="B3" s="2">
        <f>公会经济估算!B3</f>
        <v>0</v>
      </c>
      <c r="C3" s="2">
        <f>公会经济估算!C3</f>
        <v>10000</v>
      </c>
      <c r="D3" s="2">
        <f>公会经济估算!D3</f>
        <v>30</v>
      </c>
      <c r="E3" s="10">
        <v>2</v>
      </c>
    </row>
    <row r="4" spans="1:5" x14ac:dyDescent="0.15">
      <c r="A4" s="2">
        <v>3</v>
      </c>
      <c r="B4" s="2">
        <f>公会经济估算!B4</f>
        <v>0</v>
      </c>
      <c r="C4" s="2">
        <f>公会经济估算!C4</f>
        <v>50000</v>
      </c>
      <c r="D4" s="2">
        <f>公会经济估算!D4</f>
        <v>40</v>
      </c>
      <c r="E4" s="10">
        <v>2</v>
      </c>
    </row>
    <row r="5" spans="1:5" x14ac:dyDescent="0.15">
      <c r="A5" s="2">
        <v>4</v>
      </c>
      <c r="B5" s="2">
        <f>公会经济估算!B5</f>
        <v>0</v>
      </c>
      <c r="C5" s="2">
        <f>公会经济估算!C5</f>
        <v>200000</v>
      </c>
      <c r="D5" s="2">
        <f>公会经济估算!D5</f>
        <v>50</v>
      </c>
      <c r="E5" s="10">
        <v>2</v>
      </c>
    </row>
    <row r="6" spans="1:5" x14ac:dyDescent="0.15">
      <c r="A6" s="2">
        <v>5</v>
      </c>
      <c r="B6" s="2">
        <f>公会经济估算!B6</f>
        <v>0</v>
      </c>
      <c r="C6" s="2">
        <f>公会经济估算!C6</f>
        <v>1000000</v>
      </c>
      <c r="D6" s="2">
        <f>公会经济估算!D6</f>
        <v>50</v>
      </c>
      <c r="E6" s="10">
        <v>2</v>
      </c>
    </row>
    <row r="7" spans="1:5" x14ac:dyDescent="0.15">
      <c r="A7" s="2">
        <v>6</v>
      </c>
      <c r="B7" s="2">
        <f>公会经济估算!B7</f>
        <v>0</v>
      </c>
      <c r="C7" s="2">
        <f>公会经济估算!C7</f>
        <v>5000000</v>
      </c>
      <c r="D7" s="2">
        <f>公会经济估算!D7</f>
        <v>50</v>
      </c>
      <c r="E7" s="10">
        <v>2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4"/>
  <sheetViews>
    <sheetView workbookViewId="0">
      <selection activeCell="C12" sqref="C12"/>
    </sheetView>
  </sheetViews>
  <sheetFormatPr defaultRowHeight="13.5" x14ac:dyDescent="0.15"/>
  <sheetData>
    <row r="1" spans="1:14" x14ac:dyDescent="0.15">
      <c r="A1" t="s">
        <v>5</v>
      </c>
      <c r="B1" t="s">
        <v>6</v>
      </c>
      <c r="C1" t="s">
        <v>7</v>
      </c>
      <c r="D1" t="s">
        <v>8</v>
      </c>
      <c r="E1" t="s">
        <v>9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17</v>
      </c>
      <c r="N1" t="s">
        <v>18</v>
      </c>
    </row>
    <row r="2" spans="1:14" x14ac:dyDescent="0.15">
      <c r="A2">
        <v>1</v>
      </c>
      <c r="B2" t="s">
        <v>19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</row>
    <row r="3" spans="1:14" x14ac:dyDescent="0.15">
      <c r="A3">
        <v>2</v>
      </c>
      <c r="B3" t="s">
        <v>202</v>
      </c>
      <c r="C3">
        <v>1</v>
      </c>
      <c r="D3">
        <v>1</v>
      </c>
      <c r="E3">
        <v>0</v>
      </c>
      <c r="F3">
        <v>1</v>
      </c>
      <c r="G3">
        <v>1</v>
      </c>
      <c r="H3">
        <v>1</v>
      </c>
      <c r="I3">
        <v>0</v>
      </c>
      <c r="J3">
        <v>0</v>
      </c>
      <c r="K3">
        <v>1</v>
      </c>
      <c r="L3">
        <v>1</v>
      </c>
      <c r="M3">
        <v>0</v>
      </c>
      <c r="N3">
        <v>0</v>
      </c>
    </row>
    <row r="4" spans="1:14" x14ac:dyDescent="0.15">
      <c r="A4">
        <v>3</v>
      </c>
      <c r="B4" t="s">
        <v>201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  <c r="K4">
        <v>1</v>
      </c>
      <c r="L4">
        <v>1</v>
      </c>
      <c r="M4">
        <v>1</v>
      </c>
      <c r="N4">
        <v>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30"/>
  <sheetViews>
    <sheetView workbookViewId="0">
      <selection activeCell="C4" sqref="C4"/>
    </sheetView>
  </sheetViews>
  <sheetFormatPr defaultRowHeight="13.5" x14ac:dyDescent="0.15"/>
  <cols>
    <col min="2" max="2" width="18.375" bestFit="1" customWidth="1"/>
  </cols>
  <sheetData>
    <row r="1" spans="1:2" x14ac:dyDescent="0.15">
      <c r="A1" t="s">
        <v>20</v>
      </c>
      <c r="B1" t="s">
        <v>21</v>
      </c>
    </row>
    <row r="2" spans="1:2" x14ac:dyDescent="0.15">
      <c r="A2">
        <v>1</v>
      </c>
      <c r="B2" t="s">
        <v>22</v>
      </c>
    </row>
    <row r="3" spans="1:2" x14ac:dyDescent="0.15">
      <c r="A3">
        <v>2</v>
      </c>
      <c r="B3" t="s">
        <v>23</v>
      </c>
    </row>
    <row r="4" spans="1:2" x14ac:dyDescent="0.15">
      <c r="A4">
        <v>3</v>
      </c>
      <c r="B4" t="s">
        <v>24</v>
      </c>
    </row>
    <row r="5" spans="1:2" x14ac:dyDescent="0.15">
      <c r="A5">
        <v>4</v>
      </c>
      <c r="B5" t="s">
        <v>25</v>
      </c>
    </row>
    <row r="6" spans="1:2" x14ac:dyDescent="0.15">
      <c r="A6">
        <v>5</v>
      </c>
      <c r="B6" t="s">
        <v>26</v>
      </c>
    </row>
    <row r="7" spans="1:2" x14ac:dyDescent="0.15">
      <c r="A7">
        <v>6</v>
      </c>
      <c r="B7" t="s">
        <v>27</v>
      </c>
    </row>
    <row r="8" spans="1:2" x14ac:dyDescent="0.15">
      <c r="A8">
        <v>7</v>
      </c>
      <c r="B8" t="s">
        <v>28</v>
      </c>
    </row>
    <row r="9" spans="1:2" x14ac:dyDescent="0.15">
      <c r="A9">
        <v>8</v>
      </c>
      <c r="B9" t="s">
        <v>29</v>
      </c>
    </row>
    <row r="10" spans="1:2" x14ac:dyDescent="0.15">
      <c r="A10">
        <v>9</v>
      </c>
      <c r="B10" t="s">
        <v>30</v>
      </c>
    </row>
    <row r="11" spans="1:2" x14ac:dyDescent="0.15">
      <c r="A11">
        <v>10</v>
      </c>
      <c r="B11" t="s">
        <v>31</v>
      </c>
    </row>
    <row r="12" spans="1:2" x14ac:dyDescent="0.15">
      <c r="A12">
        <v>11</v>
      </c>
      <c r="B12" t="s">
        <v>32</v>
      </c>
    </row>
    <row r="13" spans="1:2" x14ac:dyDescent="0.15">
      <c r="A13">
        <v>12</v>
      </c>
      <c r="B13" t="s">
        <v>33</v>
      </c>
    </row>
    <row r="14" spans="1:2" x14ac:dyDescent="0.15">
      <c r="A14">
        <v>13</v>
      </c>
      <c r="B14" t="s">
        <v>34</v>
      </c>
    </row>
    <row r="15" spans="1:2" x14ac:dyDescent="0.15">
      <c r="A15">
        <v>14</v>
      </c>
      <c r="B15" t="s">
        <v>35</v>
      </c>
    </row>
    <row r="16" spans="1:2" x14ac:dyDescent="0.15">
      <c r="A16">
        <v>15</v>
      </c>
      <c r="B16" t="s">
        <v>36</v>
      </c>
    </row>
    <row r="17" spans="1:2" x14ac:dyDescent="0.15">
      <c r="A17">
        <v>16</v>
      </c>
      <c r="B17" t="s">
        <v>37</v>
      </c>
    </row>
    <row r="18" spans="1:2" x14ac:dyDescent="0.15">
      <c r="A18">
        <v>17</v>
      </c>
      <c r="B18" t="s">
        <v>38</v>
      </c>
    </row>
    <row r="19" spans="1:2" x14ac:dyDescent="0.15">
      <c r="A19">
        <v>18</v>
      </c>
      <c r="B19" t="s">
        <v>39</v>
      </c>
    </row>
    <row r="20" spans="1:2" x14ac:dyDescent="0.15">
      <c r="A20">
        <v>19</v>
      </c>
      <c r="B20" t="s">
        <v>40</v>
      </c>
    </row>
    <row r="21" spans="1:2" x14ac:dyDescent="0.15">
      <c r="A21">
        <v>20</v>
      </c>
      <c r="B21" t="s">
        <v>41</v>
      </c>
    </row>
    <row r="22" spans="1:2" x14ac:dyDescent="0.15">
      <c r="A22">
        <v>21</v>
      </c>
      <c r="B22" t="s">
        <v>42</v>
      </c>
    </row>
    <row r="23" spans="1:2" x14ac:dyDescent="0.15">
      <c r="A23">
        <v>22</v>
      </c>
      <c r="B23" t="s">
        <v>43</v>
      </c>
    </row>
    <row r="24" spans="1:2" x14ac:dyDescent="0.15">
      <c r="A24">
        <v>23</v>
      </c>
      <c r="B24" t="s">
        <v>44</v>
      </c>
    </row>
    <row r="25" spans="1:2" x14ac:dyDescent="0.15">
      <c r="A25">
        <v>24</v>
      </c>
      <c r="B25" t="s">
        <v>45</v>
      </c>
    </row>
    <row r="26" spans="1:2" x14ac:dyDescent="0.15">
      <c r="A26">
        <v>25</v>
      </c>
      <c r="B26" t="s">
        <v>46</v>
      </c>
    </row>
    <row r="27" spans="1:2" x14ac:dyDescent="0.15">
      <c r="A27">
        <v>26</v>
      </c>
      <c r="B27" t="s">
        <v>47</v>
      </c>
    </row>
    <row r="28" spans="1:2" x14ac:dyDescent="0.15">
      <c r="A28">
        <v>27</v>
      </c>
      <c r="B28" t="s">
        <v>48</v>
      </c>
    </row>
    <row r="29" spans="1:2" x14ac:dyDescent="0.15">
      <c r="A29">
        <v>28</v>
      </c>
      <c r="B29" t="s">
        <v>49</v>
      </c>
    </row>
    <row r="30" spans="1:2" x14ac:dyDescent="0.15">
      <c r="A30">
        <v>29</v>
      </c>
      <c r="B30" t="s">
        <v>50</v>
      </c>
    </row>
    <row r="31" spans="1:2" x14ac:dyDescent="0.15">
      <c r="A31">
        <v>30</v>
      </c>
      <c r="B31" t="s">
        <v>51</v>
      </c>
    </row>
    <row r="32" spans="1:2" x14ac:dyDescent="0.15">
      <c r="A32">
        <v>31</v>
      </c>
      <c r="B32" t="s">
        <v>52</v>
      </c>
    </row>
    <row r="33" spans="1:2" x14ac:dyDescent="0.15">
      <c r="A33">
        <v>32</v>
      </c>
      <c r="B33" t="s">
        <v>53</v>
      </c>
    </row>
    <row r="34" spans="1:2" x14ac:dyDescent="0.15">
      <c r="A34">
        <v>33</v>
      </c>
      <c r="B34" t="s">
        <v>54</v>
      </c>
    </row>
    <row r="35" spans="1:2" x14ac:dyDescent="0.15">
      <c r="A35">
        <v>34</v>
      </c>
      <c r="B35" t="s">
        <v>55</v>
      </c>
    </row>
    <row r="36" spans="1:2" x14ac:dyDescent="0.15">
      <c r="A36">
        <v>35</v>
      </c>
      <c r="B36" t="s">
        <v>56</v>
      </c>
    </row>
    <row r="37" spans="1:2" x14ac:dyDescent="0.15">
      <c r="A37">
        <v>36</v>
      </c>
      <c r="B37" t="s">
        <v>57</v>
      </c>
    </row>
    <row r="38" spans="1:2" x14ac:dyDescent="0.15">
      <c r="A38">
        <v>37</v>
      </c>
      <c r="B38" t="s">
        <v>58</v>
      </c>
    </row>
    <row r="39" spans="1:2" x14ac:dyDescent="0.15">
      <c r="A39">
        <v>38</v>
      </c>
      <c r="B39" t="s">
        <v>59</v>
      </c>
    </row>
    <row r="40" spans="1:2" x14ac:dyDescent="0.15">
      <c r="A40">
        <v>39</v>
      </c>
      <c r="B40" t="s">
        <v>60</v>
      </c>
    </row>
    <row r="41" spans="1:2" x14ac:dyDescent="0.15">
      <c r="A41">
        <v>40</v>
      </c>
      <c r="B41" t="s">
        <v>61</v>
      </c>
    </row>
    <row r="42" spans="1:2" x14ac:dyDescent="0.15">
      <c r="A42">
        <v>41</v>
      </c>
      <c r="B42" t="s">
        <v>62</v>
      </c>
    </row>
    <row r="43" spans="1:2" x14ac:dyDescent="0.15">
      <c r="A43">
        <v>42</v>
      </c>
      <c r="B43" t="s">
        <v>63</v>
      </c>
    </row>
    <row r="44" spans="1:2" x14ac:dyDescent="0.15">
      <c r="A44">
        <v>43</v>
      </c>
      <c r="B44" t="s">
        <v>64</v>
      </c>
    </row>
    <row r="45" spans="1:2" x14ac:dyDescent="0.15">
      <c r="A45">
        <v>44</v>
      </c>
      <c r="B45" t="s">
        <v>65</v>
      </c>
    </row>
    <row r="46" spans="1:2" x14ac:dyDescent="0.15">
      <c r="A46">
        <v>45</v>
      </c>
      <c r="B46" t="s">
        <v>66</v>
      </c>
    </row>
    <row r="47" spans="1:2" x14ac:dyDescent="0.15">
      <c r="A47">
        <v>46</v>
      </c>
      <c r="B47" t="s">
        <v>67</v>
      </c>
    </row>
    <row r="48" spans="1:2" x14ac:dyDescent="0.15">
      <c r="A48">
        <v>47</v>
      </c>
      <c r="B48" t="s">
        <v>68</v>
      </c>
    </row>
    <row r="49" spans="1:2" x14ac:dyDescent="0.15">
      <c r="A49">
        <v>48</v>
      </c>
      <c r="B49" t="s">
        <v>69</v>
      </c>
    </row>
    <row r="50" spans="1:2" x14ac:dyDescent="0.15">
      <c r="A50">
        <v>49</v>
      </c>
      <c r="B50" t="s">
        <v>70</v>
      </c>
    </row>
    <row r="51" spans="1:2" x14ac:dyDescent="0.15">
      <c r="A51">
        <v>50</v>
      </c>
      <c r="B51" t="s">
        <v>71</v>
      </c>
    </row>
    <row r="52" spans="1:2" x14ac:dyDescent="0.15">
      <c r="A52">
        <v>51</v>
      </c>
      <c r="B52" t="s">
        <v>72</v>
      </c>
    </row>
    <row r="53" spans="1:2" x14ac:dyDescent="0.15">
      <c r="A53">
        <v>52</v>
      </c>
      <c r="B53" t="s">
        <v>73</v>
      </c>
    </row>
    <row r="54" spans="1:2" x14ac:dyDescent="0.15">
      <c r="A54">
        <v>53</v>
      </c>
      <c r="B54" t="s">
        <v>74</v>
      </c>
    </row>
    <row r="55" spans="1:2" x14ac:dyDescent="0.15">
      <c r="A55">
        <v>54</v>
      </c>
      <c r="B55" t="s">
        <v>75</v>
      </c>
    </row>
    <row r="56" spans="1:2" x14ac:dyDescent="0.15">
      <c r="A56">
        <v>55</v>
      </c>
      <c r="B56" t="s">
        <v>76</v>
      </c>
    </row>
    <row r="57" spans="1:2" x14ac:dyDescent="0.15">
      <c r="A57">
        <v>56</v>
      </c>
      <c r="B57" t="s">
        <v>77</v>
      </c>
    </row>
    <row r="58" spans="1:2" x14ac:dyDescent="0.15">
      <c r="A58">
        <v>57</v>
      </c>
      <c r="B58" t="s">
        <v>78</v>
      </c>
    </row>
    <row r="59" spans="1:2" x14ac:dyDescent="0.15">
      <c r="A59">
        <v>58</v>
      </c>
      <c r="B59" t="s">
        <v>79</v>
      </c>
    </row>
    <row r="60" spans="1:2" x14ac:dyDescent="0.15">
      <c r="A60">
        <v>59</v>
      </c>
      <c r="B60" t="s">
        <v>80</v>
      </c>
    </row>
    <row r="61" spans="1:2" x14ac:dyDescent="0.15">
      <c r="A61">
        <v>60</v>
      </c>
      <c r="B61" t="s">
        <v>81</v>
      </c>
    </row>
    <row r="62" spans="1:2" x14ac:dyDescent="0.15">
      <c r="A62">
        <v>61</v>
      </c>
      <c r="B62" t="s">
        <v>82</v>
      </c>
    </row>
    <row r="63" spans="1:2" x14ac:dyDescent="0.15">
      <c r="A63">
        <v>62</v>
      </c>
      <c r="B63" t="s">
        <v>83</v>
      </c>
    </row>
    <row r="64" spans="1:2" x14ac:dyDescent="0.15">
      <c r="A64">
        <v>63</v>
      </c>
      <c r="B64" t="s">
        <v>84</v>
      </c>
    </row>
    <row r="65" spans="1:2" x14ac:dyDescent="0.15">
      <c r="A65">
        <v>64</v>
      </c>
      <c r="B65" t="s">
        <v>85</v>
      </c>
    </row>
    <row r="66" spans="1:2" x14ac:dyDescent="0.15">
      <c r="A66">
        <v>65</v>
      </c>
      <c r="B66" t="s">
        <v>86</v>
      </c>
    </row>
    <row r="67" spans="1:2" x14ac:dyDescent="0.15">
      <c r="A67">
        <v>66</v>
      </c>
      <c r="B67" t="s">
        <v>87</v>
      </c>
    </row>
    <row r="68" spans="1:2" x14ac:dyDescent="0.15">
      <c r="A68">
        <v>67</v>
      </c>
      <c r="B68" t="s">
        <v>88</v>
      </c>
    </row>
    <row r="69" spans="1:2" x14ac:dyDescent="0.15">
      <c r="A69">
        <v>68</v>
      </c>
      <c r="B69" t="s">
        <v>89</v>
      </c>
    </row>
    <row r="70" spans="1:2" x14ac:dyDescent="0.15">
      <c r="A70">
        <v>69</v>
      </c>
      <c r="B70" t="s">
        <v>90</v>
      </c>
    </row>
    <row r="71" spans="1:2" x14ac:dyDescent="0.15">
      <c r="A71">
        <v>70</v>
      </c>
      <c r="B71" t="s">
        <v>91</v>
      </c>
    </row>
    <row r="72" spans="1:2" x14ac:dyDescent="0.15">
      <c r="A72">
        <v>71</v>
      </c>
      <c r="B72" t="s">
        <v>92</v>
      </c>
    </row>
    <row r="73" spans="1:2" x14ac:dyDescent="0.15">
      <c r="A73">
        <v>72</v>
      </c>
      <c r="B73" t="s">
        <v>93</v>
      </c>
    </row>
    <row r="74" spans="1:2" x14ac:dyDescent="0.15">
      <c r="A74">
        <v>73</v>
      </c>
      <c r="B74" t="s">
        <v>94</v>
      </c>
    </row>
    <row r="75" spans="1:2" x14ac:dyDescent="0.15">
      <c r="A75">
        <v>74</v>
      </c>
      <c r="B75" t="s">
        <v>95</v>
      </c>
    </row>
    <row r="76" spans="1:2" x14ac:dyDescent="0.15">
      <c r="A76">
        <v>75</v>
      </c>
      <c r="B76" t="s">
        <v>96</v>
      </c>
    </row>
    <row r="77" spans="1:2" x14ac:dyDescent="0.15">
      <c r="A77">
        <v>76</v>
      </c>
      <c r="B77" t="s">
        <v>97</v>
      </c>
    </row>
    <row r="78" spans="1:2" x14ac:dyDescent="0.15">
      <c r="A78">
        <v>77</v>
      </c>
      <c r="B78" t="s">
        <v>98</v>
      </c>
    </row>
    <row r="79" spans="1:2" x14ac:dyDescent="0.15">
      <c r="A79">
        <v>78</v>
      </c>
      <c r="B79" t="s">
        <v>99</v>
      </c>
    </row>
    <row r="80" spans="1:2" x14ac:dyDescent="0.15">
      <c r="A80">
        <v>79</v>
      </c>
      <c r="B80" t="s">
        <v>100</v>
      </c>
    </row>
    <row r="81" spans="1:2" x14ac:dyDescent="0.15">
      <c r="A81">
        <v>80</v>
      </c>
      <c r="B81" t="s">
        <v>101</v>
      </c>
    </row>
    <row r="82" spans="1:2" x14ac:dyDescent="0.15">
      <c r="A82">
        <v>81</v>
      </c>
      <c r="B82" t="s">
        <v>102</v>
      </c>
    </row>
    <row r="83" spans="1:2" x14ac:dyDescent="0.15">
      <c r="A83">
        <v>82</v>
      </c>
      <c r="B83" t="s">
        <v>103</v>
      </c>
    </row>
    <row r="84" spans="1:2" x14ac:dyDescent="0.15">
      <c r="A84">
        <v>83</v>
      </c>
      <c r="B84" t="s">
        <v>104</v>
      </c>
    </row>
    <row r="85" spans="1:2" x14ac:dyDescent="0.15">
      <c r="A85">
        <v>84</v>
      </c>
      <c r="B85" t="s">
        <v>105</v>
      </c>
    </row>
    <row r="86" spans="1:2" x14ac:dyDescent="0.15">
      <c r="A86">
        <v>85</v>
      </c>
      <c r="B86" t="s">
        <v>106</v>
      </c>
    </row>
    <row r="87" spans="1:2" x14ac:dyDescent="0.15">
      <c r="A87">
        <v>86</v>
      </c>
      <c r="B87" t="s">
        <v>107</v>
      </c>
    </row>
    <row r="88" spans="1:2" x14ac:dyDescent="0.15">
      <c r="A88">
        <v>87</v>
      </c>
      <c r="B88" t="s">
        <v>108</v>
      </c>
    </row>
    <row r="89" spans="1:2" x14ac:dyDescent="0.15">
      <c r="A89">
        <v>88</v>
      </c>
      <c r="B89" t="s">
        <v>109</v>
      </c>
    </row>
    <row r="90" spans="1:2" x14ac:dyDescent="0.15">
      <c r="A90">
        <v>89</v>
      </c>
      <c r="B90" t="s">
        <v>110</v>
      </c>
    </row>
    <row r="91" spans="1:2" x14ac:dyDescent="0.15">
      <c r="A91">
        <v>90</v>
      </c>
      <c r="B91" t="s">
        <v>111</v>
      </c>
    </row>
    <row r="92" spans="1:2" x14ac:dyDescent="0.15">
      <c r="A92">
        <v>91</v>
      </c>
      <c r="B92" t="s">
        <v>112</v>
      </c>
    </row>
    <row r="93" spans="1:2" x14ac:dyDescent="0.15">
      <c r="A93">
        <v>92</v>
      </c>
      <c r="B93" t="s">
        <v>113</v>
      </c>
    </row>
    <row r="94" spans="1:2" x14ac:dyDescent="0.15">
      <c r="A94">
        <v>93</v>
      </c>
      <c r="B94" t="s">
        <v>114</v>
      </c>
    </row>
    <row r="95" spans="1:2" x14ac:dyDescent="0.15">
      <c r="A95">
        <v>94</v>
      </c>
      <c r="B95" t="s">
        <v>115</v>
      </c>
    </row>
    <row r="96" spans="1:2" x14ac:dyDescent="0.15">
      <c r="A96">
        <v>95</v>
      </c>
      <c r="B96" t="s">
        <v>116</v>
      </c>
    </row>
    <row r="97" spans="1:2" x14ac:dyDescent="0.15">
      <c r="A97">
        <v>96</v>
      </c>
      <c r="B97" t="s">
        <v>117</v>
      </c>
    </row>
    <row r="98" spans="1:2" x14ac:dyDescent="0.15">
      <c r="A98">
        <v>97</v>
      </c>
      <c r="B98" t="s">
        <v>118</v>
      </c>
    </row>
    <row r="99" spans="1:2" x14ac:dyDescent="0.15">
      <c r="A99">
        <v>98</v>
      </c>
      <c r="B99" t="s">
        <v>119</v>
      </c>
    </row>
    <row r="100" spans="1:2" x14ac:dyDescent="0.15">
      <c r="A100">
        <v>99</v>
      </c>
      <c r="B100" t="s">
        <v>120</v>
      </c>
    </row>
    <row r="101" spans="1:2" x14ac:dyDescent="0.15">
      <c r="A101">
        <v>100</v>
      </c>
      <c r="B101" t="s">
        <v>121</v>
      </c>
    </row>
    <row r="102" spans="1:2" x14ac:dyDescent="0.15">
      <c r="A102">
        <v>101</v>
      </c>
      <c r="B102" t="s">
        <v>122</v>
      </c>
    </row>
    <row r="103" spans="1:2" x14ac:dyDescent="0.15">
      <c r="A103">
        <v>102</v>
      </c>
      <c r="B103" t="s">
        <v>123</v>
      </c>
    </row>
    <row r="104" spans="1:2" x14ac:dyDescent="0.15">
      <c r="A104">
        <v>103</v>
      </c>
      <c r="B104" t="s">
        <v>124</v>
      </c>
    </row>
    <row r="105" spans="1:2" x14ac:dyDescent="0.15">
      <c r="A105">
        <v>104</v>
      </c>
      <c r="B105" t="s">
        <v>125</v>
      </c>
    </row>
    <row r="106" spans="1:2" x14ac:dyDescent="0.15">
      <c r="A106">
        <v>105</v>
      </c>
      <c r="B106" t="s">
        <v>126</v>
      </c>
    </row>
    <row r="107" spans="1:2" x14ac:dyDescent="0.15">
      <c r="A107">
        <v>106</v>
      </c>
      <c r="B107" t="s">
        <v>127</v>
      </c>
    </row>
    <row r="108" spans="1:2" x14ac:dyDescent="0.15">
      <c r="A108">
        <v>107</v>
      </c>
      <c r="B108" t="s">
        <v>128</v>
      </c>
    </row>
    <row r="109" spans="1:2" x14ac:dyDescent="0.15">
      <c r="A109">
        <v>108</v>
      </c>
      <c r="B109" t="s">
        <v>129</v>
      </c>
    </row>
    <row r="110" spans="1:2" x14ac:dyDescent="0.15">
      <c r="A110">
        <v>109</v>
      </c>
      <c r="B110" t="s">
        <v>130</v>
      </c>
    </row>
    <row r="111" spans="1:2" x14ac:dyDescent="0.15">
      <c r="A111">
        <v>110</v>
      </c>
      <c r="B111" t="s">
        <v>131</v>
      </c>
    </row>
    <row r="112" spans="1:2" x14ac:dyDescent="0.15">
      <c r="A112">
        <v>111</v>
      </c>
      <c r="B112" t="s">
        <v>132</v>
      </c>
    </row>
    <row r="113" spans="1:2" x14ac:dyDescent="0.15">
      <c r="A113">
        <v>112</v>
      </c>
      <c r="B113" t="s">
        <v>133</v>
      </c>
    </row>
    <row r="114" spans="1:2" x14ac:dyDescent="0.15">
      <c r="A114">
        <v>113</v>
      </c>
      <c r="B114" t="s">
        <v>134</v>
      </c>
    </row>
    <row r="115" spans="1:2" x14ac:dyDescent="0.15">
      <c r="A115">
        <v>114</v>
      </c>
      <c r="B115" t="s">
        <v>135</v>
      </c>
    </row>
    <row r="116" spans="1:2" x14ac:dyDescent="0.15">
      <c r="A116">
        <v>115</v>
      </c>
      <c r="B116" t="s">
        <v>136</v>
      </c>
    </row>
    <row r="117" spans="1:2" x14ac:dyDescent="0.15">
      <c r="A117">
        <v>116</v>
      </c>
      <c r="B117" t="s">
        <v>137</v>
      </c>
    </row>
    <row r="118" spans="1:2" x14ac:dyDescent="0.15">
      <c r="A118">
        <v>117</v>
      </c>
      <c r="B118" t="s">
        <v>138</v>
      </c>
    </row>
    <row r="119" spans="1:2" x14ac:dyDescent="0.15">
      <c r="A119">
        <v>118</v>
      </c>
      <c r="B119" t="s">
        <v>139</v>
      </c>
    </row>
    <row r="120" spans="1:2" x14ac:dyDescent="0.15">
      <c r="A120">
        <v>119</v>
      </c>
      <c r="B120" t="s">
        <v>140</v>
      </c>
    </row>
    <row r="121" spans="1:2" x14ac:dyDescent="0.15">
      <c r="A121">
        <v>120</v>
      </c>
      <c r="B121" t="s">
        <v>141</v>
      </c>
    </row>
    <row r="122" spans="1:2" x14ac:dyDescent="0.15">
      <c r="A122">
        <v>121</v>
      </c>
      <c r="B122" t="s">
        <v>142</v>
      </c>
    </row>
    <row r="123" spans="1:2" x14ac:dyDescent="0.15">
      <c r="A123">
        <v>122</v>
      </c>
      <c r="B123" t="s">
        <v>143</v>
      </c>
    </row>
    <row r="124" spans="1:2" x14ac:dyDescent="0.15">
      <c r="A124">
        <v>123</v>
      </c>
      <c r="B124" t="s">
        <v>144</v>
      </c>
    </row>
    <row r="125" spans="1:2" x14ac:dyDescent="0.15">
      <c r="A125">
        <v>124</v>
      </c>
      <c r="B125" t="s">
        <v>145</v>
      </c>
    </row>
    <row r="126" spans="1:2" x14ac:dyDescent="0.15">
      <c r="A126">
        <v>125</v>
      </c>
      <c r="B126" t="s">
        <v>146</v>
      </c>
    </row>
    <row r="127" spans="1:2" x14ac:dyDescent="0.15">
      <c r="A127">
        <v>126</v>
      </c>
      <c r="B127" t="s">
        <v>147</v>
      </c>
    </row>
    <row r="128" spans="1:2" x14ac:dyDescent="0.15">
      <c r="A128">
        <v>127</v>
      </c>
      <c r="B128" t="s">
        <v>148</v>
      </c>
    </row>
    <row r="129" spans="1:2" x14ac:dyDescent="0.15">
      <c r="A129">
        <v>128</v>
      </c>
      <c r="B129" t="s">
        <v>149</v>
      </c>
    </row>
    <row r="130" spans="1:2" x14ac:dyDescent="0.15">
      <c r="A130">
        <v>129</v>
      </c>
      <c r="B130" t="s">
        <v>150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7"/>
  <sheetViews>
    <sheetView workbookViewId="0">
      <selection activeCell="D10" sqref="D10"/>
    </sheetView>
  </sheetViews>
  <sheetFormatPr defaultRowHeight="13.5" x14ac:dyDescent="0.15"/>
  <cols>
    <col min="3" max="5" width="13" bestFit="1" customWidth="1"/>
    <col min="6" max="6" width="23.5" bestFit="1" customWidth="1"/>
  </cols>
  <sheetData>
    <row r="1" spans="1:6" x14ac:dyDescent="0.15">
      <c r="A1" s="2" t="s">
        <v>151</v>
      </c>
      <c r="B1" s="2" t="s">
        <v>152</v>
      </c>
      <c r="C1" s="2" t="s">
        <v>153</v>
      </c>
      <c r="D1" s="2" t="s">
        <v>154</v>
      </c>
      <c r="E1" s="2" t="s">
        <v>155</v>
      </c>
      <c r="F1" s="8"/>
    </row>
    <row r="2" spans="1:6" x14ac:dyDescent="0.15">
      <c r="A2" s="2">
        <v>1</v>
      </c>
      <c r="B2" s="2">
        <f>公会经济估算!E2</f>
        <v>1</v>
      </c>
      <c r="C2" s="2">
        <v>2</v>
      </c>
      <c r="D2" s="2">
        <f>公会经济估算!G2</f>
        <v>2</v>
      </c>
      <c r="E2" s="2">
        <f>公会经济估算!H2</f>
        <v>1000</v>
      </c>
      <c r="F2" s="9"/>
    </row>
    <row r="3" spans="1:6" x14ac:dyDescent="0.15">
      <c r="A3" s="2">
        <v>2</v>
      </c>
      <c r="B3" s="2">
        <f>公会经济估算!E3</f>
        <v>2</v>
      </c>
      <c r="C3" s="2">
        <f>公会经济估算!F3</f>
        <v>4</v>
      </c>
      <c r="D3" s="2">
        <f>公会经济估算!G3</f>
        <v>4</v>
      </c>
      <c r="E3" s="2">
        <f>公会经济估算!H3</f>
        <v>5000</v>
      </c>
      <c r="F3" s="8"/>
    </row>
    <row r="4" spans="1:6" x14ac:dyDescent="0.15">
      <c r="A4" s="2">
        <v>3</v>
      </c>
      <c r="B4" s="2">
        <f>公会经济估算!E4</f>
        <v>3</v>
      </c>
      <c r="C4" s="2">
        <f>公会经济估算!F4</f>
        <v>6</v>
      </c>
      <c r="D4" s="2">
        <f>公会经济估算!G4</f>
        <v>6</v>
      </c>
      <c r="E4" s="2">
        <f>公会经济估算!H4</f>
        <v>20000</v>
      </c>
      <c r="F4" s="9"/>
    </row>
    <row r="5" spans="1:6" x14ac:dyDescent="0.15">
      <c r="A5" s="2">
        <v>4</v>
      </c>
      <c r="B5" s="2">
        <f>公会经济估算!E5</f>
        <v>4</v>
      </c>
      <c r="C5" s="2">
        <f>公会经济估算!F5</f>
        <v>8</v>
      </c>
      <c r="D5" s="2">
        <f>公会经济估算!G5</f>
        <v>8</v>
      </c>
      <c r="E5" s="2">
        <f>公会经济估算!H5</f>
        <v>100000</v>
      </c>
      <c r="F5" s="8"/>
    </row>
    <row r="6" spans="1:6" x14ac:dyDescent="0.15">
      <c r="A6" s="2">
        <v>5</v>
      </c>
      <c r="B6" s="2">
        <f>公会经济估算!E6</f>
        <v>5</v>
      </c>
      <c r="C6" s="2">
        <f>公会经济估算!F6</f>
        <v>10</v>
      </c>
      <c r="D6" s="2">
        <f>公会经济估算!G6</f>
        <v>10</v>
      </c>
      <c r="E6" s="2">
        <f>公会经济估算!H6</f>
        <v>500000</v>
      </c>
      <c r="F6" s="9"/>
    </row>
    <row r="7" spans="1:6" x14ac:dyDescent="0.15">
      <c r="A7" s="8">
        <v>6</v>
      </c>
      <c r="B7">
        <v>5</v>
      </c>
      <c r="C7">
        <v>10</v>
      </c>
      <c r="D7">
        <v>10</v>
      </c>
      <c r="E7">
        <v>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X101"/>
  <sheetViews>
    <sheetView workbookViewId="0">
      <selection activeCell="O15" sqref="O15"/>
    </sheetView>
  </sheetViews>
  <sheetFormatPr defaultRowHeight="13.5" x14ac:dyDescent="0.15"/>
  <cols>
    <col min="1" max="1" width="11.125" bestFit="1" customWidth="1"/>
    <col min="2" max="2" width="9" bestFit="1" customWidth="1"/>
    <col min="3" max="3" width="11.125" bestFit="1" customWidth="1"/>
    <col min="4" max="5" width="10" bestFit="1" customWidth="1"/>
    <col min="6" max="6" width="9" bestFit="1" customWidth="1"/>
    <col min="7" max="7" width="13.125" customWidth="1"/>
    <col min="10" max="10" width="10" bestFit="1" customWidth="1"/>
  </cols>
  <sheetData>
    <row r="1" spans="1:24" x14ac:dyDescent="0.15">
      <c r="A1" t="s">
        <v>170</v>
      </c>
      <c r="B1" t="s">
        <v>171</v>
      </c>
      <c r="C1" t="s">
        <v>172</v>
      </c>
      <c r="D1" t="s">
        <v>173</v>
      </c>
      <c r="E1" t="s">
        <v>174</v>
      </c>
      <c r="F1" t="s">
        <v>213</v>
      </c>
      <c r="H1" t="s">
        <v>209</v>
      </c>
    </row>
    <row r="2" spans="1:24" x14ac:dyDescent="0.15">
      <c r="A2">
        <v>1</v>
      </c>
      <c r="B2">
        <v>1</v>
      </c>
      <c r="C2">
        <f>A2</f>
        <v>1</v>
      </c>
      <c r="D2">
        <v>1</v>
      </c>
      <c r="E2">
        <f>ROUND(VLOOKUP(B2*8,[1]!总属性参考数组,D2+1,0)*0.014,0)</f>
        <v>859</v>
      </c>
      <c r="F2">
        <v>500</v>
      </c>
      <c r="H2">
        <f>INT(HLOOKUP(D2,$L$2:$X$4,3,0)*E2)</f>
        <v>34</v>
      </c>
      <c r="J2" t="str">
        <f>VLOOKUP(C2,D_工坊技能描述表!$A$2:$B$11,2,0)</f>
        <v>生命提升</v>
      </c>
      <c r="L2">
        <v>1</v>
      </c>
      <c r="M2">
        <v>2</v>
      </c>
      <c r="N2">
        <v>3</v>
      </c>
      <c r="O2">
        <v>7</v>
      </c>
      <c r="P2">
        <v>6</v>
      </c>
      <c r="Q2">
        <v>8</v>
      </c>
      <c r="R2">
        <v>10</v>
      </c>
      <c r="S2">
        <v>9</v>
      </c>
      <c r="T2">
        <v>25</v>
      </c>
      <c r="U2">
        <v>24</v>
      </c>
      <c r="V2">
        <v>21</v>
      </c>
      <c r="W2">
        <v>22</v>
      </c>
      <c r="X2">
        <v>23</v>
      </c>
    </row>
    <row r="3" spans="1:24" x14ac:dyDescent="0.15">
      <c r="A3">
        <v>1</v>
      </c>
      <c r="B3">
        <v>2</v>
      </c>
      <c r="C3">
        <f t="shared" ref="C3:C66" si="0">A3</f>
        <v>1</v>
      </c>
      <c r="D3">
        <v>1</v>
      </c>
      <c r="E3">
        <f>ROUND(VLOOKUP(B3*8,[1]!总属性参考数组,D3+1,0)*0.014,0)</f>
        <v>1691</v>
      </c>
      <c r="F3">
        <v>1000</v>
      </c>
      <c r="H3">
        <f t="shared" ref="H3:H11" si="1">INT(HLOOKUP(D3,$L$2:$X$4,3,0)*E3)</f>
        <v>67</v>
      </c>
      <c r="J3" t="str">
        <f>VLOOKUP(C3,D_工坊技能描述表!$A$2:$B$11,2,0)</f>
        <v>生命提升</v>
      </c>
      <c r="L3" t="str">
        <f>[1]各种公式!C12</f>
        <v>生命</v>
      </c>
      <c r="M3" t="str">
        <f>[1]各种公式!D12</f>
        <v>攻击</v>
      </c>
      <c r="N3" t="str">
        <f>[1]各种公式!E12</f>
        <v>防御</v>
      </c>
      <c r="O3" t="str">
        <f>[1]各种公式!F12</f>
        <v>闪避值</v>
      </c>
      <c r="P3" t="str">
        <f>[1]各种公式!G12</f>
        <v>命中值</v>
      </c>
      <c r="Q3" t="str">
        <f>[1]各种公式!H12</f>
        <v>暴击值</v>
      </c>
      <c r="R3" t="str">
        <f>[1]各种公式!I12</f>
        <v>暴击倍数</v>
      </c>
      <c r="S3" t="str">
        <f>[1]各种公式!J12</f>
        <v>韧性值</v>
      </c>
      <c r="T3" t="str">
        <f>[1]各种公式!K12</f>
        <v>伤害减免</v>
      </c>
      <c r="U3" t="str">
        <f>[1]各种公式!L12</f>
        <v>伤害加深</v>
      </c>
      <c r="V3" t="str">
        <f>[1]各种公式!M12</f>
        <v>生命加成</v>
      </c>
      <c r="W3" t="str">
        <f>[1]各种公式!N12</f>
        <v>攻击加成</v>
      </c>
      <c r="X3" t="str">
        <f>[1]各种公式!O12</f>
        <v>防御加成</v>
      </c>
    </row>
    <row r="4" spans="1:24" x14ac:dyDescent="0.15">
      <c r="A4">
        <v>1</v>
      </c>
      <c r="B4">
        <v>3</v>
      </c>
      <c r="C4">
        <f t="shared" si="0"/>
        <v>1</v>
      </c>
      <c r="D4">
        <v>1</v>
      </c>
      <c r="E4">
        <f>ROUND(VLOOKUP(B4*8,[1]!总属性参考数组,D4+1,0)*0.014,0)</f>
        <v>2787</v>
      </c>
      <c r="F4">
        <v>2000</v>
      </c>
      <c r="H4">
        <f t="shared" si="1"/>
        <v>111</v>
      </c>
      <c r="J4" t="str">
        <f>VLOOKUP(C4,D_工坊技能描述表!$A$2:$B$11,2,0)</f>
        <v>生命提升</v>
      </c>
      <c r="L4">
        <f>[1]各种公式!C13</f>
        <v>0.04</v>
      </c>
      <c r="M4">
        <f>[1]各种公式!D13</f>
        <v>1</v>
      </c>
      <c r="N4">
        <f>[1]各种公式!E13</f>
        <v>1</v>
      </c>
      <c r="O4">
        <f>[1]各种公式!F13</f>
        <v>0.34</v>
      </c>
      <c r="P4">
        <f>[1]各种公式!G13</f>
        <v>0.34</v>
      </c>
      <c r="Q4">
        <f>[1]各种公式!H13</f>
        <v>0.18</v>
      </c>
      <c r="R4">
        <f>[1]各种公式!I13</f>
        <v>0.12</v>
      </c>
      <c r="S4">
        <f>[1]各种公式!J13</f>
        <v>0.18</v>
      </c>
      <c r="T4">
        <f>[1]各种公式!K13</f>
        <v>0.3</v>
      </c>
      <c r="U4">
        <f>[1]各种公式!L13</f>
        <v>0.3</v>
      </c>
      <c r="V4">
        <f>[1]各种公式!M13</f>
        <v>0.4</v>
      </c>
      <c r="W4">
        <f>[1]各种公式!N13</f>
        <v>0.36</v>
      </c>
      <c r="X4">
        <f>[1]各种公式!O13</f>
        <v>0.24</v>
      </c>
    </row>
    <row r="5" spans="1:24" x14ac:dyDescent="0.15">
      <c r="A5">
        <v>1</v>
      </c>
      <c r="B5">
        <v>4</v>
      </c>
      <c r="C5">
        <f t="shared" si="0"/>
        <v>1</v>
      </c>
      <c r="D5">
        <v>1</v>
      </c>
      <c r="E5">
        <f>ROUND(VLOOKUP(B5*8,[1]!总属性参考数组,D5+1,0)*0.014,0)</f>
        <v>4269</v>
      </c>
      <c r="F5">
        <v>4000</v>
      </c>
      <c r="H5">
        <f t="shared" si="1"/>
        <v>170</v>
      </c>
      <c r="J5" t="str">
        <f>VLOOKUP(C5,D_工坊技能描述表!$A$2:$B$11,2,0)</f>
        <v>生命提升</v>
      </c>
    </row>
    <row r="6" spans="1:24" x14ac:dyDescent="0.15">
      <c r="A6">
        <v>1</v>
      </c>
      <c r="B6">
        <v>5</v>
      </c>
      <c r="C6">
        <f t="shared" si="0"/>
        <v>1</v>
      </c>
      <c r="D6">
        <v>1</v>
      </c>
      <c r="E6">
        <f>ROUND(VLOOKUP(B6*8,[1]!总属性参考数组,D6+1,0)*0.014,0)</f>
        <v>6351</v>
      </c>
      <c r="F6">
        <v>8000</v>
      </c>
      <c r="H6">
        <f t="shared" si="1"/>
        <v>254</v>
      </c>
      <c r="J6" t="str">
        <f>VLOOKUP(C6,D_工坊技能描述表!$A$2:$B$11,2,0)</f>
        <v>生命提升</v>
      </c>
    </row>
    <row r="7" spans="1:24" x14ac:dyDescent="0.15">
      <c r="A7">
        <v>1</v>
      </c>
      <c r="B7">
        <v>6</v>
      </c>
      <c r="C7">
        <f t="shared" si="0"/>
        <v>1</v>
      </c>
      <c r="D7">
        <v>1</v>
      </c>
      <c r="E7">
        <f>ROUND(VLOOKUP(B7*8,[1]!总属性参考数组,D7+1,0)*0.014,0)</f>
        <v>9193</v>
      </c>
      <c r="F7">
        <v>16000</v>
      </c>
      <c r="H7">
        <f t="shared" si="1"/>
        <v>367</v>
      </c>
      <c r="J7" t="str">
        <f>VLOOKUP(C7,D_工坊技能描述表!$A$2:$B$11,2,0)</f>
        <v>生命提升</v>
      </c>
    </row>
    <row r="8" spans="1:24" x14ac:dyDescent="0.15">
      <c r="A8">
        <v>1</v>
      </c>
      <c r="B8">
        <v>7</v>
      </c>
      <c r="C8">
        <f t="shared" si="0"/>
        <v>1</v>
      </c>
      <c r="D8">
        <v>1</v>
      </c>
      <c r="E8">
        <f>ROUND(VLOOKUP(B8*8,[1]!总属性参考数组,D8+1,0)*0.014,0)</f>
        <v>12886</v>
      </c>
      <c r="F8">
        <v>32000</v>
      </c>
      <c r="H8">
        <f t="shared" si="1"/>
        <v>515</v>
      </c>
      <c r="J8" t="str">
        <f>VLOOKUP(C8,D_工坊技能描述表!$A$2:$B$11,2,0)</f>
        <v>生命提升</v>
      </c>
    </row>
    <row r="9" spans="1:24" x14ac:dyDescent="0.15">
      <c r="A9">
        <v>1</v>
      </c>
      <c r="B9">
        <v>8</v>
      </c>
      <c r="C9">
        <f t="shared" si="0"/>
        <v>1</v>
      </c>
      <c r="D9">
        <v>1</v>
      </c>
      <c r="E9">
        <f>ROUND(VLOOKUP(B9*8,[1]!总属性参考数组,D9+1,0)*0.014,0)</f>
        <v>17415</v>
      </c>
      <c r="F9">
        <v>64000</v>
      </c>
      <c r="H9">
        <f t="shared" si="1"/>
        <v>696</v>
      </c>
      <c r="J9" t="str">
        <f>VLOOKUP(C9,D_工坊技能描述表!$A$2:$B$11,2,0)</f>
        <v>生命提升</v>
      </c>
    </row>
    <row r="10" spans="1:24" x14ac:dyDescent="0.15">
      <c r="A10">
        <v>1</v>
      </c>
      <c r="B10">
        <v>9</v>
      </c>
      <c r="C10">
        <f t="shared" si="0"/>
        <v>1</v>
      </c>
      <c r="D10">
        <v>1</v>
      </c>
      <c r="E10">
        <f>ROUND(VLOOKUP(B10*8,[1]!总属性参考数组,D10+1,0)*0.014,0)</f>
        <v>22799</v>
      </c>
      <c r="F10">
        <v>128000</v>
      </c>
      <c r="H10">
        <f t="shared" si="1"/>
        <v>911</v>
      </c>
      <c r="J10" t="str">
        <f>VLOOKUP(C10,D_工坊技能描述表!$A$2:$B$11,2,0)</f>
        <v>生命提升</v>
      </c>
    </row>
    <row r="11" spans="1:24" x14ac:dyDescent="0.15">
      <c r="A11">
        <v>1</v>
      </c>
      <c r="B11">
        <v>10</v>
      </c>
      <c r="C11">
        <f t="shared" si="0"/>
        <v>1</v>
      </c>
      <c r="D11">
        <v>1</v>
      </c>
      <c r="E11">
        <f>ROUND(VLOOKUP(B11*8,[1]!总属性参考数组,D11+1,0)*0.014,0)</f>
        <v>29030</v>
      </c>
      <c r="F11">
        <v>256000</v>
      </c>
      <c r="H11">
        <f t="shared" si="1"/>
        <v>1161</v>
      </c>
      <c r="J11" t="str">
        <f>VLOOKUP(C11,D_工坊技能描述表!$A$2:$B$11,2,0)</f>
        <v>生命提升</v>
      </c>
    </row>
    <row r="12" spans="1:24" x14ac:dyDescent="0.15">
      <c r="A12">
        <f>A2+1</f>
        <v>2</v>
      </c>
      <c r="B12">
        <f>B2</f>
        <v>1</v>
      </c>
      <c r="C12">
        <f t="shared" si="0"/>
        <v>2</v>
      </c>
      <c r="D12">
        <v>2</v>
      </c>
      <c r="E12">
        <f>ROUND(VLOOKUP(B12*8,[1]!总属性参考数组,D12+1,0)*0.014,0)</f>
        <v>140</v>
      </c>
      <c r="F12">
        <f>F2</f>
        <v>500</v>
      </c>
      <c r="H12">
        <f t="shared" ref="H12:H66" si="2">INT(HLOOKUP(D12,$L$2:$X$4,3,0)*E12)</f>
        <v>140</v>
      </c>
      <c r="J12" t="str">
        <f>VLOOKUP(C12,D_工坊技能描述表!$A$2:$B$11,2,0)</f>
        <v>攻击提升</v>
      </c>
    </row>
    <row r="13" spans="1:24" x14ac:dyDescent="0.15">
      <c r="A13">
        <f t="shared" ref="A13:A76" si="3">A3+1</f>
        <v>2</v>
      </c>
      <c r="B13">
        <f t="shared" ref="B13:B76" si="4">B3</f>
        <v>2</v>
      </c>
      <c r="C13">
        <f t="shared" si="0"/>
        <v>2</v>
      </c>
      <c r="D13">
        <v>2</v>
      </c>
      <c r="E13">
        <f>ROUND(VLOOKUP(B13*8,[1]!总属性参考数组,D13+1,0)*0.014,0)</f>
        <v>202</v>
      </c>
      <c r="F13">
        <f t="shared" ref="F13:F61" si="5">F3</f>
        <v>1000</v>
      </c>
      <c r="H13">
        <f t="shared" si="2"/>
        <v>202</v>
      </c>
      <c r="J13" t="str">
        <f>VLOOKUP(C13,D_工坊技能描述表!$A$2:$B$11,2,0)</f>
        <v>攻击提升</v>
      </c>
    </row>
    <row r="14" spans="1:24" x14ac:dyDescent="0.15">
      <c r="A14">
        <f t="shared" si="3"/>
        <v>2</v>
      </c>
      <c r="B14">
        <f t="shared" si="4"/>
        <v>3</v>
      </c>
      <c r="C14">
        <f t="shared" si="0"/>
        <v>2</v>
      </c>
      <c r="D14">
        <v>2</v>
      </c>
      <c r="E14">
        <f>ROUND(VLOOKUP(B14*8,[1]!总属性参考数组,D14+1,0)*0.014,0)</f>
        <v>264</v>
      </c>
      <c r="F14">
        <f t="shared" si="5"/>
        <v>2000</v>
      </c>
      <c r="H14">
        <f t="shared" si="2"/>
        <v>264</v>
      </c>
      <c r="J14" t="str">
        <f>VLOOKUP(C14,D_工坊技能描述表!$A$2:$B$11,2,0)</f>
        <v>攻击提升</v>
      </c>
    </row>
    <row r="15" spans="1:24" x14ac:dyDescent="0.15">
      <c r="A15">
        <f t="shared" si="3"/>
        <v>2</v>
      </c>
      <c r="B15">
        <f t="shared" si="4"/>
        <v>4</v>
      </c>
      <c r="C15">
        <f t="shared" si="0"/>
        <v>2</v>
      </c>
      <c r="D15">
        <v>2</v>
      </c>
      <c r="E15">
        <f>ROUND(VLOOKUP(B15*8,[1]!总属性参考数组,D15+1,0)*0.014,0)</f>
        <v>337</v>
      </c>
      <c r="F15">
        <f t="shared" si="5"/>
        <v>4000</v>
      </c>
      <c r="H15">
        <f t="shared" si="2"/>
        <v>337</v>
      </c>
      <c r="J15" t="str">
        <f>VLOOKUP(C15,D_工坊技能描述表!$A$2:$B$11,2,0)</f>
        <v>攻击提升</v>
      </c>
    </row>
    <row r="16" spans="1:24" x14ac:dyDescent="0.15">
      <c r="A16">
        <f t="shared" si="3"/>
        <v>2</v>
      </c>
      <c r="B16">
        <f t="shared" si="4"/>
        <v>5</v>
      </c>
      <c r="C16">
        <f t="shared" si="0"/>
        <v>2</v>
      </c>
      <c r="D16">
        <v>2</v>
      </c>
      <c r="E16">
        <f>ROUND(VLOOKUP(B16*8,[1]!总属性参考数组,D16+1,0)*0.014,0)</f>
        <v>434</v>
      </c>
      <c r="F16">
        <f t="shared" si="5"/>
        <v>8000</v>
      </c>
      <c r="H16">
        <f t="shared" si="2"/>
        <v>434</v>
      </c>
      <c r="J16" t="str">
        <f>VLOOKUP(C16,D_工坊技能描述表!$A$2:$B$11,2,0)</f>
        <v>攻击提升</v>
      </c>
    </row>
    <row r="17" spans="1:10" x14ac:dyDescent="0.15">
      <c r="A17">
        <f t="shared" si="3"/>
        <v>2</v>
      </c>
      <c r="B17">
        <f t="shared" si="4"/>
        <v>6</v>
      </c>
      <c r="C17">
        <f t="shared" si="0"/>
        <v>2</v>
      </c>
      <c r="D17">
        <v>2</v>
      </c>
      <c r="E17">
        <f>ROUND(VLOOKUP(B17*8,[1]!总属性参考数组,D17+1,0)*0.014,0)</f>
        <v>558</v>
      </c>
      <c r="F17">
        <f t="shared" si="5"/>
        <v>16000</v>
      </c>
      <c r="H17">
        <f t="shared" si="2"/>
        <v>558</v>
      </c>
      <c r="J17" t="str">
        <f>VLOOKUP(C17,D_工坊技能描述表!$A$2:$B$11,2,0)</f>
        <v>攻击提升</v>
      </c>
    </row>
    <row r="18" spans="1:10" x14ac:dyDescent="0.15">
      <c r="A18">
        <f t="shared" si="3"/>
        <v>2</v>
      </c>
      <c r="B18">
        <f t="shared" si="4"/>
        <v>7</v>
      </c>
      <c r="C18">
        <f t="shared" si="0"/>
        <v>2</v>
      </c>
      <c r="D18">
        <v>2</v>
      </c>
      <c r="E18">
        <f>ROUND(VLOOKUP(B18*8,[1]!总属性参考数组,D18+1,0)*0.014,0)</f>
        <v>710</v>
      </c>
      <c r="F18">
        <f t="shared" si="5"/>
        <v>32000</v>
      </c>
      <c r="H18">
        <f t="shared" si="2"/>
        <v>710</v>
      </c>
      <c r="J18" t="str">
        <f>VLOOKUP(C18,D_工坊技能描述表!$A$2:$B$11,2,0)</f>
        <v>攻击提升</v>
      </c>
    </row>
    <row r="19" spans="1:10" x14ac:dyDescent="0.15">
      <c r="A19">
        <f t="shared" si="3"/>
        <v>2</v>
      </c>
      <c r="B19">
        <f t="shared" si="4"/>
        <v>8</v>
      </c>
      <c r="C19">
        <f t="shared" si="0"/>
        <v>2</v>
      </c>
      <c r="D19">
        <v>2</v>
      </c>
      <c r="E19">
        <f>ROUND(VLOOKUP(B19*8,[1]!总属性参考数组,D19+1,0)*0.014,0)</f>
        <v>884</v>
      </c>
      <c r="F19">
        <f t="shared" si="5"/>
        <v>64000</v>
      </c>
      <c r="H19">
        <f t="shared" si="2"/>
        <v>884</v>
      </c>
      <c r="J19" t="str">
        <f>VLOOKUP(C19,D_工坊技能描述表!$A$2:$B$11,2,0)</f>
        <v>攻击提升</v>
      </c>
    </row>
    <row r="20" spans="1:10" x14ac:dyDescent="0.15">
      <c r="A20">
        <f t="shared" si="3"/>
        <v>2</v>
      </c>
      <c r="B20">
        <f t="shared" si="4"/>
        <v>9</v>
      </c>
      <c r="C20">
        <f t="shared" si="0"/>
        <v>2</v>
      </c>
      <c r="D20">
        <v>2</v>
      </c>
      <c r="E20">
        <f>ROUND(VLOOKUP(B20*8,[1]!总属性参考数组,D20+1,0)*0.014,0)</f>
        <v>1082</v>
      </c>
      <c r="F20">
        <f t="shared" si="5"/>
        <v>128000</v>
      </c>
      <c r="H20">
        <f t="shared" si="2"/>
        <v>1082</v>
      </c>
      <c r="J20" t="str">
        <f>VLOOKUP(C20,D_工坊技能描述表!$A$2:$B$11,2,0)</f>
        <v>攻击提升</v>
      </c>
    </row>
    <row r="21" spans="1:10" x14ac:dyDescent="0.15">
      <c r="A21">
        <f t="shared" si="3"/>
        <v>2</v>
      </c>
      <c r="B21">
        <f t="shared" si="4"/>
        <v>10</v>
      </c>
      <c r="C21">
        <f t="shared" si="0"/>
        <v>2</v>
      </c>
      <c r="D21">
        <v>2</v>
      </c>
      <c r="E21">
        <f>ROUND(VLOOKUP(B21*8,[1]!总属性参考数组,D21+1,0)*0.014,0)</f>
        <v>1303</v>
      </c>
      <c r="F21">
        <f t="shared" si="5"/>
        <v>256000</v>
      </c>
      <c r="H21">
        <f t="shared" si="2"/>
        <v>1303</v>
      </c>
      <c r="J21" t="str">
        <f>VLOOKUP(C21,D_工坊技能描述表!$A$2:$B$11,2,0)</f>
        <v>攻击提升</v>
      </c>
    </row>
    <row r="22" spans="1:10" x14ac:dyDescent="0.15">
      <c r="A22">
        <f t="shared" si="3"/>
        <v>3</v>
      </c>
      <c r="B22">
        <f t="shared" si="4"/>
        <v>1</v>
      </c>
      <c r="C22">
        <f t="shared" si="0"/>
        <v>3</v>
      </c>
      <c r="D22">
        <v>3</v>
      </c>
      <c r="E22" s="1">
        <f>ROUND(VLOOKUP(B22*8,[1]!总属性参考数组,4,0)*0.025,0)</f>
        <v>111</v>
      </c>
      <c r="F22">
        <f t="shared" si="5"/>
        <v>500</v>
      </c>
      <c r="H22">
        <f t="shared" si="2"/>
        <v>111</v>
      </c>
      <c r="J22" t="str">
        <f>VLOOKUP(C22,D_工坊技能描述表!$A$2:$B$11,2,0)</f>
        <v>防御提升</v>
      </c>
    </row>
    <row r="23" spans="1:10" x14ac:dyDescent="0.15">
      <c r="A23">
        <f t="shared" si="3"/>
        <v>3</v>
      </c>
      <c r="B23">
        <f t="shared" si="4"/>
        <v>2</v>
      </c>
      <c r="C23">
        <f t="shared" si="0"/>
        <v>3</v>
      </c>
      <c r="D23">
        <v>3</v>
      </c>
      <c r="E23" s="1">
        <f>ROUND(VLOOKUP(B23*8,[1]!总属性参考数组,4,0)*0.025,0)</f>
        <v>160</v>
      </c>
      <c r="F23">
        <f t="shared" si="5"/>
        <v>1000</v>
      </c>
      <c r="H23">
        <f t="shared" si="2"/>
        <v>160</v>
      </c>
      <c r="J23" t="str">
        <f>VLOOKUP(C23,D_工坊技能描述表!$A$2:$B$11,2,0)</f>
        <v>防御提升</v>
      </c>
    </row>
    <row r="24" spans="1:10" x14ac:dyDescent="0.15">
      <c r="A24">
        <f t="shared" si="3"/>
        <v>3</v>
      </c>
      <c r="B24">
        <f t="shared" si="4"/>
        <v>3</v>
      </c>
      <c r="C24">
        <f t="shared" si="0"/>
        <v>3</v>
      </c>
      <c r="D24">
        <v>3</v>
      </c>
      <c r="E24" s="1">
        <f>ROUND(VLOOKUP(B24*8,[1]!总属性参考数组,4,0)*0.025,0)</f>
        <v>209</v>
      </c>
      <c r="F24">
        <f t="shared" si="5"/>
        <v>2000</v>
      </c>
      <c r="H24">
        <f t="shared" si="2"/>
        <v>209</v>
      </c>
      <c r="J24" t="str">
        <f>VLOOKUP(C24,D_工坊技能描述表!$A$2:$B$11,2,0)</f>
        <v>防御提升</v>
      </c>
    </row>
    <row r="25" spans="1:10" x14ac:dyDescent="0.15">
      <c r="A25">
        <f t="shared" si="3"/>
        <v>3</v>
      </c>
      <c r="B25">
        <f t="shared" si="4"/>
        <v>4</v>
      </c>
      <c r="C25">
        <f t="shared" si="0"/>
        <v>3</v>
      </c>
      <c r="D25">
        <v>3</v>
      </c>
      <c r="E25" s="1">
        <f>ROUND(VLOOKUP(B25*8,[1]!总属性参考数组,4,0)*0.025,0)</f>
        <v>268</v>
      </c>
      <c r="F25">
        <f t="shared" si="5"/>
        <v>4000</v>
      </c>
      <c r="H25">
        <f t="shared" si="2"/>
        <v>268</v>
      </c>
      <c r="J25" t="str">
        <f>VLOOKUP(C25,D_工坊技能描述表!$A$2:$B$11,2,0)</f>
        <v>防御提升</v>
      </c>
    </row>
    <row r="26" spans="1:10" x14ac:dyDescent="0.15">
      <c r="A26">
        <f t="shared" si="3"/>
        <v>3</v>
      </c>
      <c r="B26">
        <f t="shared" si="4"/>
        <v>5</v>
      </c>
      <c r="C26">
        <f t="shared" si="0"/>
        <v>3</v>
      </c>
      <c r="D26">
        <v>3</v>
      </c>
      <c r="E26" s="1">
        <f>ROUND(VLOOKUP(B26*8,[1]!总属性参考数组,4,0)*0.025,0)</f>
        <v>345</v>
      </c>
      <c r="F26">
        <f t="shared" si="5"/>
        <v>8000</v>
      </c>
      <c r="H26">
        <f t="shared" si="2"/>
        <v>345</v>
      </c>
      <c r="J26" t="str">
        <f>VLOOKUP(C26,D_工坊技能描述表!$A$2:$B$11,2,0)</f>
        <v>防御提升</v>
      </c>
    </row>
    <row r="27" spans="1:10" x14ac:dyDescent="0.15">
      <c r="A27">
        <f t="shared" si="3"/>
        <v>3</v>
      </c>
      <c r="B27">
        <f t="shared" si="4"/>
        <v>6</v>
      </c>
      <c r="C27">
        <f t="shared" si="0"/>
        <v>3</v>
      </c>
      <c r="D27">
        <v>3</v>
      </c>
      <c r="E27" s="1">
        <f>ROUND(VLOOKUP(B27*8,[1]!总属性参考数组,4,0)*0.025,0)</f>
        <v>443</v>
      </c>
      <c r="F27">
        <f t="shared" si="5"/>
        <v>16000</v>
      </c>
      <c r="H27">
        <f t="shared" si="2"/>
        <v>443</v>
      </c>
      <c r="J27" t="str">
        <f>VLOOKUP(C27,D_工坊技能描述表!$A$2:$B$11,2,0)</f>
        <v>防御提升</v>
      </c>
    </row>
    <row r="28" spans="1:10" x14ac:dyDescent="0.15">
      <c r="A28">
        <f t="shared" si="3"/>
        <v>3</v>
      </c>
      <c r="B28">
        <f t="shared" si="4"/>
        <v>7</v>
      </c>
      <c r="C28">
        <f t="shared" si="0"/>
        <v>3</v>
      </c>
      <c r="D28">
        <v>3</v>
      </c>
      <c r="E28" s="1">
        <f>ROUND(VLOOKUP(B28*8,[1]!总属性参考数组,4,0)*0.025,0)</f>
        <v>563</v>
      </c>
      <c r="F28">
        <f t="shared" si="5"/>
        <v>32000</v>
      </c>
      <c r="H28">
        <f t="shared" si="2"/>
        <v>563</v>
      </c>
      <c r="J28" t="str">
        <f>VLOOKUP(C28,D_工坊技能描述表!$A$2:$B$11,2,0)</f>
        <v>防御提升</v>
      </c>
    </row>
    <row r="29" spans="1:10" x14ac:dyDescent="0.15">
      <c r="A29">
        <f t="shared" si="3"/>
        <v>3</v>
      </c>
      <c r="B29">
        <f t="shared" si="4"/>
        <v>8</v>
      </c>
      <c r="C29">
        <f t="shared" si="0"/>
        <v>3</v>
      </c>
      <c r="D29">
        <v>3</v>
      </c>
      <c r="E29" s="1">
        <f>ROUND(VLOOKUP(B29*8,[1]!总属性参考数组,4,0)*0.025,0)</f>
        <v>702</v>
      </c>
      <c r="F29">
        <f t="shared" si="5"/>
        <v>64000</v>
      </c>
      <c r="H29">
        <f t="shared" si="2"/>
        <v>702</v>
      </c>
      <c r="J29" t="str">
        <f>VLOOKUP(C29,D_工坊技能描述表!$A$2:$B$11,2,0)</f>
        <v>防御提升</v>
      </c>
    </row>
    <row r="30" spans="1:10" x14ac:dyDescent="0.15">
      <c r="A30">
        <f t="shared" si="3"/>
        <v>3</v>
      </c>
      <c r="B30">
        <f t="shared" si="4"/>
        <v>9</v>
      </c>
      <c r="C30">
        <f t="shared" si="0"/>
        <v>3</v>
      </c>
      <c r="D30">
        <v>3</v>
      </c>
      <c r="E30" s="1">
        <f>ROUND(VLOOKUP(B30*8,[1]!总属性参考数组,4,0)*0.025,0)</f>
        <v>859</v>
      </c>
      <c r="F30">
        <f t="shared" si="5"/>
        <v>128000</v>
      </c>
      <c r="H30">
        <f t="shared" si="2"/>
        <v>859</v>
      </c>
      <c r="J30" t="str">
        <f>VLOOKUP(C30,D_工坊技能描述表!$A$2:$B$11,2,0)</f>
        <v>防御提升</v>
      </c>
    </row>
    <row r="31" spans="1:10" x14ac:dyDescent="0.15">
      <c r="A31">
        <f t="shared" si="3"/>
        <v>3</v>
      </c>
      <c r="B31">
        <f t="shared" si="4"/>
        <v>10</v>
      </c>
      <c r="C31">
        <f t="shared" si="0"/>
        <v>3</v>
      </c>
      <c r="D31">
        <v>3</v>
      </c>
      <c r="E31" s="1">
        <f>ROUND(VLOOKUP(B31*8,[1]!总属性参考数组,4,0)*0.025,0)</f>
        <v>1034</v>
      </c>
      <c r="F31">
        <f t="shared" si="5"/>
        <v>256000</v>
      </c>
      <c r="H31">
        <f t="shared" si="2"/>
        <v>1034</v>
      </c>
      <c r="J31" t="str">
        <f>VLOOKUP(C31,D_工坊技能描述表!$A$2:$B$11,2,0)</f>
        <v>防御提升</v>
      </c>
    </row>
    <row r="32" spans="1:10" x14ac:dyDescent="0.15">
      <c r="A32">
        <f t="shared" si="3"/>
        <v>4</v>
      </c>
      <c r="B32">
        <f t="shared" si="4"/>
        <v>1</v>
      </c>
      <c r="C32">
        <f t="shared" si="0"/>
        <v>4</v>
      </c>
      <c r="D32">
        <v>8</v>
      </c>
      <c r="E32" s="15">
        <f>ROUND(VLOOKUP(B32*8,[1]!总属性参考数组,4,0)*0.3333,0)</f>
        <v>1477</v>
      </c>
      <c r="F32">
        <f t="shared" si="5"/>
        <v>500</v>
      </c>
      <c r="H32">
        <f t="shared" si="2"/>
        <v>265</v>
      </c>
      <c r="J32" t="str">
        <f>VLOOKUP(C32,D_工坊技能描述表!$A$2:$B$11,2,0)</f>
        <v>暴击提升</v>
      </c>
    </row>
    <row r="33" spans="1:10" x14ac:dyDescent="0.15">
      <c r="A33">
        <f t="shared" si="3"/>
        <v>4</v>
      </c>
      <c r="B33">
        <f t="shared" si="4"/>
        <v>2</v>
      </c>
      <c r="C33">
        <f t="shared" si="0"/>
        <v>4</v>
      </c>
      <c r="D33">
        <v>8</v>
      </c>
      <c r="E33" s="15">
        <f>ROUND(VLOOKUP(B33*8,[1]!总属性参考数组,4,0)*0.3333,0)</f>
        <v>2134</v>
      </c>
      <c r="F33">
        <f t="shared" si="5"/>
        <v>1000</v>
      </c>
      <c r="H33">
        <f t="shared" si="2"/>
        <v>384</v>
      </c>
      <c r="J33" t="str">
        <f>VLOOKUP(C33,D_工坊技能描述表!$A$2:$B$11,2,0)</f>
        <v>暴击提升</v>
      </c>
    </row>
    <row r="34" spans="1:10" x14ac:dyDescent="0.15">
      <c r="A34">
        <f t="shared" si="3"/>
        <v>4</v>
      </c>
      <c r="B34">
        <f t="shared" si="4"/>
        <v>3</v>
      </c>
      <c r="C34">
        <f t="shared" si="0"/>
        <v>4</v>
      </c>
      <c r="D34">
        <v>8</v>
      </c>
      <c r="E34" s="15">
        <f>ROUND(VLOOKUP(B34*8,[1]!总属性参考数组,4,0)*0.3333,0)</f>
        <v>2790</v>
      </c>
      <c r="F34">
        <f t="shared" si="5"/>
        <v>2000</v>
      </c>
      <c r="H34">
        <f t="shared" si="2"/>
        <v>502</v>
      </c>
      <c r="J34" t="str">
        <f>VLOOKUP(C34,D_工坊技能描述表!$A$2:$B$11,2,0)</f>
        <v>暴击提升</v>
      </c>
    </row>
    <row r="35" spans="1:10" x14ac:dyDescent="0.15">
      <c r="A35">
        <f t="shared" si="3"/>
        <v>4</v>
      </c>
      <c r="B35">
        <f t="shared" si="4"/>
        <v>4</v>
      </c>
      <c r="C35">
        <f t="shared" si="0"/>
        <v>4</v>
      </c>
      <c r="D35">
        <v>8</v>
      </c>
      <c r="E35" s="15">
        <f>ROUND(VLOOKUP(B35*8,[1]!总属性参考数组,4,0)*0.3333,0)</f>
        <v>3570</v>
      </c>
      <c r="F35">
        <f t="shared" si="5"/>
        <v>4000</v>
      </c>
      <c r="H35">
        <f t="shared" si="2"/>
        <v>642</v>
      </c>
      <c r="J35" t="str">
        <f>VLOOKUP(C35,D_工坊技能描述表!$A$2:$B$11,2,0)</f>
        <v>暴击提升</v>
      </c>
    </row>
    <row r="36" spans="1:10" x14ac:dyDescent="0.15">
      <c r="A36">
        <f t="shared" si="3"/>
        <v>4</v>
      </c>
      <c r="B36">
        <f t="shared" si="4"/>
        <v>5</v>
      </c>
      <c r="C36">
        <f t="shared" si="0"/>
        <v>4</v>
      </c>
      <c r="D36">
        <v>8</v>
      </c>
      <c r="E36" s="15">
        <f>ROUND(VLOOKUP(B36*8,[1]!总属性参考数组,4,0)*0.3333,0)</f>
        <v>4596</v>
      </c>
      <c r="F36">
        <f t="shared" si="5"/>
        <v>8000</v>
      </c>
      <c r="H36">
        <f t="shared" si="2"/>
        <v>827</v>
      </c>
      <c r="J36" t="str">
        <f>VLOOKUP(C36,D_工坊技能描述表!$A$2:$B$11,2,0)</f>
        <v>暴击提升</v>
      </c>
    </row>
    <row r="37" spans="1:10" x14ac:dyDescent="0.15">
      <c r="A37">
        <f t="shared" si="3"/>
        <v>4</v>
      </c>
      <c r="B37">
        <f t="shared" si="4"/>
        <v>6</v>
      </c>
      <c r="C37">
        <f t="shared" si="0"/>
        <v>4</v>
      </c>
      <c r="D37">
        <v>8</v>
      </c>
      <c r="E37" s="15">
        <f>ROUND(VLOOKUP(B37*8,[1]!总属性参考数组,4,0)*0.3333,0)</f>
        <v>5909</v>
      </c>
      <c r="F37">
        <f t="shared" si="5"/>
        <v>16000</v>
      </c>
      <c r="H37">
        <f t="shared" si="2"/>
        <v>1063</v>
      </c>
      <c r="J37" t="str">
        <f>VLOOKUP(C37,D_工坊技能描述表!$A$2:$B$11,2,0)</f>
        <v>暴击提升</v>
      </c>
    </row>
    <row r="38" spans="1:10" x14ac:dyDescent="0.15">
      <c r="A38">
        <f t="shared" si="3"/>
        <v>4</v>
      </c>
      <c r="B38">
        <f t="shared" si="4"/>
        <v>7</v>
      </c>
      <c r="C38">
        <f t="shared" si="0"/>
        <v>4</v>
      </c>
      <c r="D38">
        <v>8</v>
      </c>
      <c r="E38" s="15">
        <f>ROUND(VLOOKUP(B38*8,[1]!总属性参考数组,4,0)*0.3333,0)</f>
        <v>7510</v>
      </c>
      <c r="F38">
        <f t="shared" si="5"/>
        <v>32000</v>
      </c>
      <c r="H38">
        <f t="shared" si="2"/>
        <v>1351</v>
      </c>
      <c r="J38" t="str">
        <f>VLOOKUP(C38,D_工坊技能描述表!$A$2:$B$11,2,0)</f>
        <v>暴击提升</v>
      </c>
    </row>
    <row r="39" spans="1:10" x14ac:dyDescent="0.15">
      <c r="A39">
        <f t="shared" si="3"/>
        <v>4</v>
      </c>
      <c r="B39">
        <f t="shared" si="4"/>
        <v>8</v>
      </c>
      <c r="C39">
        <f t="shared" si="0"/>
        <v>4</v>
      </c>
      <c r="D39">
        <v>8</v>
      </c>
      <c r="E39" s="15">
        <f>ROUND(VLOOKUP(B39*8,[1]!总属性参考数组,4,0)*0.3333,0)</f>
        <v>9356</v>
      </c>
      <c r="F39">
        <f t="shared" si="5"/>
        <v>64000</v>
      </c>
      <c r="H39">
        <f t="shared" si="2"/>
        <v>1684</v>
      </c>
      <c r="J39" t="str">
        <f>VLOOKUP(C39,D_工坊技能描述表!$A$2:$B$11,2,0)</f>
        <v>暴击提升</v>
      </c>
    </row>
    <row r="40" spans="1:10" x14ac:dyDescent="0.15">
      <c r="A40">
        <f t="shared" si="3"/>
        <v>4</v>
      </c>
      <c r="B40">
        <f t="shared" si="4"/>
        <v>9</v>
      </c>
      <c r="C40">
        <f t="shared" si="0"/>
        <v>4</v>
      </c>
      <c r="D40">
        <v>8</v>
      </c>
      <c r="E40" s="15">
        <f>ROUND(VLOOKUP(B40*8,[1]!总属性参考数组,4,0)*0.3333,0)</f>
        <v>11449</v>
      </c>
      <c r="F40">
        <f t="shared" si="5"/>
        <v>128000</v>
      </c>
      <c r="H40">
        <f t="shared" si="2"/>
        <v>2060</v>
      </c>
      <c r="J40" t="str">
        <f>VLOOKUP(C40,D_工坊技能描述表!$A$2:$B$11,2,0)</f>
        <v>暴击提升</v>
      </c>
    </row>
    <row r="41" spans="1:10" x14ac:dyDescent="0.15">
      <c r="A41">
        <f t="shared" si="3"/>
        <v>4</v>
      </c>
      <c r="B41">
        <f t="shared" si="4"/>
        <v>10</v>
      </c>
      <c r="C41">
        <f t="shared" si="0"/>
        <v>4</v>
      </c>
      <c r="D41">
        <v>8</v>
      </c>
      <c r="E41" s="15">
        <f>ROUND(VLOOKUP(B41*8,[1]!总属性参考数组,4,0)*0.3333,0)</f>
        <v>13788</v>
      </c>
      <c r="F41">
        <f t="shared" si="5"/>
        <v>256000</v>
      </c>
      <c r="H41">
        <f t="shared" si="2"/>
        <v>2481</v>
      </c>
      <c r="J41" t="str">
        <f>VLOOKUP(C41,D_工坊技能描述表!$A$2:$B$11,2,0)</f>
        <v>暴击提升</v>
      </c>
    </row>
    <row r="42" spans="1:10" x14ac:dyDescent="0.15">
      <c r="A42">
        <f t="shared" si="3"/>
        <v>5</v>
      </c>
      <c r="B42">
        <f t="shared" si="4"/>
        <v>1</v>
      </c>
      <c r="C42">
        <f t="shared" si="0"/>
        <v>5</v>
      </c>
      <c r="D42">
        <v>7</v>
      </c>
      <c r="E42" s="16">
        <f>ROUND(VLOOKUP(B42*8,[1]!总属性参考数组,4,0)*0.1666,0)</f>
        <v>738</v>
      </c>
      <c r="F42">
        <f>F32</f>
        <v>500</v>
      </c>
      <c r="H42">
        <f t="shared" si="2"/>
        <v>250</v>
      </c>
      <c r="J42" t="str">
        <f>VLOOKUP(C42,D_工坊技能描述表!$A$2:$B$11,2,0)</f>
        <v>闪避提升</v>
      </c>
    </row>
    <row r="43" spans="1:10" x14ac:dyDescent="0.15">
      <c r="A43">
        <f t="shared" si="3"/>
        <v>5</v>
      </c>
      <c r="B43">
        <f t="shared" si="4"/>
        <v>2</v>
      </c>
      <c r="C43">
        <f t="shared" si="0"/>
        <v>5</v>
      </c>
      <c r="D43">
        <v>7</v>
      </c>
      <c r="E43" s="16">
        <f>ROUND(VLOOKUP(B43*8,[1]!总属性参考数组,4,0)*0.1666,0)</f>
        <v>1067</v>
      </c>
      <c r="F43">
        <f t="shared" si="5"/>
        <v>1000</v>
      </c>
      <c r="H43">
        <f t="shared" si="2"/>
        <v>362</v>
      </c>
      <c r="J43" t="str">
        <f>VLOOKUP(C43,D_工坊技能描述表!$A$2:$B$11,2,0)</f>
        <v>闪避提升</v>
      </c>
    </row>
    <row r="44" spans="1:10" x14ac:dyDescent="0.15">
      <c r="A44">
        <f t="shared" si="3"/>
        <v>5</v>
      </c>
      <c r="B44">
        <f t="shared" si="4"/>
        <v>3</v>
      </c>
      <c r="C44">
        <f t="shared" si="0"/>
        <v>5</v>
      </c>
      <c r="D44">
        <v>7</v>
      </c>
      <c r="E44" s="16">
        <f>ROUND(VLOOKUP(B44*8,[1]!总属性参考数组,4,0)*0.1666,0)</f>
        <v>1395</v>
      </c>
      <c r="F44">
        <f t="shared" si="5"/>
        <v>2000</v>
      </c>
      <c r="H44">
        <f t="shared" si="2"/>
        <v>474</v>
      </c>
      <c r="J44" t="str">
        <f>VLOOKUP(C44,D_工坊技能描述表!$A$2:$B$11,2,0)</f>
        <v>闪避提升</v>
      </c>
    </row>
    <row r="45" spans="1:10" x14ac:dyDescent="0.15">
      <c r="A45">
        <f t="shared" si="3"/>
        <v>5</v>
      </c>
      <c r="B45">
        <f t="shared" si="4"/>
        <v>4</v>
      </c>
      <c r="C45">
        <f t="shared" si="0"/>
        <v>5</v>
      </c>
      <c r="D45">
        <v>7</v>
      </c>
      <c r="E45" s="16">
        <f>ROUND(VLOOKUP(B45*8,[1]!总属性参考数组,4,0)*0.1666,0)</f>
        <v>1785</v>
      </c>
      <c r="F45">
        <f t="shared" si="5"/>
        <v>4000</v>
      </c>
      <c r="H45">
        <f t="shared" si="2"/>
        <v>606</v>
      </c>
      <c r="J45" t="str">
        <f>VLOOKUP(C45,D_工坊技能描述表!$A$2:$B$11,2,0)</f>
        <v>闪避提升</v>
      </c>
    </row>
    <row r="46" spans="1:10" x14ac:dyDescent="0.15">
      <c r="A46">
        <f t="shared" si="3"/>
        <v>5</v>
      </c>
      <c r="B46">
        <f t="shared" si="4"/>
        <v>5</v>
      </c>
      <c r="C46">
        <f t="shared" si="0"/>
        <v>5</v>
      </c>
      <c r="D46">
        <v>7</v>
      </c>
      <c r="E46" s="16">
        <f>ROUND(VLOOKUP(B46*8,[1]!总属性参考数组,4,0)*0.1666,0)</f>
        <v>2297</v>
      </c>
      <c r="F46">
        <f t="shared" si="5"/>
        <v>8000</v>
      </c>
      <c r="H46">
        <f t="shared" si="2"/>
        <v>780</v>
      </c>
      <c r="J46" t="str">
        <f>VLOOKUP(C46,D_工坊技能描述表!$A$2:$B$11,2,0)</f>
        <v>闪避提升</v>
      </c>
    </row>
    <row r="47" spans="1:10" x14ac:dyDescent="0.15">
      <c r="A47">
        <f t="shared" si="3"/>
        <v>5</v>
      </c>
      <c r="B47">
        <f t="shared" si="4"/>
        <v>6</v>
      </c>
      <c r="C47">
        <f t="shared" si="0"/>
        <v>5</v>
      </c>
      <c r="D47">
        <v>7</v>
      </c>
      <c r="E47" s="16">
        <f>ROUND(VLOOKUP(B47*8,[1]!总属性参考数组,4,0)*0.1666,0)</f>
        <v>2954</v>
      </c>
      <c r="F47">
        <f t="shared" si="5"/>
        <v>16000</v>
      </c>
      <c r="H47">
        <f t="shared" si="2"/>
        <v>1004</v>
      </c>
      <c r="J47" t="str">
        <f>VLOOKUP(C47,D_工坊技能描述表!$A$2:$B$11,2,0)</f>
        <v>闪避提升</v>
      </c>
    </row>
    <row r="48" spans="1:10" x14ac:dyDescent="0.15">
      <c r="A48">
        <f t="shared" si="3"/>
        <v>5</v>
      </c>
      <c r="B48">
        <f t="shared" si="4"/>
        <v>7</v>
      </c>
      <c r="C48">
        <f t="shared" si="0"/>
        <v>5</v>
      </c>
      <c r="D48">
        <v>7</v>
      </c>
      <c r="E48" s="16">
        <f>ROUND(VLOOKUP(B48*8,[1]!总属性参考数组,4,0)*0.1666,0)</f>
        <v>3754</v>
      </c>
      <c r="F48">
        <f t="shared" si="5"/>
        <v>32000</v>
      </c>
      <c r="H48">
        <f t="shared" si="2"/>
        <v>1276</v>
      </c>
      <c r="J48" t="str">
        <f>VLOOKUP(C48,D_工坊技能描述表!$A$2:$B$11,2,0)</f>
        <v>闪避提升</v>
      </c>
    </row>
    <row r="49" spans="1:10" x14ac:dyDescent="0.15">
      <c r="A49">
        <f t="shared" si="3"/>
        <v>5</v>
      </c>
      <c r="B49">
        <f t="shared" si="4"/>
        <v>8</v>
      </c>
      <c r="C49">
        <f t="shared" si="0"/>
        <v>5</v>
      </c>
      <c r="D49">
        <v>7</v>
      </c>
      <c r="E49" s="16">
        <f>ROUND(VLOOKUP(B49*8,[1]!总属性参考数组,4,0)*0.1666,0)</f>
        <v>4677</v>
      </c>
      <c r="F49">
        <f t="shared" si="5"/>
        <v>64000</v>
      </c>
      <c r="H49">
        <f t="shared" si="2"/>
        <v>1590</v>
      </c>
      <c r="J49" t="str">
        <f>VLOOKUP(C49,D_工坊技能描述表!$A$2:$B$11,2,0)</f>
        <v>闪避提升</v>
      </c>
    </row>
    <row r="50" spans="1:10" x14ac:dyDescent="0.15">
      <c r="A50">
        <f t="shared" si="3"/>
        <v>5</v>
      </c>
      <c r="B50">
        <f t="shared" si="4"/>
        <v>9</v>
      </c>
      <c r="C50">
        <f t="shared" si="0"/>
        <v>5</v>
      </c>
      <c r="D50">
        <v>7</v>
      </c>
      <c r="E50" s="16">
        <f>ROUND(VLOOKUP(B50*8,[1]!总属性参考数组,4,0)*0.1666,0)</f>
        <v>5723</v>
      </c>
      <c r="F50">
        <f t="shared" si="5"/>
        <v>128000</v>
      </c>
      <c r="H50">
        <f t="shared" si="2"/>
        <v>1945</v>
      </c>
      <c r="J50" t="str">
        <f>VLOOKUP(C50,D_工坊技能描述表!$A$2:$B$11,2,0)</f>
        <v>闪避提升</v>
      </c>
    </row>
    <row r="51" spans="1:10" x14ac:dyDescent="0.15">
      <c r="A51">
        <f t="shared" si="3"/>
        <v>5</v>
      </c>
      <c r="B51">
        <f t="shared" si="4"/>
        <v>10</v>
      </c>
      <c r="C51">
        <f t="shared" si="0"/>
        <v>5</v>
      </c>
      <c r="D51">
        <v>7</v>
      </c>
      <c r="E51" s="16">
        <f>ROUND(VLOOKUP(B51*8,[1]!总属性参考数组,4,0)*0.1666,0)</f>
        <v>6892</v>
      </c>
      <c r="F51">
        <f t="shared" si="5"/>
        <v>256000</v>
      </c>
      <c r="H51">
        <f t="shared" si="2"/>
        <v>2343</v>
      </c>
      <c r="J51" t="str">
        <f>VLOOKUP(C51,D_工坊技能描述表!$A$2:$B$11,2,0)</f>
        <v>闪避提升</v>
      </c>
    </row>
    <row r="52" spans="1:10" x14ac:dyDescent="0.15">
      <c r="A52">
        <f t="shared" si="3"/>
        <v>6</v>
      </c>
      <c r="B52">
        <f t="shared" si="4"/>
        <v>1</v>
      </c>
      <c r="C52">
        <f t="shared" si="0"/>
        <v>6</v>
      </c>
      <c r="D52">
        <v>25</v>
      </c>
      <c r="E52" s="18">
        <f>ROUND(VLOOKUP(B52*8,[1]!总属性参考数组,4,0)*0.275,0)</f>
        <v>1219</v>
      </c>
      <c r="F52">
        <f t="shared" si="5"/>
        <v>500</v>
      </c>
      <c r="H52">
        <f t="shared" si="2"/>
        <v>365</v>
      </c>
      <c r="J52" t="str">
        <f>VLOOKUP(C52,D_工坊技能描述表!$A$2:$B$11,2,0)</f>
        <v>减伤提升</v>
      </c>
    </row>
    <row r="53" spans="1:10" x14ac:dyDescent="0.15">
      <c r="A53">
        <f t="shared" si="3"/>
        <v>6</v>
      </c>
      <c r="B53">
        <f t="shared" si="4"/>
        <v>2</v>
      </c>
      <c r="C53">
        <f t="shared" si="0"/>
        <v>6</v>
      </c>
      <c r="D53">
        <v>25</v>
      </c>
      <c r="E53" s="18">
        <f>ROUND(VLOOKUP(B53*8,[1]!总属性参考数组,4,0)*0.275,0)</f>
        <v>1761</v>
      </c>
      <c r="F53">
        <f t="shared" si="5"/>
        <v>1000</v>
      </c>
      <c r="H53">
        <f t="shared" si="2"/>
        <v>528</v>
      </c>
      <c r="J53" t="str">
        <f>VLOOKUP(C53,D_工坊技能描述表!$A$2:$B$11,2,0)</f>
        <v>减伤提升</v>
      </c>
    </row>
    <row r="54" spans="1:10" x14ac:dyDescent="0.15">
      <c r="A54">
        <f t="shared" si="3"/>
        <v>6</v>
      </c>
      <c r="B54">
        <f t="shared" si="4"/>
        <v>3</v>
      </c>
      <c r="C54">
        <f t="shared" si="0"/>
        <v>6</v>
      </c>
      <c r="D54">
        <v>25</v>
      </c>
      <c r="E54" s="18">
        <f>ROUND(VLOOKUP(B54*8,[1]!总属性参考数组,4,0)*0.275,0)</f>
        <v>2302</v>
      </c>
      <c r="F54">
        <f t="shared" si="5"/>
        <v>2000</v>
      </c>
      <c r="H54">
        <f t="shared" si="2"/>
        <v>690</v>
      </c>
      <c r="J54" t="str">
        <f>VLOOKUP(C54,D_工坊技能描述表!$A$2:$B$11,2,0)</f>
        <v>减伤提升</v>
      </c>
    </row>
    <row r="55" spans="1:10" x14ac:dyDescent="0.15">
      <c r="A55">
        <f t="shared" si="3"/>
        <v>6</v>
      </c>
      <c r="B55">
        <f t="shared" si="4"/>
        <v>4</v>
      </c>
      <c r="C55">
        <f t="shared" si="0"/>
        <v>6</v>
      </c>
      <c r="D55">
        <v>25</v>
      </c>
      <c r="E55" s="18">
        <f>ROUND(VLOOKUP(B55*8,[1]!总属性参考数组,4,0)*0.275,0)</f>
        <v>2946</v>
      </c>
      <c r="F55">
        <f t="shared" si="5"/>
        <v>4000</v>
      </c>
      <c r="H55">
        <f t="shared" si="2"/>
        <v>883</v>
      </c>
      <c r="J55" t="str">
        <f>VLOOKUP(C55,D_工坊技能描述表!$A$2:$B$11,2,0)</f>
        <v>减伤提升</v>
      </c>
    </row>
    <row r="56" spans="1:10" x14ac:dyDescent="0.15">
      <c r="A56">
        <f t="shared" si="3"/>
        <v>6</v>
      </c>
      <c r="B56">
        <f t="shared" si="4"/>
        <v>5</v>
      </c>
      <c r="C56">
        <f t="shared" si="0"/>
        <v>6</v>
      </c>
      <c r="D56">
        <v>25</v>
      </c>
      <c r="E56" s="18">
        <f>ROUND(VLOOKUP(B56*8,[1]!总属性参考数组,4,0)*0.275,0)</f>
        <v>3792</v>
      </c>
      <c r="F56">
        <f t="shared" si="5"/>
        <v>8000</v>
      </c>
      <c r="H56">
        <f t="shared" si="2"/>
        <v>1137</v>
      </c>
      <c r="J56" t="str">
        <f>VLOOKUP(C56,D_工坊技能描述表!$A$2:$B$11,2,0)</f>
        <v>减伤提升</v>
      </c>
    </row>
    <row r="57" spans="1:10" x14ac:dyDescent="0.15">
      <c r="A57">
        <f t="shared" si="3"/>
        <v>6</v>
      </c>
      <c r="B57">
        <f t="shared" si="4"/>
        <v>6</v>
      </c>
      <c r="C57">
        <f t="shared" si="0"/>
        <v>6</v>
      </c>
      <c r="D57">
        <v>25</v>
      </c>
      <c r="E57" s="18">
        <f>ROUND(VLOOKUP(B57*8,[1]!总属性参考数组,4,0)*0.275,0)</f>
        <v>4876</v>
      </c>
      <c r="F57">
        <f t="shared" si="5"/>
        <v>16000</v>
      </c>
      <c r="H57">
        <f t="shared" si="2"/>
        <v>1462</v>
      </c>
      <c r="J57" t="str">
        <f>VLOOKUP(C57,D_工坊技能描述表!$A$2:$B$11,2,0)</f>
        <v>减伤提升</v>
      </c>
    </row>
    <row r="58" spans="1:10" x14ac:dyDescent="0.15">
      <c r="A58">
        <f t="shared" si="3"/>
        <v>6</v>
      </c>
      <c r="B58">
        <f t="shared" si="4"/>
        <v>7</v>
      </c>
      <c r="C58">
        <f t="shared" si="0"/>
        <v>6</v>
      </c>
      <c r="D58">
        <v>25</v>
      </c>
      <c r="E58" s="18">
        <f>ROUND(VLOOKUP(B58*8,[1]!总属性参考数组,4,0)*0.275,0)</f>
        <v>6196</v>
      </c>
      <c r="F58">
        <f t="shared" si="5"/>
        <v>32000</v>
      </c>
      <c r="H58">
        <f t="shared" si="2"/>
        <v>1858</v>
      </c>
      <c r="J58" t="str">
        <f>VLOOKUP(C58,D_工坊技能描述表!$A$2:$B$11,2,0)</f>
        <v>减伤提升</v>
      </c>
    </row>
    <row r="59" spans="1:10" x14ac:dyDescent="0.15">
      <c r="A59">
        <f t="shared" si="3"/>
        <v>6</v>
      </c>
      <c r="B59">
        <f t="shared" si="4"/>
        <v>8</v>
      </c>
      <c r="C59">
        <f t="shared" si="0"/>
        <v>6</v>
      </c>
      <c r="D59">
        <v>25</v>
      </c>
      <c r="E59" s="18">
        <f>ROUND(VLOOKUP(B59*8,[1]!总属性参考数组,4,0)*0.275,0)</f>
        <v>7720</v>
      </c>
      <c r="F59">
        <f t="shared" si="5"/>
        <v>64000</v>
      </c>
      <c r="H59">
        <f t="shared" si="2"/>
        <v>2316</v>
      </c>
      <c r="J59" t="str">
        <f>VLOOKUP(C59,D_工坊技能描述表!$A$2:$B$11,2,0)</f>
        <v>减伤提升</v>
      </c>
    </row>
    <row r="60" spans="1:10" x14ac:dyDescent="0.15">
      <c r="A60">
        <f t="shared" si="3"/>
        <v>6</v>
      </c>
      <c r="B60">
        <f t="shared" si="4"/>
        <v>9</v>
      </c>
      <c r="C60">
        <f t="shared" si="0"/>
        <v>6</v>
      </c>
      <c r="D60">
        <v>25</v>
      </c>
      <c r="E60" s="18">
        <f>ROUND(VLOOKUP(B60*8,[1]!总属性参考数组,4,0)*0.275,0)</f>
        <v>9446</v>
      </c>
      <c r="F60">
        <f t="shared" si="5"/>
        <v>128000</v>
      </c>
      <c r="H60">
        <f t="shared" si="2"/>
        <v>2833</v>
      </c>
      <c r="J60" t="str">
        <f>VLOOKUP(C60,D_工坊技能描述表!$A$2:$B$11,2,0)</f>
        <v>减伤提升</v>
      </c>
    </row>
    <row r="61" spans="1:10" x14ac:dyDescent="0.15">
      <c r="A61">
        <f t="shared" si="3"/>
        <v>6</v>
      </c>
      <c r="B61">
        <f t="shared" si="4"/>
        <v>10</v>
      </c>
      <c r="C61">
        <f t="shared" si="0"/>
        <v>6</v>
      </c>
      <c r="D61">
        <v>25</v>
      </c>
      <c r="E61" s="18">
        <f>ROUND(VLOOKUP(B61*8,[1]!总属性参考数组,4,0)*0.275,0)</f>
        <v>11376</v>
      </c>
      <c r="F61">
        <f t="shared" si="5"/>
        <v>256000</v>
      </c>
      <c r="H61">
        <f t="shared" si="2"/>
        <v>3412</v>
      </c>
      <c r="J61" t="str">
        <f>VLOOKUP(C61,D_工坊技能描述表!$A$2:$B$11,2,0)</f>
        <v>减伤提升</v>
      </c>
    </row>
    <row r="62" spans="1:10" x14ac:dyDescent="0.15">
      <c r="A62">
        <f t="shared" si="3"/>
        <v>7</v>
      </c>
      <c r="B62">
        <f t="shared" si="4"/>
        <v>1</v>
      </c>
      <c r="C62">
        <f t="shared" si="0"/>
        <v>7</v>
      </c>
      <c r="D62">
        <v>24</v>
      </c>
      <c r="E62" s="20">
        <f>ROUND(VLOOKUP(B62*8,[1]!总属性参考数组,4,0)*0.275,0)</f>
        <v>1219</v>
      </c>
      <c r="F62">
        <f>F2*2</f>
        <v>1000</v>
      </c>
      <c r="H62">
        <f t="shared" si="2"/>
        <v>365</v>
      </c>
      <c r="J62" t="str">
        <f>VLOOKUP(C62,D_工坊技能描述表!$A$2:$B$11,2,0)</f>
        <v>伤害提升</v>
      </c>
    </row>
    <row r="63" spans="1:10" x14ac:dyDescent="0.15">
      <c r="A63">
        <f t="shared" si="3"/>
        <v>7</v>
      </c>
      <c r="B63">
        <f t="shared" si="4"/>
        <v>2</v>
      </c>
      <c r="C63">
        <f t="shared" si="0"/>
        <v>7</v>
      </c>
      <c r="D63">
        <v>24</v>
      </c>
      <c r="E63" s="20">
        <f>ROUND(VLOOKUP(B63*8,[1]!总属性参考数组,4,0)*0.275,0)</f>
        <v>1761</v>
      </c>
      <c r="F63">
        <f t="shared" ref="F63:F91" si="6">F3*2</f>
        <v>2000</v>
      </c>
      <c r="H63">
        <f t="shared" si="2"/>
        <v>528</v>
      </c>
      <c r="J63" t="str">
        <f>VLOOKUP(C63,D_工坊技能描述表!$A$2:$B$11,2,0)</f>
        <v>伤害提升</v>
      </c>
    </row>
    <row r="64" spans="1:10" x14ac:dyDescent="0.15">
      <c r="A64">
        <f t="shared" si="3"/>
        <v>7</v>
      </c>
      <c r="B64">
        <f t="shared" si="4"/>
        <v>3</v>
      </c>
      <c r="C64">
        <f t="shared" si="0"/>
        <v>7</v>
      </c>
      <c r="D64">
        <v>24</v>
      </c>
      <c r="E64" s="20">
        <f>ROUND(VLOOKUP(B64*8,[1]!总属性参考数组,4,0)*0.275,0)</f>
        <v>2302</v>
      </c>
      <c r="F64">
        <f t="shared" si="6"/>
        <v>4000</v>
      </c>
      <c r="H64">
        <f t="shared" si="2"/>
        <v>690</v>
      </c>
      <c r="J64" t="str">
        <f>VLOOKUP(C64,D_工坊技能描述表!$A$2:$B$11,2,0)</f>
        <v>伤害提升</v>
      </c>
    </row>
    <row r="65" spans="1:10" x14ac:dyDescent="0.15">
      <c r="A65">
        <f t="shared" si="3"/>
        <v>7</v>
      </c>
      <c r="B65">
        <f t="shared" si="4"/>
        <v>4</v>
      </c>
      <c r="C65">
        <f t="shared" si="0"/>
        <v>7</v>
      </c>
      <c r="D65">
        <v>24</v>
      </c>
      <c r="E65" s="20">
        <f>ROUND(VLOOKUP(B65*8,[1]!总属性参考数组,4,0)*0.275,0)</f>
        <v>2946</v>
      </c>
      <c r="F65">
        <f t="shared" si="6"/>
        <v>8000</v>
      </c>
      <c r="H65">
        <f t="shared" si="2"/>
        <v>883</v>
      </c>
      <c r="J65" t="str">
        <f>VLOOKUP(C65,D_工坊技能描述表!$A$2:$B$11,2,0)</f>
        <v>伤害提升</v>
      </c>
    </row>
    <row r="66" spans="1:10" x14ac:dyDescent="0.15">
      <c r="A66">
        <f t="shared" si="3"/>
        <v>7</v>
      </c>
      <c r="B66">
        <f t="shared" si="4"/>
        <v>5</v>
      </c>
      <c r="C66">
        <f t="shared" si="0"/>
        <v>7</v>
      </c>
      <c r="D66">
        <v>24</v>
      </c>
      <c r="E66" s="20">
        <f>ROUND(VLOOKUP(B66*8,[1]!总属性参考数组,4,0)*0.275,0)</f>
        <v>3792</v>
      </c>
      <c r="F66">
        <f t="shared" si="6"/>
        <v>16000</v>
      </c>
      <c r="H66">
        <f t="shared" si="2"/>
        <v>1137</v>
      </c>
      <c r="J66" t="str">
        <f>VLOOKUP(C66,D_工坊技能描述表!$A$2:$B$11,2,0)</f>
        <v>伤害提升</v>
      </c>
    </row>
    <row r="67" spans="1:10" x14ac:dyDescent="0.15">
      <c r="A67">
        <f t="shared" si="3"/>
        <v>7</v>
      </c>
      <c r="B67">
        <f t="shared" si="4"/>
        <v>6</v>
      </c>
      <c r="C67">
        <f t="shared" ref="C67:C101" si="7">A67</f>
        <v>7</v>
      </c>
      <c r="D67">
        <v>24</v>
      </c>
      <c r="E67" s="20">
        <f>ROUND(VLOOKUP(B67*8,[1]!总属性参考数组,4,0)*0.275,0)</f>
        <v>4876</v>
      </c>
      <c r="F67">
        <f t="shared" si="6"/>
        <v>32000</v>
      </c>
      <c r="H67">
        <f t="shared" ref="H67:H101" si="8">INT(HLOOKUP(D67,$L$2:$X$4,3,0)*E67)</f>
        <v>1462</v>
      </c>
      <c r="J67" t="str">
        <f>VLOOKUP(C67,D_工坊技能描述表!$A$2:$B$11,2,0)</f>
        <v>伤害提升</v>
      </c>
    </row>
    <row r="68" spans="1:10" x14ac:dyDescent="0.15">
      <c r="A68">
        <f t="shared" si="3"/>
        <v>7</v>
      </c>
      <c r="B68">
        <f t="shared" si="4"/>
        <v>7</v>
      </c>
      <c r="C68">
        <f t="shared" si="7"/>
        <v>7</v>
      </c>
      <c r="D68">
        <v>24</v>
      </c>
      <c r="E68" s="20">
        <f>ROUND(VLOOKUP(B68*8,[1]!总属性参考数组,4,0)*0.275,0)</f>
        <v>6196</v>
      </c>
      <c r="F68">
        <f t="shared" si="6"/>
        <v>64000</v>
      </c>
      <c r="H68">
        <f t="shared" si="8"/>
        <v>1858</v>
      </c>
      <c r="J68" t="str">
        <f>VLOOKUP(C68,D_工坊技能描述表!$A$2:$B$11,2,0)</f>
        <v>伤害提升</v>
      </c>
    </row>
    <row r="69" spans="1:10" x14ac:dyDescent="0.15">
      <c r="A69">
        <f t="shared" si="3"/>
        <v>7</v>
      </c>
      <c r="B69">
        <f t="shared" si="4"/>
        <v>8</v>
      </c>
      <c r="C69">
        <f t="shared" si="7"/>
        <v>7</v>
      </c>
      <c r="D69">
        <v>24</v>
      </c>
      <c r="E69" s="20">
        <f>ROUND(VLOOKUP(B69*8,[1]!总属性参考数组,4,0)*0.275,0)</f>
        <v>7720</v>
      </c>
      <c r="F69">
        <f t="shared" si="6"/>
        <v>128000</v>
      </c>
      <c r="H69">
        <f t="shared" si="8"/>
        <v>2316</v>
      </c>
      <c r="J69" t="str">
        <f>VLOOKUP(C69,D_工坊技能描述表!$A$2:$B$11,2,0)</f>
        <v>伤害提升</v>
      </c>
    </row>
    <row r="70" spans="1:10" x14ac:dyDescent="0.15">
      <c r="A70">
        <f t="shared" si="3"/>
        <v>7</v>
      </c>
      <c r="B70">
        <f t="shared" si="4"/>
        <v>9</v>
      </c>
      <c r="C70">
        <f t="shared" si="7"/>
        <v>7</v>
      </c>
      <c r="D70">
        <v>24</v>
      </c>
      <c r="E70" s="20">
        <f>ROUND(VLOOKUP(B70*8,[1]!总属性参考数组,4,0)*0.275,0)</f>
        <v>9446</v>
      </c>
      <c r="F70">
        <f t="shared" si="6"/>
        <v>256000</v>
      </c>
      <c r="H70">
        <f t="shared" si="8"/>
        <v>2833</v>
      </c>
      <c r="J70" t="str">
        <f>VLOOKUP(C70,D_工坊技能描述表!$A$2:$B$11,2,0)</f>
        <v>伤害提升</v>
      </c>
    </row>
    <row r="71" spans="1:10" x14ac:dyDescent="0.15">
      <c r="A71">
        <f t="shared" si="3"/>
        <v>7</v>
      </c>
      <c r="B71">
        <f t="shared" si="4"/>
        <v>10</v>
      </c>
      <c r="C71">
        <f t="shared" si="7"/>
        <v>7</v>
      </c>
      <c r="D71">
        <v>24</v>
      </c>
      <c r="E71" s="20">
        <f>ROUND(VLOOKUP(B71*8,[1]!总属性参考数组,4,0)*0.275,0)</f>
        <v>11376</v>
      </c>
      <c r="F71">
        <f t="shared" si="6"/>
        <v>512000</v>
      </c>
      <c r="H71">
        <f t="shared" si="8"/>
        <v>3412</v>
      </c>
      <c r="J71" t="str">
        <f>VLOOKUP(C71,D_工坊技能描述表!$A$2:$B$11,2,0)</f>
        <v>伤害提升</v>
      </c>
    </row>
    <row r="72" spans="1:10" x14ac:dyDescent="0.15">
      <c r="A72">
        <f t="shared" si="3"/>
        <v>8</v>
      </c>
      <c r="B72">
        <f t="shared" si="4"/>
        <v>1</v>
      </c>
      <c r="C72">
        <f t="shared" si="7"/>
        <v>8</v>
      </c>
      <c r="D72">
        <v>21</v>
      </c>
      <c r="E72" s="17">
        <f>ROUND(VLOOKUP(B72*8,[1]!总属性参考数组,4,0)*0.1666,0)</f>
        <v>738</v>
      </c>
      <c r="F72">
        <f t="shared" si="6"/>
        <v>1000</v>
      </c>
      <c r="H72">
        <f t="shared" si="8"/>
        <v>295</v>
      </c>
      <c r="J72" t="str">
        <f>VLOOKUP(C72,D_工坊技能描述表!$A$2:$B$11,2,0)</f>
        <v>生命提升</v>
      </c>
    </row>
    <row r="73" spans="1:10" x14ac:dyDescent="0.15">
      <c r="A73">
        <f t="shared" si="3"/>
        <v>8</v>
      </c>
      <c r="B73">
        <f t="shared" si="4"/>
        <v>2</v>
      </c>
      <c r="C73">
        <f t="shared" si="7"/>
        <v>8</v>
      </c>
      <c r="D73">
        <v>21</v>
      </c>
      <c r="E73" s="17">
        <f>ROUND(VLOOKUP(B73*8,[1]!总属性参考数组,4,0)*0.1666,0)</f>
        <v>1067</v>
      </c>
      <c r="F73">
        <f t="shared" si="6"/>
        <v>2000</v>
      </c>
      <c r="H73">
        <f t="shared" si="8"/>
        <v>426</v>
      </c>
      <c r="J73" t="str">
        <f>VLOOKUP(C73,D_工坊技能描述表!$A$2:$B$11,2,0)</f>
        <v>生命提升</v>
      </c>
    </row>
    <row r="74" spans="1:10" x14ac:dyDescent="0.15">
      <c r="A74">
        <f t="shared" si="3"/>
        <v>8</v>
      </c>
      <c r="B74">
        <f t="shared" si="4"/>
        <v>3</v>
      </c>
      <c r="C74">
        <f t="shared" si="7"/>
        <v>8</v>
      </c>
      <c r="D74">
        <v>21</v>
      </c>
      <c r="E74" s="17">
        <f>ROUND(VLOOKUP(B74*8,[1]!总属性参考数组,4,0)*0.1666,0)</f>
        <v>1395</v>
      </c>
      <c r="F74">
        <f t="shared" si="6"/>
        <v>4000</v>
      </c>
      <c r="H74">
        <f t="shared" si="8"/>
        <v>558</v>
      </c>
      <c r="J74" t="str">
        <f>VLOOKUP(C74,D_工坊技能描述表!$A$2:$B$11,2,0)</f>
        <v>生命提升</v>
      </c>
    </row>
    <row r="75" spans="1:10" x14ac:dyDescent="0.15">
      <c r="A75">
        <f t="shared" si="3"/>
        <v>8</v>
      </c>
      <c r="B75">
        <f t="shared" si="4"/>
        <v>4</v>
      </c>
      <c r="C75">
        <f t="shared" si="7"/>
        <v>8</v>
      </c>
      <c r="D75">
        <v>21</v>
      </c>
      <c r="E75" s="17">
        <f>ROUND(VLOOKUP(B75*8,[1]!总属性参考数组,4,0)*0.1666,0)</f>
        <v>1785</v>
      </c>
      <c r="F75">
        <f t="shared" si="6"/>
        <v>8000</v>
      </c>
      <c r="H75">
        <f t="shared" si="8"/>
        <v>714</v>
      </c>
      <c r="J75" t="str">
        <f>VLOOKUP(C75,D_工坊技能描述表!$A$2:$B$11,2,0)</f>
        <v>生命提升</v>
      </c>
    </row>
    <row r="76" spans="1:10" x14ac:dyDescent="0.15">
      <c r="A76">
        <f t="shared" si="3"/>
        <v>8</v>
      </c>
      <c r="B76">
        <f t="shared" si="4"/>
        <v>5</v>
      </c>
      <c r="C76">
        <f t="shared" si="7"/>
        <v>8</v>
      </c>
      <c r="D76">
        <v>21</v>
      </c>
      <c r="E76" s="17">
        <f>ROUND(VLOOKUP(B76*8,[1]!总属性参考数组,4,0)*0.1666,0)</f>
        <v>2297</v>
      </c>
      <c r="F76">
        <f t="shared" si="6"/>
        <v>16000</v>
      </c>
      <c r="H76">
        <f t="shared" si="8"/>
        <v>918</v>
      </c>
      <c r="J76" t="str">
        <f>VLOOKUP(C76,D_工坊技能描述表!$A$2:$B$11,2,0)</f>
        <v>生命提升</v>
      </c>
    </row>
    <row r="77" spans="1:10" x14ac:dyDescent="0.15">
      <c r="A77">
        <f t="shared" ref="A77:A101" si="9">A67+1</f>
        <v>8</v>
      </c>
      <c r="B77">
        <f t="shared" ref="B77:B101" si="10">B67</f>
        <v>6</v>
      </c>
      <c r="C77">
        <f t="shared" si="7"/>
        <v>8</v>
      </c>
      <c r="D77">
        <v>21</v>
      </c>
      <c r="E77" s="17">
        <f>ROUND(VLOOKUP(B77*8,[1]!总属性参考数组,4,0)*0.1666,0)</f>
        <v>2954</v>
      </c>
      <c r="F77">
        <f t="shared" si="6"/>
        <v>32000</v>
      </c>
      <c r="H77">
        <f t="shared" si="8"/>
        <v>1181</v>
      </c>
      <c r="J77" t="str">
        <f>VLOOKUP(C77,D_工坊技能描述表!$A$2:$B$11,2,0)</f>
        <v>生命提升</v>
      </c>
    </row>
    <row r="78" spans="1:10" x14ac:dyDescent="0.15">
      <c r="A78">
        <f t="shared" si="9"/>
        <v>8</v>
      </c>
      <c r="B78">
        <f t="shared" si="10"/>
        <v>7</v>
      </c>
      <c r="C78">
        <f t="shared" si="7"/>
        <v>8</v>
      </c>
      <c r="D78">
        <v>21</v>
      </c>
      <c r="E78" s="17">
        <f>ROUND(VLOOKUP(B78*8,[1]!总属性参考数组,4,0)*0.1666,0)</f>
        <v>3754</v>
      </c>
      <c r="F78">
        <f t="shared" si="6"/>
        <v>64000</v>
      </c>
      <c r="H78">
        <f t="shared" si="8"/>
        <v>1501</v>
      </c>
      <c r="J78" t="str">
        <f>VLOOKUP(C78,D_工坊技能描述表!$A$2:$B$11,2,0)</f>
        <v>生命提升</v>
      </c>
    </row>
    <row r="79" spans="1:10" x14ac:dyDescent="0.15">
      <c r="A79">
        <f t="shared" si="9"/>
        <v>8</v>
      </c>
      <c r="B79">
        <f t="shared" si="10"/>
        <v>8</v>
      </c>
      <c r="C79">
        <f t="shared" si="7"/>
        <v>8</v>
      </c>
      <c r="D79">
        <v>21</v>
      </c>
      <c r="E79" s="17">
        <f>ROUND(VLOOKUP(B79*8,[1]!总属性参考数组,4,0)*0.1666,0)</f>
        <v>4677</v>
      </c>
      <c r="F79">
        <f t="shared" si="6"/>
        <v>128000</v>
      </c>
      <c r="H79">
        <f t="shared" si="8"/>
        <v>1870</v>
      </c>
      <c r="J79" t="str">
        <f>VLOOKUP(C79,D_工坊技能描述表!$A$2:$B$11,2,0)</f>
        <v>生命提升</v>
      </c>
    </row>
    <row r="80" spans="1:10" x14ac:dyDescent="0.15">
      <c r="A80">
        <f t="shared" si="9"/>
        <v>8</v>
      </c>
      <c r="B80">
        <f t="shared" si="10"/>
        <v>9</v>
      </c>
      <c r="C80">
        <f t="shared" si="7"/>
        <v>8</v>
      </c>
      <c r="D80">
        <v>21</v>
      </c>
      <c r="E80" s="17">
        <f>ROUND(VLOOKUP(B80*8,[1]!总属性参考数组,4,0)*0.1666,0)</f>
        <v>5723</v>
      </c>
      <c r="F80">
        <f t="shared" si="6"/>
        <v>256000</v>
      </c>
      <c r="H80">
        <f t="shared" si="8"/>
        <v>2289</v>
      </c>
      <c r="J80" t="str">
        <f>VLOOKUP(C80,D_工坊技能描述表!$A$2:$B$11,2,0)</f>
        <v>生命提升</v>
      </c>
    </row>
    <row r="81" spans="1:10" x14ac:dyDescent="0.15">
      <c r="A81">
        <f t="shared" si="9"/>
        <v>8</v>
      </c>
      <c r="B81">
        <f t="shared" si="10"/>
        <v>10</v>
      </c>
      <c r="C81">
        <f t="shared" si="7"/>
        <v>8</v>
      </c>
      <c r="D81">
        <v>21</v>
      </c>
      <c r="E81" s="17">
        <f>ROUND(VLOOKUP(B81*8,[1]!总属性参考数组,4,0)*0.1666,0)</f>
        <v>6892</v>
      </c>
      <c r="F81">
        <f t="shared" si="6"/>
        <v>512000</v>
      </c>
      <c r="H81">
        <f t="shared" si="8"/>
        <v>2756</v>
      </c>
      <c r="J81" t="str">
        <f>VLOOKUP(C81,D_工坊技能描述表!$A$2:$B$11,2,0)</f>
        <v>生命提升</v>
      </c>
    </row>
    <row r="82" spans="1:10" x14ac:dyDescent="0.15">
      <c r="A82">
        <f t="shared" si="9"/>
        <v>9</v>
      </c>
      <c r="B82">
        <f t="shared" si="10"/>
        <v>1</v>
      </c>
      <c r="C82">
        <f t="shared" si="7"/>
        <v>9</v>
      </c>
      <c r="D82">
        <v>22</v>
      </c>
      <c r="E82" s="19">
        <f>ROUND(VLOOKUP(B82*8,[1]!总属性参考数组,4,0)*0.1865,0)</f>
        <v>827</v>
      </c>
      <c r="F82">
        <f t="shared" si="6"/>
        <v>1000</v>
      </c>
      <c r="H82">
        <f t="shared" si="8"/>
        <v>297</v>
      </c>
      <c r="J82" t="str">
        <f>VLOOKUP(C82,D_工坊技能描述表!$A$2:$B$11,2,0)</f>
        <v>攻击提升</v>
      </c>
    </row>
    <row r="83" spans="1:10" x14ac:dyDescent="0.15">
      <c r="A83">
        <f t="shared" si="9"/>
        <v>9</v>
      </c>
      <c r="B83">
        <f t="shared" si="10"/>
        <v>2</v>
      </c>
      <c r="C83">
        <f t="shared" si="7"/>
        <v>9</v>
      </c>
      <c r="D83">
        <v>22</v>
      </c>
      <c r="E83" s="19">
        <f>ROUND(VLOOKUP(B83*8,[1]!总属性参考数组,4,0)*0.1865,0)</f>
        <v>1194</v>
      </c>
      <c r="F83">
        <f t="shared" si="6"/>
        <v>2000</v>
      </c>
      <c r="H83">
        <f t="shared" si="8"/>
        <v>429</v>
      </c>
      <c r="J83" t="str">
        <f>VLOOKUP(C83,D_工坊技能描述表!$A$2:$B$11,2,0)</f>
        <v>攻击提升</v>
      </c>
    </row>
    <row r="84" spans="1:10" x14ac:dyDescent="0.15">
      <c r="A84">
        <f t="shared" si="9"/>
        <v>9</v>
      </c>
      <c r="B84">
        <f t="shared" si="10"/>
        <v>3</v>
      </c>
      <c r="C84">
        <f t="shared" si="7"/>
        <v>9</v>
      </c>
      <c r="D84">
        <v>22</v>
      </c>
      <c r="E84" s="19">
        <f>ROUND(VLOOKUP(B84*8,[1]!总属性参考数组,4,0)*0.1865,0)</f>
        <v>1561</v>
      </c>
      <c r="F84">
        <f t="shared" si="6"/>
        <v>4000</v>
      </c>
      <c r="H84">
        <f t="shared" si="8"/>
        <v>561</v>
      </c>
      <c r="J84" t="str">
        <f>VLOOKUP(C84,D_工坊技能描述表!$A$2:$B$11,2,0)</f>
        <v>攻击提升</v>
      </c>
    </row>
    <row r="85" spans="1:10" x14ac:dyDescent="0.15">
      <c r="A85">
        <f t="shared" si="9"/>
        <v>9</v>
      </c>
      <c r="B85">
        <f t="shared" si="10"/>
        <v>4</v>
      </c>
      <c r="C85">
        <f t="shared" si="7"/>
        <v>9</v>
      </c>
      <c r="D85">
        <v>22</v>
      </c>
      <c r="E85" s="19">
        <f>ROUND(VLOOKUP(B85*8,[1]!总属性参考数组,4,0)*0.1865,0)</f>
        <v>1998</v>
      </c>
      <c r="F85">
        <f t="shared" si="6"/>
        <v>8000</v>
      </c>
      <c r="H85">
        <f t="shared" si="8"/>
        <v>719</v>
      </c>
      <c r="J85" t="str">
        <f>VLOOKUP(C85,D_工坊技能描述表!$A$2:$B$11,2,0)</f>
        <v>攻击提升</v>
      </c>
    </row>
    <row r="86" spans="1:10" x14ac:dyDescent="0.15">
      <c r="A86">
        <f t="shared" si="9"/>
        <v>9</v>
      </c>
      <c r="B86">
        <f t="shared" si="10"/>
        <v>5</v>
      </c>
      <c r="C86">
        <f t="shared" si="7"/>
        <v>9</v>
      </c>
      <c r="D86">
        <v>22</v>
      </c>
      <c r="E86" s="19">
        <f>ROUND(VLOOKUP(B86*8,[1]!总属性参考数组,4,0)*0.1865,0)</f>
        <v>2572</v>
      </c>
      <c r="F86">
        <f t="shared" si="6"/>
        <v>16000</v>
      </c>
      <c r="H86">
        <f t="shared" si="8"/>
        <v>925</v>
      </c>
      <c r="J86" t="str">
        <f>VLOOKUP(C86,D_工坊技能描述表!$A$2:$B$11,2,0)</f>
        <v>攻击提升</v>
      </c>
    </row>
    <row r="87" spans="1:10" x14ac:dyDescent="0.15">
      <c r="A87">
        <f t="shared" si="9"/>
        <v>9</v>
      </c>
      <c r="B87">
        <f t="shared" si="10"/>
        <v>6</v>
      </c>
      <c r="C87">
        <f t="shared" si="7"/>
        <v>9</v>
      </c>
      <c r="D87">
        <v>22</v>
      </c>
      <c r="E87" s="19">
        <f>ROUND(VLOOKUP(B87*8,[1]!总属性参考数组,4,0)*0.1865,0)</f>
        <v>3307</v>
      </c>
      <c r="F87">
        <f t="shared" si="6"/>
        <v>32000</v>
      </c>
      <c r="H87">
        <f t="shared" si="8"/>
        <v>1190</v>
      </c>
      <c r="J87" t="str">
        <f>VLOOKUP(C87,D_工坊技能描述表!$A$2:$B$11,2,0)</f>
        <v>攻击提升</v>
      </c>
    </row>
    <row r="88" spans="1:10" x14ac:dyDescent="0.15">
      <c r="A88">
        <f t="shared" si="9"/>
        <v>9</v>
      </c>
      <c r="B88">
        <f t="shared" si="10"/>
        <v>7</v>
      </c>
      <c r="C88">
        <f t="shared" si="7"/>
        <v>9</v>
      </c>
      <c r="D88">
        <v>22</v>
      </c>
      <c r="E88" s="19">
        <f>ROUND(VLOOKUP(B88*8,[1]!总属性参考数组,4,0)*0.1865,0)</f>
        <v>4202</v>
      </c>
      <c r="F88">
        <f t="shared" si="6"/>
        <v>64000</v>
      </c>
      <c r="H88">
        <f t="shared" si="8"/>
        <v>1512</v>
      </c>
      <c r="J88" t="str">
        <f>VLOOKUP(C88,D_工坊技能描述表!$A$2:$B$11,2,0)</f>
        <v>攻击提升</v>
      </c>
    </row>
    <row r="89" spans="1:10" x14ac:dyDescent="0.15">
      <c r="A89">
        <f t="shared" si="9"/>
        <v>9</v>
      </c>
      <c r="B89">
        <f t="shared" si="10"/>
        <v>8</v>
      </c>
      <c r="C89">
        <f t="shared" si="7"/>
        <v>9</v>
      </c>
      <c r="D89">
        <v>22</v>
      </c>
      <c r="E89" s="19">
        <f>ROUND(VLOOKUP(B89*8,[1]!总属性参考数组,4,0)*0.1865,0)</f>
        <v>5235</v>
      </c>
      <c r="F89">
        <f t="shared" si="6"/>
        <v>128000</v>
      </c>
      <c r="H89">
        <f t="shared" si="8"/>
        <v>1884</v>
      </c>
      <c r="J89" t="str">
        <f>VLOOKUP(C89,D_工坊技能描述表!$A$2:$B$11,2,0)</f>
        <v>攻击提升</v>
      </c>
    </row>
    <row r="90" spans="1:10" x14ac:dyDescent="0.15">
      <c r="A90">
        <f t="shared" si="9"/>
        <v>9</v>
      </c>
      <c r="B90">
        <f t="shared" si="10"/>
        <v>9</v>
      </c>
      <c r="C90">
        <f t="shared" si="7"/>
        <v>9</v>
      </c>
      <c r="D90">
        <v>22</v>
      </c>
      <c r="E90" s="19">
        <f>ROUND(VLOOKUP(B90*8,[1]!总属性参考数组,4,0)*0.1865,0)</f>
        <v>6406</v>
      </c>
      <c r="F90">
        <f t="shared" si="6"/>
        <v>256000</v>
      </c>
      <c r="H90">
        <f t="shared" si="8"/>
        <v>2306</v>
      </c>
      <c r="J90" t="str">
        <f>VLOOKUP(C90,D_工坊技能描述表!$A$2:$B$11,2,0)</f>
        <v>攻击提升</v>
      </c>
    </row>
    <row r="91" spans="1:10" x14ac:dyDescent="0.15">
      <c r="A91">
        <f t="shared" si="9"/>
        <v>9</v>
      </c>
      <c r="B91">
        <f t="shared" si="10"/>
        <v>10</v>
      </c>
      <c r="C91">
        <f t="shared" si="7"/>
        <v>9</v>
      </c>
      <c r="D91">
        <v>22</v>
      </c>
      <c r="E91" s="19">
        <f>ROUND(VLOOKUP(B91*8,[1]!总属性参考数组,4,0)*0.1865,0)</f>
        <v>7715</v>
      </c>
      <c r="F91">
        <f t="shared" si="6"/>
        <v>512000</v>
      </c>
      <c r="H91">
        <f t="shared" si="8"/>
        <v>2777</v>
      </c>
      <c r="J91" t="str">
        <f>VLOOKUP(C91,D_工坊技能描述表!$A$2:$B$11,2,0)</f>
        <v>攻击提升</v>
      </c>
    </row>
    <row r="92" spans="1:10" x14ac:dyDescent="0.15">
      <c r="A92">
        <f t="shared" si="9"/>
        <v>10</v>
      </c>
      <c r="B92">
        <f t="shared" si="10"/>
        <v>1</v>
      </c>
      <c r="C92">
        <f t="shared" si="7"/>
        <v>10</v>
      </c>
      <c r="D92">
        <v>23</v>
      </c>
      <c r="E92" s="16">
        <f>ROUND(VLOOKUP(B92*8,[1]!总属性参考数组,4,0)*0.28,0)</f>
        <v>1241</v>
      </c>
      <c r="F92">
        <f>F82</f>
        <v>1000</v>
      </c>
      <c r="H92">
        <f t="shared" si="8"/>
        <v>297</v>
      </c>
      <c r="J92" t="str">
        <f>VLOOKUP(C92,D_工坊技能描述表!$A$2:$B$11,2,0)</f>
        <v>防御提升</v>
      </c>
    </row>
    <row r="93" spans="1:10" x14ac:dyDescent="0.15">
      <c r="A93">
        <f t="shared" si="9"/>
        <v>10</v>
      </c>
      <c r="B93">
        <f t="shared" si="10"/>
        <v>2</v>
      </c>
      <c r="C93">
        <f t="shared" si="7"/>
        <v>10</v>
      </c>
      <c r="D93">
        <v>23</v>
      </c>
      <c r="E93" s="16">
        <f>ROUND(VLOOKUP(B93*8,[1]!总属性参考数组,4,0)*0.28,0)</f>
        <v>1793</v>
      </c>
      <c r="F93">
        <f t="shared" ref="F93:F101" si="11">F83</f>
        <v>2000</v>
      </c>
      <c r="H93">
        <f t="shared" si="8"/>
        <v>430</v>
      </c>
      <c r="J93" t="str">
        <f>VLOOKUP(C93,D_工坊技能描述表!$A$2:$B$11,2,0)</f>
        <v>防御提升</v>
      </c>
    </row>
    <row r="94" spans="1:10" x14ac:dyDescent="0.15">
      <c r="A94">
        <f t="shared" si="9"/>
        <v>10</v>
      </c>
      <c r="B94">
        <f t="shared" si="10"/>
        <v>3</v>
      </c>
      <c r="C94">
        <f t="shared" si="7"/>
        <v>10</v>
      </c>
      <c r="D94">
        <v>23</v>
      </c>
      <c r="E94" s="16">
        <f>ROUND(VLOOKUP(B94*8,[1]!总属性参考数组,4,0)*0.28,0)</f>
        <v>2344</v>
      </c>
      <c r="F94">
        <f t="shared" si="11"/>
        <v>4000</v>
      </c>
      <c r="H94">
        <f t="shared" si="8"/>
        <v>562</v>
      </c>
      <c r="J94" t="str">
        <f>VLOOKUP(C94,D_工坊技能描述表!$A$2:$B$11,2,0)</f>
        <v>防御提升</v>
      </c>
    </row>
    <row r="95" spans="1:10" x14ac:dyDescent="0.15">
      <c r="A95">
        <f t="shared" si="9"/>
        <v>10</v>
      </c>
      <c r="B95">
        <f t="shared" si="10"/>
        <v>4</v>
      </c>
      <c r="C95">
        <f t="shared" si="7"/>
        <v>10</v>
      </c>
      <c r="D95">
        <v>23</v>
      </c>
      <c r="E95" s="16">
        <f>ROUND(VLOOKUP(B95*8,[1]!总属性参考数组,4,0)*0.28,0)</f>
        <v>2999</v>
      </c>
      <c r="F95">
        <f t="shared" si="11"/>
        <v>8000</v>
      </c>
      <c r="H95">
        <f t="shared" si="8"/>
        <v>719</v>
      </c>
      <c r="J95" t="str">
        <f>VLOOKUP(C95,D_工坊技能描述表!$A$2:$B$11,2,0)</f>
        <v>防御提升</v>
      </c>
    </row>
    <row r="96" spans="1:10" x14ac:dyDescent="0.15">
      <c r="A96">
        <f t="shared" si="9"/>
        <v>10</v>
      </c>
      <c r="B96">
        <f t="shared" si="10"/>
        <v>5</v>
      </c>
      <c r="C96">
        <f t="shared" si="7"/>
        <v>10</v>
      </c>
      <c r="D96">
        <v>23</v>
      </c>
      <c r="E96" s="16">
        <f>ROUND(VLOOKUP(B96*8,[1]!总属性参考数组,4,0)*0.28,0)</f>
        <v>3861</v>
      </c>
      <c r="F96">
        <f t="shared" si="11"/>
        <v>16000</v>
      </c>
      <c r="H96">
        <f t="shared" si="8"/>
        <v>926</v>
      </c>
      <c r="J96" t="str">
        <f>VLOOKUP(C96,D_工坊技能描述表!$A$2:$B$11,2,0)</f>
        <v>防御提升</v>
      </c>
    </row>
    <row r="97" spans="1:10" x14ac:dyDescent="0.15">
      <c r="A97">
        <f t="shared" si="9"/>
        <v>10</v>
      </c>
      <c r="B97">
        <f t="shared" si="10"/>
        <v>6</v>
      </c>
      <c r="C97">
        <f t="shared" si="7"/>
        <v>10</v>
      </c>
      <c r="D97">
        <v>23</v>
      </c>
      <c r="E97" s="16">
        <f>ROUND(VLOOKUP(B97*8,[1]!总属性参考数组,4,0)*0.28,0)</f>
        <v>4964</v>
      </c>
      <c r="F97">
        <f t="shared" si="11"/>
        <v>32000</v>
      </c>
      <c r="H97">
        <f t="shared" si="8"/>
        <v>1191</v>
      </c>
      <c r="J97" t="str">
        <f>VLOOKUP(C97,D_工坊技能描述表!$A$2:$B$11,2,0)</f>
        <v>防御提升</v>
      </c>
    </row>
    <row r="98" spans="1:10" x14ac:dyDescent="0.15">
      <c r="A98">
        <f t="shared" si="9"/>
        <v>10</v>
      </c>
      <c r="B98">
        <f t="shared" si="10"/>
        <v>7</v>
      </c>
      <c r="C98">
        <f t="shared" si="7"/>
        <v>10</v>
      </c>
      <c r="D98">
        <v>23</v>
      </c>
      <c r="E98" s="16">
        <f>ROUND(VLOOKUP(B98*8,[1]!总属性参考数组,4,0)*0.28,0)</f>
        <v>6309</v>
      </c>
      <c r="F98">
        <f t="shared" si="11"/>
        <v>64000</v>
      </c>
      <c r="H98">
        <f t="shared" si="8"/>
        <v>1514</v>
      </c>
      <c r="J98" t="str">
        <f>VLOOKUP(C98,D_工坊技能描述表!$A$2:$B$11,2,0)</f>
        <v>防御提升</v>
      </c>
    </row>
    <row r="99" spans="1:10" x14ac:dyDescent="0.15">
      <c r="A99">
        <f t="shared" si="9"/>
        <v>10</v>
      </c>
      <c r="B99">
        <f t="shared" si="10"/>
        <v>8</v>
      </c>
      <c r="C99">
        <f t="shared" si="7"/>
        <v>10</v>
      </c>
      <c r="D99">
        <v>23</v>
      </c>
      <c r="E99" s="16">
        <f>ROUND(VLOOKUP(B99*8,[1]!总属性参考数组,4,0)*0.28,0)</f>
        <v>7860</v>
      </c>
      <c r="F99">
        <f t="shared" si="11"/>
        <v>128000</v>
      </c>
      <c r="H99">
        <f t="shared" si="8"/>
        <v>1886</v>
      </c>
      <c r="J99" t="str">
        <f>VLOOKUP(C99,D_工坊技能描述表!$A$2:$B$11,2,0)</f>
        <v>防御提升</v>
      </c>
    </row>
    <row r="100" spans="1:10" x14ac:dyDescent="0.15">
      <c r="A100">
        <f t="shared" si="9"/>
        <v>10</v>
      </c>
      <c r="B100">
        <f t="shared" si="10"/>
        <v>9</v>
      </c>
      <c r="C100">
        <f t="shared" si="7"/>
        <v>10</v>
      </c>
      <c r="D100">
        <v>23</v>
      </c>
      <c r="E100" s="16">
        <f>ROUND(VLOOKUP(B100*8,[1]!总属性参考数组,4,0)*0.28,0)</f>
        <v>9618</v>
      </c>
      <c r="F100">
        <f t="shared" si="11"/>
        <v>256000</v>
      </c>
      <c r="H100">
        <f t="shared" si="8"/>
        <v>2308</v>
      </c>
      <c r="J100" t="str">
        <f>VLOOKUP(C100,D_工坊技能描述表!$A$2:$B$11,2,0)</f>
        <v>防御提升</v>
      </c>
    </row>
    <row r="101" spans="1:10" x14ac:dyDescent="0.15">
      <c r="A101">
        <f t="shared" si="9"/>
        <v>10</v>
      </c>
      <c r="B101">
        <f t="shared" si="10"/>
        <v>10</v>
      </c>
      <c r="C101">
        <f t="shared" si="7"/>
        <v>10</v>
      </c>
      <c r="D101">
        <v>23</v>
      </c>
      <c r="E101" s="16">
        <f>ROUND(VLOOKUP(B101*8,[1]!总属性参考数组,4,0)*0.28,0)</f>
        <v>11583</v>
      </c>
      <c r="F101">
        <f t="shared" si="11"/>
        <v>512000</v>
      </c>
      <c r="H101">
        <f t="shared" si="8"/>
        <v>2779</v>
      </c>
      <c r="J101" t="str">
        <f>VLOOKUP(C101,D_工坊技能描述表!$A$2:$B$11,2,0)</f>
        <v>防御提升</v>
      </c>
    </row>
  </sheetData>
  <phoneticPr fontId="1" type="noConversion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1"/>
  <sheetViews>
    <sheetView workbookViewId="0">
      <selection activeCell="G11" sqref="G11"/>
    </sheetView>
  </sheetViews>
  <sheetFormatPr defaultRowHeight="13.5" x14ac:dyDescent="0.15"/>
  <cols>
    <col min="2" max="2" width="10" bestFit="1" customWidth="1"/>
    <col min="3" max="3" width="22.625" bestFit="1" customWidth="1"/>
    <col min="4" max="4" width="12.75" bestFit="1" customWidth="1"/>
  </cols>
  <sheetData>
    <row r="1" spans="1:6" x14ac:dyDescent="0.15">
      <c r="A1" t="s">
        <v>156</v>
      </c>
      <c r="B1" t="s">
        <v>157</v>
      </c>
      <c r="C1" t="s">
        <v>158</v>
      </c>
      <c r="D1" t="s">
        <v>159</v>
      </c>
    </row>
    <row r="2" spans="1:6" x14ac:dyDescent="0.15">
      <c r="A2">
        <v>1</v>
      </c>
      <c r="B2" t="s">
        <v>161</v>
      </c>
      <c r="C2" t="s">
        <v>197</v>
      </c>
      <c r="D2" t="str">
        <f>E2&amp;".png"</f>
        <v>9612201.png</v>
      </c>
      <c r="E2">
        <f>工坊技能图标!D2</f>
        <v>9612201</v>
      </c>
      <c r="F2">
        <v>9605201</v>
      </c>
    </row>
    <row r="3" spans="1:6" x14ac:dyDescent="0.15">
      <c r="A3">
        <v>2</v>
      </c>
      <c r="B3" t="s">
        <v>160</v>
      </c>
      <c r="C3" t="s">
        <v>196</v>
      </c>
      <c r="D3" t="str">
        <f t="shared" ref="D3:D11" si="0">E3&amp;".png"</f>
        <v>9615201.png</v>
      </c>
      <c r="E3">
        <f>工坊技能图标!D3</f>
        <v>9615201</v>
      </c>
      <c r="F3">
        <v>9610201</v>
      </c>
    </row>
    <row r="4" spans="1:6" x14ac:dyDescent="0.15">
      <c r="A4">
        <v>3</v>
      </c>
      <c r="B4" t="s">
        <v>162</v>
      </c>
      <c r="C4" t="s">
        <v>198</v>
      </c>
      <c r="D4" t="str">
        <f t="shared" si="0"/>
        <v>9614201.png</v>
      </c>
      <c r="E4">
        <f>工坊技能图标!D4</f>
        <v>9614201</v>
      </c>
      <c r="F4">
        <v>9603201</v>
      </c>
    </row>
    <row r="5" spans="1:6" x14ac:dyDescent="0.15">
      <c r="A5">
        <v>4</v>
      </c>
      <c r="B5" t="s">
        <v>163</v>
      </c>
      <c r="C5" t="s">
        <v>211</v>
      </c>
      <c r="D5" t="str">
        <f t="shared" si="0"/>
        <v>9610101.png</v>
      </c>
      <c r="E5">
        <f>工坊技能图标!D5</f>
        <v>9610101</v>
      </c>
      <c r="F5">
        <v>9602201</v>
      </c>
    </row>
    <row r="6" spans="1:6" x14ac:dyDescent="0.15">
      <c r="A6">
        <v>5</v>
      </c>
      <c r="B6" t="s">
        <v>210</v>
      </c>
      <c r="C6" t="s">
        <v>212</v>
      </c>
      <c r="D6" t="str">
        <f t="shared" si="0"/>
        <v>9605101.png</v>
      </c>
      <c r="E6">
        <f>工坊技能图标!D6</f>
        <v>9605101</v>
      </c>
      <c r="F6">
        <v>9601201</v>
      </c>
    </row>
    <row r="7" spans="1:6" x14ac:dyDescent="0.15">
      <c r="A7">
        <v>6</v>
      </c>
      <c r="B7" t="s">
        <v>164</v>
      </c>
      <c r="C7" t="s">
        <v>200</v>
      </c>
      <c r="D7" t="str">
        <f t="shared" si="0"/>
        <v>9604201.png</v>
      </c>
      <c r="E7">
        <f>工坊技能图标!D7</f>
        <v>9604201</v>
      </c>
      <c r="F7">
        <v>9608201</v>
      </c>
    </row>
    <row r="8" spans="1:6" x14ac:dyDescent="0.15">
      <c r="A8">
        <v>7</v>
      </c>
      <c r="B8" t="s">
        <v>221</v>
      </c>
      <c r="C8" t="s">
        <v>199</v>
      </c>
      <c r="D8" t="str">
        <f t="shared" si="0"/>
        <v>9613201.png</v>
      </c>
      <c r="E8">
        <f>工坊技能图标!D8</f>
        <v>9613201</v>
      </c>
      <c r="F8">
        <v>9605201</v>
      </c>
    </row>
    <row r="9" spans="1:6" x14ac:dyDescent="0.15">
      <c r="A9">
        <v>8</v>
      </c>
      <c r="B9" t="s">
        <v>161</v>
      </c>
      <c r="C9" t="s">
        <v>197</v>
      </c>
      <c r="D9" t="str">
        <f t="shared" si="0"/>
        <v>9602201.png</v>
      </c>
      <c r="E9">
        <f>工坊技能图标!D9</f>
        <v>9602201</v>
      </c>
      <c r="F9">
        <v>9610201</v>
      </c>
    </row>
    <row r="10" spans="1:6" x14ac:dyDescent="0.15">
      <c r="A10">
        <v>9</v>
      </c>
      <c r="B10" t="s">
        <v>160</v>
      </c>
      <c r="C10" t="s">
        <v>196</v>
      </c>
      <c r="D10" t="str">
        <f t="shared" si="0"/>
        <v>9606101.png</v>
      </c>
      <c r="E10">
        <f>工坊技能图标!D10</f>
        <v>9606101</v>
      </c>
      <c r="F10">
        <v>9616201</v>
      </c>
    </row>
    <row r="11" spans="1:6" x14ac:dyDescent="0.15">
      <c r="A11">
        <v>10</v>
      </c>
      <c r="B11" t="s">
        <v>162</v>
      </c>
      <c r="C11" t="s">
        <v>198</v>
      </c>
      <c r="D11" t="str">
        <f t="shared" si="0"/>
        <v>9605201.png</v>
      </c>
      <c r="E11">
        <f>工坊技能图标!D11</f>
        <v>9605201</v>
      </c>
      <c r="F11">
        <v>9602201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1"/>
  <sheetViews>
    <sheetView workbookViewId="0">
      <selection activeCell="F4" sqref="F4"/>
    </sheetView>
  </sheetViews>
  <sheetFormatPr defaultRowHeight="13.5" x14ac:dyDescent="0.15"/>
  <cols>
    <col min="3" max="3" width="17" customWidth="1"/>
    <col min="4" max="4" width="12.25" customWidth="1"/>
    <col min="5" max="5" width="17.125" customWidth="1"/>
    <col min="19" max="19" width="17.875" customWidth="1"/>
  </cols>
  <sheetData>
    <row r="1" spans="1:4" x14ac:dyDescent="0.15">
      <c r="A1" t="str">
        <f>D_工坊技能描述表!A1</f>
        <v>技能描述ID</v>
      </c>
      <c r="B1" t="str">
        <f>D_工坊技能描述表!B1</f>
        <v>技能名称</v>
      </c>
      <c r="C1" t="str">
        <f>D_工坊技能描述表!C1</f>
        <v>技能描述</v>
      </c>
      <c r="D1" t="str">
        <f>D_工坊技能描述表!D1</f>
        <v>技能icon</v>
      </c>
    </row>
    <row r="2" spans="1:4" ht="69.95" customHeight="1" x14ac:dyDescent="0.15">
      <c r="A2">
        <f>D_工坊技能描述表!A2</f>
        <v>1</v>
      </c>
      <c r="B2" t="str">
        <f>D_工坊技能描述表!B2</f>
        <v>生命提升</v>
      </c>
      <c r="C2" t="str">
        <f>D_工坊技能描述表!C2</f>
        <v>堂口成员生命值</v>
      </c>
      <c r="D2">
        <v>9612201</v>
      </c>
    </row>
    <row r="3" spans="1:4" ht="69.95" customHeight="1" x14ac:dyDescent="0.15">
      <c r="A3">
        <f>D_工坊技能描述表!A3</f>
        <v>2</v>
      </c>
      <c r="B3" t="str">
        <f>D_工坊技能描述表!B3</f>
        <v>攻击提升</v>
      </c>
      <c r="C3" t="str">
        <f>D_工坊技能描述表!C3</f>
        <v>堂口成员攻击</v>
      </c>
      <c r="D3">
        <v>9615201</v>
      </c>
    </row>
    <row r="4" spans="1:4" ht="69.95" customHeight="1" x14ac:dyDescent="0.15">
      <c r="A4">
        <f>D_工坊技能描述表!A4</f>
        <v>3</v>
      </c>
      <c r="B4" t="str">
        <f>D_工坊技能描述表!B4</f>
        <v>防御提升</v>
      </c>
      <c r="C4" t="str">
        <f>D_工坊技能描述表!C4</f>
        <v>堂口成员防御</v>
      </c>
      <c r="D4">
        <v>9614201</v>
      </c>
    </row>
    <row r="5" spans="1:4" ht="69.95" customHeight="1" x14ac:dyDescent="0.15">
      <c r="A5">
        <f>D_工坊技能描述表!A5</f>
        <v>4</v>
      </c>
      <c r="B5" t="str">
        <f>D_工坊技能描述表!B5</f>
        <v>暴击提升</v>
      </c>
      <c r="C5" t="str">
        <f>D_工坊技能描述表!C5</f>
        <v>堂口成员暴击值</v>
      </c>
      <c r="D5">
        <v>9610101</v>
      </c>
    </row>
    <row r="6" spans="1:4" ht="69.95" customHeight="1" x14ac:dyDescent="0.15">
      <c r="A6">
        <f>D_工坊技能描述表!A6</f>
        <v>5</v>
      </c>
      <c r="B6" t="str">
        <f>D_工坊技能描述表!B6</f>
        <v>闪避提升</v>
      </c>
      <c r="C6" t="str">
        <f>D_工坊技能描述表!C6</f>
        <v>堂口成员闪避值</v>
      </c>
      <c r="D6">
        <v>9605101</v>
      </c>
    </row>
    <row r="7" spans="1:4" ht="69.95" customHeight="1" x14ac:dyDescent="0.15">
      <c r="A7">
        <f>D_工坊技能描述表!A7</f>
        <v>6</v>
      </c>
      <c r="B7" t="str">
        <f>D_工坊技能描述表!B7</f>
        <v>减伤提升</v>
      </c>
      <c r="C7" t="str">
        <f>D_工坊技能描述表!C7</f>
        <v>堂口成员减伤</v>
      </c>
      <c r="D7">
        <v>9604201</v>
      </c>
    </row>
    <row r="8" spans="1:4" ht="69.95" customHeight="1" x14ac:dyDescent="0.15">
      <c r="A8">
        <f>D_工坊技能描述表!A8</f>
        <v>7</v>
      </c>
      <c r="B8" t="str">
        <f>D_工坊技能描述表!B8</f>
        <v>伤害提升</v>
      </c>
      <c r="C8" t="str">
        <f>D_工坊技能描述表!C8</f>
        <v>堂口成员伤害</v>
      </c>
      <c r="D8">
        <v>9613201</v>
      </c>
    </row>
    <row r="9" spans="1:4" ht="69.95" customHeight="1" x14ac:dyDescent="0.15">
      <c r="A9">
        <f>D_工坊技能描述表!A9</f>
        <v>8</v>
      </c>
      <c r="B9" t="str">
        <f>D_工坊技能描述表!B9</f>
        <v>生命提升</v>
      </c>
      <c r="C9" t="str">
        <f>D_工坊技能描述表!C9</f>
        <v>堂口成员生命值</v>
      </c>
      <c r="D9">
        <v>9602201</v>
      </c>
    </row>
    <row r="10" spans="1:4" ht="69.95" customHeight="1" x14ac:dyDescent="0.15">
      <c r="A10">
        <f>D_工坊技能描述表!A10</f>
        <v>9</v>
      </c>
      <c r="B10" t="str">
        <f>D_工坊技能描述表!B10</f>
        <v>攻击提升</v>
      </c>
      <c r="C10" t="str">
        <f>D_工坊技能描述表!C10</f>
        <v>堂口成员攻击</v>
      </c>
      <c r="D10">
        <v>9606101</v>
      </c>
    </row>
    <row r="11" spans="1:4" ht="69.95" customHeight="1" x14ac:dyDescent="0.15">
      <c r="A11">
        <f>D_工坊技能描述表!A11</f>
        <v>10</v>
      </c>
      <c r="B11" t="str">
        <f>D_工坊技能描述表!B11</f>
        <v>防御提升</v>
      </c>
      <c r="C11" t="str">
        <f>D_工坊技能描述表!C11</f>
        <v>堂口成员防御</v>
      </c>
      <c r="D11">
        <v>9605201</v>
      </c>
    </row>
  </sheetData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Q76"/>
  <sheetViews>
    <sheetView workbookViewId="0">
      <selection activeCell="J32" sqref="J32"/>
    </sheetView>
  </sheetViews>
  <sheetFormatPr defaultRowHeight="13.5" x14ac:dyDescent="0.15"/>
  <cols>
    <col min="4" max="4" width="17.625" customWidth="1"/>
    <col min="9" max="9" width="13" bestFit="1" customWidth="1"/>
    <col min="13" max="13" width="11.75" customWidth="1"/>
  </cols>
  <sheetData>
    <row r="1" spans="1:17" x14ac:dyDescent="0.15">
      <c r="A1" t="s">
        <v>20</v>
      </c>
      <c r="B1" t="s">
        <v>181</v>
      </c>
      <c r="C1" t="s">
        <v>182</v>
      </c>
      <c r="D1" t="s">
        <v>183</v>
      </c>
      <c r="E1" t="s">
        <v>184</v>
      </c>
      <c r="F1" t="s">
        <v>185</v>
      </c>
      <c r="G1" t="s">
        <v>187</v>
      </c>
      <c r="I1" t="s">
        <v>217</v>
      </c>
      <c r="J1" t="s">
        <v>218</v>
      </c>
      <c r="K1" t="s">
        <v>216</v>
      </c>
      <c r="L1" t="s">
        <v>186</v>
      </c>
      <c r="P1" t="s">
        <v>219</v>
      </c>
      <c r="Q1" t="s">
        <v>220</v>
      </c>
    </row>
    <row r="2" spans="1:17" x14ac:dyDescent="0.15">
      <c r="A2">
        <v>1</v>
      </c>
      <c r="B2">
        <v>0</v>
      </c>
      <c r="C2">
        <v>89107</v>
      </c>
      <c r="D2" s="4" t="str">
        <f>IFERROR(VLOOKUP(C2,[2]引用表合并!$A$2:$B$1000,2,FALSE),"")</f>
        <v>技能升级石</v>
      </c>
      <c r="E2">
        <v>20</v>
      </c>
      <c r="F2">
        <v>-1</v>
      </c>
      <c r="G2">
        <v>600</v>
      </c>
      <c r="I2">
        <v>30</v>
      </c>
      <c r="J2">
        <v>0.33334000000000003</v>
      </c>
      <c r="K2">
        <f>VLOOKUP(C2,[3]!游戏物价查询,7,FALSE)*E2</f>
        <v>5</v>
      </c>
      <c r="L2" s="14">
        <f>IF(F2&lt;0,1,F2/SUMIF(F:F,"&gt;0"))</f>
        <v>1</v>
      </c>
    </row>
    <row r="3" spans="1:17" x14ac:dyDescent="0.15">
      <c r="A3">
        <v>2</v>
      </c>
      <c r="B3">
        <v>0</v>
      </c>
      <c r="C3">
        <v>78118</v>
      </c>
      <c r="D3" s="4" t="str">
        <f>IFERROR(VLOOKUP(C3,[2]引用表合并!$A$2:$B$1000,2,FALSE),"")</f>
        <v>马仔碎片(耀阳)</v>
      </c>
      <c r="E3">
        <v>3</v>
      </c>
      <c r="F3">
        <v>-1</v>
      </c>
      <c r="G3">
        <f>INT(K3*$I$2*J2)</f>
        <v>3000</v>
      </c>
      <c r="K3">
        <f>VLOOKUP(C3,[3]!游戏物价查询,7,FALSE)*E3</f>
        <v>300</v>
      </c>
      <c r="L3" s="14">
        <f>IF(F3&lt;0,1,F3/SUMIF(F:F,"&gt;0"))</f>
        <v>1</v>
      </c>
    </row>
    <row r="4" spans="1:17" x14ac:dyDescent="0.15">
      <c r="A4">
        <v>3</v>
      </c>
      <c r="B4">
        <v>0</v>
      </c>
      <c r="C4" s="21">
        <v>92131</v>
      </c>
      <c r="D4" s="4" t="str">
        <f>IFERROR(VLOOKUP(C4,[2]引用表合并!$A$2:$B$1000,2,FALSE),"")</f>
        <v>幸运戒指</v>
      </c>
      <c r="E4" s="12">
        <v>1</v>
      </c>
      <c r="F4" s="13">
        <v>200</v>
      </c>
      <c r="G4">
        <f>K4*$I$2</f>
        <v>120</v>
      </c>
      <c r="H4">
        <f>SUM($F$4:F4)</f>
        <v>200</v>
      </c>
      <c r="K4">
        <f>VLOOKUP(C4,[3]!游戏物价查询,7,FALSE)*E4</f>
        <v>4</v>
      </c>
      <c r="L4" s="14">
        <f t="shared" ref="L4:L35" si="0">IF(F4&lt;0,"100%",F4/SUMIF(F:F,"&gt;0"))</f>
        <v>2.4154589371980676E-2</v>
      </c>
    </row>
    <row r="5" spans="1:17" x14ac:dyDescent="0.15">
      <c r="A5">
        <v>4</v>
      </c>
      <c r="B5">
        <v>0</v>
      </c>
      <c r="C5" s="21">
        <v>92011</v>
      </c>
      <c r="D5" s="4" t="str">
        <f>IFERROR(VLOOKUP(C5,[2]引用表合并!$A$2:$B$1000,2,FALSE),"")</f>
        <v>亚诺</v>
      </c>
      <c r="E5" s="12">
        <v>1</v>
      </c>
      <c r="F5" s="13">
        <v>200</v>
      </c>
      <c r="G5">
        <f t="shared" ref="G5:G34" si="1">K5*$I$2</f>
        <v>120</v>
      </c>
      <c r="H5">
        <f>SUM($F$4:F5)</f>
        <v>400</v>
      </c>
      <c r="K5">
        <f>VLOOKUP(C5,[3]!游戏物价查询,7,FALSE)*E5</f>
        <v>4</v>
      </c>
      <c r="L5" s="14">
        <f t="shared" si="0"/>
        <v>2.4154589371980676E-2</v>
      </c>
    </row>
    <row r="6" spans="1:17" x14ac:dyDescent="0.15">
      <c r="A6">
        <v>5</v>
      </c>
      <c r="B6">
        <v>0</v>
      </c>
      <c r="C6" s="21">
        <v>92228</v>
      </c>
      <c r="D6" s="4" t="str">
        <f>IFERROR(VLOOKUP(C6,[2]引用表合并!$A$2:$B$1000,2,FALSE),"")</f>
        <v>银色手环</v>
      </c>
      <c r="E6" s="12">
        <v>1</v>
      </c>
      <c r="F6" s="13">
        <v>200</v>
      </c>
      <c r="G6">
        <f t="shared" si="1"/>
        <v>60</v>
      </c>
      <c r="H6">
        <f>SUM($F$4:F6)</f>
        <v>600</v>
      </c>
      <c r="K6">
        <f>VLOOKUP(C6,[3]!游戏物价查询,7,FALSE)*E6</f>
        <v>2</v>
      </c>
      <c r="L6" s="14">
        <f t="shared" si="0"/>
        <v>2.4154589371980676E-2</v>
      </c>
    </row>
    <row r="7" spans="1:17" x14ac:dyDescent="0.15">
      <c r="A7">
        <v>6</v>
      </c>
      <c r="B7">
        <v>0</v>
      </c>
      <c r="C7" s="21">
        <v>92232</v>
      </c>
      <c r="D7" s="4" t="str">
        <f>IFERROR(VLOOKUP(C7,[2]引用表合并!$A$2:$B$1000,2,FALSE),"")</f>
        <v>鎏金手环</v>
      </c>
      <c r="E7" s="12">
        <v>1</v>
      </c>
      <c r="F7" s="13">
        <v>200</v>
      </c>
      <c r="G7">
        <f t="shared" si="1"/>
        <v>120</v>
      </c>
      <c r="H7">
        <f>SUM($F$4:F7)</f>
        <v>800</v>
      </c>
      <c r="K7">
        <f>VLOOKUP(C7,[3]!游戏物价查询,7,FALSE)*E7</f>
        <v>4</v>
      </c>
      <c r="L7" s="14">
        <f t="shared" si="0"/>
        <v>2.4154589371980676E-2</v>
      </c>
    </row>
    <row r="8" spans="1:17" x14ac:dyDescent="0.15">
      <c r="A8">
        <v>7</v>
      </c>
      <c r="B8">
        <v>0</v>
      </c>
      <c r="C8" s="21">
        <v>92121</v>
      </c>
      <c r="D8" s="4" t="str">
        <f>IFERROR(VLOOKUP(C8,[2]引用表合并!$A$2:$B$1000,2,FALSE),"")</f>
        <v>镀金耳钉</v>
      </c>
      <c r="E8" s="12">
        <v>1</v>
      </c>
      <c r="F8" s="13">
        <v>200</v>
      </c>
      <c r="G8">
        <f t="shared" si="1"/>
        <v>120</v>
      </c>
      <c r="H8">
        <f>SUM($F$4:F8)</f>
        <v>1000</v>
      </c>
      <c r="K8">
        <f>VLOOKUP(C8,[3]!游戏物价查询,7,FALSE)*E8</f>
        <v>4</v>
      </c>
      <c r="L8" s="14">
        <f t="shared" si="0"/>
        <v>2.4154589371980676E-2</v>
      </c>
    </row>
    <row r="9" spans="1:17" x14ac:dyDescent="0.15">
      <c r="A9">
        <v>8</v>
      </c>
      <c r="B9">
        <v>0</v>
      </c>
      <c r="C9" s="21">
        <v>92243</v>
      </c>
      <c r="D9" s="4" t="str">
        <f>IFERROR(VLOOKUP(C9,[2]引用表合并!$A$2:$B$1000,2,FALSE),"")</f>
        <v>诅咒项链</v>
      </c>
      <c r="E9" s="12">
        <v>1</v>
      </c>
      <c r="F9" s="13">
        <v>200</v>
      </c>
      <c r="G9">
        <f t="shared" si="1"/>
        <v>60</v>
      </c>
      <c r="H9">
        <f>SUM($F$4:F9)</f>
        <v>1200</v>
      </c>
      <c r="K9">
        <f>VLOOKUP(C9,[3]!游戏物价查询,7,FALSE)*E9</f>
        <v>2</v>
      </c>
      <c r="L9" s="14">
        <f t="shared" si="0"/>
        <v>2.4154589371980676E-2</v>
      </c>
    </row>
    <row r="10" spans="1:17" x14ac:dyDescent="0.15">
      <c r="A10">
        <v>9</v>
      </c>
      <c r="B10">
        <v>0</v>
      </c>
      <c r="C10" s="21">
        <v>92244</v>
      </c>
      <c r="D10" s="4" t="str">
        <f>IFERROR(VLOOKUP(C10,[2]引用表合并!$A$2:$B$1000,2,FALSE),"")</f>
        <v>金饰项链</v>
      </c>
      <c r="E10" s="12">
        <v>1</v>
      </c>
      <c r="F10" s="13">
        <v>200</v>
      </c>
      <c r="G10">
        <f t="shared" si="1"/>
        <v>120</v>
      </c>
      <c r="H10">
        <f>SUM($F$4:F10)</f>
        <v>1400</v>
      </c>
      <c r="K10">
        <f>VLOOKUP(C10,[3]!游戏物价查询,7,FALSE)*E10</f>
        <v>4</v>
      </c>
      <c r="L10" s="14">
        <f t="shared" si="0"/>
        <v>2.4154589371980676E-2</v>
      </c>
    </row>
    <row r="11" spans="1:17" x14ac:dyDescent="0.15">
      <c r="A11">
        <v>10</v>
      </c>
      <c r="B11">
        <v>0</v>
      </c>
      <c r="C11" s="21">
        <v>92263</v>
      </c>
      <c r="D11" s="4" t="str">
        <f>IFERROR(VLOOKUP(C11,[2]引用表合并!$A$2:$B$1000,2,FALSE),"")</f>
        <v>银针手表</v>
      </c>
      <c r="E11" s="12">
        <v>1</v>
      </c>
      <c r="F11" s="13">
        <v>200</v>
      </c>
      <c r="G11">
        <f t="shared" si="1"/>
        <v>120</v>
      </c>
      <c r="H11">
        <f>SUM($F$4:F11)</f>
        <v>1600</v>
      </c>
      <c r="K11">
        <f>VLOOKUP(C11,[3]!游戏物价查询,7,FALSE)*E11</f>
        <v>4</v>
      </c>
      <c r="L11" s="14">
        <f t="shared" si="0"/>
        <v>2.4154589371980676E-2</v>
      </c>
    </row>
    <row r="12" spans="1:17" x14ac:dyDescent="0.15">
      <c r="A12">
        <v>11</v>
      </c>
      <c r="B12">
        <v>0</v>
      </c>
      <c r="C12" s="21">
        <v>92277</v>
      </c>
      <c r="D12" s="4" t="str">
        <f>IFERROR(VLOOKUP(C12,[2]引用表合并!$A$2:$B$1000,2,FALSE),"")</f>
        <v>冬利</v>
      </c>
      <c r="E12" s="12">
        <v>1</v>
      </c>
      <c r="F12" s="13">
        <v>200</v>
      </c>
      <c r="G12">
        <f t="shared" si="1"/>
        <v>60</v>
      </c>
      <c r="H12">
        <f>SUM($F$4:F12)</f>
        <v>1800</v>
      </c>
      <c r="K12">
        <f>VLOOKUP(C12,[3]!游戏物价查询,7,FALSE)*E12</f>
        <v>2</v>
      </c>
      <c r="L12" s="14">
        <f t="shared" si="0"/>
        <v>2.4154589371980676E-2</v>
      </c>
    </row>
    <row r="13" spans="1:17" x14ac:dyDescent="0.15">
      <c r="A13">
        <v>12</v>
      </c>
      <c r="B13">
        <v>0</v>
      </c>
      <c r="C13" s="22">
        <v>93233</v>
      </c>
      <c r="D13" s="4" t="str">
        <f>IFERROR(VLOOKUP(C13,[2]引用表合并!$A$2:$B$1000,2,FALSE),"")</f>
        <v>白金手环碎片</v>
      </c>
      <c r="E13" s="12">
        <v>1</v>
      </c>
      <c r="F13" s="13">
        <v>200</v>
      </c>
      <c r="G13">
        <f t="shared" si="1"/>
        <v>60</v>
      </c>
      <c r="H13">
        <f>SUM($F$4:F13)</f>
        <v>2000</v>
      </c>
      <c r="K13">
        <f>VLOOKUP(C13,[3]!游戏物价查询,7,FALSE)*E13</f>
        <v>2</v>
      </c>
      <c r="L13" s="14">
        <f t="shared" si="0"/>
        <v>2.4154589371980676E-2</v>
      </c>
    </row>
    <row r="14" spans="1:17" x14ac:dyDescent="0.15">
      <c r="A14">
        <v>13</v>
      </c>
      <c r="B14">
        <v>0</v>
      </c>
      <c r="C14" s="22">
        <v>93122</v>
      </c>
      <c r="D14" s="4" t="str">
        <f>IFERROR(VLOOKUP(C14,[2]引用表合并!$A$2:$B$1000,2,FALSE),"")</f>
        <v>银饰耳钉碎片</v>
      </c>
      <c r="E14" s="12">
        <v>1</v>
      </c>
      <c r="F14" s="13">
        <v>200</v>
      </c>
      <c r="G14">
        <f t="shared" si="1"/>
        <v>60</v>
      </c>
      <c r="H14">
        <f>SUM($F$4:F14)</f>
        <v>2200</v>
      </c>
      <c r="K14">
        <f>VLOOKUP(C14,[3]!游戏物价查询,7,FALSE)*E14</f>
        <v>2</v>
      </c>
      <c r="L14" s="14">
        <f t="shared" si="0"/>
        <v>2.4154589371980676E-2</v>
      </c>
    </row>
    <row r="15" spans="1:17" x14ac:dyDescent="0.15">
      <c r="A15">
        <v>14</v>
      </c>
      <c r="B15">
        <v>0</v>
      </c>
      <c r="C15" s="22">
        <v>93141</v>
      </c>
      <c r="D15" s="4" t="str">
        <f>IFERROR(VLOOKUP(C15,[2]引用表合并!$A$2:$B$1000,2,FALSE),"")</f>
        <v>白银戒指碎片</v>
      </c>
      <c r="E15" s="12">
        <v>1</v>
      </c>
      <c r="F15" s="13">
        <v>200</v>
      </c>
      <c r="G15">
        <f t="shared" si="1"/>
        <v>60</v>
      </c>
      <c r="H15">
        <f>SUM($F$4:F15)</f>
        <v>2400</v>
      </c>
      <c r="K15">
        <f>VLOOKUP(C15,[3]!游戏物价查询,7,FALSE)*E15</f>
        <v>2</v>
      </c>
      <c r="L15" s="14">
        <f t="shared" si="0"/>
        <v>2.4154589371980676E-2</v>
      </c>
    </row>
    <row r="16" spans="1:17" x14ac:dyDescent="0.15">
      <c r="A16">
        <v>15</v>
      </c>
      <c r="B16">
        <v>0</v>
      </c>
      <c r="C16" s="22">
        <v>93245</v>
      </c>
      <c r="D16" s="4" t="str">
        <f>IFERROR(VLOOKUP(C16,[2]引用表合并!$A$2:$B$1000,2,FALSE),"")</f>
        <v>水晶项链碎片</v>
      </c>
      <c r="E16" s="12">
        <v>1</v>
      </c>
      <c r="F16" s="13">
        <v>200</v>
      </c>
      <c r="G16">
        <f t="shared" si="1"/>
        <v>60</v>
      </c>
      <c r="H16">
        <f>SUM($F$4:F16)</f>
        <v>2600</v>
      </c>
      <c r="K16">
        <f>VLOOKUP(C16,[3]!游戏物价查询,7,FALSE)*E16</f>
        <v>2</v>
      </c>
      <c r="L16" s="14">
        <f t="shared" si="0"/>
        <v>2.4154589371980676E-2</v>
      </c>
    </row>
    <row r="17" spans="1:12" x14ac:dyDescent="0.15">
      <c r="A17">
        <v>16</v>
      </c>
      <c r="B17">
        <v>0</v>
      </c>
      <c r="C17" s="22">
        <v>93251</v>
      </c>
      <c r="D17" s="4" t="str">
        <f>IFERROR(VLOOKUP(C17,[2]引用表合并!$A$2:$B$1000,2,FALSE),"")</f>
        <v>红石项链碎片</v>
      </c>
      <c r="E17" s="12">
        <v>1</v>
      </c>
      <c r="F17" s="13">
        <v>200</v>
      </c>
      <c r="G17">
        <f t="shared" si="1"/>
        <v>60</v>
      </c>
      <c r="H17">
        <f>SUM($F$4:F17)</f>
        <v>2800</v>
      </c>
      <c r="K17">
        <f>VLOOKUP(C17,[3]!游戏物价查询,7,FALSE)*E17</f>
        <v>2</v>
      </c>
      <c r="L17" s="14">
        <f t="shared" si="0"/>
        <v>2.4154589371980676E-2</v>
      </c>
    </row>
    <row r="18" spans="1:12" x14ac:dyDescent="0.15">
      <c r="A18">
        <v>17</v>
      </c>
      <c r="B18">
        <v>0</v>
      </c>
      <c r="C18" s="22">
        <v>93264</v>
      </c>
      <c r="D18" s="4" t="str">
        <f>IFERROR(VLOOKUP(C18,[2]引用表合并!$A$2:$B$1000,2,FALSE),"")</f>
        <v>越野手表碎片</v>
      </c>
      <c r="E18" s="12">
        <v>1</v>
      </c>
      <c r="F18" s="13">
        <v>200</v>
      </c>
      <c r="G18">
        <f t="shared" si="1"/>
        <v>60</v>
      </c>
      <c r="H18">
        <f>SUM($F$4:F18)</f>
        <v>3000</v>
      </c>
      <c r="K18">
        <f>VLOOKUP(C18,[3]!游戏物价查询,7,FALSE)*E18</f>
        <v>2</v>
      </c>
      <c r="L18" s="14">
        <f t="shared" si="0"/>
        <v>2.4154589371980676E-2</v>
      </c>
    </row>
    <row r="19" spans="1:12" x14ac:dyDescent="0.15">
      <c r="A19">
        <v>18</v>
      </c>
      <c r="B19">
        <v>0</v>
      </c>
      <c r="C19" s="22">
        <v>93271</v>
      </c>
      <c r="D19" s="4" t="str">
        <f>IFERROR(VLOOKUP(C19,[2]引用表合并!$A$2:$B$1000,2,FALSE),"")</f>
        <v>精准手表碎片</v>
      </c>
      <c r="E19" s="12">
        <v>1</v>
      </c>
      <c r="F19" s="13">
        <v>200</v>
      </c>
      <c r="G19">
        <f t="shared" si="1"/>
        <v>60</v>
      </c>
      <c r="H19">
        <f>SUM($F$4:F19)</f>
        <v>3200</v>
      </c>
      <c r="K19">
        <f>VLOOKUP(C19,[3]!游戏物价查询,7,FALSE)*E19</f>
        <v>2</v>
      </c>
      <c r="L19" s="14">
        <f t="shared" si="0"/>
        <v>2.4154589371980676E-2</v>
      </c>
    </row>
    <row r="20" spans="1:12" x14ac:dyDescent="0.15">
      <c r="A20">
        <v>19</v>
      </c>
      <c r="B20">
        <v>0</v>
      </c>
      <c r="C20" s="22">
        <v>93278</v>
      </c>
      <c r="D20" s="4" t="str">
        <f>IFERROR(VLOOKUP(C20,[2]引用表合并!$A$2:$B$1000,2,FALSE),"")</f>
        <v>宝驼碎片</v>
      </c>
      <c r="E20" s="12">
        <v>1</v>
      </c>
      <c r="F20" s="13">
        <v>200</v>
      </c>
      <c r="G20">
        <f t="shared" si="1"/>
        <v>60</v>
      </c>
      <c r="H20">
        <f>SUM($F$4:F20)</f>
        <v>3400</v>
      </c>
      <c r="K20">
        <f>VLOOKUP(C20,[3]!游戏物价查询,7,FALSE)*E20</f>
        <v>2</v>
      </c>
      <c r="L20" s="14">
        <f t="shared" si="0"/>
        <v>2.4154589371980676E-2</v>
      </c>
    </row>
    <row r="21" spans="1:12" x14ac:dyDescent="0.15">
      <c r="A21">
        <v>20</v>
      </c>
      <c r="B21">
        <v>0</v>
      </c>
      <c r="C21" s="22">
        <v>93283</v>
      </c>
      <c r="D21" s="4" t="str">
        <f>IFERROR(VLOOKUP(C21,[2]引用表合并!$A$2:$B$1000,2,FALSE),"")</f>
        <v>小迭钞票碎片</v>
      </c>
      <c r="E21" s="12">
        <v>1</v>
      </c>
      <c r="F21" s="13">
        <v>200</v>
      </c>
      <c r="G21">
        <f t="shared" si="1"/>
        <v>60</v>
      </c>
      <c r="H21">
        <f>SUM($F$4:F21)</f>
        <v>3600</v>
      </c>
      <c r="K21">
        <f>VLOOKUP(C21,[3]!游戏物价查询,7,FALSE)*E21</f>
        <v>2</v>
      </c>
      <c r="L21" s="14">
        <f t="shared" si="0"/>
        <v>2.4154589371980676E-2</v>
      </c>
    </row>
    <row r="22" spans="1:12" x14ac:dyDescent="0.15">
      <c r="A22">
        <v>21</v>
      </c>
      <c r="B22">
        <v>0</v>
      </c>
      <c r="C22" s="22">
        <v>93287</v>
      </c>
      <c r="D22" s="4" t="str">
        <f>IFERROR(VLOOKUP(C22,[2]引用表合并!$A$2:$B$1000,2,FALSE),"")</f>
        <v>金块碎片</v>
      </c>
      <c r="E22" s="12">
        <v>1</v>
      </c>
      <c r="F22" s="13">
        <v>200</v>
      </c>
      <c r="G22">
        <f t="shared" si="1"/>
        <v>60</v>
      </c>
      <c r="H22">
        <f>SUM($F$4:F22)</f>
        <v>3800</v>
      </c>
      <c r="K22">
        <f>VLOOKUP(C22,[3]!游戏物价查询,7,FALSE)*E22</f>
        <v>2</v>
      </c>
      <c r="L22" s="14">
        <f t="shared" si="0"/>
        <v>2.4154589371980676E-2</v>
      </c>
    </row>
    <row r="23" spans="1:12" x14ac:dyDescent="0.15">
      <c r="A23">
        <v>22</v>
      </c>
      <c r="B23">
        <v>0</v>
      </c>
      <c r="C23" s="22">
        <v>93233</v>
      </c>
      <c r="D23" s="4" t="str">
        <f>IFERROR(VLOOKUP(C23,[2]引用表合并!$A$2:$B$1000,2,FALSE),"")</f>
        <v>白金手环碎片</v>
      </c>
      <c r="E23" s="12">
        <v>2</v>
      </c>
      <c r="F23" s="13">
        <v>160</v>
      </c>
      <c r="G23">
        <f t="shared" si="1"/>
        <v>120</v>
      </c>
      <c r="H23">
        <f>SUM($F$4:F23)</f>
        <v>3960</v>
      </c>
      <c r="K23">
        <f>VLOOKUP(C23,[3]!游戏物价查询,7,FALSE)*E23</f>
        <v>4</v>
      </c>
      <c r="L23" s="14">
        <f t="shared" si="0"/>
        <v>1.932367149758454E-2</v>
      </c>
    </row>
    <row r="24" spans="1:12" x14ac:dyDescent="0.15">
      <c r="A24">
        <v>23</v>
      </c>
      <c r="B24">
        <v>0</v>
      </c>
      <c r="C24" s="22">
        <v>93122</v>
      </c>
      <c r="D24" s="4" t="str">
        <f>IFERROR(VLOOKUP(C24,[2]引用表合并!$A$2:$B$1000,2,FALSE),"")</f>
        <v>银饰耳钉碎片</v>
      </c>
      <c r="E24" s="12">
        <v>2</v>
      </c>
      <c r="F24" s="13">
        <v>160</v>
      </c>
      <c r="G24">
        <f t="shared" si="1"/>
        <v>120</v>
      </c>
      <c r="H24">
        <f>SUM($F$4:F24)</f>
        <v>4120</v>
      </c>
      <c r="K24">
        <f>VLOOKUP(C24,[3]!游戏物价查询,7,FALSE)*E24</f>
        <v>4</v>
      </c>
      <c r="L24" s="14">
        <f t="shared" si="0"/>
        <v>1.932367149758454E-2</v>
      </c>
    </row>
    <row r="25" spans="1:12" x14ac:dyDescent="0.15">
      <c r="A25">
        <v>24</v>
      </c>
      <c r="B25">
        <v>0</v>
      </c>
      <c r="C25" s="22">
        <v>93141</v>
      </c>
      <c r="D25" s="4" t="str">
        <f>IFERROR(VLOOKUP(C25,[2]引用表合并!$A$2:$B$1000,2,FALSE),"")</f>
        <v>白银戒指碎片</v>
      </c>
      <c r="E25" s="12">
        <v>2</v>
      </c>
      <c r="F25" s="13">
        <v>160</v>
      </c>
      <c r="G25">
        <f t="shared" si="1"/>
        <v>120</v>
      </c>
      <c r="H25">
        <f>SUM($F$4:F25)</f>
        <v>4280</v>
      </c>
      <c r="K25">
        <f>VLOOKUP(C25,[3]!游戏物价查询,7,FALSE)*E25</f>
        <v>4</v>
      </c>
      <c r="L25" s="14">
        <f t="shared" si="0"/>
        <v>1.932367149758454E-2</v>
      </c>
    </row>
    <row r="26" spans="1:12" x14ac:dyDescent="0.15">
      <c r="A26">
        <v>25</v>
      </c>
      <c r="B26">
        <v>0</v>
      </c>
      <c r="C26" s="22">
        <v>93245</v>
      </c>
      <c r="D26" s="4" t="str">
        <f>IFERROR(VLOOKUP(C26,[2]引用表合并!$A$2:$B$1000,2,FALSE),"")</f>
        <v>水晶项链碎片</v>
      </c>
      <c r="E26" s="12">
        <v>2</v>
      </c>
      <c r="F26" s="13">
        <v>160</v>
      </c>
      <c r="G26">
        <f t="shared" si="1"/>
        <v>120</v>
      </c>
      <c r="H26">
        <f>SUM($F$4:F26)</f>
        <v>4440</v>
      </c>
      <c r="K26">
        <f>VLOOKUP(C26,[3]!游戏物价查询,7,FALSE)*E26</f>
        <v>4</v>
      </c>
      <c r="L26" s="14">
        <f t="shared" si="0"/>
        <v>1.932367149758454E-2</v>
      </c>
    </row>
    <row r="27" spans="1:12" x14ac:dyDescent="0.15">
      <c r="A27">
        <v>26</v>
      </c>
      <c r="B27">
        <v>0</v>
      </c>
      <c r="C27" s="22">
        <v>93251</v>
      </c>
      <c r="D27" s="4" t="str">
        <f>IFERROR(VLOOKUP(C27,[2]引用表合并!$A$2:$B$1000,2,FALSE),"")</f>
        <v>红石项链碎片</v>
      </c>
      <c r="E27" s="12">
        <v>2</v>
      </c>
      <c r="F27" s="13">
        <v>160</v>
      </c>
      <c r="G27">
        <f t="shared" si="1"/>
        <v>120</v>
      </c>
      <c r="H27">
        <f>SUM($F$4:F27)</f>
        <v>4600</v>
      </c>
      <c r="K27">
        <f>VLOOKUP(C27,[3]!游戏物价查询,7,FALSE)*E27</f>
        <v>4</v>
      </c>
      <c r="L27" s="14">
        <f t="shared" si="0"/>
        <v>1.932367149758454E-2</v>
      </c>
    </row>
    <row r="28" spans="1:12" x14ac:dyDescent="0.15">
      <c r="A28">
        <v>27</v>
      </c>
      <c r="B28">
        <v>0</v>
      </c>
      <c r="C28" s="22">
        <v>93264</v>
      </c>
      <c r="D28" s="4" t="str">
        <f>IFERROR(VLOOKUP(C28,[2]引用表合并!$A$2:$B$1000,2,FALSE),"")</f>
        <v>越野手表碎片</v>
      </c>
      <c r="E28" s="12">
        <v>2</v>
      </c>
      <c r="F28" s="13">
        <v>160</v>
      </c>
      <c r="G28">
        <f t="shared" si="1"/>
        <v>120</v>
      </c>
      <c r="H28">
        <f>SUM($F$4:F28)</f>
        <v>4760</v>
      </c>
      <c r="K28">
        <f>VLOOKUP(C28,[3]!游戏物价查询,7,FALSE)*E28</f>
        <v>4</v>
      </c>
      <c r="L28" s="14">
        <f t="shared" si="0"/>
        <v>1.932367149758454E-2</v>
      </c>
    </row>
    <row r="29" spans="1:12" x14ac:dyDescent="0.15">
      <c r="A29">
        <v>28</v>
      </c>
      <c r="B29">
        <v>0</v>
      </c>
      <c r="C29" s="22">
        <v>93271</v>
      </c>
      <c r="D29" s="4" t="str">
        <f>IFERROR(VLOOKUP(C29,[2]引用表合并!$A$2:$B$1000,2,FALSE),"")</f>
        <v>精准手表碎片</v>
      </c>
      <c r="E29" s="12">
        <v>2</v>
      </c>
      <c r="F29" s="13">
        <v>160</v>
      </c>
      <c r="G29">
        <f t="shared" si="1"/>
        <v>120</v>
      </c>
      <c r="H29">
        <f>SUM($F$4:F29)</f>
        <v>4920</v>
      </c>
      <c r="K29">
        <f>VLOOKUP(C29,[3]!游戏物价查询,7,FALSE)*E29</f>
        <v>4</v>
      </c>
      <c r="L29" s="14">
        <f t="shared" si="0"/>
        <v>1.932367149758454E-2</v>
      </c>
    </row>
    <row r="30" spans="1:12" x14ac:dyDescent="0.15">
      <c r="A30">
        <v>29</v>
      </c>
      <c r="B30">
        <v>0</v>
      </c>
      <c r="C30" s="22">
        <v>93278</v>
      </c>
      <c r="D30" s="4" t="str">
        <f>IFERROR(VLOOKUP(C30,[2]引用表合并!$A$2:$B$1000,2,FALSE),"")</f>
        <v>宝驼碎片</v>
      </c>
      <c r="E30" s="12">
        <v>2</v>
      </c>
      <c r="F30" s="13">
        <v>160</v>
      </c>
      <c r="G30">
        <f t="shared" si="1"/>
        <v>120</v>
      </c>
      <c r="H30">
        <f>SUM($F$4:F30)</f>
        <v>5080</v>
      </c>
      <c r="K30">
        <f>VLOOKUP(C30,[3]!游戏物价查询,7,FALSE)*E30</f>
        <v>4</v>
      </c>
      <c r="L30" s="14">
        <f t="shared" si="0"/>
        <v>1.932367149758454E-2</v>
      </c>
    </row>
    <row r="31" spans="1:12" x14ac:dyDescent="0.15">
      <c r="A31">
        <v>30</v>
      </c>
      <c r="B31">
        <v>0</v>
      </c>
      <c r="C31" s="22">
        <v>93283</v>
      </c>
      <c r="D31" s="4" t="str">
        <f>IFERROR(VLOOKUP(C31,[2]引用表合并!$A$2:$B$1000,2,FALSE),"")</f>
        <v>小迭钞票碎片</v>
      </c>
      <c r="E31" s="12">
        <v>2</v>
      </c>
      <c r="F31" s="13">
        <v>160</v>
      </c>
      <c r="G31">
        <f t="shared" si="1"/>
        <v>120</v>
      </c>
      <c r="H31">
        <f>SUM($F$4:F31)</f>
        <v>5240</v>
      </c>
      <c r="K31">
        <f>VLOOKUP(C31,[3]!游戏物价查询,7,FALSE)*E31</f>
        <v>4</v>
      </c>
      <c r="L31" s="14">
        <f t="shared" si="0"/>
        <v>1.932367149758454E-2</v>
      </c>
    </row>
    <row r="32" spans="1:12" x14ac:dyDescent="0.15">
      <c r="A32">
        <v>31</v>
      </c>
      <c r="B32">
        <v>0</v>
      </c>
      <c r="C32" s="22">
        <v>93287</v>
      </c>
      <c r="D32" s="4" t="str">
        <f>IFERROR(VLOOKUP(C32,[2]引用表合并!$A$2:$B$1000,2,FALSE),"")</f>
        <v>金块碎片</v>
      </c>
      <c r="E32" s="12">
        <v>2</v>
      </c>
      <c r="F32" s="13">
        <v>160</v>
      </c>
      <c r="G32">
        <f t="shared" si="1"/>
        <v>120</v>
      </c>
      <c r="H32">
        <f>SUM($F$4:F32)</f>
        <v>5400</v>
      </c>
      <c r="K32">
        <f>VLOOKUP(C32,[3]!游戏物价查询,7,FALSE)*E32</f>
        <v>4</v>
      </c>
      <c r="L32" s="14">
        <f t="shared" si="0"/>
        <v>1.932367149758454E-2</v>
      </c>
    </row>
    <row r="33" spans="1:12" x14ac:dyDescent="0.15">
      <c r="A33">
        <v>32</v>
      </c>
      <c r="B33">
        <v>0</v>
      </c>
      <c r="C33" s="23">
        <v>93142</v>
      </c>
      <c r="D33" s="4" t="str">
        <f>IFERROR(VLOOKUP(C33,[2]引用表合并!$A$2:$B$1000,2,FALSE),"")</f>
        <v>黄金戒指碎片</v>
      </c>
      <c r="E33" s="12">
        <v>1</v>
      </c>
      <c r="F33" s="13">
        <v>100</v>
      </c>
      <c r="G33">
        <f t="shared" si="1"/>
        <v>120</v>
      </c>
      <c r="H33">
        <f>SUM($F$4:F33)</f>
        <v>5500</v>
      </c>
      <c r="K33">
        <f>VLOOKUP(C33,[3]!游戏物价查询,7,FALSE)*E33</f>
        <v>4</v>
      </c>
      <c r="L33" s="14">
        <f t="shared" si="0"/>
        <v>1.2077294685990338E-2</v>
      </c>
    </row>
    <row r="34" spans="1:12" x14ac:dyDescent="0.15">
      <c r="A34">
        <v>33</v>
      </c>
      <c r="B34">
        <v>0</v>
      </c>
      <c r="C34" s="23">
        <v>93235</v>
      </c>
      <c r="D34" s="4" t="str">
        <f>IFERROR(VLOOKUP(C34,[2]引用表合并!$A$2:$B$1000,2,FALSE),"")</f>
        <v>宝石手环碎片</v>
      </c>
      <c r="E34" s="12">
        <v>1</v>
      </c>
      <c r="F34" s="13">
        <v>100</v>
      </c>
      <c r="G34">
        <f t="shared" si="1"/>
        <v>120</v>
      </c>
      <c r="H34">
        <f>SUM($F$4:F34)</f>
        <v>5600</v>
      </c>
      <c r="K34">
        <f>VLOOKUP(C34,[3]!游戏物价查询,7,FALSE)*E34</f>
        <v>4</v>
      </c>
      <c r="L34" s="14">
        <f t="shared" si="0"/>
        <v>1.2077294685990338E-2</v>
      </c>
    </row>
    <row r="35" spans="1:12" x14ac:dyDescent="0.15">
      <c r="A35">
        <v>34</v>
      </c>
      <c r="B35">
        <v>0</v>
      </c>
      <c r="C35" s="23">
        <v>93012</v>
      </c>
      <c r="D35" s="4" t="str">
        <f>IFERROR(VLOOKUP(C35,[2]引用表合并!$A$2:$B$1000,2,FALSE),"")</f>
        <v>摩拉碎片</v>
      </c>
      <c r="E35" s="12">
        <v>1</v>
      </c>
      <c r="F35" s="13">
        <v>100</v>
      </c>
      <c r="G35">
        <f t="shared" ref="G35:G64" si="2">K35*$I$2</f>
        <v>120</v>
      </c>
      <c r="H35">
        <f>SUM($F$4:F35)</f>
        <v>5700</v>
      </c>
      <c r="K35">
        <f>VLOOKUP(C35,[3]!游戏物价查询,7,FALSE)*E35</f>
        <v>4</v>
      </c>
      <c r="L35" s="14">
        <f t="shared" si="0"/>
        <v>1.2077294685990338E-2</v>
      </c>
    </row>
    <row r="36" spans="1:12" x14ac:dyDescent="0.15">
      <c r="A36">
        <v>35</v>
      </c>
      <c r="B36">
        <v>0</v>
      </c>
      <c r="C36" s="23">
        <v>93252</v>
      </c>
      <c r="D36" s="4" t="str">
        <f>IFERROR(VLOOKUP(C36,[2]引用表合并!$A$2:$B$1000,2,FALSE),"")</f>
        <v>青玉项链碎片</v>
      </c>
      <c r="E36" s="12">
        <v>1</v>
      </c>
      <c r="F36" s="13">
        <v>100</v>
      </c>
      <c r="G36">
        <f t="shared" si="2"/>
        <v>120</v>
      </c>
      <c r="H36">
        <f>SUM($F$4:F36)</f>
        <v>5800</v>
      </c>
      <c r="K36">
        <f>VLOOKUP(C36,[3]!游戏物价查询,7,FALSE)*E36</f>
        <v>4</v>
      </c>
      <c r="L36" s="14">
        <f t="shared" ref="L36:L64" si="3">IF(F36&lt;0,"100%",F36/SUMIF(F:F,"&gt;0"))</f>
        <v>1.2077294685990338E-2</v>
      </c>
    </row>
    <row r="37" spans="1:12" x14ac:dyDescent="0.15">
      <c r="A37">
        <v>36</v>
      </c>
      <c r="B37">
        <v>0</v>
      </c>
      <c r="C37" s="23">
        <v>93124</v>
      </c>
      <c r="D37" s="4" t="str">
        <f>IFERROR(VLOOKUP(C37,[2]引用表合并!$A$2:$B$1000,2,FALSE),"")</f>
        <v>水晶耳钉碎片</v>
      </c>
      <c r="E37" s="12">
        <v>1</v>
      </c>
      <c r="F37" s="13">
        <v>100</v>
      </c>
      <c r="G37">
        <f t="shared" si="2"/>
        <v>120</v>
      </c>
      <c r="H37">
        <f>SUM($F$4:F37)</f>
        <v>5900</v>
      </c>
      <c r="K37">
        <f>VLOOKUP(C37,[3]!游戏物价查询,7,FALSE)*E37</f>
        <v>4</v>
      </c>
      <c r="L37" s="14">
        <f t="shared" si="3"/>
        <v>1.2077294685990338E-2</v>
      </c>
    </row>
    <row r="38" spans="1:12" x14ac:dyDescent="0.15">
      <c r="A38">
        <v>37</v>
      </c>
      <c r="B38">
        <v>0</v>
      </c>
      <c r="C38" s="23">
        <v>93272</v>
      </c>
      <c r="D38" s="4" t="str">
        <f>IFERROR(VLOOKUP(C38,[2]引用表合并!$A$2:$B$1000,2,FALSE),"")</f>
        <v>金针手表碎片</v>
      </c>
      <c r="E38" s="12">
        <v>1</v>
      </c>
      <c r="F38" s="13">
        <v>100</v>
      </c>
      <c r="G38">
        <f t="shared" si="2"/>
        <v>120</v>
      </c>
      <c r="H38">
        <f>SUM($F$4:F38)</f>
        <v>6000</v>
      </c>
      <c r="K38">
        <f>VLOOKUP(C38,[3]!游戏物价查询,7,FALSE)*E38</f>
        <v>4</v>
      </c>
      <c r="L38" s="14">
        <f t="shared" si="3"/>
        <v>1.2077294685990338E-2</v>
      </c>
    </row>
    <row r="39" spans="1:12" x14ac:dyDescent="0.15">
      <c r="A39">
        <v>38</v>
      </c>
      <c r="B39">
        <v>0</v>
      </c>
      <c r="C39" s="23">
        <v>93273</v>
      </c>
      <c r="D39" s="4" t="str">
        <f>IFERROR(VLOOKUP(C39,[2]引用表合并!$A$2:$B$1000,2,FALSE),"")</f>
        <v>智能手表碎片</v>
      </c>
      <c r="E39" s="12">
        <v>1</v>
      </c>
      <c r="F39" s="13">
        <v>100</v>
      </c>
      <c r="G39">
        <f t="shared" si="2"/>
        <v>120</v>
      </c>
      <c r="H39">
        <f>SUM($F$4:F39)</f>
        <v>6100</v>
      </c>
      <c r="K39">
        <f>VLOOKUP(C39,[3]!游戏物价查询,7,FALSE)*E39</f>
        <v>4</v>
      </c>
      <c r="L39" s="14">
        <f t="shared" si="3"/>
        <v>1.2077294685990338E-2</v>
      </c>
    </row>
    <row r="40" spans="1:12" x14ac:dyDescent="0.15">
      <c r="A40">
        <v>39</v>
      </c>
      <c r="B40">
        <v>0</v>
      </c>
      <c r="C40" s="23">
        <v>93279</v>
      </c>
      <c r="D40" s="4" t="str">
        <f>IFERROR(VLOOKUP(C40,[2]引用表合并!$A$2:$B$1000,2,FALSE),"")</f>
        <v>宾倪碎片</v>
      </c>
      <c r="E40" s="12">
        <v>1</v>
      </c>
      <c r="F40" s="13">
        <v>100</v>
      </c>
      <c r="G40">
        <f t="shared" si="2"/>
        <v>120</v>
      </c>
      <c r="H40">
        <f>SUM($F$4:F40)</f>
        <v>6200</v>
      </c>
      <c r="K40">
        <f>VLOOKUP(C40,[3]!游戏物价查询,7,FALSE)*E40</f>
        <v>4</v>
      </c>
      <c r="L40" s="14">
        <f t="shared" si="3"/>
        <v>1.2077294685990338E-2</v>
      </c>
    </row>
    <row r="41" spans="1:12" x14ac:dyDescent="0.15">
      <c r="A41">
        <v>40</v>
      </c>
      <c r="B41">
        <v>0</v>
      </c>
      <c r="C41" s="23">
        <v>93284</v>
      </c>
      <c r="D41" s="4" t="str">
        <f>IFERROR(VLOOKUP(C41,[2]引用表合并!$A$2:$B$1000,2,FALSE),"")</f>
        <v>大迭钞票碎片</v>
      </c>
      <c r="E41" s="12">
        <v>1</v>
      </c>
      <c r="F41" s="13">
        <v>100</v>
      </c>
      <c r="G41">
        <f t="shared" si="2"/>
        <v>120</v>
      </c>
      <c r="H41">
        <f>SUM($F$4:F41)</f>
        <v>6300</v>
      </c>
      <c r="K41">
        <f>VLOOKUP(C41,[3]!游戏物价查询,7,FALSE)*E41</f>
        <v>4</v>
      </c>
      <c r="L41" s="14">
        <f t="shared" si="3"/>
        <v>1.2077294685990338E-2</v>
      </c>
    </row>
    <row r="42" spans="1:12" x14ac:dyDescent="0.15">
      <c r="A42">
        <v>41</v>
      </c>
      <c r="B42">
        <v>0</v>
      </c>
      <c r="C42" s="23">
        <v>93288</v>
      </c>
      <c r="D42" s="4" t="str">
        <f>IFERROR(VLOOKUP(C42,[2]引用表合并!$A$2:$B$1000,2,FALSE),"")</f>
        <v>大金块碎片</v>
      </c>
      <c r="E42" s="12">
        <v>1</v>
      </c>
      <c r="F42" s="13">
        <v>100</v>
      </c>
      <c r="G42">
        <f t="shared" si="2"/>
        <v>120</v>
      </c>
      <c r="H42">
        <f>SUM($F$4:F42)</f>
        <v>6400</v>
      </c>
      <c r="K42">
        <f>VLOOKUP(C42,[3]!游戏物价查询,7,FALSE)*E42</f>
        <v>4</v>
      </c>
      <c r="L42" s="14">
        <f t="shared" si="3"/>
        <v>1.2077294685990338E-2</v>
      </c>
    </row>
    <row r="43" spans="1:12" x14ac:dyDescent="0.15">
      <c r="A43">
        <v>42</v>
      </c>
      <c r="B43">
        <v>0</v>
      </c>
      <c r="C43" s="23">
        <v>93142</v>
      </c>
      <c r="D43" s="4" t="str">
        <f>IFERROR(VLOOKUP(C43,[2]引用表合并!$A$2:$B$1000,2,FALSE),"")</f>
        <v>黄金戒指碎片</v>
      </c>
      <c r="E43" s="12">
        <v>2</v>
      </c>
      <c r="F43" s="13">
        <v>80</v>
      </c>
      <c r="G43">
        <f t="shared" si="2"/>
        <v>240</v>
      </c>
      <c r="H43">
        <f>SUM($F$4:F43)</f>
        <v>6480</v>
      </c>
      <c r="K43">
        <f>VLOOKUP(C43,[3]!游戏物价查询,7,FALSE)*E43</f>
        <v>8</v>
      </c>
      <c r="L43" s="14">
        <f t="shared" si="3"/>
        <v>9.6618357487922701E-3</v>
      </c>
    </row>
    <row r="44" spans="1:12" x14ac:dyDescent="0.15">
      <c r="A44">
        <v>43</v>
      </c>
      <c r="B44">
        <v>0</v>
      </c>
      <c r="C44" s="23">
        <v>93235</v>
      </c>
      <c r="D44" s="4" t="str">
        <f>IFERROR(VLOOKUP(C44,[2]引用表合并!$A$2:$B$1000,2,FALSE),"")</f>
        <v>宝石手环碎片</v>
      </c>
      <c r="E44" s="12">
        <v>2</v>
      </c>
      <c r="F44" s="13">
        <v>80</v>
      </c>
      <c r="G44">
        <f t="shared" si="2"/>
        <v>240</v>
      </c>
      <c r="H44">
        <f>SUM($F$4:F44)</f>
        <v>6560</v>
      </c>
      <c r="K44">
        <f>VLOOKUP(C44,[3]!游戏物价查询,7,FALSE)*E44</f>
        <v>8</v>
      </c>
      <c r="L44" s="14">
        <f t="shared" si="3"/>
        <v>9.6618357487922701E-3</v>
      </c>
    </row>
    <row r="45" spans="1:12" x14ac:dyDescent="0.15">
      <c r="A45">
        <v>44</v>
      </c>
      <c r="B45">
        <v>0</v>
      </c>
      <c r="C45" s="23">
        <v>93012</v>
      </c>
      <c r="D45" s="4" t="str">
        <f>IFERROR(VLOOKUP(C45,[2]引用表合并!$A$2:$B$1000,2,FALSE),"")</f>
        <v>摩拉碎片</v>
      </c>
      <c r="E45" s="12">
        <v>2</v>
      </c>
      <c r="F45" s="13">
        <v>80</v>
      </c>
      <c r="G45">
        <f t="shared" si="2"/>
        <v>240</v>
      </c>
      <c r="H45">
        <f>SUM($F$4:F45)</f>
        <v>6640</v>
      </c>
      <c r="K45">
        <f>VLOOKUP(C45,[3]!游戏物价查询,7,FALSE)*E45</f>
        <v>8</v>
      </c>
      <c r="L45" s="14">
        <f t="shared" si="3"/>
        <v>9.6618357487922701E-3</v>
      </c>
    </row>
    <row r="46" spans="1:12" x14ac:dyDescent="0.15">
      <c r="A46">
        <v>45</v>
      </c>
      <c r="B46">
        <v>0</v>
      </c>
      <c r="C46" s="23">
        <v>93252</v>
      </c>
      <c r="D46" s="4" t="str">
        <f>IFERROR(VLOOKUP(C46,[2]引用表合并!$A$2:$B$1000,2,FALSE),"")</f>
        <v>青玉项链碎片</v>
      </c>
      <c r="E46" s="12">
        <v>2</v>
      </c>
      <c r="F46" s="13">
        <v>80</v>
      </c>
      <c r="G46">
        <f t="shared" si="2"/>
        <v>240</v>
      </c>
      <c r="H46">
        <f>SUM($F$4:F46)</f>
        <v>6720</v>
      </c>
      <c r="K46">
        <f>VLOOKUP(C46,[3]!游戏物价查询,7,FALSE)*E46</f>
        <v>8</v>
      </c>
      <c r="L46" s="14">
        <f t="shared" si="3"/>
        <v>9.6618357487922701E-3</v>
      </c>
    </row>
    <row r="47" spans="1:12" x14ac:dyDescent="0.15">
      <c r="A47">
        <v>46</v>
      </c>
      <c r="B47">
        <v>0</v>
      </c>
      <c r="C47" s="23">
        <v>93124</v>
      </c>
      <c r="D47" s="4" t="str">
        <f>IFERROR(VLOOKUP(C47,[2]引用表合并!$A$2:$B$1000,2,FALSE),"")</f>
        <v>水晶耳钉碎片</v>
      </c>
      <c r="E47" s="12">
        <v>2</v>
      </c>
      <c r="F47" s="13">
        <v>80</v>
      </c>
      <c r="G47">
        <f t="shared" si="2"/>
        <v>240</v>
      </c>
      <c r="H47">
        <f>SUM($F$4:F47)</f>
        <v>6800</v>
      </c>
      <c r="K47">
        <f>VLOOKUP(C47,[3]!游戏物价查询,7,FALSE)*E47</f>
        <v>8</v>
      </c>
      <c r="L47" s="14">
        <f t="shared" si="3"/>
        <v>9.6618357487922701E-3</v>
      </c>
    </row>
    <row r="48" spans="1:12" x14ac:dyDescent="0.15">
      <c r="A48">
        <v>47</v>
      </c>
      <c r="B48">
        <v>0</v>
      </c>
      <c r="C48" s="23">
        <v>93272</v>
      </c>
      <c r="D48" s="4" t="str">
        <f>IFERROR(VLOOKUP(C48,[2]引用表合并!$A$2:$B$1000,2,FALSE),"")</f>
        <v>金针手表碎片</v>
      </c>
      <c r="E48" s="12">
        <v>2</v>
      </c>
      <c r="F48" s="13">
        <v>80</v>
      </c>
      <c r="G48">
        <f t="shared" si="2"/>
        <v>240</v>
      </c>
      <c r="H48">
        <f>SUM($F$4:F48)</f>
        <v>6880</v>
      </c>
      <c r="K48">
        <f>VLOOKUP(C48,[3]!游戏物价查询,7,FALSE)*E48</f>
        <v>8</v>
      </c>
      <c r="L48" s="14">
        <f t="shared" si="3"/>
        <v>9.6618357487922701E-3</v>
      </c>
    </row>
    <row r="49" spans="1:12" x14ac:dyDescent="0.15">
      <c r="A49">
        <v>48</v>
      </c>
      <c r="B49">
        <v>0</v>
      </c>
      <c r="C49" s="23">
        <v>93273</v>
      </c>
      <c r="D49" s="4" t="str">
        <f>IFERROR(VLOOKUP(C49,[2]引用表合并!$A$2:$B$1000,2,FALSE),"")</f>
        <v>智能手表碎片</v>
      </c>
      <c r="E49" s="12">
        <v>2</v>
      </c>
      <c r="F49" s="13">
        <v>80</v>
      </c>
      <c r="G49">
        <f t="shared" si="2"/>
        <v>240</v>
      </c>
      <c r="H49">
        <f>SUM($F$4:F49)</f>
        <v>6960</v>
      </c>
      <c r="K49">
        <f>VLOOKUP(C49,[3]!游戏物价查询,7,FALSE)*E49</f>
        <v>8</v>
      </c>
      <c r="L49" s="14">
        <f t="shared" si="3"/>
        <v>9.6618357487922701E-3</v>
      </c>
    </row>
    <row r="50" spans="1:12" x14ac:dyDescent="0.15">
      <c r="A50">
        <v>49</v>
      </c>
      <c r="B50">
        <v>0</v>
      </c>
      <c r="C50" s="23">
        <v>93279</v>
      </c>
      <c r="D50" s="4" t="str">
        <f>IFERROR(VLOOKUP(C50,[2]引用表合并!$A$2:$B$1000,2,FALSE),"")</f>
        <v>宾倪碎片</v>
      </c>
      <c r="E50" s="12">
        <v>2</v>
      </c>
      <c r="F50" s="13">
        <v>80</v>
      </c>
      <c r="G50">
        <f t="shared" si="2"/>
        <v>240</v>
      </c>
      <c r="H50">
        <f>SUM($F$4:F50)</f>
        <v>7040</v>
      </c>
      <c r="K50">
        <f>VLOOKUP(C50,[3]!游戏物价查询,7,FALSE)*E50</f>
        <v>8</v>
      </c>
      <c r="L50" s="14">
        <f t="shared" si="3"/>
        <v>9.6618357487922701E-3</v>
      </c>
    </row>
    <row r="51" spans="1:12" x14ac:dyDescent="0.15">
      <c r="A51">
        <v>50</v>
      </c>
      <c r="B51">
        <v>0</v>
      </c>
      <c r="C51" s="23">
        <v>93284</v>
      </c>
      <c r="D51" s="4" t="str">
        <f>IFERROR(VLOOKUP(C51,[2]引用表合并!$A$2:$B$1000,2,FALSE),"")</f>
        <v>大迭钞票碎片</v>
      </c>
      <c r="E51" s="12">
        <v>2</v>
      </c>
      <c r="F51" s="13">
        <v>80</v>
      </c>
      <c r="G51">
        <f t="shared" si="2"/>
        <v>240</v>
      </c>
      <c r="H51">
        <f>SUM($F$4:F51)</f>
        <v>7120</v>
      </c>
      <c r="K51">
        <f>VLOOKUP(C51,[3]!游戏物价查询,7,FALSE)*E51</f>
        <v>8</v>
      </c>
      <c r="L51" s="14">
        <f t="shared" si="3"/>
        <v>9.6618357487922701E-3</v>
      </c>
    </row>
    <row r="52" spans="1:12" x14ac:dyDescent="0.15">
      <c r="A52">
        <v>51</v>
      </c>
      <c r="B52">
        <v>0</v>
      </c>
      <c r="C52" s="23">
        <v>93288</v>
      </c>
      <c r="D52" s="4" t="str">
        <f>IFERROR(VLOOKUP(C52,[2]引用表合并!$A$2:$B$1000,2,FALSE),"")</f>
        <v>大金块碎片</v>
      </c>
      <c r="E52" s="12">
        <v>2</v>
      </c>
      <c r="F52" s="13">
        <v>80</v>
      </c>
      <c r="G52">
        <f t="shared" si="2"/>
        <v>240</v>
      </c>
      <c r="H52">
        <f>SUM($F$4:F52)</f>
        <v>7200</v>
      </c>
      <c r="K52">
        <f>VLOOKUP(C52,[3]!游戏物价查询,7,FALSE)*E52</f>
        <v>8</v>
      </c>
      <c r="L52" s="14">
        <f t="shared" si="3"/>
        <v>9.6618357487922701E-3</v>
      </c>
    </row>
    <row r="53" spans="1:12" x14ac:dyDescent="0.15">
      <c r="A53">
        <v>52</v>
      </c>
      <c r="B53">
        <v>0</v>
      </c>
      <c r="C53" s="24">
        <v>93125</v>
      </c>
      <c r="D53" s="4" t="str">
        <f>IFERROR(VLOOKUP(C53,[2]引用表合并!$A$2:$B$1000,2,FALSE),"")</f>
        <v>红石耳钉碎片</v>
      </c>
      <c r="E53" s="12">
        <v>1</v>
      </c>
      <c r="F53" s="13">
        <v>50</v>
      </c>
      <c r="G53">
        <f t="shared" si="2"/>
        <v>180</v>
      </c>
      <c r="H53">
        <f>SUM($F$4:F53)</f>
        <v>7250</v>
      </c>
      <c r="K53">
        <f>VLOOKUP(C53,[3]!游戏物价查询,7,FALSE)*E53</f>
        <v>6</v>
      </c>
      <c r="L53" s="14">
        <f t="shared" si="3"/>
        <v>6.038647342995169E-3</v>
      </c>
    </row>
    <row r="54" spans="1:12" x14ac:dyDescent="0.15">
      <c r="A54">
        <v>53</v>
      </c>
      <c r="B54">
        <v>0</v>
      </c>
      <c r="C54" s="24">
        <v>93134</v>
      </c>
      <c r="D54" s="4" t="str">
        <f>IFERROR(VLOOKUP(C54,[2]引用表合并!$A$2:$B$1000,2,FALSE),"")</f>
        <v>毒蝎耳钉碎片</v>
      </c>
      <c r="E54" s="12">
        <v>1</v>
      </c>
      <c r="F54" s="13">
        <v>50</v>
      </c>
      <c r="G54">
        <f t="shared" si="2"/>
        <v>180</v>
      </c>
      <c r="H54">
        <f>SUM($F$4:F54)</f>
        <v>7300</v>
      </c>
      <c r="K54">
        <f>VLOOKUP(C54,[3]!游戏物价查询,7,FALSE)*E54</f>
        <v>6</v>
      </c>
      <c r="L54" s="14">
        <f t="shared" si="3"/>
        <v>6.038647342995169E-3</v>
      </c>
    </row>
    <row r="55" spans="1:12" x14ac:dyDescent="0.15">
      <c r="A55">
        <v>54</v>
      </c>
      <c r="B55">
        <v>0</v>
      </c>
      <c r="C55" s="24">
        <v>93223</v>
      </c>
      <c r="D55" s="4" t="str">
        <f>IFERROR(VLOOKUP(C55,[2]引用表合并!$A$2:$B$1000,2,FALSE),"")</f>
        <v>赤金戒指碎片</v>
      </c>
      <c r="E55" s="12">
        <v>1</v>
      </c>
      <c r="F55" s="13">
        <v>50</v>
      </c>
      <c r="G55">
        <f t="shared" si="2"/>
        <v>180</v>
      </c>
      <c r="H55">
        <f>SUM($F$4:F55)</f>
        <v>7350</v>
      </c>
      <c r="K55">
        <f>VLOOKUP(C55,[3]!游戏物价查询,7,FALSE)*E55</f>
        <v>6</v>
      </c>
      <c r="L55" s="14">
        <f t="shared" si="3"/>
        <v>6.038647342995169E-3</v>
      </c>
    </row>
    <row r="56" spans="1:12" x14ac:dyDescent="0.15">
      <c r="A56">
        <v>55</v>
      </c>
      <c r="B56">
        <v>0</v>
      </c>
      <c r="C56" s="24">
        <v>93227</v>
      </c>
      <c r="D56" s="4" t="str">
        <f>IFERROR(VLOOKUP(C56,[2]引用表合并!$A$2:$B$1000,2,FALSE),"")</f>
        <v>王者手环碎片</v>
      </c>
      <c r="E56" s="12">
        <v>1</v>
      </c>
      <c r="F56" s="13">
        <v>50</v>
      </c>
      <c r="G56">
        <f t="shared" si="2"/>
        <v>180</v>
      </c>
      <c r="H56">
        <f>SUM($F$4:F56)</f>
        <v>7400</v>
      </c>
      <c r="K56">
        <f>VLOOKUP(C56,[3]!游戏物价查询,7,FALSE)*E56</f>
        <v>6</v>
      </c>
      <c r="L56" s="14">
        <f t="shared" si="3"/>
        <v>6.038647342995169E-3</v>
      </c>
    </row>
    <row r="57" spans="1:12" x14ac:dyDescent="0.15">
      <c r="A57">
        <v>56</v>
      </c>
      <c r="B57">
        <v>0</v>
      </c>
      <c r="C57" s="24">
        <v>93236</v>
      </c>
      <c r="D57" s="4" t="str">
        <f>IFERROR(VLOOKUP(C57,[2]引用表合并!$A$2:$B$1000,2,FALSE),"")</f>
        <v>符文手环碎片</v>
      </c>
      <c r="E57" s="12">
        <v>1</v>
      </c>
      <c r="F57" s="13">
        <v>50</v>
      </c>
      <c r="G57">
        <f t="shared" si="2"/>
        <v>180</v>
      </c>
      <c r="H57">
        <f>SUM($F$4:F57)</f>
        <v>7450</v>
      </c>
      <c r="K57">
        <f>VLOOKUP(C57,[3]!游戏物价查询,7,FALSE)*E57</f>
        <v>6</v>
      </c>
      <c r="L57" s="14">
        <f t="shared" si="3"/>
        <v>6.038647342995169E-3</v>
      </c>
    </row>
    <row r="58" spans="1:12" x14ac:dyDescent="0.15">
      <c r="A58">
        <v>57</v>
      </c>
      <c r="B58">
        <v>0</v>
      </c>
      <c r="C58" s="24">
        <v>93013</v>
      </c>
      <c r="D58" s="4" t="str">
        <f>IFERROR(VLOOKUP(C58,[2]引用表合并!$A$2:$B$1000,2,FALSE),"")</f>
        <v>月立碎片</v>
      </c>
      <c r="E58" s="12">
        <v>1</v>
      </c>
      <c r="F58" s="13">
        <v>50</v>
      </c>
      <c r="G58">
        <f t="shared" si="2"/>
        <v>180</v>
      </c>
      <c r="H58">
        <f>SUM($F$4:F58)</f>
        <v>7500</v>
      </c>
      <c r="K58">
        <f>VLOOKUP(C58,[3]!游戏物价查询,7,FALSE)*E58</f>
        <v>6</v>
      </c>
      <c r="L58" s="14">
        <f t="shared" si="3"/>
        <v>6.038647342995169E-3</v>
      </c>
    </row>
    <row r="59" spans="1:12" x14ac:dyDescent="0.15">
      <c r="A59">
        <v>58</v>
      </c>
      <c r="B59">
        <v>0</v>
      </c>
      <c r="C59" s="24">
        <v>93253</v>
      </c>
      <c r="D59" s="4" t="str">
        <f>IFERROR(VLOOKUP(C59,[2]引用表合并!$A$2:$B$1000,2,FALSE),"")</f>
        <v>猫妖项链碎片</v>
      </c>
      <c r="E59" s="12">
        <v>1</v>
      </c>
      <c r="F59" s="13">
        <v>50</v>
      </c>
      <c r="G59">
        <f t="shared" si="2"/>
        <v>180</v>
      </c>
      <c r="H59">
        <f>SUM($F$4:F59)</f>
        <v>7550</v>
      </c>
      <c r="K59">
        <f>VLOOKUP(C59,[3]!游戏物价查询,7,FALSE)*E59</f>
        <v>6</v>
      </c>
      <c r="L59" s="14">
        <f t="shared" si="3"/>
        <v>6.038647342995169E-3</v>
      </c>
    </row>
    <row r="60" spans="1:12" x14ac:dyDescent="0.15">
      <c r="A60">
        <v>59</v>
      </c>
      <c r="B60">
        <v>0</v>
      </c>
      <c r="C60" s="24">
        <v>93254</v>
      </c>
      <c r="D60" s="4" t="str">
        <f>IFERROR(VLOOKUP(C60,[2]引用表合并!$A$2:$B$1000,2,FALSE),"")</f>
        <v>苍蓝项链碎片</v>
      </c>
      <c r="E60" s="12">
        <v>1</v>
      </c>
      <c r="F60" s="13">
        <v>50</v>
      </c>
      <c r="G60">
        <f t="shared" si="2"/>
        <v>180</v>
      </c>
      <c r="H60">
        <f>SUM($F$4:F60)</f>
        <v>7600</v>
      </c>
      <c r="K60">
        <f>VLOOKUP(C60,[3]!游戏物价查询,7,FALSE)*E60</f>
        <v>6</v>
      </c>
      <c r="L60" s="14">
        <f t="shared" si="3"/>
        <v>6.038647342995169E-3</v>
      </c>
    </row>
    <row r="61" spans="1:12" x14ac:dyDescent="0.15">
      <c r="A61">
        <v>60</v>
      </c>
      <c r="B61">
        <v>0</v>
      </c>
      <c r="C61" s="24">
        <v>93274</v>
      </c>
      <c r="D61" s="4" t="str">
        <f>IFERROR(VLOOKUP(C61,[2]引用表合并!$A$2:$B$1000,2,FALSE),"")</f>
        <v>汉密手表碎片</v>
      </c>
      <c r="E61" s="12">
        <v>1</v>
      </c>
      <c r="F61" s="13">
        <v>50</v>
      </c>
      <c r="G61">
        <f t="shared" si="2"/>
        <v>180</v>
      </c>
      <c r="H61">
        <f>SUM($F$4:F61)</f>
        <v>7650</v>
      </c>
      <c r="K61">
        <f>VLOOKUP(C61,[3]!游戏物价查询,7,FALSE)*E61</f>
        <v>6</v>
      </c>
      <c r="L61" s="14">
        <f t="shared" si="3"/>
        <v>6.038647342995169E-3</v>
      </c>
    </row>
    <row r="62" spans="1:12" x14ac:dyDescent="0.15">
      <c r="A62">
        <v>61</v>
      </c>
      <c r="B62">
        <v>0</v>
      </c>
      <c r="C62" s="24">
        <v>93280</v>
      </c>
      <c r="D62" s="4" t="str">
        <f>IFERROR(VLOOKUP(C62,[2]引用表合并!$A$2:$B$1000,2,FALSE),"")</f>
        <v>法拉捷碎片</v>
      </c>
      <c r="E62" s="12">
        <v>1</v>
      </c>
      <c r="F62" s="13">
        <v>50</v>
      </c>
      <c r="G62">
        <f t="shared" si="2"/>
        <v>180</v>
      </c>
      <c r="H62">
        <f>SUM($F$4:F62)</f>
        <v>7700</v>
      </c>
      <c r="K62">
        <f>VLOOKUP(C62,[3]!游戏物价查询,7,FALSE)*E62</f>
        <v>6</v>
      </c>
      <c r="L62" s="14">
        <f t="shared" si="3"/>
        <v>6.038647342995169E-3</v>
      </c>
    </row>
    <row r="63" spans="1:12" x14ac:dyDescent="0.15">
      <c r="A63">
        <v>62</v>
      </c>
      <c r="B63">
        <v>0</v>
      </c>
      <c r="C63" s="24">
        <v>93285</v>
      </c>
      <c r="D63" s="4" t="str">
        <f>IFERROR(VLOOKUP(C63,[2]引用表合并!$A$2:$B$1000,2,FALSE),"")</f>
        <v>大堆钞票碎片</v>
      </c>
      <c r="E63" s="12">
        <v>1</v>
      </c>
      <c r="F63" s="13">
        <v>50</v>
      </c>
      <c r="G63">
        <f t="shared" si="2"/>
        <v>180</v>
      </c>
      <c r="H63">
        <f>SUM($F$4:F63)</f>
        <v>7750</v>
      </c>
      <c r="K63">
        <f>VLOOKUP(C63,[3]!游戏物价查询,7,FALSE)*E63</f>
        <v>6</v>
      </c>
      <c r="L63" s="14">
        <f t="shared" si="3"/>
        <v>6.038647342995169E-3</v>
      </c>
    </row>
    <row r="64" spans="1:12" x14ac:dyDescent="0.15">
      <c r="A64">
        <v>63</v>
      </c>
      <c r="B64">
        <v>0</v>
      </c>
      <c r="C64" s="24">
        <v>93289</v>
      </c>
      <c r="D64" s="4" t="str">
        <f>IFERROR(VLOOKUP(C64,[2]引用表合并!$A$2:$B$1000,2,FALSE),"")</f>
        <v>小堆金块碎片</v>
      </c>
      <c r="E64" s="12">
        <v>1</v>
      </c>
      <c r="F64" s="13">
        <v>50</v>
      </c>
      <c r="G64">
        <f t="shared" si="2"/>
        <v>180</v>
      </c>
      <c r="H64">
        <f>SUM($F$4:F64)</f>
        <v>7800</v>
      </c>
      <c r="K64">
        <f>VLOOKUP(C64,[3]!游戏物价查询,7,FALSE)*E64</f>
        <v>6</v>
      </c>
      <c r="L64" s="14">
        <f t="shared" si="3"/>
        <v>6.038647342995169E-3</v>
      </c>
    </row>
    <row r="65" spans="1:12" x14ac:dyDescent="0.15">
      <c r="A65">
        <v>64</v>
      </c>
      <c r="B65">
        <v>0</v>
      </c>
      <c r="C65" s="24">
        <v>93125</v>
      </c>
      <c r="D65" s="4" t="str">
        <f>IFERROR(VLOOKUP(C65,[2]引用表合并!$A$2:$B$1000,2,FALSE),"")</f>
        <v>红石耳钉碎片</v>
      </c>
      <c r="E65" s="12">
        <v>2</v>
      </c>
      <c r="F65" s="13">
        <v>40</v>
      </c>
      <c r="G65">
        <f t="shared" ref="G65:G76" si="4">K65*$I$2</f>
        <v>360</v>
      </c>
      <c r="H65">
        <f>SUM($F$4:F65)</f>
        <v>7840</v>
      </c>
      <c r="K65">
        <f>VLOOKUP(C65,[3]!游戏物价查询,7,FALSE)*E65</f>
        <v>12</v>
      </c>
      <c r="L65" s="14">
        <f t="shared" ref="L65:L76" si="5">IF(F65&lt;0,"100%",F65/SUMIF(F:F,"&gt;0"))</f>
        <v>4.830917874396135E-3</v>
      </c>
    </row>
    <row r="66" spans="1:12" x14ac:dyDescent="0.15">
      <c r="A66">
        <v>65</v>
      </c>
      <c r="B66">
        <v>0</v>
      </c>
      <c r="C66" s="24">
        <v>93134</v>
      </c>
      <c r="D66" s="4" t="str">
        <f>IFERROR(VLOOKUP(C66,[2]引用表合并!$A$2:$B$1000,2,FALSE),"")</f>
        <v>毒蝎耳钉碎片</v>
      </c>
      <c r="E66" s="12">
        <v>2</v>
      </c>
      <c r="F66" s="13">
        <v>40</v>
      </c>
      <c r="G66">
        <f t="shared" si="4"/>
        <v>360</v>
      </c>
      <c r="H66">
        <f>SUM($F$4:F66)</f>
        <v>7880</v>
      </c>
      <c r="K66">
        <f>VLOOKUP(C66,[3]!游戏物价查询,7,FALSE)*E66</f>
        <v>12</v>
      </c>
      <c r="L66" s="14">
        <f t="shared" si="5"/>
        <v>4.830917874396135E-3</v>
      </c>
    </row>
    <row r="67" spans="1:12" x14ac:dyDescent="0.15">
      <c r="A67">
        <v>66</v>
      </c>
      <c r="B67">
        <v>0</v>
      </c>
      <c r="C67" s="24">
        <v>93223</v>
      </c>
      <c r="D67" s="4" t="str">
        <f>IFERROR(VLOOKUP(C67,[2]引用表合并!$A$2:$B$1000,2,FALSE),"")</f>
        <v>赤金戒指碎片</v>
      </c>
      <c r="E67" s="12">
        <v>2</v>
      </c>
      <c r="F67" s="13">
        <v>40</v>
      </c>
      <c r="G67">
        <f t="shared" si="4"/>
        <v>360</v>
      </c>
      <c r="H67">
        <f>SUM($F$4:F67)</f>
        <v>7920</v>
      </c>
      <c r="K67">
        <f>VLOOKUP(C67,[3]!游戏物价查询,7,FALSE)*E67</f>
        <v>12</v>
      </c>
      <c r="L67" s="14">
        <f t="shared" si="5"/>
        <v>4.830917874396135E-3</v>
      </c>
    </row>
    <row r="68" spans="1:12" x14ac:dyDescent="0.15">
      <c r="A68">
        <v>67</v>
      </c>
      <c r="B68">
        <v>0</v>
      </c>
      <c r="C68" s="24">
        <v>93227</v>
      </c>
      <c r="D68" s="4" t="str">
        <f>IFERROR(VLOOKUP(C68,[2]引用表合并!$A$2:$B$1000,2,FALSE),"")</f>
        <v>王者手环碎片</v>
      </c>
      <c r="E68" s="12">
        <v>2</v>
      </c>
      <c r="F68" s="13">
        <v>40</v>
      </c>
      <c r="G68">
        <f t="shared" si="4"/>
        <v>360</v>
      </c>
      <c r="H68">
        <f>SUM($F$4:F68)</f>
        <v>7960</v>
      </c>
      <c r="K68">
        <f>VLOOKUP(C68,[3]!游戏物价查询,7,FALSE)*E68</f>
        <v>12</v>
      </c>
      <c r="L68" s="14">
        <f t="shared" si="5"/>
        <v>4.830917874396135E-3</v>
      </c>
    </row>
    <row r="69" spans="1:12" x14ac:dyDescent="0.15">
      <c r="A69">
        <v>68</v>
      </c>
      <c r="B69">
        <v>0</v>
      </c>
      <c r="C69" s="24">
        <v>93236</v>
      </c>
      <c r="D69" s="4" t="str">
        <f>IFERROR(VLOOKUP(C69,[2]引用表合并!$A$2:$B$1000,2,FALSE),"")</f>
        <v>符文手环碎片</v>
      </c>
      <c r="E69" s="12">
        <v>2</v>
      </c>
      <c r="F69" s="13">
        <v>40</v>
      </c>
      <c r="G69">
        <f t="shared" si="4"/>
        <v>360</v>
      </c>
      <c r="H69">
        <f>SUM($F$4:F69)</f>
        <v>8000</v>
      </c>
      <c r="K69">
        <f>VLOOKUP(C69,[3]!游戏物价查询,7,FALSE)*E69</f>
        <v>12</v>
      </c>
      <c r="L69" s="14">
        <f t="shared" si="5"/>
        <v>4.830917874396135E-3</v>
      </c>
    </row>
    <row r="70" spans="1:12" x14ac:dyDescent="0.15">
      <c r="A70">
        <v>69</v>
      </c>
      <c r="B70">
        <v>0</v>
      </c>
      <c r="C70" s="24">
        <v>93013</v>
      </c>
      <c r="D70" s="4" t="str">
        <f>IFERROR(VLOOKUP(C70,[2]引用表合并!$A$2:$B$1000,2,FALSE),"")</f>
        <v>月立碎片</v>
      </c>
      <c r="E70" s="12">
        <v>2</v>
      </c>
      <c r="F70" s="13">
        <v>40</v>
      </c>
      <c r="G70">
        <f t="shared" si="4"/>
        <v>360</v>
      </c>
      <c r="H70">
        <f>SUM($F$4:F70)</f>
        <v>8040</v>
      </c>
      <c r="K70">
        <f>VLOOKUP(C70,[3]!游戏物价查询,7,FALSE)*E70</f>
        <v>12</v>
      </c>
      <c r="L70" s="14">
        <f t="shared" si="5"/>
        <v>4.830917874396135E-3</v>
      </c>
    </row>
    <row r="71" spans="1:12" x14ac:dyDescent="0.15">
      <c r="A71">
        <v>70</v>
      </c>
      <c r="B71">
        <v>0</v>
      </c>
      <c r="C71" s="24">
        <v>93253</v>
      </c>
      <c r="D71" s="4" t="str">
        <f>IFERROR(VLOOKUP(C71,[2]引用表合并!$A$2:$B$1000,2,FALSE),"")</f>
        <v>猫妖项链碎片</v>
      </c>
      <c r="E71" s="12">
        <v>2</v>
      </c>
      <c r="F71" s="13">
        <v>40</v>
      </c>
      <c r="G71">
        <f t="shared" si="4"/>
        <v>360</v>
      </c>
      <c r="H71">
        <f>SUM($F$4:F71)</f>
        <v>8080</v>
      </c>
      <c r="K71">
        <f>VLOOKUP(C71,[3]!游戏物价查询,7,FALSE)*E71</f>
        <v>12</v>
      </c>
      <c r="L71" s="14">
        <f t="shared" si="5"/>
        <v>4.830917874396135E-3</v>
      </c>
    </row>
    <row r="72" spans="1:12" x14ac:dyDescent="0.15">
      <c r="A72">
        <v>71</v>
      </c>
      <c r="B72">
        <v>0</v>
      </c>
      <c r="C72" s="24">
        <v>93254</v>
      </c>
      <c r="D72" s="4" t="str">
        <f>IFERROR(VLOOKUP(C72,[2]引用表合并!$A$2:$B$1000,2,FALSE),"")</f>
        <v>苍蓝项链碎片</v>
      </c>
      <c r="E72" s="12">
        <v>2</v>
      </c>
      <c r="F72" s="13">
        <v>40</v>
      </c>
      <c r="G72">
        <f t="shared" si="4"/>
        <v>360</v>
      </c>
      <c r="H72">
        <f>SUM($F$4:F72)</f>
        <v>8120</v>
      </c>
      <c r="K72">
        <f>VLOOKUP(C72,[3]!游戏物价查询,7,FALSE)*E72</f>
        <v>12</v>
      </c>
      <c r="L72" s="14">
        <f t="shared" si="5"/>
        <v>4.830917874396135E-3</v>
      </c>
    </row>
    <row r="73" spans="1:12" x14ac:dyDescent="0.15">
      <c r="A73">
        <v>72</v>
      </c>
      <c r="B73">
        <v>0</v>
      </c>
      <c r="C73" s="24">
        <v>93274</v>
      </c>
      <c r="D73" s="4" t="str">
        <f>IFERROR(VLOOKUP(C73,[2]引用表合并!$A$2:$B$1000,2,FALSE),"")</f>
        <v>汉密手表碎片</v>
      </c>
      <c r="E73" s="12">
        <v>2</v>
      </c>
      <c r="F73" s="13">
        <v>40</v>
      </c>
      <c r="G73">
        <f t="shared" si="4"/>
        <v>360</v>
      </c>
      <c r="H73">
        <f>SUM($F$4:F73)</f>
        <v>8160</v>
      </c>
      <c r="K73">
        <f>VLOOKUP(C73,[3]!游戏物价查询,7,FALSE)*E73</f>
        <v>12</v>
      </c>
      <c r="L73" s="14">
        <f t="shared" si="5"/>
        <v>4.830917874396135E-3</v>
      </c>
    </row>
    <row r="74" spans="1:12" x14ac:dyDescent="0.15">
      <c r="A74">
        <v>73</v>
      </c>
      <c r="B74">
        <v>0</v>
      </c>
      <c r="C74" s="24">
        <v>93280</v>
      </c>
      <c r="D74" s="4" t="str">
        <f>IFERROR(VLOOKUP(C74,[2]引用表合并!$A$2:$B$1000,2,FALSE),"")</f>
        <v>法拉捷碎片</v>
      </c>
      <c r="E74" s="12">
        <v>2</v>
      </c>
      <c r="F74" s="13">
        <v>40</v>
      </c>
      <c r="G74">
        <f t="shared" si="4"/>
        <v>360</v>
      </c>
      <c r="H74">
        <f>SUM($F$4:F74)</f>
        <v>8200</v>
      </c>
      <c r="K74">
        <f>VLOOKUP(C74,[3]!游戏物价查询,7,FALSE)*E74</f>
        <v>12</v>
      </c>
      <c r="L74" s="14">
        <f t="shared" si="5"/>
        <v>4.830917874396135E-3</v>
      </c>
    </row>
    <row r="75" spans="1:12" x14ac:dyDescent="0.15">
      <c r="A75">
        <v>74</v>
      </c>
      <c r="B75">
        <v>0</v>
      </c>
      <c r="C75" s="24">
        <v>93285</v>
      </c>
      <c r="D75" s="4" t="str">
        <f>IFERROR(VLOOKUP(C75,[2]引用表合并!$A$2:$B$1000,2,FALSE),"")</f>
        <v>大堆钞票碎片</v>
      </c>
      <c r="E75" s="12">
        <v>2</v>
      </c>
      <c r="F75" s="13">
        <v>40</v>
      </c>
      <c r="G75">
        <f t="shared" si="4"/>
        <v>360</v>
      </c>
      <c r="H75">
        <f>SUM($F$4:F75)</f>
        <v>8240</v>
      </c>
      <c r="K75">
        <f>VLOOKUP(C75,[3]!游戏物价查询,7,FALSE)*E75</f>
        <v>12</v>
      </c>
      <c r="L75" s="14">
        <f t="shared" si="5"/>
        <v>4.830917874396135E-3</v>
      </c>
    </row>
    <row r="76" spans="1:12" x14ac:dyDescent="0.15">
      <c r="A76">
        <v>75</v>
      </c>
      <c r="B76">
        <v>0</v>
      </c>
      <c r="C76" s="24">
        <v>93289</v>
      </c>
      <c r="D76" s="4" t="str">
        <f>IFERROR(VLOOKUP(C76,[2]引用表合并!$A$2:$B$1000,2,FALSE),"")</f>
        <v>小堆金块碎片</v>
      </c>
      <c r="E76" s="12">
        <v>2</v>
      </c>
      <c r="F76" s="13">
        <v>40</v>
      </c>
      <c r="G76">
        <f t="shared" si="4"/>
        <v>360</v>
      </c>
      <c r="H76">
        <f>SUM($F$4:F76)</f>
        <v>8280</v>
      </c>
      <c r="K76">
        <f>VLOOKUP(C76,[3]!游戏物价查询,7,FALSE)*E76</f>
        <v>12</v>
      </c>
      <c r="L76" s="14">
        <f t="shared" si="5"/>
        <v>4.830917874396135E-3</v>
      </c>
    </row>
  </sheetData>
  <phoneticPr fontId="1" type="noConversion"/>
  <conditionalFormatting sqref="C1">
    <cfRule type="duplicateValues" dxfId="4" priority="9"/>
    <cfRule type="duplicateValues" dxfId="3" priority="10"/>
  </conditionalFormatting>
  <conditionalFormatting sqref="C3">
    <cfRule type="duplicateValues" dxfId="2" priority="8"/>
  </conditionalFormatting>
  <conditionalFormatting sqref="E4:E76">
    <cfRule type="duplicateValues" dxfId="1" priority="6"/>
    <cfRule type="duplicateValues" dxfId="0" priority="7"/>
  </conditionalFormatting>
  <conditionalFormatting sqref="L2:L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5"/>
  <sheetViews>
    <sheetView workbookViewId="0">
      <selection activeCell="C5" sqref="C5"/>
    </sheetView>
  </sheetViews>
  <sheetFormatPr defaultRowHeight="13.5" x14ac:dyDescent="0.15"/>
  <sheetData>
    <row r="1" spans="1:9" x14ac:dyDescent="0.15">
      <c r="A1" s="2" t="s">
        <v>20</v>
      </c>
      <c r="B1" s="2" t="s">
        <v>165</v>
      </c>
      <c r="C1" s="2" t="s">
        <v>166</v>
      </c>
      <c r="D1" s="2" t="s">
        <v>167</v>
      </c>
      <c r="E1" s="2" t="s">
        <v>168</v>
      </c>
      <c r="F1" s="2" t="s">
        <v>169</v>
      </c>
      <c r="H1" t="s">
        <v>203</v>
      </c>
      <c r="I1" t="s">
        <v>204</v>
      </c>
    </row>
    <row r="2" spans="1:9" x14ac:dyDescent="0.15">
      <c r="A2" s="2">
        <v>1</v>
      </c>
      <c r="B2" s="10">
        <v>15000</v>
      </c>
      <c r="C2" s="10">
        <v>0</v>
      </c>
      <c r="D2" s="10">
        <v>600</v>
      </c>
      <c r="E2" s="10">
        <v>600</v>
      </c>
      <c r="F2" s="10">
        <v>1</v>
      </c>
      <c r="H2">
        <f>D2/($B2/500)</f>
        <v>20</v>
      </c>
      <c r="I2">
        <f>E2/($B2/500)</f>
        <v>20</v>
      </c>
    </row>
    <row r="3" spans="1:9" x14ac:dyDescent="0.15">
      <c r="A3" s="2">
        <v>2</v>
      </c>
      <c r="B3" s="10">
        <v>30000</v>
      </c>
      <c r="C3" s="10">
        <v>0</v>
      </c>
      <c r="D3" s="10">
        <v>1000</v>
      </c>
      <c r="E3" s="10">
        <v>1000</v>
      </c>
      <c r="F3" s="10">
        <v>1</v>
      </c>
      <c r="H3">
        <f>D3/($B3/500)</f>
        <v>16.666666666666668</v>
      </c>
      <c r="I3">
        <f>E3/($B3/500)</f>
        <v>16.666666666666668</v>
      </c>
    </row>
    <row r="4" spans="1:9" x14ac:dyDescent="0.15">
      <c r="A4" s="2">
        <v>3</v>
      </c>
      <c r="B4" s="10">
        <v>0</v>
      </c>
      <c r="C4" s="10">
        <v>30</v>
      </c>
      <c r="D4" s="10">
        <v>1200</v>
      </c>
      <c r="E4" s="10">
        <v>1200</v>
      </c>
      <c r="F4" s="10">
        <v>1</v>
      </c>
      <c r="H4">
        <f t="shared" ref="H4:I4" si="0">D4/$C4</f>
        <v>40</v>
      </c>
      <c r="I4">
        <f t="shared" si="0"/>
        <v>40</v>
      </c>
    </row>
    <row r="5" spans="1:9" x14ac:dyDescent="0.15">
      <c r="A5" s="2">
        <v>4</v>
      </c>
      <c r="B5" s="10">
        <v>0</v>
      </c>
      <c r="C5" s="10">
        <v>100</v>
      </c>
      <c r="D5" s="10">
        <v>3000</v>
      </c>
      <c r="E5" s="10">
        <v>3000</v>
      </c>
      <c r="F5" s="10">
        <v>1</v>
      </c>
      <c r="H5">
        <f t="shared" ref="H5" si="1">D5/$C5</f>
        <v>30</v>
      </c>
      <c r="I5">
        <f t="shared" ref="I5" si="2">E5/$C5</f>
        <v>30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00"/>
  <sheetViews>
    <sheetView tabSelected="1" workbookViewId="0">
      <selection activeCell="G24" sqref="G24"/>
    </sheetView>
  </sheetViews>
  <sheetFormatPr defaultRowHeight="13.5" x14ac:dyDescent="0.15"/>
  <cols>
    <col min="2" max="2" width="13" bestFit="1" customWidth="1"/>
    <col min="3" max="3" width="11" bestFit="1" customWidth="1"/>
    <col min="6" max="6" width="13" bestFit="1" customWidth="1"/>
    <col min="7" max="7" width="14.375" customWidth="1"/>
    <col min="8" max="8" width="13" bestFit="1" customWidth="1"/>
    <col min="9" max="9" width="13" customWidth="1"/>
    <col min="10" max="10" width="13" bestFit="1" customWidth="1"/>
    <col min="11" max="12" width="17.25" bestFit="1" customWidth="1"/>
    <col min="13" max="13" width="16.375" customWidth="1"/>
  </cols>
  <sheetData>
    <row r="1" spans="1:13" s="7" customFormat="1" x14ac:dyDescent="0.15">
      <c r="A1" s="5" t="s">
        <v>0</v>
      </c>
      <c r="B1" s="5" t="s">
        <v>1</v>
      </c>
      <c r="C1" s="5" t="s">
        <v>2</v>
      </c>
      <c r="D1" s="5" t="s">
        <v>3</v>
      </c>
      <c r="E1" s="5" t="s">
        <v>152</v>
      </c>
      <c r="F1" s="5" t="s">
        <v>175</v>
      </c>
      <c r="G1" s="5" t="s">
        <v>154</v>
      </c>
      <c r="H1" s="5" t="s">
        <v>155</v>
      </c>
      <c r="I1" s="5" t="s">
        <v>214</v>
      </c>
      <c r="J1" s="5" t="s">
        <v>176</v>
      </c>
      <c r="K1" s="5" t="s">
        <v>205</v>
      </c>
      <c r="L1" s="5" t="s">
        <v>207</v>
      </c>
      <c r="M1" s="5" t="s">
        <v>206</v>
      </c>
    </row>
    <row r="2" spans="1:13" x14ac:dyDescent="0.15">
      <c r="A2" s="2">
        <v>1</v>
      </c>
      <c r="B2" s="10">
        <v>300</v>
      </c>
      <c r="C2" s="10">
        <v>0</v>
      </c>
      <c r="D2" s="10">
        <v>20</v>
      </c>
      <c r="E2" s="10">
        <v>1</v>
      </c>
      <c r="F2" s="10">
        <v>2</v>
      </c>
      <c r="G2" s="10">
        <v>2</v>
      </c>
      <c r="H2" s="10">
        <v>1000</v>
      </c>
      <c r="I2" s="10">
        <f>D_公会技能表!F2</f>
        <v>500</v>
      </c>
      <c r="J2" s="2">
        <f>C2+H2+I2</f>
        <v>1500</v>
      </c>
      <c r="K2" s="2"/>
      <c r="L2" s="2"/>
      <c r="M2" s="2"/>
    </row>
    <row r="3" spans="1:13" x14ac:dyDescent="0.15">
      <c r="A3" s="2">
        <v>2</v>
      </c>
      <c r="B3" s="10">
        <v>0</v>
      </c>
      <c r="C3" s="10">
        <v>10000</v>
      </c>
      <c r="D3" s="10">
        <v>30</v>
      </c>
      <c r="E3" s="10">
        <v>2</v>
      </c>
      <c r="F3" s="10">
        <v>4</v>
      </c>
      <c r="G3" s="10">
        <v>4</v>
      </c>
      <c r="H3" s="10">
        <v>5000</v>
      </c>
      <c r="I3" s="10">
        <f>D_公会技能表!F3+D_公会技能表!F4</f>
        <v>3000</v>
      </c>
      <c r="J3" s="2">
        <f t="shared" ref="J3:J6" si="0">C3+H3+I3</f>
        <v>18000</v>
      </c>
      <c r="K3" s="2">
        <f>J3/$C$15/D2</f>
        <v>0.22500000000000001</v>
      </c>
      <c r="L3" s="2">
        <f>J3/$C$16/D2</f>
        <v>0.75</v>
      </c>
      <c r="M3" s="2">
        <f>L3/0.5</f>
        <v>1.5</v>
      </c>
    </row>
    <row r="4" spans="1:13" x14ac:dyDescent="0.15">
      <c r="A4" s="2">
        <v>3</v>
      </c>
      <c r="B4" s="10">
        <v>0</v>
      </c>
      <c r="C4" s="10">
        <v>50000</v>
      </c>
      <c r="D4" s="10">
        <v>40</v>
      </c>
      <c r="E4" s="10">
        <v>3</v>
      </c>
      <c r="F4" s="10">
        <v>6</v>
      </c>
      <c r="G4" s="10">
        <v>6</v>
      </c>
      <c r="H4" s="10">
        <v>20000</v>
      </c>
      <c r="I4" s="10">
        <f>D_公会技能表!F5+D_公会技能表!F6</f>
        <v>12000</v>
      </c>
      <c r="J4" s="2">
        <f t="shared" si="0"/>
        <v>82000</v>
      </c>
      <c r="K4" s="2">
        <f>J4/$C$15/D3</f>
        <v>0.68333333333333335</v>
      </c>
      <c r="L4" s="2">
        <f t="shared" ref="L4:L6" si="1">J4/$C$16/D3</f>
        <v>2.2777777777777777</v>
      </c>
      <c r="M4" s="2">
        <f t="shared" ref="M4:M7" si="2">L4/0.5</f>
        <v>4.5555555555555554</v>
      </c>
    </row>
    <row r="5" spans="1:13" x14ac:dyDescent="0.15">
      <c r="A5" s="2">
        <v>4</v>
      </c>
      <c r="B5" s="10">
        <v>0</v>
      </c>
      <c r="C5" s="10">
        <v>200000</v>
      </c>
      <c r="D5" s="10">
        <v>50</v>
      </c>
      <c r="E5" s="10">
        <v>4</v>
      </c>
      <c r="F5" s="10">
        <v>8</v>
      </c>
      <c r="G5" s="10">
        <v>8</v>
      </c>
      <c r="H5" s="10">
        <v>100000</v>
      </c>
      <c r="I5" s="10">
        <f>D_公会技能表!F7+D_公会技能表!F8</f>
        <v>48000</v>
      </c>
      <c r="J5" s="2">
        <f t="shared" si="0"/>
        <v>348000</v>
      </c>
      <c r="K5" s="2">
        <f t="shared" ref="K5" si="3">J5/$C$15/D4</f>
        <v>2.1749999999999998</v>
      </c>
      <c r="L5" s="2">
        <f t="shared" si="1"/>
        <v>7.25</v>
      </c>
      <c r="M5" s="2">
        <f t="shared" si="2"/>
        <v>14.5</v>
      </c>
    </row>
    <row r="6" spans="1:13" x14ac:dyDescent="0.15">
      <c r="A6" s="2">
        <v>5</v>
      </c>
      <c r="B6" s="10">
        <v>0</v>
      </c>
      <c r="C6" s="10">
        <v>1000000</v>
      </c>
      <c r="D6" s="10">
        <v>50</v>
      </c>
      <c r="E6" s="10">
        <v>5</v>
      </c>
      <c r="F6" s="10">
        <v>10</v>
      </c>
      <c r="G6" s="10">
        <v>10</v>
      </c>
      <c r="H6" s="10">
        <v>500000</v>
      </c>
      <c r="I6" s="10">
        <f>D_公会技能表!F9+D_公会技能表!F10</f>
        <v>192000</v>
      </c>
      <c r="J6" s="2">
        <f t="shared" si="0"/>
        <v>1692000</v>
      </c>
      <c r="K6" s="2">
        <f>J6/$C$15/D5</f>
        <v>8.4600000000000009</v>
      </c>
      <c r="L6" s="2">
        <f t="shared" si="1"/>
        <v>28.2</v>
      </c>
      <c r="M6" s="2">
        <f t="shared" si="2"/>
        <v>56.4</v>
      </c>
    </row>
    <row r="7" spans="1:13" x14ac:dyDescent="0.15">
      <c r="A7" s="2">
        <v>6</v>
      </c>
      <c r="B7" s="10">
        <v>0</v>
      </c>
      <c r="C7" s="10">
        <v>5000000</v>
      </c>
      <c r="D7" s="10">
        <v>50</v>
      </c>
      <c r="E7" s="10"/>
      <c r="F7" s="10"/>
      <c r="G7" s="10"/>
      <c r="H7" s="10"/>
      <c r="I7" s="10"/>
      <c r="J7" s="2">
        <f t="shared" ref="J7" si="4">C7+H7</f>
        <v>5000000</v>
      </c>
      <c r="K7" s="2">
        <f>J7/$C$15/D6</f>
        <v>25</v>
      </c>
      <c r="L7" s="2">
        <f>J7/$C$16/D6</f>
        <v>83.333333333333343</v>
      </c>
      <c r="M7" s="2">
        <f t="shared" si="2"/>
        <v>166.66666666666669</v>
      </c>
    </row>
    <row r="8" spans="1:13" x14ac:dyDescent="0.15">
      <c r="C8">
        <f>SUM(C2:C7)</f>
        <v>6260000</v>
      </c>
      <c r="H8">
        <f>SUM(H2:H7)</f>
        <v>626000</v>
      </c>
      <c r="I8">
        <f>SUM(I2:I7)</f>
        <v>255500</v>
      </c>
      <c r="K8" s="3">
        <f>SUM(K3:K7)</f>
        <v>36.543333333333337</v>
      </c>
      <c r="L8" s="3">
        <f>SUM(L3:L7)</f>
        <v>121.81111111111112</v>
      </c>
      <c r="M8" s="11">
        <f>SUM(M3:M7)</f>
        <v>243.62222222222223</v>
      </c>
    </row>
    <row r="10" spans="1:13" x14ac:dyDescent="0.15">
      <c r="A10" s="2"/>
      <c r="B10" s="2" t="s">
        <v>177</v>
      </c>
      <c r="C10" s="2" t="s">
        <v>178</v>
      </c>
      <c r="E10" t="s">
        <v>215</v>
      </c>
      <c r="G10" s="2" t="s">
        <v>188</v>
      </c>
      <c r="H10" s="2">
        <f ca="1">'[4]消耗&amp;价值&amp;分析'!$AR$86</f>
        <v>7724</v>
      </c>
      <c r="I10" s="13"/>
    </row>
    <row r="11" spans="1:13" x14ac:dyDescent="0.15">
      <c r="A11" s="2">
        <v>1</v>
      </c>
      <c r="B11" s="2">
        <f>D_捐献表!D2</f>
        <v>600</v>
      </c>
      <c r="C11" s="2">
        <v>1</v>
      </c>
      <c r="E11">
        <v>100</v>
      </c>
      <c r="G11" s="2" t="s">
        <v>189</v>
      </c>
      <c r="H11" s="2">
        <f>6*31</f>
        <v>186</v>
      </c>
      <c r="I11" s="13"/>
    </row>
    <row r="12" spans="1:13" x14ac:dyDescent="0.15">
      <c r="A12" s="2">
        <v>2</v>
      </c>
      <c r="B12" s="2">
        <f>D_捐献表!D3</f>
        <v>1000</v>
      </c>
      <c r="C12" s="2">
        <v>1</v>
      </c>
      <c r="G12" s="2" t="s">
        <v>190</v>
      </c>
      <c r="H12" s="2">
        <f ca="1">H10/H11</f>
        <v>41.526881720430104</v>
      </c>
      <c r="I12" s="13"/>
    </row>
    <row r="13" spans="1:13" x14ac:dyDescent="0.15">
      <c r="A13" s="2">
        <v>3</v>
      </c>
      <c r="B13" s="2">
        <f>D_捐献表!D4</f>
        <v>1200</v>
      </c>
      <c r="C13" s="2">
        <v>1</v>
      </c>
      <c r="G13" s="12" t="s">
        <v>208</v>
      </c>
      <c r="H13">
        <f>[5]D_商店刷新!$D$2</f>
        <v>50</v>
      </c>
    </row>
    <row r="14" spans="1:13" x14ac:dyDescent="0.15">
      <c r="A14" s="2">
        <v>4</v>
      </c>
      <c r="B14" s="2">
        <f>D_捐献表!D5</f>
        <v>3000</v>
      </c>
      <c r="C14" s="6">
        <v>1</v>
      </c>
      <c r="D14" s="7" t="s">
        <v>191</v>
      </c>
    </row>
    <row r="15" spans="1:13" x14ac:dyDescent="0.15">
      <c r="A15" s="2"/>
      <c r="B15" s="2" t="s">
        <v>179</v>
      </c>
      <c r="C15" s="2">
        <f>B14+E11*10</f>
        <v>4000</v>
      </c>
      <c r="D15" s="5">
        <f>C15/D_公会商店!$G$2*D_公会商店!$E$2</f>
        <v>133.33333333333334</v>
      </c>
    </row>
    <row r="16" spans="1:13" x14ac:dyDescent="0.15">
      <c r="A16" s="2"/>
      <c r="B16" s="2" t="s">
        <v>180</v>
      </c>
      <c r="C16" s="2">
        <v>1200</v>
      </c>
      <c r="D16" s="5">
        <f>C16/D_公会商店!$G$2*D_公会商店!$E$2</f>
        <v>40</v>
      </c>
    </row>
    <row r="18" spans="1:5" x14ac:dyDescent="0.15">
      <c r="B18">
        <f ca="1">H12</f>
        <v>41.526881720430104</v>
      </c>
    </row>
    <row r="19" spans="1:5" x14ac:dyDescent="0.15">
      <c r="B19" t="s">
        <v>194</v>
      </c>
      <c r="C19" t="s">
        <v>195</v>
      </c>
      <c r="D19" t="s">
        <v>192</v>
      </c>
      <c r="E19" t="s">
        <v>193</v>
      </c>
    </row>
    <row r="20" spans="1:5" x14ac:dyDescent="0.15">
      <c r="A20">
        <v>1</v>
      </c>
      <c r="B20">
        <f>IF(A20&lt;30,0,B$18*'[3]1、经济推算'!I3)</f>
        <v>0</v>
      </c>
      <c r="C20">
        <f ca="1">IFERROR(VLOOKUP(9111100+A20,[4]D_技能表!$A:$Z,26,0),0)+IFERROR(VLOOKUP(9122100+A20,[4]D_技能表!$A:$Z,26,0),0)+IFERROR(VLOOKUP(9122200+A20,[4]D_技能表!$A:$Z,26,0),0)+IFERROR(VLOOKUP(9122300+A20,[4]D_技能表!$A:$Z,26,0),0)+IFERROR(VLOOKUP(9122400+A20,[4]D_技能表!$A:$Z,26,0),0)+IFERROR(VLOOKUP(9113100+A20,[4]D_技能表!$A:$Z,26,0),0)+IFERROR(VLOOKUP(9124100+A20,[4]D_技能表!$A:$Z,26,0),0)+IFERROR(VLOOKUP(9124200+A20,[4]D_技能表!$A:$Z,26,0),0)+IFERROR(VLOOKUP(9124300+A20,[4]D_技能表!$A:$Z,26,0),0)+IFERROR(VLOOKUP(9124400+A20,[4]D_技能表!$A:$Z,26,0),0)</f>
        <v>0</v>
      </c>
      <c r="D20">
        <f>B20</f>
        <v>0</v>
      </c>
      <c r="E20">
        <f ca="1">C20</f>
        <v>0</v>
      </c>
    </row>
    <row r="21" spans="1:5" x14ac:dyDescent="0.15">
      <c r="A21">
        <v>2</v>
      </c>
      <c r="B21">
        <f>IF(A21&lt;30,0,B$18*'[3]1、经济推算'!I4)</f>
        <v>0</v>
      </c>
      <c r="C21">
        <f ca="1">IFERROR(VLOOKUP(9111100+A21,[4]D_技能表!$A:$Z,26,0),0)+IFERROR(VLOOKUP(9122100+A21,[4]D_技能表!$A:$Z,26,0),0)+IFERROR(VLOOKUP(9122200+A21,[4]D_技能表!$A:$Z,26,0),0)+IFERROR(VLOOKUP(9122300+A21,[4]D_技能表!$A:$Z,26,0),0)+IFERROR(VLOOKUP(9122400+A21,[4]D_技能表!$A:$Z,26,0),0)+IFERROR(VLOOKUP(9113100+A21,[4]D_技能表!$A:$Z,26,0),0)+IFERROR(VLOOKUP(9124100+A21,[4]D_技能表!$A:$Z,26,0),0)+IFERROR(VLOOKUP(9124200+A21,[4]D_技能表!$A:$Z,26,0),0)+IFERROR(VLOOKUP(9124300+A21,[4]D_技能表!$A:$Z,26,0),0)+IFERROR(VLOOKUP(9124400+A21,[4]D_技能表!$A:$Z,26,0),0)</f>
        <v>0</v>
      </c>
      <c r="D21">
        <f t="shared" ref="D21:D52" si="5">D20+B21</f>
        <v>0</v>
      </c>
      <c r="E21">
        <f t="shared" ref="E21:E52" ca="1" si="6">E20+C21</f>
        <v>0</v>
      </c>
    </row>
    <row r="22" spans="1:5" x14ac:dyDescent="0.15">
      <c r="A22">
        <v>3</v>
      </c>
      <c r="B22">
        <f>IF(A22&lt;30,0,B$18*'[3]1、经济推算'!I5)</f>
        <v>0</v>
      </c>
      <c r="C22">
        <f ca="1">IFERROR(VLOOKUP(9111100+A22,[4]D_技能表!$A:$Z,26,0),0)+IFERROR(VLOOKUP(9122100+A22,[4]D_技能表!$A:$Z,26,0),0)+IFERROR(VLOOKUP(9122200+A22,[4]D_技能表!$A:$Z,26,0),0)+IFERROR(VLOOKUP(9122300+A22,[4]D_技能表!$A:$Z,26,0),0)+IFERROR(VLOOKUP(9122400+A22,[4]D_技能表!$A:$Z,26,0),0)+IFERROR(VLOOKUP(9113100+A22,[4]D_技能表!$A:$Z,26,0),0)+IFERROR(VLOOKUP(9124100+A22,[4]D_技能表!$A:$Z,26,0),0)+IFERROR(VLOOKUP(9124200+A22,[4]D_技能表!$A:$Z,26,0),0)+IFERROR(VLOOKUP(9124300+A22,[4]D_技能表!$A:$Z,26,0),0)+IFERROR(VLOOKUP(9124400+A22,[4]D_技能表!$A:$Z,26,0),0)</f>
        <v>0</v>
      </c>
      <c r="D22">
        <f t="shared" si="5"/>
        <v>0</v>
      </c>
      <c r="E22">
        <f t="shared" ca="1" si="6"/>
        <v>0</v>
      </c>
    </row>
    <row r="23" spans="1:5" x14ac:dyDescent="0.15">
      <c r="A23">
        <v>4</v>
      </c>
      <c r="B23">
        <f>IF(A23&lt;30,0,B$18*'[3]1、经济推算'!I6)</f>
        <v>0</v>
      </c>
      <c r="C23">
        <f ca="1">IFERROR(VLOOKUP(9111100+A23,[4]D_技能表!$A:$Z,26,0),0)+IFERROR(VLOOKUP(9122100+A23,[4]D_技能表!$A:$Z,26,0),0)+IFERROR(VLOOKUP(9122200+A23,[4]D_技能表!$A:$Z,26,0),0)+IFERROR(VLOOKUP(9122300+A23,[4]D_技能表!$A:$Z,26,0),0)+IFERROR(VLOOKUP(9122400+A23,[4]D_技能表!$A:$Z,26,0),0)+IFERROR(VLOOKUP(9113100+A23,[4]D_技能表!$A:$Z,26,0),0)+IFERROR(VLOOKUP(9124100+A23,[4]D_技能表!$A:$Z,26,0),0)+IFERROR(VLOOKUP(9124200+A23,[4]D_技能表!$A:$Z,26,0),0)+IFERROR(VLOOKUP(9124300+A23,[4]D_技能表!$A:$Z,26,0),0)+IFERROR(VLOOKUP(9124400+A23,[4]D_技能表!$A:$Z,26,0),0)</f>
        <v>0</v>
      </c>
      <c r="D23">
        <f t="shared" si="5"/>
        <v>0</v>
      </c>
      <c r="E23">
        <f t="shared" ca="1" si="6"/>
        <v>0</v>
      </c>
    </row>
    <row r="24" spans="1:5" x14ac:dyDescent="0.15">
      <c r="A24">
        <v>5</v>
      </c>
      <c r="B24">
        <f>IF(A24&lt;30,0,B$18*'[3]1、经济推算'!I7)</f>
        <v>0</v>
      </c>
      <c r="C24">
        <f ca="1">IFERROR(VLOOKUP(9111100+A24,[4]D_技能表!$A:$Z,26,0),0)+IFERROR(VLOOKUP(9122100+A24,[4]D_技能表!$A:$Z,26,0),0)+IFERROR(VLOOKUP(9122200+A24,[4]D_技能表!$A:$Z,26,0),0)+IFERROR(VLOOKUP(9122300+A24,[4]D_技能表!$A:$Z,26,0),0)+IFERROR(VLOOKUP(9122400+A24,[4]D_技能表!$A:$Z,26,0),0)+IFERROR(VLOOKUP(9113100+A24,[4]D_技能表!$A:$Z,26,0),0)+IFERROR(VLOOKUP(9124100+A24,[4]D_技能表!$A:$Z,26,0),0)+IFERROR(VLOOKUP(9124200+A24,[4]D_技能表!$A:$Z,26,0),0)+IFERROR(VLOOKUP(9124300+A24,[4]D_技能表!$A:$Z,26,0),0)+IFERROR(VLOOKUP(9124400+A24,[4]D_技能表!$A:$Z,26,0),0)</f>
        <v>0</v>
      </c>
      <c r="D24">
        <f t="shared" si="5"/>
        <v>0</v>
      </c>
      <c r="E24">
        <f t="shared" ca="1" si="6"/>
        <v>0</v>
      </c>
    </row>
    <row r="25" spans="1:5" x14ac:dyDescent="0.15">
      <c r="A25">
        <v>6</v>
      </c>
      <c r="B25">
        <f>IF(A25&lt;30,0,B$18*'[3]1、经济推算'!I8)</f>
        <v>0</v>
      </c>
      <c r="C25">
        <f ca="1">IFERROR(VLOOKUP(9111100+A25,[4]D_技能表!$A:$Z,26,0),0)+IFERROR(VLOOKUP(9122100+A25,[4]D_技能表!$A:$Z,26,0),0)+IFERROR(VLOOKUP(9122200+A25,[4]D_技能表!$A:$Z,26,0),0)+IFERROR(VLOOKUP(9122300+A25,[4]D_技能表!$A:$Z,26,0),0)+IFERROR(VLOOKUP(9122400+A25,[4]D_技能表!$A:$Z,26,0),0)+IFERROR(VLOOKUP(9113100+A25,[4]D_技能表!$A:$Z,26,0),0)+IFERROR(VLOOKUP(9124100+A25,[4]D_技能表!$A:$Z,26,0),0)+IFERROR(VLOOKUP(9124200+A25,[4]D_技能表!$A:$Z,26,0),0)+IFERROR(VLOOKUP(9124300+A25,[4]D_技能表!$A:$Z,26,0),0)+IFERROR(VLOOKUP(9124400+A25,[4]D_技能表!$A:$Z,26,0),0)</f>
        <v>0</v>
      </c>
      <c r="D25">
        <f t="shared" si="5"/>
        <v>0</v>
      </c>
      <c r="E25">
        <f t="shared" ca="1" si="6"/>
        <v>0</v>
      </c>
    </row>
    <row r="26" spans="1:5" x14ac:dyDescent="0.15">
      <c r="A26">
        <v>7</v>
      </c>
      <c r="B26">
        <f>IF(A26&lt;30,0,B$18*'[3]1、经济推算'!I9)</f>
        <v>0</v>
      </c>
      <c r="C26">
        <f ca="1">IFERROR(VLOOKUP(9111100+A26,[4]D_技能表!$A:$Z,26,0),0)+IFERROR(VLOOKUP(9122100+A26,[4]D_技能表!$A:$Z,26,0),0)+IFERROR(VLOOKUP(9122200+A26,[4]D_技能表!$A:$Z,26,0),0)+IFERROR(VLOOKUP(9122300+A26,[4]D_技能表!$A:$Z,26,0),0)+IFERROR(VLOOKUP(9122400+A26,[4]D_技能表!$A:$Z,26,0),0)+IFERROR(VLOOKUP(9113100+A26,[4]D_技能表!$A:$Z,26,0),0)+IFERROR(VLOOKUP(9124100+A26,[4]D_技能表!$A:$Z,26,0),0)+IFERROR(VLOOKUP(9124200+A26,[4]D_技能表!$A:$Z,26,0),0)+IFERROR(VLOOKUP(9124300+A26,[4]D_技能表!$A:$Z,26,0),0)+IFERROR(VLOOKUP(9124400+A26,[4]D_技能表!$A:$Z,26,0),0)</f>
        <v>0</v>
      </c>
      <c r="D26">
        <f t="shared" si="5"/>
        <v>0</v>
      </c>
      <c r="E26">
        <f t="shared" ca="1" si="6"/>
        <v>0</v>
      </c>
    </row>
    <row r="27" spans="1:5" x14ac:dyDescent="0.15">
      <c r="A27">
        <v>8</v>
      </c>
      <c r="B27">
        <f>IF(A27&lt;30,0,B$18*'[3]1、经济推算'!I10)</f>
        <v>0</v>
      </c>
      <c r="C27">
        <f ca="1">IFERROR(VLOOKUP(9111100+A27,[4]D_技能表!$A:$Z,26,0),0)+IFERROR(VLOOKUP(9122100+A27,[4]D_技能表!$A:$Z,26,0),0)+IFERROR(VLOOKUP(9122200+A27,[4]D_技能表!$A:$Z,26,0),0)+IFERROR(VLOOKUP(9122300+A27,[4]D_技能表!$A:$Z,26,0),0)+IFERROR(VLOOKUP(9122400+A27,[4]D_技能表!$A:$Z,26,0),0)+IFERROR(VLOOKUP(9113100+A27,[4]D_技能表!$A:$Z,26,0),0)+IFERROR(VLOOKUP(9124100+A27,[4]D_技能表!$A:$Z,26,0),0)+IFERROR(VLOOKUP(9124200+A27,[4]D_技能表!$A:$Z,26,0),0)+IFERROR(VLOOKUP(9124300+A27,[4]D_技能表!$A:$Z,26,0),0)+IFERROR(VLOOKUP(9124400+A27,[4]D_技能表!$A:$Z,26,0),0)</f>
        <v>0</v>
      </c>
      <c r="D27">
        <f t="shared" si="5"/>
        <v>0</v>
      </c>
      <c r="E27">
        <f t="shared" ca="1" si="6"/>
        <v>0</v>
      </c>
    </row>
    <row r="28" spans="1:5" x14ac:dyDescent="0.15">
      <c r="A28">
        <v>9</v>
      </c>
      <c r="B28">
        <f>IF(A28&lt;30,0,B$18*'[3]1、经济推算'!I11)</f>
        <v>0</v>
      </c>
      <c r="C28">
        <f ca="1">IFERROR(VLOOKUP(9111100+A28,[4]D_技能表!$A:$Z,26,0),0)+IFERROR(VLOOKUP(9122100+A28,[4]D_技能表!$A:$Z,26,0),0)+IFERROR(VLOOKUP(9122200+A28,[4]D_技能表!$A:$Z,26,0),0)+IFERROR(VLOOKUP(9122300+A28,[4]D_技能表!$A:$Z,26,0),0)+IFERROR(VLOOKUP(9122400+A28,[4]D_技能表!$A:$Z,26,0),0)+IFERROR(VLOOKUP(9113100+A28,[4]D_技能表!$A:$Z,26,0),0)+IFERROR(VLOOKUP(9124100+A28,[4]D_技能表!$A:$Z,26,0),0)+IFERROR(VLOOKUP(9124200+A28,[4]D_技能表!$A:$Z,26,0),0)+IFERROR(VLOOKUP(9124300+A28,[4]D_技能表!$A:$Z,26,0),0)+IFERROR(VLOOKUP(9124400+A28,[4]D_技能表!$A:$Z,26,0),0)</f>
        <v>0</v>
      </c>
      <c r="D28">
        <f t="shared" si="5"/>
        <v>0</v>
      </c>
      <c r="E28">
        <f t="shared" ca="1" si="6"/>
        <v>0</v>
      </c>
    </row>
    <row r="29" spans="1:5" x14ac:dyDescent="0.15">
      <c r="A29">
        <v>10</v>
      </c>
      <c r="B29">
        <f>IF(A29&lt;30,0,B$18*'[3]1、经济推算'!I12)</f>
        <v>0</v>
      </c>
      <c r="C29">
        <f ca="1">IFERROR(VLOOKUP(9111100+A29,[4]D_技能表!$A:$Z,26,0),0)+IFERROR(VLOOKUP(9122100+A29,[4]D_技能表!$A:$Z,26,0),0)+IFERROR(VLOOKUP(9122200+A29,[4]D_技能表!$A:$Z,26,0),0)+IFERROR(VLOOKUP(9122300+A29,[4]D_技能表!$A:$Z,26,0),0)+IFERROR(VLOOKUP(9122400+A29,[4]D_技能表!$A:$Z,26,0),0)+IFERROR(VLOOKUP(9113100+A29,[4]D_技能表!$A:$Z,26,0),0)+IFERROR(VLOOKUP(9124100+A29,[4]D_技能表!$A:$Z,26,0),0)+IFERROR(VLOOKUP(9124200+A29,[4]D_技能表!$A:$Z,26,0),0)+IFERROR(VLOOKUP(9124300+A29,[4]D_技能表!$A:$Z,26,0),0)+IFERROR(VLOOKUP(9124400+A29,[4]D_技能表!$A:$Z,26,0),0)</f>
        <v>0</v>
      </c>
      <c r="D29">
        <f t="shared" si="5"/>
        <v>0</v>
      </c>
      <c r="E29">
        <f t="shared" ca="1" si="6"/>
        <v>0</v>
      </c>
    </row>
    <row r="30" spans="1:5" x14ac:dyDescent="0.15">
      <c r="A30">
        <v>11</v>
      </c>
      <c r="B30">
        <f>IF(A30&lt;30,0,B$18*'[3]1、经济推算'!I13)</f>
        <v>0</v>
      </c>
      <c r="C30">
        <f ca="1">IFERROR(VLOOKUP(9111100+A30,[4]D_技能表!$A:$Z,26,0),0)+IFERROR(VLOOKUP(9122100+A30,[4]D_技能表!$A:$Z,26,0),0)+IFERROR(VLOOKUP(9122200+A30,[4]D_技能表!$A:$Z,26,0),0)+IFERROR(VLOOKUP(9122300+A30,[4]D_技能表!$A:$Z,26,0),0)+IFERROR(VLOOKUP(9122400+A30,[4]D_技能表!$A:$Z,26,0),0)+IFERROR(VLOOKUP(9113100+A30,[4]D_技能表!$A:$Z,26,0),0)+IFERROR(VLOOKUP(9124100+A30,[4]D_技能表!$A:$Z,26,0),0)+IFERROR(VLOOKUP(9124200+A30,[4]D_技能表!$A:$Z,26,0),0)+IFERROR(VLOOKUP(9124300+A30,[4]D_技能表!$A:$Z,26,0),0)+IFERROR(VLOOKUP(9124400+A30,[4]D_技能表!$A:$Z,26,0),0)</f>
        <v>0</v>
      </c>
      <c r="D30">
        <f t="shared" si="5"/>
        <v>0</v>
      </c>
      <c r="E30">
        <f t="shared" ca="1" si="6"/>
        <v>0</v>
      </c>
    </row>
    <row r="31" spans="1:5" x14ac:dyDescent="0.15">
      <c r="A31">
        <v>12</v>
      </c>
      <c r="B31">
        <f>IF(A31&lt;30,0,B$18*'[3]1、经济推算'!I14)</f>
        <v>0</v>
      </c>
      <c r="C31">
        <f ca="1">IFERROR(VLOOKUP(9111100+A31,[4]D_技能表!$A:$Z,26,0),0)+IFERROR(VLOOKUP(9122100+A31,[4]D_技能表!$A:$Z,26,0),0)+IFERROR(VLOOKUP(9122200+A31,[4]D_技能表!$A:$Z,26,0),0)+IFERROR(VLOOKUP(9122300+A31,[4]D_技能表!$A:$Z,26,0),0)+IFERROR(VLOOKUP(9122400+A31,[4]D_技能表!$A:$Z,26,0),0)+IFERROR(VLOOKUP(9113100+A31,[4]D_技能表!$A:$Z,26,0),0)+IFERROR(VLOOKUP(9124100+A31,[4]D_技能表!$A:$Z,26,0),0)+IFERROR(VLOOKUP(9124200+A31,[4]D_技能表!$A:$Z,26,0),0)+IFERROR(VLOOKUP(9124300+A31,[4]D_技能表!$A:$Z,26,0),0)+IFERROR(VLOOKUP(9124400+A31,[4]D_技能表!$A:$Z,26,0),0)</f>
        <v>0</v>
      </c>
      <c r="D31">
        <f t="shared" si="5"/>
        <v>0</v>
      </c>
      <c r="E31">
        <f t="shared" ca="1" si="6"/>
        <v>0</v>
      </c>
    </row>
    <row r="32" spans="1:5" x14ac:dyDescent="0.15">
      <c r="A32">
        <v>13</v>
      </c>
      <c r="B32">
        <f>IF(A32&lt;30,0,B$18*'[3]1、经济推算'!I15)</f>
        <v>0</v>
      </c>
      <c r="C32">
        <f ca="1">IFERROR(VLOOKUP(9111100+A32,[4]D_技能表!$A:$Z,26,0),0)+IFERROR(VLOOKUP(9122100+A32,[4]D_技能表!$A:$Z,26,0),0)+IFERROR(VLOOKUP(9122200+A32,[4]D_技能表!$A:$Z,26,0),0)+IFERROR(VLOOKUP(9122300+A32,[4]D_技能表!$A:$Z,26,0),0)+IFERROR(VLOOKUP(9122400+A32,[4]D_技能表!$A:$Z,26,0),0)+IFERROR(VLOOKUP(9113100+A32,[4]D_技能表!$A:$Z,26,0),0)+IFERROR(VLOOKUP(9124100+A32,[4]D_技能表!$A:$Z,26,0),0)+IFERROR(VLOOKUP(9124200+A32,[4]D_技能表!$A:$Z,26,0),0)+IFERROR(VLOOKUP(9124300+A32,[4]D_技能表!$A:$Z,26,0),0)+IFERROR(VLOOKUP(9124400+A32,[4]D_技能表!$A:$Z,26,0),0)</f>
        <v>0</v>
      </c>
      <c r="D32">
        <f t="shared" si="5"/>
        <v>0</v>
      </c>
      <c r="E32">
        <f t="shared" ca="1" si="6"/>
        <v>0</v>
      </c>
    </row>
    <row r="33" spans="1:5" x14ac:dyDescent="0.15">
      <c r="A33">
        <v>14</v>
      </c>
      <c r="B33">
        <f>IF(A33&lt;30,0,B$18*'[3]1、经济推算'!I16)</f>
        <v>0</v>
      </c>
      <c r="C33">
        <f ca="1">IFERROR(VLOOKUP(9111100+A33,[4]D_技能表!$A:$Z,26,0),0)+IFERROR(VLOOKUP(9122100+A33,[4]D_技能表!$A:$Z,26,0),0)+IFERROR(VLOOKUP(9122200+A33,[4]D_技能表!$A:$Z,26,0),0)+IFERROR(VLOOKUP(9122300+A33,[4]D_技能表!$A:$Z,26,0),0)+IFERROR(VLOOKUP(9122400+A33,[4]D_技能表!$A:$Z,26,0),0)+IFERROR(VLOOKUP(9113100+A33,[4]D_技能表!$A:$Z,26,0),0)+IFERROR(VLOOKUP(9124100+A33,[4]D_技能表!$A:$Z,26,0),0)+IFERROR(VLOOKUP(9124200+A33,[4]D_技能表!$A:$Z,26,0),0)+IFERROR(VLOOKUP(9124300+A33,[4]D_技能表!$A:$Z,26,0),0)+IFERROR(VLOOKUP(9124400+A33,[4]D_技能表!$A:$Z,26,0),0)</f>
        <v>0</v>
      </c>
      <c r="D33">
        <f t="shared" si="5"/>
        <v>0</v>
      </c>
      <c r="E33">
        <f t="shared" ca="1" si="6"/>
        <v>0</v>
      </c>
    </row>
    <row r="34" spans="1:5" x14ac:dyDescent="0.15">
      <c r="A34">
        <v>15</v>
      </c>
      <c r="B34">
        <f>IF(A34&lt;30,0,B$18*'[3]1、经济推算'!I17)</f>
        <v>0</v>
      </c>
      <c r="C34">
        <f ca="1">IFERROR(VLOOKUP(9111100+A34,[4]D_技能表!$A:$Z,26,0),0)+IFERROR(VLOOKUP(9122100+A34,[4]D_技能表!$A:$Z,26,0),0)+IFERROR(VLOOKUP(9122200+A34,[4]D_技能表!$A:$Z,26,0),0)+IFERROR(VLOOKUP(9122300+A34,[4]D_技能表!$A:$Z,26,0),0)+IFERROR(VLOOKUP(9122400+A34,[4]D_技能表!$A:$Z,26,0),0)+IFERROR(VLOOKUP(9113100+A34,[4]D_技能表!$A:$Z,26,0),0)+IFERROR(VLOOKUP(9124100+A34,[4]D_技能表!$A:$Z,26,0),0)+IFERROR(VLOOKUP(9124200+A34,[4]D_技能表!$A:$Z,26,0),0)+IFERROR(VLOOKUP(9124300+A34,[4]D_技能表!$A:$Z,26,0),0)+IFERROR(VLOOKUP(9124400+A34,[4]D_技能表!$A:$Z,26,0),0)</f>
        <v>0</v>
      </c>
      <c r="D34">
        <f t="shared" si="5"/>
        <v>0</v>
      </c>
      <c r="E34">
        <f t="shared" ca="1" si="6"/>
        <v>0</v>
      </c>
    </row>
    <row r="35" spans="1:5" x14ac:dyDescent="0.15">
      <c r="A35">
        <v>16</v>
      </c>
      <c r="B35">
        <f>IF(A35&lt;30,0,B$18*'[3]1、经济推算'!I18)</f>
        <v>0</v>
      </c>
      <c r="C35">
        <f ca="1">IFERROR(VLOOKUP(9111100+A35,[4]D_技能表!$A:$Z,26,0),0)+IFERROR(VLOOKUP(9122100+A35,[4]D_技能表!$A:$Z,26,0),0)+IFERROR(VLOOKUP(9122200+A35,[4]D_技能表!$A:$Z,26,0),0)+IFERROR(VLOOKUP(9122300+A35,[4]D_技能表!$A:$Z,26,0),0)+IFERROR(VLOOKUP(9122400+A35,[4]D_技能表!$A:$Z,26,0),0)+IFERROR(VLOOKUP(9113100+A35,[4]D_技能表!$A:$Z,26,0),0)+IFERROR(VLOOKUP(9124100+A35,[4]D_技能表!$A:$Z,26,0),0)+IFERROR(VLOOKUP(9124200+A35,[4]D_技能表!$A:$Z,26,0),0)+IFERROR(VLOOKUP(9124300+A35,[4]D_技能表!$A:$Z,26,0),0)+IFERROR(VLOOKUP(9124400+A35,[4]D_技能表!$A:$Z,26,0),0)</f>
        <v>0</v>
      </c>
      <c r="D35">
        <f t="shared" si="5"/>
        <v>0</v>
      </c>
      <c r="E35">
        <f t="shared" ca="1" si="6"/>
        <v>0</v>
      </c>
    </row>
    <row r="36" spans="1:5" x14ac:dyDescent="0.15">
      <c r="A36">
        <v>17</v>
      </c>
      <c r="B36">
        <f>IF(A36&lt;30,0,B$18*'[3]1、经济推算'!I19)</f>
        <v>0</v>
      </c>
      <c r="C36">
        <f ca="1">IFERROR(VLOOKUP(9111100+A36,[4]D_技能表!$A:$Z,26,0),0)+IFERROR(VLOOKUP(9122100+A36,[4]D_技能表!$A:$Z,26,0),0)+IFERROR(VLOOKUP(9122200+A36,[4]D_技能表!$A:$Z,26,0),0)+IFERROR(VLOOKUP(9122300+A36,[4]D_技能表!$A:$Z,26,0),0)+IFERROR(VLOOKUP(9122400+A36,[4]D_技能表!$A:$Z,26,0),0)+IFERROR(VLOOKUP(9113100+A36,[4]D_技能表!$A:$Z,26,0),0)+IFERROR(VLOOKUP(9124100+A36,[4]D_技能表!$A:$Z,26,0),0)+IFERROR(VLOOKUP(9124200+A36,[4]D_技能表!$A:$Z,26,0),0)+IFERROR(VLOOKUP(9124300+A36,[4]D_技能表!$A:$Z,26,0),0)+IFERROR(VLOOKUP(9124400+A36,[4]D_技能表!$A:$Z,26,0),0)</f>
        <v>0</v>
      </c>
      <c r="D36">
        <f t="shared" si="5"/>
        <v>0</v>
      </c>
      <c r="E36">
        <f t="shared" ca="1" si="6"/>
        <v>0</v>
      </c>
    </row>
    <row r="37" spans="1:5" x14ac:dyDescent="0.15">
      <c r="A37">
        <v>18</v>
      </c>
      <c r="B37">
        <f>IF(A37&lt;30,0,B$18*'[3]1、经济推算'!I20)</f>
        <v>0</v>
      </c>
      <c r="C37">
        <f ca="1">IFERROR(VLOOKUP(9111100+A37,[4]D_技能表!$A:$Z,26,0),0)+IFERROR(VLOOKUP(9122100+A37,[4]D_技能表!$A:$Z,26,0),0)+IFERROR(VLOOKUP(9122200+A37,[4]D_技能表!$A:$Z,26,0),0)+IFERROR(VLOOKUP(9122300+A37,[4]D_技能表!$A:$Z,26,0),0)+IFERROR(VLOOKUP(9122400+A37,[4]D_技能表!$A:$Z,26,0),0)+IFERROR(VLOOKUP(9113100+A37,[4]D_技能表!$A:$Z,26,0),0)+IFERROR(VLOOKUP(9124100+A37,[4]D_技能表!$A:$Z,26,0),0)+IFERROR(VLOOKUP(9124200+A37,[4]D_技能表!$A:$Z,26,0),0)+IFERROR(VLOOKUP(9124300+A37,[4]D_技能表!$A:$Z,26,0),0)+IFERROR(VLOOKUP(9124400+A37,[4]D_技能表!$A:$Z,26,0),0)</f>
        <v>67</v>
      </c>
      <c r="D37">
        <f t="shared" si="5"/>
        <v>0</v>
      </c>
      <c r="E37">
        <f t="shared" ca="1" si="6"/>
        <v>67</v>
      </c>
    </row>
    <row r="38" spans="1:5" x14ac:dyDescent="0.15">
      <c r="A38">
        <v>19</v>
      </c>
      <c r="B38">
        <f>IF(A38&lt;30,0,B$18*'[3]1、经济推算'!I21)</f>
        <v>0</v>
      </c>
      <c r="C38">
        <f ca="1">IFERROR(VLOOKUP(9111100+A38,[4]D_技能表!$A:$Z,26,0),0)+IFERROR(VLOOKUP(9122100+A38,[4]D_技能表!$A:$Z,26,0),0)+IFERROR(VLOOKUP(9122200+A38,[4]D_技能表!$A:$Z,26,0),0)+IFERROR(VLOOKUP(9122300+A38,[4]D_技能表!$A:$Z,26,0),0)+IFERROR(VLOOKUP(9122400+A38,[4]D_技能表!$A:$Z,26,0),0)+IFERROR(VLOOKUP(9113100+A38,[4]D_技能表!$A:$Z,26,0),0)+IFERROR(VLOOKUP(9124100+A38,[4]D_技能表!$A:$Z,26,0),0)+IFERROR(VLOOKUP(9124200+A38,[4]D_技能表!$A:$Z,26,0),0)+IFERROR(VLOOKUP(9124300+A38,[4]D_技能表!$A:$Z,26,0),0)+IFERROR(VLOOKUP(9124400+A38,[4]D_技能表!$A:$Z,26,0),0)</f>
        <v>74</v>
      </c>
      <c r="D38">
        <f t="shared" si="5"/>
        <v>0</v>
      </c>
      <c r="E38">
        <f t="shared" ca="1" si="6"/>
        <v>141</v>
      </c>
    </row>
    <row r="39" spans="1:5" x14ac:dyDescent="0.15">
      <c r="A39">
        <v>20</v>
      </c>
      <c r="B39">
        <f>IF(A39&lt;30,0,B$18*'[3]1、经济推算'!I22)</f>
        <v>0</v>
      </c>
      <c r="C39">
        <f ca="1">IFERROR(VLOOKUP(9111100+A39,[4]D_技能表!$A:$Z,26,0),0)+IFERROR(VLOOKUP(9122100+A39,[4]D_技能表!$A:$Z,26,0),0)+IFERROR(VLOOKUP(9122200+A39,[4]D_技能表!$A:$Z,26,0),0)+IFERROR(VLOOKUP(9122300+A39,[4]D_技能表!$A:$Z,26,0),0)+IFERROR(VLOOKUP(9122400+A39,[4]D_技能表!$A:$Z,26,0),0)+IFERROR(VLOOKUP(9113100+A39,[4]D_技能表!$A:$Z,26,0),0)+IFERROR(VLOOKUP(9124100+A39,[4]D_技能表!$A:$Z,26,0),0)+IFERROR(VLOOKUP(9124200+A39,[4]D_技能表!$A:$Z,26,0),0)+IFERROR(VLOOKUP(9124300+A39,[4]D_技能表!$A:$Z,26,0),0)+IFERROR(VLOOKUP(9124400+A39,[4]D_技能表!$A:$Z,26,0),0)</f>
        <v>79</v>
      </c>
      <c r="D39">
        <f t="shared" si="5"/>
        <v>0</v>
      </c>
      <c r="E39">
        <f t="shared" ca="1" si="6"/>
        <v>220</v>
      </c>
    </row>
    <row r="40" spans="1:5" x14ac:dyDescent="0.15">
      <c r="A40">
        <v>21</v>
      </c>
      <c r="B40">
        <f>IF(A40&lt;30,0,B$18*'[3]1、经济推算'!I23)</f>
        <v>0</v>
      </c>
      <c r="C40">
        <f ca="1">IFERROR(VLOOKUP(9111100+A40,[4]D_技能表!$A:$Z,26,0),0)+IFERROR(VLOOKUP(9122100+A40,[4]D_技能表!$A:$Z,26,0),0)+IFERROR(VLOOKUP(9122200+A40,[4]D_技能表!$A:$Z,26,0),0)+IFERROR(VLOOKUP(9122300+A40,[4]D_技能表!$A:$Z,26,0),0)+IFERROR(VLOOKUP(9122400+A40,[4]D_技能表!$A:$Z,26,0),0)+IFERROR(VLOOKUP(9113100+A40,[4]D_技能表!$A:$Z,26,0),0)+IFERROR(VLOOKUP(9124100+A40,[4]D_技能表!$A:$Z,26,0),0)+IFERROR(VLOOKUP(9124200+A40,[4]D_技能表!$A:$Z,26,0),0)+IFERROR(VLOOKUP(9124300+A40,[4]D_技能表!$A:$Z,26,0),0)+IFERROR(VLOOKUP(9124400+A40,[4]D_技能表!$A:$Z,26,0),0)</f>
        <v>83</v>
      </c>
      <c r="D40">
        <f t="shared" si="5"/>
        <v>0</v>
      </c>
      <c r="E40">
        <f t="shared" ca="1" si="6"/>
        <v>303</v>
      </c>
    </row>
    <row r="41" spans="1:5" x14ac:dyDescent="0.15">
      <c r="A41">
        <v>22</v>
      </c>
      <c r="B41">
        <f>IF(A41&lt;30,0,B$18*'[3]1、经济推算'!I24)</f>
        <v>0</v>
      </c>
      <c r="C41">
        <f ca="1">IFERROR(VLOOKUP(9111100+A41,[4]D_技能表!$A:$Z,26,0),0)+IFERROR(VLOOKUP(9122100+A41,[4]D_技能表!$A:$Z,26,0),0)+IFERROR(VLOOKUP(9122200+A41,[4]D_技能表!$A:$Z,26,0),0)+IFERROR(VLOOKUP(9122300+A41,[4]D_技能表!$A:$Z,26,0),0)+IFERROR(VLOOKUP(9122400+A41,[4]D_技能表!$A:$Z,26,0),0)+IFERROR(VLOOKUP(9113100+A41,[4]D_技能表!$A:$Z,26,0),0)+IFERROR(VLOOKUP(9124100+A41,[4]D_技能表!$A:$Z,26,0),0)+IFERROR(VLOOKUP(9124200+A41,[4]D_技能表!$A:$Z,26,0),0)+IFERROR(VLOOKUP(9124300+A41,[4]D_技能表!$A:$Z,26,0),0)+IFERROR(VLOOKUP(9124400+A41,[4]D_技能表!$A:$Z,26,0),0)</f>
        <v>86</v>
      </c>
      <c r="D41">
        <f t="shared" si="5"/>
        <v>0</v>
      </c>
      <c r="E41">
        <f t="shared" ca="1" si="6"/>
        <v>389</v>
      </c>
    </row>
    <row r="42" spans="1:5" x14ac:dyDescent="0.15">
      <c r="A42">
        <v>23</v>
      </c>
      <c r="B42">
        <f>IF(A42&lt;30,0,B$18*'[3]1、经济推算'!I25)</f>
        <v>0</v>
      </c>
      <c r="C42">
        <f ca="1">IFERROR(VLOOKUP(9111100+A42,[4]D_技能表!$A:$Z,26,0),0)+IFERROR(VLOOKUP(9122100+A42,[4]D_技能表!$A:$Z,26,0),0)+IFERROR(VLOOKUP(9122200+A42,[4]D_技能表!$A:$Z,26,0),0)+IFERROR(VLOOKUP(9122300+A42,[4]D_技能表!$A:$Z,26,0),0)+IFERROR(VLOOKUP(9122400+A42,[4]D_技能表!$A:$Z,26,0),0)+IFERROR(VLOOKUP(9113100+A42,[4]D_技能表!$A:$Z,26,0),0)+IFERROR(VLOOKUP(9124100+A42,[4]D_技能表!$A:$Z,26,0),0)+IFERROR(VLOOKUP(9124200+A42,[4]D_技能表!$A:$Z,26,0),0)+IFERROR(VLOOKUP(9124300+A42,[4]D_技能表!$A:$Z,26,0),0)+IFERROR(VLOOKUP(9124400+A42,[4]D_技能表!$A:$Z,26,0),0)</f>
        <v>93</v>
      </c>
      <c r="D42">
        <f t="shared" si="5"/>
        <v>0</v>
      </c>
      <c r="E42">
        <f t="shared" ca="1" si="6"/>
        <v>482</v>
      </c>
    </row>
    <row r="43" spans="1:5" x14ac:dyDescent="0.15">
      <c r="A43">
        <v>24</v>
      </c>
      <c r="B43">
        <f>IF(A43&lt;30,0,B$18*'[3]1、经济推算'!I26)</f>
        <v>0</v>
      </c>
      <c r="C43">
        <f ca="1">IFERROR(VLOOKUP(9111100+A43,[4]D_技能表!$A:$Z,26,0),0)+IFERROR(VLOOKUP(9122100+A43,[4]D_技能表!$A:$Z,26,0),0)+IFERROR(VLOOKUP(9122200+A43,[4]D_技能表!$A:$Z,26,0),0)+IFERROR(VLOOKUP(9122300+A43,[4]D_技能表!$A:$Z,26,0),0)+IFERROR(VLOOKUP(9122400+A43,[4]D_技能表!$A:$Z,26,0),0)+IFERROR(VLOOKUP(9113100+A43,[4]D_技能表!$A:$Z,26,0),0)+IFERROR(VLOOKUP(9124100+A43,[4]D_技能表!$A:$Z,26,0),0)+IFERROR(VLOOKUP(9124200+A43,[4]D_技能表!$A:$Z,26,0),0)+IFERROR(VLOOKUP(9124300+A43,[4]D_技能表!$A:$Z,26,0),0)+IFERROR(VLOOKUP(9124400+A43,[4]D_技能表!$A:$Z,26,0),0)</f>
        <v>99</v>
      </c>
      <c r="D43">
        <f t="shared" si="5"/>
        <v>0</v>
      </c>
      <c r="E43">
        <f t="shared" ca="1" si="6"/>
        <v>581</v>
      </c>
    </row>
    <row r="44" spans="1:5" x14ac:dyDescent="0.15">
      <c r="A44">
        <v>25</v>
      </c>
      <c r="B44">
        <f>IF(A44&lt;30,0,B$18*'[3]1、经济推算'!I27)</f>
        <v>0</v>
      </c>
      <c r="C44">
        <f ca="1">IFERROR(VLOOKUP(9111100+A44,[4]D_技能表!$A:$Z,26,0),0)+IFERROR(VLOOKUP(9122100+A44,[4]D_技能表!$A:$Z,26,0),0)+IFERROR(VLOOKUP(9122200+A44,[4]D_技能表!$A:$Z,26,0),0)+IFERROR(VLOOKUP(9122300+A44,[4]D_技能表!$A:$Z,26,0),0)+IFERROR(VLOOKUP(9122400+A44,[4]D_技能表!$A:$Z,26,0),0)+IFERROR(VLOOKUP(9113100+A44,[4]D_技能表!$A:$Z,26,0),0)+IFERROR(VLOOKUP(9124100+A44,[4]D_技能表!$A:$Z,26,0),0)+IFERROR(VLOOKUP(9124200+A44,[4]D_技能表!$A:$Z,26,0),0)+IFERROR(VLOOKUP(9124300+A44,[4]D_技能表!$A:$Z,26,0),0)+IFERROR(VLOOKUP(9124400+A44,[4]D_技能表!$A:$Z,26,0),0)</f>
        <v>109</v>
      </c>
      <c r="D44">
        <f t="shared" si="5"/>
        <v>0</v>
      </c>
      <c r="E44">
        <f t="shared" ca="1" si="6"/>
        <v>690</v>
      </c>
    </row>
    <row r="45" spans="1:5" x14ac:dyDescent="0.15">
      <c r="A45">
        <v>26</v>
      </c>
      <c r="B45">
        <f>IF(A45&lt;30,0,B$18*'[3]1、经济推算'!I28)</f>
        <v>0</v>
      </c>
      <c r="C45">
        <f ca="1">IFERROR(VLOOKUP(9111100+A45,[4]D_技能表!$A:$Z,26,0),0)+IFERROR(VLOOKUP(9122100+A45,[4]D_技能表!$A:$Z,26,0),0)+IFERROR(VLOOKUP(9122200+A45,[4]D_技能表!$A:$Z,26,0),0)+IFERROR(VLOOKUP(9122300+A45,[4]D_技能表!$A:$Z,26,0),0)+IFERROR(VLOOKUP(9122400+A45,[4]D_技能表!$A:$Z,26,0),0)+IFERROR(VLOOKUP(9113100+A45,[4]D_技能表!$A:$Z,26,0),0)+IFERROR(VLOOKUP(9124100+A45,[4]D_技能表!$A:$Z,26,0),0)+IFERROR(VLOOKUP(9124200+A45,[4]D_技能表!$A:$Z,26,0),0)+IFERROR(VLOOKUP(9124300+A45,[4]D_技能表!$A:$Z,26,0),0)+IFERROR(VLOOKUP(9124400+A45,[4]D_技能表!$A:$Z,26,0),0)</f>
        <v>114</v>
      </c>
      <c r="D45">
        <f t="shared" si="5"/>
        <v>0</v>
      </c>
      <c r="E45">
        <f t="shared" ca="1" si="6"/>
        <v>804</v>
      </c>
    </row>
    <row r="46" spans="1:5" x14ac:dyDescent="0.15">
      <c r="A46">
        <v>27</v>
      </c>
      <c r="B46">
        <f>IF(A46&lt;30,0,B$18*'[3]1、经济推算'!I29)</f>
        <v>0</v>
      </c>
      <c r="C46">
        <f ca="1">IFERROR(VLOOKUP(9111100+A46,[4]D_技能表!$A:$Z,26,0),0)+IFERROR(VLOOKUP(9122100+A46,[4]D_技能表!$A:$Z,26,0),0)+IFERROR(VLOOKUP(9122200+A46,[4]D_技能表!$A:$Z,26,0),0)+IFERROR(VLOOKUP(9122300+A46,[4]D_技能表!$A:$Z,26,0),0)+IFERROR(VLOOKUP(9122400+A46,[4]D_技能表!$A:$Z,26,0),0)+IFERROR(VLOOKUP(9113100+A46,[4]D_技能表!$A:$Z,26,0),0)+IFERROR(VLOOKUP(9124100+A46,[4]D_技能表!$A:$Z,26,0),0)+IFERROR(VLOOKUP(9124200+A46,[4]D_技能表!$A:$Z,26,0),0)+IFERROR(VLOOKUP(9124300+A46,[4]D_技能表!$A:$Z,26,0),0)+IFERROR(VLOOKUP(9124400+A46,[4]D_技能表!$A:$Z,26,0),0)</f>
        <v>120</v>
      </c>
      <c r="D46">
        <f t="shared" si="5"/>
        <v>0</v>
      </c>
      <c r="E46">
        <f t="shared" ca="1" si="6"/>
        <v>924</v>
      </c>
    </row>
    <row r="47" spans="1:5" x14ac:dyDescent="0.15">
      <c r="A47">
        <v>28</v>
      </c>
      <c r="B47">
        <f>IF(A47&lt;30,0,B$18*'[3]1、经济推算'!I30)</f>
        <v>0</v>
      </c>
      <c r="C47">
        <f ca="1">IFERROR(VLOOKUP(9111100+A47,[4]D_技能表!$A:$Z,26,0),0)+IFERROR(VLOOKUP(9122100+A47,[4]D_技能表!$A:$Z,26,0),0)+IFERROR(VLOOKUP(9122200+A47,[4]D_技能表!$A:$Z,26,0),0)+IFERROR(VLOOKUP(9122300+A47,[4]D_技能表!$A:$Z,26,0),0)+IFERROR(VLOOKUP(9122400+A47,[4]D_技能表!$A:$Z,26,0),0)+IFERROR(VLOOKUP(9113100+A47,[4]D_技能表!$A:$Z,26,0),0)+IFERROR(VLOOKUP(9124100+A47,[4]D_技能表!$A:$Z,26,0),0)+IFERROR(VLOOKUP(9124200+A47,[4]D_技能表!$A:$Z,26,0),0)+IFERROR(VLOOKUP(9124300+A47,[4]D_技能表!$A:$Z,26,0),0)+IFERROR(VLOOKUP(9124400+A47,[4]D_技能表!$A:$Z,26,0),0)</f>
        <v>131</v>
      </c>
      <c r="D47">
        <f t="shared" si="5"/>
        <v>0</v>
      </c>
      <c r="E47">
        <f t="shared" ca="1" si="6"/>
        <v>1055</v>
      </c>
    </row>
    <row r="48" spans="1:5" x14ac:dyDescent="0.15">
      <c r="A48">
        <v>29</v>
      </c>
      <c r="B48">
        <f>IF(A48&lt;30,0,B$18*'[3]1、经济推算'!I31)</f>
        <v>0</v>
      </c>
      <c r="C48">
        <f ca="1">IFERROR(VLOOKUP(9111100+A48,[4]D_技能表!$A:$Z,26,0),0)+IFERROR(VLOOKUP(9122100+A48,[4]D_技能表!$A:$Z,26,0),0)+IFERROR(VLOOKUP(9122200+A48,[4]D_技能表!$A:$Z,26,0),0)+IFERROR(VLOOKUP(9122300+A48,[4]D_技能表!$A:$Z,26,0),0)+IFERROR(VLOOKUP(9122400+A48,[4]D_技能表!$A:$Z,26,0),0)+IFERROR(VLOOKUP(9113100+A48,[4]D_技能表!$A:$Z,26,0),0)+IFERROR(VLOOKUP(9124100+A48,[4]D_技能表!$A:$Z,26,0),0)+IFERROR(VLOOKUP(9124200+A48,[4]D_技能表!$A:$Z,26,0),0)+IFERROR(VLOOKUP(9124300+A48,[4]D_技能表!$A:$Z,26,0),0)+IFERROR(VLOOKUP(9124400+A48,[4]D_技能表!$A:$Z,26,0),0)</f>
        <v>139</v>
      </c>
      <c r="D48">
        <f t="shared" si="5"/>
        <v>0</v>
      </c>
      <c r="E48">
        <f t="shared" ca="1" si="6"/>
        <v>1194</v>
      </c>
    </row>
    <row r="49" spans="1:5" x14ac:dyDescent="0.15">
      <c r="A49">
        <v>30</v>
      </c>
      <c r="B49">
        <f ca="1">IF(A49&lt;30,0,B$18*'[3]1、经济推算'!I32)</f>
        <v>12.329520254419768</v>
      </c>
      <c r="C49">
        <f ca="1">IFERROR(VLOOKUP(9111100+A49,[4]D_技能表!$A:$Z,26,0),0)+IFERROR(VLOOKUP(9122100+A49,[4]D_技能表!$A:$Z,26,0),0)+IFERROR(VLOOKUP(9122200+A49,[4]D_技能表!$A:$Z,26,0),0)+IFERROR(VLOOKUP(9122300+A49,[4]D_技能表!$A:$Z,26,0),0)+IFERROR(VLOOKUP(9122400+A49,[4]D_技能表!$A:$Z,26,0),0)+IFERROR(VLOOKUP(9113100+A49,[4]D_技能表!$A:$Z,26,0),0)+IFERROR(VLOOKUP(9124100+A49,[4]D_技能表!$A:$Z,26,0),0)+IFERROR(VLOOKUP(9124200+A49,[4]D_技能表!$A:$Z,26,0),0)+IFERROR(VLOOKUP(9124300+A49,[4]D_技能表!$A:$Z,26,0),0)+IFERROR(VLOOKUP(9124400+A49,[4]D_技能表!$A:$Z,26,0),0)</f>
        <v>148</v>
      </c>
      <c r="D49">
        <f t="shared" ca="1" si="5"/>
        <v>12.329520254419768</v>
      </c>
      <c r="E49">
        <f t="shared" ca="1" si="6"/>
        <v>1342</v>
      </c>
    </row>
    <row r="50" spans="1:5" x14ac:dyDescent="0.15">
      <c r="A50">
        <v>31</v>
      </c>
      <c r="B50">
        <f ca="1">IF(A50&lt;30,0,B$18*'[3]1、经济推算'!I33)</f>
        <v>13.571831174749907</v>
      </c>
      <c r="C50">
        <f ca="1">IFERROR(VLOOKUP(9111100+A50,[4]D_技能表!$A:$Z,26,0),0)+IFERROR(VLOOKUP(9122100+A50,[4]D_技能表!$A:$Z,26,0),0)+IFERROR(VLOOKUP(9122200+A50,[4]D_技能表!$A:$Z,26,0),0)+IFERROR(VLOOKUP(9122300+A50,[4]D_技能表!$A:$Z,26,0),0)+IFERROR(VLOOKUP(9122400+A50,[4]D_技能表!$A:$Z,26,0),0)+IFERROR(VLOOKUP(9113100+A50,[4]D_技能表!$A:$Z,26,0),0)+IFERROR(VLOOKUP(9124100+A50,[4]D_技能表!$A:$Z,26,0),0)+IFERROR(VLOOKUP(9124200+A50,[4]D_技能表!$A:$Z,26,0),0)+IFERROR(VLOOKUP(9124300+A50,[4]D_技能表!$A:$Z,26,0),0)+IFERROR(VLOOKUP(9124400+A50,[4]D_技能表!$A:$Z,26,0),0)</f>
        <v>160</v>
      </c>
      <c r="D50">
        <f t="shared" ca="1" si="5"/>
        <v>25.901351429169672</v>
      </c>
      <c r="E50">
        <f t="shared" ca="1" si="6"/>
        <v>1502</v>
      </c>
    </row>
    <row r="51" spans="1:5" x14ac:dyDescent="0.15">
      <c r="A51">
        <v>32</v>
      </c>
      <c r="B51">
        <f ca="1">IF(A51&lt;30,0,B$18*'[3]1、经济推算'!I34)</f>
        <v>14.939316180602017</v>
      </c>
      <c r="C51">
        <f ca="1">IFERROR(VLOOKUP(9111100+A51,[4]D_技能表!$A:$Z,26,0),0)+IFERROR(VLOOKUP(9122100+A51,[4]D_技能表!$A:$Z,26,0),0)+IFERROR(VLOOKUP(9122200+A51,[4]D_技能表!$A:$Z,26,0),0)+IFERROR(VLOOKUP(9122300+A51,[4]D_技能表!$A:$Z,26,0),0)+IFERROR(VLOOKUP(9122400+A51,[4]D_技能表!$A:$Z,26,0),0)+IFERROR(VLOOKUP(9113100+A51,[4]D_技能表!$A:$Z,26,0),0)+IFERROR(VLOOKUP(9124100+A51,[4]D_技能表!$A:$Z,26,0),0)+IFERROR(VLOOKUP(9124200+A51,[4]D_技能表!$A:$Z,26,0),0)+IFERROR(VLOOKUP(9124300+A51,[4]D_技能表!$A:$Z,26,0),0)+IFERROR(VLOOKUP(9124400+A51,[4]D_技能表!$A:$Z,26,0),0)</f>
        <v>168</v>
      </c>
      <c r="D51">
        <f t="shared" ca="1" si="5"/>
        <v>40.840667609771685</v>
      </c>
      <c r="E51">
        <f t="shared" ca="1" si="6"/>
        <v>1670</v>
      </c>
    </row>
    <row r="52" spans="1:5" x14ac:dyDescent="0.15">
      <c r="A52">
        <v>33</v>
      </c>
      <c r="B52">
        <f ca="1">IF(A52&lt;30,0,B$18*'[3]1、经济推算'!I35)</f>
        <v>16.444587695669579</v>
      </c>
      <c r="C52">
        <f ca="1">IFERROR(VLOOKUP(9111100+A52,[4]D_技能表!$A:$Z,26,0),0)+IFERROR(VLOOKUP(9122100+A52,[4]D_技能表!$A:$Z,26,0),0)+IFERROR(VLOOKUP(9122200+A52,[4]D_技能表!$A:$Z,26,0),0)+IFERROR(VLOOKUP(9122300+A52,[4]D_技能表!$A:$Z,26,0),0)+IFERROR(VLOOKUP(9122400+A52,[4]D_技能表!$A:$Z,26,0),0)+IFERROR(VLOOKUP(9113100+A52,[4]D_技能表!$A:$Z,26,0),0)+IFERROR(VLOOKUP(9124100+A52,[4]D_技能表!$A:$Z,26,0),0)+IFERROR(VLOOKUP(9124200+A52,[4]D_技能表!$A:$Z,26,0),0)+IFERROR(VLOOKUP(9124300+A52,[4]D_技能表!$A:$Z,26,0),0)+IFERROR(VLOOKUP(9124400+A52,[4]D_技能表!$A:$Z,26,0),0)</f>
        <v>179</v>
      </c>
      <c r="D52">
        <f t="shared" ca="1" si="5"/>
        <v>57.285255305441268</v>
      </c>
      <c r="E52">
        <f t="shared" ca="1" si="6"/>
        <v>1849</v>
      </c>
    </row>
    <row r="53" spans="1:5" x14ac:dyDescent="0.15">
      <c r="A53">
        <v>34</v>
      </c>
      <c r="B53">
        <f ca="1">IF(A53&lt;30,0,B$18*'[3]1、经济推算'!I36)</f>
        <v>18.10152895965215</v>
      </c>
      <c r="C53">
        <f ca="1">IFERROR(VLOOKUP(9111100+A53,[4]D_技能表!$A:$Z,26,0),0)+IFERROR(VLOOKUP(9122100+A53,[4]D_技能表!$A:$Z,26,0),0)+IFERROR(VLOOKUP(9122200+A53,[4]D_技能表!$A:$Z,26,0),0)+IFERROR(VLOOKUP(9122300+A53,[4]D_技能表!$A:$Z,26,0),0)+IFERROR(VLOOKUP(9122400+A53,[4]D_技能表!$A:$Z,26,0),0)+IFERROR(VLOOKUP(9113100+A53,[4]D_技能表!$A:$Z,26,0),0)+IFERROR(VLOOKUP(9124100+A53,[4]D_技能表!$A:$Z,26,0),0)+IFERROR(VLOOKUP(9124200+A53,[4]D_技能表!$A:$Z,26,0),0)+IFERROR(VLOOKUP(9124300+A53,[4]D_技能表!$A:$Z,26,0),0)+IFERROR(VLOOKUP(9124400+A53,[4]D_技能表!$A:$Z,26,0),0)</f>
        <v>192</v>
      </c>
      <c r="D53">
        <f t="shared" ref="D53:D84" ca="1" si="7">D52+B53</f>
        <v>75.386784265093411</v>
      </c>
      <c r="E53">
        <f t="shared" ref="E53:E84" ca="1" si="8">E52+C53</f>
        <v>2041</v>
      </c>
    </row>
    <row r="54" spans="1:5" x14ac:dyDescent="0.15">
      <c r="A54">
        <v>35</v>
      </c>
      <c r="B54">
        <f ca="1">IF(A54&lt;30,0,B$18*'[3]1、经济推算'!I37)</f>
        <v>19.925422074486594</v>
      </c>
      <c r="C54">
        <f ca="1">IFERROR(VLOOKUP(9111100+A54,[4]D_技能表!$A:$Z,26,0),0)+IFERROR(VLOOKUP(9122100+A54,[4]D_技能表!$A:$Z,26,0),0)+IFERROR(VLOOKUP(9122200+A54,[4]D_技能表!$A:$Z,26,0),0)+IFERROR(VLOOKUP(9122300+A54,[4]D_技能表!$A:$Z,26,0),0)+IFERROR(VLOOKUP(9122400+A54,[4]D_技能表!$A:$Z,26,0),0)+IFERROR(VLOOKUP(9113100+A54,[4]D_技能表!$A:$Z,26,0),0)+IFERROR(VLOOKUP(9124100+A54,[4]D_技能表!$A:$Z,26,0),0)+IFERROR(VLOOKUP(9124200+A54,[4]D_技能表!$A:$Z,26,0),0)+IFERROR(VLOOKUP(9124300+A54,[4]D_技能表!$A:$Z,26,0),0)+IFERROR(VLOOKUP(9124400+A54,[4]D_技能表!$A:$Z,26,0),0)</f>
        <v>206</v>
      </c>
      <c r="D54">
        <f t="shared" ca="1" si="7"/>
        <v>95.312206339580001</v>
      </c>
      <c r="E54">
        <f t="shared" ca="1" si="8"/>
        <v>2247</v>
      </c>
    </row>
    <row r="55" spans="1:5" x14ac:dyDescent="0.15">
      <c r="A55">
        <v>36</v>
      </c>
      <c r="B55">
        <f ca="1">IF(A55&lt;30,0,B$18*'[3]1、经济推算'!I38)</f>
        <v>21.933088952396833</v>
      </c>
      <c r="C55">
        <f ca="1">IFERROR(VLOOKUP(9111100+A55,[4]D_技能表!$A:$Z,26,0),0)+IFERROR(VLOOKUP(9122100+A55,[4]D_技能表!$A:$Z,26,0),0)+IFERROR(VLOOKUP(9122200+A55,[4]D_技能表!$A:$Z,26,0),0)+IFERROR(VLOOKUP(9122300+A55,[4]D_技能表!$A:$Z,26,0),0)+IFERROR(VLOOKUP(9122400+A55,[4]D_技能表!$A:$Z,26,0),0)+IFERROR(VLOOKUP(9113100+A55,[4]D_技能表!$A:$Z,26,0),0)+IFERROR(VLOOKUP(9124100+A55,[4]D_技能表!$A:$Z,26,0),0)+IFERROR(VLOOKUP(9124200+A55,[4]D_技能表!$A:$Z,26,0),0)+IFERROR(VLOOKUP(9124300+A55,[4]D_技能表!$A:$Z,26,0),0)+IFERROR(VLOOKUP(9124400+A55,[4]D_技能表!$A:$Z,26,0),0)</f>
        <v>218</v>
      </c>
      <c r="D55">
        <f t="shared" ca="1" si="7"/>
        <v>117.24529529197683</v>
      </c>
      <c r="E55">
        <f t="shared" ca="1" si="8"/>
        <v>2465</v>
      </c>
    </row>
    <row r="56" spans="1:5" x14ac:dyDescent="0.15">
      <c r="A56">
        <v>37</v>
      </c>
      <c r="B56">
        <f ca="1">IF(A56&lt;30,0,B$18*'[3]1、经济推算'!I39)</f>
        <v>24.143046465737015</v>
      </c>
      <c r="C56">
        <f ca="1">IFERROR(VLOOKUP(9111100+A56,[4]D_技能表!$A:$Z,26,0),0)+IFERROR(VLOOKUP(9122100+A56,[4]D_技能表!$A:$Z,26,0),0)+IFERROR(VLOOKUP(9122200+A56,[4]D_技能表!$A:$Z,26,0),0)+IFERROR(VLOOKUP(9122300+A56,[4]D_技能表!$A:$Z,26,0),0)+IFERROR(VLOOKUP(9122400+A56,[4]D_技能表!$A:$Z,26,0),0)+IFERROR(VLOOKUP(9113100+A56,[4]D_技能表!$A:$Z,26,0),0)+IFERROR(VLOOKUP(9124100+A56,[4]D_技能表!$A:$Z,26,0),0)+IFERROR(VLOOKUP(9124200+A56,[4]D_技能表!$A:$Z,26,0),0)+IFERROR(VLOOKUP(9124300+A56,[4]D_技能表!$A:$Z,26,0),0)+IFERROR(VLOOKUP(9124400+A56,[4]D_技能表!$A:$Z,26,0),0)</f>
        <v>234</v>
      </c>
      <c r="D56">
        <f t="shared" ca="1" si="7"/>
        <v>141.38834175771385</v>
      </c>
      <c r="E56">
        <f t="shared" ca="1" si="8"/>
        <v>2699</v>
      </c>
    </row>
    <row r="57" spans="1:5" x14ac:dyDescent="0.15">
      <c r="A57">
        <v>38</v>
      </c>
      <c r="B57">
        <f ca="1">IF(A57&lt;30,0,B$18*'[3]1、经济推算'!I40)</f>
        <v>26.575677229587821</v>
      </c>
      <c r="C57">
        <f ca="1">IFERROR(VLOOKUP(9111100+A57,[4]D_技能表!$A:$Z,26,0),0)+IFERROR(VLOOKUP(9122100+A57,[4]D_技能表!$A:$Z,26,0),0)+IFERROR(VLOOKUP(9122200+A57,[4]D_技能表!$A:$Z,26,0),0)+IFERROR(VLOOKUP(9122300+A57,[4]D_技能表!$A:$Z,26,0),0)+IFERROR(VLOOKUP(9122400+A57,[4]D_技能表!$A:$Z,26,0),0)+IFERROR(VLOOKUP(9113100+A57,[4]D_技能表!$A:$Z,26,0),0)+IFERROR(VLOOKUP(9124100+A57,[4]D_技能表!$A:$Z,26,0),0)+IFERROR(VLOOKUP(9124200+A57,[4]D_技能表!$A:$Z,26,0),0)+IFERROR(VLOOKUP(9124300+A57,[4]D_技能表!$A:$Z,26,0),0)+IFERROR(VLOOKUP(9124400+A57,[4]D_技能表!$A:$Z,26,0),0)</f>
        <v>250</v>
      </c>
      <c r="D57">
        <f t="shared" ca="1" si="7"/>
        <v>167.96401898730167</v>
      </c>
      <c r="E57">
        <f t="shared" ca="1" si="8"/>
        <v>2949</v>
      </c>
    </row>
    <row r="58" spans="1:5" x14ac:dyDescent="0.15">
      <c r="A58">
        <v>39</v>
      </c>
      <c r="B58">
        <f ca="1">IF(A58&lt;30,0,B$18*'[3]1、经济推算'!I41)</f>
        <v>29.253417592247196</v>
      </c>
      <c r="C58">
        <f ca="1">IFERROR(VLOOKUP(9111100+A58,[4]D_技能表!$A:$Z,26,0),0)+IFERROR(VLOOKUP(9122100+A58,[4]D_技能表!$A:$Z,26,0),0)+IFERROR(VLOOKUP(9122200+A58,[4]D_技能表!$A:$Z,26,0),0)+IFERROR(VLOOKUP(9122300+A58,[4]D_技能表!$A:$Z,26,0),0)+IFERROR(VLOOKUP(9122400+A58,[4]D_技能表!$A:$Z,26,0),0)+IFERROR(VLOOKUP(9113100+A58,[4]D_技能表!$A:$Z,26,0),0)+IFERROR(VLOOKUP(9124100+A58,[4]D_技能表!$A:$Z,26,0),0)+IFERROR(VLOOKUP(9124200+A58,[4]D_技能表!$A:$Z,26,0),0)+IFERROR(VLOOKUP(9124300+A58,[4]D_技能表!$A:$Z,26,0),0)+IFERROR(VLOOKUP(9124400+A58,[4]D_技能表!$A:$Z,26,0),0)</f>
        <v>267</v>
      </c>
      <c r="D58">
        <f t="shared" ca="1" si="7"/>
        <v>197.21743657954886</v>
      </c>
      <c r="E58">
        <f t="shared" ca="1" si="8"/>
        <v>3216</v>
      </c>
    </row>
    <row r="59" spans="1:5" x14ac:dyDescent="0.15">
      <c r="A59">
        <v>40</v>
      </c>
      <c r="B59">
        <f ca="1">IF(A59&lt;30,0,B$18*'[3]1、经济推算'!I42)</f>
        <v>32.200964567466997</v>
      </c>
      <c r="C59">
        <f ca="1">IFERROR(VLOOKUP(9111100+A59,[4]D_技能表!$A:$Z,26,0),0)+IFERROR(VLOOKUP(9122100+A59,[4]D_技能表!$A:$Z,26,0),0)+IFERROR(VLOOKUP(9122200+A59,[4]D_技能表!$A:$Z,26,0),0)+IFERROR(VLOOKUP(9122300+A59,[4]D_技能表!$A:$Z,26,0),0)+IFERROR(VLOOKUP(9122400+A59,[4]D_技能表!$A:$Z,26,0),0)+IFERROR(VLOOKUP(9113100+A59,[4]D_技能表!$A:$Z,26,0),0)+IFERROR(VLOOKUP(9124100+A59,[4]D_技能表!$A:$Z,26,0),0)+IFERROR(VLOOKUP(9124200+A59,[4]D_技能表!$A:$Z,26,0),0)+IFERROR(VLOOKUP(9124300+A59,[4]D_技能表!$A:$Z,26,0),0)+IFERROR(VLOOKUP(9124400+A59,[4]D_技能表!$A:$Z,26,0),0)</f>
        <v>288</v>
      </c>
      <c r="D59">
        <f t="shared" ca="1" si="7"/>
        <v>229.41840114701586</v>
      </c>
      <c r="E59">
        <f t="shared" ca="1" si="8"/>
        <v>3504</v>
      </c>
    </row>
    <row r="60" spans="1:5" x14ac:dyDescent="0.15">
      <c r="A60">
        <v>41</v>
      </c>
      <c r="B60">
        <f ca="1">IF(A60&lt;30,0,B$18*'[3]1、经济推算'!I43)</f>
        <v>35.445503616988262</v>
      </c>
      <c r="C60">
        <f ca="1">IFERROR(VLOOKUP(9111100+A60,[4]D_技能表!$A:$Z,26,0),0)+IFERROR(VLOOKUP(9122100+A60,[4]D_技能表!$A:$Z,26,0),0)+IFERROR(VLOOKUP(9122200+A60,[4]D_技能表!$A:$Z,26,0),0)+IFERROR(VLOOKUP(9122300+A60,[4]D_技能表!$A:$Z,26,0),0)+IFERROR(VLOOKUP(9122400+A60,[4]D_技能表!$A:$Z,26,0),0)+IFERROR(VLOOKUP(9113100+A60,[4]D_技能表!$A:$Z,26,0),0)+IFERROR(VLOOKUP(9124100+A60,[4]D_技能表!$A:$Z,26,0),0)+IFERROR(VLOOKUP(9124200+A60,[4]D_技能表!$A:$Z,26,0),0)+IFERROR(VLOOKUP(9124300+A60,[4]D_技能表!$A:$Z,26,0),0)+IFERROR(VLOOKUP(9124400+A60,[4]D_技能表!$A:$Z,26,0),0)</f>
        <v>306</v>
      </c>
      <c r="D60">
        <f t="shared" ca="1" si="7"/>
        <v>264.86390476400413</v>
      </c>
      <c r="E60">
        <f t="shared" ca="1" si="8"/>
        <v>3810</v>
      </c>
    </row>
    <row r="61" spans="1:5" x14ac:dyDescent="0.15">
      <c r="A61">
        <v>42</v>
      </c>
      <c r="B61">
        <f ca="1">IF(A61&lt;30,0,B$18*'[3]1、经济推算'!I44)</f>
        <v>39.016959384231193</v>
      </c>
      <c r="C61">
        <f ca="1">IFERROR(VLOOKUP(9111100+A61,[4]D_技能表!$A:$Z,26,0),0)+IFERROR(VLOOKUP(9122100+A61,[4]D_技能表!$A:$Z,26,0),0)+IFERROR(VLOOKUP(9122200+A61,[4]D_技能表!$A:$Z,26,0),0)+IFERROR(VLOOKUP(9122300+A61,[4]D_技能表!$A:$Z,26,0),0)+IFERROR(VLOOKUP(9122400+A61,[4]D_技能表!$A:$Z,26,0),0)+IFERROR(VLOOKUP(9113100+A61,[4]D_技能表!$A:$Z,26,0),0)+IFERROR(VLOOKUP(9124100+A61,[4]D_技能表!$A:$Z,26,0),0)+IFERROR(VLOOKUP(9124200+A61,[4]D_技能表!$A:$Z,26,0),0)+IFERROR(VLOOKUP(9124300+A61,[4]D_技能表!$A:$Z,26,0),0)+IFERROR(VLOOKUP(9124400+A61,[4]D_技能表!$A:$Z,26,0),0)</f>
        <v>326</v>
      </c>
      <c r="D61">
        <f t="shared" ca="1" si="7"/>
        <v>303.88086414823533</v>
      </c>
      <c r="E61">
        <f t="shared" ca="1" si="8"/>
        <v>4136</v>
      </c>
    </row>
    <row r="62" spans="1:5" x14ac:dyDescent="0.15">
      <c r="A62">
        <v>43</v>
      </c>
      <c r="B62">
        <f ca="1">IF(A62&lt;30,0,B$18*'[3]1、经济推算'!I45)</f>
        <v>42.948271691677427</v>
      </c>
      <c r="C62">
        <f ca="1">IFERROR(VLOOKUP(9111100+A62,[4]D_技能表!$A:$Z,26,0),0)+IFERROR(VLOOKUP(9122100+A62,[4]D_技能表!$A:$Z,26,0),0)+IFERROR(VLOOKUP(9122200+A62,[4]D_技能表!$A:$Z,26,0),0)+IFERROR(VLOOKUP(9122300+A62,[4]D_技能表!$A:$Z,26,0),0)+IFERROR(VLOOKUP(9122400+A62,[4]D_技能表!$A:$Z,26,0),0)+IFERROR(VLOOKUP(9113100+A62,[4]D_技能表!$A:$Z,26,0),0)+IFERROR(VLOOKUP(9124100+A62,[4]D_技能表!$A:$Z,26,0),0)+IFERROR(VLOOKUP(9124200+A62,[4]D_技能表!$A:$Z,26,0),0)+IFERROR(VLOOKUP(9124300+A62,[4]D_技能表!$A:$Z,26,0),0)+IFERROR(VLOOKUP(9124400+A62,[4]D_技能表!$A:$Z,26,0),0)</f>
        <v>351</v>
      </c>
      <c r="D62">
        <f t="shared" ca="1" si="7"/>
        <v>346.82913583991274</v>
      </c>
      <c r="E62">
        <f t="shared" ca="1" si="8"/>
        <v>4487</v>
      </c>
    </row>
    <row r="63" spans="1:5" x14ac:dyDescent="0.15">
      <c r="A63">
        <v>44</v>
      </c>
      <c r="B63">
        <f ca="1">IF(A63&lt;30,0,B$18*'[3]1、经济推算'!I46)</f>
        <v>47.275699347489955</v>
      </c>
      <c r="C63">
        <f ca="1">IFERROR(VLOOKUP(9111100+A63,[4]D_技能表!$A:$Z,26,0),0)+IFERROR(VLOOKUP(9122100+A63,[4]D_技能表!$A:$Z,26,0),0)+IFERROR(VLOOKUP(9122200+A63,[4]D_技能表!$A:$Z,26,0),0)+IFERROR(VLOOKUP(9122300+A63,[4]D_技能表!$A:$Z,26,0),0)+IFERROR(VLOOKUP(9122400+A63,[4]D_技能表!$A:$Z,26,0),0)+IFERROR(VLOOKUP(9113100+A63,[4]D_技能表!$A:$Z,26,0),0)+IFERROR(VLOOKUP(9124100+A63,[4]D_技能表!$A:$Z,26,0),0)+IFERROR(VLOOKUP(9124200+A63,[4]D_技能表!$A:$Z,26,0),0)+IFERROR(VLOOKUP(9124300+A63,[4]D_技能表!$A:$Z,26,0),0)+IFERROR(VLOOKUP(9124400+A63,[4]D_技能表!$A:$Z,26,0),0)</f>
        <v>374</v>
      </c>
      <c r="D63">
        <f t="shared" ca="1" si="7"/>
        <v>394.10483518740267</v>
      </c>
      <c r="E63">
        <f t="shared" ca="1" si="8"/>
        <v>4861</v>
      </c>
    </row>
    <row r="64" spans="1:5" x14ac:dyDescent="0.15">
      <c r="A64">
        <v>45</v>
      </c>
      <c r="B64">
        <f ca="1">IF(A64&lt;30,0,B$18*'[3]1、经济推算'!I47)</f>
        <v>52.039154563403805</v>
      </c>
      <c r="C64">
        <f ca="1">IFERROR(VLOOKUP(9111100+A64,[4]D_技能表!$A:$Z,26,0),0)+IFERROR(VLOOKUP(9122100+A64,[4]D_技能表!$A:$Z,26,0),0)+IFERROR(VLOOKUP(9122200+A64,[4]D_技能表!$A:$Z,26,0),0)+IFERROR(VLOOKUP(9122300+A64,[4]D_技能表!$A:$Z,26,0),0)+IFERROR(VLOOKUP(9122400+A64,[4]D_技能表!$A:$Z,26,0),0)+IFERROR(VLOOKUP(9113100+A64,[4]D_技能表!$A:$Z,26,0),0)+IFERROR(VLOOKUP(9124100+A64,[4]D_技能表!$A:$Z,26,0),0)+IFERROR(VLOOKUP(9124200+A64,[4]D_技能表!$A:$Z,26,0),0)+IFERROR(VLOOKUP(9124300+A64,[4]D_技能表!$A:$Z,26,0),0)+IFERROR(VLOOKUP(9124400+A64,[4]D_技能表!$A:$Z,26,0),0)</f>
        <v>401</v>
      </c>
      <c r="D64">
        <f t="shared" ca="1" si="7"/>
        <v>446.1439897508065</v>
      </c>
      <c r="E64">
        <f t="shared" ca="1" si="8"/>
        <v>5262</v>
      </c>
    </row>
    <row r="65" spans="1:5" x14ac:dyDescent="0.15">
      <c r="A65">
        <v>46</v>
      </c>
      <c r="B65">
        <f ca="1">IF(A65&lt;30,0,B$18*'[3]1、经济推算'!I48)</f>
        <v>57.282571068250363</v>
      </c>
      <c r="C65">
        <f ca="1">IFERROR(VLOOKUP(9111100+A65,[4]D_技能表!$A:$Z,26,0),0)+IFERROR(VLOOKUP(9122100+A65,[4]D_技能表!$A:$Z,26,0),0)+IFERROR(VLOOKUP(9122200+A65,[4]D_技能表!$A:$Z,26,0),0)+IFERROR(VLOOKUP(9122300+A65,[4]D_技能表!$A:$Z,26,0),0)+IFERROR(VLOOKUP(9122400+A65,[4]D_技能表!$A:$Z,26,0),0)+IFERROR(VLOOKUP(9113100+A65,[4]D_技能表!$A:$Z,26,0),0)+IFERROR(VLOOKUP(9124100+A65,[4]D_技能表!$A:$Z,26,0),0)+IFERROR(VLOOKUP(9124200+A65,[4]D_技能表!$A:$Z,26,0),0)+IFERROR(VLOOKUP(9124300+A65,[4]D_技能表!$A:$Z,26,0),0)+IFERROR(VLOOKUP(9124400+A65,[4]D_技能表!$A:$Z,26,0),0)</f>
        <v>427</v>
      </c>
      <c r="D65">
        <f t="shared" ca="1" si="7"/>
        <v>503.42656081905687</v>
      </c>
      <c r="E65">
        <f t="shared" ca="1" si="8"/>
        <v>5689</v>
      </c>
    </row>
    <row r="66" spans="1:5" x14ac:dyDescent="0.15">
      <c r="A66">
        <v>47</v>
      </c>
      <c r="B66">
        <f ca="1">IF(A66&lt;30,0,B$18*'[3]1、经济推算'!I49)</f>
        <v>63.05430931225586</v>
      </c>
      <c r="C66">
        <f ca="1">IFERROR(VLOOKUP(9111100+A66,[4]D_技能表!$A:$Z,26,0),0)+IFERROR(VLOOKUP(9122100+A66,[4]D_技能表!$A:$Z,26,0),0)+IFERROR(VLOOKUP(9122200+A66,[4]D_技能表!$A:$Z,26,0),0)+IFERROR(VLOOKUP(9122300+A66,[4]D_技能表!$A:$Z,26,0),0)+IFERROR(VLOOKUP(9122400+A66,[4]D_技能表!$A:$Z,26,0),0)+IFERROR(VLOOKUP(9113100+A66,[4]D_技能表!$A:$Z,26,0),0)+IFERROR(VLOOKUP(9124100+A66,[4]D_技能表!$A:$Z,26,0),0)+IFERROR(VLOOKUP(9124200+A66,[4]D_技能表!$A:$Z,26,0),0)+IFERROR(VLOOKUP(9124300+A66,[4]D_技能表!$A:$Z,26,0),0)+IFERROR(VLOOKUP(9124400+A66,[4]D_技能表!$A:$Z,26,0),0)</f>
        <v>456</v>
      </c>
      <c r="D66">
        <f t="shared" ca="1" si="7"/>
        <v>566.48087013131271</v>
      </c>
      <c r="E66">
        <f t="shared" ca="1" si="8"/>
        <v>6145</v>
      </c>
    </row>
    <row r="67" spans="1:5" x14ac:dyDescent="0.15">
      <c r="A67">
        <v>48</v>
      </c>
      <c r="B67">
        <f ca="1">IF(A67&lt;30,0,B$18*'[3]1、经济推算'!I50)</f>
        <v>69.4076024993456</v>
      </c>
      <c r="C67">
        <f ca="1">IFERROR(VLOOKUP(9111100+A67,[4]D_技能表!$A:$Z,26,0),0)+IFERROR(VLOOKUP(9122100+A67,[4]D_技能表!$A:$Z,26,0),0)+IFERROR(VLOOKUP(9122200+A67,[4]D_技能表!$A:$Z,26,0),0)+IFERROR(VLOOKUP(9122300+A67,[4]D_技能表!$A:$Z,26,0),0)+IFERROR(VLOOKUP(9122400+A67,[4]D_技能表!$A:$Z,26,0),0)+IFERROR(VLOOKUP(9113100+A67,[4]D_技能表!$A:$Z,26,0),0)+IFERROR(VLOOKUP(9124100+A67,[4]D_技能表!$A:$Z,26,0),0)+IFERROR(VLOOKUP(9124200+A67,[4]D_技能表!$A:$Z,26,0),0)+IFERROR(VLOOKUP(9124300+A67,[4]D_技能表!$A:$Z,26,0),0)+IFERROR(VLOOKUP(9124400+A67,[4]D_技能表!$A:$Z,26,0),0)</f>
        <v>494</v>
      </c>
      <c r="D67">
        <f t="shared" ca="1" si="7"/>
        <v>635.88847263065827</v>
      </c>
      <c r="E67">
        <f t="shared" ca="1" si="8"/>
        <v>6639</v>
      </c>
    </row>
    <row r="68" spans="1:5" x14ac:dyDescent="0.15">
      <c r="A68">
        <v>49</v>
      </c>
      <c r="B68">
        <f ca="1">IF(A68&lt;30,0,B$18*'[3]1、经济推算'!I51)</f>
        <v>76.401047561245747</v>
      </c>
      <c r="C68">
        <f ca="1">IFERROR(VLOOKUP(9111100+A68,[4]D_技能表!$A:$Z,26,0),0)+IFERROR(VLOOKUP(9122100+A68,[4]D_技能表!$A:$Z,26,0),0)+IFERROR(VLOOKUP(9122200+A68,[4]D_技能表!$A:$Z,26,0),0)+IFERROR(VLOOKUP(9122300+A68,[4]D_技能表!$A:$Z,26,0),0)+IFERROR(VLOOKUP(9122400+A68,[4]D_技能表!$A:$Z,26,0),0)+IFERROR(VLOOKUP(9113100+A68,[4]D_技能表!$A:$Z,26,0),0)+IFERROR(VLOOKUP(9124100+A68,[4]D_技能表!$A:$Z,26,0),0)+IFERROR(VLOOKUP(9124200+A68,[4]D_技能表!$A:$Z,26,0),0)+IFERROR(VLOOKUP(9124300+A68,[4]D_技能表!$A:$Z,26,0),0)+IFERROR(VLOOKUP(9124400+A68,[4]D_技能表!$A:$Z,26,0),0)</f>
        <v>524</v>
      </c>
      <c r="D68">
        <f t="shared" ca="1" si="7"/>
        <v>712.28952019190399</v>
      </c>
      <c r="E68">
        <f t="shared" ca="1" si="8"/>
        <v>7163</v>
      </c>
    </row>
    <row r="69" spans="1:5" x14ac:dyDescent="0.15">
      <c r="A69">
        <v>50</v>
      </c>
      <c r="B69">
        <f ca="1">IF(A69&lt;30,0,B$18*'[3]1、经济推算'!I52)</f>
        <v>84.099145601676355</v>
      </c>
      <c r="C69">
        <f ca="1">IFERROR(VLOOKUP(9111100+A69,[4]D_技能表!$A:$Z,26,0),0)+IFERROR(VLOOKUP(9122100+A69,[4]D_技能表!$A:$Z,26,0),0)+IFERROR(VLOOKUP(9122200+A69,[4]D_技能表!$A:$Z,26,0),0)+IFERROR(VLOOKUP(9122300+A69,[4]D_技能表!$A:$Z,26,0),0)+IFERROR(VLOOKUP(9122400+A69,[4]D_技能表!$A:$Z,26,0),0)+IFERROR(VLOOKUP(9113100+A69,[4]D_技能表!$A:$Z,26,0),0)+IFERROR(VLOOKUP(9124100+A69,[4]D_技能表!$A:$Z,26,0),0)+IFERROR(VLOOKUP(9124200+A69,[4]D_技能表!$A:$Z,26,0),0)+IFERROR(VLOOKUP(9124300+A69,[4]D_技能表!$A:$Z,26,0),0)+IFERROR(VLOOKUP(9124400+A69,[4]D_技能表!$A:$Z,26,0),0)</f>
        <v>561</v>
      </c>
      <c r="D69">
        <f t="shared" ca="1" si="7"/>
        <v>796.38866579358034</v>
      </c>
      <c r="E69">
        <f t="shared" ca="1" si="8"/>
        <v>7724</v>
      </c>
    </row>
    <row r="70" spans="1:5" x14ac:dyDescent="0.15">
      <c r="A70">
        <v>51</v>
      </c>
      <c r="B70">
        <f ca="1">IF(A70&lt;30,0,B$18*'[3]1、经济推算'!I53)</f>
        <v>92.572896795194609</v>
      </c>
      <c r="C70">
        <f ca="1">IFERROR(VLOOKUP(9111100+A70,[4]D_技能表!$A:$Z,26,0),0)+IFERROR(VLOOKUP(9122100+A70,[4]D_技能表!$A:$Z,26,0),0)+IFERROR(VLOOKUP(9122200+A70,[4]D_技能表!$A:$Z,26,0),0)+IFERROR(VLOOKUP(9122300+A70,[4]D_技能表!$A:$Z,26,0),0)+IFERROR(VLOOKUP(9122400+A70,[4]D_技能表!$A:$Z,26,0),0)+IFERROR(VLOOKUP(9113100+A70,[4]D_技能表!$A:$Z,26,0),0)+IFERROR(VLOOKUP(9124100+A70,[4]D_技能表!$A:$Z,26,0),0)+IFERROR(VLOOKUP(9124200+A70,[4]D_技能表!$A:$Z,26,0),0)+IFERROR(VLOOKUP(9124300+A70,[4]D_技能表!$A:$Z,26,0),0)+IFERROR(VLOOKUP(9124400+A70,[4]D_技能表!$A:$Z,26,0),0)</f>
        <v>0</v>
      </c>
      <c r="D70">
        <f t="shared" ca="1" si="7"/>
        <v>888.961562588775</v>
      </c>
      <c r="E70">
        <f t="shared" ca="1" si="8"/>
        <v>7724</v>
      </c>
    </row>
    <row r="71" spans="1:5" x14ac:dyDescent="0.15">
      <c r="A71">
        <v>52</v>
      </c>
      <c r="B71">
        <f ca="1">IF(A71&lt;30,0,B$18*'[3]1、经济推算'!I54)</f>
        <v>101.90045522748963</v>
      </c>
      <c r="C71">
        <f ca="1">IFERROR(VLOOKUP(9111100+A71,[4]D_技能表!$A:$Z,26,0),0)+IFERROR(VLOOKUP(9122100+A71,[4]D_技能表!$A:$Z,26,0),0)+IFERROR(VLOOKUP(9122200+A71,[4]D_技能表!$A:$Z,26,0),0)+IFERROR(VLOOKUP(9122300+A71,[4]D_技能表!$A:$Z,26,0),0)+IFERROR(VLOOKUP(9122400+A71,[4]D_技能表!$A:$Z,26,0),0)+IFERROR(VLOOKUP(9113100+A71,[4]D_技能表!$A:$Z,26,0),0)+IFERROR(VLOOKUP(9124100+A71,[4]D_技能表!$A:$Z,26,0),0)+IFERROR(VLOOKUP(9124200+A71,[4]D_技能表!$A:$Z,26,0),0)+IFERROR(VLOOKUP(9124300+A71,[4]D_技能表!$A:$Z,26,0),0)+IFERROR(VLOOKUP(9124400+A71,[4]D_技能表!$A:$Z,26,0),0)</f>
        <v>0</v>
      </c>
      <c r="D71">
        <f t="shared" ca="1" si="7"/>
        <v>990.8620178162646</v>
      </c>
      <c r="E71">
        <f t="shared" ca="1" si="8"/>
        <v>7724</v>
      </c>
    </row>
    <row r="72" spans="1:5" x14ac:dyDescent="0.15">
      <c r="A72">
        <v>53</v>
      </c>
      <c r="B72">
        <f ca="1">IF(A72&lt;30,0,B$18*'[3]1、经济推算'!I55)</f>
        <v>112.16784971677184</v>
      </c>
      <c r="C72">
        <f ca="1">IFERROR(VLOOKUP(9111100+A72,[4]D_技能表!$A:$Z,26,0),0)+IFERROR(VLOOKUP(9122100+A72,[4]D_技能表!$A:$Z,26,0),0)+IFERROR(VLOOKUP(9122200+A72,[4]D_技能表!$A:$Z,26,0),0)+IFERROR(VLOOKUP(9122300+A72,[4]D_技能表!$A:$Z,26,0),0)+IFERROR(VLOOKUP(9122400+A72,[4]D_技能表!$A:$Z,26,0),0)+IFERROR(VLOOKUP(9113100+A72,[4]D_技能表!$A:$Z,26,0),0)+IFERROR(VLOOKUP(9124100+A72,[4]D_技能表!$A:$Z,26,0),0)+IFERROR(VLOOKUP(9124200+A72,[4]D_技能表!$A:$Z,26,0),0)+IFERROR(VLOOKUP(9124300+A72,[4]D_技能表!$A:$Z,26,0),0)+IFERROR(VLOOKUP(9124400+A72,[4]D_技能表!$A:$Z,26,0),0)</f>
        <v>0</v>
      </c>
      <c r="D72">
        <f t="shared" ca="1" si="7"/>
        <v>1103.0298675330364</v>
      </c>
      <c r="E72">
        <f t="shared" ca="1" si="8"/>
        <v>7724</v>
      </c>
    </row>
    <row r="73" spans="1:5" x14ac:dyDescent="0.15">
      <c r="A73">
        <v>54</v>
      </c>
      <c r="B73">
        <f ca="1">IF(A73&lt;30,0,B$18*'[3]1、经济推算'!I56)</f>
        <v>123.46977726445107</v>
      </c>
      <c r="C73">
        <f ca="1">IFERROR(VLOOKUP(9111100+A73,[4]D_技能表!$A:$Z,26,0),0)+IFERROR(VLOOKUP(9122100+A73,[4]D_技能表!$A:$Z,26,0),0)+IFERROR(VLOOKUP(9122200+A73,[4]D_技能表!$A:$Z,26,0),0)+IFERROR(VLOOKUP(9122300+A73,[4]D_技能表!$A:$Z,26,0),0)+IFERROR(VLOOKUP(9122400+A73,[4]D_技能表!$A:$Z,26,0),0)+IFERROR(VLOOKUP(9113100+A73,[4]D_技能表!$A:$Z,26,0),0)+IFERROR(VLOOKUP(9124100+A73,[4]D_技能表!$A:$Z,26,0),0)+IFERROR(VLOOKUP(9124200+A73,[4]D_技能表!$A:$Z,26,0),0)+IFERROR(VLOOKUP(9124300+A73,[4]D_技能表!$A:$Z,26,0),0)+IFERROR(VLOOKUP(9124400+A73,[4]D_技能表!$A:$Z,26,0),0)</f>
        <v>0</v>
      </c>
      <c r="D73">
        <f t="shared" ca="1" si="7"/>
        <v>1226.4996447974875</v>
      </c>
      <c r="E73">
        <f t="shared" ca="1" si="8"/>
        <v>7724</v>
      </c>
    </row>
    <row r="74" spans="1:5" x14ac:dyDescent="0.15">
      <c r="A74">
        <v>55</v>
      </c>
      <c r="B74">
        <f ca="1">IF(A74&lt;30,0,B$18*'[3]1、经济推算'!I57)</f>
        <v>135.91047645316226</v>
      </c>
      <c r="C74">
        <f ca="1">IFERROR(VLOOKUP(9111100+A74,[4]D_技能表!$A:$Z,26,0),0)+IFERROR(VLOOKUP(9122100+A74,[4]D_技能表!$A:$Z,26,0),0)+IFERROR(VLOOKUP(9122200+A74,[4]D_技能表!$A:$Z,26,0),0)+IFERROR(VLOOKUP(9122300+A74,[4]D_技能表!$A:$Z,26,0),0)+IFERROR(VLOOKUP(9122400+A74,[4]D_技能表!$A:$Z,26,0),0)+IFERROR(VLOOKUP(9113100+A74,[4]D_技能表!$A:$Z,26,0),0)+IFERROR(VLOOKUP(9124100+A74,[4]D_技能表!$A:$Z,26,0),0)+IFERROR(VLOOKUP(9124200+A74,[4]D_技能表!$A:$Z,26,0),0)+IFERROR(VLOOKUP(9124300+A74,[4]D_技能表!$A:$Z,26,0),0)+IFERROR(VLOOKUP(9124400+A74,[4]D_技能表!$A:$Z,26,0),0)</f>
        <v>0</v>
      </c>
      <c r="D74">
        <f t="shared" ca="1" si="7"/>
        <v>1362.4101212506498</v>
      </c>
      <c r="E74">
        <f t="shared" ca="1" si="8"/>
        <v>7724</v>
      </c>
    </row>
    <row r="75" spans="1:5" x14ac:dyDescent="0.15">
      <c r="A75">
        <v>56</v>
      </c>
      <c r="B75">
        <f ca="1">IF(A75&lt;30,0,B$18*'[3]1、经济推算'!I58)</f>
        <v>149.60468884755861</v>
      </c>
      <c r="C75">
        <f ca="1">IFERROR(VLOOKUP(9111100+A75,[4]D_技能表!$A:$Z,26,0),0)+IFERROR(VLOOKUP(9122100+A75,[4]D_技能表!$A:$Z,26,0),0)+IFERROR(VLOOKUP(9122200+A75,[4]D_技能表!$A:$Z,26,0),0)+IFERROR(VLOOKUP(9122300+A75,[4]D_技能表!$A:$Z,26,0),0)+IFERROR(VLOOKUP(9122400+A75,[4]D_技能表!$A:$Z,26,0),0)+IFERROR(VLOOKUP(9113100+A75,[4]D_技能表!$A:$Z,26,0),0)+IFERROR(VLOOKUP(9124100+A75,[4]D_技能表!$A:$Z,26,0),0)+IFERROR(VLOOKUP(9124200+A75,[4]D_技能表!$A:$Z,26,0),0)+IFERROR(VLOOKUP(9124300+A75,[4]D_技能表!$A:$Z,26,0),0)+IFERROR(VLOOKUP(9124400+A75,[4]D_技能表!$A:$Z,26,0),0)</f>
        <v>0</v>
      </c>
      <c r="D75">
        <f t="shared" ca="1" si="7"/>
        <v>1512.0148100982085</v>
      </c>
      <c r="E75">
        <f t="shared" ca="1" si="8"/>
        <v>7724</v>
      </c>
    </row>
    <row r="76" spans="1:5" x14ac:dyDescent="0.15">
      <c r="A76">
        <v>57</v>
      </c>
      <c r="B76">
        <f ca="1">IF(A76&lt;30,0,B$18*'[3]1、经济推算'!I59)</f>
        <v>164.67871726494909</v>
      </c>
      <c r="C76">
        <f ca="1">IFERROR(VLOOKUP(9111100+A76,[4]D_技能表!$A:$Z,26,0),0)+IFERROR(VLOOKUP(9122100+A76,[4]D_技能表!$A:$Z,26,0),0)+IFERROR(VLOOKUP(9122200+A76,[4]D_技能表!$A:$Z,26,0),0)+IFERROR(VLOOKUP(9122300+A76,[4]D_技能表!$A:$Z,26,0),0)+IFERROR(VLOOKUP(9122400+A76,[4]D_技能表!$A:$Z,26,0),0)+IFERROR(VLOOKUP(9113100+A76,[4]D_技能表!$A:$Z,26,0),0)+IFERROR(VLOOKUP(9124100+A76,[4]D_技能表!$A:$Z,26,0),0)+IFERROR(VLOOKUP(9124200+A76,[4]D_技能表!$A:$Z,26,0),0)+IFERROR(VLOOKUP(9124300+A76,[4]D_技能表!$A:$Z,26,0),0)+IFERROR(VLOOKUP(9124400+A76,[4]D_技能表!$A:$Z,26,0),0)</f>
        <v>0</v>
      </c>
      <c r="D76">
        <f t="shared" ca="1" si="7"/>
        <v>1676.6935273631575</v>
      </c>
      <c r="E76">
        <f t="shared" ca="1" si="8"/>
        <v>7724</v>
      </c>
    </row>
    <row r="77" spans="1:5" x14ac:dyDescent="0.15">
      <c r="A77">
        <v>58</v>
      </c>
      <c r="B77">
        <f ca="1">IF(A77&lt;30,0,B$18*'[3]1、经济推算'!I60)</f>
        <v>181.27159067629444</v>
      </c>
      <c r="C77">
        <f ca="1">IFERROR(VLOOKUP(9111100+A77,[4]D_技能表!$A:$Z,26,0),0)+IFERROR(VLOOKUP(9122100+A77,[4]D_技能表!$A:$Z,26,0),0)+IFERROR(VLOOKUP(9122200+A77,[4]D_技能表!$A:$Z,26,0),0)+IFERROR(VLOOKUP(9122300+A77,[4]D_技能表!$A:$Z,26,0),0)+IFERROR(VLOOKUP(9122400+A77,[4]D_技能表!$A:$Z,26,0),0)+IFERROR(VLOOKUP(9113100+A77,[4]D_技能表!$A:$Z,26,0),0)+IFERROR(VLOOKUP(9124100+A77,[4]D_技能表!$A:$Z,26,0),0)+IFERROR(VLOOKUP(9124200+A77,[4]D_技能表!$A:$Z,26,0),0)+IFERROR(VLOOKUP(9124300+A77,[4]D_技能表!$A:$Z,26,0),0)+IFERROR(VLOOKUP(9124400+A77,[4]D_技能表!$A:$Z,26,0),0)</f>
        <v>0</v>
      </c>
      <c r="D77">
        <f t="shared" ca="1" si="7"/>
        <v>1857.9651180394519</v>
      </c>
      <c r="E77">
        <f t="shared" ca="1" si="8"/>
        <v>7724</v>
      </c>
    </row>
    <row r="78" spans="1:5" x14ac:dyDescent="0.15">
      <c r="A78">
        <v>59</v>
      </c>
      <c r="B78">
        <f ca="1">IF(A78&lt;30,0,B$18*'[3]1、经济推算'!I61)</f>
        <v>199.53634648153741</v>
      </c>
      <c r="C78">
        <f ca="1">IFERROR(VLOOKUP(9111100+A78,[4]D_技能表!$A:$Z,26,0),0)+IFERROR(VLOOKUP(9122100+A78,[4]D_技能表!$A:$Z,26,0),0)+IFERROR(VLOOKUP(9122200+A78,[4]D_技能表!$A:$Z,26,0),0)+IFERROR(VLOOKUP(9122300+A78,[4]D_技能表!$A:$Z,26,0),0)+IFERROR(VLOOKUP(9122400+A78,[4]D_技能表!$A:$Z,26,0),0)+IFERROR(VLOOKUP(9113100+A78,[4]D_技能表!$A:$Z,26,0),0)+IFERROR(VLOOKUP(9124100+A78,[4]D_技能表!$A:$Z,26,0),0)+IFERROR(VLOOKUP(9124200+A78,[4]D_技能表!$A:$Z,26,0),0)+IFERROR(VLOOKUP(9124300+A78,[4]D_技能表!$A:$Z,26,0),0)+IFERROR(VLOOKUP(9124400+A78,[4]D_技能表!$A:$Z,26,0),0)</f>
        <v>0</v>
      </c>
      <c r="D78">
        <f t="shared" ca="1" si="7"/>
        <v>2057.5014645209894</v>
      </c>
      <c r="E78">
        <f t="shared" ca="1" si="8"/>
        <v>7724</v>
      </c>
    </row>
    <row r="79" spans="1:5" x14ac:dyDescent="0.15">
      <c r="A79">
        <v>60</v>
      </c>
      <c r="B79">
        <f ca="1">IF(A79&lt;30,0,B$18*'[3]1、经济推算'!I62)</f>
        <v>219.64144198579544</v>
      </c>
      <c r="C79">
        <f ca="1">IFERROR(VLOOKUP(9111100+A79,[4]D_技能表!$A:$Z,26,0),0)+IFERROR(VLOOKUP(9122100+A79,[4]D_技能表!$A:$Z,26,0),0)+IFERROR(VLOOKUP(9122200+A79,[4]D_技能表!$A:$Z,26,0),0)+IFERROR(VLOOKUP(9122300+A79,[4]D_技能表!$A:$Z,26,0),0)+IFERROR(VLOOKUP(9122400+A79,[4]D_技能表!$A:$Z,26,0),0)+IFERROR(VLOOKUP(9113100+A79,[4]D_技能表!$A:$Z,26,0),0)+IFERROR(VLOOKUP(9124100+A79,[4]D_技能表!$A:$Z,26,0),0)+IFERROR(VLOOKUP(9124200+A79,[4]D_技能表!$A:$Z,26,0),0)+IFERROR(VLOOKUP(9124300+A79,[4]D_技能表!$A:$Z,26,0),0)+IFERROR(VLOOKUP(9124400+A79,[4]D_技能表!$A:$Z,26,0),0)</f>
        <v>0</v>
      </c>
      <c r="D79">
        <f t="shared" ca="1" si="7"/>
        <v>2277.142906506785</v>
      </c>
      <c r="E79">
        <f t="shared" ca="1" si="8"/>
        <v>7724</v>
      </c>
    </row>
    <row r="80" spans="1:5" x14ac:dyDescent="0.15">
      <c r="A80">
        <v>61</v>
      </c>
      <c r="B80">
        <f ca="1">IF(A80&lt;30,0,B$18*'[3]1、经济推算'!I63)</f>
        <v>241.77230809457203</v>
      </c>
      <c r="C80">
        <f ca="1">IFERROR(VLOOKUP(9111100+A80,[4]D_技能表!$A:$Z,26,0),0)+IFERROR(VLOOKUP(9122100+A80,[4]D_技能表!$A:$Z,26,0),0)+IFERROR(VLOOKUP(9122200+A80,[4]D_技能表!$A:$Z,26,0),0)+IFERROR(VLOOKUP(9122300+A80,[4]D_技能表!$A:$Z,26,0),0)+IFERROR(VLOOKUP(9122400+A80,[4]D_技能表!$A:$Z,26,0),0)+IFERROR(VLOOKUP(9113100+A80,[4]D_技能表!$A:$Z,26,0),0)+IFERROR(VLOOKUP(9124100+A80,[4]D_技能表!$A:$Z,26,0),0)+IFERROR(VLOOKUP(9124200+A80,[4]D_技能表!$A:$Z,26,0),0)+IFERROR(VLOOKUP(9124300+A80,[4]D_技能表!$A:$Z,26,0),0)+IFERROR(VLOOKUP(9124400+A80,[4]D_技能表!$A:$Z,26,0),0)</f>
        <v>0</v>
      </c>
      <c r="D80">
        <f t="shared" ca="1" si="7"/>
        <v>2518.9152146013571</v>
      </c>
      <c r="E80">
        <f t="shared" ca="1" si="8"/>
        <v>7724</v>
      </c>
    </row>
    <row r="81" spans="1:5" x14ac:dyDescent="0.15">
      <c r="A81">
        <v>62</v>
      </c>
      <c r="B81">
        <f ca="1">IF(A81&lt;30,0,B$18*'[3]1、经济推算'!I64)</f>
        <v>266.13305955784494</v>
      </c>
      <c r="C81">
        <f ca="1">IFERROR(VLOOKUP(9111100+A81,[4]D_技能表!$A:$Z,26,0),0)+IFERROR(VLOOKUP(9122100+A81,[4]D_技能表!$A:$Z,26,0),0)+IFERROR(VLOOKUP(9122200+A81,[4]D_技能表!$A:$Z,26,0),0)+IFERROR(VLOOKUP(9122300+A81,[4]D_技能表!$A:$Z,26,0),0)+IFERROR(VLOOKUP(9122400+A81,[4]D_技能表!$A:$Z,26,0),0)+IFERROR(VLOOKUP(9113100+A81,[4]D_技能表!$A:$Z,26,0),0)+IFERROR(VLOOKUP(9124100+A81,[4]D_技能表!$A:$Z,26,0),0)+IFERROR(VLOOKUP(9124200+A81,[4]D_技能表!$A:$Z,26,0),0)+IFERROR(VLOOKUP(9124300+A81,[4]D_技能表!$A:$Z,26,0),0)+IFERROR(VLOOKUP(9124400+A81,[4]D_技能表!$A:$Z,26,0),0)</f>
        <v>0</v>
      </c>
      <c r="D81">
        <f t="shared" ca="1" si="7"/>
        <v>2785.0482741592023</v>
      </c>
      <c r="E81">
        <f t="shared" ca="1" si="8"/>
        <v>7724</v>
      </c>
    </row>
    <row r="82" spans="1:5" x14ac:dyDescent="0.15">
      <c r="A82">
        <v>63</v>
      </c>
      <c r="B82">
        <f ca="1">IF(A82&lt;30,0,B$18*'[3]1、经济推算'!I65)</f>
        <v>292.94837753674727</v>
      </c>
      <c r="C82">
        <f ca="1">IFERROR(VLOOKUP(9111100+A82,[4]D_技能表!$A:$Z,26,0),0)+IFERROR(VLOOKUP(9122100+A82,[4]D_技能表!$A:$Z,26,0),0)+IFERROR(VLOOKUP(9122200+A82,[4]D_技能表!$A:$Z,26,0),0)+IFERROR(VLOOKUP(9122300+A82,[4]D_技能表!$A:$Z,26,0),0)+IFERROR(VLOOKUP(9122400+A82,[4]D_技能表!$A:$Z,26,0),0)+IFERROR(VLOOKUP(9113100+A82,[4]D_技能表!$A:$Z,26,0),0)+IFERROR(VLOOKUP(9124100+A82,[4]D_技能表!$A:$Z,26,0),0)+IFERROR(VLOOKUP(9124200+A82,[4]D_技能表!$A:$Z,26,0),0)+IFERROR(VLOOKUP(9124300+A82,[4]D_技能表!$A:$Z,26,0),0)+IFERROR(VLOOKUP(9124400+A82,[4]D_技能表!$A:$Z,26,0),0)</f>
        <v>0</v>
      </c>
      <c r="D82">
        <f t="shared" ca="1" si="7"/>
        <v>3077.9966516959494</v>
      </c>
      <c r="E82">
        <f t="shared" ca="1" si="8"/>
        <v>7724</v>
      </c>
    </row>
    <row r="83" spans="1:5" x14ac:dyDescent="0.15">
      <c r="A83">
        <v>64</v>
      </c>
      <c r="B83">
        <f ca="1">IF(A83&lt;30,0,B$18*'[3]1、经济推算'!I66)</f>
        <v>322.46558185590476</v>
      </c>
      <c r="C83">
        <f ca="1">IFERROR(VLOOKUP(9111100+A83,[4]D_技能表!$A:$Z,26,0),0)+IFERROR(VLOOKUP(9122100+A83,[4]D_技能表!$A:$Z,26,0),0)+IFERROR(VLOOKUP(9122200+A83,[4]D_技能表!$A:$Z,26,0),0)+IFERROR(VLOOKUP(9122300+A83,[4]D_技能表!$A:$Z,26,0),0)+IFERROR(VLOOKUP(9122400+A83,[4]D_技能表!$A:$Z,26,0),0)+IFERROR(VLOOKUP(9113100+A83,[4]D_技能表!$A:$Z,26,0),0)+IFERROR(VLOOKUP(9124100+A83,[4]D_技能表!$A:$Z,26,0),0)+IFERROR(VLOOKUP(9124200+A83,[4]D_技能表!$A:$Z,26,0),0)+IFERROR(VLOOKUP(9124300+A83,[4]D_技能表!$A:$Z,26,0),0)+IFERROR(VLOOKUP(9124400+A83,[4]D_技能表!$A:$Z,26,0),0)</f>
        <v>0</v>
      </c>
      <c r="D83">
        <f t="shared" ca="1" si="7"/>
        <v>3400.4622335518543</v>
      </c>
      <c r="E83">
        <f t="shared" ca="1" si="8"/>
        <v>7724</v>
      </c>
    </row>
    <row r="84" spans="1:5" x14ac:dyDescent="0.15">
      <c r="A84">
        <v>65</v>
      </c>
      <c r="B84">
        <f ca="1">IF(A84&lt;30,0,B$18*'[3]1、经济推算'!I67)</f>
        <v>354.95691205397952</v>
      </c>
      <c r="C84">
        <f ca="1">IFERROR(VLOOKUP(9111100+A84,[4]D_技能表!$A:$Z,26,0),0)+IFERROR(VLOOKUP(9122100+A84,[4]D_技能表!$A:$Z,26,0),0)+IFERROR(VLOOKUP(9122200+A84,[4]D_技能表!$A:$Z,26,0),0)+IFERROR(VLOOKUP(9122300+A84,[4]D_技能表!$A:$Z,26,0),0)+IFERROR(VLOOKUP(9122400+A84,[4]D_技能表!$A:$Z,26,0),0)+IFERROR(VLOOKUP(9113100+A84,[4]D_技能表!$A:$Z,26,0),0)+IFERROR(VLOOKUP(9124100+A84,[4]D_技能表!$A:$Z,26,0),0)+IFERROR(VLOOKUP(9124200+A84,[4]D_技能表!$A:$Z,26,0),0)+IFERROR(VLOOKUP(9124300+A84,[4]D_技能表!$A:$Z,26,0),0)+IFERROR(VLOOKUP(9124400+A84,[4]D_技能表!$A:$Z,26,0),0)</f>
        <v>0</v>
      </c>
      <c r="D84">
        <f t="shared" ca="1" si="7"/>
        <v>3755.4191456058338</v>
      </c>
      <c r="E84">
        <f t="shared" ca="1" si="8"/>
        <v>7724</v>
      </c>
    </row>
    <row r="85" spans="1:5" x14ac:dyDescent="0.15">
      <c r="A85">
        <v>66</v>
      </c>
      <c r="B85">
        <f ca="1">IF(A85&lt;30,0,B$18*'[3]1、经济推算'!I68)</f>
        <v>390.72203827073162</v>
      </c>
      <c r="C85">
        <f ca="1">IFERROR(VLOOKUP(9111100+A85,[4]D_技能表!$A:$Z,26,0),0)+IFERROR(VLOOKUP(9122100+A85,[4]D_技能表!$A:$Z,26,0),0)+IFERROR(VLOOKUP(9122200+A85,[4]D_技能表!$A:$Z,26,0),0)+IFERROR(VLOOKUP(9122300+A85,[4]D_技能表!$A:$Z,26,0),0)+IFERROR(VLOOKUP(9122400+A85,[4]D_技能表!$A:$Z,26,0),0)+IFERROR(VLOOKUP(9113100+A85,[4]D_技能表!$A:$Z,26,0),0)+IFERROR(VLOOKUP(9124100+A85,[4]D_技能表!$A:$Z,26,0),0)+IFERROR(VLOOKUP(9124200+A85,[4]D_技能表!$A:$Z,26,0),0)+IFERROR(VLOOKUP(9124300+A85,[4]D_技能表!$A:$Z,26,0),0)+IFERROR(VLOOKUP(9124400+A85,[4]D_技能表!$A:$Z,26,0),0)</f>
        <v>0</v>
      </c>
      <c r="D85">
        <f t="shared" ref="D85:D99" ca="1" si="9">D84+B85</f>
        <v>4146.1411838765653</v>
      </c>
      <c r="E85">
        <f t="shared" ref="E85:E99" ca="1" si="10">E84+C85</f>
        <v>7724</v>
      </c>
    </row>
    <row r="86" spans="1:5" x14ac:dyDescent="0.15">
      <c r="A86">
        <v>67</v>
      </c>
      <c r="B86">
        <f ca="1">IF(A86&lt;30,0,B$18*'[3]1、经济推算'!I69)</f>
        <v>430.09082512871021</v>
      </c>
      <c r="C86">
        <f ca="1">IFERROR(VLOOKUP(9111100+A86,[4]D_技能表!$A:$Z,26,0),0)+IFERROR(VLOOKUP(9122100+A86,[4]D_技能表!$A:$Z,26,0),0)+IFERROR(VLOOKUP(9122200+A86,[4]D_技能表!$A:$Z,26,0),0)+IFERROR(VLOOKUP(9122300+A86,[4]D_技能表!$A:$Z,26,0),0)+IFERROR(VLOOKUP(9122400+A86,[4]D_技能表!$A:$Z,26,0),0)+IFERROR(VLOOKUP(9113100+A86,[4]D_技能表!$A:$Z,26,0),0)+IFERROR(VLOOKUP(9124100+A86,[4]D_技能表!$A:$Z,26,0),0)+IFERROR(VLOOKUP(9124200+A86,[4]D_技能表!$A:$Z,26,0),0)+IFERROR(VLOOKUP(9124300+A86,[4]D_技能表!$A:$Z,26,0),0)+IFERROR(VLOOKUP(9124400+A86,[4]D_技能表!$A:$Z,26,0),0)</f>
        <v>0</v>
      </c>
      <c r="D86">
        <f t="shared" ca="1" si="9"/>
        <v>4576.2320090052754</v>
      </c>
      <c r="E86">
        <f t="shared" ca="1" si="10"/>
        <v>7724</v>
      </c>
    </row>
    <row r="87" spans="1:5" x14ac:dyDescent="0.15">
      <c r="A87">
        <v>68</v>
      </c>
      <c r="B87">
        <f ca="1">IF(A87&lt;30,0,B$18*'[3]1、经济推算'!I70)</f>
        <v>473.4263741010771</v>
      </c>
      <c r="C87">
        <f ca="1">IFERROR(VLOOKUP(9111100+A87,[4]D_技能表!$A:$Z,26,0),0)+IFERROR(VLOOKUP(9122100+A87,[4]D_技能表!$A:$Z,26,0),0)+IFERROR(VLOOKUP(9122200+A87,[4]D_技能表!$A:$Z,26,0),0)+IFERROR(VLOOKUP(9122300+A87,[4]D_技能表!$A:$Z,26,0),0)+IFERROR(VLOOKUP(9122400+A87,[4]D_技能表!$A:$Z,26,0),0)+IFERROR(VLOOKUP(9113100+A87,[4]D_技能表!$A:$Z,26,0),0)+IFERROR(VLOOKUP(9124100+A87,[4]D_技能表!$A:$Z,26,0),0)+IFERROR(VLOOKUP(9124200+A87,[4]D_技能表!$A:$Z,26,0),0)+IFERROR(VLOOKUP(9124300+A87,[4]D_技能表!$A:$Z,26,0),0)+IFERROR(VLOOKUP(9124400+A87,[4]D_技能表!$A:$Z,26,0),0)</f>
        <v>0</v>
      </c>
      <c r="D87">
        <f t="shared" ca="1" si="9"/>
        <v>5049.6583831063526</v>
      </c>
      <c r="E87">
        <f t="shared" ca="1" si="10"/>
        <v>7724</v>
      </c>
    </row>
    <row r="88" spans="1:5" x14ac:dyDescent="0.15">
      <c r="A88">
        <v>69</v>
      </c>
      <c r="B88">
        <f ca="1">IF(A88&lt;30,0,B$18*'[3]1、经济推算'!I71)</f>
        <v>521.12837242556498</v>
      </c>
      <c r="C88">
        <f ca="1">IFERROR(VLOOKUP(9111100+A88,[4]D_技能表!$A:$Z,26,0),0)+IFERROR(VLOOKUP(9122100+A88,[4]D_技能表!$A:$Z,26,0),0)+IFERROR(VLOOKUP(9122200+A88,[4]D_技能表!$A:$Z,26,0),0)+IFERROR(VLOOKUP(9122300+A88,[4]D_技能表!$A:$Z,26,0),0)+IFERROR(VLOOKUP(9122400+A88,[4]D_技能表!$A:$Z,26,0),0)+IFERROR(VLOOKUP(9113100+A88,[4]D_技能表!$A:$Z,26,0),0)+IFERROR(VLOOKUP(9124100+A88,[4]D_技能表!$A:$Z,26,0),0)+IFERROR(VLOOKUP(9124200+A88,[4]D_技能表!$A:$Z,26,0),0)+IFERROR(VLOOKUP(9124300+A88,[4]D_技能表!$A:$Z,26,0),0)+IFERROR(VLOOKUP(9124400+A88,[4]D_技能表!$A:$Z,26,0),0)</f>
        <v>0</v>
      </c>
      <c r="D88">
        <f t="shared" ca="1" si="9"/>
        <v>5570.7867555319172</v>
      </c>
      <c r="E88">
        <f t="shared" ca="1" si="10"/>
        <v>7724</v>
      </c>
    </row>
    <row r="89" spans="1:5" x14ac:dyDescent="0.15">
      <c r="A89">
        <v>70</v>
      </c>
      <c r="B89">
        <f ca="1">IF(A89&lt;30,0,B$18*'[3]1、经济推算'!I72)</f>
        <v>573.63677945187021</v>
      </c>
      <c r="C89">
        <f ca="1">IFERROR(VLOOKUP(9111100+A89,[4]D_技能表!$A:$Z,26,0),0)+IFERROR(VLOOKUP(9122100+A89,[4]D_技能表!$A:$Z,26,0),0)+IFERROR(VLOOKUP(9122200+A89,[4]D_技能表!$A:$Z,26,0),0)+IFERROR(VLOOKUP(9122300+A89,[4]D_技能表!$A:$Z,26,0),0)+IFERROR(VLOOKUP(9122400+A89,[4]D_技能表!$A:$Z,26,0),0)+IFERROR(VLOOKUP(9113100+A89,[4]D_技能表!$A:$Z,26,0),0)+IFERROR(VLOOKUP(9124100+A89,[4]D_技能表!$A:$Z,26,0),0)+IFERROR(VLOOKUP(9124200+A89,[4]D_技能表!$A:$Z,26,0),0)+IFERROR(VLOOKUP(9124300+A89,[4]D_技能表!$A:$Z,26,0),0)+IFERROR(VLOOKUP(9124400+A89,[4]D_技能表!$A:$Z,26,0),0)</f>
        <v>0</v>
      </c>
      <c r="D89">
        <f t="shared" ca="1" si="9"/>
        <v>6144.4235349837872</v>
      </c>
      <c r="E89">
        <f t="shared" ca="1" si="10"/>
        <v>7724</v>
      </c>
    </row>
    <row r="90" spans="1:5" x14ac:dyDescent="0.15">
      <c r="A90">
        <v>71</v>
      </c>
      <c r="B90">
        <f ca="1">IF(A90&lt;30,0,B$18*'[3]1、经济推算'!I73)</f>
        <v>631.43588442196108</v>
      </c>
      <c r="C90">
        <f ca="1">IFERROR(VLOOKUP(9111100+A90,[4]D_技能表!$A:$Z,26,0),0)+IFERROR(VLOOKUP(9122100+A90,[4]D_技能表!$A:$Z,26,0),0)+IFERROR(VLOOKUP(9122200+A90,[4]D_技能表!$A:$Z,26,0),0)+IFERROR(VLOOKUP(9122300+A90,[4]D_技能表!$A:$Z,26,0),0)+IFERROR(VLOOKUP(9122400+A90,[4]D_技能表!$A:$Z,26,0),0)+IFERROR(VLOOKUP(9113100+A90,[4]D_技能表!$A:$Z,26,0),0)+IFERROR(VLOOKUP(9124100+A90,[4]D_技能表!$A:$Z,26,0),0)+IFERROR(VLOOKUP(9124200+A90,[4]D_技能表!$A:$Z,26,0),0)+IFERROR(VLOOKUP(9124300+A90,[4]D_技能表!$A:$Z,26,0),0)+IFERROR(VLOOKUP(9124400+A90,[4]D_技能表!$A:$Z,26,0),0)</f>
        <v>0</v>
      </c>
      <c r="D90">
        <f t="shared" ca="1" si="9"/>
        <v>6775.8594194057487</v>
      </c>
      <c r="E90">
        <f t="shared" ca="1" si="10"/>
        <v>7724</v>
      </c>
    </row>
    <row r="91" spans="1:5" x14ac:dyDescent="0.15">
      <c r="A91">
        <v>72</v>
      </c>
      <c r="B91">
        <f ca="1">IF(A91&lt;30,0,B$18*'[3]1、经济推算'!I74)</f>
        <v>695.05877310852827</v>
      </c>
      <c r="C91">
        <f ca="1">IFERROR(VLOOKUP(9111100+A91,[4]D_技能表!$A:$Z,26,0),0)+IFERROR(VLOOKUP(9122100+A91,[4]D_技能表!$A:$Z,26,0),0)+IFERROR(VLOOKUP(9122200+A91,[4]D_技能表!$A:$Z,26,0),0)+IFERROR(VLOOKUP(9122300+A91,[4]D_技能表!$A:$Z,26,0),0)+IFERROR(VLOOKUP(9122400+A91,[4]D_技能表!$A:$Z,26,0),0)+IFERROR(VLOOKUP(9113100+A91,[4]D_技能表!$A:$Z,26,0),0)+IFERROR(VLOOKUP(9124100+A91,[4]D_技能表!$A:$Z,26,0),0)+IFERROR(VLOOKUP(9124200+A91,[4]D_技能表!$A:$Z,26,0),0)+IFERROR(VLOOKUP(9124300+A91,[4]D_技能表!$A:$Z,26,0),0)+IFERROR(VLOOKUP(9124400+A91,[4]D_技能表!$A:$Z,26,0),0)</f>
        <v>0</v>
      </c>
      <c r="D91">
        <f t="shared" ca="1" si="9"/>
        <v>7470.9181925142766</v>
      </c>
      <c r="E91">
        <f t="shared" ca="1" si="10"/>
        <v>7724</v>
      </c>
    </row>
    <row r="92" spans="1:5" x14ac:dyDescent="0.15">
      <c r="A92">
        <v>73</v>
      </c>
      <c r="B92">
        <f ca="1">IF(A92&lt;30,0,B$18*'[3]1、经济推算'!I75)</f>
        <v>765.09224450774695</v>
      </c>
      <c r="C92">
        <f ca="1">IFERROR(VLOOKUP(9111100+A92,[4]D_技能表!$A:$Z,26,0),0)+IFERROR(VLOOKUP(9122100+A92,[4]D_技能表!$A:$Z,26,0),0)+IFERROR(VLOOKUP(9122200+A92,[4]D_技能表!$A:$Z,26,0),0)+IFERROR(VLOOKUP(9122300+A92,[4]D_技能表!$A:$Z,26,0),0)+IFERROR(VLOOKUP(9122400+A92,[4]D_技能表!$A:$Z,26,0),0)+IFERROR(VLOOKUP(9113100+A92,[4]D_技能表!$A:$Z,26,0),0)+IFERROR(VLOOKUP(9124100+A92,[4]D_技能表!$A:$Z,26,0),0)+IFERROR(VLOOKUP(9124200+A92,[4]D_技能表!$A:$Z,26,0),0)+IFERROR(VLOOKUP(9124300+A92,[4]D_技能表!$A:$Z,26,0),0)+IFERROR(VLOOKUP(9124400+A92,[4]D_技能表!$A:$Z,26,0),0)</f>
        <v>0</v>
      </c>
      <c r="D92">
        <f t="shared" ca="1" si="9"/>
        <v>8236.0104370220233</v>
      </c>
      <c r="E92">
        <f t="shared" ca="1" si="10"/>
        <v>7724</v>
      </c>
    </row>
    <row r="93" spans="1:5" x14ac:dyDescent="0.15">
      <c r="A93">
        <v>74</v>
      </c>
      <c r="B93">
        <f ca="1">IF(A93&lt;30,0,B$18*'[3]1、经济推算'!I76)</f>
        <v>842.18222293340011</v>
      </c>
      <c r="C93">
        <f ca="1">IFERROR(VLOOKUP(9111100+A93,[4]D_技能表!$A:$Z,26,0),0)+IFERROR(VLOOKUP(9122100+A93,[4]D_技能表!$A:$Z,26,0),0)+IFERROR(VLOOKUP(9122200+A93,[4]D_技能表!$A:$Z,26,0),0)+IFERROR(VLOOKUP(9122300+A93,[4]D_技能表!$A:$Z,26,0),0)+IFERROR(VLOOKUP(9122400+A93,[4]D_技能表!$A:$Z,26,0),0)+IFERROR(VLOOKUP(9113100+A93,[4]D_技能表!$A:$Z,26,0),0)+IFERROR(VLOOKUP(9124100+A93,[4]D_技能表!$A:$Z,26,0),0)+IFERROR(VLOOKUP(9124200+A93,[4]D_技能表!$A:$Z,26,0),0)+IFERROR(VLOOKUP(9124300+A93,[4]D_技能表!$A:$Z,26,0),0)+IFERROR(VLOOKUP(9124400+A93,[4]D_技能表!$A:$Z,26,0),0)</f>
        <v>0</v>
      </c>
      <c r="D93">
        <f t="shared" ca="1" si="9"/>
        <v>9078.1926599554226</v>
      </c>
      <c r="E93">
        <f t="shared" ca="1" si="10"/>
        <v>7724</v>
      </c>
    </row>
    <row r="94" spans="1:5" x14ac:dyDescent="0.15">
      <c r="A94">
        <v>75</v>
      </c>
      <c r="B94">
        <f ca="1">IF(A94&lt;30,0,B$18*'[3]1、经济推算'!I77)</f>
        <v>927.03971542853799</v>
      </c>
      <c r="C94">
        <f ca="1">IFERROR(VLOOKUP(9111100+A94,[4]D_技能表!$A:$Z,26,0),0)+IFERROR(VLOOKUP(9122100+A94,[4]D_技能表!$A:$Z,26,0),0)+IFERROR(VLOOKUP(9122200+A94,[4]D_技能表!$A:$Z,26,0),0)+IFERROR(VLOOKUP(9122300+A94,[4]D_技能表!$A:$Z,26,0),0)+IFERROR(VLOOKUP(9122400+A94,[4]D_技能表!$A:$Z,26,0),0)+IFERROR(VLOOKUP(9113100+A94,[4]D_技能表!$A:$Z,26,0),0)+IFERROR(VLOOKUP(9124100+A94,[4]D_技能表!$A:$Z,26,0),0)+IFERROR(VLOOKUP(9124200+A94,[4]D_技能表!$A:$Z,26,0),0)+IFERROR(VLOOKUP(9124300+A94,[4]D_技能表!$A:$Z,26,0),0)+IFERROR(VLOOKUP(9124400+A94,[4]D_技能表!$A:$Z,26,0),0)</f>
        <v>0</v>
      </c>
      <c r="D94">
        <f t="shared" ca="1" si="9"/>
        <v>10005.232375383961</v>
      </c>
      <c r="E94">
        <f t="shared" ca="1" si="10"/>
        <v>7724</v>
      </c>
    </row>
    <row r="95" spans="1:5" x14ac:dyDescent="0.15">
      <c r="A95">
        <v>76</v>
      </c>
      <c r="B95">
        <f ca="1">IF(A95&lt;30,0,B$18*'[3]1、经济推算'!I78)</f>
        <v>1020.4473694403624</v>
      </c>
      <c r="C95">
        <f ca="1">IFERROR(VLOOKUP(9111100+A95,[4]D_技能表!$A:$Z,26,0),0)+IFERROR(VLOOKUP(9122100+A95,[4]D_技能表!$A:$Z,26,0),0)+IFERROR(VLOOKUP(9122200+A95,[4]D_技能表!$A:$Z,26,0),0)+IFERROR(VLOOKUP(9122300+A95,[4]D_技能表!$A:$Z,26,0),0)+IFERROR(VLOOKUP(9122400+A95,[4]D_技能表!$A:$Z,26,0),0)+IFERROR(VLOOKUP(9113100+A95,[4]D_技能表!$A:$Z,26,0),0)+IFERROR(VLOOKUP(9124100+A95,[4]D_技能表!$A:$Z,26,0),0)+IFERROR(VLOOKUP(9124200+A95,[4]D_技能表!$A:$Z,26,0),0)+IFERROR(VLOOKUP(9124300+A95,[4]D_技能表!$A:$Z,26,0),0)+IFERROR(VLOOKUP(9124400+A95,[4]D_技能表!$A:$Z,26,0),0)</f>
        <v>0</v>
      </c>
      <c r="D95">
        <f t="shared" ca="1" si="9"/>
        <v>11025.679744824323</v>
      </c>
      <c r="E95">
        <f t="shared" ca="1" si="10"/>
        <v>7724</v>
      </c>
    </row>
    <row r="96" spans="1:5" x14ac:dyDescent="0.15">
      <c r="A96">
        <v>77</v>
      </c>
      <c r="B96">
        <f ca="1">IF(A96&lt;30,0,B$18*'[3]1、经济推算'!I79)</f>
        <v>1123.2666912402913</v>
      </c>
      <c r="C96">
        <f ca="1">IFERROR(VLOOKUP(9111100+A96,[4]D_技能表!$A:$Z,26,0),0)+IFERROR(VLOOKUP(9122100+A96,[4]D_技能表!$A:$Z,26,0),0)+IFERROR(VLOOKUP(9122200+A96,[4]D_技能表!$A:$Z,26,0),0)+IFERROR(VLOOKUP(9122300+A96,[4]D_技能表!$A:$Z,26,0),0)+IFERROR(VLOOKUP(9122400+A96,[4]D_技能表!$A:$Z,26,0),0)+IFERROR(VLOOKUP(9113100+A96,[4]D_技能表!$A:$Z,26,0),0)+IFERROR(VLOOKUP(9124100+A96,[4]D_技能表!$A:$Z,26,0),0)+IFERROR(VLOOKUP(9124200+A96,[4]D_技能表!$A:$Z,26,0),0)+IFERROR(VLOOKUP(9124300+A96,[4]D_技能表!$A:$Z,26,0),0)+IFERROR(VLOOKUP(9124400+A96,[4]D_技能表!$A:$Z,26,0),0)</f>
        <v>0</v>
      </c>
      <c r="D96">
        <f t="shared" ca="1" si="9"/>
        <v>12148.946436064614</v>
      </c>
      <c r="E96">
        <f t="shared" ca="1" si="10"/>
        <v>7724</v>
      </c>
    </row>
    <row r="97" spans="1:5" x14ac:dyDescent="0.15">
      <c r="A97">
        <v>78</v>
      </c>
      <c r="B97">
        <f ca="1">IF(A97&lt;30,0,B$18*'[3]1、经济推算'!I80)</f>
        <v>1236.4459916652768</v>
      </c>
      <c r="C97">
        <f ca="1">IFERROR(VLOOKUP(9111100+A97,[4]D_技能表!$A:$Z,26,0),0)+IFERROR(VLOOKUP(9122100+A97,[4]D_技能表!$A:$Z,26,0),0)+IFERROR(VLOOKUP(9122200+A97,[4]D_技能表!$A:$Z,26,0),0)+IFERROR(VLOOKUP(9122300+A97,[4]D_技能表!$A:$Z,26,0),0)+IFERROR(VLOOKUP(9122400+A97,[4]D_技能表!$A:$Z,26,0),0)+IFERROR(VLOOKUP(9113100+A97,[4]D_技能表!$A:$Z,26,0),0)+IFERROR(VLOOKUP(9124100+A97,[4]D_技能表!$A:$Z,26,0),0)+IFERROR(VLOOKUP(9124200+A97,[4]D_技能表!$A:$Z,26,0),0)+IFERROR(VLOOKUP(9124300+A97,[4]D_技能表!$A:$Z,26,0),0)+IFERROR(VLOOKUP(9124400+A97,[4]D_技能表!$A:$Z,26,0),0)</f>
        <v>0</v>
      </c>
      <c r="D97">
        <f t="shared" ca="1" si="9"/>
        <v>13385.39242772989</v>
      </c>
      <c r="E97">
        <f t="shared" ca="1" si="10"/>
        <v>7724</v>
      </c>
    </row>
    <row r="98" spans="1:5" x14ac:dyDescent="0.15">
      <c r="A98">
        <v>79</v>
      </c>
      <c r="B98">
        <f ca="1">IF(A98&lt;30,0,B$18*'[3]1、经济推算'!I81)</f>
        <v>1361.0291324645768</v>
      </c>
      <c r="C98">
        <f ca="1">IFERROR(VLOOKUP(9111100+A98,[4]D_技能表!$A:$Z,26,0),0)+IFERROR(VLOOKUP(9122100+A98,[4]D_技能表!$A:$Z,26,0),0)+IFERROR(VLOOKUP(9122200+A98,[4]D_技能表!$A:$Z,26,0),0)+IFERROR(VLOOKUP(9122300+A98,[4]D_技能表!$A:$Z,26,0),0)+IFERROR(VLOOKUP(9122400+A98,[4]D_技能表!$A:$Z,26,0),0)+IFERROR(VLOOKUP(9113100+A98,[4]D_技能表!$A:$Z,26,0),0)+IFERROR(VLOOKUP(9124100+A98,[4]D_技能表!$A:$Z,26,0),0)+IFERROR(VLOOKUP(9124200+A98,[4]D_技能表!$A:$Z,26,0),0)+IFERROR(VLOOKUP(9124300+A98,[4]D_技能表!$A:$Z,26,0),0)+IFERROR(VLOOKUP(9124400+A98,[4]D_技能表!$A:$Z,26,0),0)</f>
        <v>0</v>
      </c>
      <c r="D98">
        <f t="shared" ca="1" si="9"/>
        <v>14746.421560194467</v>
      </c>
      <c r="E98">
        <f t="shared" ca="1" si="10"/>
        <v>7724</v>
      </c>
    </row>
    <row r="99" spans="1:5" x14ac:dyDescent="0.15">
      <c r="A99">
        <v>80</v>
      </c>
      <c r="B99">
        <f ca="1">IF(A99&lt;30,0,B$18*'[3]1、经济推算'!I82)</f>
        <v>1498.1651539202435</v>
      </c>
      <c r="C99">
        <f ca="1">IFERROR(VLOOKUP(9111100+A99,[4]D_技能表!$A:$Z,26,0),0)+IFERROR(VLOOKUP(9122100+A99,[4]D_技能表!$A:$Z,26,0),0)+IFERROR(VLOOKUP(9122200+A99,[4]D_技能表!$A:$Z,26,0),0)+IFERROR(VLOOKUP(9122300+A99,[4]D_技能表!$A:$Z,26,0),0)+IFERROR(VLOOKUP(9122400+A99,[4]D_技能表!$A:$Z,26,0),0)+IFERROR(VLOOKUP(9113100+A99,[4]D_技能表!$A:$Z,26,0),0)+IFERROR(VLOOKUP(9124100+A99,[4]D_技能表!$A:$Z,26,0),0)+IFERROR(VLOOKUP(9124200+A99,[4]D_技能表!$A:$Z,26,0),0)+IFERROR(VLOOKUP(9124300+A99,[4]D_技能表!$A:$Z,26,0),0)+IFERROR(VLOOKUP(9124400+A99,[4]D_技能表!$A:$Z,26,0),0)</f>
        <v>0</v>
      </c>
      <c r="D99">
        <f t="shared" ca="1" si="9"/>
        <v>16244.58671411471</v>
      </c>
      <c r="E99">
        <f t="shared" ca="1" si="10"/>
        <v>7724</v>
      </c>
    </row>
    <row r="100" spans="1:5" x14ac:dyDescent="0.15">
      <c r="C100">
        <f ca="1">SUM(C20:C99)</f>
        <v>7724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D_公会等级表</vt:lpstr>
      <vt:lpstr>D_公会职务表</vt:lpstr>
      <vt:lpstr>D_公会ICON表</vt:lpstr>
      <vt:lpstr>D_公会工坊表</vt:lpstr>
      <vt:lpstr>D_公会技能表</vt:lpstr>
      <vt:lpstr>D_工坊技能描述表</vt:lpstr>
      <vt:lpstr>工坊技能图标</vt:lpstr>
      <vt:lpstr>D_公会商店</vt:lpstr>
      <vt:lpstr>D_捐献表</vt:lpstr>
      <vt:lpstr>公会经济估算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Javy</dc:creator>
  <cp:lastModifiedBy>Javy</cp:lastModifiedBy>
  <dcterms:created xsi:type="dcterms:W3CDTF">2006-09-16T00:00:00Z</dcterms:created>
  <dcterms:modified xsi:type="dcterms:W3CDTF">2015-08-01T17:44:11Z</dcterms:modified>
</cp:coreProperties>
</file>